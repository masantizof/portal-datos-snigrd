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133DF10-6006-4AEB-A348-93B4887F2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W288" i="1"/>
  <c r="AV288" i="1" a="1"/>
  <c r="AV288" i="1"/>
  <c r="AU288" i="1" a="1"/>
  <c r="AU288" i="1" s="1"/>
  <c r="AT288" i="1"/>
  <c r="AR288" i="1"/>
  <c r="AP288" i="1"/>
  <c r="AQ288" i="1" s="1"/>
  <c r="AS288" i="1" s="1"/>
  <c r="AV287" i="1" a="1"/>
  <c r="AV287" i="1" s="1"/>
  <c r="AU287" i="1" a="1"/>
  <c r="AU287" i="1" s="1"/>
  <c r="AT287" i="1"/>
  <c r="AS287" i="1"/>
  <c r="AR287" i="1"/>
  <c r="AP287" i="1"/>
  <c r="AQ287" i="1" s="1"/>
  <c r="AW286" i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/>
  <c r="AU284" i="1" a="1"/>
  <c r="AU284" i="1" s="1"/>
  <c r="AW284" i="1" s="1"/>
  <c r="AT284" i="1"/>
  <c r="AS284" i="1"/>
  <c r="AR284" i="1"/>
  <c r="AP284" i="1"/>
  <c r="AQ284" i="1" s="1"/>
  <c r="AV283" i="1" a="1"/>
  <c r="AV283" i="1" s="1"/>
  <c r="AU283" i="1" a="1"/>
  <c r="AU283" i="1" s="1"/>
  <c r="AT283" i="1"/>
  <c r="AS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W281" i="1" s="1"/>
  <c r="AR281" i="1"/>
  <c r="AP281" i="1"/>
  <c r="AQ281" i="1" s="1"/>
  <c r="AS281" i="1" s="1"/>
  <c r="AW280" i="1"/>
  <c r="AV280" i="1" a="1"/>
  <c r="AV280" i="1"/>
  <c r="AU280" i="1" a="1"/>
  <c r="AU280" i="1" s="1"/>
  <c r="AT280" i="1"/>
  <c r="AR280" i="1"/>
  <c r="AS280" i="1" s="1"/>
  <c r="AP280" i="1"/>
  <c r="AQ280" i="1" s="1"/>
  <c r="AV279" i="1" a="1"/>
  <c r="AV279" i="1" s="1"/>
  <c r="AU279" i="1" a="1"/>
  <c r="AU279" i="1" s="1"/>
  <c r="AT279" i="1"/>
  <c r="AW279" i="1" s="1"/>
  <c r="AS279" i="1"/>
  <c r="AR279" i="1"/>
  <c r="AP279" i="1"/>
  <c r="AQ279" i="1" s="1"/>
  <c r="AW278" i="1"/>
  <c r="AV278" i="1" a="1"/>
  <c r="AV278" i="1" s="1"/>
  <c r="AU278" i="1" a="1"/>
  <c r="AU278" i="1" s="1"/>
  <c r="AT278" i="1"/>
  <c r="AS278" i="1"/>
  <c r="AR278" i="1"/>
  <c r="AP278" i="1"/>
  <c r="AQ278" i="1" s="1"/>
  <c r="AV277" i="1" a="1"/>
  <c r="AV277" i="1" s="1"/>
  <c r="AU277" i="1" a="1"/>
  <c r="AU277" i="1" s="1"/>
  <c r="AT277" i="1"/>
  <c r="AW277" i="1" s="1"/>
  <c r="AR277" i="1"/>
  <c r="AP277" i="1"/>
  <c r="AQ277" i="1" s="1"/>
  <c r="AS277" i="1" s="1"/>
  <c r="AV276" i="1" a="1"/>
  <c r="AV276" i="1"/>
  <c r="AU276" i="1" a="1"/>
  <c r="AU276" i="1" s="1"/>
  <c r="AW276" i="1" s="1"/>
  <c r="AT276" i="1"/>
  <c r="AR276" i="1"/>
  <c r="AS276" i="1" s="1"/>
  <c r="AP276" i="1"/>
  <c r="AQ276" i="1" s="1"/>
  <c r="AV275" i="1" a="1"/>
  <c r="AV275" i="1" s="1"/>
  <c r="AU275" i="1" a="1"/>
  <c r="AU275" i="1" s="1"/>
  <c r="AT275" i="1"/>
  <c r="AR275" i="1"/>
  <c r="AS275" i="1" s="1"/>
  <c r="AP275" i="1"/>
  <c r="AQ275" i="1" s="1"/>
  <c r="AV274" i="1" a="1"/>
  <c r="AV274" i="1" s="1"/>
  <c r="AU274" i="1" a="1"/>
  <c r="AU274" i="1" s="1"/>
  <c r="AW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W273" i="1" s="1"/>
  <c r="AR273" i="1"/>
  <c r="AP273" i="1"/>
  <c r="AQ273" i="1" s="1"/>
  <c r="AS273" i="1" s="1"/>
  <c r="AW272" i="1"/>
  <c r="AV272" i="1" a="1"/>
  <c r="AV272" i="1" s="1"/>
  <c r="AU272" i="1" a="1"/>
  <c r="AU272" i="1" s="1"/>
  <c r="AT272" i="1"/>
  <c r="AR272" i="1"/>
  <c r="AS272" i="1" s="1"/>
  <c r="AP272" i="1"/>
  <c r="AQ272" i="1" s="1"/>
  <c r="AV271" i="1" a="1"/>
  <c r="AV271" i="1" s="1"/>
  <c r="AU271" i="1" a="1"/>
  <c r="AU271" i="1" s="1"/>
  <c r="AT271" i="1"/>
  <c r="AW271" i="1" s="1"/>
  <c r="AS271" i="1"/>
  <c r="AR271" i="1"/>
  <c r="AP271" i="1"/>
  <c r="AQ271" i="1" s="1"/>
  <c r="AW270" i="1"/>
  <c r="AV270" i="1" a="1"/>
  <c r="AV270" i="1" s="1"/>
  <c r="AU270" i="1" a="1"/>
  <c r="AU270" i="1" s="1"/>
  <c r="AT270" i="1"/>
  <c r="AS270" i="1"/>
  <c r="AR270" i="1"/>
  <c r="AP270" i="1"/>
  <c r="AQ270" i="1" s="1"/>
  <c r="AV269" i="1" a="1"/>
  <c r="AV269" i="1" s="1"/>
  <c r="AU269" i="1" a="1"/>
  <c r="AU269" i="1" s="1"/>
  <c r="AT269" i="1"/>
  <c r="AW269" i="1" s="1"/>
  <c r="AR269" i="1"/>
  <c r="AP269" i="1"/>
  <c r="AQ269" i="1" s="1"/>
  <c r="AS269" i="1" s="1"/>
  <c r="AV268" i="1" a="1"/>
  <c r="AV268" i="1"/>
  <c r="AU268" i="1" a="1"/>
  <c r="AU268" i="1" s="1"/>
  <c r="AW268" i="1" s="1"/>
  <c r="AT268" i="1"/>
  <c r="AR268" i="1"/>
  <c r="AS268" i="1" s="1"/>
  <c r="AP268" i="1"/>
  <c r="AQ268" i="1" s="1"/>
  <c r="AV267" i="1" a="1"/>
  <c r="AV267" i="1" s="1"/>
  <c r="AU267" i="1" a="1"/>
  <c r="AU267" i="1" s="1"/>
  <c r="AT267" i="1"/>
  <c r="AR267" i="1"/>
  <c r="AS267" i="1" s="1"/>
  <c r="AP267" i="1"/>
  <c r="AQ267" i="1" s="1"/>
  <c r="AV266" i="1" a="1"/>
  <c r="AV266" i="1" s="1"/>
  <c r="AU266" i="1" a="1"/>
  <c r="AU266" i="1" s="1"/>
  <c r="AW266" i="1" s="1"/>
  <c r="AT266" i="1"/>
  <c r="AR266" i="1"/>
  <c r="AP266" i="1"/>
  <c r="AQ266" i="1" s="1"/>
  <c r="AS266" i="1" s="1"/>
  <c r="AV265" i="1" a="1"/>
  <c r="AV265" i="1" s="1"/>
  <c r="AU265" i="1" a="1"/>
  <c r="AU265" i="1" s="1"/>
  <c r="AT265" i="1"/>
  <c r="AR265" i="1"/>
  <c r="AP265" i="1"/>
  <c r="AQ265" i="1" s="1"/>
  <c r="AS265" i="1" s="1"/>
  <c r="AW264" i="1"/>
  <c r="AV264" i="1" a="1"/>
  <c r="AV264" i="1" s="1"/>
  <c r="AU264" i="1" a="1"/>
  <c r="AU264" i="1" s="1"/>
  <c r="AT264" i="1"/>
  <c r="AR264" i="1"/>
  <c r="AS264" i="1" s="1"/>
  <c r="AP264" i="1"/>
  <c r="AQ264" i="1" s="1"/>
  <c r="AV263" i="1" a="1"/>
  <c r="AV263" i="1" s="1"/>
  <c r="AU263" i="1" a="1"/>
  <c r="AU263" i="1" s="1"/>
  <c r="AT263" i="1"/>
  <c r="AW263" i="1" s="1"/>
  <c r="AR263" i="1"/>
  <c r="AS263" i="1" s="1"/>
  <c r="AP263" i="1"/>
  <c r="AQ263" i="1" s="1"/>
  <c r="AW262" i="1"/>
  <c r="AV262" i="1" a="1"/>
  <c r="AV262" i="1" s="1"/>
  <c r="AU262" i="1" a="1"/>
  <c r="AU262" i="1" s="1"/>
  <c r="AT262" i="1"/>
  <c r="AS262" i="1"/>
  <c r="AR262" i="1"/>
  <c r="AP262" i="1"/>
  <c r="AQ262" i="1" s="1"/>
  <c r="AV261" i="1" a="1"/>
  <c r="AV261" i="1" s="1"/>
  <c r="AU261" i="1" a="1"/>
  <c r="AU261" i="1" s="1"/>
  <c r="AT261" i="1"/>
  <c r="AW261" i="1" s="1"/>
  <c r="AR261" i="1"/>
  <c r="AP261" i="1"/>
  <c r="AQ261" i="1" s="1"/>
  <c r="AS261" i="1" s="1"/>
  <c r="AV260" i="1" a="1"/>
  <c r="AV260" i="1"/>
  <c r="AU260" i="1" a="1"/>
  <c r="AU260" i="1" s="1"/>
  <c r="AW260" i="1" s="1"/>
  <c r="AT260" i="1"/>
  <c r="AS260" i="1"/>
  <c r="AR260" i="1"/>
  <c r="AP260" i="1"/>
  <c r="AQ260" i="1" s="1"/>
  <c r="AV259" i="1" a="1"/>
  <c r="AV259" i="1" s="1"/>
  <c r="AU259" i="1" a="1"/>
  <c r="AU259" i="1" s="1"/>
  <c r="AT259" i="1"/>
  <c r="AR259" i="1"/>
  <c r="AS259" i="1" s="1"/>
  <c r="AP259" i="1"/>
  <c r="AQ259" i="1" s="1"/>
  <c r="AV258" i="1" a="1"/>
  <c r="AV258" i="1" s="1"/>
  <c r="AU258" i="1" a="1"/>
  <c r="AU258" i="1" s="1"/>
  <c r="AW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W257" i="1" s="1"/>
  <c r="AR257" i="1"/>
  <c r="AP257" i="1"/>
  <c r="AQ257" i="1" s="1"/>
  <c r="AS257" i="1" s="1"/>
  <c r="AW256" i="1"/>
  <c r="AV256" i="1" a="1"/>
  <c r="AV256" i="1" s="1"/>
  <c r="AU256" i="1" a="1"/>
  <c r="AU256" i="1" s="1"/>
  <c r="AT256" i="1"/>
  <c r="AR256" i="1"/>
  <c r="AS256" i="1" s="1"/>
  <c r="AP256" i="1"/>
  <c r="AQ256" i="1" s="1"/>
  <c r="AV255" i="1" a="1"/>
  <c r="AV255" i="1" s="1"/>
  <c r="AU255" i="1" a="1"/>
  <c r="AU255" i="1" s="1"/>
  <c r="AT255" i="1"/>
  <c r="AW255" i="1" s="1"/>
  <c r="AR255" i="1"/>
  <c r="AS255" i="1" s="1"/>
  <c r="AP255" i="1"/>
  <c r="AQ255" i="1" s="1"/>
  <c r="AW254" i="1"/>
  <c r="AV254" i="1" a="1"/>
  <c r="AV254" i="1" s="1"/>
  <c r="AU254" i="1" a="1"/>
  <c r="AU254" i="1" s="1"/>
  <c r="AT254" i="1"/>
  <c r="AR254" i="1"/>
  <c r="AS254" i="1" s="1"/>
  <c r="AP254" i="1"/>
  <c r="AQ254" i="1" s="1"/>
  <c r="AV253" i="1" a="1"/>
  <c r="AV253" i="1" s="1"/>
  <c r="AU253" i="1" a="1"/>
  <c r="AU253" i="1" s="1"/>
  <c r="AT253" i="1"/>
  <c r="AW253" i="1" s="1"/>
  <c r="AR253" i="1"/>
  <c r="AP253" i="1"/>
  <c r="AQ253" i="1" s="1"/>
  <c r="AS253" i="1" s="1"/>
  <c r="AV252" i="1" a="1"/>
  <c r="AV252" i="1"/>
  <c r="AU252" i="1" a="1"/>
  <c r="AU252" i="1" s="1"/>
  <c r="AW252" i="1" s="1"/>
  <c r="AT252" i="1"/>
  <c r="AR252" i="1"/>
  <c r="AS252" i="1" s="1"/>
  <c r="AP252" i="1"/>
  <c r="AQ252" i="1" s="1"/>
  <c r="AV251" i="1" a="1"/>
  <c r="AV251" i="1" s="1"/>
  <c r="AU251" i="1" a="1"/>
  <c r="AU251" i="1" s="1"/>
  <c r="AT251" i="1"/>
  <c r="AR251" i="1"/>
  <c r="AS251" i="1" s="1"/>
  <c r="AP251" i="1"/>
  <c r="AQ251" i="1" s="1"/>
  <c r="AV250" i="1" a="1"/>
  <c r="AV250" i="1" s="1"/>
  <c r="AU250" i="1" a="1"/>
  <c r="AU250" i="1" s="1"/>
  <c r="AW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W249" i="1" s="1"/>
  <c r="AR249" i="1"/>
  <c r="AP249" i="1"/>
  <c r="AQ249" i="1" s="1"/>
  <c r="AS249" i="1" s="1"/>
  <c r="AW248" i="1"/>
  <c r="AV248" i="1" a="1"/>
  <c r="AV248" i="1" s="1"/>
  <c r="AU248" i="1" a="1"/>
  <c r="AU248" i="1" s="1"/>
  <c r="AT248" i="1"/>
  <c r="AR248" i="1"/>
  <c r="AS248" i="1" s="1"/>
  <c r="AP248" i="1"/>
  <c r="AQ248" i="1" s="1"/>
  <c r="AV247" i="1" a="1"/>
  <c r="AV247" i="1" s="1"/>
  <c r="AU247" i="1" a="1"/>
  <c r="AU247" i="1" s="1"/>
  <c r="AT247" i="1"/>
  <c r="AW247" i="1" s="1"/>
  <c r="AR247" i="1"/>
  <c r="AS247" i="1" s="1"/>
  <c r="AP247" i="1"/>
  <c r="AQ247" i="1" s="1"/>
  <c r="AW246" i="1"/>
  <c r="AV246" i="1" a="1"/>
  <c r="AV246" i="1" s="1"/>
  <c r="AU246" i="1" a="1"/>
  <c r="AU246" i="1" s="1"/>
  <c r="AT246" i="1"/>
  <c r="AR246" i="1"/>
  <c r="AS246" i="1" s="1"/>
  <c r="AP246" i="1"/>
  <c r="AQ246" i="1" s="1"/>
  <c r="AV245" i="1" a="1"/>
  <c r="AV245" i="1" s="1"/>
  <c r="AU245" i="1" a="1"/>
  <c r="AU245" i="1" s="1"/>
  <c r="AT245" i="1"/>
  <c r="AW245" i="1" s="1"/>
  <c r="AR245" i="1"/>
  <c r="AP245" i="1"/>
  <c r="AQ245" i="1" s="1"/>
  <c r="AS245" i="1" s="1"/>
  <c r="AV244" i="1" a="1"/>
  <c r="AV244" i="1"/>
  <c r="AU244" i="1" a="1"/>
  <c r="AU244" i="1" s="1"/>
  <c r="AW244" i="1" s="1"/>
  <c r="AT244" i="1"/>
  <c r="AS244" i="1"/>
  <c r="AR244" i="1"/>
  <c r="AP244" i="1"/>
  <c r="AQ244" i="1" s="1"/>
  <c r="AV243" i="1" a="1"/>
  <c r="AV243" i="1" s="1"/>
  <c r="AU243" i="1" a="1"/>
  <c r="AU243" i="1" s="1"/>
  <c r="AT243" i="1"/>
  <c r="AW243" i="1" s="1"/>
  <c r="AR243" i="1"/>
  <c r="AS243" i="1" s="1"/>
  <c r="AP243" i="1"/>
  <c r="AQ243" i="1" s="1"/>
  <c r="AV242" i="1" a="1"/>
  <c r="AV242" i="1" s="1"/>
  <c r="AU242" i="1" a="1"/>
  <c r="AU242" i="1" s="1"/>
  <c r="AW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W240" i="1" s="1"/>
  <c r="AT240" i="1"/>
  <c r="AR240" i="1"/>
  <c r="AS240" i="1" s="1"/>
  <c r="AP240" i="1"/>
  <c r="AQ240" i="1" s="1"/>
  <c r="AV239" i="1" a="1"/>
  <c r="AV239" i="1" s="1"/>
  <c r="AU239" i="1" a="1"/>
  <c r="AU239" i="1" s="1"/>
  <c r="AT239" i="1"/>
  <c r="AW239" i="1" s="1"/>
  <c r="AS239" i="1"/>
  <c r="AR239" i="1"/>
  <c r="AP239" i="1"/>
  <c r="AQ239" i="1" s="1"/>
  <c r="AW238" i="1"/>
  <c r="AV238" i="1" a="1"/>
  <c r="AV238" i="1" s="1"/>
  <c r="AU238" i="1" a="1"/>
  <c r="AU238" i="1" s="1"/>
  <c r="AT238" i="1"/>
  <c r="AR238" i="1"/>
  <c r="AS238" i="1" s="1"/>
  <c r="AP238" i="1"/>
  <c r="AQ238" i="1" s="1"/>
  <c r="AV237" i="1" a="1"/>
  <c r="AV237" i="1" s="1"/>
  <c r="AU237" i="1" a="1"/>
  <c r="AU237" i="1" s="1"/>
  <c r="AT237" i="1"/>
  <c r="AW237" i="1" s="1"/>
  <c r="AR237" i="1"/>
  <c r="AP237" i="1"/>
  <c r="AQ237" i="1" s="1"/>
  <c r="AS237" i="1" s="1"/>
  <c r="AV236" i="1" a="1"/>
  <c r="AV236" i="1"/>
  <c r="AU236" i="1" a="1"/>
  <c r="AU236" i="1" s="1"/>
  <c r="AW236" i="1" s="1"/>
  <c r="AT236" i="1"/>
  <c r="AR236" i="1"/>
  <c r="AS236" i="1" s="1"/>
  <c r="AP236" i="1"/>
  <c r="AQ236" i="1" s="1"/>
  <c r="AV235" i="1" a="1"/>
  <c r="AV235" i="1" s="1"/>
  <c r="AU235" i="1" a="1"/>
  <c r="AU235" i="1" s="1"/>
  <c r="AT235" i="1"/>
  <c r="AW235" i="1" s="1"/>
  <c r="AR235" i="1"/>
  <c r="AS235" i="1" s="1"/>
  <c r="AP235" i="1"/>
  <c r="AQ235" i="1" s="1"/>
  <c r="AV234" i="1" a="1"/>
  <c r="AV234" i="1" s="1"/>
  <c r="AU234" i="1" a="1"/>
  <c r="AU234" i="1" s="1"/>
  <c r="AW234" i="1" s="1"/>
  <c r="AT234" i="1"/>
  <c r="AR234" i="1"/>
  <c r="AP234" i="1"/>
  <c r="AQ234" i="1" s="1"/>
  <c r="AS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 s="1"/>
  <c r="AW232" i="1" s="1"/>
  <c r="AT232" i="1"/>
  <c r="AR232" i="1"/>
  <c r="AS232" i="1" s="1"/>
  <c r="AP232" i="1"/>
  <c r="AQ232" i="1" s="1"/>
  <c r="AV231" i="1" a="1"/>
  <c r="AV231" i="1" s="1"/>
  <c r="AU231" i="1" a="1"/>
  <c r="AU231" i="1" s="1"/>
  <c r="AT231" i="1"/>
  <c r="AW231" i="1" s="1"/>
  <c r="AS231" i="1"/>
  <c r="AR231" i="1"/>
  <c r="AP231" i="1"/>
  <c r="AQ231" i="1" s="1"/>
  <c r="AW230" i="1"/>
  <c r="AV230" i="1" a="1"/>
  <c r="AV230" i="1" s="1"/>
  <c r="AU230" i="1" a="1"/>
  <c r="AU230" i="1" s="1"/>
  <c r="AT230" i="1"/>
  <c r="AR230" i="1"/>
  <c r="AS230" i="1" s="1"/>
  <c r="AP230" i="1"/>
  <c r="AQ230" i="1" s="1"/>
  <c r="AV229" i="1" a="1"/>
  <c r="AV229" i="1" s="1"/>
  <c r="AU229" i="1" a="1"/>
  <c r="AU229" i="1" s="1"/>
  <c r="AT229" i="1"/>
  <c r="AW229" i="1" s="1"/>
  <c r="AR229" i="1"/>
  <c r="AP229" i="1"/>
  <c r="AQ229" i="1" s="1"/>
  <c r="AS229" i="1" s="1"/>
  <c r="AV228" i="1" a="1"/>
  <c r="AV228" i="1"/>
  <c r="AU228" i="1" a="1"/>
  <c r="AU228" i="1" s="1"/>
  <c r="AW228" i="1" s="1"/>
  <c r="AT228" i="1"/>
  <c r="AS228" i="1"/>
  <c r="AR228" i="1"/>
  <c r="AP228" i="1"/>
  <c r="AQ228" i="1" s="1"/>
  <c r="AV227" i="1" a="1"/>
  <c r="AV227" i="1" s="1"/>
  <c r="AU227" i="1" a="1"/>
  <c r="AU227" i="1" s="1"/>
  <c r="AT227" i="1"/>
  <c r="AW227" i="1" s="1"/>
  <c r="AR227" i="1"/>
  <c r="AS227" i="1" s="1"/>
  <c r="AP227" i="1"/>
  <c r="AQ227" i="1" s="1"/>
  <c r="AV226" i="1" a="1"/>
  <c r="AV226" i="1" s="1"/>
  <c r="AU226" i="1" a="1"/>
  <c r="AU226" i="1" s="1"/>
  <c r="AW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W225" i="1" s="1"/>
  <c r="AR225" i="1"/>
  <c r="AP225" i="1"/>
  <c r="AQ225" i="1" s="1"/>
  <c r="AS225" i="1" s="1"/>
  <c r="AV224" i="1" a="1"/>
  <c r="AV224" i="1" s="1"/>
  <c r="AU224" i="1" a="1"/>
  <c r="AU224" i="1" s="1"/>
  <c r="AW224" i="1" s="1"/>
  <c r="AT224" i="1"/>
  <c r="AR224" i="1"/>
  <c r="AS224" i="1" s="1"/>
  <c r="AP224" i="1"/>
  <c r="AQ224" i="1" s="1"/>
  <c r="AV223" i="1" a="1"/>
  <c r="AV223" i="1" s="1"/>
  <c r="AU223" i="1" a="1"/>
  <c r="AU223" i="1" s="1"/>
  <c r="AT223" i="1"/>
  <c r="AW223" i="1" s="1"/>
  <c r="AS223" i="1"/>
  <c r="AR223" i="1"/>
  <c r="AP223" i="1"/>
  <c r="AQ223" i="1" s="1"/>
  <c r="AW222" i="1"/>
  <c r="AV222" i="1" a="1"/>
  <c r="AV222" i="1" s="1"/>
  <c r="AU222" i="1" a="1"/>
  <c r="AU222" i="1" s="1"/>
  <c r="AT222" i="1"/>
  <c r="AR222" i="1"/>
  <c r="AS222" i="1" s="1"/>
  <c r="AP222" i="1"/>
  <c r="AQ222" i="1" s="1"/>
  <c r="AV221" i="1" a="1"/>
  <c r="AV221" i="1" s="1"/>
  <c r="AU221" i="1" a="1"/>
  <c r="AU221" i="1" s="1"/>
  <c r="AT221" i="1"/>
  <c r="AW221" i="1" s="1"/>
  <c r="AR221" i="1"/>
  <c r="AP221" i="1"/>
  <c r="AQ221" i="1" s="1"/>
  <c r="AV220" i="1" a="1"/>
  <c r="AV220" i="1"/>
  <c r="AU220" i="1" a="1"/>
  <c r="AU220" i="1" s="1"/>
  <c r="AW220" i="1" s="1"/>
  <c r="AT220" i="1"/>
  <c r="AR220" i="1"/>
  <c r="AS220" i="1" s="1"/>
  <c r="AP220" i="1"/>
  <c r="AQ220" i="1" s="1"/>
  <c r="AV219" i="1" a="1"/>
  <c r="AV219" i="1" s="1"/>
  <c r="AU219" i="1" a="1"/>
  <c r="AU219" i="1" s="1"/>
  <c r="AT219" i="1"/>
  <c r="AW219" i="1" s="1"/>
  <c r="AR219" i="1"/>
  <c r="AS219" i="1" s="1"/>
  <c r="AP219" i="1"/>
  <c r="AQ219" i="1" s="1"/>
  <c r="AV218" i="1" a="1"/>
  <c r="AV218" i="1" s="1"/>
  <c r="AU218" i="1" a="1"/>
  <c r="AU218" i="1" s="1"/>
  <c r="AW218" i="1" s="1"/>
  <c r="AT218" i="1"/>
  <c r="AR218" i="1"/>
  <c r="AP218" i="1"/>
  <c r="AQ218" i="1" s="1"/>
  <c r="AS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W216" i="1" s="1"/>
  <c r="AT216" i="1"/>
  <c r="AR216" i="1"/>
  <c r="AS216" i="1" s="1"/>
  <c r="AP216" i="1"/>
  <c r="AQ216" i="1" s="1"/>
  <c r="AV215" i="1" a="1"/>
  <c r="AV215" i="1" s="1"/>
  <c r="AU215" i="1" a="1"/>
  <c r="AU215" i="1" s="1"/>
  <c r="AT215" i="1"/>
  <c r="AW215" i="1" s="1"/>
  <c r="AS215" i="1"/>
  <c r="AR215" i="1"/>
  <c r="AP215" i="1"/>
  <c r="AQ215" i="1" s="1"/>
  <c r="AV214" i="1" a="1"/>
  <c r="AV214" i="1" s="1"/>
  <c r="AU214" i="1" a="1"/>
  <c r="AU214" i="1" s="1"/>
  <c r="AW214" i="1" s="1"/>
  <c r="AT214" i="1"/>
  <c r="AR214" i="1"/>
  <c r="AS214" i="1" s="1"/>
  <c r="AP214" i="1"/>
  <c r="AQ214" i="1" s="1"/>
  <c r="AV213" i="1" a="1"/>
  <c r="AV213" i="1" s="1"/>
  <c r="AU213" i="1" a="1"/>
  <c r="AU213" i="1" s="1"/>
  <c r="AT213" i="1"/>
  <c r="AW213" i="1" s="1"/>
  <c r="AR213" i="1"/>
  <c r="AP213" i="1"/>
  <c r="AQ213" i="1" s="1"/>
  <c r="AV212" i="1" a="1"/>
  <c r="AV212" i="1"/>
  <c r="AU212" i="1" a="1"/>
  <c r="AU212" i="1" s="1"/>
  <c r="AW212" i="1" s="1"/>
  <c r="AT212" i="1"/>
  <c r="AS212" i="1"/>
  <c r="AR212" i="1"/>
  <c r="AP212" i="1"/>
  <c r="AQ212" i="1" s="1"/>
  <c r="AV211" i="1" a="1"/>
  <c r="AV211" i="1" s="1"/>
  <c r="AU211" i="1" a="1"/>
  <c r="AU211" i="1" s="1"/>
  <c r="AT211" i="1"/>
  <c r="AR211" i="1"/>
  <c r="AS211" i="1" s="1"/>
  <c r="AP211" i="1"/>
  <c r="AQ211" i="1" s="1"/>
  <c r="AV210" i="1" a="1"/>
  <c r="AV210" i="1" s="1"/>
  <c r="AU210" i="1" a="1"/>
  <c r="AU210" i="1" s="1"/>
  <c r="AW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W208" i="1" s="1"/>
  <c r="AT208" i="1"/>
  <c r="AR208" i="1"/>
  <c r="AS208" i="1" s="1"/>
  <c r="AP208" i="1"/>
  <c r="AQ208" i="1" s="1"/>
  <c r="AV207" i="1" a="1"/>
  <c r="AV207" i="1" s="1"/>
  <c r="AU207" i="1" a="1"/>
  <c r="AU207" i="1" s="1"/>
  <c r="AT207" i="1"/>
  <c r="AW207" i="1" s="1"/>
  <c r="AS207" i="1"/>
  <c r="AR207" i="1"/>
  <c r="AP207" i="1"/>
  <c r="AQ207" i="1" s="1"/>
  <c r="AW206" i="1"/>
  <c r="AV206" i="1" a="1"/>
  <c r="AV206" i="1" s="1"/>
  <c r="AU206" i="1" a="1"/>
  <c r="AU206" i="1" s="1"/>
  <c r="AT206" i="1"/>
  <c r="AS206" i="1"/>
  <c r="AR206" i="1"/>
  <c r="AP206" i="1"/>
  <c r="AQ206" i="1" s="1"/>
  <c r="AV205" i="1" a="1"/>
  <c r="AV205" i="1" s="1"/>
  <c r="AU205" i="1" a="1"/>
  <c r="AU205" i="1" s="1"/>
  <c r="AT205" i="1"/>
  <c r="AW205" i="1" s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S204" i="1" s="1"/>
  <c r="AP204" i="1"/>
  <c r="AQ204" i="1" s="1"/>
  <c r="AV203" i="1" a="1"/>
  <c r="AV203" i="1" s="1"/>
  <c r="AU203" i="1" a="1"/>
  <c r="AU203" i="1" s="1"/>
  <c r="AT203" i="1"/>
  <c r="AR203" i="1"/>
  <c r="AS203" i="1" s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W200" i="1"/>
  <c r="AV200" i="1" a="1"/>
  <c r="AV200" i="1" s="1"/>
  <c r="AU200" i="1" a="1"/>
  <c r="AU200" i="1" s="1"/>
  <c r="AT200" i="1"/>
  <c r="AR200" i="1"/>
  <c r="AS200" i="1" s="1"/>
  <c r="AP200" i="1"/>
  <c r="AQ200" i="1" s="1"/>
  <c r="AV199" i="1" a="1"/>
  <c r="AV199" i="1" s="1"/>
  <c r="AU199" i="1" a="1"/>
  <c r="AU199" i="1" s="1"/>
  <c r="AT199" i="1"/>
  <c r="AW199" i="1" s="1"/>
  <c r="AR199" i="1"/>
  <c r="AS199" i="1" s="1"/>
  <c r="AP199" i="1"/>
  <c r="AQ199" i="1" s="1"/>
  <c r="AV198" i="1" a="1"/>
  <c r="AV198" i="1" s="1"/>
  <c r="AU198" i="1" a="1"/>
  <c r="AU198" i="1" s="1"/>
  <c r="AW198" i="1" s="1"/>
  <c r="AT198" i="1"/>
  <c r="AS198" i="1"/>
  <c r="AR198" i="1"/>
  <c r="AP198" i="1"/>
  <c r="AQ198" i="1" s="1"/>
  <c r="AV197" i="1" a="1"/>
  <c r="AV197" i="1" s="1"/>
  <c r="AU197" i="1" a="1"/>
  <c r="AU197" i="1" s="1"/>
  <c r="AT197" i="1"/>
  <c r="AW197" i="1" s="1"/>
  <c r="AR197" i="1"/>
  <c r="AP197" i="1"/>
  <c r="AQ197" i="1" s="1"/>
  <c r="AS197" i="1" s="1"/>
  <c r="AV196" i="1" a="1"/>
  <c r="AV196" i="1"/>
  <c r="AU196" i="1" a="1"/>
  <c r="AU196" i="1" s="1"/>
  <c r="AW196" i="1" s="1"/>
  <c r="AT196" i="1"/>
  <c r="AS196" i="1"/>
  <c r="AR196" i="1"/>
  <c r="AP196" i="1"/>
  <c r="AQ196" i="1" s="1"/>
  <c r="AV195" i="1" a="1"/>
  <c r="AV195" i="1" s="1"/>
  <c r="AU195" i="1" a="1"/>
  <c r="AU195" i="1" s="1"/>
  <c r="AT195" i="1"/>
  <c r="AW195" i="1" s="1"/>
  <c r="AR195" i="1"/>
  <c r="AS195" i="1" s="1"/>
  <c r="AP195" i="1"/>
  <c r="AQ195" i="1" s="1"/>
  <c r="AV194" i="1" a="1"/>
  <c r="AV194" i="1" s="1"/>
  <c r="AU194" i="1" a="1"/>
  <c r="AU194" i="1" s="1"/>
  <c r="AW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W193" i="1" s="1"/>
  <c r="AR193" i="1"/>
  <c r="AP193" i="1"/>
  <c r="AQ193" i="1" s="1"/>
  <c r="AS193" i="1" s="1"/>
  <c r="AW192" i="1"/>
  <c r="AV192" i="1" a="1"/>
  <c r="AV192" i="1" s="1"/>
  <c r="AU192" i="1" a="1"/>
  <c r="AU192" i="1" s="1"/>
  <c r="AT192" i="1"/>
  <c r="AR192" i="1"/>
  <c r="AS192" i="1" s="1"/>
  <c r="AP192" i="1"/>
  <c r="AQ192" i="1" s="1"/>
  <c r="AV191" i="1" a="1"/>
  <c r="AV191" i="1" s="1"/>
  <c r="AU191" i="1" a="1"/>
  <c r="AU191" i="1" s="1"/>
  <c r="AT191" i="1"/>
  <c r="AW191" i="1" s="1"/>
  <c r="AR191" i="1"/>
  <c r="AS191" i="1" s="1"/>
  <c r="AP191" i="1"/>
  <c r="AQ191" i="1" s="1"/>
  <c r="AV190" i="1" a="1"/>
  <c r="AV190" i="1" s="1"/>
  <c r="AU190" i="1" a="1"/>
  <c r="AU190" i="1" s="1"/>
  <c r="AW190" i="1" s="1"/>
  <c r="AT190" i="1"/>
  <c r="AR190" i="1"/>
  <c r="AS190" i="1" s="1"/>
  <c r="AP190" i="1"/>
  <c r="AQ190" i="1" s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 s="1"/>
  <c r="AW188" i="1" s="1"/>
  <c r="AT188" i="1"/>
  <c r="AS188" i="1"/>
  <c r="AR188" i="1"/>
  <c r="AP188" i="1"/>
  <c r="AQ188" i="1" s="1"/>
  <c r="AV187" i="1" a="1"/>
  <c r="AV187" i="1" s="1"/>
  <c r="AU187" i="1" a="1"/>
  <c r="AU187" i="1" s="1"/>
  <c r="AT187" i="1"/>
  <c r="AR187" i="1"/>
  <c r="AS187" i="1" s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S184" i="1" s="1"/>
  <c r="AP184" i="1"/>
  <c r="AQ184" i="1" s="1"/>
  <c r="AV183" i="1" a="1"/>
  <c r="AV183" i="1" s="1"/>
  <c r="AU183" i="1" a="1"/>
  <c r="AU183" i="1" s="1"/>
  <c r="AT183" i="1"/>
  <c r="AW183" i="1" s="1"/>
  <c r="AS183" i="1"/>
  <c r="AR183" i="1"/>
  <c r="AP183" i="1"/>
  <c r="AQ183" i="1" s="1"/>
  <c r="AV182" i="1" a="1"/>
  <c r="AV182" i="1" s="1"/>
  <c r="AU182" i="1" a="1"/>
  <c r="AU182" i="1" s="1"/>
  <c r="AW182" i="1" s="1"/>
  <c r="AT182" i="1"/>
  <c r="AS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W180" i="1" s="1"/>
  <c r="AT180" i="1"/>
  <c r="AS180" i="1"/>
  <c r="AR180" i="1"/>
  <c r="AP180" i="1"/>
  <c r="AQ180" i="1" s="1"/>
  <c r="AV179" i="1" a="1"/>
  <c r="AV179" i="1" s="1"/>
  <c r="AU179" i="1" a="1"/>
  <c r="AU179" i="1" s="1"/>
  <c r="AT179" i="1"/>
  <c r="AW179" i="1" s="1"/>
  <c r="AR179" i="1"/>
  <c r="AS179" i="1" s="1"/>
  <c r="AP179" i="1"/>
  <c r="AQ179" i="1" s="1"/>
  <c r="AV178" i="1" a="1"/>
  <c r="AV178" i="1" s="1"/>
  <c r="AU178" i="1" a="1"/>
  <c r="AU178" i="1" s="1"/>
  <c r="AW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W176" i="1" s="1"/>
  <c r="AT176" i="1"/>
  <c r="AR176" i="1"/>
  <c r="AS176" i="1" s="1"/>
  <c r="AP176" i="1"/>
  <c r="AQ176" i="1" s="1"/>
  <c r="AV175" i="1" a="1"/>
  <c r="AV175" i="1" s="1"/>
  <c r="AU175" i="1" a="1"/>
  <c r="AU175" i="1" s="1"/>
  <c r="AT175" i="1"/>
  <c r="AW175" i="1" s="1"/>
  <c r="AR175" i="1"/>
  <c r="AS175" i="1" s="1"/>
  <c r="AP175" i="1"/>
  <c r="AQ175" i="1" s="1"/>
  <c r="AW174" i="1"/>
  <c r="AV174" i="1" a="1"/>
  <c r="AV174" i="1" s="1"/>
  <c r="AU174" i="1" a="1"/>
  <c r="AU174" i="1" s="1"/>
  <c r="AT174" i="1"/>
  <c r="AS174" i="1"/>
  <c r="AR174" i="1"/>
  <c r="AP174" i="1"/>
  <c r="AQ174" i="1" s="1"/>
  <c r="AV173" i="1" a="1"/>
  <c r="AV173" i="1" s="1"/>
  <c r="AU173" i="1" a="1"/>
  <c r="AU173" i="1" s="1"/>
  <c r="AT173" i="1"/>
  <c r="AW173" i="1" s="1"/>
  <c r="AR173" i="1"/>
  <c r="AP173" i="1"/>
  <c r="AQ173" i="1" s="1"/>
  <c r="AV172" i="1" a="1"/>
  <c r="AV172" i="1"/>
  <c r="AU172" i="1" a="1"/>
  <c r="AU172" i="1" s="1"/>
  <c r="AW172" i="1" s="1"/>
  <c r="AT172" i="1"/>
  <c r="AS172" i="1"/>
  <c r="AR172" i="1"/>
  <c r="AP172" i="1"/>
  <c r="AQ172" i="1" s="1"/>
  <c r="AV171" i="1" a="1"/>
  <c r="AV171" i="1" s="1"/>
  <c r="AU171" i="1" a="1"/>
  <c r="AU171" i="1" s="1"/>
  <c r="AT171" i="1"/>
  <c r="AR171" i="1"/>
  <c r="AS171" i="1" s="1"/>
  <c r="AP171" i="1"/>
  <c r="AQ171" i="1" s="1"/>
  <c r="AV170" i="1" a="1"/>
  <c r="AV170" i="1" s="1"/>
  <c r="AU170" i="1" a="1"/>
  <c r="AU170" i="1" s="1"/>
  <c r="AW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W168" i="1" s="1"/>
  <c r="AT168" i="1"/>
  <c r="AR168" i="1"/>
  <c r="AS168" i="1" s="1"/>
  <c r="AP168" i="1"/>
  <c r="AQ168" i="1" s="1"/>
  <c r="AV167" i="1" a="1"/>
  <c r="AV167" i="1" s="1"/>
  <c r="AU167" i="1" a="1"/>
  <c r="AU167" i="1" s="1"/>
  <c r="AT167" i="1"/>
  <c r="AR167" i="1"/>
  <c r="AS167" i="1" s="1"/>
  <c r="AP167" i="1"/>
  <c r="AQ167" i="1" s="1"/>
  <c r="AV166" i="1" a="1"/>
  <c r="AV166" i="1" s="1"/>
  <c r="AU166" i="1" a="1"/>
  <c r="AU166" i="1" s="1"/>
  <c r="AW166" i="1" s="1"/>
  <c r="AT166" i="1"/>
  <c r="AS166" i="1"/>
  <c r="AR166" i="1"/>
  <c r="AP166" i="1"/>
  <c r="AQ166" i="1" s="1"/>
  <c r="AV165" i="1" a="1"/>
  <c r="AV165" i="1" s="1"/>
  <c r="AU165" i="1" a="1"/>
  <c r="AU165" i="1" s="1"/>
  <c r="AT165" i="1"/>
  <c r="AW165" i="1" s="1"/>
  <c r="AR165" i="1"/>
  <c r="AP165" i="1"/>
  <c r="AQ165" i="1" s="1"/>
  <c r="AW164" i="1"/>
  <c r="AV164" i="1" a="1"/>
  <c r="AV164" i="1"/>
  <c r="AU164" i="1" a="1"/>
  <c r="AU164" i="1" s="1"/>
  <c r="AT164" i="1"/>
  <c r="AR164" i="1"/>
  <c r="AS164" i="1" s="1"/>
  <c r="AP164" i="1"/>
  <c r="AQ164" i="1" s="1"/>
  <c r="AV163" i="1" a="1"/>
  <c r="AV163" i="1" s="1"/>
  <c r="AU163" i="1" a="1"/>
  <c r="AU163" i="1" s="1"/>
  <c r="AT163" i="1"/>
  <c r="AW163" i="1" s="1"/>
  <c r="AR163" i="1"/>
  <c r="AS163" i="1" s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S160" i="1" s="1"/>
  <c r="AP160" i="1"/>
  <c r="AQ160" i="1" s="1"/>
  <c r="AV159" i="1" a="1"/>
  <c r="AV159" i="1" s="1"/>
  <c r="AU159" i="1" a="1"/>
  <c r="AU159" i="1" s="1"/>
  <c r="AT159" i="1"/>
  <c r="AW159" i="1" s="1"/>
  <c r="AS159" i="1"/>
  <c r="AR159" i="1"/>
  <c r="AP159" i="1"/>
  <c r="AQ159" i="1" s="1"/>
  <c r="AV158" i="1" a="1"/>
  <c r="AV158" i="1" s="1"/>
  <c r="AU158" i="1" a="1"/>
  <c r="AU158" i="1" s="1"/>
  <c r="AW158" i="1" s="1"/>
  <c r="AT158" i="1"/>
  <c r="AS158" i="1"/>
  <c r="AR158" i="1"/>
  <c r="AP158" i="1"/>
  <c r="AQ158" i="1" s="1"/>
  <c r="AV157" i="1" a="1"/>
  <c r="AV157" i="1" s="1"/>
  <c r="AU157" i="1" a="1"/>
  <c r="AU157" i="1" s="1"/>
  <c r="AT157" i="1"/>
  <c r="AW157" i="1" s="1"/>
  <c r="AR157" i="1"/>
  <c r="AP157" i="1"/>
  <c r="AQ157" i="1" s="1"/>
  <c r="AS157" i="1" s="1"/>
  <c r="AW156" i="1"/>
  <c r="AV156" i="1" a="1"/>
  <c r="AV156" i="1"/>
  <c r="AU156" i="1" a="1"/>
  <c r="AU156" i="1" s="1"/>
  <c r="AT156" i="1"/>
  <c r="AS156" i="1"/>
  <c r="AR156" i="1"/>
  <c r="AP156" i="1"/>
  <c r="AQ156" i="1" s="1"/>
  <c r="AV155" i="1" a="1"/>
  <c r="AV155" i="1" s="1"/>
  <c r="AU155" i="1" a="1"/>
  <c r="AU155" i="1" s="1"/>
  <c r="AT155" i="1"/>
  <c r="AR155" i="1"/>
  <c r="AS155" i="1" s="1"/>
  <c r="AP155" i="1"/>
  <c r="AQ155" i="1" s="1"/>
  <c r="AV154" i="1" a="1"/>
  <c r="AV154" i="1" s="1"/>
  <c r="AU154" i="1" a="1"/>
  <c r="AU154" i="1" s="1"/>
  <c r="AW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W152" i="1"/>
  <c r="AV152" i="1" a="1"/>
  <c r="AV152" i="1" s="1"/>
  <c r="AU152" i="1" a="1"/>
  <c r="AU152" i="1" s="1"/>
  <c r="AT152" i="1"/>
  <c r="AR152" i="1"/>
  <c r="AS152" i="1" s="1"/>
  <c r="AP152" i="1"/>
  <c r="AQ152" i="1" s="1"/>
  <c r="AV151" i="1" a="1"/>
  <c r="AV151" i="1" s="1"/>
  <c r="AU151" i="1" a="1"/>
  <c r="AU151" i="1" s="1"/>
  <c r="AT151" i="1"/>
  <c r="AW151" i="1" s="1"/>
  <c r="AR151" i="1"/>
  <c r="AS151" i="1" s="1"/>
  <c r="AP151" i="1"/>
  <c r="AQ151" i="1" s="1"/>
  <c r="AV150" i="1" a="1"/>
  <c r="AV150" i="1" s="1"/>
  <c r="AU150" i="1" a="1"/>
  <c r="AU150" i="1" s="1"/>
  <c r="AW150" i="1" s="1"/>
  <c r="AT150" i="1"/>
  <c r="AS150" i="1"/>
  <c r="AR150" i="1"/>
  <c r="AP150" i="1"/>
  <c r="AQ150" i="1" s="1"/>
  <c r="AV149" i="1" a="1"/>
  <c r="AV149" i="1" s="1"/>
  <c r="AU149" i="1" a="1"/>
  <c r="AU149" i="1" s="1"/>
  <c r="AT149" i="1"/>
  <c r="AW149" i="1" s="1"/>
  <c r="AR149" i="1"/>
  <c r="AP149" i="1"/>
  <c r="AQ149" i="1" s="1"/>
  <c r="AW148" i="1"/>
  <c r="AV148" i="1" a="1"/>
  <c r="AV148" i="1" s="1"/>
  <c r="AU148" i="1" a="1"/>
  <c r="AU148" i="1" s="1"/>
  <c r="AT148" i="1"/>
  <c r="AR148" i="1"/>
  <c r="AS148" i="1" s="1"/>
  <c r="AP148" i="1"/>
  <c r="AQ148" i="1" s="1"/>
  <c r="AV147" i="1" a="1"/>
  <c r="AV147" i="1" s="1"/>
  <c r="AU147" i="1" a="1"/>
  <c r="AU147" i="1" s="1"/>
  <c r="AT147" i="1"/>
  <c r="AW147" i="1" s="1"/>
  <c r="AR147" i="1"/>
  <c r="AS147" i="1" s="1"/>
  <c r="AP147" i="1"/>
  <c r="AQ147" i="1" s="1"/>
  <c r="AV146" i="1" a="1"/>
  <c r="AV146" i="1" s="1"/>
  <c r="AU146" i="1" a="1"/>
  <c r="AU146" i="1" s="1"/>
  <c r="AW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W144" i="1" s="1"/>
  <c r="AT144" i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S143" i="1" s="1"/>
  <c r="AP143" i="1"/>
  <c r="AQ143" i="1" s="1"/>
  <c r="AV142" i="1" a="1"/>
  <c r="AV142" i="1" s="1"/>
  <c r="AU142" i="1" a="1"/>
  <c r="AU142" i="1" s="1"/>
  <c r="AW142" i="1" s="1"/>
  <c r="AT142" i="1"/>
  <c r="AS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/>
  <c r="AU140" i="1" a="1"/>
  <c r="AU140" i="1" s="1"/>
  <c r="AW140" i="1" s="1"/>
  <c r="AT140" i="1"/>
  <c r="AR140" i="1"/>
  <c r="AS140" i="1" s="1"/>
  <c r="AP140" i="1"/>
  <c r="AQ140" i="1" s="1"/>
  <c r="AV139" i="1" a="1"/>
  <c r="AV139" i="1" s="1"/>
  <c r="AU139" i="1" a="1"/>
  <c r="AU139" i="1" s="1"/>
  <c r="AT139" i="1"/>
  <c r="AW139" i="1" s="1"/>
  <c r="AR139" i="1"/>
  <c r="AS139" i="1" s="1"/>
  <c r="AP139" i="1"/>
  <c r="AQ139" i="1" s="1"/>
  <c r="AV138" i="1" a="1"/>
  <c r="AV138" i="1" s="1"/>
  <c r="AU138" i="1" a="1"/>
  <c r="AU138" i="1" s="1"/>
  <c r="AW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 s="1"/>
  <c r="AW136" i="1" s="1"/>
  <c r="AT136" i="1"/>
  <c r="AR136" i="1"/>
  <c r="AS136" i="1" s="1"/>
  <c r="AP136" i="1"/>
  <c r="AQ136" i="1" s="1"/>
  <c r="AW135" i="1"/>
  <c r="AV135" i="1" a="1"/>
  <c r="AV135" i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W134" i="1" s="1"/>
  <c r="AR134" i="1"/>
  <c r="AS134" i="1" s="1"/>
  <c r="AP134" i="1"/>
  <c r="AQ134" i="1" s="1"/>
  <c r="AV133" i="1" a="1"/>
  <c r="AV133" i="1" s="1"/>
  <c r="AU133" i="1" a="1"/>
  <c r="AU133" i="1" s="1"/>
  <c r="AW133" i="1" s="1"/>
  <c r="AT133" i="1"/>
  <c r="AR133" i="1"/>
  <c r="AP133" i="1"/>
  <c r="AQ133" i="1" s="1"/>
  <c r="AS133" i="1" s="1"/>
  <c r="AV132" i="1" a="1"/>
  <c r="AV132" i="1"/>
  <c r="AU132" i="1" a="1"/>
  <c r="AU132" i="1" s="1"/>
  <c r="AT132" i="1"/>
  <c r="AW132" i="1" s="1"/>
  <c r="AR132" i="1"/>
  <c r="AQ132" i="1"/>
  <c r="AS132" i="1" s="1"/>
  <c r="AP132" i="1"/>
  <c r="AW131" i="1"/>
  <c r="AV131" i="1" a="1"/>
  <c r="AV131" i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W130" i="1" s="1"/>
  <c r="AR130" i="1"/>
  <c r="AP130" i="1"/>
  <c r="AQ130" i="1" s="1"/>
  <c r="AS130" i="1" s="1"/>
  <c r="AW129" i="1"/>
  <c r="AV129" i="1" a="1"/>
  <c r="AV129" i="1"/>
  <c r="AU129" i="1" a="1"/>
  <c r="AU129" i="1" s="1"/>
  <c r="AT129" i="1"/>
  <c r="AS129" i="1"/>
  <c r="AR129" i="1"/>
  <c r="AQ129" i="1"/>
  <c r="AP129" i="1"/>
  <c r="AW128" i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W127" i="1" s="1"/>
  <c r="AR127" i="1"/>
  <c r="AQ127" i="1"/>
  <c r="AS127" i="1" s="1"/>
  <c r="AP127" i="1"/>
  <c r="AW126" i="1"/>
  <c r="AV126" i="1" a="1"/>
  <c r="AV126" i="1"/>
  <c r="AU126" i="1" a="1"/>
  <c r="AU126" i="1" s="1"/>
  <c r="AT126" i="1"/>
  <c r="AR126" i="1"/>
  <c r="AQ126" i="1"/>
  <c r="AS126" i="1" s="1"/>
  <c r="AP126" i="1"/>
  <c r="AV125" i="1" a="1"/>
  <c r="AV125" i="1" s="1"/>
  <c r="AU125" i="1" a="1"/>
  <c r="AU125" i="1" s="1"/>
  <c r="AT125" i="1"/>
  <c r="AW125" i="1" s="1"/>
  <c r="AR125" i="1"/>
  <c r="AP125" i="1"/>
  <c r="AQ125" i="1" s="1"/>
  <c r="AS125" i="1" s="1"/>
  <c r="AW124" i="1"/>
  <c r="AV124" i="1" a="1"/>
  <c r="AV124" i="1"/>
  <c r="AU124" i="1" a="1"/>
  <c r="AU124" i="1" s="1"/>
  <c r="AT124" i="1"/>
  <c r="AR124" i="1"/>
  <c r="AQ124" i="1"/>
  <c r="AS124" i="1" s="1"/>
  <c r="AP124" i="1"/>
  <c r="AV123" i="1" a="1"/>
  <c r="AV123" i="1" s="1"/>
  <c r="AU123" i="1" a="1"/>
  <c r="AU123" i="1" s="1"/>
  <c r="AW123" i="1" s="1"/>
  <c r="AT123" i="1"/>
  <c r="AR123" i="1"/>
  <c r="AP123" i="1"/>
  <c r="AQ123" i="1" s="1"/>
  <c r="AS123" i="1" s="1"/>
  <c r="AV122" i="1" a="1"/>
  <c r="AV122" i="1"/>
  <c r="AU122" i="1" a="1"/>
  <c r="AU122" i="1" s="1"/>
  <c r="AT122" i="1"/>
  <c r="AW122" i="1" s="1"/>
  <c r="AR122" i="1"/>
  <c r="AQ122" i="1"/>
  <c r="AS122" i="1" s="1"/>
  <c r="AP122" i="1"/>
  <c r="AW121" i="1"/>
  <c r="AV121" i="1" a="1"/>
  <c r="AV121" i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/>
  <c r="AU119" i="1" a="1"/>
  <c r="AU119" i="1" s="1"/>
  <c r="AT119" i="1"/>
  <c r="AW119" i="1" s="1"/>
  <c r="AS119" i="1"/>
  <c r="AR119" i="1"/>
  <c r="AQ119" i="1"/>
  <c r="AP119" i="1"/>
  <c r="AW118" i="1"/>
  <c r="AV118" i="1" a="1"/>
  <c r="AV118" i="1" s="1"/>
  <c r="AU118" i="1" a="1"/>
  <c r="AU118" i="1" s="1"/>
  <c r="AT118" i="1"/>
  <c r="AR118" i="1"/>
  <c r="AQ118" i="1"/>
  <c r="AS118" i="1" s="1"/>
  <c r="AP118" i="1"/>
  <c r="AV117" i="1" a="1"/>
  <c r="AV117" i="1" s="1"/>
  <c r="AU117" i="1" a="1"/>
  <c r="AU117" i="1" s="1"/>
  <c r="AW117" i="1" s="1"/>
  <c r="AT117" i="1"/>
  <c r="AR117" i="1"/>
  <c r="AQ117" i="1"/>
  <c r="AS117" i="1" s="1"/>
  <c r="AP117" i="1"/>
  <c r="AW116" i="1"/>
  <c r="AV116" i="1" a="1"/>
  <c r="AV116" i="1" s="1"/>
  <c r="AU116" i="1" a="1"/>
  <c r="AU116" i="1" s="1"/>
  <c r="AT116" i="1"/>
  <c r="AS116" i="1"/>
  <c r="AR116" i="1"/>
  <c r="AQ116" i="1"/>
  <c r="AP116" i="1"/>
  <c r="AV115" i="1" a="1"/>
  <c r="AV115" i="1" s="1"/>
  <c r="AU115" i="1" a="1"/>
  <c r="AU115" i="1" s="1"/>
  <c r="AT115" i="1"/>
  <c r="AW115" i="1" s="1"/>
  <c r="AR115" i="1"/>
  <c r="AQ115" i="1"/>
  <c r="AS115" i="1" s="1"/>
  <c r="AP115" i="1"/>
  <c r="AV114" i="1" a="1"/>
  <c r="AV114" i="1" s="1"/>
  <c r="AU114" i="1" a="1"/>
  <c r="AU114" i="1" s="1"/>
  <c r="AT114" i="1"/>
  <c r="AW114" i="1" s="1"/>
  <c r="AR114" i="1"/>
  <c r="AQ114" i="1"/>
  <c r="AS114" i="1" s="1"/>
  <c r="AP114" i="1"/>
  <c r="AV113" i="1" a="1"/>
  <c r="AV113" i="1"/>
  <c r="AU113" i="1" a="1"/>
  <c r="AU113" i="1" s="1"/>
  <c r="AT113" i="1"/>
  <c r="AW113" i="1" s="1"/>
  <c r="AR113" i="1"/>
  <c r="AQ113" i="1"/>
  <c r="AS113" i="1" s="1"/>
  <c r="AP113" i="1"/>
  <c r="AV112" i="1" a="1"/>
  <c r="AV112" i="1" s="1"/>
  <c r="AU112" i="1" a="1"/>
  <c r="AU112" i="1" s="1"/>
  <c r="AW112" i="1" s="1"/>
  <c r="AT112" i="1"/>
  <c r="AS112" i="1"/>
  <c r="AR112" i="1"/>
  <c r="AQ112" i="1"/>
  <c r="AP112" i="1"/>
  <c r="AW111" i="1"/>
  <c r="AV111" i="1" a="1"/>
  <c r="AV111" i="1"/>
  <c r="AU111" i="1" a="1"/>
  <c r="AU111" i="1" s="1"/>
  <c r="AT111" i="1"/>
  <c r="AR111" i="1"/>
  <c r="AQ111" i="1"/>
  <c r="AS111" i="1" s="1"/>
  <c r="AP111" i="1"/>
  <c r="AV110" i="1" a="1"/>
  <c r="AV110" i="1" s="1"/>
  <c r="AU110" i="1" a="1"/>
  <c r="AU110" i="1" s="1"/>
  <c r="AT110" i="1"/>
  <c r="AW110" i="1" s="1"/>
  <c r="AR110" i="1"/>
  <c r="AQ110" i="1"/>
  <c r="AS110" i="1" s="1"/>
  <c r="AP110" i="1"/>
  <c r="AW109" i="1"/>
  <c r="AV109" i="1" a="1"/>
  <c r="AV109" i="1" s="1"/>
  <c r="AU109" i="1" a="1"/>
  <c r="AU109" i="1" s="1"/>
  <c r="AT109" i="1"/>
  <c r="AS109" i="1"/>
  <c r="AR109" i="1"/>
  <c r="AQ109" i="1"/>
  <c r="AP109" i="1"/>
  <c r="AV108" i="1" a="1"/>
  <c r="AV108" i="1" s="1"/>
  <c r="AU108" i="1" a="1"/>
  <c r="AU108" i="1" s="1"/>
  <c r="AW108" i="1" s="1"/>
  <c r="AT108" i="1"/>
  <c r="AS108" i="1"/>
  <c r="AR108" i="1"/>
  <c r="AQ108" i="1"/>
  <c r="AP108" i="1"/>
  <c r="AW107" i="1"/>
  <c r="AV107" i="1" a="1"/>
  <c r="AV107" i="1"/>
  <c r="AU107" i="1" a="1"/>
  <c r="AU107" i="1" s="1"/>
  <c r="AT107" i="1"/>
  <c r="AR107" i="1"/>
  <c r="AQ107" i="1"/>
  <c r="AS107" i="1" s="1"/>
  <c r="AP107" i="1"/>
  <c r="AV106" i="1" a="1"/>
  <c r="AV106" i="1" s="1"/>
  <c r="AU106" i="1" a="1"/>
  <c r="AU106" i="1" s="1"/>
  <c r="AT106" i="1"/>
  <c r="AS106" i="1"/>
  <c r="AR106" i="1"/>
  <c r="AQ106" i="1"/>
  <c r="AP106" i="1"/>
  <c r="AV105" i="1" a="1"/>
  <c r="AV105" i="1" s="1"/>
  <c r="AU105" i="1" a="1"/>
  <c r="AU105" i="1" s="1"/>
  <c r="AT105" i="1"/>
  <c r="AW105" i="1" s="1"/>
  <c r="AS105" i="1"/>
  <c r="AR105" i="1"/>
  <c r="AQ105" i="1"/>
  <c r="AP105" i="1"/>
  <c r="AV104" i="1" a="1"/>
  <c r="AV104" i="1" s="1"/>
  <c r="AU104" i="1" a="1"/>
  <c r="AU104" i="1" s="1"/>
  <c r="AW104" i="1" s="1"/>
  <c r="AT104" i="1"/>
  <c r="AR104" i="1"/>
  <c r="AQ104" i="1"/>
  <c r="AS104" i="1" s="1"/>
  <c r="AP104" i="1"/>
  <c r="AV103" i="1" a="1"/>
  <c r="AV103" i="1"/>
  <c r="AU103" i="1" a="1"/>
  <c r="AU103" i="1" s="1"/>
  <c r="AT103" i="1"/>
  <c r="AW103" i="1" s="1"/>
  <c r="AR103" i="1"/>
  <c r="AQ103" i="1"/>
  <c r="AS103" i="1" s="1"/>
  <c r="AP103" i="1"/>
  <c r="AW102" i="1"/>
  <c r="AV102" i="1" a="1"/>
  <c r="AV102" i="1" s="1"/>
  <c r="AU102" i="1" a="1"/>
  <c r="AU102" i="1" s="1"/>
  <c r="AT102" i="1"/>
  <c r="AS102" i="1"/>
  <c r="AR102" i="1"/>
  <c r="AQ102" i="1"/>
  <c r="AP102" i="1"/>
  <c r="AW101" i="1"/>
  <c r="AV101" i="1" a="1"/>
  <c r="AV101" i="1"/>
  <c r="AU101" i="1" a="1"/>
  <c r="AU101" i="1" s="1"/>
  <c r="AT101" i="1"/>
  <c r="AS101" i="1"/>
  <c r="AR101" i="1"/>
  <c r="AQ101" i="1"/>
  <c r="AP101" i="1"/>
  <c r="AW100" i="1"/>
  <c r="AV100" i="1" a="1"/>
  <c r="AV100" i="1" s="1"/>
  <c r="AU100" i="1" a="1"/>
  <c r="AU100" i="1" s="1"/>
  <c r="AT100" i="1"/>
  <c r="AS100" i="1"/>
  <c r="AR100" i="1"/>
  <c r="AQ100" i="1"/>
  <c r="AP100" i="1"/>
  <c r="AW99" i="1"/>
  <c r="AV99" i="1" a="1"/>
  <c r="AV99" i="1" s="1"/>
  <c r="AU99" i="1" a="1"/>
  <c r="AU99" i="1" s="1"/>
  <c r="AT99" i="1"/>
  <c r="AS99" i="1"/>
  <c r="AR99" i="1"/>
  <c r="AQ99" i="1"/>
  <c r="AP99" i="1"/>
  <c r="AV98" i="1" a="1"/>
  <c r="AV98" i="1" s="1"/>
  <c r="AU98" i="1" a="1"/>
  <c r="AU98" i="1" s="1"/>
  <c r="AT98" i="1"/>
  <c r="AW98" i="1" s="1"/>
  <c r="AR98" i="1"/>
  <c r="AQ98" i="1"/>
  <c r="AS98" i="1" s="1"/>
  <c r="AP98" i="1"/>
  <c r="AV97" i="1" a="1"/>
  <c r="AV97" i="1" s="1"/>
  <c r="AU97" i="1" a="1"/>
  <c r="AU97" i="1" s="1"/>
  <c r="AW97" i="1" s="1"/>
  <c r="AT97" i="1"/>
  <c r="AR97" i="1"/>
  <c r="AQ97" i="1"/>
  <c r="AS97" i="1" s="1"/>
  <c r="AP97" i="1"/>
  <c r="AV96" i="1" a="1"/>
  <c r="AV96" i="1" s="1"/>
  <c r="AU96" i="1" a="1"/>
  <c r="AU96" i="1" s="1"/>
  <c r="AW96" i="1" s="1"/>
  <c r="AT96" i="1"/>
  <c r="AR96" i="1"/>
  <c r="AQ96" i="1"/>
  <c r="AS96" i="1" s="1"/>
  <c r="AP96" i="1"/>
  <c r="AW95" i="1"/>
  <c r="AV95" i="1" a="1"/>
  <c r="AV95" i="1"/>
  <c r="AU95" i="1" a="1"/>
  <c r="AU95" i="1" s="1"/>
  <c r="AT95" i="1"/>
  <c r="AS95" i="1"/>
  <c r="AR95" i="1"/>
  <c r="AQ95" i="1"/>
  <c r="AP95" i="1"/>
  <c r="AW94" i="1"/>
  <c r="AV94" i="1" a="1"/>
  <c r="AV94" i="1" s="1"/>
  <c r="AU94" i="1" a="1"/>
  <c r="AU94" i="1" s="1"/>
  <c r="AT94" i="1"/>
  <c r="AR94" i="1"/>
  <c r="AS94" i="1" s="1"/>
  <c r="AQ94" i="1"/>
  <c r="AP94" i="1"/>
  <c r="AV93" i="1" a="1"/>
  <c r="AV93" i="1" s="1"/>
  <c r="AU93" i="1" a="1"/>
  <c r="AU93" i="1" s="1"/>
  <c r="AT93" i="1"/>
  <c r="AW93" i="1" s="1"/>
  <c r="AS93" i="1"/>
  <c r="AR93" i="1"/>
  <c r="AQ93" i="1"/>
  <c r="AP93" i="1"/>
  <c r="AW92" i="1"/>
  <c r="AV92" i="1" a="1"/>
  <c r="AV92" i="1" s="1"/>
  <c r="AU92" i="1" a="1"/>
  <c r="AU92" i="1" s="1"/>
  <c r="AT92" i="1"/>
  <c r="AR92" i="1"/>
  <c r="AS92" i="1" s="1"/>
  <c r="AQ92" i="1"/>
  <c r="AP92" i="1"/>
  <c r="AV91" i="1" a="1"/>
  <c r="AV91" i="1"/>
  <c r="AU91" i="1" a="1"/>
  <c r="AU91" i="1" s="1"/>
  <c r="AT91" i="1"/>
  <c r="AW91" i="1" s="1"/>
  <c r="AR91" i="1"/>
  <c r="AQ91" i="1"/>
  <c r="AS91" i="1" s="1"/>
  <c r="AP91" i="1"/>
  <c r="AV90" i="1" a="1"/>
  <c r="AV90" i="1" s="1"/>
  <c r="AU90" i="1" a="1"/>
  <c r="AU90" i="1" s="1"/>
  <c r="AT90" i="1"/>
  <c r="AW90" i="1" s="1"/>
  <c r="AR90" i="1"/>
  <c r="AQ90" i="1"/>
  <c r="AS90" i="1" s="1"/>
  <c r="AP90" i="1"/>
  <c r="AV89" i="1" a="1"/>
  <c r="AV89" i="1" s="1"/>
  <c r="AU89" i="1" a="1"/>
  <c r="AU89" i="1" s="1"/>
  <c r="AW89" i="1" s="1"/>
  <c r="AT89" i="1"/>
  <c r="AR89" i="1"/>
  <c r="AQ89" i="1"/>
  <c r="AS89" i="1" s="1"/>
  <c r="AP89" i="1"/>
  <c r="AV88" i="1" a="1"/>
  <c r="AV88" i="1" s="1"/>
  <c r="AU88" i="1" a="1"/>
  <c r="AU88" i="1" s="1"/>
  <c r="AW88" i="1" s="1"/>
  <c r="AT88" i="1"/>
  <c r="AS88" i="1"/>
  <c r="AR88" i="1"/>
  <c r="AQ88" i="1"/>
  <c r="AP88" i="1"/>
  <c r="AV87" i="1" a="1"/>
  <c r="AV87" i="1" s="1"/>
  <c r="AU87" i="1" a="1"/>
  <c r="AU87" i="1" s="1"/>
  <c r="AT87" i="1"/>
  <c r="AW87" i="1" s="1"/>
  <c r="AR87" i="1"/>
  <c r="AS87" i="1" s="1"/>
  <c r="AQ87" i="1"/>
  <c r="AP87" i="1"/>
  <c r="AV86" i="1" a="1"/>
  <c r="AV86" i="1" s="1"/>
  <c r="AU86" i="1" a="1"/>
  <c r="AU86" i="1" s="1"/>
  <c r="AT86" i="1"/>
  <c r="AW86" i="1" s="1"/>
  <c r="AR86" i="1"/>
  <c r="AS86" i="1" s="1"/>
  <c r="AQ86" i="1"/>
  <c r="AP86" i="1"/>
  <c r="AV85" i="1" a="1"/>
  <c r="AV85" i="1" s="1"/>
  <c r="AU85" i="1" a="1"/>
  <c r="AU85" i="1" s="1"/>
  <c r="AT85" i="1"/>
  <c r="AW85" i="1" s="1"/>
  <c r="AR85" i="1"/>
  <c r="AQ85" i="1"/>
  <c r="AS85" i="1" s="1"/>
  <c r="AP85" i="1"/>
  <c r="AW84" i="1"/>
  <c r="AV84" i="1" a="1"/>
  <c r="AV84" i="1" s="1"/>
  <c r="AU84" i="1" a="1"/>
  <c r="AU84" i="1" s="1"/>
  <c r="AT84" i="1"/>
  <c r="AR84" i="1"/>
  <c r="AQ84" i="1"/>
  <c r="AS84" i="1" s="1"/>
  <c r="AP84" i="1"/>
  <c r="AW83" i="1"/>
  <c r="AV83" i="1" a="1"/>
  <c r="AV83" i="1"/>
  <c r="AU83" i="1" a="1"/>
  <c r="AU83" i="1" s="1"/>
  <c r="AT83" i="1"/>
  <c r="AR83" i="1"/>
  <c r="AQ83" i="1"/>
  <c r="AS83" i="1" s="1"/>
  <c r="AP83" i="1"/>
  <c r="AV82" i="1" a="1"/>
  <c r="AV82" i="1" s="1"/>
  <c r="AU82" i="1" a="1"/>
  <c r="AU82" i="1" s="1"/>
  <c r="AT82" i="1"/>
  <c r="AS82" i="1"/>
  <c r="AR82" i="1"/>
  <c r="AQ82" i="1"/>
  <c r="AP82" i="1"/>
  <c r="AV81" i="1" a="1"/>
  <c r="AV81" i="1" s="1"/>
  <c r="AU81" i="1" a="1"/>
  <c r="AU81" i="1" s="1"/>
  <c r="AW81" i="1" s="1"/>
  <c r="AT81" i="1"/>
  <c r="AS81" i="1"/>
  <c r="AR81" i="1"/>
  <c r="AQ81" i="1"/>
  <c r="AP81" i="1"/>
  <c r="AV80" i="1" a="1"/>
  <c r="AV80" i="1" s="1"/>
  <c r="AU80" i="1" a="1"/>
  <c r="AU80" i="1" s="1"/>
  <c r="AT80" i="1"/>
  <c r="AW80" i="1" s="1"/>
  <c r="AR80" i="1"/>
  <c r="AQ80" i="1"/>
  <c r="AS80" i="1" s="1"/>
  <c r="AP80" i="1"/>
  <c r="AV79" i="1" a="1"/>
  <c r="AV79" i="1"/>
  <c r="AU79" i="1" a="1"/>
  <c r="AU79" i="1" s="1"/>
  <c r="AT79" i="1"/>
  <c r="AW79" i="1" s="1"/>
  <c r="AR79" i="1"/>
  <c r="AS79" i="1" s="1"/>
  <c r="AQ79" i="1"/>
  <c r="AP79" i="1"/>
  <c r="AV78" i="1" a="1"/>
  <c r="AV78" i="1" s="1"/>
  <c r="AU78" i="1" a="1"/>
  <c r="AU78" i="1" s="1"/>
  <c r="AW78" i="1" s="1"/>
  <c r="AT78" i="1"/>
  <c r="AR78" i="1"/>
  <c r="AQ78" i="1"/>
  <c r="AS78" i="1" s="1"/>
  <c r="AP78" i="1"/>
  <c r="AV77" i="1" a="1"/>
  <c r="AV77" i="1"/>
  <c r="AU77" i="1" a="1"/>
  <c r="AU77" i="1" s="1"/>
  <c r="AT77" i="1"/>
  <c r="AW77" i="1" s="1"/>
  <c r="AR77" i="1"/>
  <c r="AQ77" i="1"/>
  <c r="AS77" i="1" s="1"/>
  <c r="AP77" i="1"/>
  <c r="AW76" i="1"/>
  <c r="AV76" i="1" a="1"/>
  <c r="AV76" i="1" s="1"/>
  <c r="AU76" i="1" a="1"/>
  <c r="AU76" i="1" s="1"/>
  <c r="AT76" i="1"/>
  <c r="AS76" i="1"/>
  <c r="AR76" i="1"/>
  <c r="AQ76" i="1"/>
  <c r="AP76" i="1"/>
  <c r="AV75" i="1" a="1"/>
  <c r="AV75" i="1" s="1"/>
  <c r="AU75" i="1" a="1"/>
  <c r="AU75" i="1" s="1"/>
  <c r="AT75" i="1"/>
  <c r="AW75" i="1" s="1"/>
  <c r="AR75" i="1"/>
  <c r="AQ75" i="1"/>
  <c r="AS75" i="1" s="1"/>
  <c r="AP75" i="1"/>
  <c r="AV74" i="1" a="1"/>
  <c r="AV74" i="1" s="1"/>
  <c r="AU74" i="1" a="1"/>
  <c r="AU74" i="1" s="1"/>
  <c r="AT74" i="1"/>
  <c r="AW74" i="1" s="1"/>
  <c r="AR74" i="1"/>
  <c r="AQ74" i="1"/>
  <c r="AS74" i="1" s="1"/>
  <c r="AP74" i="1"/>
  <c r="AV73" i="1" a="1"/>
  <c r="AV73" i="1"/>
  <c r="AU73" i="1" a="1"/>
  <c r="AU73" i="1" s="1"/>
  <c r="AT73" i="1"/>
  <c r="AW73" i="1" s="1"/>
  <c r="AR73" i="1"/>
  <c r="AQ73" i="1"/>
  <c r="AS73" i="1" s="1"/>
  <c r="AP73" i="1"/>
  <c r="AV72" i="1" a="1"/>
  <c r="AV72" i="1" s="1"/>
  <c r="AU72" i="1" a="1"/>
  <c r="AU72" i="1" s="1"/>
  <c r="AW72" i="1" s="1"/>
  <c r="AT72" i="1"/>
  <c r="AS72" i="1"/>
  <c r="AR72" i="1"/>
  <c r="AQ72" i="1"/>
  <c r="AP72" i="1"/>
  <c r="AW71" i="1"/>
  <c r="AV71" i="1" a="1"/>
  <c r="AV71" i="1"/>
  <c r="AU71" i="1" a="1"/>
  <c r="AU71" i="1" s="1"/>
  <c r="AT71" i="1"/>
  <c r="AR71" i="1"/>
  <c r="AQ71" i="1"/>
  <c r="AS71" i="1" s="1"/>
  <c r="AP71" i="1"/>
  <c r="AV70" i="1" a="1"/>
  <c r="AV70" i="1" s="1"/>
  <c r="AU70" i="1" a="1"/>
  <c r="AU70" i="1" s="1"/>
  <c r="AW70" i="1" s="1"/>
  <c r="AT70" i="1"/>
  <c r="AR70" i="1"/>
  <c r="AS70" i="1" s="1"/>
  <c r="AQ70" i="1"/>
  <c r="AP70" i="1"/>
  <c r="AV69" i="1" a="1"/>
  <c r="AV69" i="1" s="1"/>
  <c r="AU69" i="1" a="1"/>
  <c r="AU69" i="1" s="1"/>
  <c r="AW69" i="1" s="1"/>
  <c r="AT69" i="1"/>
  <c r="AS69" i="1"/>
  <c r="AR69" i="1"/>
  <c r="AQ69" i="1"/>
  <c r="AP69" i="1"/>
  <c r="AV68" i="1" a="1"/>
  <c r="AV68" i="1" s="1"/>
  <c r="AU68" i="1" a="1"/>
  <c r="AU68" i="1" s="1"/>
  <c r="AT68" i="1"/>
  <c r="AW68" i="1" s="1"/>
  <c r="AR68" i="1"/>
  <c r="AS68" i="1" s="1"/>
  <c r="AQ68" i="1"/>
  <c r="AP68" i="1"/>
  <c r="AW67" i="1"/>
  <c r="AV67" i="1" a="1"/>
  <c r="AV67" i="1"/>
  <c r="AU67" i="1" a="1"/>
  <c r="AU67" i="1" s="1"/>
  <c r="AT67" i="1"/>
  <c r="AR67" i="1"/>
  <c r="AQ67" i="1"/>
  <c r="AP67" i="1"/>
  <c r="AV66" i="1" a="1"/>
  <c r="AV66" i="1" s="1"/>
  <c r="AU66" i="1" a="1"/>
  <c r="AU66" i="1" s="1"/>
  <c r="AW66" i="1" s="1"/>
  <c r="AT66" i="1"/>
  <c r="AR66" i="1"/>
  <c r="AQ66" i="1"/>
  <c r="AS66" i="1" s="1"/>
  <c r="AP66" i="1"/>
  <c r="AV65" i="1" a="1"/>
  <c r="AV65" i="1"/>
  <c r="AU65" i="1" a="1"/>
  <c r="AU65" i="1" s="1"/>
  <c r="AW65" i="1" s="1"/>
  <c r="AT65" i="1"/>
  <c r="AS65" i="1"/>
  <c r="AR65" i="1"/>
  <c r="AQ65" i="1"/>
  <c r="AP65" i="1"/>
  <c r="AW64" i="1"/>
  <c r="AV64" i="1" a="1"/>
  <c r="AV64" i="1" s="1"/>
  <c r="AU64" i="1" a="1"/>
  <c r="AU64" i="1" s="1"/>
  <c r="AT64" i="1"/>
  <c r="AR64" i="1"/>
  <c r="AQ64" i="1"/>
  <c r="AS64" i="1" s="1"/>
  <c r="AP64" i="1"/>
  <c r="AV63" i="1" a="1"/>
  <c r="AV63" i="1"/>
  <c r="AU63" i="1" a="1"/>
  <c r="AU63" i="1" s="1"/>
  <c r="AT63" i="1"/>
  <c r="AW63" i="1" s="1"/>
  <c r="AR63" i="1"/>
  <c r="AS63" i="1" s="1"/>
  <c r="AQ63" i="1"/>
  <c r="AP63" i="1"/>
  <c r="AV62" i="1" a="1"/>
  <c r="AV62" i="1" s="1"/>
  <c r="AU62" i="1" a="1"/>
  <c r="AU62" i="1" s="1"/>
  <c r="AT62" i="1"/>
  <c r="AW62" i="1" s="1"/>
  <c r="AR62" i="1"/>
  <c r="AQ62" i="1"/>
  <c r="AS62" i="1" s="1"/>
  <c r="AP62" i="1"/>
  <c r="AV61" i="1" a="1"/>
  <c r="AV61" i="1"/>
  <c r="AU61" i="1" a="1"/>
  <c r="AU61" i="1" s="1"/>
  <c r="AT61" i="1"/>
  <c r="AW61" i="1" s="1"/>
  <c r="AR61" i="1"/>
  <c r="AS61" i="1" s="1"/>
  <c r="AQ61" i="1"/>
  <c r="AP61" i="1"/>
  <c r="AV60" i="1" a="1"/>
  <c r="AV60" i="1" s="1"/>
  <c r="AU60" i="1" a="1"/>
  <c r="AU60" i="1" s="1"/>
  <c r="AW60" i="1" s="1"/>
  <c r="AT60" i="1"/>
  <c r="AR60" i="1"/>
  <c r="AQ60" i="1"/>
  <c r="AS60" i="1" s="1"/>
  <c r="AP60" i="1"/>
  <c r="AW59" i="1"/>
  <c r="AV59" i="1" a="1"/>
  <c r="AV59" i="1" s="1"/>
  <c r="AU59" i="1" a="1"/>
  <c r="AU59" i="1" s="1"/>
  <c r="AT59" i="1"/>
  <c r="AR59" i="1"/>
  <c r="AQ59" i="1"/>
  <c r="AS59" i="1" s="1"/>
  <c r="AP59" i="1"/>
  <c r="AV58" i="1" a="1"/>
  <c r="AV58" i="1" s="1"/>
  <c r="AU58" i="1" a="1"/>
  <c r="AU58" i="1" s="1"/>
  <c r="AT58" i="1"/>
  <c r="AW58" i="1" s="1"/>
  <c r="AR58" i="1"/>
  <c r="AQ58" i="1"/>
  <c r="AP58" i="1"/>
  <c r="AV57" i="1" a="1"/>
  <c r="AV57" i="1" s="1"/>
  <c r="AU57" i="1" a="1"/>
  <c r="AU57" i="1" s="1"/>
  <c r="AT57" i="1"/>
  <c r="AR57" i="1"/>
  <c r="AQ57" i="1"/>
  <c r="AS57" i="1" s="1"/>
  <c r="AP57" i="1"/>
  <c r="AV56" i="1" a="1"/>
  <c r="AV56" i="1" s="1"/>
  <c r="AU56" i="1" a="1"/>
  <c r="AU56" i="1" s="1"/>
  <c r="AT56" i="1"/>
  <c r="AW56" i="1" s="1"/>
  <c r="AR56" i="1"/>
  <c r="AQ56" i="1"/>
  <c r="AS56" i="1" s="1"/>
  <c r="AP56" i="1"/>
  <c r="AV55" i="1" a="1"/>
  <c r="AV55" i="1"/>
  <c r="AU55" i="1" a="1"/>
  <c r="AU55" i="1" s="1"/>
  <c r="AT55" i="1"/>
  <c r="AW55" i="1" s="1"/>
  <c r="AR55" i="1"/>
  <c r="AQ55" i="1"/>
  <c r="AP55" i="1"/>
  <c r="AV54" i="1" a="1"/>
  <c r="AV54" i="1" s="1"/>
  <c r="AU54" i="1" a="1"/>
  <c r="AU54" i="1" s="1"/>
  <c r="AW54" i="1" s="1"/>
  <c r="AT54" i="1"/>
  <c r="AR54" i="1"/>
  <c r="AQ54" i="1"/>
  <c r="AS54" i="1" s="1"/>
  <c r="AP54" i="1"/>
  <c r="AW53" i="1"/>
  <c r="AV53" i="1" a="1"/>
  <c r="AV53" i="1" s="1"/>
  <c r="AU53" i="1" a="1"/>
  <c r="AU53" i="1" s="1"/>
  <c r="AT53" i="1"/>
  <c r="AS53" i="1"/>
  <c r="AR53" i="1"/>
  <c r="AQ53" i="1"/>
  <c r="AP53" i="1"/>
  <c r="AW52" i="1"/>
  <c r="AV52" i="1" a="1"/>
  <c r="AV52" i="1" s="1"/>
  <c r="AU52" i="1" a="1"/>
  <c r="AU52" i="1" s="1"/>
  <c r="AT52" i="1"/>
  <c r="AR52" i="1"/>
  <c r="AQ52" i="1"/>
  <c r="AS52" i="1" s="1"/>
  <c r="AP52" i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W50" i="1" s="1"/>
  <c r="AR50" i="1"/>
  <c r="AQ50" i="1"/>
  <c r="AS50" i="1" s="1"/>
  <c r="AP50" i="1"/>
  <c r="AV49" i="1" a="1"/>
  <c r="AV49" i="1"/>
  <c r="AU49" i="1" a="1"/>
  <c r="AU49" i="1" s="1"/>
  <c r="AT49" i="1"/>
  <c r="AW49" i="1" s="1"/>
  <c r="AR49" i="1"/>
  <c r="AQ49" i="1"/>
  <c r="AS49" i="1" s="1"/>
  <c r="AP49" i="1"/>
  <c r="AV48" i="1" a="1"/>
  <c r="AV48" i="1" s="1"/>
  <c r="AU48" i="1" a="1"/>
  <c r="AU48" i="1" s="1"/>
  <c r="AW48" i="1" s="1"/>
  <c r="AT48" i="1"/>
  <c r="AR48" i="1"/>
  <c r="AQ48" i="1"/>
  <c r="AS48" i="1" s="1"/>
  <c r="AP48" i="1"/>
  <c r="AV47" i="1" a="1"/>
  <c r="AV47" i="1" s="1"/>
  <c r="AU47" i="1" a="1"/>
  <c r="AU47" i="1" s="1"/>
  <c r="AT47" i="1"/>
  <c r="AW47" i="1" s="1"/>
  <c r="AR47" i="1"/>
  <c r="AQ47" i="1"/>
  <c r="AS47" i="1" s="1"/>
  <c r="AP47" i="1"/>
  <c r="AV46" i="1" a="1"/>
  <c r="AV46" i="1" s="1"/>
  <c r="AU46" i="1" a="1"/>
  <c r="AU46" i="1" s="1"/>
  <c r="AT46" i="1"/>
  <c r="AW46" i="1" s="1"/>
  <c r="AR46" i="1"/>
  <c r="AS46" i="1" s="1"/>
  <c r="AQ46" i="1"/>
  <c r="AP46" i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Q44" i="1"/>
  <c r="AS44" i="1" s="1"/>
  <c r="AP44" i="1"/>
  <c r="AV43" i="1" a="1"/>
  <c r="AV43" i="1"/>
  <c r="AU43" i="1" a="1"/>
  <c r="AU43" i="1" s="1"/>
  <c r="AT43" i="1"/>
  <c r="AW43" i="1" s="1"/>
  <c r="AR43" i="1"/>
  <c r="AQ43" i="1"/>
  <c r="AS43" i="1" s="1"/>
  <c r="AP43" i="1"/>
  <c r="AV42" i="1" a="1"/>
  <c r="AV42" i="1" s="1"/>
  <c r="AU42" i="1" a="1"/>
  <c r="AU42" i="1" s="1"/>
  <c r="AT42" i="1"/>
  <c r="AW42" i="1" s="1"/>
  <c r="AR42" i="1"/>
  <c r="AQ42" i="1"/>
  <c r="AS42" i="1" s="1"/>
  <c r="AP42" i="1"/>
  <c r="AV41" i="1" a="1"/>
  <c r="AV41" i="1" s="1"/>
  <c r="AU41" i="1" a="1"/>
  <c r="AU41" i="1" s="1"/>
  <c r="AW41" i="1" s="1"/>
  <c r="AT41" i="1"/>
  <c r="AS41" i="1"/>
  <c r="AR41" i="1"/>
  <c r="AQ41" i="1"/>
  <c r="AP41" i="1"/>
  <c r="AV40" i="1" a="1"/>
  <c r="AV40" i="1" s="1"/>
  <c r="AU40" i="1" a="1"/>
  <c r="AU40" i="1" s="1"/>
  <c r="AT40" i="1"/>
  <c r="AW40" i="1" s="1"/>
  <c r="AR40" i="1"/>
  <c r="AQ40" i="1"/>
  <c r="AS40" i="1" s="1"/>
  <c r="AP40" i="1"/>
  <c r="AV39" i="1" a="1"/>
  <c r="AV39" i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/>
  <c r="AU37" i="1" a="1"/>
  <c r="AU37" i="1" s="1"/>
  <c r="AT37" i="1"/>
  <c r="AW37" i="1" s="1"/>
  <c r="AR37" i="1"/>
  <c r="AQ37" i="1"/>
  <c r="AS37" i="1" s="1"/>
  <c r="AP37" i="1"/>
  <c r="AV36" i="1" a="1"/>
  <c r="AV36" i="1" s="1"/>
  <c r="AU36" i="1" a="1"/>
  <c r="AU36" i="1" s="1"/>
  <c r="AW36" i="1" s="1"/>
  <c r="AT36" i="1"/>
  <c r="AR36" i="1"/>
  <c r="AP36" i="1"/>
  <c r="AQ36" i="1" s="1"/>
  <c r="AS36" i="1" s="1"/>
  <c r="AV35" i="1" a="1"/>
  <c r="AV35" i="1"/>
  <c r="AU35" i="1" a="1"/>
  <c r="AU35" i="1" s="1"/>
  <c r="AT35" i="1"/>
  <c r="AW35" i="1" s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S34" i="1" s="1"/>
  <c r="AV33" i="1" a="1"/>
  <c r="AV33" i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W32" i="1" s="1"/>
  <c r="AR32" i="1"/>
  <c r="AQ32" i="1"/>
  <c r="AS32" i="1" s="1"/>
  <c r="AP32" i="1"/>
  <c r="AW31" i="1"/>
  <c r="AV31" i="1" a="1"/>
  <c r="AV31" i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W30" i="1" s="1"/>
  <c r="AR30" i="1"/>
  <c r="AP30" i="1"/>
  <c r="AQ30" i="1" s="1"/>
  <c r="AS30" i="1" s="1"/>
  <c r="AV29" i="1" a="1"/>
  <c r="AV29" i="1" s="1"/>
  <c r="AU29" i="1" a="1"/>
  <c r="AU29" i="1" s="1"/>
  <c r="AW29" i="1" s="1"/>
  <c r="AT29" i="1"/>
  <c r="AS29" i="1"/>
  <c r="AR29" i="1"/>
  <c r="AP29" i="1"/>
  <c r="AQ29" i="1" s="1"/>
  <c r="AV28" i="1" a="1"/>
  <c r="AV28" i="1"/>
  <c r="AU28" i="1" a="1"/>
  <c r="AU28" i="1" s="1"/>
  <c r="AT28" i="1"/>
  <c r="AW28" i="1" s="1"/>
  <c r="AR28" i="1"/>
  <c r="AQ28" i="1"/>
  <c r="AS28" i="1" s="1"/>
  <c r="AP28" i="1"/>
  <c r="AW27" i="1"/>
  <c r="AV27" i="1" a="1"/>
  <c r="AV27" i="1" s="1"/>
  <c r="AU27" i="1" a="1"/>
  <c r="AU27" i="1" s="1"/>
  <c r="AT27" i="1"/>
  <c r="AR27" i="1"/>
  <c r="AQ27" i="1"/>
  <c r="AS27" i="1" s="1"/>
  <c r="AP27" i="1"/>
  <c r="AV26" i="1" a="1"/>
  <c r="AV26" i="1" s="1"/>
  <c r="AU26" i="1" a="1"/>
  <c r="AU26" i="1" s="1"/>
  <c r="AT26" i="1"/>
  <c r="AW26" i="1" s="1"/>
  <c r="AR26" i="1"/>
  <c r="AP26" i="1"/>
  <c r="AQ26" i="1" s="1"/>
  <c r="AS26" i="1" s="1"/>
  <c r="AV25" i="1" a="1"/>
  <c r="AV25" i="1"/>
  <c r="AU25" i="1" a="1"/>
  <c r="AU25" i="1" s="1"/>
  <c r="AT25" i="1"/>
  <c r="AW25" i="1" s="1"/>
  <c r="AR25" i="1"/>
  <c r="AQ25" i="1"/>
  <c r="AS25" i="1" s="1"/>
  <c r="AP25" i="1"/>
  <c r="AW24" i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/>
  <c r="AU23" i="1" a="1"/>
  <c r="AU23" i="1" s="1"/>
  <c r="AT23" i="1"/>
  <c r="AW23" i="1" s="1"/>
  <c r="AR23" i="1"/>
  <c r="AP23" i="1"/>
  <c r="AQ23" i="1" s="1"/>
  <c r="AS23" i="1" s="1"/>
  <c r="AW22" i="1"/>
  <c r="AV22" i="1" a="1"/>
  <c r="AV22" i="1"/>
  <c r="AU22" i="1" a="1"/>
  <c r="AU22" i="1" s="1"/>
  <c r="AT22" i="1"/>
  <c r="AR22" i="1"/>
  <c r="AP22" i="1"/>
  <c r="AQ22" i="1" s="1"/>
  <c r="AS22" i="1" s="1"/>
  <c r="AV21" i="1" a="1"/>
  <c r="AV21" i="1"/>
  <c r="AU21" i="1" a="1"/>
  <c r="AU21" i="1" s="1"/>
  <c r="AT21" i="1"/>
  <c r="AW21" i="1" s="1"/>
  <c r="AR21" i="1"/>
  <c r="AP21" i="1"/>
  <c r="AQ21" i="1" s="1"/>
  <c r="AS21" i="1" s="1"/>
  <c r="AV20" i="1" a="1"/>
  <c r="AV20" i="1"/>
  <c r="AU20" i="1" a="1"/>
  <c r="AU20" i="1" s="1"/>
  <c r="AT20" i="1"/>
  <c r="AW20" i="1" s="1"/>
  <c r="AR20" i="1"/>
  <c r="AQ20" i="1"/>
  <c r="AS20" i="1" s="1"/>
  <c r="AP20" i="1"/>
  <c r="AV19" i="1" a="1"/>
  <c r="AV19" i="1"/>
  <c r="AU19" i="1" a="1"/>
  <c r="AU19" i="1" s="1"/>
  <c r="AT19" i="1"/>
  <c r="AW19" i="1" s="1"/>
  <c r="AR19" i="1"/>
  <c r="AP19" i="1"/>
  <c r="AQ19" i="1" s="1"/>
  <c r="AS19" i="1" s="1"/>
  <c r="AW18" i="1"/>
  <c r="AV18" i="1" a="1"/>
  <c r="AV18" i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 s="1"/>
  <c r="AT17" i="1"/>
  <c r="AW17" i="1" s="1"/>
  <c r="AR17" i="1"/>
  <c r="AP17" i="1"/>
  <c r="AQ17" i="1" s="1"/>
  <c r="AS17" i="1" s="1"/>
  <c r="AV16" i="1" a="1"/>
  <c r="AV16" i="1"/>
  <c r="AU16" i="1" a="1"/>
  <c r="AU16" i="1" s="1"/>
  <c r="AT16" i="1"/>
  <c r="AW16" i="1" s="1"/>
  <c r="AR16" i="1"/>
  <c r="AP16" i="1"/>
  <c r="AQ16" i="1" s="1"/>
  <c r="AS16" i="1" s="1"/>
  <c r="AV15" i="1" a="1"/>
  <c r="AV15" i="1"/>
  <c r="AU15" i="1" a="1"/>
  <c r="AU15" i="1" s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W14" i="1" s="1"/>
  <c r="AS14" i="1"/>
  <c r="AR14" i="1"/>
  <c r="AQ14" i="1"/>
  <c r="AP14" i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W11" i="1" s="1"/>
  <c r="AT11" i="1"/>
  <c r="AR11" i="1"/>
  <c r="AP11" i="1"/>
  <c r="AQ11" i="1" s="1"/>
  <c r="AS11" i="1" s="1"/>
  <c r="AV10" i="1" a="1"/>
  <c r="AV10" i="1"/>
  <c r="AU10" i="1" a="1"/>
  <c r="AU10" i="1" s="1"/>
  <c r="AT10" i="1"/>
  <c r="AW10" i="1" s="1"/>
  <c r="AR10" i="1"/>
  <c r="AQ10" i="1"/>
  <c r="AS10" i="1" s="1"/>
  <c r="AP10" i="1"/>
  <c r="AV9" i="1" a="1"/>
  <c r="AV9" i="1"/>
  <c r="AU9" i="1" a="1"/>
  <c r="AU9" i="1" s="1"/>
  <c r="AW9" i="1" s="1"/>
  <c r="AT9" i="1"/>
  <c r="AR9" i="1"/>
  <c r="AP9" i="1"/>
  <c r="AQ9" i="1" s="1"/>
  <c r="AS9" i="1" s="1"/>
  <c r="AV8" i="1" a="1"/>
  <c r="AV8" i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W7" i="1" s="1"/>
  <c r="AT7" i="1"/>
  <c r="AR7" i="1"/>
  <c r="AQ7" i="1"/>
  <c r="AS7" i="1" s="1"/>
  <c r="AP7" i="1"/>
  <c r="AV6" i="1" a="1"/>
  <c r="AV6" i="1" s="1"/>
  <c r="AU6" i="1" a="1"/>
  <c r="AU6" i="1" s="1"/>
  <c r="AT6" i="1"/>
  <c r="AW6" i="1" s="1"/>
  <c r="AR6" i="1"/>
  <c r="AP6" i="1"/>
  <c r="AQ6" i="1" s="1"/>
  <c r="AS6" i="1" s="1"/>
  <c r="AW5" i="1"/>
  <c r="AV5" i="1" a="1"/>
  <c r="AV5" i="1"/>
  <c r="AU5" i="1" a="1"/>
  <c r="AU5" i="1" s="1"/>
  <c r="AT5" i="1"/>
  <c r="AR5" i="1"/>
  <c r="AQ5" i="1"/>
  <c r="AS5" i="1" s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AP2" i="1" s="1"/>
  <c r="I2" i="1"/>
  <c r="D2" i="1"/>
  <c r="AW106" i="1" l="1"/>
  <c r="AS55" i="1"/>
  <c r="AS58" i="1"/>
  <c r="AS67" i="1"/>
  <c r="AW82" i="1"/>
  <c r="AW57" i="1"/>
  <c r="AS120" i="1"/>
  <c r="AS153" i="1"/>
  <c r="AW187" i="1"/>
  <c r="AS201" i="1"/>
  <c r="AW233" i="1"/>
  <c r="AW265" i="1"/>
  <c r="AW120" i="1"/>
  <c r="AW153" i="1"/>
  <c r="AS177" i="1"/>
  <c r="AW201" i="1"/>
  <c r="AS205" i="1"/>
  <c r="AW143" i="1"/>
  <c r="AW177" i="1"/>
  <c r="AS181" i="1"/>
  <c r="AW241" i="1"/>
  <c r="AW167" i="1"/>
  <c r="AS178" i="1"/>
  <c r="AS141" i="1"/>
  <c r="AS161" i="1"/>
  <c r="AW171" i="1"/>
  <c r="AS185" i="1"/>
  <c r="AW209" i="1"/>
  <c r="AS213" i="1"/>
  <c r="AW161" i="1"/>
  <c r="AW185" i="1"/>
  <c r="AS189" i="1"/>
  <c r="AS217" i="1"/>
  <c r="AS145" i="1"/>
  <c r="AS165" i="1"/>
  <c r="AW203" i="1"/>
  <c r="AW217" i="1"/>
  <c r="AS221" i="1"/>
  <c r="AW155" i="1"/>
  <c r="AW145" i="1"/>
  <c r="AS149" i="1"/>
  <c r="AW169" i="1"/>
  <c r="AS173" i="1"/>
  <c r="AW211" i="1"/>
  <c r="AW287" i="1"/>
  <c r="AW285" i="1"/>
  <c r="AW251" i="1"/>
  <c r="AW259" i="1"/>
  <c r="AW267" i="1"/>
  <c r="AW275" i="1"/>
  <c r="AW283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<sst xmlns="http://schemas.openxmlformats.org/spreadsheetml/2006/main" count="3701" uniqueCount="1289">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</sst>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166" fontId="45" fillId="39" borderId="12" xfId="0" applyNumberFormat="1" applyFont="1" applyFill="1" applyBorder="1" applyAlignment="1">
      <alignment horizontal="right" vertical="center"/>
    </xf>
    <xf numFmtId="166" fontId="45" fillId="40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F1" zoomScale="80" zoomScaleNormal="80" workbookViewId="0">
      <selection activeCell="AA25" sqref="AA25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29" width="32.42578125" style="51" customWidth="1"/>
    <col min="23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OCTUBRE</v>
      </c>
      <c r="E2" s="80">
        <v>10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38.200000000000003</v>
      </c>
      <c r="L2" s="92">
        <f t="shared" si="0"/>
        <v>38.4</v>
      </c>
      <c r="M2" s="92">
        <f t="shared" si="0"/>
        <v>37.200000000000003</v>
      </c>
      <c r="N2" s="92">
        <f t="shared" si="0"/>
        <v>37.200000000000003</v>
      </c>
      <c r="O2" s="92">
        <f t="shared" si="0"/>
        <v>40.799999999999997</v>
      </c>
      <c r="P2" s="92">
        <f t="shared" si="0"/>
        <v>39.200000000000003</v>
      </c>
      <c r="Q2" s="92">
        <f t="shared" si="0"/>
        <v>38.4</v>
      </c>
      <c r="R2" s="92">
        <f t="shared" si="0"/>
        <v>37.799999999999997</v>
      </c>
      <c r="S2" s="92">
        <f t="shared" si="0"/>
        <v>37.6</v>
      </c>
      <c r="T2" s="92">
        <f t="shared" si="0"/>
        <v>37.200000000000003</v>
      </c>
      <c r="U2" s="92">
        <f t="shared" si="0"/>
        <v>38.4</v>
      </c>
      <c r="V2" s="92">
        <f t="shared" si="0"/>
        <v>36.799999999999997</v>
      </c>
      <c r="W2" s="92">
        <f t="shared" si="0"/>
        <v>35.6</v>
      </c>
      <c r="X2" s="92">
        <f t="shared" si="0"/>
        <v>37.4</v>
      </c>
      <c r="Y2" s="92">
        <f t="shared" si="0"/>
        <v>40.4</v>
      </c>
      <c r="Z2" s="92">
        <f t="shared" si="0"/>
        <v>38.200000000000003</v>
      </c>
      <c r="AA2" s="92">
        <f t="shared" si="0"/>
        <v>38.4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40.799999999999997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32.1</v>
      </c>
      <c r="L5" s="66">
        <v>32</v>
      </c>
      <c r="M5" s="66">
        <v>32.5</v>
      </c>
      <c r="N5" s="66">
        <v>32</v>
      </c>
      <c r="O5" s="66">
        <v>32.1</v>
      </c>
      <c r="P5" s="66">
        <v>32</v>
      </c>
      <c r="Q5" s="66">
        <v>32.1</v>
      </c>
      <c r="R5" s="66">
        <v>32</v>
      </c>
      <c r="S5" s="66">
        <v>32.1</v>
      </c>
      <c r="T5" s="66">
        <v>32.4</v>
      </c>
      <c r="U5" s="66">
        <v>31.7</v>
      </c>
      <c r="V5" s="66">
        <v>31.9</v>
      </c>
      <c r="W5" s="66">
        <v>32.4</v>
      </c>
      <c r="X5" s="66">
        <v>32.1</v>
      </c>
      <c r="Y5" s="66">
        <v>32.6</v>
      </c>
      <c r="Z5" s="66">
        <v>32.299999999999997</v>
      </c>
      <c r="AA5" s="66">
        <v>30</v>
      </c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17</v>
      </c>
      <c r="AQ5" s="68">
        <f t="shared" ref="AQ5:AQ68" si="2">IF(AP5&gt;14,AVERAGE(K5:AO5),"")</f>
        <v>32.017647058823528</v>
      </c>
      <c r="AR5" s="68">
        <f>IFERROR(VLOOKUP(A5,Climatologia_TMAX!A:U,9+$E$2,FALSE),"")</f>
        <v>30.443359430706479</v>
      </c>
      <c r="AS5" s="68">
        <f t="shared" ref="AS5:AS68" si="3">IF(OR(AQ5="",AR5=""),"",IFERROR(AQ5-AR5,""))</f>
        <v>1.5742876281170481</v>
      </c>
      <c r="AT5" s="74">
        <f t="shared" ref="AT5:AT68" si="4">IF(COUNT(K5:AO5)=0,"",MAX(K5:AO5))</f>
        <v>32.6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33908</v>
      </c>
      <c r="AW5" s="69">
        <f t="shared" ref="AW5:AW68" si="5">IF(OR(AT5="",AU5=""),"NA",IFERROR(AT5-AU5,"NA"))</f>
        <v>-1.1000000000000014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31.9</v>
      </c>
      <c r="M6" s="66">
        <v>31.6</v>
      </c>
      <c r="N6" s="66">
        <v>32.1</v>
      </c>
      <c r="O6" s="66">
        <v>31.8</v>
      </c>
      <c r="P6" s="66">
        <v>30.8</v>
      </c>
      <c r="Q6" s="66">
        <v>31.8</v>
      </c>
      <c r="R6" s="66">
        <v>32.6</v>
      </c>
      <c r="S6" s="66">
        <v>32.200000000000003</v>
      </c>
      <c r="T6" s="66">
        <v>30.9</v>
      </c>
      <c r="U6" s="66">
        <v>31.1</v>
      </c>
      <c r="V6" s="66">
        <v>31.7</v>
      </c>
      <c r="W6" s="66">
        <v>32.1</v>
      </c>
      <c r="X6" s="66">
        <v>32.4</v>
      </c>
      <c r="Y6" s="66">
        <v>32.1</v>
      </c>
      <c r="Z6" s="66">
        <v>32.700000000000003</v>
      </c>
      <c r="AA6" s="66">
        <v>30.9</v>
      </c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17</v>
      </c>
      <c r="AQ6" s="68">
        <f t="shared" si="2"/>
        <v>31.711764705882356</v>
      </c>
      <c r="AR6" s="68">
        <f>IFERROR(VLOOKUP(A6,Climatologia_TMAX!A:U,9+$E$2,FALSE),"")</f>
        <v>30.717848543332419</v>
      </c>
      <c r="AS6" s="68">
        <f t="shared" si="3"/>
        <v>0.99391616254993664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32.799999999999997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37905</v>
      </c>
      <c r="AW6" s="69">
        <f t="shared" si="5"/>
        <v>-9.9999999999994316E-2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34</v>
      </c>
      <c r="L7" s="66">
        <v>34.799999999999997</v>
      </c>
      <c r="M7" s="66">
        <v>32.799999999999997</v>
      </c>
      <c r="N7" s="66">
        <v>32.6</v>
      </c>
      <c r="O7" s="66">
        <v>34</v>
      </c>
      <c r="P7" s="66">
        <v>33.200000000000003</v>
      </c>
      <c r="Q7" s="66">
        <v>34.9</v>
      </c>
      <c r="R7" s="66">
        <v>33.799999999999997</v>
      </c>
      <c r="S7" s="66">
        <v>34.299999999999997</v>
      </c>
      <c r="T7" s="66">
        <v>34.6</v>
      </c>
      <c r="U7" s="66">
        <v>35.200000000000003</v>
      </c>
      <c r="V7" s="66">
        <v>34.799999999999997</v>
      </c>
      <c r="W7" s="66">
        <v>32.299999999999997</v>
      </c>
      <c r="X7" s="66">
        <v>32.6</v>
      </c>
      <c r="Y7" s="66">
        <v>35.200000000000003</v>
      </c>
      <c r="Z7" s="66">
        <v>34.6</v>
      </c>
      <c r="AA7" s="66">
        <v>34.700000000000003</v>
      </c>
      <c r="AB7" s="66"/>
      <c r="AC7" s="66"/>
      <c r="AD7" s="66"/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17</v>
      </c>
      <c r="AQ7" s="68">
        <f t="shared" si="2"/>
        <v>34.023529411764713</v>
      </c>
      <c r="AR7" s="68">
        <f>IFERROR(VLOOKUP(A7,Climatologia_TMAX!A:U,9+$E$2,FALSE),"")</f>
        <v>32.441611386675547</v>
      </c>
      <c r="AS7" s="68">
        <f t="shared" si="3"/>
        <v>1.5819180250891662</v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36.200000000000003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7" s="69">
        <f t="shared" si="5"/>
        <v>-1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32.200000000000003</v>
      </c>
      <c r="L8" s="66">
        <v>33.299999999999997</v>
      </c>
      <c r="M8" s="66">
        <v>30</v>
      </c>
      <c r="N8" s="66">
        <v>34.4</v>
      </c>
      <c r="O8" s="66">
        <v>33.4</v>
      </c>
      <c r="P8" s="66">
        <v>30.7</v>
      </c>
      <c r="Q8" s="66">
        <v>31.3</v>
      </c>
      <c r="R8" s="66">
        <v>32.4</v>
      </c>
      <c r="S8" s="66">
        <v>33.200000000000003</v>
      </c>
      <c r="T8" s="66">
        <v>35.1</v>
      </c>
      <c r="U8" s="66">
        <v>34.1</v>
      </c>
      <c r="V8" s="66">
        <v>33.9</v>
      </c>
      <c r="W8" s="66">
        <v>30.8</v>
      </c>
      <c r="X8" s="66">
        <v>32.1</v>
      </c>
      <c r="Y8" s="66">
        <v>33.200000000000003</v>
      </c>
      <c r="Z8" s="66">
        <v>34.700000000000003</v>
      </c>
      <c r="AA8" s="66">
        <v>33.1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17</v>
      </c>
      <c r="AQ8" s="68">
        <f t="shared" si="2"/>
        <v>32.817647058823532</v>
      </c>
      <c r="AR8" s="68">
        <f>IFERROR(VLOOKUP(A8,Climatologia_TMAX!A:U,9+$E$2,FALSE),"")</f>
        <v>31.669577308120129</v>
      </c>
      <c r="AS8" s="68">
        <f t="shared" si="3"/>
        <v>1.148069750703403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36.299999999999997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8" s="69">
        <f t="shared" si="5"/>
        <v>-1.1999999999999957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34.299999999999997</v>
      </c>
      <c r="L9" s="66">
        <v>35.6</v>
      </c>
      <c r="M9" s="66">
        <v>32.6</v>
      </c>
      <c r="N9" s="66">
        <v>33.299999999999997</v>
      </c>
      <c r="O9" s="66">
        <v>33.299999999999997</v>
      </c>
      <c r="P9" s="66">
        <v>32.799999999999997</v>
      </c>
      <c r="Q9" s="66">
        <v>33.1</v>
      </c>
      <c r="R9" s="66">
        <v>34.4</v>
      </c>
      <c r="S9" s="66">
        <v>37.1</v>
      </c>
      <c r="T9" s="66">
        <v>35</v>
      </c>
      <c r="U9" s="66">
        <v>36.299999999999997</v>
      </c>
      <c r="V9" s="66">
        <v>34.4</v>
      </c>
      <c r="W9" s="66">
        <v>30.7</v>
      </c>
      <c r="X9" s="66">
        <v>34.700000000000003</v>
      </c>
      <c r="Y9" s="66">
        <v>35.1</v>
      </c>
      <c r="Z9" s="66">
        <v>36.9</v>
      </c>
      <c r="AA9" s="66">
        <v>35.9</v>
      </c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17</v>
      </c>
      <c r="AQ9" s="68">
        <f t="shared" si="2"/>
        <v>34.441176470588232</v>
      </c>
      <c r="AR9" s="68">
        <f>IFERROR(VLOOKUP(A9,Climatologia_TMAX!A:U,9+$E$2,FALSE),"")</f>
        <v>32.761763857435128</v>
      </c>
      <c r="AS9" s="68">
        <f t="shared" si="3"/>
        <v>1.6794126131531044</v>
      </c>
      <c r="AT9" s="74">
        <f t="shared" si="4"/>
        <v>37.1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37558</v>
      </c>
      <c r="AW9" s="69">
        <f t="shared" si="5"/>
        <v>-1.5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35.1</v>
      </c>
      <c r="L10" s="66">
        <v>35.9</v>
      </c>
      <c r="M10" s="66">
        <v>36.1</v>
      </c>
      <c r="N10" s="66">
        <v>32.299999999999997</v>
      </c>
      <c r="O10" s="66">
        <v>37.1</v>
      </c>
      <c r="P10" s="66">
        <v>33.4</v>
      </c>
      <c r="Q10" s="66">
        <v>33</v>
      </c>
      <c r="R10" s="66">
        <v>32.4</v>
      </c>
      <c r="S10" s="66">
        <v>34.299999999999997</v>
      </c>
      <c r="T10" s="66">
        <v>36.200000000000003</v>
      </c>
      <c r="U10" s="66">
        <v>34.5</v>
      </c>
      <c r="V10" s="66">
        <v>32.9</v>
      </c>
      <c r="W10" s="66">
        <v>29.7</v>
      </c>
      <c r="X10" s="66">
        <v>34.200000000000003</v>
      </c>
      <c r="Y10" s="66">
        <v>34.6</v>
      </c>
      <c r="Z10" s="66">
        <v>35.5</v>
      </c>
      <c r="AA10" s="66">
        <v>34.9</v>
      </c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17</v>
      </c>
      <c r="AQ10" s="68">
        <f t="shared" si="2"/>
        <v>34.241176470588229</v>
      </c>
      <c r="AR10" s="68">
        <f>IFERROR(VLOOKUP(A10,Climatologia_TMAX!A:U,9+$E$2,FALSE),"")</f>
        <v>32.785964355708913</v>
      </c>
      <c r="AS10" s="68">
        <f t="shared" si="3"/>
        <v>1.4552121148793162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38.299999999999997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0" s="69">
        <f t="shared" si="5"/>
        <v>-1.1999999999999957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34.4</v>
      </c>
      <c r="L11" s="66">
        <v>35.5</v>
      </c>
      <c r="M11" s="66">
        <v>33.200000000000003</v>
      </c>
      <c r="N11" s="66">
        <v>34.200000000000003</v>
      </c>
      <c r="O11" s="66">
        <v>37.6</v>
      </c>
      <c r="P11" s="66">
        <v>34.4</v>
      </c>
      <c r="Q11" s="66">
        <v>35.299999999999997</v>
      </c>
      <c r="R11" s="66">
        <v>34.6</v>
      </c>
      <c r="S11" s="66">
        <v>35.9</v>
      </c>
      <c r="T11" s="66">
        <v>35.6</v>
      </c>
      <c r="U11" s="66">
        <v>35.6</v>
      </c>
      <c r="V11" s="66">
        <v>32.799999999999997</v>
      </c>
      <c r="W11" s="66">
        <v>32.799999999999997</v>
      </c>
      <c r="X11" s="66">
        <v>32.5</v>
      </c>
      <c r="Y11" s="66">
        <v>36</v>
      </c>
      <c r="Z11" s="66">
        <v>36.700000000000003</v>
      </c>
      <c r="AA11" s="66">
        <v>34.4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17</v>
      </c>
      <c r="AQ11" s="68">
        <f t="shared" si="2"/>
        <v>34.794117647058833</v>
      </c>
      <c r="AR11" s="68">
        <f>IFERROR(VLOOKUP(A11,Climatologia_TMAX!A:U,9+$E$2,FALSE),"")</f>
        <v>33.037447232178422</v>
      </c>
      <c r="AS11" s="68">
        <f t="shared" si="3"/>
        <v>1.7566704148804106</v>
      </c>
      <c r="AT11" s="111">
        <f t="shared" si="4"/>
        <v>37.6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39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42672</v>
      </c>
      <c r="AW11" s="69">
        <f t="shared" si="5"/>
        <v>-1.3999999999999986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34.799999999999997</v>
      </c>
      <c r="L12" s="66">
        <v>31.9</v>
      </c>
      <c r="M12" s="66">
        <v>26.3</v>
      </c>
      <c r="N12" s="66">
        <v>32.200000000000003</v>
      </c>
      <c r="O12" s="66">
        <v>35.200000000000003</v>
      </c>
      <c r="P12" s="66">
        <v>30.7</v>
      </c>
      <c r="Q12" s="66">
        <v>34.200000000000003</v>
      </c>
      <c r="R12" s="66">
        <v>32.1</v>
      </c>
      <c r="S12" s="66">
        <v>34.299999999999997</v>
      </c>
      <c r="T12" s="66">
        <v>34.6</v>
      </c>
      <c r="U12" s="113">
        <v>34.1</v>
      </c>
      <c r="V12" s="66">
        <v>32.700000000000003</v>
      </c>
      <c r="W12" s="66">
        <v>31</v>
      </c>
      <c r="X12" s="66">
        <v>34.200000000000003</v>
      </c>
      <c r="Y12" s="66">
        <v>35.299999999999997</v>
      </c>
      <c r="Z12" s="66">
        <v>35.1</v>
      </c>
      <c r="AA12" s="66">
        <v>29.7</v>
      </c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17</v>
      </c>
      <c r="AQ12" s="68">
        <f t="shared" si="2"/>
        <v>32.847058823529416</v>
      </c>
      <c r="AR12" s="68">
        <f>IFERROR(VLOOKUP(A12,Climatologia_TMAX!A:U,9+$E$2,FALSE),"")</f>
        <v>32.443225831073327</v>
      </c>
      <c r="AS12" s="68">
        <f t="shared" si="3"/>
        <v>0.40383299245608839</v>
      </c>
      <c r="AT12" s="74">
        <f t="shared" si="4"/>
        <v>35.299999999999997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12" s="69">
        <f t="shared" si="5"/>
        <v>-1.2000000000000028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33.200000000000003</v>
      </c>
      <c r="L13" s="66">
        <v>31.2</v>
      </c>
      <c r="M13" s="66">
        <v>29.6</v>
      </c>
      <c r="N13" s="66">
        <v>34</v>
      </c>
      <c r="O13" s="66">
        <v>35.4</v>
      </c>
      <c r="P13" s="66">
        <v>32.6</v>
      </c>
      <c r="Q13" s="66">
        <v>33</v>
      </c>
      <c r="R13" s="66">
        <v>34.700000000000003</v>
      </c>
      <c r="S13" s="66">
        <v>31</v>
      </c>
      <c r="T13" s="66">
        <v>31.4</v>
      </c>
      <c r="U13" s="66">
        <v>34.6</v>
      </c>
      <c r="V13" s="66">
        <v>27.4</v>
      </c>
      <c r="W13" s="66">
        <v>27.2</v>
      </c>
      <c r="X13" s="66">
        <v>33.799999999999997</v>
      </c>
      <c r="Y13" s="66">
        <v>35.299999999999997</v>
      </c>
      <c r="Z13" s="66">
        <v>32</v>
      </c>
      <c r="AA13" s="66">
        <v>30.5</v>
      </c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17</v>
      </c>
      <c r="AQ13" s="68">
        <f t="shared" si="2"/>
        <v>32.170588235294119</v>
      </c>
      <c r="AR13" s="68">
        <f>IFERROR(VLOOKUP(A13,Climatologia_TMAX!A:U,9+$E$2,FALSE),"")</f>
        <v>31.434330151415409</v>
      </c>
      <c r="AS13" s="68">
        <f t="shared" si="3"/>
        <v>0.73625808387870961</v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35.799999999999997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</v>
      </c>
      <c r="L14" s="66">
        <v>28</v>
      </c>
      <c r="M14" s="66">
        <v>25</v>
      </c>
      <c r="N14" s="66">
        <v>30</v>
      </c>
      <c r="O14" s="66">
        <v>29.8</v>
      </c>
      <c r="P14" s="66">
        <v>26.8</v>
      </c>
      <c r="Q14" s="66">
        <v>28.4</v>
      </c>
      <c r="R14" s="66">
        <v>27.4</v>
      </c>
      <c r="S14" s="66">
        <v>27.6</v>
      </c>
      <c r="T14" s="66">
        <v>26.7</v>
      </c>
      <c r="U14" s="66">
        <v>29</v>
      </c>
      <c r="V14" s="66">
        <v>25.1</v>
      </c>
      <c r="W14" s="66">
        <v>23.9</v>
      </c>
      <c r="X14" s="66">
        <v>28.4</v>
      </c>
      <c r="Y14" s="66">
        <v>29.9</v>
      </c>
      <c r="Z14" s="66">
        <v>27.8</v>
      </c>
      <c r="AA14" s="66">
        <v>27.8</v>
      </c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17</v>
      </c>
      <c r="AQ14" s="68">
        <f t="shared" si="2"/>
        <v>27.623529411764707</v>
      </c>
      <c r="AR14" s="68">
        <f>IFERROR(VLOOKUP(A14,Climatologia_TMAX!A:U,9+$E$2,FALSE),"")</f>
        <v>25.64850703060381</v>
      </c>
      <c r="AS14" s="68">
        <f t="shared" si="3"/>
        <v>1.9750223811608976</v>
      </c>
      <c r="AT14" s="74">
        <f t="shared" si="4"/>
        <v>30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32.4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31716</v>
      </c>
      <c r="AW14" s="69">
        <f t="shared" si="5"/>
        <v>-2.3999999999999986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35.700000000000003</v>
      </c>
      <c r="L15" s="66">
        <v>36.200000000000003</v>
      </c>
      <c r="M15" s="66">
        <v>36.4</v>
      </c>
      <c r="N15" s="66">
        <v>35</v>
      </c>
      <c r="O15" s="66">
        <v>36.1</v>
      </c>
      <c r="P15" s="66">
        <v>36.299999999999997</v>
      </c>
      <c r="Q15" s="116">
        <v>31.8</v>
      </c>
      <c r="R15" s="66">
        <v>36.9</v>
      </c>
      <c r="S15" s="66">
        <v>36.4</v>
      </c>
      <c r="T15" s="66">
        <v>33.5</v>
      </c>
      <c r="U15" s="66">
        <v>35.1</v>
      </c>
      <c r="V15" s="66">
        <v>32.4</v>
      </c>
      <c r="W15" s="66">
        <v>29.9</v>
      </c>
      <c r="X15" s="66">
        <v>34.200000000000003</v>
      </c>
      <c r="Y15" s="66">
        <v>36</v>
      </c>
      <c r="Z15" s="66">
        <v>37</v>
      </c>
      <c r="AA15" s="66">
        <v>37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17</v>
      </c>
      <c r="AQ15" s="68">
        <f t="shared" si="2"/>
        <v>35.052941176470583</v>
      </c>
      <c r="AR15" s="68">
        <f>IFERROR(VLOOKUP(A15,Climatologia_TMAX!A:U,9+$E$2,FALSE),"")</f>
        <v>33.015015853322303</v>
      </c>
      <c r="AS15" s="68">
        <f t="shared" si="3"/>
        <v>2.0379253231482792</v>
      </c>
      <c r="AT15" s="74">
        <f t="shared" si="4"/>
        <v>37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35709</v>
      </c>
      <c r="AW15" s="69">
        <f t="shared" si="5"/>
        <v>-1.2000000000000028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33.799999999999997</v>
      </c>
      <c r="L16" s="66">
        <v>31.9</v>
      </c>
      <c r="M16" s="66">
        <v>24.4</v>
      </c>
      <c r="N16" s="66">
        <v>32.1</v>
      </c>
      <c r="O16" s="66">
        <v>33.6</v>
      </c>
      <c r="P16" s="66">
        <v>31.1</v>
      </c>
      <c r="Q16" s="66">
        <v>32.9</v>
      </c>
      <c r="R16" s="66">
        <v>34.200000000000003</v>
      </c>
      <c r="S16" s="66">
        <v>33.799999999999997</v>
      </c>
      <c r="T16" s="66">
        <v>31.6</v>
      </c>
      <c r="U16" s="66">
        <v>32.6</v>
      </c>
      <c r="V16" s="66">
        <v>29.3</v>
      </c>
      <c r="W16" s="66">
        <v>26.8</v>
      </c>
      <c r="X16" s="66">
        <v>34.200000000000003</v>
      </c>
      <c r="Y16" s="66">
        <v>33.200000000000003</v>
      </c>
      <c r="Z16" s="66">
        <v>31.7</v>
      </c>
      <c r="AA16" s="66">
        <v>32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17</v>
      </c>
      <c r="AQ16" s="68">
        <f t="shared" si="2"/>
        <v>31.71764705882353</v>
      </c>
      <c r="AR16" s="68">
        <f>IFERROR(VLOOKUP(A16,Climatologia_TMAX!A:U,9+$E$2,FALSE),"")</f>
        <v>31.744999041080131</v>
      </c>
      <c r="AS16" s="68">
        <f t="shared" si="3"/>
        <v>-2.7351982256600849E-2</v>
      </c>
      <c r="AT16" s="74">
        <f t="shared" si="4"/>
        <v>34.200000000000003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6" s="69">
        <f t="shared" si="5"/>
        <v>-1.1999999999999957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30.1</v>
      </c>
      <c r="L17" s="66">
        <v>28</v>
      </c>
      <c r="M17" s="66">
        <v>26</v>
      </c>
      <c r="N17" s="66">
        <v>29.6</v>
      </c>
      <c r="O17" s="66">
        <v>32.5</v>
      </c>
      <c r="P17" s="66">
        <v>25.8</v>
      </c>
      <c r="Q17" s="66">
        <v>31</v>
      </c>
      <c r="R17" s="66">
        <v>29.5</v>
      </c>
      <c r="S17" s="66">
        <v>31.7</v>
      </c>
      <c r="T17" s="66">
        <v>26.1</v>
      </c>
      <c r="U17" s="66">
        <v>28.8</v>
      </c>
      <c r="V17" s="66">
        <v>22.6</v>
      </c>
      <c r="W17" s="66">
        <v>23.4</v>
      </c>
      <c r="X17" s="66">
        <v>30.4</v>
      </c>
      <c r="Y17" s="66">
        <v>32.9</v>
      </c>
      <c r="Z17" s="66">
        <v>25.5</v>
      </c>
      <c r="AA17" s="66">
        <v>30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17</v>
      </c>
      <c r="AQ17" s="68">
        <f t="shared" si="2"/>
        <v>28.464705882352941</v>
      </c>
      <c r="AR17" s="68">
        <f>IFERROR(VLOOKUP(A17,Climatologia_TMAX!A:U,9+$E$2,FALSE),"")</f>
        <v>27.292235561863119</v>
      </c>
      <c r="AS17" s="68">
        <f t="shared" si="3"/>
        <v>1.1724703204898219</v>
      </c>
      <c r="AT17" s="74">
        <f t="shared" si="4"/>
        <v>32.9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31.9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17" s="69">
        <f t="shared" si="5"/>
        <v>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24.8</v>
      </c>
      <c r="L18" s="66">
        <v>23.3</v>
      </c>
      <c r="M18" s="66">
        <v>22</v>
      </c>
      <c r="N18" s="66">
        <v>25</v>
      </c>
      <c r="O18" s="66">
        <v>26</v>
      </c>
      <c r="P18" s="66">
        <v>23.3</v>
      </c>
      <c r="Q18" s="66">
        <v>23.6</v>
      </c>
      <c r="R18" s="66">
        <v>23.3</v>
      </c>
      <c r="S18" s="66">
        <v>25.6</v>
      </c>
      <c r="T18" s="66">
        <v>22.7</v>
      </c>
      <c r="U18" s="66">
        <v>23.6</v>
      </c>
      <c r="V18" s="66">
        <v>18.600000000000001</v>
      </c>
      <c r="W18" s="66">
        <v>19</v>
      </c>
      <c r="X18" s="66">
        <v>24.5</v>
      </c>
      <c r="Y18" s="66">
        <v>26.6</v>
      </c>
      <c r="Z18" s="66">
        <v>21.7</v>
      </c>
      <c r="AA18" s="66">
        <v>23.8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17</v>
      </c>
      <c r="AQ18" s="68">
        <f t="shared" si="2"/>
        <v>23.376470588235296</v>
      </c>
      <c r="AR18" s="68">
        <f>IFERROR(VLOOKUP(A18,Climatologia_TMAX!A:U,9+$E$2,FALSE),"")</f>
        <v>21.943225806451611</v>
      </c>
      <c r="AS18" s="68">
        <f t="shared" si="3"/>
        <v>1.4332447817836851</v>
      </c>
      <c r="AT18" s="74">
        <f t="shared" si="4"/>
        <v>26.6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25.6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8" s="69">
        <f t="shared" si="5"/>
        <v>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28.5</v>
      </c>
      <c r="L19" s="66">
        <v>27.2</v>
      </c>
      <c r="M19" s="66">
        <v>25.8</v>
      </c>
      <c r="N19" s="66">
        <v>30</v>
      </c>
      <c r="O19" s="66">
        <v>29.9</v>
      </c>
      <c r="P19" s="66">
        <v>26.7</v>
      </c>
      <c r="Q19" s="66">
        <v>28.5</v>
      </c>
      <c r="R19" s="66">
        <v>29</v>
      </c>
      <c r="S19" s="66">
        <v>30.1</v>
      </c>
      <c r="T19" s="66">
        <v>25.8</v>
      </c>
      <c r="U19" s="113">
        <v>27.9</v>
      </c>
      <c r="V19" s="66">
        <v>24.8</v>
      </c>
      <c r="W19" s="66">
        <v>25.2</v>
      </c>
      <c r="X19" s="66">
        <v>28.4</v>
      </c>
      <c r="Y19" s="66">
        <v>30.4</v>
      </c>
      <c r="Z19" s="66">
        <v>24.7</v>
      </c>
      <c r="AA19" s="66">
        <v>27.6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17</v>
      </c>
      <c r="AQ19" s="68">
        <f t="shared" si="2"/>
        <v>27.67647058823529</v>
      </c>
      <c r="AR19" s="68">
        <f>IFERROR(VLOOKUP(A19,Climatologia_TMAX!A:U,9+$E$2,FALSE),"")</f>
        <v>26.187468982630271</v>
      </c>
      <c r="AS19" s="68">
        <f t="shared" si="3"/>
        <v>1.4890016056050186</v>
      </c>
      <c r="AT19" s="74">
        <f t="shared" si="4"/>
        <v>30.4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31.3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19" s="69">
        <f t="shared" si="5"/>
        <v>-0.90000000000000213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29.1</v>
      </c>
      <c r="L20" s="66">
        <v>28</v>
      </c>
      <c r="M20" s="66">
        <v>27.6</v>
      </c>
      <c r="N20" s="66">
        <v>30.1</v>
      </c>
      <c r="O20" s="66">
        <v>29.7</v>
      </c>
      <c r="P20" s="66">
        <v>27.1</v>
      </c>
      <c r="Q20" s="66">
        <v>29.6</v>
      </c>
      <c r="R20" s="66">
        <v>28.1</v>
      </c>
      <c r="S20" s="66">
        <v>30.1</v>
      </c>
      <c r="T20" s="66">
        <v>26.9</v>
      </c>
      <c r="U20" s="66">
        <v>27.8</v>
      </c>
      <c r="V20" s="66">
        <v>24.7</v>
      </c>
      <c r="W20" s="66">
        <v>25.8</v>
      </c>
      <c r="X20" s="66">
        <v>28</v>
      </c>
      <c r="Y20" s="66">
        <v>31.5</v>
      </c>
      <c r="Z20" s="66">
        <v>28.1</v>
      </c>
      <c r="AA20" s="66">
        <v>28.1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17</v>
      </c>
      <c r="AQ20" s="68">
        <f t="shared" si="2"/>
        <v>28.252941176470589</v>
      </c>
      <c r="AR20" s="68">
        <f>IFERROR(VLOOKUP(A20,Climatologia_TMAX!A:U,9+$E$2,FALSE),"")</f>
        <v>27.362560803891451</v>
      </c>
      <c r="AS20" s="68">
        <f t="shared" si="3"/>
        <v>0.89038037257913771</v>
      </c>
      <c r="AT20" s="74">
        <f t="shared" si="4"/>
        <v>31.5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32.799999999999997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0" s="69">
        <f t="shared" si="5"/>
        <v>-1.2999999999999972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29</v>
      </c>
      <c r="L21" s="66">
        <v>30.3</v>
      </c>
      <c r="M21" s="66">
        <v>29</v>
      </c>
      <c r="N21" s="66">
        <v>30.2</v>
      </c>
      <c r="O21" s="66">
        <v>31.8</v>
      </c>
      <c r="P21" s="66">
        <v>30.7</v>
      </c>
      <c r="Q21" s="66">
        <v>29.9</v>
      </c>
      <c r="R21" s="66">
        <v>30</v>
      </c>
      <c r="S21" s="66">
        <v>29.8</v>
      </c>
      <c r="T21" s="66">
        <v>27.8</v>
      </c>
      <c r="U21" s="66">
        <v>30.7</v>
      </c>
      <c r="V21" s="66">
        <v>26</v>
      </c>
      <c r="W21" s="66">
        <v>27</v>
      </c>
      <c r="X21" s="66">
        <v>30.4</v>
      </c>
      <c r="Y21" s="66">
        <v>32.799999999999997</v>
      </c>
      <c r="Z21" s="66">
        <v>30.3</v>
      </c>
      <c r="AA21" s="66">
        <v>32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17</v>
      </c>
      <c r="AQ21" s="68">
        <f t="shared" si="2"/>
        <v>29.86470588235294</v>
      </c>
      <c r="AR21" s="68">
        <f>IFERROR(VLOOKUP(A21,Climatologia_TMAX!A:U,9+$E$2,FALSE),"")</f>
        <v>28.863902868824429</v>
      </c>
      <c r="AS21" s="68">
        <f t="shared" si="3"/>
        <v>1.0008030135285111</v>
      </c>
      <c r="AT21" s="74">
        <f t="shared" si="4"/>
        <v>32.799999999999997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36.5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1" s="69">
        <f t="shared" si="5"/>
        <v>-3.7000000000000028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22.3</v>
      </c>
      <c r="L22" s="66">
        <v>20.2</v>
      </c>
      <c r="M22" s="66">
        <v>19.7</v>
      </c>
      <c r="N22" s="66">
        <v>21.9</v>
      </c>
      <c r="O22" s="66">
        <v>24.4</v>
      </c>
      <c r="P22" s="66">
        <v>21.4</v>
      </c>
      <c r="Q22" s="66">
        <v>21</v>
      </c>
      <c r="R22" s="66">
        <v>21.4</v>
      </c>
      <c r="S22" s="66">
        <v>21.4</v>
      </c>
      <c r="T22" s="66">
        <v>18.899999999999999</v>
      </c>
      <c r="U22" s="66">
        <v>20.3</v>
      </c>
      <c r="V22" s="66">
        <v>18</v>
      </c>
      <c r="W22" s="66">
        <v>19.5</v>
      </c>
      <c r="X22" s="66">
        <v>22.4</v>
      </c>
      <c r="Y22" s="66">
        <v>23.9</v>
      </c>
      <c r="Z22" s="66">
        <v>21.6</v>
      </c>
      <c r="AA22" s="66">
        <v>21.8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17</v>
      </c>
      <c r="AQ22" s="68">
        <f t="shared" si="2"/>
        <v>21.182352941176472</v>
      </c>
      <c r="AR22" s="68">
        <f>IFERROR(VLOOKUP(A22,Climatologia_TMAX!A:U,9+$E$2,FALSE),"")</f>
        <v>19.420634169110251</v>
      </c>
      <c r="AS22" s="68">
        <f t="shared" si="3"/>
        <v>1.7617187720662209</v>
      </c>
      <c r="AT22" s="74">
        <f t="shared" si="4"/>
        <v>24.4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34624</v>
      </c>
      <c r="AW22" s="69">
        <f t="shared" si="5"/>
        <v>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30.8</v>
      </c>
      <c r="L23" s="66">
        <v>30.2</v>
      </c>
      <c r="M23" s="66">
        <v>30.9</v>
      </c>
      <c r="N23" s="66">
        <v>33.4</v>
      </c>
      <c r="O23" s="66">
        <v>32.799999999999997</v>
      </c>
      <c r="P23" s="66">
        <v>31.4</v>
      </c>
      <c r="Q23" s="66">
        <v>31.7</v>
      </c>
      <c r="R23" s="66">
        <v>30.7</v>
      </c>
      <c r="S23" s="66">
        <v>31.7</v>
      </c>
      <c r="T23" s="66">
        <v>28.1</v>
      </c>
      <c r="U23" s="66">
        <v>30.1</v>
      </c>
      <c r="V23" s="66">
        <v>27.3</v>
      </c>
      <c r="W23" s="66">
        <v>27.7</v>
      </c>
      <c r="X23" s="66">
        <v>31.3</v>
      </c>
      <c r="Y23" s="66">
        <v>34</v>
      </c>
      <c r="Z23" s="66">
        <v>29.9</v>
      </c>
      <c r="AA23" s="66">
        <v>30.8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17</v>
      </c>
      <c r="AQ23" s="68">
        <f t="shared" si="2"/>
        <v>30.752941176470593</v>
      </c>
      <c r="AR23" s="68">
        <f>IFERROR(VLOOKUP(A23,Climatologia_TMAX!A:U,9+$E$2,FALSE),"")</f>
        <v>29.62065677977936</v>
      </c>
      <c r="AS23" s="68">
        <f t="shared" si="3"/>
        <v>1.132284396691233</v>
      </c>
      <c r="AT23" s="74">
        <f t="shared" si="4"/>
        <v>34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43400</v>
      </c>
      <c r="AW23" s="69">
        <f t="shared" si="5"/>
        <v>0.79999999999999716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36.700000000000003</v>
      </c>
      <c r="L24" s="66">
        <v>34</v>
      </c>
      <c r="M24" s="66">
        <v>34.200000000000003</v>
      </c>
      <c r="N24" s="66">
        <v>36</v>
      </c>
      <c r="O24" s="66">
        <v>38.4</v>
      </c>
      <c r="P24" s="66">
        <v>37.700000000000003</v>
      </c>
      <c r="Q24" s="66">
        <v>34.200000000000003</v>
      </c>
      <c r="R24" s="66">
        <v>34.200000000000003</v>
      </c>
      <c r="S24" s="66">
        <v>37.6</v>
      </c>
      <c r="T24" s="66">
        <v>32.5</v>
      </c>
      <c r="U24" s="66">
        <v>36.200000000000003</v>
      </c>
      <c r="V24" s="66">
        <v>34.799999999999997</v>
      </c>
      <c r="W24" s="66">
        <v>33.5</v>
      </c>
      <c r="X24" s="66">
        <v>35.799999999999997</v>
      </c>
      <c r="Y24" s="66">
        <v>38.6</v>
      </c>
      <c r="Z24" s="66">
        <v>36.4</v>
      </c>
      <c r="AA24" s="66">
        <v>35.700000000000003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17</v>
      </c>
      <c r="AQ24" s="68">
        <f t="shared" si="2"/>
        <v>35.676470588235297</v>
      </c>
      <c r="AR24" s="68">
        <f>IFERROR(VLOOKUP(A24,Climatologia_TMAX!A:U,9+$E$2,FALSE),"")</f>
        <v>33.398279569892473</v>
      </c>
      <c r="AS24" s="68">
        <f t="shared" si="3"/>
        <v>2.2781910183428238</v>
      </c>
      <c r="AT24" s="74">
        <f t="shared" si="4"/>
        <v>38.6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26.2</v>
      </c>
      <c r="L25" s="66">
        <v>21.4</v>
      </c>
      <c r="M25" s="66">
        <v>25.2</v>
      </c>
      <c r="N25" s="66">
        <v>27.6</v>
      </c>
      <c r="O25" s="66">
        <v>27</v>
      </c>
      <c r="P25" s="66">
        <v>25.8</v>
      </c>
      <c r="Q25" s="66">
        <v>26.2</v>
      </c>
      <c r="R25" s="66">
        <v>25.6</v>
      </c>
      <c r="S25" s="66">
        <v>28.6</v>
      </c>
      <c r="T25" s="66">
        <v>26.5</v>
      </c>
      <c r="U25" s="66">
        <v>25.2</v>
      </c>
      <c r="V25" s="66">
        <v>22.6</v>
      </c>
      <c r="W25" s="66">
        <v>23.2</v>
      </c>
      <c r="X25" s="66">
        <v>26.4</v>
      </c>
      <c r="Y25" s="66">
        <v>30</v>
      </c>
      <c r="Z25" s="66">
        <v>23.4</v>
      </c>
      <c r="AA25" s="66">
        <v>26.2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17</v>
      </c>
      <c r="AQ25" s="68">
        <f t="shared" si="2"/>
        <v>25.711764705882352</v>
      </c>
      <c r="AR25" s="68">
        <f>IFERROR(VLOOKUP(A25,Climatologia_TMAX!A:U,9+$E$2,FALSE),"")</f>
        <v>24.31999307872945</v>
      </c>
      <c r="AS25" s="68">
        <f t="shared" si="3"/>
        <v>1.3917716271529024</v>
      </c>
      <c r="AT25" s="74">
        <f t="shared" si="4"/>
        <v>30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41185</v>
      </c>
      <c r="AW25" s="69">
        <f t="shared" si="5"/>
        <v>-1.3000000000000007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15.4</v>
      </c>
      <c r="L26" s="66">
        <v>14.6</v>
      </c>
      <c r="M26" s="66">
        <v>16</v>
      </c>
      <c r="N26" s="66">
        <v>18.8</v>
      </c>
      <c r="O26" s="66">
        <v>21.2</v>
      </c>
      <c r="P26" s="66">
        <v>22</v>
      </c>
      <c r="Q26" s="66">
        <v>20.399999999999999</v>
      </c>
      <c r="R26" s="66">
        <v>17.8</v>
      </c>
      <c r="S26" s="66">
        <v>18.8</v>
      </c>
      <c r="T26" s="66">
        <v>19.2</v>
      </c>
      <c r="U26" s="66">
        <v>17</v>
      </c>
      <c r="V26" s="66">
        <v>17.600000000000001</v>
      </c>
      <c r="W26" s="66">
        <v>18</v>
      </c>
      <c r="X26" s="66">
        <v>18.399999999999999</v>
      </c>
      <c r="Y26" s="66">
        <v>18.2</v>
      </c>
      <c r="Z26" s="66">
        <v>16.600000000000001</v>
      </c>
      <c r="AA26" s="66">
        <v>16.399999999999999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17</v>
      </c>
      <c r="AQ26" s="68">
        <f t="shared" si="2"/>
        <v>18.023529411764709</v>
      </c>
      <c r="AR26" s="68">
        <f>IFERROR(VLOOKUP(A26,Climatologia_TMAX!A:U,9+$E$2,FALSE),"")</f>
        <v>16.895577461547319</v>
      </c>
      <c r="AS26" s="68">
        <f t="shared" si="3"/>
        <v>1.1279519502173905</v>
      </c>
      <c r="AT26" s="74">
        <f t="shared" si="4"/>
        <v>22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21.4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37183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34.299999999999997</v>
      </c>
      <c r="L27" s="66">
        <v>31</v>
      </c>
      <c r="M27" s="66">
        <v>28.8</v>
      </c>
      <c r="N27" s="66">
        <v>34.5</v>
      </c>
      <c r="O27" s="66">
        <v>33.6</v>
      </c>
      <c r="P27" s="66">
        <v>28.2</v>
      </c>
      <c r="Q27" s="66">
        <v>33.4</v>
      </c>
      <c r="R27" s="66">
        <v>31.6</v>
      </c>
      <c r="S27" s="66">
        <v>35</v>
      </c>
      <c r="T27" s="66">
        <v>29.6</v>
      </c>
      <c r="U27" s="113">
        <v>30.2</v>
      </c>
      <c r="V27" s="66">
        <v>28.2</v>
      </c>
      <c r="W27" s="66">
        <v>27.6</v>
      </c>
      <c r="X27" s="66">
        <v>33.799999999999997</v>
      </c>
      <c r="Y27" s="66">
        <v>34.799999999999997</v>
      </c>
      <c r="Z27" s="66">
        <v>25.8</v>
      </c>
      <c r="AA27" s="66">
        <v>32.799999999999997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17</v>
      </c>
      <c r="AQ27" s="68">
        <f t="shared" si="2"/>
        <v>31.364705882352943</v>
      </c>
      <c r="AR27" s="68">
        <f>IFERROR(VLOOKUP(A27,Climatologia_TMAX!A:U,9+$E$2,FALSE),"")</f>
        <v>30.554368199659901</v>
      </c>
      <c r="AS27" s="68">
        <f t="shared" si="3"/>
        <v>0.81033768269304218</v>
      </c>
      <c r="AT27" s="74">
        <f t="shared" si="4"/>
        <v>35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34.200000000000003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38630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29.3</v>
      </c>
      <c r="M28" s="66">
        <v>32.9</v>
      </c>
      <c r="N28" s="66">
        <v>32.799999999999997</v>
      </c>
      <c r="O28" s="66">
        <v>33.1</v>
      </c>
      <c r="P28" s="66">
        <v>38.200000000000003</v>
      </c>
      <c r="Q28" s="66">
        <v>32.200000000000003</v>
      </c>
      <c r="R28" s="66">
        <v>34.299999999999997</v>
      </c>
      <c r="S28" s="66">
        <v>34.799999999999997</v>
      </c>
      <c r="T28" s="66">
        <v>34.4</v>
      </c>
      <c r="U28" s="66">
        <v>30.7</v>
      </c>
      <c r="V28" s="66">
        <v>32.9</v>
      </c>
      <c r="W28" s="66">
        <v>33.4</v>
      </c>
      <c r="X28" s="66">
        <v>33.200000000000003</v>
      </c>
      <c r="Y28" s="66">
        <v>35.9</v>
      </c>
      <c r="Z28" s="66">
        <v>33.1</v>
      </c>
      <c r="AA28" s="66">
        <v>34.6</v>
      </c>
      <c r="AB28" s="66"/>
      <c r="AC28" s="66"/>
      <c r="AD28" s="66"/>
      <c r="AE28" s="66"/>
      <c r="AF28" s="66"/>
      <c r="AG28" s="66"/>
      <c r="AH28" s="115"/>
      <c r="AI28" s="66"/>
      <c r="AJ28" s="66"/>
      <c r="AK28" s="66"/>
      <c r="AL28" s="66"/>
      <c r="AM28" s="66"/>
      <c r="AN28" s="66"/>
      <c r="AO28" s="66"/>
      <c r="AP28" s="67">
        <f t="shared" si="1"/>
        <v>17</v>
      </c>
      <c r="AQ28" s="68">
        <f t="shared" si="2"/>
        <v>33.35294117647058</v>
      </c>
      <c r="AR28" s="68">
        <f>IFERROR(VLOOKUP(A28,Climatologia_TMAX!A:U,9+$E$2,FALSE),"")</f>
        <v>31.936986466444189</v>
      </c>
      <c r="AS28" s="68">
        <f t="shared" si="3"/>
        <v>1.4159547100263907</v>
      </c>
      <c r="AT28" s="74">
        <f t="shared" si="4"/>
        <v>38.200000000000003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37903</v>
      </c>
      <c r="AW28" s="69">
        <f t="shared" si="5"/>
        <v>2.8000000000000043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33</v>
      </c>
      <c r="L29" s="66">
        <v>32.9</v>
      </c>
      <c r="M29" s="66">
        <v>34.6</v>
      </c>
      <c r="N29" s="66">
        <v>34.6</v>
      </c>
      <c r="O29" s="66">
        <v>35.6</v>
      </c>
      <c r="P29" s="66">
        <v>35.799999999999997</v>
      </c>
      <c r="Q29" s="66">
        <v>32.4</v>
      </c>
      <c r="R29" s="66">
        <v>34.4</v>
      </c>
      <c r="S29" s="66">
        <v>35.4</v>
      </c>
      <c r="T29" s="66">
        <v>35.4</v>
      </c>
      <c r="U29" s="66">
        <v>33.799999999999997</v>
      </c>
      <c r="V29" s="66">
        <v>32.799999999999997</v>
      </c>
      <c r="W29" s="66">
        <v>34.700000000000003</v>
      </c>
      <c r="X29" s="66">
        <v>35</v>
      </c>
      <c r="Y29" s="66">
        <v>35.6</v>
      </c>
      <c r="Z29" s="66">
        <v>35.9</v>
      </c>
      <c r="AA29" s="66">
        <v>33.4</v>
      </c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17</v>
      </c>
      <c r="AQ29" s="68">
        <f t="shared" si="2"/>
        <v>34.429411764705883</v>
      </c>
      <c r="AR29" s="68">
        <f>IFERROR(VLOOKUP(A29,Climatologia_TMAX!A:U,9+$E$2,FALSE),"")</f>
        <v>33.422727598566297</v>
      </c>
      <c r="AS29" s="68">
        <f t="shared" si="3"/>
        <v>1.0066841661395856</v>
      </c>
      <c r="AT29" s="74">
        <f t="shared" si="4"/>
        <v>35.9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29" s="69">
        <f t="shared" si="5"/>
        <v>-0.70000000000000284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31.4</v>
      </c>
      <c r="L30" s="66">
        <v>27.2</v>
      </c>
      <c r="M30" s="66">
        <v>30.3</v>
      </c>
      <c r="N30" s="66">
        <v>31.2</v>
      </c>
      <c r="O30" s="66">
        <v>33.200000000000003</v>
      </c>
      <c r="P30" s="66">
        <v>31.4</v>
      </c>
      <c r="Q30" s="66">
        <v>30.2</v>
      </c>
      <c r="R30" s="66">
        <v>31.6</v>
      </c>
      <c r="S30" s="66">
        <v>33</v>
      </c>
      <c r="T30" s="66">
        <v>28.6</v>
      </c>
      <c r="U30" s="66">
        <v>31.7</v>
      </c>
      <c r="V30" s="66">
        <v>29.7</v>
      </c>
      <c r="W30" s="66">
        <v>32.200000000000003</v>
      </c>
      <c r="X30" s="66">
        <v>32.4</v>
      </c>
      <c r="Y30" s="66">
        <v>31.8</v>
      </c>
      <c r="Z30" s="66">
        <v>32.299999999999997</v>
      </c>
      <c r="AA30" s="66">
        <v>31.2</v>
      </c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17</v>
      </c>
      <c r="AQ30" s="68">
        <f t="shared" si="2"/>
        <v>31.141176470588235</v>
      </c>
      <c r="AR30" s="68">
        <f>IFERROR(VLOOKUP(A30,Climatologia_TMAX!A:U,9+$E$2,FALSE),"")</f>
        <v>30.878376344086021</v>
      </c>
      <c r="AS30" s="68">
        <f t="shared" si="3"/>
        <v>0.26280012650221352</v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37172</v>
      </c>
      <c r="AW30" s="69">
        <f t="shared" si="5"/>
        <v>-1.1999999999999957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30.7</v>
      </c>
      <c r="L31" s="105">
        <v>33</v>
      </c>
      <c r="M31" s="105">
        <v>31.9</v>
      </c>
      <c r="N31" s="105">
        <v>32.5</v>
      </c>
      <c r="O31" s="105">
        <v>33.1</v>
      </c>
      <c r="P31" s="105">
        <v>36.6</v>
      </c>
      <c r="Q31" s="105">
        <v>34.6</v>
      </c>
      <c r="R31" s="105">
        <v>33.799999999999997</v>
      </c>
      <c r="S31" s="105">
        <v>34</v>
      </c>
      <c r="T31" s="105">
        <v>33.1</v>
      </c>
      <c r="U31" s="105">
        <v>34.1</v>
      </c>
      <c r="V31" s="105">
        <v>34.200000000000003</v>
      </c>
      <c r="W31" s="105">
        <v>35.4</v>
      </c>
      <c r="X31" s="105">
        <v>33.799999999999997</v>
      </c>
      <c r="Y31" s="105">
        <v>33.799999999999997</v>
      </c>
      <c r="Z31" s="105">
        <v>35.200000000000003</v>
      </c>
      <c r="AA31" s="105">
        <v>32.200000000000003</v>
      </c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17</v>
      </c>
      <c r="AQ31" s="68">
        <f t="shared" si="2"/>
        <v>33.64705882352942</v>
      </c>
      <c r="AR31" s="68">
        <f>IFERROR(VLOOKUP(A31,Climatologia_TMAX!A:U,9+$E$2,FALSE),"")</f>
        <v>31.992189247311831</v>
      </c>
      <c r="AS31" s="68">
        <f t="shared" si="3"/>
        <v>1.6548695762175889</v>
      </c>
      <c r="AT31" s="74">
        <f t="shared" si="4"/>
        <v>36.6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37.1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38626</v>
      </c>
      <c r="AW31" s="69">
        <f t="shared" si="5"/>
        <v>-0.5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>
        <v>26.8</v>
      </c>
      <c r="L32" s="66">
        <v>25</v>
      </c>
      <c r="M32" s="66">
        <v>24</v>
      </c>
      <c r="N32" s="66">
        <v>26.8</v>
      </c>
      <c r="O32" s="66">
        <v>27</v>
      </c>
      <c r="P32" s="66">
        <v>25</v>
      </c>
      <c r="Q32" s="66">
        <v>26</v>
      </c>
      <c r="R32" s="66">
        <v>25.8</v>
      </c>
      <c r="S32" s="66">
        <v>26.6</v>
      </c>
      <c r="T32" s="66">
        <v>24.8</v>
      </c>
      <c r="U32" s="66">
        <v>26.2</v>
      </c>
      <c r="V32" s="66">
        <v>22.8</v>
      </c>
      <c r="W32" s="66">
        <v>22.6</v>
      </c>
      <c r="X32" s="66">
        <v>25.6</v>
      </c>
      <c r="Y32" s="66">
        <v>27.8</v>
      </c>
      <c r="Z32" s="66">
        <v>23.6</v>
      </c>
      <c r="AA32" s="66">
        <v>26.8</v>
      </c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17</v>
      </c>
      <c r="AQ32" s="68">
        <f t="shared" si="2"/>
        <v>25.482352941176476</v>
      </c>
      <c r="AR32" s="68">
        <f>IFERROR(VLOOKUP(A32,Climatologia_TMAX!A:U,9+$E$2,FALSE),"")</f>
        <v>24.453269227468109</v>
      </c>
      <c r="AS32" s="68">
        <f t="shared" si="3"/>
        <v>1.029083713708367</v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33883</v>
      </c>
      <c r="AW32" s="69">
        <f t="shared" si="5"/>
        <v>-0.19999999999999929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25</v>
      </c>
      <c r="L33" s="66">
        <v>24</v>
      </c>
      <c r="M33" s="66">
        <v>24.2</v>
      </c>
      <c r="N33" s="66">
        <v>25.2</v>
      </c>
      <c r="O33" s="66">
        <v>26.6</v>
      </c>
      <c r="P33" s="66">
        <v>24.2</v>
      </c>
      <c r="Q33" s="66">
        <v>26</v>
      </c>
      <c r="R33" s="66">
        <v>24</v>
      </c>
      <c r="S33" s="66">
        <v>26.6</v>
      </c>
      <c r="T33" s="66">
        <v>24.4</v>
      </c>
      <c r="U33" s="66">
        <v>25.4</v>
      </c>
      <c r="V33" s="66">
        <v>19.8</v>
      </c>
      <c r="W33" s="66">
        <v>20.8</v>
      </c>
      <c r="X33" s="66">
        <v>26.4</v>
      </c>
      <c r="Y33" s="66">
        <v>27</v>
      </c>
      <c r="Z33" s="66">
        <v>21</v>
      </c>
      <c r="AA33" s="66">
        <v>24.8</v>
      </c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17</v>
      </c>
      <c r="AQ33" s="68">
        <f t="shared" si="2"/>
        <v>24.435294117647057</v>
      </c>
      <c r="AR33" s="68">
        <f>IFERROR(VLOOKUP(A33,Climatologia_TMAX!A:U,9+$E$2,FALSE),"")</f>
        <v>23.4139779147994</v>
      </c>
      <c r="AS33" s="68">
        <f t="shared" si="3"/>
        <v>1.0213162028476575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27.4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37532</v>
      </c>
      <c r="AW33" s="69">
        <f t="shared" si="5"/>
        <v>-0.39999999999999858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27.452728279918489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32.200000000000003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37534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26.74952255592634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32.1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34.200000000000003</v>
      </c>
      <c r="M36" s="66">
        <v>32.4</v>
      </c>
      <c r="N36" s="66">
        <v>37</v>
      </c>
      <c r="O36" s="66">
        <v>35</v>
      </c>
      <c r="P36" s="66">
        <v>30.4</v>
      </c>
      <c r="Q36" s="66">
        <v>33.6</v>
      </c>
      <c r="R36" s="66">
        <v>35</v>
      </c>
      <c r="S36" s="66">
        <v>36.200000000000003</v>
      </c>
      <c r="T36" s="66">
        <v>30.6</v>
      </c>
      <c r="U36" s="66">
        <v>35</v>
      </c>
      <c r="V36" s="66">
        <v>29</v>
      </c>
      <c r="W36" s="66">
        <v>29</v>
      </c>
      <c r="X36" s="66">
        <v>33.799999999999997</v>
      </c>
      <c r="Y36" s="66">
        <v>36.6</v>
      </c>
      <c r="Z36" s="66">
        <v>29.4</v>
      </c>
      <c r="AA36" s="66">
        <v>33.4</v>
      </c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17</v>
      </c>
      <c r="AQ36" s="68">
        <f t="shared" si="2"/>
        <v>33.329411764705881</v>
      </c>
      <c r="AR36" s="68">
        <f>IFERROR(VLOOKUP(A36,Climatologia_TMAX!A:U,9+$E$2,FALSE),"")</f>
        <v>32.537742899789613</v>
      </c>
      <c r="AS36" s="68">
        <f t="shared" si="3"/>
        <v>0.79166886491626798</v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38.6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28.035092473118279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33.6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34256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26.8</v>
      </c>
      <c r="L38" s="66">
        <v>25.2</v>
      </c>
      <c r="M38" s="66">
        <v>22.4</v>
      </c>
      <c r="N38" s="66">
        <v>29</v>
      </c>
      <c r="O38" s="66">
        <v>29.8</v>
      </c>
      <c r="P38" s="66">
        <v>23.4</v>
      </c>
      <c r="Q38" s="66">
        <v>27.6</v>
      </c>
      <c r="R38" s="112">
        <v>27.4</v>
      </c>
      <c r="S38" s="66">
        <v>28.2</v>
      </c>
      <c r="T38" s="66">
        <v>23.2</v>
      </c>
      <c r="U38" s="66">
        <v>26.6</v>
      </c>
      <c r="V38" s="66">
        <v>22.8</v>
      </c>
      <c r="W38" s="66">
        <v>19</v>
      </c>
      <c r="X38" s="66">
        <v>26.8</v>
      </c>
      <c r="Y38" s="66">
        <v>29.8</v>
      </c>
      <c r="Z38" s="66">
        <v>23.8</v>
      </c>
      <c r="AA38" s="66">
        <v>26.4</v>
      </c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17</v>
      </c>
      <c r="AQ38" s="68">
        <f t="shared" si="2"/>
        <v>25.776470588235298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28.6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24.2</v>
      </c>
      <c r="L39" s="66">
        <v>23.8</v>
      </c>
      <c r="M39" s="66">
        <v>22.4</v>
      </c>
      <c r="N39" s="66"/>
      <c r="O39" s="66"/>
      <c r="P39" s="66">
        <v>18.399999999999999</v>
      </c>
      <c r="Q39" s="66">
        <v>21.4</v>
      </c>
      <c r="R39" s="66">
        <v>18.399999999999999</v>
      </c>
      <c r="S39" s="66">
        <v>22.4</v>
      </c>
      <c r="T39" s="66">
        <v>22.6</v>
      </c>
      <c r="U39" s="66">
        <v>24.4</v>
      </c>
      <c r="V39" s="109">
        <v>18.8</v>
      </c>
      <c r="W39" s="66"/>
      <c r="X39" s="66"/>
      <c r="Y39" s="66">
        <v>26.4</v>
      </c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11</v>
      </c>
      <c r="AQ39" s="68" t="str">
        <f t="shared" si="2"/>
        <v/>
      </c>
      <c r="AR39" s="68">
        <f>IFERROR(VLOOKUP(A39,Climatologia_TMAX!A:U,9+$E$2,FALSE),"")</f>
        <v>22.97584961067853</v>
      </c>
      <c r="AS39" s="68" t="str">
        <f t="shared" si="3"/>
        <v/>
      </c>
      <c r="AT39" s="74">
        <f t="shared" si="4"/>
        <v>26.4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39014</v>
      </c>
      <c r="AW39" s="69">
        <f t="shared" si="5"/>
        <v>-2.2000000000000028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22.6</v>
      </c>
      <c r="L40" s="66">
        <v>21.4</v>
      </c>
      <c r="M40" s="66">
        <v>20.2</v>
      </c>
      <c r="N40" s="66">
        <v>23.4</v>
      </c>
      <c r="O40" s="66">
        <v>23</v>
      </c>
      <c r="P40" s="66">
        <v>21.8</v>
      </c>
      <c r="Q40" s="66">
        <v>21.8</v>
      </c>
      <c r="R40" s="66">
        <v>22.2</v>
      </c>
      <c r="S40" s="66">
        <v>24.8</v>
      </c>
      <c r="T40" s="66">
        <v>19.399999999999999</v>
      </c>
      <c r="U40" s="66">
        <v>21.8</v>
      </c>
      <c r="V40" s="66">
        <v>19.8</v>
      </c>
      <c r="W40" s="66">
        <v>17.399999999999999</v>
      </c>
      <c r="X40" s="66">
        <v>22.2</v>
      </c>
      <c r="Y40" s="66">
        <v>25.2</v>
      </c>
      <c r="Z40" s="66">
        <v>19.8</v>
      </c>
      <c r="AA40" s="66">
        <v>22.8</v>
      </c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17</v>
      </c>
      <c r="AQ40" s="68">
        <f t="shared" si="2"/>
        <v>21.741176470588236</v>
      </c>
      <c r="AR40" s="68">
        <f>IFERROR(VLOOKUP(A40,Climatologia_TMAX!A:U,9+$E$2,FALSE),"")</f>
        <v>20.435367869060858</v>
      </c>
      <c r="AS40" s="68">
        <f t="shared" si="3"/>
        <v>1.305808601527378</v>
      </c>
      <c r="AT40" s="74">
        <f t="shared" si="4"/>
        <v>25.2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25.516658156328901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29.8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31333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32.200000000000003</v>
      </c>
      <c r="L42" s="66">
        <v>28.2</v>
      </c>
      <c r="M42" s="66">
        <v>26.4</v>
      </c>
      <c r="N42" s="66">
        <v>32</v>
      </c>
      <c r="O42" s="66">
        <v>34</v>
      </c>
      <c r="P42" s="66">
        <v>28</v>
      </c>
      <c r="Q42" s="66">
        <v>30.8</v>
      </c>
      <c r="R42" s="112">
        <v>33.200000000000003</v>
      </c>
      <c r="S42" s="66">
        <v>33.200000000000003</v>
      </c>
      <c r="T42" s="66">
        <v>27.8</v>
      </c>
      <c r="U42" s="66">
        <v>29.8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32.799999999999997</v>
      </c>
      <c r="M43" s="66">
        <v>28.8</v>
      </c>
      <c r="N43" s="66">
        <v>33.4</v>
      </c>
      <c r="O43" s="66">
        <v>34</v>
      </c>
      <c r="P43" s="66">
        <v>31</v>
      </c>
      <c r="Q43" s="66">
        <v>32.6</v>
      </c>
      <c r="R43" s="66">
        <v>34.6</v>
      </c>
      <c r="S43" s="66">
        <v>34</v>
      </c>
      <c r="T43" s="66">
        <v>31.8</v>
      </c>
      <c r="U43" s="66">
        <v>32.799999999999997</v>
      </c>
      <c r="V43" s="66">
        <v>31.2</v>
      </c>
      <c r="W43" s="66">
        <v>28.2</v>
      </c>
      <c r="X43" s="66">
        <v>33.4</v>
      </c>
      <c r="Y43" s="66">
        <v>34.4</v>
      </c>
      <c r="Z43" s="66">
        <v>32.4</v>
      </c>
      <c r="AA43" s="66">
        <v>32.4</v>
      </c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17</v>
      </c>
      <c r="AQ43" s="68">
        <f t="shared" si="2"/>
        <v>32.4</v>
      </c>
      <c r="AR43" s="68">
        <f>IFERROR(VLOOKUP(A43,Climatologia_TMAX!A:U,9+$E$2,FALSE),"")</f>
        <v>31.54853288090581</v>
      </c>
      <c r="AS43" s="68">
        <f t="shared" si="3"/>
        <v>0.85146711909418826</v>
      </c>
      <c r="AT43" s="74">
        <f t="shared" si="4"/>
        <v>34.6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44482</v>
      </c>
      <c r="AW43" s="69">
        <f t="shared" si="5"/>
        <v>-1.3999999999999986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25.8</v>
      </c>
      <c r="M44" s="66">
        <v>26.8</v>
      </c>
      <c r="N44" s="66">
        <v>26.2</v>
      </c>
      <c r="O44" s="66">
        <v>26.4</v>
      </c>
      <c r="P44" s="66">
        <v>27</v>
      </c>
      <c r="Q44" s="66">
        <v>28</v>
      </c>
      <c r="R44" s="66">
        <v>29</v>
      </c>
      <c r="S44" s="66">
        <v>26.8</v>
      </c>
      <c r="T44" s="66">
        <v>27</v>
      </c>
      <c r="U44" s="66">
        <v>28.2</v>
      </c>
      <c r="V44" s="66">
        <v>26.4</v>
      </c>
      <c r="W44" s="66">
        <v>25</v>
      </c>
      <c r="X44" s="66">
        <v>26</v>
      </c>
      <c r="Y44" s="66">
        <v>27.8</v>
      </c>
      <c r="Z44" s="66">
        <v>25</v>
      </c>
      <c r="AA44" s="109">
        <v>26</v>
      </c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17</v>
      </c>
      <c r="AQ44" s="68">
        <f t="shared" si="2"/>
        <v>26.694117647058821</v>
      </c>
      <c r="AR44" s="68">
        <f>IFERROR(VLOOKUP(A44,Climatologia_TMAX!A:U,9+$E$2,FALSE),"")</f>
        <v>21.968111314158591</v>
      </c>
      <c r="AS44" s="68">
        <f t="shared" si="3"/>
        <v>4.72600633290023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27.5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33.799999999999997</v>
      </c>
      <c r="L45" s="66">
        <v>32.4</v>
      </c>
      <c r="M45" s="66">
        <v>26.6</v>
      </c>
      <c r="N45" s="66">
        <v>30.4</v>
      </c>
      <c r="O45" s="66">
        <v>34.4</v>
      </c>
      <c r="P45" s="66">
        <v>29</v>
      </c>
      <c r="Q45" s="66">
        <v>33</v>
      </c>
      <c r="R45" s="66">
        <v>33.6</v>
      </c>
      <c r="S45" s="66">
        <v>34.799999999999997</v>
      </c>
      <c r="T45" s="66">
        <v>33.200000000000003</v>
      </c>
      <c r="U45" s="66">
        <v>34.799999999999997</v>
      </c>
      <c r="V45" s="66">
        <v>32</v>
      </c>
      <c r="W45" s="66">
        <v>28.4</v>
      </c>
      <c r="X45" s="66">
        <v>33.799999999999997</v>
      </c>
      <c r="Y45" s="66">
        <v>35.4</v>
      </c>
      <c r="Z45" s="66">
        <v>35.4</v>
      </c>
      <c r="AA45" s="66">
        <v>32.200000000000003</v>
      </c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17</v>
      </c>
      <c r="AQ45" s="68">
        <f t="shared" si="2"/>
        <v>32.54117647058824</v>
      </c>
      <c r="AR45" s="68">
        <f>IFERROR(VLOOKUP(A45,Climatologia_TMAX!A:U,9+$E$2,FALSE),"")</f>
        <v>31.684333333333331</v>
      </c>
      <c r="AS45" s="68">
        <f t="shared" si="3"/>
        <v>0.85684313725490924</v>
      </c>
      <c r="AT45" s="74">
        <f t="shared" si="4"/>
        <v>35.4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35.799999999999997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45" s="69">
        <f t="shared" si="5"/>
        <v>-0.39999999999999858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33.4</v>
      </c>
      <c r="L46" s="66">
        <v>31.6</v>
      </c>
      <c r="M46" s="66">
        <v>26</v>
      </c>
      <c r="N46" s="66">
        <v>31.2</v>
      </c>
      <c r="O46" s="66">
        <v>31.8</v>
      </c>
      <c r="P46" s="66">
        <v>30.2</v>
      </c>
      <c r="Q46" s="66">
        <v>30.8</v>
      </c>
      <c r="R46" s="66">
        <v>31.4</v>
      </c>
      <c r="S46" s="66">
        <v>32.4</v>
      </c>
      <c r="T46" s="66">
        <v>31.8</v>
      </c>
      <c r="U46" s="66">
        <v>32.200000000000003</v>
      </c>
      <c r="V46" s="66">
        <v>31.8</v>
      </c>
      <c r="W46" s="66">
        <v>29.8</v>
      </c>
      <c r="X46" s="66">
        <v>32.799999999999997</v>
      </c>
      <c r="Y46" s="66">
        <v>32</v>
      </c>
      <c r="Z46" s="66">
        <v>32.200000000000003</v>
      </c>
      <c r="AA46" s="66">
        <v>30</v>
      </c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17</v>
      </c>
      <c r="AQ46" s="68">
        <f t="shared" si="2"/>
        <v>31.258823529411771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34.4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38640</v>
      </c>
      <c r="AW46" s="69">
        <f t="shared" si="5"/>
        <v>-1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31.94134529819458</v>
      </c>
      <c r="AS49" s="68" t="str">
        <f t="shared" si="3"/>
        <v/>
      </c>
      <c r="AT49" s="74">
        <f t="shared" si="4"/>
        <v>33.799999999999997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35.799999999999997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44484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31.19024306842994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35.799999999999997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33.200000000000003</v>
      </c>
      <c r="L52" s="66">
        <v>31.4</v>
      </c>
      <c r="M52" s="66">
        <v>26</v>
      </c>
      <c r="N52" s="66">
        <v>31.8</v>
      </c>
      <c r="O52" s="66">
        <v>32.4</v>
      </c>
      <c r="P52" s="66">
        <v>29.4</v>
      </c>
      <c r="Q52" s="66">
        <v>31</v>
      </c>
      <c r="R52" s="66">
        <v>31.2</v>
      </c>
      <c r="S52" s="66">
        <v>32.200000000000003</v>
      </c>
      <c r="T52" s="66">
        <v>32</v>
      </c>
      <c r="U52" s="66">
        <v>32.799999999999997</v>
      </c>
      <c r="V52" s="66">
        <v>32.200000000000003</v>
      </c>
      <c r="W52" s="66">
        <v>30.2</v>
      </c>
      <c r="X52" s="66">
        <v>33.4</v>
      </c>
      <c r="Y52" s="66">
        <v>32.6</v>
      </c>
      <c r="Z52" s="66">
        <v>33</v>
      </c>
      <c r="AA52" s="66">
        <v>29.4</v>
      </c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17</v>
      </c>
      <c r="AQ52" s="68">
        <f t="shared" si="2"/>
        <v>31.423529411764701</v>
      </c>
      <c r="AR52" s="68">
        <f>IFERROR(VLOOKUP(A52,Climatologia_TMAX!A:U,9+$E$2,FALSE),"")</f>
        <v>30.961069227102161</v>
      </c>
      <c r="AS52" s="68">
        <f t="shared" si="3"/>
        <v>0.46246018466253958</v>
      </c>
      <c r="AT52" s="74">
        <f t="shared" si="4"/>
        <v>33.4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28.8</v>
      </c>
      <c r="M53" s="66">
        <v>27.8</v>
      </c>
      <c r="N53" s="66">
        <v>32.799999999999997</v>
      </c>
      <c r="O53" s="66">
        <v>34</v>
      </c>
      <c r="P53" s="66">
        <v>30.8</v>
      </c>
      <c r="Q53" s="66">
        <v>34</v>
      </c>
      <c r="R53" s="66">
        <v>33</v>
      </c>
      <c r="S53" s="66">
        <v>33.799999999999997</v>
      </c>
      <c r="T53" s="66">
        <v>32</v>
      </c>
      <c r="U53" s="66">
        <v>34</v>
      </c>
      <c r="V53" s="66">
        <v>32</v>
      </c>
      <c r="W53" s="66">
        <v>29.8</v>
      </c>
      <c r="X53" s="66">
        <v>33.799999999999997</v>
      </c>
      <c r="Y53" s="66">
        <v>34.200000000000003</v>
      </c>
      <c r="Z53" s="66">
        <v>33.799999999999997</v>
      </c>
      <c r="AA53" s="66">
        <v>31</v>
      </c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17</v>
      </c>
      <c r="AQ53" s="68">
        <f t="shared" si="2"/>
        <v>32.317647058823525</v>
      </c>
      <c r="AR53" s="68">
        <f>IFERROR(VLOOKUP(A53,Climatologia_TMAX!A:U,9+$E$2,FALSE),"")</f>
        <v>32.571180014831299</v>
      </c>
      <c r="AS53" s="68">
        <f t="shared" si="3"/>
        <v>-0.25353295600777415</v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37190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/>
      <c r="L54" s="66">
        <v>35.799999999999997</v>
      </c>
      <c r="M54" s="66">
        <v>31.2</v>
      </c>
      <c r="N54" s="66">
        <v>33.799999999999997</v>
      </c>
      <c r="O54" s="66"/>
      <c r="P54" s="66">
        <v>37.4</v>
      </c>
      <c r="Q54" s="66">
        <v>32.200000000000003</v>
      </c>
      <c r="R54" s="66">
        <v>33</v>
      </c>
      <c r="S54" s="66">
        <v>36</v>
      </c>
      <c r="T54" s="66">
        <v>35.4</v>
      </c>
      <c r="U54" s="66">
        <v>36.799999999999997</v>
      </c>
      <c r="V54" s="66">
        <v>34.4</v>
      </c>
      <c r="W54" s="66">
        <v>30.4</v>
      </c>
      <c r="X54" s="66">
        <v>35.4</v>
      </c>
      <c r="Y54" s="66">
        <v>36.799999999999997</v>
      </c>
      <c r="Z54" s="66">
        <v>32.6</v>
      </c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14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0</v>
      </c>
      <c r="AQ55" s="68" t="str">
        <f t="shared" si="2"/>
        <v/>
      </c>
      <c r="AR55" s="68">
        <f>IFERROR(VLOOKUP(A55,Climatologia_TMAX!A:U,9+$E$2,FALSE),"")</f>
        <v>32.424135042773848</v>
      </c>
      <c r="AS55" s="68" t="str">
        <f t="shared" si="3"/>
        <v/>
      </c>
      <c r="AT55" s="111" t="str">
        <f t="shared" si="4"/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38.200000000000003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32429</v>
      </c>
      <c r="AW55" s="69" t="str">
        <f t="shared" si="5"/>
        <v>NA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31.572910956983591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36.200000000000003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33.220415292712083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38.200000000000003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37535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37.4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30957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31.957488847102312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35.9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37.799999999999997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34.799999999999997</v>
      </c>
      <c r="L67" s="66">
        <v>34.6</v>
      </c>
      <c r="M67" s="66">
        <v>34.5</v>
      </c>
      <c r="N67" s="66">
        <v>33.6</v>
      </c>
      <c r="O67" s="66">
        <v>33</v>
      </c>
      <c r="P67" s="66">
        <v>32.799999999999997</v>
      </c>
      <c r="Q67" s="66">
        <v>33.200000000000003</v>
      </c>
      <c r="R67" s="66">
        <v>33.4</v>
      </c>
      <c r="S67" s="66">
        <v>33.4</v>
      </c>
      <c r="T67" s="66">
        <v>33.4</v>
      </c>
      <c r="U67" s="66">
        <v>32.6</v>
      </c>
      <c r="V67" s="66">
        <v>32.4</v>
      </c>
      <c r="W67" s="66">
        <v>32.200000000000003</v>
      </c>
      <c r="X67" s="66">
        <v>33.6</v>
      </c>
      <c r="Y67" s="66">
        <v>33.700000000000003</v>
      </c>
      <c r="Z67" s="66">
        <v>34</v>
      </c>
      <c r="AA67" s="66">
        <v>32.6</v>
      </c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17</v>
      </c>
      <c r="AQ67" s="68">
        <f t="shared" si="2"/>
        <v>33.4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34.4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40107</v>
      </c>
      <c r="AW67" s="69">
        <f t="shared" si="5"/>
        <v>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32.636182795698907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>
        <v>31.8</v>
      </c>
      <c r="L72" s="66">
        <v>33.6</v>
      </c>
      <c r="M72" s="66">
        <v>31.6</v>
      </c>
      <c r="N72" s="66">
        <v>32.6</v>
      </c>
      <c r="O72" s="66">
        <v>34.799999999999997</v>
      </c>
      <c r="P72" s="66">
        <v>30.6</v>
      </c>
      <c r="Q72" s="66">
        <v>31.2</v>
      </c>
      <c r="R72" s="66">
        <v>33.799999999999997</v>
      </c>
      <c r="S72" s="66">
        <v>34.799999999999997</v>
      </c>
      <c r="T72" s="66">
        <v>34.4</v>
      </c>
      <c r="U72" s="66">
        <v>35</v>
      </c>
      <c r="V72" s="66">
        <v>34</v>
      </c>
      <c r="W72" s="66">
        <v>31</v>
      </c>
      <c r="X72" s="66">
        <v>34.4</v>
      </c>
      <c r="Y72" s="66">
        <v>36.200000000000003</v>
      </c>
      <c r="Z72" s="66">
        <v>35.6</v>
      </c>
      <c r="AA72" s="66">
        <v>32.200000000000003</v>
      </c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17</v>
      </c>
      <c r="AQ72" s="68">
        <f t="shared" si="7"/>
        <v>33.388235294117642</v>
      </c>
      <c r="AR72" s="68">
        <f>IFERROR(VLOOKUP(A72,Climatologia_TMAX!A:U,9+$E$2,FALSE),"")</f>
        <v>32.022639758461779</v>
      </c>
      <c r="AS72" s="68">
        <f t="shared" si="8"/>
        <v>1.3655955356558636</v>
      </c>
      <c r="AT72" s="74">
        <f t="shared" si="9"/>
        <v>36.200000000000003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36.200000000000003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2" s="69">
        <f t="shared" si="10"/>
        <v>0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33159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34</v>
      </c>
      <c r="L76" s="66">
        <v>30.8</v>
      </c>
      <c r="M76" s="66">
        <v>25.2</v>
      </c>
      <c r="N76" s="66">
        <v>29.4</v>
      </c>
      <c r="O76" s="66">
        <v>33.6</v>
      </c>
      <c r="P76" s="66">
        <v>28.2</v>
      </c>
      <c r="Q76" s="66">
        <v>32.6</v>
      </c>
      <c r="R76" s="66">
        <v>32.200000000000003</v>
      </c>
      <c r="S76" s="66">
        <v>34.200000000000003</v>
      </c>
      <c r="T76" s="66">
        <v>33.4</v>
      </c>
      <c r="U76" s="66">
        <v>33.799999999999997</v>
      </c>
      <c r="V76" s="66">
        <v>31.4</v>
      </c>
      <c r="W76" s="66">
        <v>27.8</v>
      </c>
      <c r="X76" s="66">
        <v>32.799999999999997</v>
      </c>
      <c r="Y76" s="66">
        <v>34.799999999999997</v>
      </c>
      <c r="Z76" s="66">
        <v>35</v>
      </c>
      <c r="AA76" s="66">
        <v>29.4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17</v>
      </c>
      <c r="AQ76" s="68">
        <f t="shared" si="7"/>
        <v>31.682352941176472</v>
      </c>
      <c r="AR76" s="68">
        <f>IFERROR(VLOOKUP(A76,Climatologia_TMAX!A:U,9+$E$2,FALSE),"")</f>
        <v>31.112293906810031</v>
      </c>
      <c r="AS76" s="68">
        <f t="shared" si="8"/>
        <v>0.5700590343664409</v>
      </c>
      <c r="AT76" s="74">
        <f t="shared" si="9"/>
        <v>35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35.4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31.2</v>
      </c>
      <c r="M77" s="66">
        <v>33.6</v>
      </c>
      <c r="N77" s="66">
        <v>34.6</v>
      </c>
      <c r="O77" s="66">
        <v>35</v>
      </c>
      <c r="P77" s="66">
        <v>33.6</v>
      </c>
      <c r="Q77" s="66">
        <v>30</v>
      </c>
      <c r="R77" s="66">
        <v>33.6</v>
      </c>
      <c r="S77" s="66">
        <v>33.799999999999997</v>
      </c>
      <c r="T77" s="109">
        <v>31</v>
      </c>
      <c r="U77" s="66">
        <v>31</v>
      </c>
      <c r="V77" s="66">
        <v>31.4</v>
      </c>
      <c r="W77" s="66">
        <v>34.4</v>
      </c>
      <c r="X77" s="66">
        <v>34.200000000000003</v>
      </c>
      <c r="Y77" s="66">
        <v>33.6</v>
      </c>
      <c r="Z77" s="66">
        <v>32.200000000000003</v>
      </c>
      <c r="AA77" s="66">
        <v>29.2</v>
      </c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17</v>
      </c>
      <c r="AQ77" s="68">
        <f t="shared" si="7"/>
        <v>32.411764705882355</v>
      </c>
      <c r="AR77" s="68">
        <f>IFERROR(VLOOKUP(A77,Climatologia_TMAX!A:U,9+$E$2,FALSE),"")</f>
        <v>31.68458781362007</v>
      </c>
      <c r="AS77" s="68">
        <f t="shared" si="8"/>
        <v>0.72717689226228543</v>
      </c>
      <c r="AT77" s="74">
        <f t="shared" si="9"/>
        <v>35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36.200000000000003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31.083983755913678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</v>
      </c>
      <c r="L79" s="66">
        <v>31.2</v>
      </c>
      <c r="M79" s="66">
        <v>31.2</v>
      </c>
      <c r="N79" s="66">
        <v>32.799999999999997</v>
      </c>
      <c r="O79" s="66">
        <v>33.799999999999997</v>
      </c>
      <c r="P79" s="66">
        <v>34.200000000000003</v>
      </c>
      <c r="Q79" s="66">
        <v>31.2</v>
      </c>
      <c r="R79" s="66">
        <v>31.2</v>
      </c>
      <c r="S79" s="66">
        <v>33.200000000000003</v>
      </c>
      <c r="T79" s="66">
        <v>33.200000000000003</v>
      </c>
      <c r="U79" s="66">
        <v>33.200000000000003</v>
      </c>
      <c r="V79" s="66">
        <v>33.200000000000003</v>
      </c>
      <c r="W79" s="66"/>
      <c r="X79" s="66">
        <v>32.6</v>
      </c>
      <c r="Y79" s="66">
        <v>32.4</v>
      </c>
      <c r="Z79" s="66">
        <v>33.4</v>
      </c>
      <c r="AA79" s="66">
        <v>31</v>
      </c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16</v>
      </c>
      <c r="AQ79" s="68">
        <f t="shared" si="7"/>
        <v>32.487499999999997</v>
      </c>
      <c r="AR79" s="68">
        <f>IFERROR(VLOOKUP(A79,Climatologia_TMAX!A:U,9+$E$2,FALSE),"")</f>
        <v>31.526981315058869</v>
      </c>
      <c r="AS79" s="68">
        <f t="shared" si="8"/>
        <v>0.96051868494112824</v>
      </c>
      <c r="AT79" s="74">
        <f t="shared" si="9"/>
        <v>34.200000000000003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37.799999999999997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33171</v>
      </c>
      <c r="AW79" s="69">
        <f t="shared" si="10"/>
        <v>-3.5999999999999943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</v>
      </c>
      <c r="L80" s="66">
        <v>32.799999999999997</v>
      </c>
      <c r="M80" s="66">
        <v>32.799999999999997</v>
      </c>
      <c r="N80" s="66">
        <v>32</v>
      </c>
      <c r="O80" s="66">
        <v>34.6</v>
      </c>
      <c r="P80" s="66">
        <v>35</v>
      </c>
      <c r="Q80" s="66">
        <v>29</v>
      </c>
      <c r="R80" s="66">
        <v>32.4</v>
      </c>
      <c r="S80" s="66">
        <v>33.4</v>
      </c>
      <c r="T80" s="66">
        <v>29.8</v>
      </c>
      <c r="U80" s="66">
        <v>32.200000000000003</v>
      </c>
      <c r="V80" s="66">
        <v>29.6</v>
      </c>
      <c r="W80" s="66">
        <v>34</v>
      </c>
      <c r="X80" s="66">
        <v>34.200000000000003</v>
      </c>
      <c r="Y80" s="66">
        <v>33</v>
      </c>
      <c r="Z80" s="66">
        <v>33</v>
      </c>
      <c r="AA80" s="66">
        <v>29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17</v>
      </c>
      <c r="AQ80" s="68">
        <f t="shared" si="7"/>
        <v>32.341176470588231</v>
      </c>
      <c r="AR80" s="68">
        <f>IFERROR(VLOOKUP(A80,Climatologia_TMAX!A:U,9+$E$2,FALSE),"")</f>
        <v>31.665918946536721</v>
      </c>
      <c r="AS80" s="68">
        <f t="shared" si="8"/>
        <v>0.67525752405150996</v>
      </c>
      <c r="AT80" s="74">
        <f t="shared" si="9"/>
        <v>35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34264</v>
      </c>
      <c r="AW80" s="69">
        <f t="shared" si="10"/>
        <v>-0.39999999999999858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32.799999999999997</v>
      </c>
      <c r="L81" s="66">
        <v>28.6</v>
      </c>
      <c r="M81" s="66">
        <v>30.8</v>
      </c>
      <c r="N81" s="66">
        <v>31.6</v>
      </c>
      <c r="O81" s="66">
        <v>34.4</v>
      </c>
      <c r="P81" s="66">
        <v>33</v>
      </c>
      <c r="Q81" s="66">
        <v>33.4</v>
      </c>
      <c r="R81" s="66">
        <v>33.200000000000003</v>
      </c>
      <c r="S81" s="66">
        <v>32.6</v>
      </c>
      <c r="T81" s="66">
        <v>30.4</v>
      </c>
      <c r="U81" s="66">
        <v>33.200000000000003</v>
      </c>
      <c r="V81" s="66">
        <v>29.8</v>
      </c>
      <c r="W81" s="66">
        <v>32.799999999999997</v>
      </c>
      <c r="X81" s="66">
        <v>32.4</v>
      </c>
      <c r="Y81" s="66">
        <v>32</v>
      </c>
      <c r="Z81" s="66">
        <v>32.6</v>
      </c>
      <c r="AA81" s="66">
        <v>31.6</v>
      </c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17</v>
      </c>
      <c r="AQ81" s="68">
        <f t="shared" si="7"/>
        <v>32.070588235294117</v>
      </c>
      <c r="AR81" s="68">
        <f>IFERROR(VLOOKUP(A81,Climatologia_TMAX!A:U,9+$E$2,FALSE),"")</f>
        <v>31.138033558745459</v>
      </c>
      <c r="AS81" s="68">
        <f t="shared" si="8"/>
        <v>0.93255467654865853</v>
      </c>
      <c r="AT81" s="74">
        <f t="shared" si="9"/>
        <v>34.4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81" s="69">
        <f t="shared" si="10"/>
        <v>-0.60000000000000142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36.4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32.4</v>
      </c>
      <c r="L83" s="66">
        <v>27.4</v>
      </c>
      <c r="M83" s="66">
        <v>31.6</v>
      </c>
      <c r="N83" s="66">
        <v>30.8</v>
      </c>
      <c r="O83" s="66">
        <v>33.799999999999997</v>
      </c>
      <c r="P83" s="66">
        <v>34</v>
      </c>
      <c r="Q83" s="66">
        <v>28.4</v>
      </c>
      <c r="R83" s="66">
        <v>33</v>
      </c>
      <c r="S83" s="66">
        <v>33</v>
      </c>
      <c r="T83" s="66">
        <v>29.8</v>
      </c>
      <c r="U83" s="66">
        <v>34</v>
      </c>
      <c r="V83" s="66">
        <v>30.2</v>
      </c>
      <c r="W83" s="66">
        <v>34.299999999999997</v>
      </c>
      <c r="X83" s="66">
        <v>34</v>
      </c>
      <c r="Y83" s="66">
        <v>33</v>
      </c>
      <c r="Z83" s="66">
        <v>33.200000000000003</v>
      </c>
      <c r="AA83" s="66">
        <v>31</v>
      </c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17</v>
      </c>
      <c r="AQ83" s="68">
        <f t="shared" si="7"/>
        <v>31.994117647058822</v>
      </c>
      <c r="AR83" s="68">
        <f>IFERROR(VLOOKUP(A83,Climatologia_TMAX!A:U,9+$E$2,FALSE),"")</f>
        <v>31.31605406550732</v>
      </c>
      <c r="AS83" s="68">
        <f t="shared" si="8"/>
        <v>0.67806358155150193</v>
      </c>
      <c r="AT83" s="74">
        <f t="shared" si="9"/>
        <v>34.299999999999997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31.2383676783728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31.8</v>
      </c>
      <c r="L85" s="66">
        <v>27.4</v>
      </c>
      <c r="M85" s="66">
        <v>30.8</v>
      </c>
      <c r="N85" s="66">
        <v>31.4</v>
      </c>
      <c r="O85" s="66">
        <v>33.799999999999997</v>
      </c>
      <c r="P85" s="66">
        <v>33.4</v>
      </c>
      <c r="Q85" s="66">
        <v>29.8</v>
      </c>
      <c r="R85" s="66">
        <v>32.4</v>
      </c>
      <c r="S85" s="66">
        <v>32.799999999999997</v>
      </c>
      <c r="T85" s="66">
        <v>31</v>
      </c>
      <c r="U85" s="66"/>
      <c r="V85" s="66">
        <v>30.4</v>
      </c>
      <c r="W85" s="66">
        <v>33.4</v>
      </c>
      <c r="X85" s="66">
        <v>32.799999999999997</v>
      </c>
      <c r="Y85" s="66">
        <v>32.200000000000003</v>
      </c>
      <c r="Z85" s="66">
        <v>32.6</v>
      </c>
      <c r="AA85" s="66">
        <v>31.2</v>
      </c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16</v>
      </c>
      <c r="AQ85" s="68">
        <f t="shared" si="7"/>
        <v>31.7</v>
      </c>
      <c r="AR85" s="68">
        <f>IFERROR(VLOOKUP(A85,Climatologia_TMAX!A:U,9+$E$2,FALSE),"")</f>
        <v>31.225896776248529</v>
      </c>
      <c r="AS85" s="68">
        <f t="shared" si="8"/>
        <v>0.47410322375147018</v>
      </c>
      <c r="AT85" s="74">
        <f t="shared" si="9"/>
        <v>33.799999999999997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34.6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85" s="69">
        <f t="shared" si="10"/>
        <v>-0.80000000000000426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31.8</v>
      </c>
      <c r="L86" s="66">
        <v>27.2</v>
      </c>
      <c r="M86" s="66">
        <v>29.4</v>
      </c>
      <c r="N86" s="66">
        <v>33.200000000000003</v>
      </c>
      <c r="O86" s="66">
        <v>34.6</v>
      </c>
      <c r="P86" s="66">
        <v>34</v>
      </c>
      <c r="Q86" s="66">
        <v>32.200000000000003</v>
      </c>
      <c r="R86" s="66">
        <v>33</v>
      </c>
      <c r="S86" s="66">
        <v>33.799999999999997</v>
      </c>
      <c r="T86" s="66">
        <v>31.2</v>
      </c>
      <c r="U86" s="66">
        <v>33.4</v>
      </c>
      <c r="V86" s="66">
        <v>30.8</v>
      </c>
      <c r="W86" s="66">
        <v>33.799999999999997</v>
      </c>
      <c r="X86" s="66">
        <v>32.799999999999997</v>
      </c>
      <c r="Y86" s="66">
        <v>33.6</v>
      </c>
      <c r="Z86" s="66">
        <v>33.200000000000003</v>
      </c>
      <c r="AA86" s="66">
        <v>30</v>
      </c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17</v>
      </c>
      <c r="AQ86" s="68">
        <f t="shared" si="7"/>
        <v>32.235294117647065</v>
      </c>
      <c r="AR86" s="68">
        <f>IFERROR(VLOOKUP(A86,Climatologia_TMAX!A:U,9+$E$2,FALSE),"")</f>
        <v>31.290962827597969</v>
      </c>
      <c r="AS86" s="68">
        <f t="shared" si="8"/>
        <v>0.94433129004909588</v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86" s="69">
        <f t="shared" si="10"/>
        <v>-0.79999999999999716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31</v>
      </c>
      <c r="M87" s="66">
        <v>33.4</v>
      </c>
      <c r="N87" s="66">
        <v>34.200000000000003</v>
      </c>
      <c r="O87" s="66">
        <v>33.799999999999997</v>
      </c>
      <c r="P87" s="66">
        <v>34.799999999999997</v>
      </c>
      <c r="Q87" s="66">
        <v>26.6</v>
      </c>
      <c r="R87" s="66">
        <v>32.799999999999997</v>
      </c>
      <c r="S87" s="66">
        <v>33.4</v>
      </c>
      <c r="T87" s="66">
        <v>32.799999999999997</v>
      </c>
      <c r="U87" s="66">
        <v>34</v>
      </c>
      <c r="V87" s="66">
        <v>32</v>
      </c>
      <c r="W87" s="66">
        <v>33.6</v>
      </c>
      <c r="X87" s="66">
        <v>33.4</v>
      </c>
      <c r="Y87" s="66">
        <v>34</v>
      </c>
      <c r="Z87" s="66">
        <v>33.799999999999997</v>
      </c>
      <c r="AA87" s="66">
        <v>31.4</v>
      </c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17</v>
      </c>
      <c r="AQ87" s="68">
        <f t="shared" si="7"/>
        <v>32.823529411764703</v>
      </c>
      <c r="AR87" s="68">
        <f>IFERROR(VLOOKUP(A87,Climatologia_TMAX!A:U,9+$E$2,FALSE),"")</f>
        <v>31.59519477059559</v>
      </c>
      <c r="AS87" s="68">
        <f t="shared" si="8"/>
        <v>1.2283346411691127</v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87" s="69">
        <f t="shared" si="10"/>
        <v>-1.2000000000000028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32.811853281459022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37.200000000000003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45202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29.506435717326511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34.6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31.4</v>
      </c>
      <c r="L90" s="66">
        <v>30.2</v>
      </c>
      <c r="M90" s="66">
        <v>29.3</v>
      </c>
      <c r="N90" s="66">
        <v>34</v>
      </c>
      <c r="O90" s="66">
        <v>34</v>
      </c>
      <c r="P90" s="66">
        <v>30</v>
      </c>
      <c r="Q90" s="66">
        <v>32.299999999999997</v>
      </c>
      <c r="R90" s="66">
        <v>31.4</v>
      </c>
      <c r="S90" s="66">
        <v>31</v>
      </c>
      <c r="T90" s="66">
        <v>34.1</v>
      </c>
      <c r="U90" s="66">
        <v>34</v>
      </c>
      <c r="V90" s="66">
        <v>31.3</v>
      </c>
      <c r="W90" s="66">
        <v>32.4</v>
      </c>
      <c r="X90" s="66">
        <v>30.2</v>
      </c>
      <c r="Y90" s="66">
        <v>33.1</v>
      </c>
      <c r="Z90" s="66">
        <v>31.3</v>
      </c>
      <c r="AA90" s="66">
        <v>33.1</v>
      </c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17</v>
      </c>
      <c r="AQ90" s="68">
        <f t="shared" si="7"/>
        <v>31.947058823529414</v>
      </c>
      <c r="AR90" s="68">
        <f>IFERROR(VLOOKUP(A90,Climatologia_TMAX!A:U,9+$E$2,FALSE),"")</f>
        <v>31.086687000841621</v>
      </c>
      <c r="AS90" s="68">
        <f t="shared" si="8"/>
        <v>0.86037182268779233</v>
      </c>
      <c r="AT90" s="74">
        <f t="shared" si="9"/>
        <v>34.1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42662</v>
      </c>
      <c r="AW90" s="69">
        <f t="shared" si="10"/>
        <v>-0.5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33.1</v>
      </c>
      <c r="L91" s="66">
        <v>31.2</v>
      </c>
      <c r="M91" s="66">
        <v>33.200000000000003</v>
      </c>
      <c r="N91" s="66">
        <v>33.1</v>
      </c>
      <c r="O91" s="66">
        <v>34</v>
      </c>
      <c r="P91" s="66">
        <v>34.1</v>
      </c>
      <c r="Q91" s="66">
        <v>29</v>
      </c>
      <c r="R91" s="66">
        <v>33.1</v>
      </c>
      <c r="S91" s="66">
        <v>33.4</v>
      </c>
      <c r="T91" s="66">
        <v>32</v>
      </c>
      <c r="U91" s="66">
        <v>33.4</v>
      </c>
      <c r="V91" s="66">
        <v>32.299999999999997</v>
      </c>
      <c r="W91" s="66">
        <v>33.200000000000003</v>
      </c>
      <c r="X91" s="66">
        <v>33.1</v>
      </c>
      <c r="Y91" s="66">
        <v>34.299999999999997</v>
      </c>
      <c r="Z91" s="107">
        <v>34.1</v>
      </c>
      <c r="AA91" s="66">
        <v>28.3</v>
      </c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17</v>
      </c>
      <c r="AQ91" s="68">
        <f t="shared" si="7"/>
        <v>32.641176470588235</v>
      </c>
      <c r="AR91" s="68">
        <f>IFERROR(VLOOKUP(A91,Climatologia_TMAX!A:U,9+$E$2,FALSE),"")</f>
        <v>32.110025726590813</v>
      </c>
      <c r="AS91" s="68">
        <f t="shared" si="8"/>
        <v>0.53115074399742213</v>
      </c>
      <c r="AT91" s="74">
        <f t="shared" si="9"/>
        <v>34.299999999999997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32441</v>
      </c>
      <c r="AW91" s="69">
        <f t="shared" si="10"/>
        <v>-2.3000000000000043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28.6</v>
      </c>
      <c r="L94" s="66">
        <v>32.200000000000003</v>
      </c>
      <c r="M94" s="66">
        <v>35</v>
      </c>
      <c r="N94" s="66">
        <v>35.6</v>
      </c>
      <c r="O94" s="66">
        <v>35.4</v>
      </c>
      <c r="P94" s="66">
        <v>35.200000000000003</v>
      </c>
      <c r="Q94" s="66">
        <v>32</v>
      </c>
      <c r="R94" s="66">
        <v>34.4</v>
      </c>
      <c r="S94" s="66">
        <v>31.2</v>
      </c>
      <c r="T94" s="66"/>
      <c r="U94" s="66">
        <v>31.4</v>
      </c>
      <c r="V94" s="66">
        <v>33.6</v>
      </c>
      <c r="W94" s="66">
        <v>33</v>
      </c>
      <c r="X94" s="66">
        <v>32.4</v>
      </c>
      <c r="Y94" s="66">
        <v>34.4</v>
      </c>
      <c r="Z94" s="66">
        <v>33</v>
      </c>
      <c r="AA94" s="66">
        <v>33.200000000000003</v>
      </c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16</v>
      </c>
      <c r="AQ94" s="68">
        <f t="shared" si="7"/>
        <v>33.162499999999994</v>
      </c>
      <c r="AR94" s="68">
        <f>IFERROR(VLOOKUP(A94,Climatologia_TMAX!A:U,9+$E$2,FALSE),"")</f>
        <v>32.256992670952947</v>
      </c>
      <c r="AS94" s="68">
        <f t="shared" si="8"/>
        <v>0.90550732904704745</v>
      </c>
      <c r="AT94" s="74">
        <f t="shared" si="9"/>
        <v>35.6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94" s="69">
        <f t="shared" si="10"/>
        <v>-0.39999999999999858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31.849806451612899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30.973263029570418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36.1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38284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28</v>
      </c>
      <c r="L99" s="66">
        <v>22.4</v>
      </c>
      <c r="M99" s="66">
        <v>28</v>
      </c>
      <c r="N99" s="66">
        <v>29</v>
      </c>
      <c r="O99" s="66">
        <v>31.2</v>
      </c>
      <c r="P99" s="66">
        <v>30</v>
      </c>
      <c r="Q99" s="66">
        <v>28.2</v>
      </c>
      <c r="R99" s="66">
        <v>27.2</v>
      </c>
      <c r="S99" s="66">
        <v>30</v>
      </c>
      <c r="T99" s="66">
        <v>29</v>
      </c>
      <c r="U99" s="109">
        <v>27.4</v>
      </c>
      <c r="V99" s="66">
        <v>27.2</v>
      </c>
      <c r="W99" s="66">
        <v>30</v>
      </c>
      <c r="X99" s="66">
        <v>26.4</v>
      </c>
      <c r="Y99" s="66">
        <v>31.2</v>
      </c>
      <c r="Z99" s="66">
        <v>29.2</v>
      </c>
      <c r="AA99" s="66">
        <v>27</v>
      </c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17</v>
      </c>
      <c r="AQ99" s="68">
        <f t="shared" si="7"/>
        <v>28.317647058823525</v>
      </c>
      <c r="AR99" s="68">
        <f>IFERROR(VLOOKUP(A99,Climatologia_TMAX!A:U,9+$E$2,FALSE),"")</f>
        <v>26.12975922595686</v>
      </c>
      <c r="AS99" s="68">
        <f t="shared" si="8"/>
        <v>2.1878878328666644</v>
      </c>
      <c r="AT99" s="74">
        <f t="shared" si="9"/>
        <v>31.2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31.2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99" s="69">
        <f t="shared" si="10"/>
        <v>0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38.200000000000003</v>
      </c>
      <c r="L100" s="66">
        <v>38.4</v>
      </c>
      <c r="M100" s="66">
        <v>36.4</v>
      </c>
      <c r="N100" s="66">
        <v>36.6</v>
      </c>
      <c r="O100" s="66">
        <v>40.799999999999997</v>
      </c>
      <c r="P100" s="66">
        <v>37.200000000000003</v>
      </c>
      <c r="Q100" s="66">
        <v>35.4</v>
      </c>
      <c r="R100" s="66">
        <v>37.799999999999997</v>
      </c>
      <c r="S100" s="66">
        <v>34.799999999999997</v>
      </c>
      <c r="T100" s="66">
        <v>31.2</v>
      </c>
      <c r="U100" s="66">
        <v>38</v>
      </c>
      <c r="V100" s="66">
        <v>36.799999999999997</v>
      </c>
      <c r="W100" s="66">
        <v>31.2</v>
      </c>
      <c r="X100" s="66">
        <v>36.200000000000003</v>
      </c>
      <c r="Y100" s="66"/>
      <c r="Z100" s="107">
        <v>34.799999999999997</v>
      </c>
      <c r="AA100" s="66">
        <v>38.4</v>
      </c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16</v>
      </c>
      <c r="AQ100" s="68">
        <f t="shared" si="7"/>
        <v>36.387499999999996</v>
      </c>
      <c r="AR100" s="68">
        <f>IFERROR(VLOOKUP(A100,Climatologia_TMAX!A:U,9+$E$2,FALSE),"")</f>
        <v>34.046032364428797</v>
      </c>
      <c r="AS100" s="68">
        <f t="shared" si="8"/>
        <v>2.341467635571199</v>
      </c>
      <c r="AT100" s="74">
        <f t="shared" si="9"/>
        <v>40.799999999999997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42.6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0" s="69">
        <f t="shared" si="10"/>
        <v>-1.8000000000000043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31.700400856919199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29</v>
      </c>
      <c r="L102" s="66">
        <v>28.2</v>
      </c>
      <c r="M102" s="66">
        <v>29.6</v>
      </c>
      <c r="N102" s="66">
        <v>30.6</v>
      </c>
      <c r="O102" s="66">
        <v>33.200000000000003</v>
      </c>
      <c r="P102" s="66">
        <v>31.2</v>
      </c>
      <c r="Q102" s="66">
        <v>30</v>
      </c>
      <c r="R102" s="66">
        <v>27.6</v>
      </c>
      <c r="S102" s="66">
        <v>31.4</v>
      </c>
      <c r="T102" s="66">
        <v>28.2</v>
      </c>
      <c r="U102" s="66">
        <v>31.4</v>
      </c>
      <c r="V102" s="66">
        <v>32.799999999999997</v>
      </c>
      <c r="W102" s="66">
        <v>27.4</v>
      </c>
      <c r="X102" s="66">
        <v>28.8</v>
      </c>
      <c r="Y102" s="66">
        <v>33</v>
      </c>
      <c r="Z102" s="66">
        <v>30.4</v>
      </c>
      <c r="AA102" s="66">
        <v>28.8</v>
      </c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17</v>
      </c>
      <c r="AQ102" s="68">
        <f t="shared" si="7"/>
        <v>30.094117647058823</v>
      </c>
      <c r="AR102" s="68">
        <f>IFERROR(VLOOKUP(A102,Climatologia_TMAX!A:U,9+$E$2,FALSE),"")</f>
        <v>27.475000000000001</v>
      </c>
      <c r="AS102" s="68">
        <f t="shared" si="8"/>
        <v>2.6191176470588218</v>
      </c>
      <c r="AT102" s="74">
        <f t="shared" si="9"/>
        <v>33.200000000000003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102" s="69">
        <f t="shared" si="10"/>
        <v>-0.39999999999999858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24.23607134255354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30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36.799999999999997</v>
      </c>
      <c r="L104" s="66">
        <v>35.6</v>
      </c>
      <c r="M104" s="66">
        <v>29.6</v>
      </c>
      <c r="N104" s="66">
        <v>36.799999999999997</v>
      </c>
      <c r="O104" s="66">
        <v>38.4</v>
      </c>
      <c r="P104" s="66">
        <v>39.200000000000003</v>
      </c>
      <c r="Q104" s="66">
        <v>38.4</v>
      </c>
      <c r="R104" s="66">
        <v>36.799999999999997</v>
      </c>
      <c r="S104" s="66">
        <v>37.200000000000003</v>
      </c>
      <c r="T104" s="66">
        <v>30.2</v>
      </c>
      <c r="U104" s="66">
        <v>38.4</v>
      </c>
      <c r="V104" s="66">
        <v>33.6</v>
      </c>
      <c r="W104" s="66">
        <v>31.2</v>
      </c>
      <c r="X104" s="66">
        <v>37.4</v>
      </c>
      <c r="Y104" s="66">
        <v>40.4</v>
      </c>
      <c r="Z104" s="66">
        <v>38.200000000000003</v>
      </c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16</v>
      </c>
      <c r="AQ104" s="68">
        <f t="shared" si="7"/>
        <v>36.137500000000003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40.4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4" s="69">
        <f t="shared" si="10"/>
        <v>-1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30.8</v>
      </c>
      <c r="L105" s="66">
        <v>24.2</v>
      </c>
      <c r="M105" s="66">
        <v>31.8</v>
      </c>
      <c r="N105" s="66">
        <v>32.799999999999997</v>
      </c>
      <c r="O105" s="66">
        <v>34.799999999999997</v>
      </c>
      <c r="P105" s="66">
        <v>34.200000000000003</v>
      </c>
      <c r="Q105" s="66">
        <v>34.4</v>
      </c>
      <c r="R105" s="66">
        <v>27.6</v>
      </c>
      <c r="S105" s="66">
        <v>33.4</v>
      </c>
      <c r="T105" s="66">
        <v>31.8</v>
      </c>
      <c r="U105" s="66">
        <v>31</v>
      </c>
      <c r="V105" s="66">
        <v>31.2</v>
      </c>
      <c r="W105" s="66">
        <v>34</v>
      </c>
      <c r="X105" s="66">
        <v>33.200000000000003</v>
      </c>
      <c r="Y105" s="66">
        <v>33.799999999999997</v>
      </c>
      <c r="Z105" s="66">
        <v>32.799999999999997</v>
      </c>
      <c r="AA105" s="66">
        <v>28.4</v>
      </c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17</v>
      </c>
      <c r="AQ105" s="68">
        <f t="shared" si="7"/>
        <v>31.776470588235291</v>
      </c>
      <c r="AR105" s="68">
        <f>IFERROR(VLOOKUP(A105,Climatologia_TMAX!A:U,9+$E$2,FALSE),"")</f>
        <v>31.46119106137748</v>
      </c>
      <c r="AS105" s="68">
        <f t="shared" si="8"/>
        <v>0.31527952685781102</v>
      </c>
      <c r="AT105" s="74">
        <f t="shared" si="9"/>
        <v>34.799999999999997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05" s="69">
        <f t="shared" si="10"/>
        <v>-1.2000000000000028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26.6</v>
      </c>
      <c r="L106" s="66">
        <v>25.8</v>
      </c>
      <c r="M106" s="66">
        <v>26.2</v>
      </c>
      <c r="N106" s="66">
        <v>29</v>
      </c>
      <c r="O106" s="66">
        <v>28.8</v>
      </c>
      <c r="P106" s="66">
        <v>28</v>
      </c>
      <c r="Q106" s="66">
        <v>28.4</v>
      </c>
      <c r="R106" s="66">
        <v>27.4</v>
      </c>
      <c r="S106" s="66">
        <v>29</v>
      </c>
      <c r="T106" s="66">
        <v>24.4</v>
      </c>
      <c r="U106" s="66">
        <v>28.4</v>
      </c>
      <c r="V106" s="66">
        <v>27</v>
      </c>
      <c r="W106" s="66">
        <v>27.4</v>
      </c>
      <c r="X106" s="66">
        <v>27.4</v>
      </c>
      <c r="Y106" s="66">
        <v>29.6</v>
      </c>
      <c r="Z106" s="66">
        <v>27.6</v>
      </c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16</v>
      </c>
      <c r="AQ106" s="68">
        <f t="shared" si="7"/>
        <v>27.5625</v>
      </c>
      <c r="AR106" s="68">
        <f>IFERROR(VLOOKUP(A106,Climatologia_TMAX!A:U,9+$E$2,FALSE),"")</f>
        <v>25.6659761051374</v>
      </c>
      <c r="AS106" s="68">
        <f t="shared" si="8"/>
        <v>1.8965238948626002</v>
      </c>
      <c r="AT106" s="74">
        <f t="shared" si="9"/>
        <v>29.6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>
        <v>22</v>
      </c>
      <c r="L107" s="66">
        <v>19.2</v>
      </c>
      <c r="M107" s="66">
        <v>23</v>
      </c>
      <c r="N107" s="66">
        <v>23.4</v>
      </c>
      <c r="O107" s="66">
        <v>24.8</v>
      </c>
      <c r="P107" s="66">
        <v>22.8</v>
      </c>
      <c r="Q107" s="66">
        <v>22.8</v>
      </c>
      <c r="R107" s="66">
        <v>20.2</v>
      </c>
      <c r="S107" s="66">
        <v>23</v>
      </c>
      <c r="T107" s="66">
        <v>21.8</v>
      </c>
      <c r="U107" s="66">
        <v>20.2</v>
      </c>
      <c r="V107" s="66">
        <v>20.6</v>
      </c>
      <c r="W107" s="66">
        <v>22.6</v>
      </c>
      <c r="X107" s="66">
        <v>23</v>
      </c>
      <c r="Y107" s="66">
        <v>24.6</v>
      </c>
      <c r="Z107" s="66">
        <v>22</v>
      </c>
      <c r="AA107" s="66">
        <v>18.600000000000001</v>
      </c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17</v>
      </c>
      <c r="AQ107" s="68">
        <f t="shared" si="7"/>
        <v>22.035294117647062</v>
      </c>
      <c r="AR107" s="68">
        <f>IFERROR(VLOOKUP(A107,Climatologia_TMAX!A:U,9+$E$2,FALSE),"")</f>
        <v>19.749019002595482</v>
      </c>
      <c r="AS107" s="68">
        <f t="shared" si="8"/>
        <v>2.2862751150515805</v>
      </c>
      <c r="AT107" s="74">
        <f t="shared" si="9"/>
        <v>24.8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25.4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107" s="69">
        <f t="shared" si="10"/>
        <v>-0.59999999999999787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33.799999999999997</v>
      </c>
      <c r="L108" s="66">
        <v>25.6</v>
      </c>
      <c r="M108" s="66">
        <v>31.8</v>
      </c>
      <c r="N108" s="66">
        <v>34.6</v>
      </c>
      <c r="O108" s="66">
        <v>35</v>
      </c>
      <c r="P108" s="66">
        <v>34.200000000000003</v>
      </c>
      <c r="Q108" s="66">
        <v>34.799999999999997</v>
      </c>
      <c r="R108" s="66">
        <v>29.2</v>
      </c>
      <c r="S108" s="66">
        <v>34.6</v>
      </c>
      <c r="T108" s="66">
        <v>32.6</v>
      </c>
      <c r="U108" s="66">
        <v>32.799999999999997</v>
      </c>
      <c r="V108" s="66">
        <v>31.8</v>
      </c>
      <c r="W108" s="66">
        <v>35.6</v>
      </c>
      <c r="X108" s="66">
        <v>35.799999999999997</v>
      </c>
      <c r="Y108" s="66">
        <v>34.799999999999997</v>
      </c>
      <c r="Z108" s="66">
        <v>35.200000000000003</v>
      </c>
      <c r="AA108" s="66">
        <v>29.8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17</v>
      </c>
      <c r="AQ108" s="68">
        <f t="shared" si="7"/>
        <v>33.058823529411768</v>
      </c>
      <c r="AR108" s="68">
        <f>IFERROR(VLOOKUP(A108,Climatologia_TMAX!A:U,9+$E$2,FALSE),"")</f>
        <v>31.76613503829833</v>
      </c>
      <c r="AS108" s="68">
        <f t="shared" si="8"/>
        <v>1.292688491113438</v>
      </c>
      <c r="AT108" s="74">
        <f t="shared" si="9"/>
        <v>35.799999999999997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38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08" s="69">
        <f t="shared" si="10"/>
        <v>-2.2000000000000028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23</v>
      </c>
      <c r="M109" s="66">
        <v>28.8</v>
      </c>
      <c r="N109" s="66">
        <v>29</v>
      </c>
      <c r="O109" s="66">
        <v>31.8</v>
      </c>
      <c r="P109" s="66">
        <v>29.8</v>
      </c>
      <c r="Q109" s="66">
        <v>28.8</v>
      </c>
      <c r="R109" s="66">
        <v>25</v>
      </c>
      <c r="S109" s="66">
        <v>30</v>
      </c>
      <c r="T109" s="66">
        <v>28</v>
      </c>
      <c r="U109" s="66">
        <v>28.6</v>
      </c>
      <c r="V109" s="66">
        <v>28.4</v>
      </c>
      <c r="W109" s="66">
        <v>29.2</v>
      </c>
      <c r="X109" s="66">
        <v>28.2</v>
      </c>
      <c r="Y109" s="66">
        <v>32</v>
      </c>
      <c r="Z109" s="66">
        <v>29.2</v>
      </c>
      <c r="AA109" s="66">
        <v>26.2</v>
      </c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17</v>
      </c>
      <c r="AQ109" s="68">
        <f t="shared" si="7"/>
        <v>28.423529411764704</v>
      </c>
      <c r="AR109" s="68">
        <f>IFERROR(VLOOKUP(A109,Climatologia_TMAX!A:U,9+$E$2,FALSE),"")</f>
        <v>26.358900836320181</v>
      </c>
      <c r="AS109" s="68">
        <f t="shared" si="8"/>
        <v>2.0646285754445231</v>
      </c>
      <c r="AT109" s="74">
        <f t="shared" si="9"/>
        <v>32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32.200000000000003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09" s="69">
        <f t="shared" si="10"/>
        <v>-0.20000000000000284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33.161277345198371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38.200000000000003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43398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33.4</v>
      </c>
      <c r="L111" s="66"/>
      <c r="M111" s="66"/>
      <c r="N111" s="66">
        <v>33.200000000000003</v>
      </c>
      <c r="O111" s="66">
        <v>36.4</v>
      </c>
      <c r="P111" s="66">
        <v>34.4</v>
      </c>
      <c r="Q111" s="66">
        <v>34.6</v>
      </c>
      <c r="R111" s="66">
        <v>34</v>
      </c>
      <c r="S111" s="66">
        <v>35.6</v>
      </c>
      <c r="T111" s="66">
        <v>35</v>
      </c>
      <c r="U111" s="66">
        <v>35.4</v>
      </c>
      <c r="V111" s="66">
        <v>35.4</v>
      </c>
      <c r="W111" s="66">
        <v>31.6</v>
      </c>
      <c r="X111" s="66">
        <v>32.6</v>
      </c>
      <c r="Y111" s="66">
        <v>36.4</v>
      </c>
      <c r="Z111" s="66">
        <v>36.6</v>
      </c>
      <c r="AA111" s="109">
        <v>34.799999999999997</v>
      </c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15</v>
      </c>
      <c r="AQ111" s="68">
        <f t="shared" si="7"/>
        <v>34.626666666666665</v>
      </c>
      <c r="AR111" s="68">
        <f>IFERROR(VLOOKUP(A111,Climatologia_TMAX!A:U,9+$E$2,FALSE),"")</f>
        <v>33.225226632766557</v>
      </c>
      <c r="AS111" s="68">
        <f t="shared" si="8"/>
        <v>1.4014400339001085</v>
      </c>
      <c r="AT111" s="74">
        <f t="shared" si="9"/>
        <v>36.6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32803</v>
      </c>
      <c r="AW111" s="69">
        <f t="shared" si="10"/>
        <v>-3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</v>
      </c>
      <c r="L112" s="66">
        <v>32</v>
      </c>
      <c r="M112" s="66">
        <v>33.6</v>
      </c>
      <c r="N112" s="66">
        <v>34</v>
      </c>
      <c r="O112" s="66">
        <v>35.4</v>
      </c>
      <c r="P112" s="66">
        <v>34.4</v>
      </c>
      <c r="Q112" s="66">
        <v>34.200000000000003</v>
      </c>
      <c r="R112" s="66">
        <v>36.200000000000003</v>
      </c>
      <c r="S112" s="66">
        <v>34.4</v>
      </c>
      <c r="T112" s="66">
        <v>35.200000000000003</v>
      </c>
      <c r="U112" s="66">
        <v>36.200000000000003</v>
      </c>
      <c r="V112" s="66">
        <v>35.6</v>
      </c>
      <c r="W112" s="66">
        <v>28.4</v>
      </c>
      <c r="X112" s="66">
        <v>32.6</v>
      </c>
      <c r="Y112" s="66">
        <v>33.6</v>
      </c>
      <c r="Z112" s="66">
        <v>36.200000000000003</v>
      </c>
      <c r="AA112" s="66">
        <v>32.799999999999997</v>
      </c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17</v>
      </c>
      <c r="AQ112" s="68">
        <f t="shared" si="7"/>
        <v>34.164705882352941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12" s="69">
        <f t="shared" si="10"/>
        <v>-2.5999999999999943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33.124514448152269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38.700000000000003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34.200000000000003</v>
      </c>
      <c r="L114" s="66"/>
      <c r="M114" s="66"/>
      <c r="N114" s="66">
        <v>34.799999999999997</v>
      </c>
      <c r="O114" s="66">
        <v>35</v>
      </c>
      <c r="P114" s="66">
        <v>32.799999999999997</v>
      </c>
      <c r="Q114" s="66">
        <v>35</v>
      </c>
      <c r="R114" s="112">
        <v>34.4</v>
      </c>
      <c r="S114" s="66">
        <v>35.200000000000003</v>
      </c>
      <c r="T114" s="66">
        <v>31.8</v>
      </c>
      <c r="U114" s="66">
        <v>35.4</v>
      </c>
      <c r="V114" s="66">
        <v>31.6</v>
      </c>
      <c r="W114" s="66">
        <v>30</v>
      </c>
      <c r="X114" s="66">
        <v>33.6</v>
      </c>
      <c r="Y114" s="66">
        <v>33.6</v>
      </c>
      <c r="Z114" s="66">
        <v>35.200000000000003</v>
      </c>
      <c r="AA114" s="66">
        <v>31.4</v>
      </c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15</v>
      </c>
      <c r="AQ114" s="68">
        <f t="shared" si="7"/>
        <v>33.6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35.4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37.200000000000003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35733</v>
      </c>
      <c r="AW114" s="69">
        <f t="shared" si="10"/>
        <v>-1.8000000000000043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/>
      <c r="L115" s="66">
        <v>38.200000000000003</v>
      </c>
      <c r="M115" s="66">
        <v>37.200000000000003</v>
      </c>
      <c r="N115" s="66">
        <v>37.200000000000003</v>
      </c>
      <c r="O115" s="66">
        <v>38</v>
      </c>
      <c r="P115" s="66">
        <v>36</v>
      </c>
      <c r="Q115" s="66">
        <v>33.6</v>
      </c>
      <c r="R115" s="66">
        <v>36</v>
      </c>
      <c r="S115" s="66">
        <v>36.799999999999997</v>
      </c>
      <c r="T115" s="66">
        <v>37.200000000000003</v>
      </c>
      <c r="U115" s="66">
        <v>37</v>
      </c>
      <c r="V115" s="66">
        <v>36.799999999999997</v>
      </c>
      <c r="W115" s="66">
        <v>30.4</v>
      </c>
      <c r="X115" s="66">
        <v>34.799999999999997</v>
      </c>
      <c r="Y115" s="66">
        <v>37.6</v>
      </c>
      <c r="Z115" s="66">
        <v>38</v>
      </c>
      <c r="AA115" s="66">
        <v>37.799999999999997</v>
      </c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16</v>
      </c>
      <c r="AQ115" s="68">
        <f t="shared" si="7"/>
        <v>36.412500000000001</v>
      </c>
      <c r="AR115" s="68">
        <f>IFERROR(VLOOKUP(A115,Climatologia_TMAX!A:U,9+$E$2,FALSE),"")</f>
        <v>33.872222148065752</v>
      </c>
      <c r="AS115" s="68">
        <f t="shared" si="8"/>
        <v>2.540277851934249</v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39.799999999999997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15" s="69">
        <f t="shared" si="10"/>
        <v>-1.5999999999999943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36.799999999999997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42663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32.670952188091228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40469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34.6</v>
      </c>
      <c r="L118" s="66">
        <v>35.4</v>
      </c>
      <c r="M118" s="66">
        <v>33.4</v>
      </c>
      <c r="N118" s="66">
        <v>33.799999999999997</v>
      </c>
      <c r="O118" s="66">
        <v>36.200000000000003</v>
      </c>
      <c r="P118" s="66">
        <v>34.6</v>
      </c>
      <c r="Q118" s="66">
        <v>35</v>
      </c>
      <c r="R118" s="66">
        <v>32.6</v>
      </c>
      <c r="S118" s="66">
        <v>34.200000000000003</v>
      </c>
      <c r="T118" s="66">
        <v>34.4</v>
      </c>
      <c r="U118" s="66">
        <v>33.6</v>
      </c>
      <c r="V118" s="66">
        <v>33.4</v>
      </c>
      <c r="W118" s="66">
        <v>31.6</v>
      </c>
      <c r="X118" s="66">
        <v>31.2</v>
      </c>
      <c r="Y118" s="66">
        <v>34.4</v>
      </c>
      <c r="Z118" s="66">
        <v>35</v>
      </c>
      <c r="AA118" s="66">
        <v>33.6</v>
      </c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17</v>
      </c>
      <c r="AQ118" s="68">
        <f t="shared" si="7"/>
        <v>33.941176470588232</v>
      </c>
      <c r="AR118" s="68">
        <f>IFERROR(VLOOKUP(A118,Climatologia_TMAX!A:U,9+$E$2,FALSE),"")</f>
        <v>32.347748461253239</v>
      </c>
      <c r="AS118" s="68">
        <f t="shared" si="8"/>
        <v>1.5934280093349926</v>
      </c>
      <c r="AT118" s="74">
        <f t="shared" si="9"/>
        <v>36.200000000000003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38.4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35348</v>
      </c>
      <c r="AW118" s="69">
        <f t="shared" si="10"/>
        <v>-2.1999999999999957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</v>
      </c>
      <c r="L119" s="66">
        <v>34.799999999999997</v>
      </c>
      <c r="M119" s="66">
        <v>31.2</v>
      </c>
      <c r="N119" s="66">
        <v>33.799999999999997</v>
      </c>
      <c r="O119" s="66">
        <v>36.200000000000003</v>
      </c>
      <c r="P119" s="66">
        <v>33.6</v>
      </c>
      <c r="Q119" s="66">
        <v>33.200000000000003</v>
      </c>
      <c r="R119" s="66">
        <v>34.200000000000003</v>
      </c>
      <c r="S119" s="66">
        <v>34.6</v>
      </c>
      <c r="T119" s="66">
        <v>35.200000000000003</v>
      </c>
      <c r="U119" s="66">
        <v>35.4</v>
      </c>
      <c r="V119" s="66">
        <v>32.799999999999997</v>
      </c>
      <c r="W119" s="66">
        <v>32</v>
      </c>
      <c r="X119" s="66">
        <v>35.200000000000003</v>
      </c>
      <c r="Y119" s="66">
        <v>37.4</v>
      </c>
      <c r="Z119" s="66">
        <v>37.6</v>
      </c>
      <c r="AA119" s="66">
        <v>33.4</v>
      </c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17</v>
      </c>
      <c r="AQ119" s="68">
        <f t="shared" si="7"/>
        <v>34.388235294117649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37.6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39.799999999999997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44119</v>
      </c>
      <c r="AW119" s="69">
        <f t="shared" si="10"/>
        <v>-2.1999999999999957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</v>
      </c>
      <c r="L120" s="66">
        <v>34.6</v>
      </c>
      <c r="M120" s="66">
        <v>30</v>
      </c>
      <c r="N120" s="66">
        <v>34.200000000000003</v>
      </c>
      <c r="O120" s="66">
        <v>35.799999999999997</v>
      </c>
      <c r="P120" s="66">
        <v>33.6</v>
      </c>
      <c r="Q120" s="66">
        <v>35</v>
      </c>
      <c r="R120" s="66">
        <v>35</v>
      </c>
      <c r="S120" s="66">
        <v>34.799999999999997</v>
      </c>
      <c r="T120" s="66">
        <v>31.4</v>
      </c>
      <c r="U120" s="66">
        <v>31.8</v>
      </c>
      <c r="V120" s="66">
        <v>34</v>
      </c>
      <c r="W120" s="66">
        <v>33</v>
      </c>
      <c r="X120" s="66">
        <v>33.799999999999997</v>
      </c>
      <c r="Y120" s="66"/>
      <c r="Z120" s="66">
        <v>35.200000000000003</v>
      </c>
      <c r="AA120" s="66">
        <v>28.8</v>
      </c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16</v>
      </c>
      <c r="AQ120" s="68">
        <f t="shared" si="7"/>
        <v>33.4375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35.799999999999997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37.4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20" s="69">
        <f t="shared" si="10"/>
        <v>-1.6000000000000014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21.342004720344551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25.8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45589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29.2</v>
      </c>
      <c r="L122" s="66">
        <v>26.4</v>
      </c>
      <c r="M122" s="66">
        <v>27.2</v>
      </c>
      <c r="N122" s="66">
        <v>30.2</v>
      </c>
      <c r="O122" s="66">
        <v>29.4</v>
      </c>
      <c r="P122" s="66">
        <v>27.6</v>
      </c>
      <c r="Q122" s="66">
        <v>28.4</v>
      </c>
      <c r="R122" s="66">
        <v>27.8</v>
      </c>
      <c r="S122" s="66">
        <v>28.8</v>
      </c>
      <c r="T122" s="66">
        <v>26.2</v>
      </c>
      <c r="U122" s="66">
        <v>29.2</v>
      </c>
      <c r="V122" s="66">
        <v>27</v>
      </c>
      <c r="W122" s="66">
        <v>25.4</v>
      </c>
      <c r="X122" s="66">
        <v>27.8</v>
      </c>
      <c r="Y122" s="66">
        <v>30.4</v>
      </c>
      <c r="Z122" s="66">
        <v>26.8</v>
      </c>
      <c r="AA122" s="66">
        <v>28</v>
      </c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17</v>
      </c>
      <c r="AQ122" s="68">
        <f t="shared" si="7"/>
        <v>27.988235294117647</v>
      </c>
      <c r="AR122" s="68">
        <f>IFERROR(VLOOKUP(A122,Climatologia_TMAX!A:U,9+$E$2,FALSE),"")</f>
        <v>27.10387096774193</v>
      </c>
      <c r="AS122" s="68">
        <f t="shared" si="8"/>
        <v>0.88436432637571727</v>
      </c>
      <c r="AT122" s="74">
        <f t="shared" si="9"/>
        <v>30.4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31.8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36079</v>
      </c>
      <c r="AW122" s="69">
        <f t="shared" si="10"/>
        <v>-1.4000000000000021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29.6</v>
      </c>
      <c r="M123" s="66">
        <v>32</v>
      </c>
      <c r="N123" s="66">
        <v>31</v>
      </c>
      <c r="O123" s="66">
        <v>33.4</v>
      </c>
      <c r="P123" s="66">
        <v>33.6</v>
      </c>
      <c r="Q123" s="66">
        <v>29.8</v>
      </c>
      <c r="R123" s="66">
        <v>32.6</v>
      </c>
      <c r="S123" s="66">
        <v>33.4</v>
      </c>
      <c r="T123" s="66">
        <v>31</v>
      </c>
      <c r="U123" s="66"/>
      <c r="V123" s="66"/>
      <c r="W123" s="66">
        <v>33.200000000000003</v>
      </c>
      <c r="X123" s="66">
        <v>33.6</v>
      </c>
      <c r="Y123" s="66">
        <v>34.4</v>
      </c>
      <c r="Z123" s="66">
        <v>33.4</v>
      </c>
      <c r="AA123" s="66">
        <v>29.4</v>
      </c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15</v>
      </c>
      <c r="AQ123" s="68">
        <f t="shared" si="7"/>
        <v>32.199999999999996</v>
      </c>
      <c r="AR123" s="68">
        <f>IFERROR(VLOOKUP(A123,Climatologia_TMAX!A:U,9+$E$2,FALSE),"")</f>
        <v>31.008190582128289</v>
      </c>
      <c r="AS123" s="68">
        <f t="shared" si="8"/>
        <v>1.1918094178717062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45577</v>
      </c>
      <c r="AW123" s="69">
        <f t="shared" si="10"/>
        <v>-1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32</v>
      </c>
      <c r="L124" s="66">
        <v>30</v>
      </c>
      <c r="M124" s="66">
        <v>32.799999999999997</v>
      </c>
      <c r="N124" s="66">
        <v>32.6</v>
      </c>
      <c r="O124" s="66">
        <v>34.200000000000003</v>
      </c>
      <c r="P124" s="66">
        <v>34.4</v>
      </c>
      <c r="Q124" s="66">
        <v>30</v>
      </c>
      <c r="R124" s="66">
        <v>33</v>
      </c>
      <c r="S124" s="66">
        <v>34.200000000000003</v>
      </c>
      <c r="T124" s="66">
        <v>34</v>
      </c>
      <c r="U124" s="66">
        <v>33.4</v>
      </c>
      <c r="V124" s="66">
        <v>30.4</v>
      </c>
      <c r="W124" s="66">
        <v>34.799999999999997</v>
      </c>
      <c r="X124" s="66">
        <v>34.4</v>
      </c>
      <c r="Y124" s="66">
        <v>34.200000000000003</v>
      </c>
      <c r="Z124" s="66">
        <v>33.799999999999997</v>
      </c>
      <c r="AA124" s="66">
        <v>30.2</v>
      </c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17</v>
      </c>
      <c r="AQ124" s="68">
        <f t="shared" si="7"/>
        <v>32.847058823529409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34.799999999999997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38.6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38635</v>
      </c>
      <c r="AW124" s="69">
        <f t="shared" si="10"/>
        <v>-3.8000000000000043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28.6</v>
      </c>
      <c r="L127" s="66">
        <v>25.2</v>
      </c>
      <c r="M127" s="66">
        <v>25.2</v>
      </c>
      <c r="N127" s="66">
        <v>28</v>
      </c>
      <c r="O127" s="66">
        <v>29.6</v>
      </c>
      <c r="P127" s="66">
        <v>27</v>
      </c>
      <c r="Q127" s="66">
        <v>25.6</v>
      </c>
      <c r="R127" s="66">
        <v>27.2</v>
      </c>
      <c r="S127" s="66">
        <v>24</v>
      </c>
      <c r="T127" s="66">
        <v>22</v>
      </c>
      <c r="U127" s="66">
        <v>27.6</v>
      </c>
      <c r="V127" s="66">
        <v>21.2</v>
      </c>
      <c r="W127" s="66">
        <v>20</v>
      </c>
      <c r="X127" s="66">
        <v>26.8</v>
      </c>
      <c r="Y127" s="66">
        <v>29.6</v>
      </c>
      <c r="Z127" s="66">
        <v>26</v>
      </c>
      <c r="AA127" s="66">
        <v>22.2</v>
      </c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17</v>
      </c>
      <c r="AQ127" s="68">
        <f t="shared" si="7"/>
        <v>25.63529411764706</v>
      </c>
      <c r="AR127" s="68">
        <f>IFERROR(VLOOKUP(A127,Climatologia_TMAX!A:U,9+$E$2,FALSE),"")</f>
        <v>23.50285964206472</v>
      </c>
      <c r="AS127" s="68">
        <f t="shared" si="8"/>
        <v>2.1324344755823397</v>
      </c>
      <c r="AT127" s="74">
        <f t="shared" si="9"/>
        <v>29.6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23</v>
      </c>
      <c r="L128" s="66">
        <v>24.6</v>
      </c>
      <c r="M128" s="66">
        <v>21.6</v>
      </c>
      <c r="N128" s="66">
        <v>22</v>
      </c>
      <c r="O128" s="66">
        <v>21</v>
      </c>
      <c r="P128" s="66">
        <v>20.8</v>
      </c>
      <c r="Q128" s="66">
        <v>22.4</v>
      </c>
      <c r="R128" s="66">
        <v>21.2</v>
      </c>
      <c r="S128" s="66">
        <v>22.2</v>
      </c>
      <c r="T128" s="66">
        <v>18.8</v>
      </c>
      <c r="U128" s="66">
        <v>21.8</v>
      </c>
      <c r="V128" s="66">
        <v>18.399999999999999</v>
      </c>
      <c r="W128" s="112">
        <v>15.2</v>
      </c>
      <c r="X128" s="66">
        <v>18.399999999999999</v>
      </c>
      <c r="Y128" s="66">
        <v>17.600000000000001</v>
      </c>
      <c r="Z128" s="66"/>
      <c r="AA128" s="66">
        <v>21.4</v>
      </c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16</v>
      </c>
      <c r="AQ128" s="68">
        <f t="shared" si="7"/>
        <v>20.65</v>
      </c>
      <c r="AR128" s="68">
        <f>IFERROR(VLOOKUP(A128,Climatologia_TMAX!A:U,9+$E$2,FALSE),"")</f>
        <v>19.301716634983411</v>
      </c>
      <c r="AS128" s="68">
        <f t="shared" si="8"/>
        <v>1.348283365016588</v>
      </c>
      <c r="AT128" s="74">
        <f t="shared" si="9"/>
        <v>24.6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28" s="69">
        <f t="shared" si="10"/>
        <v>0.20000000000000284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29</v>
      </c>
      <c r="L129" s="66">
        <v>29</v>
      </c>
      <c r="M129" s="66">
        <v>27.4</v>
      </c>
      <c r="N129" s="66">
        <v>28.4</v>
      </c>
      <c r="O129" s="66">
        <v>30.2</v>
      </c>
      <c r="P129" s="66">
        <v>27.6</v>
      </c>
      <c r="Q129" s="66">
        <v>28.2</v>
      </c>
      <c r="R129" s="66">
        <v>29.4</v>
      </c>
      <c r="S129" s="66">
        <v>29.8</v>
      </c>
      <c r="T129" s="66">
        <v>26.6</v>
      </c>
      <c r="U129" s="66">
        <v>28</v>
      </c>
      <c r="V129" s="66">
        <v>24.6</v>
      </c>
      <c r="W129" s="66">
        <v>29.8</v>
      </c>
      <c r="X129" s="66">
        <v>29.8</v>
      </c>
      <c r="Y129" s="66">
        <v>29</v>
      </c>
      <c r="Z129" s="66">
        <v>28.8</v>
      </c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16</v>
      </c>
      <c r="AQ129" s="68">
        <f t="shared" si="7"/>
        <v>28.475000000000005</v>
      </c>
      <c r="AR129" s="68">
        <f>IFERROR(VLOOKUP(A129,Climatologia_TMAX!A:U,9+$E$2,FALSE),"")</f>
        <v>26.47612810776095</v>
      </c>
      <c r="AS129" s="68">
        <f t="shared" si="8"/>
        <v>1.9988718922390554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32.49860476759401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>
        <v>20.399999999999999</v>
      </c>
      <c r="T131" s="66"/>
      <c r="U131" s="66">
        <v>21.2</v>
      </c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20.533467741935489</v>
      </c>
      <c r="AS131" s="68" t="str">
        <f t="shared" si="8"/>
        <v/>
      </c>
      <c r="AT131" s="74">
        <f t="shared" si="9"/>
        <v>21.2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21.575504552836041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34980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21</v>
      </c>
      <c r="L133" s="66">
        <v>18.2</v>
      </c>
      <c r="M133" s="66">
        <v>19.600000000000001</v>
      </c>
      <c r="N133" s="66">
        <v>20.8</v>
      </c>
      <c r="O133" s="66">
        <v>21.4</v>
      </c>
      <c r="P133" s="66"/>
      <c r="Q133" s="66">
        <v>22.4</v>
      </c>
      <c r="R133" s="66">
        <v>20.399999999999999</v>
      </c>
      <c r="S133" s="66">
        <v>21.2</v>
      </c>
      <c r="T133" s="66">
        <v>20</v>
      </c>
      <c r="U133" s="66"/>
      <c r="V133" s="66">
        <v>21.4</v>
      </c>
      <c r="W133" s="66">
        <v>18</v>
      </c>
      <c r="X133" s="66">
        <v>21</v>
      </c>
      <c r="Y133" s="66">
        <v>22.2</v>
      </c>
      <c r="Z133" s="66">
        <v>20.2</v>
      </c>
      <c r="AA133" s="66">
        <v>20.6</v>
      </c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15</v>
      </c>
      <c r="AQ133" s="68">
        <f t="shared" ref="AQ133:AQ196" si="12">IF(AP133&gt;14,AVERAGE(K133:AO133),"")</f>
        <v>20.560000000000002</v>
      </c>
      <c r="AR133" s="68">
        <f>IFERROR(VLOOKUP(A133,Climatologia_TMAX!A:U,9+$E$2,FALSE),"")</f>
        <v>17.187530713792</v>
      </c>
      <c r="AS133" s="68">
        <f t="shared" ref="AS133:AS196" si="13">IF(OR(AQ133="",AR133=""),"",IFERROR(AQ133-AR133,""))</f>
        <v>3.3724692862080019</v>
      </c>
      <c r="AT133" s="74">
        <f t="shared" ref="AT133:AT196" si="14">IF(COUNT(K133:AO133)=0,"",MAX(K133:AO133))</f>
        <v>22.4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23.4</v>
      </c>
      <c r="L135" s="66">
        <v>21.8</v>
      </c>
      <c r="M135" s="66">
        <v>23.6</v>
      </c>
      <c r="N135" s="66">
        <v>23.5</v>
      </c>
      <c r="O135" s="66">
        <v>25</v>
      </c>
      <c r="P135" s="66">
        <v>25.2</v>
      </c>
      <c r="Q135" s="66">
        <v>22.8</v>
      </c>
      <c r="R135" s="66">
        <v>22.4</v>
      </c>
      <c r="S135" s="66">
        <v>23</v>
      </c>
      <c r="T135" s="66">
        <v>22.8</v>
      </c>
      <c r="U135" s="66">
        <v>25.6</v>
      </c>
      <c r="V135" s="66">
        <v>23.6</v>
      </c>
      <c r="W135" s="66">
        <v>23.6</v>
      </c>
      <c r="X135" s="66">
        <v>22.8</v>
      </c>
      <c r="Y135" s="66">
        <v>23</v>
      </c>
      <c r="Z135" s="66">
        <v>23.4</v>
      </c>
      <c r="AA135" s="66">
        <v>23.6</v>
      </c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17</v>
      </c>
      <c r="AQ135" s="68">
        <f t="shared" si="12"/>
        <v>23.476470588235298</v>
      </c>
      <c r="AR135" s="68">
        <f>IFERROR(VLOOKUP(A135,Climatologia_TMAX!A:U,9+$E$2,FALSE),"")</f>
        <v>24.002986857825569</v>
      </c>
      <c r="AS135" s="68">
        <f t="shared" si="13"/>
        <v>-0.52651626959027098</v>
      </c>
      <c r="AT135" s="74">
        <f t="shared" si="14"/>
        <v>25.6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28.6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35345</v>
      </c>
      <c r="AW135" s="69">
        <f t="shared" si="15"/>
        <v>-3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23.8</v>
      </c>
      <c r="L138" s="66">
        <v>20</v>
      </c>
      <c r="M138" s="66">
        <v>21</v>
      </c>
      <c r="N138" s="66">
        <v>23</v>
      </c>
      <c r="O138" s="66">
        <v>23.6</v>
      </c>
      <c r="P138" s="66">
        <v>21</v>
      </c>
      <c r="Q138" s="66">
        <v>20.2</v>
      </c>
      <c r="R138" s="112">
        <v>21</v>
      </c>
      <c r="S138" s="66">
        <v>20.399999999999999</v>
      </c>
      <c r="T138" s="66">
        <v>18.399999999999999</v>
      </c>
      <c r="U138" s="66">
        <v>22.6</v>
      </c>
      <c r="V138" s="117">
        <v>16</v>
      </c>
      <c r="W138" s="66">
        <v>15.2</v>
      </c>
      <c r="X138" s="66">
        <v>21</v>
      </c>
      <c r="Y138" s="66">
        <v>24.1</v>
      </c>
      <c r="Z138" s="66">
        <v>21</v>
      </c>
      <c r="AA138" s="66">
        <v>20.8</v>
      </c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17</v>
      </c>
      <c r="AQ138" s="68">
        <f t="shared" si="12"/>
        <v>20.77058823529412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24.2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41199</v>
      </c>
      <c r="AW138" s="69">
        <f t="shared" si="15"/>
        <v>-9.9999999999997868E-2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23.8</v>
      </c>
      <c r="L139" s="66">
        <v>20</v>
      </c>
      <c r="M139" s="66">
        <v>22.6</v>
      </c>
      <c r="N139" s="66">
        <v>23.6</v>
      </c>
      <c r="O139" s="66">
        <v>24</v>
      </c>
      <c r="P139" s="66">
        <v>22.8</v>
      </c>
      <c r="Q139" s="66">
        <v>22.8</v>
      </c>
      <c r="R139" s="66">
        <v>23</v>
      </c>
      <c r="S139" s="66">
        <v>25</v>
      </c>
      <c r="T139" s="66">
        <v>22.2</v>
      </c>
      <c r="U139" s="66">
        <v>23.4</v>
      </c>
      <c r="V139" s="66">
        <v>20.6</v>
      </c>
      <c r="W139" s="66">
        <v>24.8</v>
      </c>
      <c r="X139" s="66">
        <v>24</v>
      </c>
      <c r="Y139" s="66">
        <v>24</v>
      </c>
      <c r="Z139" s="66">
        <v>23.2</v>
      </c>
      <c r="AA139" s="66">
        <v>23</v>
      </c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17</v>
      </c>
      <c r="AQ139" s="68">
        <f t="shared" si="12"/>
        <v>23.105882352941176</v>
      </c>
      <c r="AR139" s="68">
        <f>IFERROR(VLOOKUP(A139,Climatologia_TMAX!A:U,9+$E$2,FALSE),"")</f>
        <v>22.410933280987589</v>
      </c>
      <c r="AS139" s="68">
        <f t="shared" si="13"/>
        <v>0.69494907195358735</v>
      </c>
      <c r="AT139" s="74">
        <f t="shared" si="14"/>
        <v>25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29.4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39723</v>
      </c>
      <c r="AW139" s="69">
        <f t="shared" si="15"/>
        <v>-4.3999999999999986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21.714389205721421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40099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22.6</v>
      </c>
      <c r="L141" s="66">
        <v>18.399999999999999</v>
      </c>
      <c r="M141" s="66">
        <v>18.8</v>
      </c>
      <c r="N141" s="66">
        <v>20.399999999999999</v>
      </c>
      <c r="O141" s="66">
        <v>23.6</v>
      </c>
      <c r="P141" s="66">
        <v>22.4</v>
      </c>
      <c r="Q141" s="66">
        <v>18</v>
      </c>
      <c r="R141" s="66">
        <v>18.8</v>
      </c>
      <c r="S141" s="66">
        <v>20.8</v>
      </c>
      <c r="T141" s="66">
        <v>18</v>
      </c>
      <c r="U141" s="66">
        <v>20</v>
      </c>
      <c r="V141" s="66">
        <v>18</v>
      </c>
      <c r="W141" s="66">
        <v>18.399999999999999</v>
      </c>
      <c r="X141" s="66">
        <v>20.8</v>
      </c>
      <c r="Y141" s="66">
        <v>22.2</v>
      </c>
      <c r="Z141" s="66">
        <v>19.600000000000001</v>
      </c>
      <c r="AA141" s="66">
        <v>19.2</v>
      </c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17</v>
      </c>
      <c r="AQ141" s="68">
        <f t="shared" si="12"/>
        <v>20</v>
      </c>
      <c r="AR141" s="68">
        <f>IFERROR(VLOOKUP(A141,Climatologia_TMAX!A:U,9+$E$2,FALSE),"")</f>
        <v>18.953763440860211</v>
      </c>
      <c r="AS141" s="68">
        <f t="shared" si="13"/>
        <v>1.0462365591397891</v>
      </c>
      <c r="AT141" s="74">
        <f t="shared" si="14"/>
        <v>23.6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24.8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39371</v>
      </c>
      <c r="AW141" s="69">
        <f t="shared" si="15"/>
        <v>-1.1999999999999993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22.4</v>
      </c>
      <c r="L142" s="66">
        <v>18.2</v>
      </c>
      <c r="M142" s="66">
        <v>19.399999999999999</v>
      </c>
      <c r="N142" s="66">
        <v>21.2</v>
      </c>
      <c r="O142" s="66">
        <v>22.4</v>
      </c>
      <c r="P142" s="66">
        <v>22</v>
      </c>
      <c r="Q142" s="66">
        <v>20.8</v>
      </c>
      <c r="R142" s="66">
        <v>20</v>
      </c>
      <c r="S142" s="66">
        <v>22</v>
      </c>
      <c r="T142" s="66">
        <v>20</v>
      </c>
      <c r="U142" s="66">
        <v>21</v>
      </c>
      <c r="V142" s="66">
        <v>16.399999999999999</v>
      </c>
      <c r="W142" s="66">
        <v>20.8</v>
      </c>
      <c r="X142" s="66">
        <v>22.6</v>
      </c>
      <c r="Y142" s="66">
        <v>22.4</v>
      </c>
      <c r="Z142" s="66">
        <v>21.6</v>
      </c>
      <c r="AA142" s="66">
        <v>21.8</v>
      </c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17</v>
      </c>
      <c r="AQ142" s="68">
        <f t="shared" si="12"/>
        <v>20.882352941176475</v>
      </c>
      <c r="AR142" s="68">
        <f>IFERROR(VLOOKUP(A142,Climatologia_TMAX!A:U,9+$E$2,FALSE),"")</f>
        <v>19.709141522326391</v>
      </c>
      <c r="AS142" s="68">
        <f t="shared" si="13"/>
        <v>1.1732114188500837</v>
      </c>
      <c r="AT142" s="74">
        <f t="shared" si="14"/>
        <v>22.6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24.6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142" s="69">
        <f t="shared" si="15"/>
        <v>-2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35.6</v>
      </c>
      <c r="L143" s="66"/>
      <c r="M143" s="66">
        <v>33.200000000000003</v>
      </c>
      <c r="N143" s="66">
        <v>35</v>
      </c>
      <c r="O143" s="66">
        <v>31</v>
      </c>
      <c r="P143" s="66">
        <v>30</v>
      </c>
      <c r="Q143" s="66"/>
      <c r="R143" s="66"/>
      <c r="S143" s="66"/>
      <c r="T143" s="66"/>
      <c r="U143" s="66"/>
      <c r="V143" s="66"/>
      <c r="W143" s="66">
        <v>34.200000000000003</v>
      </c>
      <c r="X143" s="66">
        <v>35</v>
      </c>
      <c r="Y143" s="66">
        <v>34</v>
      </c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8</v>
      </c>
      <c r="AQ143" s="68" t="str">
        <f t="shared" si="12"/>
        <v/>
      </c>
      <c r="AR143" s="68">
        <f>IFERROR(VLOOKUP(A143,Climatologia_TMAX!A:U,9+$E$2,FALSE),"")</f>
        <v>31.894814814814811</v>
      </c>
      <c r="AS143" s="68" t="str">
        <f t="shared" si="13"/>
        <v/>
      </c>
      <c r="AT143" s="74">
        <f t="shared" si="14"/>
        <v>35.6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43" s="69">
        <f t="shared" si="15"/>
        <v>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29144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23.4</v>
      </c>
      <c r="M145" s="66">
        <v>24</v>
      </c>
      <c r="N145" s="66">
        <v>21.2</v>
      </c>
      <c r="O145" s="66">
        <v>19.2</v>
      </c>
      <c r="P145" s="66">
        <v>25.2</v>
      </c>
      <c r="Q145" s="66">
        <v>20.399999999999999</v>
      </c>
      <c r="R145" s="66">
        <v>25.4</v>
      </c>
      <c r="S145" s="66">
        <v>20.399999999999999</v>
      </c>
      <c r="T145" s="66">
        <v>23</v>
      </c>
      <c r="U145" s="66">
        <v>23.2</v>
      </c>
      <c r="V145" s="66">
        <v>21.4</v>
      </c>
      <c r="W145" s="66">
        <v>21.2</v>
      </c>
      <c r="X145" s="66">
        <v>21.2</v>
      </c>
      <c r="Y145" s="66">
        <v>24.6</v>
      </c>
      <c r="Z145" s="66">
        <v>20.399999999999999</v>
      </c>
      <c r="AA145" s="66">
        <v>22.2</v>
      </c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17</v>
      </c>
      <c r="AQ145" s="68">
        <f t="shared" si="12"/>
        <v>22.28235294117647</v>
      </c>
      <c r="AR145" s="68">
        <f>IFERROR(VLOOKUP(A145,Climatologia_TMAX!A:U,9+$E$2,FALSE),"")</f>
        <v>21.095906298003069</v>
      </c>
      <c r="AS145" s="68">
        <f t="shared" si="13"/>
        <v>1.1864466431734009</v>
      </c>
      <c r="AT145" s="74">
        <f t="shared" si="14"/>
        <v>25.4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25.8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145" s="69">
        <f t="shared" si="15"/>
        <v>-0.40000000000000213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23.8</v>
      </c>
      <c r="L146" s="66">
        <v>22.2</v>
      </c>
      <c r="M146" s="66"/>
      <c r="N146" s="66">
        <v>23.2</v>
      </c>
      <c r="O146" s="66">
        <v>26.4</v>
      </c>
      <c r="P146" s="66">
        <v>25</v>
      </c>
      <c r="Q146" s="66">
        <v>20</v>
      </c>
      <c r="R146" s="66">
        <v>21.8</v>
      </c>
      <c r="S146" s="66">
        <v>23.2</v>
      </c>
      <c r="T146" s="66"/>
      <c r="U146" s="66"/>
      <c r="V146" s="66"/>
      <c r="W146" s="66">
        <v>22.4</v>
      </c>
      <c r="X146" s="66">
        <v>22.4</v>
      </c>
      <c r="Y146" s="66">
        <v>25.6</v>
      </c>
      <c r="Z146" s="66">
        <v>23</v>
      </c>
      <c r="AA146" s="66">
        <v>22.2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13</v>
      </c>
      <c r="AQ146" s="68" t="str">
        <f t="shared" si="12"/>
        <v/>
      </c>
      <c r="AR146" s="68">
        <f>IFERROR(VLOOKUP(A146,Climatologia_TMAX!A:U,9+$E$2,FALSE),"")</f>
        <v>21.688279684503559</v>
      </c>
      <c r="AS146" s="68" t="str">
        <f t="shared" si="13"/>
        <v/>
      </c>
      <c r="AT146" s="74">
        <f t="shared" si="14"/>
        <v>26.4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46" s="69">
        <f t="shared" si="15"/>
        <v>0.39999999999999858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26.4</v>
      </c>
      <c r="L147" s="66">
        <v>21</v>
      </c>
      <c r="M147" s="66">
        <v>22.6</v>
      </c>
      <c r="N147" s="66">
        <v>25.2</v>
      </c>
      <c r="O147" s="66">
        <v>25.2</v>
      </c>
      <c r="P147" s="66">
        <v>24.8</v>
      </c>
      <c r="Q147" s="66">
        <v>22.2</v>
      </c>
      <c r="R147" s="66">
        <v>24</v>
      </c>
      <c r="S147" s="66">
        <v>24.2</v>
      </c>
      <c r="T147" s="66">
        <v>22</v>
      </c>
      <c r="U147" s="66">
        <v>22.4</v>
      </c>
      <c r="V147" s="66">
        <v>19.399999999999999</v>
      </c>
      <c r="W147" s="66">
        <v>24.4</v>
      </c>
      <c r="X147" s="66">
        <v>25</v>
      </c>
      <c r="Y147" s="66">
        <v>25.6</v>
      </c>
      <c r="Z147" s="66">
        <v>25.4</v>
      </c>
      <c r="AA147" s="66">
        <v>24.4</v>
      </c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17</v>
      </c>
      <c r="AQ147" s="68">
        <f t="shared" si="12"/>
        <v>23.776470588235291</v>
      </c>
      <c r="AR147" s="68">
        <f>IFERROR(VLOOKUP(A147,Climatologia_TMAX!A:U,9+$E$2,FALSE),"")</f>
        <v>23.700333704115678</v>
      </c>
      <c r="AS147" s="68">
        <f t="shared" si="13"/>
        <v>7.6136884119613057E-2</v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27.6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40831</v>
      </c>
      <c r="AW147" s="69">
        <f t="shared" si="15"/>
        <v>-1.2000000000000028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26.2</v>
      </c>
      <c r="M148" s="66">
        <v>28.2</v>
      </c>
      <c r="N148" s="66">
        <v>26.2</v>
      </c>
      <c r="O148" s="66">
        <v>26.4</v>
      </c>
      <c r="P148" s="66">
        <v>27.2</v>
      </c>
      <c r="Q148" s="66">
        <v>29.2</v>
      </c>
      <c r="R148" s="66">
        <v>27.2</v>
      </c>
      <c r="S148" s="66">
        <v>26.4</v>
      </c>
      <c r="T148" s="66">
        <v>26.2</v>
      </c>
      <c r="U148" s="66"/>
      <c r="V148" s="66">
        <v>25.2</v>
      </c>
      <c r="W148" s="66">
        <v>26.2</v>
      </c>
      <c r="X148" s="66">
        <v>27.2</v>
      </c>
      <c r="Y148" s="66">
        <v>26.2</v>
      </c>
      <c r="Z148" s="66">
        <v>27.2</v>
      </c>
      <c r="AA148" s="66">
        <v>26.2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16</v>
      </c>
      <c r="AQ148" s="68">
        <f t="shared" si="12"/>
        <v>26.724999999999994</v>
      </c>
      <c r="AR148" s="68">
        <f>IFERROR(VLOOKUP(A148,Climatologia_TMAX!A:U,9+$E$2,FALSE),"")</f>
        <v>26.287220368310471</v>
      </c>
      <c r="AS148" s="68">
        <f t="shared" si="13"/>
        <v>0.43777963168952283</v>
      </c>
      <c r="AT148" s="74">
        <f t="shared" si="14"/>
        <v>29.2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42664</v>
      </c>
      <c r="AW148" s="69">
        <f t="shared" si="15"/>
        <v>-1.4000000000000021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33.582480533926592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30.510252543978901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37.6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40091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35.799999999999997</v>
      </c>
      <c r="L151" s="66">
        <v>35.6</v>
      </c>
      <c r="M151" s="66">
        <v>34.6</v>
      </c>
      <c r="N151" s="66">
        <v>35.200000000000003</v>
      </c>
      <c r="O151" s="66">
        <v>34.799999999999997</v>
      </c>
      <c r="P151" s="66">
        <v>35</v>
      </c>
      <c r="Q151" s="66">
        <v>36.6</v>
      </c>
      <c r="R151" s="66">
        <v>34.200000000000003</v>
      </c>
      <c r="S151" s="66">
        <v>34</v>
      </c>
      <c r="T151" s="66">
        <v>35</v>
      </c>
      <c r="U151" s="66">
        <v>35</v>
      </c>
      <c r="V151" s="66">
        <v>35</v>
      </c>
      <c r="W151" s="66"/>
      <c r="X151" s="66"/>
      <c r="Y151" s="66">
        <v>36</v>
      </c>
      <c r="Z151" s="66">
        <v>36</v>
      </c>
      <c r="AA151" s="66">
        <v>28.4</v>
      </c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15</v>
      </c>
      <c r="AQ151" s="68">
        <f t="shared" si="12"/>
        <v>34.74666666666667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21.716293093808339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23.2</v>
      </c>
      <c r="L153" s="66">
        <v>19.2</v>
      </c>
      <c r="M153" s="66">
        <v>19.8</v>
      </c>
      <c r="N153" s="66">
        <v>22.2</v>
      </c>
      <c r="O153" s="66">
        <v>24.4</v>
      </c>
      <c r="P153" s="66">
        <v>24.2</v>
      </c>
      <c r="Q153" s="66">
        <v>21.6</v>
      </c>
      <c r="R153" s="66">
        <v>22.6</v>
      </c>
      <c r="S153" s="66">
        <v>22.4</v>
      </c>
      <c r="T153" s="109">
        <v>20.6</v>
      </c>
      <c r="U153" s="66">
        <v>22.2</v>
      </c>
      <c r="V153" s="66">
        <v>21</v>
      </c>
      <c r="W153" s="66">
        <v>22.2</v>
      </c>
      <c r="X153" s="66">
        <v>23.6</v>
      </c>
      <c r="Y153" s="66">
        <v>23.6</v>
      </c>
      <c r="Z153" s="66">
        <v>22.2</v>
      </c>
      <c r="AA153" s="66">
        <v>23</v>
      </c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17</v>
      </c>
      <c r="AQ153" s="68">
        <f t="shared" si="12"/>
        <v>22.235294117647058</v>
      </c>
      <c r="AR153" s="68">
        <f>IFERROR(VLOOKUP(A153,Climatologia_TMAX!A:U,9+$E$2,FALSE),"")</f>
        <v>18.654668342410279</v>
      </c>
      <c r="AS153" s="68">
        <f t="shared" si="13"/>
        <v>3.5806257752367792</v>
      </c>
      <c r="AT153" s="74">
        <f t="shared" si="14"/>
        <v>24.4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43036</v>
      </c>
      <c r="AW153" s="69">
        <f t="shared" si="15"/>
        <v>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21.4</v>
      </c>
      <c r="L154" s="66">
        <v>18</v>
      </c>
      <c r="M154" s="66">
        <v>18.399999999999999</v>
      </c>
      <c r="N154" s="66">
        <v>19.600000000000001</v>
      </c>
      <c r="O154" s="66">
        <v>23</v>
      </c>
      <c r="P154" s="66">
        <v>22.2</v>
      </c>
      <c r="Q154" s="66">
        <v>19.2</v>
      </c>
      <c r="R154" s="66">
        <v>20.2</v>
      </c>
      <c r="S154" s="66">
        <v>21.2</v>
      </c>
      <c r="T154" s="66">
        <v>18.399999999999999</v>
      </c>
      <c r="U154" s="66">
        <v>19.8</v>
      </c>
      <c r="V154" s="66">
        <v>18.2</v>
      </c>
      <c r="W154" s="66">
        <v>19.2</v>
      </c>
      <c r="X154" s="66">
        <v>21.4</v>
      </c>
      <c r="Y154" s="66">
        <v>22</v>
      </c>
      <c r="Z154" s="66">
        <v>20</v>
      </c>
      <c r="AA154" s="66">
        <v>21</v>
      </c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17</v>
      </c>
      <c r="AQ154" s="68">
        <f t="shared" si="12"/>
        <v>20.188235294117646</v>
      </c>
      <c r="AR154" s="68">
        <f>IFERROR(VLOOKUP(A154,Climatologia_TMAX!A:U,9+$E$2,FALSE),"")</f>
        <v>19.149984586047989</v>
      </c>
      <c r="AS154" s="68">
        <f t="shared" si="13"/>
        <v>1.0382507080696577</v>
      </c>
      <c r="AT154" s="74">
        <f t="shared" si="14"/>
        <v>23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23.1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33161</v>
      </c>
      <c r="AW154" s="69">
        <f t="shared" si="15"/>
        <v>-0.10000000000000142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23.548125283236519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24.6</v>
      </c>
      <c r="L156" s="66">
        <v>19.2</v>
      </c>
      <c r="M156" s="66">
        <v>21.2</v>
      </c>
      <c r="N156" s="66">
        <v>23.6</v>
      </c>
      <c r="O156" s="66">
        <v>25</v>
      </c>
      <c r="P156" s="66">
        <v>23</v>
      </c>
      <c r="Q156" s="66">
        <v>22</v>
      </c>
      <c r="R156" s="66">
        <v>23.6</v>
      </c>
      <c r="S156" s="66">
        <v>23.8</v>
      </c>
      <c r="T156" s="66">
        <v>21.8</v>
      </c>
      <c r="U156" s="66">
        <v>23</v>
      </c>
      <c r="V156" s="66">
        <v>18.399999999999999</v>
      </c>
      <c r="W156" s="66">
        <v>24.2</v>
      </c>
      <c r="X156" s="66">
        <v>24.4</v>
      </c>
      <c r="Y156" s="66">
        <v>24.6</v>
      </c>
      <c r="Z156" s="66">
        <v>21.8</v>
      </c>
      <c r="AA156" s="66">
        <v>23.4</v>
      </c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17</v>
      </c>
      <c r="AQ156" s="68">
        <f t="shared" si="12"/>
        <v>22.799999999999997</v>
      </c>
      <c r="AR156" s="68">
        <f>IFERROR(VLOOKUP(A156,Climatologia_TMAX!A:U,9+$E$2,FALSE),"")</f>
        <v>21.836735879372139</v>
      </c>
      <c r="AS156" s="68">
        <f t="shared" si="13"/>
        <v>0.96326412062785849</v>
      </c>
      <c r="AT156" s="74">
        <f t="shared" si="14"/>
        <v>25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56" s="69">
        <f t="shared" si="15"/>
        <v>-1.3999999999999986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25.6</v>
      </c>
      <c r="L158" s="66">
        <v>22.4</v>
      </c>
      <c r="M158" s="66">
        <v>23.8</v>
      </c>
      <c r="N158" s="66">
        <v>24</v>
      </c>
      <c r="O158" s="66">
        <v>26.2</v>
      </c>
      <c r="P158" s="66">
        <v>26</v>
      </c>
      <c r="Q158" s="66">
        <v>24.4</v>
      </c>
      <c r="R158" s="66">
        <v>25</v>
      </c>
      <c r="S158" s="66">
        <v>26.4</v>
      </c>
      <c r="T158" s="66">
        <v>24.6</v>
      </c>
      <c r="U158" s="66">
        <v>25</v>
      </c>
      <c r="V158" s="66">
        <v>22</v>
      </c>
      <c r="W158" s="66">
        <v>26</v>
      </c>
      <c r="X158" s="66">
        <v>26.2</v>
      </c>
      <c r="Y158" s="66">
        <v>26.8</v>
      </c>
      <c r="Z158" s="66">
        <v>24.8</v>
      </c>
      <c r="AA158" s="66">
        <v>25</v>
      </c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17</v>
      </c>
      <c r="AQ158" s="68">
        <f t="shared" si="12"/>
        <v>24.952941176470588</v>
      </c>
      <c r="AR158" s="68">
        <f>IFERROR(VLOOKUP(A158,Climatologia_TMAX!A:U,9+$E$2,FALSE),"")</f>
        <v>24.249334588288981</v>
      </c>
      <c r="AS158" s="68">
        <f t="shared" si="13"/>
        <v>0.70360658818160715</v>
      </c>
      <c r="AT158" s="74">
        <f t="shared" si="14"/>
        <v>26.8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28.8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40459</v>
      </c>
      <c r="AW158" s="69">
        <f t="shared" si="15"/>
        <v>-2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28.934220428680462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34.299999999999997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32.200000000000003</v>
      </c>
      <c r="L160" s="66">
        <v>29.8</v>
      </c>
      <c r="M160" s="66">
        <v>32.799999999999997</v>
      </c>
      <c r="N160" s="66">
        <v>32.799999999999997</v>
      </c>
      <c r="O160" s="66">
        <v>32.4</v>
      </c>
      <c r="P160" s="66">
        <v>32</v>
      </c>
      <c r="Q160" s="66">
        <v>32.6</v>
      </c>
      <c r="R160" s="66">
        <v>32.4</v>
      </c>
      <c r="S160" s="66">
        <v>32.6</v>
      </c>
      <c r="T160" s="66">
        <v>30.2</v>
      </c>
      <c r="U160" s="66">
        <v>29.8</v>
      </c>
      <c r="V160" s="66">
        <v>31.2</v>
      </c>
      <c r="W160" s="66">
        <v>33</v>
      </c>
      <c r="X160" s="66">
        <v>33.799999999999997</v>
      </c>
      <c r="Y160" s="66">
        <v>32.200000000000003</v>
      </c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15</v>
      </c>
      <c r="AQ160" s="68">
        <f t="shared" si="12"/>
        <v>31.986666666666668</v>
      </c>
      <c r="AR160" s="68">
        <f>IFERROR(VLOOKUP(A160,Climatologia_TMAX!A:U,9+$E$2,FALSE),"")</f>
        <v>29.71458941824261</v>
      </c>
      <c r="AS160" s="68">
        <f t="shared" si="13"/>
        <v>2.2720772484240577</v>
      </c>
      <c r="AT160" s="74">
        <f t="shared" si="14"/>
        <v>33.799999999999997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29.789914567038039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32.799999999999997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26.640664716626159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26.405044779099288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32.4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19.2</v>
      </c>
      <c r="L164" s="66">
        <v>16.2</v>
      </c>
      <c r="M164" s="66">
        <v>17.600000000000001</v>
      </c>
      <c r="N164" s="66">
        <v>21.8</v>
      </c>
      <c r="O164" s="66">
        <v>24</v>
      </c>
      <c r="P164" s="66">
        <v>22.8</v>
      </c>
      <c r="Q164" s="66">
        <v>22.4</v>
      </c>
      <c r="R164" s="66">
        <v>20.6</v>
      </c>
      <c r="S164" s="66">
        <v>18.8</v>
      </c>
      <c r="T164" s="66">
        <v>21.6</v>
      </c>
      <c r="U164" s="109">
        <v>19.8</v>
      </c>
      <c r="V164" s="66">
        <v>18.8</v>
      </c>
      <c r="W164" s="66">
        <v>16</v>
      </c>
      <c r="X164" s="66">
        <v>19</v>
      </c>
      <c r="Y164" s="66">
        <v>20.8</v>
      </c>
      <c r="Z164" s="66">
        <v>17.2</v>
      </c>
      <c r="AA164" s="66">
        <v>18.8</v>
      </c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17</v>
      </c>
      <c r="AQ164" s="68">
        <f t="shared" si="12"/>
        <v>19.729411764705883</v>
      </c>
      <c r="AR164" s="68">
        <f>IFERROR(VLOOKUP(A164,Climatologia_TMAX!A:U,9+$E$2,FALSE),"")</f>
        <v>17.920674115362662</v>
      </c>
      <c r="AS164" s="68">
        <f t="shared" si="13"/>
        <v>1.8087376493432217</v>
      </c>
      <c r="AT164" s="74">
        <f t="shared" si="14"/>
        <v>24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45206</v>
      </c>
      <c r="AW164" s="69">
        <f t="shared" si="15"/>
        <v>0.19999999999999929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16</v>
      </c>
      <c r="L165" s="66">
        <v>15</v>
      </c>
      <c r="M165" s="66">
        <v>16.2</v>
      </c>
      <c r="N165" s="66">
        <v>16.399999999999999</v>
      </c>
      <c r="O165" s="66">
        <v>15.6</v>
      </c>
      <c r="P165" s="66">
        <v>19</v>
      </c>
      <c r="Q165" s="66">
        <v>18.399999999999999</v>
      </c>
      <c r="R165" s="66">
        <v>18.8</v>
      </c>
      <c r="S165" s="66">
        <v>18.399999999999999</v>
      </c>
      <c r="T165" s="66">
        <v>17.8</v>
      </c>
      <c r="U165" s="66">
        <v>16.2</v>
      </c>
      <c r="V165" s="66">
        <v>16.8</v>
      </c>
      <c r="W165" s="66">
        <v>16.399999999999999</v>
      </c>
      <c r="X165" s="66">
        <v>16</v>
      </c>
      <c r="Y165" s="66">
        <v>16.399999999999999</v>
      </c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15</v>
      </c>
      <c r="AQ165" s="68">
        <f t="shared" si="12"/>
        <v>16.893333333333334</v>
      </c>
      <c r="AR165" s="68">
        <f>IFERROR(VLOOKUP(A165,Climatologia_TMAX!A:U,9+$E$2,FALSE),"")</f>
        <v>15.000064516129029</v>
      </c>
      <c r="AS165" s="68">
        <f t="shared" si="13"/>
        <v>1.8932688172043051</v>
      </c>
      <c r="AT165" s="74">
        <f t="shared" si="14"/>
        <v>19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40105</v>
      </c>
      <c r="AW165" s="69">
        <f t="shared" si="15"/>
        <v>-0.80000000000000071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16.8</v>
      </c>
      <c r="L166" s="66">
        <v>14.8</v>
      </c>
      <c r="M166" s="66">
        <v>15.2</v>
      </c>
      <c r="N166" s="66">
        <v>17.399999999999999</v>
      </c>
      <c r="O166" s="66">
        <v>20.6</v>
      </c>
      <c r="P166" s="66">
        <v>20.2</v>
      </c>
      <c r="Q166" s="66">
        <v>19.600000000000001</v>
      </c>
      <c r="R166" s="66">
        <v>18.2</v>
      </c>
      <c r="S166" s="66">
        <v>17.2</v>
      </c>
      <c r="T166" s="66">
        <v>18.8</v>
      </c>
      <c r="U166" s="66">
        <v>16</v>
      </c>
      <c r="V166" s="66">
        <v>16.399999999999999</v>
      </c>
      <c r="W166" s="66">
        <v>19.2</v>
      </c>
      <c r="X166" s="66">
        <v>19.600000000000001</v>
      </c>
      <c r="Y166" s="66">
        <v>17.600000000000001</v>
      </c>
      <c r="Z166" s="66">
        <v>15.7</v>
      </c>
      <c r="AA166" s="66">
        <v>15.8</v>
      </c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17</v>
      </c>
      <c r="AQ166" s="68">
        <f t="shared" si="12"/>
        <v>17.594117647058823</v>
      </c>
      <c r="AR166" s="68">
        <f>IFERROR(VLOOKUP(A166,Climatologia_TMAX!A:U,9+$E$2,FALSE),"")</f>
        <v>16.482139196613019</v>
      </c>
      <c r="AS166" s="68">
        <f t="shared" si="13"/>
        <v>1.1119784504458039</v>
      </c>
      <c r="AT166" s="74">
        <f t="shared" si="14"/>
        <v>20.6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32445</v>
      </c>
      <c r="AW166" s="69">
        <f t="shared" si="15"/>
        <v>-1.3999999999999986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15.2</v>
      </c>
      <c r="L167" s="66">
        <v>13.8</v>
      </c>
      <c r="M167" s="66">
        <v>14.4</v>
      </c>
      <c r="N167" s="66">
        <v>17.600000000000001</v>
      </c>
      <c r="O167" s="66">
        <v>21.2</v>
      </c>
      <c r="P167" s="66">
        <v>18.8</v>
      </c>
      <c r="Q167" s="66">
        <v>18.600000000000001</v>
      </c>
      <c r="R167" s="66">
        <v>17.8</v>
      </c>
      <c r="S167" s="66">
        <v>18</v>
      </c>
      <c r="T167" s="66">
        <v>19.2</v>
      </c>
      <c r="U167" s="109">
        <v>17.2</v>
      </c>
      <c r="V167" s="66">
        <v>16.399999999999999</v>
      </c>
      <c r="W167" s="66">
        <v>15.8</v>
      </c>
      <c r="X167" s="66">
        <v>18.2</v>
      </c>
      <c r="Y167" s="66">
        <v>18.2</v>
      </c>
      <c r="Z167" s="66">
        <v>15</v>
      </c>
      <c r="AA167" s="66">
        <v>17.600000000000001</v>
      </c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17</v>
      </c>
      <c r="AQ167" s="68">
        <f t="shared" si="12"/>
        <v>17.235294117647058</v>
      </c>
      <c r="AR167" s="68">
        <f>IFERROR(VLOOKUP(A167,Climatologia_TMAX!A:U,9+$E$2,FALSE),"")</f>
        <v>16.434784946236562</v>
      </c>
      <c r="AS167" s="68">
        <f t="shared" si="13"/>
        <v>0.80050917141049638</v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45222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21.8</v>
      </c>
      <c r="L168" s="66">
        <v>20</v>
      </c>
      <c r="M168" s="66">
        <v>22.4</v>
      </c>
      <c r="N168" s="66">
        <v>21.6</v>
      </c>
      <c r="O168" s="66">
        <v>27.2</v>
      </c>
      <c r="P168" s="66">
        <v>26.2</v>
      </c>
      <c r="Q168" s="66">
        <v>25.6</v>
      </c>
      <c r="R168" s="66">
        <v>22.2</v>
      </c>
      <c r="S168" s="66">
        <v>24.8</v>
      </c>
      <c r="T168" s="66">
        <v>25.2</v>
      </c>
      <c r="U168" s="109">
        <v>22.6</v>
      </c>
      <c r="V168" s="66">
        <v>22.4</v>
      </c>
      <c r="W168" s="66">
        <v>22.4</v>
      </c>
      <c r="X168" s="66">
        <v>23.8</v>
      </c>
      <c r="Y168" s="66">
        <v>23.8</v>
      </c>
      <c r="Z168" s="66">
        <v>21.8</v>
      </c>
      <c r="AA168" s="66">
        <v>22</v>
      </c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17</v>
      </c>
      <c r="AQ168" s="68">
        <f t="shared" si="12"/>
        <v>23.28235294117647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27.2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43374</v>
      </c>
      <c r="AW168" s="69">
        <f t="shared" si="15"/>
        <v>-0.19999999999999929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29.769897498625099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33.131577060931903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22.69299064261245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30615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24.2</v>
      </c>
      <c r="L172" s="66">
        <v>22.8</v>
      </c>
      <c r="M172" s="66">
        <v>23.2</v>
      </c>
      <c r="N172" s="66">
        <v>26.6</v>
      </c>
      <c r="O172" s="66">
        <v>23.6</v>
      </c>
      <c r="P172" s="66">
        <v>23.4</v>
      </c>
      <c r="Q172" s="66">
        <v>22.6</v>
      </c>
      <c r="R172" s="66">
        <v>21.6</v>
      </c>
      <c r="S172" s="66">
        <v>24.8</v>
      </c>
      <c r="T172" s="66">
        <v>24.4</v>
      </c>
      <c r="U172" s="66">
        <v>24.6</v>
      </c>
      <c r="V172" s="66">
        <v>19.399999999999999</v>
      </c>
      <c r="W172" s="66">
        <v>18.399999999999999</v>
      </c>
      <c r="X172" s="66">
        <v>21.6</v>
      </c>
      <c r="Y172" s="66">
        <v>24.8</v>
      </c>
      <c r="Z172" s="66">
        <v>22.6</v>
      </c>
      <c r="AA172" s="66">
        <v>22.8</v>
      </c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17</v>
      </c>
      <c r="AQ172" s="68">
        <f t="shared" si="12"/>
        <v>23.023529411764709</v>
      </c>
      <c r="AR172" s="68">
        <f>IFERROR(VLOOKUP(A172,Climatologia_TMAX!A:U,9+$E$2,FALSE),"")</f>
        <v>20.925136024421342</v>
      </c>
      <c r="AS172" s="68">
        <f t="shared" si="13"/>
        <v>2.0983933873433678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34994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17.399999999999999</v>
      </c>
      <c r="M173" s="66">
        <v>20.6</v>
      </c>
      <c r="N173" s="66">
        <v>23.4</v>
      </c>
      <c r="O173" s="66">
        <v>24.6</v>
      </c>
      <c r="P173" s="66">
        <v>23.6</v>
      </c>
      <c r="Q173" s="66">
        <v>23.2</v>
      </c>
      <c r="R173" s="66">
        <v>22.2</v>
      </c>
      <c r="S173" s="66">
        <v>22.6</v>
      </c>
      <c r="T173" s="66">
        <v>23.4</v>
      </c>
      <c r="U173" s="66">
        <v>22.2</v>
      </c>
      <c r="V173" s="66">
        <v>22.6</v>
      </c>
      <c r="W173" s="66">
        <v>23.6</v>
      </c>
      <c r="X173" s="66">
        <v>24</v>
      </c>
      <c r="Y173" s="66">
        <v>23.6</v>
      </c>
      <c r="Z173" s="66">
        <v>21.2</v>
      </c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16</v>
      </c>
      <c r="AQ173" s="68">
        <f t="shared" si="12"/>
        <v>22.475000000000001</v>
      </c>
      <c r="AR173" s="68">
        <f>IFERROR(VLOOKUP(A173,Climatologia_TMAX!A:U,9+$E$2,FALSE),"")</f>
        <v>21.08840053763441</v>
      </c>
      <c r="AS173" s="68">
        <f t="shared" si="13"/>
        <v>1.3865994623655915</v>
      </c>
      <c r="AT173" s="74">
        <f t="shared" si="14"/>
        <v>24.6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26.4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73" s="69">
        <f t="shared" si="15"/>
        <v>-1.7999999999999972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21.951417315535782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44865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18.600000000000001</v>
      </c>
      <c r="L175" s="66">
        <v>16</v>
      </c>
      <c r="M175" s="66">
        <v>17.8</v>
      </c>
      <c r="N175" s="66">
        <v>22</v>
      </c>
      <c r="O175" s="66">
        <v>24.6</v>
      </c>
      <c r="P175" s="66">
        <v>24.2</v>
      </c>
      <c r="Q175" s="66">
        <v>21.6</v>
      </c>
      <c r="R175" s="66">
        <v>19.600000000000001</v>
      </c>
      <c r="S175" s="66">
        <v>19.8</v>
      </c>
      <c r="T175" s="66">
        <v>20.399999999999999</v>
      </c>
      <c r="U175" s="109">
        <v>18.399999999999999</v>
      </c>
      <c r="V175" s="66">
        <v>18.3</v>
      </c>
      <c r="W175" s="66">
        <v>16.399999999999999</v>
      </c>
      <c r="X175" s="66">
        <v>19.600000000000001</v>
      </c>
      <c r="Y175" s="66">
        <v>20.399999999999999</v>
      </c>
      <c r="Z175" s="66">
        <v>17.399999999999999</v>
      </c>
      <c r="AA175" s="66">
        <v>19</v>
      </c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17</v>
      </c>
      <c r="AQ175" s="68">
        <f t="shared" si="12"/>
        <v>19.652941176470591</v>
      </c>
      <c r="AR175" s="68">
        <f>IFERROR(VLOOKUP(A175,Climatologia_TMAX!A:U,9+$E$2,FALSE),"")</f>
        <v>18.033624191488482</v>
      </c>
      <c r="AS175" s="68">
        <f t="shared" si="13"/>
        <v>1.6193169849821096</v>
      </c>
      <c r="AT175" s="74">
        <f t="shared" si="14"/>
        <v>24.6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175" s="69">
        <f t="shared" si="15"/>
        <v>0.60000000000000142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19.3</v>
      </c>
      <c r="L176" s="66">
        <v>16.899999999999999</v>
      </c>
      <c r="M176" s="66">
        <v>20.7</v>
      </c>
      <c r="N176" s="66">
        <v>19.8</v>
      </c>
      <c r="O176" s="66">
        <v>21.7</v>
      </c>
      <c r="P176" s="66">
        <v>18.899999999999999</v>
      </c>
      <c r="Q176" s="66">
        <v>18.2</v>
      </c>
      <c r="R176" s="66">
        <v>18.899999999999999</v>
      </c>
      <c r="S176" s="66">
        <v>21.3</v>
      </c>
      <c r="T176" s="66">
        <v>20.399999999999999</v>
      </c>
      <c r="U176" s="109">
        <v>19.899999999999999</v>
      </c>
      <c r="V176" s="109">
        <v>16.600000000000001</v>
      </c>
      <c r="W176" s="66">
        <v>15.7</v>
      </c>
      <c r="X176" s="66">
        <v>20.3</v>
      </c>
      <c r="Y176" s="66">
        <v>23.5</v>
      </c>
      <c r="Z176" s="66">
        <v>18.7</v>
      </c>
      <c r="AA176" s="66">
        <v>19.2</v>
      </c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17</v>
      </c>
      <c r="AQ176" s="68">
        <f t="shared" si="12"/>
        <v>19.411764705882351</v>
      </c>
      <c r="AR176" s="68">
        <f>IFERROR(VLOOKUP(A176,Climatologia_TMAX!A:U,9+$E$2,FALSE),"")</f>
        <v>18.320838709677421</v>
      </c>
      <c r="AS176" s="68">
        <f t="shared" si="13"/>
        <v>1.0909259962049305</v>
      </c>
      <c r="AT176" s="74">
        <f t="shared" si="14"/>
        <v>23.5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76" s="69">
        <f t="shared" si="15"/>
        <v>-0.10000000000000142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31.422856777779131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35.799999999999997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45935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>
        <v>33</v>
      </c>
      <c r="U178" s="66">
        <v>32.6</v>
      </c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2</v>
      </c>
      <c r="AQ178" s="68" t="str">
        <f t="shared" si="12"/>
        <v/>
      </c>
      <c r="AR178" s="68">
        <f>IFERROR(VLOOKUP(A178,Climatologia_TMAX!A:U,9+$E$2,FALSE),"")</f>
        <v>31.044977396972769</v>
      </c>
      <c r="AS178" s="68" t="str">
        <f t="shared" si="13"/>
        <v/>
      </c>
      <c r="AT178" s="74">
        <f t="shared" si="14"/>
        <v>33</v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38629</v>
      </c>
      <c r="AW178" s="69">
        <f t="shared" si="15"/>
        <v>-3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35.4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20.8</v>
      </c>
      <c r="M180" s="66">
        <v>24</v>
      </c>
      <c r="N180" s="66">
        <v>28.6</v>
      </c>
      <c r="O180" s="66">
        <v>28.8</v>
      </c>
      <c r="P180" s="66">
        <v>26.4</v>
      </c>
      <c r="Q180" s="66">
        <v>24.8</v>
      </c>
      <c r="R180" s="66">
        <v>24</v>
      </c>
      <c r="S180" s="66">
        <v>26.8</v>
      </c>
      <c r="T180" s="66">
        <v>26.4</v>
      </c>
      <c r="U180" s="109">
        <v>24.8</v>
      </c>
      <c r="V180" s="66">
        <v>20.6</v>
      </c>
      <c r="W180" s="66">
        <v>20</v>
      </c>
      <c r="X180" s="66">
        <v>24.2</v>
      </c>
      <c r="Y180" s="66">
        <v>25.2</v>
      </c>
      <c r="Z180" s="66">
        <v>23.4</v>
      </c>
      <c r="AA180" s="66">
        <v>24.2</v>
      </c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17</v>
      </c>
      <c r="AQ180" s="68">
        <f t="shared" si="12"/>
        <v>24.541176470588233</v>
      </c>
      <c r="AR180" s="68">
        <f>IFERROR(VLOOKUP(A180,Climatologia_TMAX!A:U,9+$E$2,FALSE),"")</f>
        <v>22.510462148622612</v>
      </c>
      <c r="AS180" s="68">
        <f t="shared" si="13"/>
        <v>2.0307143219656218</v>
      </c>
      <c r="AT180" s="74">
        <f t="shared" si="14"/>
        <v>28.8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</v>
      </c>
      <c r="L181" s="66">
        <v>16.8</v>
      </c>
      <c r="M181" s="66">
        <v>18</v>
      </c>
      <c r="N181" s="66">
        <v>21.1</v>
      </c>
      <c r="O181" s="66">
        <v>24.8</v>
      </c>
      <c r="P181" s="66">
        <v>23</v>
      </c>
      <c r="Q181" s="66">
        <v>22</v>
      </c>
      <c r="R181" s="66">
        <v>20.100000000000001</v>
      </c>
      <c r="S181" s="66">
        <v>19</v>
      </c>
      <c r="T181" s="66">
        <v>21.8</v>
      </c>
      <c r="U181" s="109">
        <v>19.899999999999999</v>
      </c>
      <c r="V181" s="66">
        <v>18.899999999999999</v>
      </c>
      <c r="W181" s="66">
        <v>18</v>
      </c>
      <c r="X181" s="66">
        <v>20.3</v>
      </c>
      <c r="Y181" s="66">
        <v>19</v>
      </c>
      <c r="Z181" s="66">
        <v>17.8</v>
      </c>
      <c r="AA181" s="66">
        <v>20</v>
      </c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17</v>
      </c>
      <c r="AQ181" s="68">
        <f t="shared" si="12"/>
        <v>19.911764705882351</v>
      </c>
      <c r="AR181" s="68">
        <f>IFERROR(VLOOKUP(A181,Climatologia_TMAX!A:U,9+$E$2,FALSE),"")</f>
        <v>18.09181003584229</v>
      </c>
      <c r="AS181" s="68">
        <f t="shared" si="13"/>
        <v>1.8199546700400617</v>
      </c>
      <c r="AT181" s="74">
        <f t="shared" si="14"/>
        <v>24.8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24.1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45221</v>
      </c>
      <c r="AW181" s="69">
        <f t="shared" si="15"/>
        <v>0.69999999999999929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22.4</v>
      </c>
      <c r="L182" s="66">
        <v>18.8</v>
      </c>
      <c r="M182" s="66">
        <v>22.4</v>
      </c>
      <c r="N182" s="66">
        <v>22.8</v>
      </c>
      <c r="O182" s="66">
        <v>23.2</v>
      </c>
      <c r="P182" s="66">
        <v>22.8</v>
      </c>
      <c r="Q182" s="66"/>
      <c r="R182" s="66"/>
      <c r="S182" s="66">
        <v>26.4</v>
      </c>
      <c r="T182" s="66">
        <v>24.4</v>
      </c>
      <c r="U182" s="66">
        <v>23.6</v>
      </c>
      <c r="V182" s="66">
        <v>22</v>
      </c>
      <c r="W182" s="66">
        <v>21.8</v>
      </c>
      <c r="X182" s="66">
        <v>25</v>
      </c>
      <c r="Y182" s="66">
        <v>29.2</v>
      </c>
      <c r="Z182" s="66">
        <v>27.8</v>
      </c>
      <c r="AA182" s="66">
        <v>26</v>
      </c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15</v>
      </c>
      <c r="AQ182" s="68">
        <f t="shared" si="12"/>
        <v>23.90666666666667</v>
      </c>
      <c r="AR182" s="68">
        <f>IFERROR(VLOOKUP(A182,Climatologia_TMAX!A:U,9+$E$2,FALSE),"")</f>
        <v>23.355345243770479</v>
      </c>
      <c r="AS182" s="68">
        <f t="shared" si="13"/>
        <v>0.55132142289619068</v>
      </c>
      <c r="AT182" s="74">
        <f t="shared" si="14"/>
        <v>29.2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37541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24.8</v>
      </c>
      <c r="L183" s="66">
        <v>22.4</v>
      </c>
      <c r="M183" s="66">
        <v>26.8</v>
      </c>
      <c r="N183" s="66">
        <v>30</v>
      </c>
      <c r="O183" s="66">
        <v>29.6</v>
      </c>
      <c r="P183" s="66">
        <v>28.4</v>
      </c>
      <c r="Q183" s="66">
        <v>30</v>
      </c>
      <c r="R183" s="66">
        <v>26.8</v>
      </c>
      <c r="S183" s="66">
        <v>29.4</v>
      </c>
      <c r="T183" s="66">
        <v>27.6</v>
      </c>
      <c r="U183" s="66">
        <v>26.8</v>
      </c>
      <c r="V183" s="66">
        <v>25.8</v>
      </c>
      <c r="W183" s="66">
        <v>25</v>
      </c>
      <c r="X183" s="66">
        <v>28.4</v>
      </c>
      <c r="Y183" s="66">
        <v>31.8</v>
      </c>
      <c r="Z183" s="66">
        <v>25</v>
      </c>
      <c r="AA183" s="66">
        <v>28</v>
      </c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17</v>
      </c>
      <c r="AQ183" s="68">
        <f t="shared" si="12"/>
        <v>27.447058823529414</v>
      </c>
      <c r="AR183" s="68">
        <f>IFERROR(VLOOKUP(A183,Climatologia_TMAX!A:U,9+$E$2,FALSE),"")</f>
        <v>26.266167047635339</v>
      </c>
      <c r="AS183" s="68">
        <f t="shared" si="13"/>
        <v>1.1808917758940751</v>
      </c>
      <c r="AT183" s="74">
        <f t="shared" si="14"/>
        <v>31.8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41917</v>
      </c>
      <c r="AW183" s="69">
        <f t="shared" si="15"/>
        <v>0.40000000000000213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18.2</v>
      </c>
      <c r="L184" s="66">
        <v>16.8</v>
      </c>
      <c r="M184" s="66">
        <v>18.8</v>
      </c>
      <c r="N184" s="66">
        <v>19.8</v>
      </c>
      <c r="O184" s="66">
        <v>20.8</v>
      </c>
      <c r="P184" s="66">
        <v>19.600000000000001</v>
      </c>
      <c r="Q184" s="66">
        <v>15.8</v>
      </c>
      <c r="R184" s="66">
        <v>17.8</v>
      </c>
      <c r="S184" s="66">
        <v>19.399999999999999</v>
      </c>
      <c r="T184" s="66">
        <v>17.600000000000001</v>
      </c>
      <c r="U184" s="109">
        <v>15.8</v>
      </c>
      <c r="V184" s="66">
        <v>18.8</v>
      </c>
      <c r="W184" s="66">
        <v>17.399999999999999</v>
      </c>
      <c r="X184" s="66">
        <v>16.2</v>
      </c>
      <c r="Y184" s="66">
        <v>20.6</v>
      </c>
      <c r="Z184" s="66">
        <v>18.600000000000001</v>
      </c>
      <c r="AA184" s="66">
        <v>15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17</v>
      </c>
      <c r="AQ184" s="68">
        <f t="shared" si="12"/>
        <v>18.058823529411768</v>
      </c>
      <c r="AR184" s="68">
        <f>IFERROR(VLOOKUP(A184,Climatologia_TMAX!A:U,9+$E$2,FALSE),"")</f>
        <v>16.32516129032258</v>
      </c>
      <c r="AS184" s="68">
        <f t="shared" si="13"/>
        <v>1.7336622390891883</v>
      </c>
      <c r="AT184" s="74">
        <f t="shared" si="14"/>
        <v>20.8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23.4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38268</v>
      </c>
      <c r="AW184" s="69">
        <f t="shared" si="15"/>
        <v>-2.5999999999999979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29.8</v>
      </c>
      <c r="L185" s="66">
        <v>32</v>
      </c>
      <c r="M185" s="66">
        <v>32</v>
      </c>
      <c r="N185" s="66">
        <v>30</v>
      </c>
      <c r="O185" s="66">
        <v>30.4</v>
      </c>
      <c r="P185" s="66">
        <v>29.2</v>
      </c>
      <c r="Q185" s="66">
        <v>30</v>
      </c>
      <c r="R185" s="66">
        <v>29.4</v>
      </c>
      <c r="S185" s="66">
        <v>29.4</v>
      </c>
      <c r="T185" s="66">
        <v>29</v>
      </c>
      <c r="U185" s="66">
        <v>29.8</v>
      </c>
      <c r="V185" s="66">
        <v>27.4</v>
      </c>
      <c r="W185" s="66">
        <v>24.2</v>
      </c>
      <c r="X185" s="66">
        <v>30.4</v>
      </c>
      <c r="Y185" s="66">
        <v>30</v>
      </c>
      <c r="Z185" s="66">
        <v>30.2</v>
      </c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16</v>
      </c>
      <c r="AQ185" s="68">
        <f t="shared" si="12"/>
        <v>29.574999999999996</v>
      </c>
      <c r="AR185" s="68">
        <f>IFERROR(VLOOKUP(A185,Climatologia_TMAX!A:U,9+$E$2,FALSE),"")</f>
        <v>27.139364605694318</v>
      </c>
      <c r="AS185" s="68">
        <f t="shared" si="13"/>
        <v>2.4356353943056774</v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42284</v>
      </c>
      <c r="AW185" s="69">
        <f t="shared" si="15"/>
        <v>-0.79999999999999716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0</v>
      </c>
      <c r="AQ186" s="68" t="str">
        <f t="shared" si="12"/>
        <v/>
      </c>
      <c r="AR186" s="68">
        <f>IFERROR(VLOOKUP(A186,Climatologia_TMAX!A:U,9+$E$2,FALSE),"")</f>
        <v>26.801545656255328</v>
      </c>
      <c r="AS186" s="68" t="str">
        <f t="shared" si="13"/>
        <v/>
      </c>
      <c r="AT186" s="74" t="str">
        <f t="shared" si="14"/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186" s="69" t="str">
        <f t="shared" si="15"/>
        <v>NA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24.6</v>
      </c>
      <c r="L187" s="66">
        <v>24.2</v>
      </c>
      <c r="M187" s="66">
        <v>23.2</v>
      </c>
      <c r="N187" s="66">
        <v>26.2</v>
      </c>
      <c r="O187" s="66">
        <v>27</v>
      </c>
      <c r="P187" s="66">
        <v>26</v>
      </c>
      <c r="Q187" s="66">
        <v>26.4</v>
      </c>
      <c r="R187" s="66">
        <v>25.8</v>
      </c>
      <c r="S187" s="66">
        <v>26.8</v>
      </c>
      <c r="T187" s="66">
        <v>23.2</v>
      </c>
      <c r="U187" s="66">
        <v>26.2</v>
      </c>
      <c r="V187" s="66">
        <v>23.6</v>
      </c>
      <c r="W187" s="66">
        <v>21.2</v>
      </c>
      <c r="X187" s="66">
        <v>27</v>
      </c>
      <c r="Y187" s="66">
        <v>26.6</v>
      </c>
      <c r="Z187" s="66">
        <v>24.8</v>
      </c>
      <c r="AA187" s="66">
        <v>25.8</v>
      </c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17</v>
      </c>
      <c r="AQ187" s="68">
        <f t="shared" si="12"/>
        <v>25.211764705882359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87" s="69">
        <f t="shared" si="15"/>
        <v>-1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16.399999999999999</v>
      </c>
      <c r="L188" s="66">
        <v>14.6</v>
      </c>
      <c r="M188" s="66">
        <v>12.8</v>
      </c>
      <c r="N188" s="66">
        <v>16.399999999999999</v>
      </c>
      <c r="O188" s="66">
        <v>17.2</v>
      </c>
      <c r="P188" s="66">
        <v>17.2</v>
      </c>
      <c r="Q188" s="66">
        <v>16</v>
      </c>
      <c r="R188" s="66">
        <v>15.8</v>
      </c>
      <c r="S188" s="66">
        <v>15.2</v>
      </c>
      <c r="T188" s="66">
        <v>16.399999999999999</v>
      </c>
      <c r="U188" s="66">
        <v>15.4</v>
      </c>
      <c r="V188" s="66">
        <v>11.6</v>
      </c>
      <c r="W188" s="66">
        <v>11.8</v>
      </c>
      <c r="X188" s="66">
        <v>14.4</v>
      </c>
      <c r="Y188" s="66">
        <v>17.2</v>
      </c>
      <c r="Z188" s="66">
        <v>15.4</v>
      </c>
      <c r="AA188" s="66">
        <v>16.2</v>
      </c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17</v>
      </c>
      <c r="AQ188" s="68">
        <f t="shared" si="12"/>
        <v>15.294117647058824</v>
      </c>
      <c r="AR188" s="68">
        <f>IFERROR(VLOOKUP(A188,Climatologia_TMAX!A:U,9+$E$2,FALSE),"")</f>
        <v>13.780248424174999</v>
      </c>
      <c r="AS188" s="68">
        <f t="shared" si="13"/>
        <v>1.5138692228838249</v>
      </c>
      <c r="AT188" s="74">
        <f t="shared" si="14"/>
        <v>17.2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18.2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30961</v>
      </c>
      <c r="AW188" s="69">
        <f t="shared" si="15"/>
        <v>-1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35.4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39004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36.6</v>
      </c>
      <c r="L191" s="66">
        <v>36</v>
      </c>
      <c r="M191" s="66">
        <v>36</v>
      </c>
      <c r="N191" s="66">
        <v>36.200000000000003</v>
      </c>
      <c r="O191" s="66">
        <v>39</v>
      </c>
      <c r="P191" s="66">
        <v>38</v>
      </c>
      <c r="Q191" s="66">
        <v>32</v>
      </c>
      <c r="R191" s="66"/>
      <c r="S191" s="66">
        <v>36.799999999999997</v>
      </c>
      <c r="T191" s="66">
        <v>36.6</v>
      </c>
      <c r="U191" s="66">
        <v>37</v>
      </c>
      <c r="V191" s="66">
        <v>32.799999999999997</v>
      </c>
      <c r="W191" s="66">
        <v>30</v>
      </c>
      <c r="X191" s="66">
        <v>35</v>
      </c>
      <c r="Y191" s="66">
        <v>36.4</v>
      </c>
      <c r="Z191" s="66">
        <v>36</v>
      </c>
      <c r="AA191" s="66">
        <v>35</v>
      </c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16</v>
      </c>
      <c r="AQ191" s="68">
        <f t="shared" si="12"/>
        <v>35.587500000000006</v>
      </c>
      <c r="AR191" s="68">
        <f>IFERROR(VLOOKUP(A191,Climatologia_TMAX!A:U,9+$E$2,FALSE),"")</f>
        <v>33.494984575088907</v>
      </c>
      <c r="AS191" s="68">
        <f t="shared" si="13"/>
        <v>2.0925154249110989</v>
      </c>
      <c r="AT191" s="74">
        <f t="shared" si="14"/>
        <v>39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30.4</v>
      </c>
      <c r="L192" s="66">
        <v>31</v>
      </c>
      <c r="M192" s="66">
        <v>29</v>
      </c>
      <c r="N192" s="66">
        <v>30.8</v>
      </c>
      <c r="O192" s="66">
        <v>31.4</v>
      </c>
      <c r="P192" s="66">
        <v>32</v>
      </c>
      <c r="Q192" s="66">
        <v>30.6</v>
      </c>
      <c r="R192" s="66">
        <v>30.2</v>
      </c>
      <c r="S192" s="66">
        <v>30</v>
      </c>
      <c r="T192" s="66">
        <v>29.6</v>
      </c>
      <c r="U192" s="66">
        <v>30.6</v>
      </c>
      <c r="V192" s="66">
        <v>28.8</v>
      </c>
      <c r="W192" s="66">
        <v>27</v>
      </c>
      <c r="X192" s="66">
        <v>31.8</v>
      </c>
      <c r="Y192" s="66">
        <v>32.200000000000003</v>
      </c>
      <c r="Z192" s="66">
        <v>32</v>
      </c>
      <c r="AA192" s="66">
        <v>29.6</v>
      </c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17</v>
      </c>
      <c r="AQ192" s="68">
        <f t="shared" si="12"/>
        <v>30.411764705882351</v>
      </c>
      <c r="AR192" s="68">
        <f>IFERROR(VLOOKUP(A192,Climatologia_TMAX!A:U,9+$E$2,FALSE),"")</f>
        <v>29.990322580645159</v>
      </c>
      <c r="AS192" s="68">
        <f t="shared" si="13"/>
        <v>0.42144212523719204</v>
      </c>
      <c r="AT192" s="74">
        <f t="shared" si="14"/>
        <v>32.200000000000003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33.799999999999997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42294</v>
      </c>
      <c r="AW192" s="69">
        <f t="shared" si="15"/>
        <v>-1.5999999999999943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32.6</v>
      </c>
      <c r="L193" s="66">
        <v>31</v>
      </c>
      <c r="M193" s="66">
        <v>30.6</v>
      </c>
      <c r="N193" s="66">
        <v>33.200000000000003</v>
      </c>
      <c r="O193" s="66">
        <v>35</v>
      </c>
      <c r="P193" s="66">
        <v>31.8</v>
      </c>
      <c r="Q193" s="66">
        <v>32.200000000000003</v>
      </c>
      <c r="R193" s="66">
        <v>33.6</v>
      </c>
      <c r="S193" s="66">
        <v>32</v>
      </c>
      <c r="T193" s="66">
        <v>30.8</v>
      </c>
      <c r="U193" s="113">
        <v>33.799999999999997</v>
      </c>
      <c r="V193" s="66">
        <v>30.4</v>
      </c>
      <c r="W193" s="66">
        <v>28.6</v>
      </c>
      <c r="X193" s="66">
        <v>33</v>
      </c>
      <c r="Y193" s="66">
        <v>35.200000000000003</v>
      </c>
      <c r="Z193" s="66">
        <v>30</v>
      </c>
      <c r="AA193" s="66">
        <v>30.8</v>
      </c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17</v>
      </c>
      <c r="AQ193" s="68">
        <f t="shared" si="12"/>
        <v>32.035294117647062</v>
      </c>
      <c r="AR193" s="68">
        <f>IFERROR(VLOOKUP(A193,Climatologia_TMAX!A:U,9+$E$2,FALSE),"")</f>
        <v>31.708777208074711</v>
      </c>
      <c r="AS193" s="68">
        <f t="shared" si="13"/>
        <v>0.32651690957235147</v>
      </c>
      <c r="AT193" s="74">
        <f t="shared" si="14"/>
        <v>35.200000000000003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93" s="69">
        <f t="shared" si="15"/>
        <v>-0.79999999999999716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</v>
      </c>
      <c r="L194" s="66">
        <v>37.200000000000003</v>
      </c>
      <c r="M194" s="66">
        <v>34.200000000000003</v>
      </c>
      <c r="N194" s="66">
        <v>35</v>
      </c>
      <c r="O194" s="66">
        <v>35.4</v>
      </c>
      <c r="P194" s="66">
        <v>34.4</v>
      </c>
      <c r="Q194" s="66">
        <v>34</v>
      </c>
      <c r="R194" s="66">
        <v>36</v>
      </c>
      <c r="S194" s="66">
        <v>35.4</v>
      </c>
      <c r="T194" s="66">
        <v>32.4</v>
      </c>
      <c r="U194" s="66">
        <v>36.200000000000003</v>
      </c>
      <c r="V194" s="66">
        <v>31.2</v>
      </c>
      <c r="W194" s="66">
        <v>30.6</v>
      </c>
      <c r="X194" s="66">
        <v>34.4</v>
      </c>
      <c r="Y194" s="66">
        <v>35.4</v>
      </c>
      <c r="Z194" s="66">
        <v>34.6</v>
      </c>
      <c r="AA194" s="66">
        <v>32.6</v>
      </c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17</v>
      </c>
      <c r="AQ194" s="68">
        <f t="shared" si="12"/>
        <v>34.352941176470587</v>
      </c>
      <c r="AR194" s="68">
        <f>IFERROR(VLOOKUP(A194,Climatologia_TMAX!A:U,9+$E$2,FALSE),"")</f>
        <v>32.4496281338239</v>
      </c>
      <c r="AS194" s="68">
        <f t="shared" si="13"/>
        <v>1.9033130426466869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36448</v>
      </c>
      <c r="AW194" s="69">
        <f t="shared" si="15"/>
        <v>-1.5999999999999943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32.251906288444609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36.4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27.45305329187455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32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32.200000000000003</v>
      </c>
      <c r="L197" s="66">
        <v>31.2</v>
      </c>
      <c r="M197" s="66">
        <v>32.4</v>
      </c>
      <c r="N197" s="66">
        <v>33.6</v>
      </c>
      <c r="O197" s="66">
        <v>34.200000000000003</v>
      </c>
      <c r="P197" s="66">
        <v>33.6</v>
      </c>
      <c r="Q197" s="66"/>
      <c r="R197" s="66">
        <v>34.200000000000003</v>
      </c>
      <c r="S197" s="66">
        <v>32.799999999999997</v>
      </c>
      <c r="T197" s="66">
        <v>31.8</v>
      </c>
      <c r="U197" s="66">
        <v>34.200000000000003</v>
      </c>
      <c r="V197" s="66">
        <v>31.6</v>
      </c>
      <c r="W197" s="66">
        <v>27</v>
      </c>
      <c r="X197" s="66">
        <v>33.200000000000003</v>
      </c>
      <c r="Y197" s="66">
        <v>34.799999999999997</v>
      </c>
      <c r="Z197" s="66">
        <v>32.799999999999997</v>
      </c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15</v>
      </c>
      <c r="AQ197" s="68">
        <f t="shared" ref="AQ197:AQ260" si="17">IF(AP197&gt;14,AVERAGE(K197:AO197),"")</f>
        <v>32.640000000000008</v>
      </c>
      <c r="AR197" s="68">
        <f>IFERROR(VLOOKUP(A197,Climatologia_TMAX!A:U,9+$E$2,FALSE),"")</f>
        <v>32.510170070423683</v>
      </c>
      <c r="AS197" s="68">
        <f t="shared" ref="AS197:AS260" si="18">IF(OR(AQ197="",AR197=""),"",IFERROR(AQ197-AR197,""))</f>
        <v>0.12982992957632433</v>
      </c>
      <c r="AT197" s="74">
        <f t="shared" ref="AT197:AT260" si="19">IF(COUNT(K197:AO197)=0,"",MAX(K197:AO197))</f>
        <v>34.799999999999997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36.6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45948</v>
      </c>
      <c r="AW197" s="69">
        <f t="shared" ref="AW197:AW260" si="20">IF(OR(AT197="",AU197=""),"NA",IFERROR(AT197-AU197,"NA"))</f>
        <v>-1.8000000000000043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30.425745453734439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35.4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39008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</v>
      </c>
      <c r="L199" s="66">
        <v>34</v>
      </c>
      <c r="M199" s="66">
        <v>33.799999999999997</v>
      </c>
      <c r="N199" s="66">
        <v>34.200000000000003</v>
      </c>
      <c r="O199" s="66">
        <v>35.4</v>
      </c>
      <c r="P199" s="66">
        <v>35.200000000000003</v>
      </c>
      <c r="Q199" s="66">
        <v>34.799999999999997</v>
      </c>
      <c r="R199" s="66">
        <v>33.200000000000003</v>
      </c>
      <c r="S199" s="66">
        <v>32.4</v>
      </c>
      <c r="T199" s="66">
        <v>32.799999999999997</v>
      </c>
      <c r="U199" s="66">
        <v>35</v>
      </c>
      <c r="V199" s="66">
        <v>30</v>
      </c>
      <c r="W199" s="66">
        <v>33</v>
      </c>
      <c r="X199" s="66">
        <v>34</v>
      </c>
      <c r="Y199" s="66">
        <v>35.6</v>
      </c>
      <c r="Z199" s="66">
        <v>34.6</v>
      </c>
      <c r="AA199" s="66">
        <v>32.4</v>
      </c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17</v>
      </c>
      <c r="AQ199" s="68">
        <f t="shared" si="17"/>
        <v>33.847058823529409</v>
      </c>
      <c r="AR199" s="68">
        <f>IFERROR(VLOOKUP(A199,Climatologia_TMAX!A:U,9+$E$2,FALSE),"")</f>
        <v>31.034799102674029</v>
      </c>
      <c r="AS199" s="68">
        <f t="shared" si="18"/>
        <v>2.8122597208553799</v>
      </c>
      <c r="AT199" s="74">
        <f t="shared" si="19"/>
        <v>35.6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38.6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33905</v>
      </c>
      <c r="AW199" s="69">
        <f t="shared" si="20"/>
        <v>-3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21.6</v>
      </c>
      <c r="L200" s="66">
        <v>19</v>
      </c>
      <c r="M200" s="66">
        <v>17.399999999999999</v>
      </c>
      <c r="N200" s="66">
        <v>19.600000000000001</v>
      </c>
      <c r="O200" s="66">
        <v>22</v>
      </c>
      <c r="P200" s="66">
        <v>20.399999999999999</v>
      </c>
      <c r="Q200" s="66">
        <v>17</v>
      </c>
      <c r="R200" s="66">
        <v>18</v>
      </c>
      <c r="S200" s="66">
        <v>20.8</v>
      </c>
      <c r="T200" s="66">
        <v>18</v>
      </c>
      <c r="U200" s="66">
        <v>19</v>
      </c>
      <c r="V200" s="66">
        <v>16</v>
      </c>
      <c r="W200" s="66">
        <v>16.8</v>
      </c>
      <c r="X200" s="66">
        <v>19.8</v>
      </c>
      <c r="Y200" s="66">
        <v>23</v>
      </c>
      <c r="Z200" s="66">
        <v>21</v>
      </c>
      <c r="AA200" s="66">
        <v>18</v>
      </c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17</v>
      </c>
      <c r="AQ200" s="68">
        <f t="shared" si="17"/>
        <v>19.258823529411767</v>
      </c>
      <c r="AR200" s="68">
        <f>IFERROR(VLOOKUP(A200,Climatologia_TMAX!A:U,9+$E$2,FALSE),"")</f>
        <v>17.850480506461221</v>
      </c>
      <c r="AS200" s="68">
        <f t="shared" si="18"/>
        <v>1.4083430229505467</v>
      </c>
      <c r="AT200" s="74">
        <f t="shared" si="19"/>
        <v>23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22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43028</v>
      </c>
      <c r="AW200" s="69">
        <f t="shared" si="20"/>
        <v>1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21.873631480036948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30225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25.391132396764579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42659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23.4</v>
      </c>
      <c r="L203" s="66">
        <v>21.6</v>
      </c>
      <c r="M203" s="66">
        <v>21</v>
      </c>
      <c r="N203" s="66">
        <v>24.2</v>
      </c>
      <c r="O203" s="66">
        <v>23.8</v>
      </c>
      <c r="P203" s="66">
        <v>24.2</v>
      </c>
      <c r="Q203" s="66">
        <v>21.2</v>
      </c>
      <c r="R203" s="66">
        <v>23</v>
      </c>
      <c r="S203" s="66">
        <v>22.8</v>
      </c>
      <c r="T203" s="66">
        <v>20.8</v>
      </c>
      <c r="U203" s="66">
        <v>22.4</v>
      </c>
      <c r="V203" s="66">
        <v>19.399999999999999</v>
      </c>
      <c r="W203" s="66">
        <v>17.8</v>
      </c>
      <c r="X203" s="66">
        <v>22.6</v>
      </c>
      <c r="Y203" s="66">
        <v>21.4</v>
      </c>
      <c r="Z203" s="66">
        <v>24.2</v>
      </c>
      <c r="AA203" s="66">
        <v>21.2</v>
      </c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17</v>
      </c>
      <c r="AQ203" s="68">
        <f t="shared" si="17"/>
        <v>22.058823529411764</v>
      </c>
      <c r="AR203" s="68">
        <f>IFERROR(VLOOKUP(A203,Climatologia_TMAX!A:U,9+$E$2,FALSE),"")</f>
        <v>20.117016293630389</v>
      </c>
      <c r="AS203" s="68">
        <f t="shared" si="18"/>
        <v>1.9418072357813756</v>
      </c>
      <c r="AT203" s="74">
        <f t="shared" si="19"/>
        <v>24.2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24.8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203" s="69">
        <f t="shared" si="20"/>
        <v>-0.60000000000000142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26.4</v>
      </c>
      <c r="L205" s="66">
        <v>26</v>
      </c>
      <c r="M205" s="66">
        <v>26.2</v>
      </c>
      <c r="N205" s="66">
        <v>27.4</v>
      </c>
      <c r="O205" s="66">
        <v>28</v>
      </c>
      <c r="P205" s="66">
        <v>27.4</v>
      </c>
      <c r="Q205" s="66">
        <v>27.2</v>
      </c>
      <c r="R205" s="66">
        <v>26</v>
      </c>
      <c r="S205" s="66">
        <v>25.8</v>
      </c>
      <c r="T205" s="66">
        <v>26</v>
      </c>
      <c r="U205" s="66">
        <v>28</v>
      </c>
      <c r="V205" s="66">
        <v>25</v>
      </c>
      <c r="W205" s="66">
        <v>24</v>
      </c>
      <c r="X205" s="66">
        <v>28</v>
      </c>
      <c r="Y205" s="66">
        <v>29</v>
      </c>
      <c r="Z205" s="66">
        <v>27.6</v>
      </c>
      <c r="AA205" s="66">
        <v>26</v>
      </c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17</v>
      </c>
      <c r="AQ205" s="68">
        <f t="shared" si="17"/>
        <v>26.705882352941178</v>
      </c>
      <c r="AR205" s="68">
        <f>IFERROR(VLOOKUP(A205,Climatologia_TMAX!A:U,9+$E$2,FALSE),"")</f>
        <v>25.961271889400919</v>
      </c>
      <c r="AS205" s="68">
        <f t="shared" si="18"/>
        <v>0.74461046354025839</v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29.2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40094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33.845468683277971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25.379019028916449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30.2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33</v>
      </c>
      <c r="L208" s="66">
        <v>33.200000000000003</v>
      </c>
      <c r="M208" s="66">
        <v>30</v>
      </c>
      <c r="N208" s="66">
        <v>34.200000000000003</v>
      </c>
      <c r="O208" s="66">
        <v>35.4</v>
      </c>
      <c r="P208" s="66">
        <v>31.8</v>
      </c>
      <c r="Q208" s="66">
        <v>32.200000000000003</v>
      </c>
      <c r="R208" s="66">
        <v>32.4</v>
      </c>
      <c r="S208" s="66">
        <v>32.200000000000003</v>
      </c>
      <c r="T208" s="66">
        <v>31.2</v>
      </c>
      <c r="U208" s="66">
        <v>33</v>
      </c>
      <c r="V208" s="66">
        <v>29.2</v>
      </c>
      <c r="W208" s="66">
        <v>27.2</v>
      </c>
      <c r="X208" s="66">
        <v>32.799999999999997</v>
      </c>
      <c r="Y208" s="66">
        <v>33.799999999999997</v>
      </c>
      <c r="Z208" s="66">
        <v>33</v>
      </c>
      <c r="AA208" s="66">
        <v>32.6</v>
      </c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17</v>
      </c>
      <c r="AQ208" s="68">
        <f t="shared" si="17"/>
        <v>32.188235294117646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45212</v>
      </c>
      <c r="AW208" s="69">
        <f t="shared" si="20"/>
        <v>0.39999999999999858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23.4</v>
      </c>
      <c r="M209" s="66">
        <v>24.6</v>
      </c>
      <c r="N209" s="66">
        <v>26.4</v>
      </c>
      <c r="O209" s="66">
        <v>25.2</v>
      </c>
      <c r="P209" s="66">
        <v>26.4</v>
      </c>
      <c r="Q209" s="66">
        <v>22.8</v>
      </c>
      <c r="R209" s="66">
        <v>25</v>
      </c>
      <c r="S209" s="66">
        <v>25.2</v>
      </c>
      <c r="T209" s="66">
        <v>25.8</v>
      </c>
      <c r="U209" s="66">
        <v>26.8</v>
      </c>
      <c r="V209" s="66">
        <v>24.2</v>
      </c>
      <c r="W209" s="66">
        <v>24</v>
      </c>
      <c r="X209" s="66">
        <v>24</v>
      </c>
      <c r="Y209" s="66">
        <v>26.4</v>
      </c>
      <c r="Z209" s="66">
        <v>26.6</v>
      </c>
      <c r="AA209" s="66">
        <v>24.6</v>
      </c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17</v>
      </c>
      <c r="AQ209" s="68">
        <f t="shared" si="17"/>
        <v>25.176470588235293</v>
      </c>
      <c r="AR209" s="68">
        <f>IFERROR(VLOOKUP(A209,Climatologia_TMAX!A:U,9+$E$2,FALSE),"")</f>
        <v>23.78862519201229</v>
      </c>
      <c r="AS209" s="68">
        <f t="shared" si="18"/>
        <v>1.3878453962230033</v>
      </c>
      <c r="AT209" s="74">
        <f t="shared" si="19"/>
        <v>26.8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42297</v>
      </c>
      <c r="AW209" s="69">
        <f t="shared" si="20"/>
        <v>-2.1999999999999993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31.4</v>
      </c>
      <c r="M210" s="66">
        <v>31.4</v>
      </c>
      <c r="N210" s="66">
        <v>31.6</v>
      </c>
      <c r="O210" s="66">
        <v>32.6</v>
      </c>
      <c r="P210" s="66">
        <v>32</v>
      </c>
      <c r="Q210" s="66">
        <v>29.4</v>
      </c>
      <c r="R210" s="66">
        <v>31.2</v>
      </c>
      <c r="S210" s="66">
        <v>30.6</v>
      </c>
      <c r="T210" s="66">
        <v>30.4</v>
      </c>
      <c r="U210" s="66">
        <v>30.2</v>
      </c>
      <c r="V210" s="66">
        <v>30.2</v>
      </c>
      <c r="W210" s="66">
        <v>25.2</v>
      </c>
      <c r="X210" s="66">
        <v>29.6</v>
      </c>
      <c r="Y210" s="66">
        <v>29.8</v>
      </c>
      <c r="Z210" s="66">
        <v>30.6</v>
      </c>
      <c r="AA210" s="66">
        <v>29</v>
      </c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17</v>
      </c>
      <c r="AQ210" s="68">
        <f t="shared" si="17"/>
        <v>30.388235294117642</v>
      </c>
      <c r="AR210" s="68">
        <f>IFERROR(VLOOKUP(A210,Climatologia_TMAX!A:U,9+$E$2,FALSE),"")</f>
        <v>28.468227660363361</v>
      </c>
      <c r="AS210" s="68">
        <f t="shared" si="18"/>
        <v>1.9200076337542811</v>
      </c>
      <c r="AT210" s="74">
        <f t="shared" si="19"/>
        <v>32.6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32807</v>
      </c>
      <c r="AW210" s="69">
        <f t="shared" si="20"/>
        <v>-0.39999999999999858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28.451550360075391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32.4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32.169591395736752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31.8</v>
      </c>
      <c r="L214" s="66">
        <v>29.2</v>
      </c>
      <c r="M214" s="66">
        <v>31.4</v>
      </c>
      <c r="N214" s="66">
        <v>32.6</v>
      </c>
      <c r="O214" s="66">
        <v>31.6</v>
      </c>
      <c r="P214" s="66">
        <v>32</v>
      </c>
      <c r="Q214" s="66">
        <v>30</v>
      </c>
      <c r="R214" s="66">
        <v>31.2</v>
      </c>
      <c r="S214" s="66">
        <v>31.6</v>
      </c>
      <c r="T214" s="109">
        <v>32</v>
      </c>
      <c r="U214" s="66"/>
      <c r="V214" s="66"/>
      <c r="W214" s="66">
        <v>29.4</v>
      </c>
      <c r="X214" s="66">
        <v>32.6</v>
      </c>
      <c r="Y214" s="66">
        <v>31.2</v>
      </c>
      <c r="Z214" s="66">
        <v>32.200000000000003</v>
      </c>
      <c r="AA214" s="66">
        <v>30.6</v>
      </c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15</v>
      </c>
      <c r="AQ214" s="68">
        <f t="shared" si="17"/>
        <v>31.293333333333333</v>
      </c>
      <c r="AR214" s="68">
        <f>IFERROR(VLOOKUP(A214,Climatologia_TMAX!A:U,9+$E$2,FALSE),"")</f>
        <v>30.301524203387299</v>
      </c>
      <c r="AS214" s="68">
        <f t="shared" si="18"/>
        <v>0.99180912994603432</v>
      </c>
      <c r="AT214" s="74">
        <f t="shared" si="19"/>
        <v>32.6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45568</v>
      </c>
      <c r="AW214" s="69">
        <f t="shared" si="20"/>
        <v>-2.3999999999999986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33.090682375022418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37.4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37909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27.8</v>
      </c>
      <c r="L216" s="66">
        <v>27.2</v>
      </c>
      <c r="M216" s="66">
        <v>27.2</v>
      </c>
      <c r="N216" s="66">
        <v>27.8</v>
      </c>
      <c r="O216" s="66">
        <v>27.4</v>
      </c>
      <c r="P216" s="66">
        <v>26.2</v>
      </c>
      <c r="Q216" s="66">
        <v>26.8</v>
      </c>
      <c r="R216" s="66">
        <v>26</v>
      </c>
      <c r="S216" s="66">
        <v>26.2</v>
      </c>
      <c r="T216" s="66">
        <v>26.2</v>
      </c>
      <c r="U216" s="66">
        <v>26.4</v>
      </c>
      <c r="V216" s="66">
        <v>26.6</v>
      </c>
      <c r="W216" s="66">
        <v>26.4</v>
      </c>
      <c r="X216" s="66">
        <v>27.8</v>
      </c>
      <c r="Y216" s="66">
        <v>28</v>
      </c>
      <c r="Z216" s="66">
        <v>26.4</v>
      </c>
      <c r="AA216" s="66">
        <v>25.8</v>
      </c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17</v>
      </c>
      <c r="AQ216" s="68">
        <f t="shared" si="17"/>
        <v>26.835294117647059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28.8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40844</v>
      </c>
      <c r="AW216" s="69">
        <f t="shared" si="20"/>
        <v>-0.80000000000000071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23.6</v>
      </c>
      <c r="M217" s="66">
        <v>22.8</v>
      </c>
      <c r="N217" s="66">
        <v>25.8</v>
      </c>
      <c r="O217" s="66">
        <v>26.6</v>
      </c>
      <c r="P217" s="66">
        <v>25</v>
      </c>
      <c r="Q217" s="66">
        <v>25</v>
      </c>
      <c r="R217" s="66">
        <v>23.8</v>
      </c>
      <c r="S217" s="66">
        <v>23.8</v>
      </c>
      <c r="T217" s="66">
        <v>24.6</v>
      </c>
      <c r="U217" s="66">
        <v>25.6</v>
      </c>
      <c r="V217" s="66">
        <v>25.6</v>
      </c>
      <c r="W217" s="66">
        <v>25.6</v>
      </c>
      <c r="X217" s="66">
        <v>25.8</v>
      </c>
      <c r="Y217" s="66">
        <v>26.6</v>
      </c>
      <c r="Z217" s="66">
        <v>25.8</v>
      </c>
      <c r="AA217" s="66">
        <v>23.8</v>
      </c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17</v>
      </c>
      <c r="AQ217" s="68">
        <f t="shared" si="17"/>
        <v>25.070588235294125</v>
      </c>
      <c r="AR217" s="68">
        <f>IFERROR(VLOOKUP(A217,Climatologia_TMAX!A:U,9+$E$2,FALSE),"")</f>
        <v>23.138800459370319</v>
      </c>
      <c r="AS217" s="68">
        <f t="shared" si="18"/>
        <v>1.9317877759238051</v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37545</v>
      </c>
      <c r="AW217" s="69">
        <f t="shared" si="20"/>
        <v>-1.3999999999999986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29.720161290322579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32053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29.494924916573972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20.613155351265601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25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30254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/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0</v>
      </c>
      <c r="AQ221" s="68" t="str">
        <f t="shared" si="17"/>
        <v/>
      </c>
      <c r="AR221" s="68">
        <f>IFERROR(VLOOKUP(A221,Climatologia_TMAX!A:U,9+$E$2,FALSE),"")</f>
        <v>15.85178369534639</v>
      </c>
      <c r="AS221" s="68" t="str">
        <f t="shared" si="18"/>
        <v/>
      </c>
      <c r="AT221" s="74" t="str">
        <f t="shared" si="19"/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44114</v>
      </c>
      <c r="AW221" s="69" t="str">
        <f t="shared" si="20"/>
        <v>NA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22</v>
      </c>
      <c r="M222" s="66">
        <v>19.2</v>
      </c>
      <c r="N222" s="66">
        <v>24</v>
      </c>
      <c r="O222" s="66">
        <v>24</v>
      </c>
      <c r="P222" s="66">
        <v>22</v>
      </c>
      <c r="Q222" s="66">
        <v>23.2</v>
      </c>
      <c r="R222" s="66">
        <v>23</v>
      </c>
      <c r="S222" s="66">
        <v>24.4</v>
      </c>
      <c r="T222" s="66">
        <v>22</v>
      </c>
      <c r="U222" s="66">
        <v>22.8</v>
      </c>
      <c r="V222" s="66">
        <v>19.600000000000001</v>
      </c>
      <c r="W222" s="66">
        <v>18.8</v>
      </c>
      <c r="X222" s="66">
        <v>24.2</v>
      </c>
      <c r="Y222" s="66">
        <v>26.4</v>
      </c>
      <c r="Z222" s="66">
        <v>20</v>
      </c>
      <c r="AA222" s="109">
        <v>22</v>
      </c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17</v>
      </c>
      <c r="AQ222" s="68">
        <f t="shared" si="17"/>
        <v>22.44705882352941</v>
      </c>
      <c r="AR222" s="68">
        <f>IFERROR(VLOOKUP(A222,Climatologia_TMAX!A:U,9+$E$2,FALSE),"")</f>
        <v>21.531607341490549</v>
      </c>
      <c r="AS222" s="68">
        <f t="shared" si="18"/>
        <v>0.91545148203886129</v>
      </c>
      <c r="AT222" s="74">
        <f t="shared" si="19"/>
        <v>26.4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31.2</v>
      </c>
      <c r="L224" s="66">
        <v>30.2</v>
      </c>
      <c r="M224" s="66">
        <v>30.2</v>
      </c>
      <c r="N224" s="66">
        <v>32.4</v>
      </c>
      <c r="O224" s="66">
        <v>32.200000000000003</v>
      </c>
      <c r="P224" s="66">
        <v>32.200000000000003</v>
      </c>
      <c r="Q224" s="66">
        <v>31</v>
      </c>
      <c r="R224" s="66">
        <v>30.6</v>
      </c>
      <c r="S224" s="66">
        <v>31.6</v>
      </c>
      <c r="T224" s="66">
        <v>29</v>
      </c>
      <c r="U224" s="66">
        <v>29.6</v>
      </c>
      <c r="V224" s="66">
        <v>27.8</v>
      </c>
      <c r="W224" s="66">
        <v>28.6</v>
      </c>
      <c r="X224" s="66">
        <v>30.6</v>
      </c>
      <c r="Y224" s="66">
        <v>34.200000000000003</v>
      </c>
      <c r="Z224" s="66">
        <v>30.6</v>
      </c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16</v>
      </c>
      <c r="AQ224" s="68">
        <f t="shared" si="17"/>
        <v>30.750000000000004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33.700000000000003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30595</v>
      </c>
      <c r="AW224" s="69">
        <f t="shared" si="20"/>
        <v>0.5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23.34759961873382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29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30.91332943036122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>
        <v>31.4</v>
      </c>
      <c r="L229" s="66">
        <v>30.6</v>
      </c>
      <c r="M229" s="66">
        <v>29.8</v>
      </c>
      <c r="N229" s="66">
        <v>30.4</v>
      </c>
      <c r="O229" s="66">
        <v>31.8</v>
      </c>
      <c r="P229" s="66">
        <v>30.2</v>
      </c>
      <c r="Q229" s="66">
        <v>31.4</v>
      </c>
      <c r="R229" s="66">
        <v>29.6</v>
      </c>
      <c r="S229" s="66">
        <v>32.4</v>
      </c>
      <c r="T229" s="66">
        <v>31.8</v>
      </c>
      <c r="U229" s="66">
        <v>29.4</v>
      </c>
      <c r="V229" s="66">
        <v>28.2</v>
      </c>
      <c r="W229" s="66">
        <v>29.8</v>
      </c>
      <c r="X229" s="66">
        <v>32.4</v>
      </c>
      <c r="Y229" s="66">
        <v>33.6</v>
      </c>
      <c r="Z229" s="66">
        <v>30.8</v>
      </c>
      <c r="AA229" s="66">
        <v>29.4</v>
      </c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17</v>
      </c>
      <c r="AQ229" s="68">
        <f t="shared" si="17"/>
        <v>30.764705882352942</v>
      </c>
      <c r="AR229" s="68">
        <f>IFERROR(VLOOKUP(A229,Climatologia_TMAX!A:U,9+$E$2,FALSE),"")</f>
        <v>29.494387096774201</v>
      </c>
      <c r="AS229" s="68">
        <f t="shared" si="18"/>
        <v>1.2703187855787412</v>
      </c>
      <c r="AT229" s="74">
        <f t="shared" si="19"/>
        <v>33.6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35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45208</v>
      </c>
      <c r="AW229" s="69">
        <f t="shared" si="20"/>
        <v>-1.3999999999999986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23.464424836532071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40088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32.200000000000003</v>
      </c>
      <c r="L231" s="66">
        <v>29.2</v>
      </c>
      <c r="M231" s="66">
        <v>30.2</v>
      </c>
      <c r="N231" s="66">
        <v>31.6</v>
      </c>
      <c r="O231" s="66">
        <v>32.6</v>
      </c>
      <c r="P231" s="66">
        <v>31</v>
      </c>
      <c r="Q231" s="66">
        <v>30.6</v>
      </c>
      <c r="R231" s="66">
        <v>29.6</v>
      </c>
      <c r="S231" s="66">
        <v>31.2</v>
      </c>
      <c r="T231" s="66">
        <v>29.6</v>
      </c>
      <c r="U231" s="66">
        <v>30.8</v>
      </c>
      <c r="V231" s="66">
        <v>28.2</v>
      </c>
      <c r="W231" s="66">
        <v>29</v>
      </c>
      <c r="X231" s="66">
        <v>30.2</v>
      </c>
      <c r="Y231" s="66">
        <v>33.4</v>
      </c>
      <c r="Z231" s="66">
        <v>29</v>
      </c>
      <c r="AA231" s="109">
        <v>32</v>
      </c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17</v>
      </c>
      <c r="AQ231" s="68">
        <f t="shared" si="17"/>
        <v>30.611764705882351</v>
      </c>
      <c r="AR231" s="68">
        <f>IFERROR(VLOOKUP(A231,Climatologia_TMAX!A:U,9+$E$2,FALSE),"")</f>
        <v>29.569507640067911</v>
      </c>
      <c r="AS231" s="68">
        <f t="shared" si="18"/>
        <v>1.0422570658144394</v>
      </c>
      <c r="AT231" s="74">
        <f t="shared" si="19"/>
        <v>33.4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31" s="69">
        <f t="shared" si="20"/>
        <v>-0.60000000000000142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29.355318143552989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34.6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37552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31.6</v>
      </c>
      <c r="L235" s="66">
        <v>30.4</v>
      </c>
      <c r="M235" s="66">
        <v>30.4</v>
      </c>
      <c r="N235" s="66">
        <v>33</v>
      </c>
      <c r="O235" s="66">
        <v>32</v>
      </c>
      <c r="P235" s="66">
        <v>32.200000000000003</v>
      </c>
      <c r="Q235" s="66">
        <v>31</v>
      </c>
      <c r="R235" s="66">
        <v>29.8</v>
      </c>
      <c r="S235" s="66">
        <v>32.200000000000003</v>
      </c>
      <c r="T235" s="66">
        <v>28</v>
      </c>
      <c r="U235" s="66">
        <v>30</v>
      </c>
      <c r="V235" s="66">
        <v>27.8</v>
      </c>
      <c r="W235" s="66">
        <v>28</v>
      </c>
      <c r="X235" s="66">
        <v>30.4</v>
      </c>
      <c r="Y235" s="66">
        <v>33.799999999999997</v>
      </c>
      <c r="Z235" s="66">
        <v>29.8</v>
      </c>
      <c r="AA235" s="109">
        <v>30.6</v>
      </c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17</v>
      </c>
      <c r="AQ235" s="68">
        <f t="shared" si="17"/>
        <v>30.647058823529413</v>
      </c>
      <c r="AR235" s="68">
        <f>IFERROR(VLOOKUP(A235,Climatologia_TMAX!A:U,9+$E$2,FALSE),"")</f>
        <v>29.25042444821732</v>
      </c>
      <c r="AS235" s="68">
        <f t="shared" si="18"/>
        <v>1.3966343753120931</v>
      </c>
      <c r="AT235" s="74">
        <f t="shared" si="19"/>
        <v>33.799999999999997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34.6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35" s="69">
        <f t="shared" si="20"/>
        <v>-0.80000000000000426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22.1029437470205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24.099516792778441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28.6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30</v>
      </c>
      <c r="L238" s="66">
        <v>28.4</v>
      </c>
      <c r="M238" s="66">
        <v>28</v>
      </c>
      <c r="N238" s="66">
        <v>30.2</v>
      </c>
      <c r="O238" s="66">
        <v>29.6</v>
      </c>
      <c r="P238" s="66">
        <v>28</v>
      </c>
      <c r="Q238" s="66">
        <v>30.2</v>
      </c>
      <c r="R238" s="66">
        <v>27.4</v>
      </c>
      <c r="S238" s="66">
        <v>30.4</v>
      </c>
      <c r="T238" s="66">
        <v>28.2</v>
      </c>
      <c r="U238" s="66">
        <v>27.6</v>
      </c>
      <c r="V238" s="66">
        <v>27</v>
      </c>
      <c r="W238" s="66">
        <v>28.2</v>
      </c>
      <c r="X238" s="66">
        <v>27.6</v>
      </c>
      <c r="Y238" s="66">
        <v>29.6</v>
      </c>
      <c r="Z238" s="66">
        <v>27</v>
      </c>
      <c r="AA238" s="66">
        <v>29.2</v>
      </c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17</v>
      </c>
      <c r="AQ238" s="68">
        <f t="shared" si="17"/>
        <v>28.623529411764707</v>
      </c>
      <c r="AR238" s="68">
        <f>IFERROR(VLOOKUP(A238,Climatologia_TMAX!A:U,9+$E$2,FALSE),"")</f>
        <v>29.210205314547029</v>
      </c>
      <c r="AS238" s="68">
        <f t="shared" si="18"/>
        <v>-0.5866759027823214</v>
      </c>
      <c r="AT238" s="74">
        <f t="shared" si="19"/>
        <v>30.4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34.200000000000003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40096</v>
      </c>
      <c r="AW238" s="69">
        <f t="shared" si="20"/>
        <v>-3.8000000000000043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21.260649133958371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25.5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38271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23.4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37189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23.649725270550132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29.4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29.957482313893141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34.6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23.4</v>
      </c>
      <c r="L244" s="66">
        <v>23</v>
      </c>
      <c r="M244" s="66">
        <v>24</v>
      </c>
      <c r="N244" s="66">
        <v>25.2</v>
      </c>
      <c r="O244" s="66">
        <v>26</v>
      </c>
      <c r="P244" s="66">
        <v>25.2</v>
      </c>
      <c r="Q244" s="66">
        <v>24</v>
      </c>
      <c r="R244" s="66">
        <v>22</v>
      </c>
      <c r="S244" s="66">
        <v>26.8</v>
      </c>
      <c r="T244" s="66"/>
      <c r="U244" s="66"/>
      <c r="V244" s="66">
        <v>24</v>
      </c>
      <c r="W244" s="66">
        <v>24</v>
      </c>
      <c r="X244" s="66">
        <v>25</v>
      </c>
      <c r="Y244" s="66">
        <v>30</v>
      </c>
      <c r="Z244" s="66">
        <v>24.2</v>
      </c>
      <c r="AA244" s="66">
        <v>24.6</v>
      </c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15</v>
      </c>
      <c r="AQ244" s="68">
        <f t="shared" si="17"/>
        <v>24.76</v>
      </c>
      <c r="AR244" s="68">
        <f>IFERROR(VLOOKUP(A244,Climatologia_TMAX!A:U,9+$E$2,FALSE),"")</f>
        <v>24.32544086021506</v>
      </c>
      <c r="AS244" s="68">
        <f t="shared" si="18"/>
        <v>0.4345591397849411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44838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32.814165739710788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39.200000000000003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30.2</v>
      </c>
      <c r="L246" s="66">
        <v>27.4</v>
      </c>
      <c r="M246" s="66">
        <v>26.2</v>
      </c>
      <c r="N246" s="66">
        <v>30.6</v>
      </c>
      <c r="O246" s="66">
        <v>32.4</v>
      </c>
      <c r="P246" s="66">
        <v>27</v>
      </c>
      <c r="Q246" s="66">
        <v>28.4</v>
      </c>
      <c r="R246" s="66">
        <v>29.4</v>
      </c>
      <c r="S246" s="66">
        <v>30.2</v>
      </c>
      <c r="T246" s="66">
        <v>27.6</v>
      </c>
      <c r="U246" s="66">
        <v>31.4</v>
      </c>
      <c r="V246" s="66"/>
      <c r="W246" s="66">
        <v>25.8</v>
      </c>
      <c r="X246" s="66">
        <v>30.6</v>
      </c>
      <c r="Y246" s="66">
        <v>32.4</v>
      </c>
      <c r="Z246" s="66">
        <v>30</v>
      </c>
      <c r="AA246" s="66">
        <v>31.8</v>
      </c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16</v>
      </c>
      <c r="AQ246" s="68">
        <f t="shared" si="17"/>
        <v>29.462500000000002</v>
      </c>
      <c r="AR246" s="68">
        <f>IFERROR(VLOOKUP(A246,Climatologia_TMAX!A:U,9+$E$2,FALSE),"")</f>
        <v>28.473804281714219</v>
      </c>
      <c r="AS246" s="68">
        <f t="shared" si="18"/>
        <v>0.98869571828578273</v>
      </c>
      <c r="AT246" s="74">
        <f t="shared" si="19"/>
        <v>32.4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33.200000000000003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46" s="69">
        <f t="shared" si="20"/>
        <v>-0.80000000000000426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32.6</v>
      </c>
      <c r="L247" s="66">
        <v>32.4</v>
      </c>
      <c r="M247" s="66">
        <v>30.2</v>
      </c>
      <c r="N247" s="66">
        <v>33.200000000000003</v>
      </c>
      <c r="O247" s="66">
        <v>35.200000000000003</v>
      </c>
      <c r="P247" s="66">
        <v>32.200000000000003</v>
      </c>
      <c r="Q247" s="66">
        <v>31.8</v>
      </c>
      <c r="R247" s="66">
        <v>32.4</v>
      </c>
      <c r="S247" s="66">
        <v>32.6</v>
      </c>
      <c r="T247" s="66">
        <v>29.4</v>
      </c>
      <c r="U247" s="66">
        <v>34.4</v>
      </c>
      <c r="V247" s="66">
        <v>28.6</v>
      </c>
      <c r="W247" s="66">
        <v>29.8</v>
      </c>
      <c r="X247" s="66">
        <v>34.200000000000003</v>
      </c>
      <c r="Y247" s="66">
        <v>36</v>
      </c>
      <c r="Z247" s="66">
        <v>33.6</v>
      </c>
      <c r="AA247" s="66">
        <v>34</v>
      </c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17</v>
      </c>
      <c r="AQ247" s="68">
        <f t="shared" si="17"/>
        <v>32.505882352941178</v>
      </c>
      <c r="AR247" s="68">
        <f>IFERROR(VLOOKUP(A247,Climatologia_TMAX!A:U,9+$E$2,FALSE),"")</f>
        <v>33.139612236440733</v>
      </c>
      <c r="AS247" s="68">
        <f t="shared" si="18"/>
        <v>-0.63372988349955506</v>
      </c>
      <c r="AT247" s="74">
        <f t="shared" si="19"/>
        <v>36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38.799999999999997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247" s="69">
        <f t="shared" si="20"/>
        <v>-2.7999999999999972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32.200000000000003</v>
      </c>
      <c r="L248" s="66">
        <v>33.6</v>
      </c>
      <c r="M248" s="66">
        <v>32</v>
      </c>
      <c r="N248" s="66">
        <v>34.4</v>
      </c>
      <c r="O248" s="66">
        <v>35.200000000000003</v>
      </c>
      <c r="P248" s="66">
        <v>35</v>
      </c>
      <c r="Q248" s="66">
        <v>34.799999999999997</v>
      </c>
      <c r="R248" s="66">
        <v>31.6</v>
      </c>
      <c r="S248" s="66">
        <v>32.4</v>
      </c>
      <c r="T248" s="66">
        <v>29</v>
      </c>
      <c r="U248" s="66">
        <v>33.4</v>
      </c>
      <c r="V248" s="66">
        <v>30.2</v>
      </c>
      <c r="W248" s="66">
        <v>31.2</v>
      </c>
      <c r="X248" s="66">
        <v>32.799999999999997</v>
      </c>
      <c r="Y248" s="66">
        <v>35.6</v>
      </c>
      <c r="Z248" s="66">
        <v>32.200000000000003</v>
      </c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16</v>
      </c>
      <c r="AQ248" s="68">
        <f t="shared" si="17"/>
        <v>32.85</v>
      </c>
      <c r="AR248" s="68">
        <f>IFERROR(VLOOKUP(A248,Climatologia_TMAX!A:U,9+$E$2,FALSE),"")</f>
        <v>31.964743123916271</v>
      </c>
      <c r="AS248" s="68">
        <f t="shared" si="18"/>
        <v>0.88525687608373005</v>
      </c>
      <c r="AT248" s="74">
        <f t="shared" si="19"/>
        <v>35.6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37.4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48" s="69">
        <f t="shared" si="20"/>
        <v>-1.7999999999999972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30.4</v>
      </c>
      <c r="L249" s="66">
        <v>31.2</v>
      </c>
      <c r="M249" s="66">
        <v>31.8</v>
      </c>
      <c r="N249" s="66">
        <v>33.799999999999997</v>
      </c>
      <c r="O249" s="66">
        <v>32.6</v>
      </c>
      <c r="P249" s="66">
        <v>31.6</v>
      </c>
      <c r="Q249" s="66">
        <v>31.2</v>
      </c>
      <c r="R249" s="66">
        <v>30</v>
      </c>
      <c r="S249" s="66">
        <v>29.8</v>
      </c>
      <c r="T249" s="66">
        <v>30.2</v>
      </c>
      <c r="U249" s="66">
        <v>31.4</v>
      </c>
      <c r="V249" s="66">
        <v>28.6</v>
      </c>
      <c r="W249" s="106">
        <v>28.4</v>
      </c>
      <c r="X249" s="66">
        <v>31.2</v>
      </c>
      <c r="Y249" s="106">
        <v>32.4</v>
      </c>
      <c r="Z249" s="66">
        <v>30</v>
      </c>
      <c r="AA249" s="66">
        <v>32</v>
      </c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17</v>
      </c>
      <c r="AQ249" s="68">
        <f t="shared" si="17"/>
        <v>30.976470588235287</v>
      </c>
      <c r="AR249" s="68">
        <f>IFERROR(VLOOKUP(A249,Climatologia_TMAX!A:U,9+$E$2,FALSE),"")</f>
        <v>29.6164247311828</v>
      </c>
      <c r="AS249" s="68">
        <f t="shared" si="18"/>
        <v>1.3600458570524872</v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35.799999999999997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38998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34.200000000000003</v>
      </c>
      <c r="L250" s="66">
        <v>31.6</v>
      </c>
      <c r="M250" s="66">
        <v>32.4</v>
      </c>
      <c r="N250" s="66">
        <v>34</v>
      </c>
      <c r="O250" s="66">
        <v>38</v>
      </c>
      <c r="P250" s="66">
        <v>34.4</v>
      </c>
      <c r="Q250" s="66">
        <v>33.4</v>
      </c>
      <c r="R250" s="66">
        <v>33.6</v>
      </c>
      <c r="S250" s="66">
        <v>35</v>
      </c>
      <c r="T250" s="66">
        <v>31.4</v>
      </c>
      <c r="U250" s="66">
        <v>35.799999999999997</v>
      </c>
      <c r="V250" s="66">
        <v>31.8</v>
      </c>
      <c r="W250" s="66">
        <v>31.2</v>
      </c>
      <c r="X250" s="66">
        <v>35.799999999999997</v>
      </c>
      <c r="Y250" s="66">
        <v>37.200000000000003</v>
      </c>
      <c r="Z250" s="66">
        <v>33.6</v>
      </c>
      <c r="AA250" s="66">
        <v>35.4</v>
      </c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17</v>
      </c>
      <c r="AQ250" s="68">
        <f t="shared" si="17"/>
        <v>34.047058823529412</v>
      </c>
      <c r="AR250" s="68">
        <f>IFERROR(VLOOKUP(A250,Climatologia_TMAX!A:U,9+$E$2,FALSE),"")</f>
        <v>33.586493598401972</v>
      </c>
      <c r="AS250" s="68">
        <f t="shared" si="18"/>
        <v>0.46056522512743925</v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32.809705777983893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34636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33.799999999999997</v>
      </c>
      <c r="L252" s="66">
        <v>35.200000000000003</v>
      </c>
      <c r="M252" s="66">
        <v>35.200000000000003</v>
      </c>
      <c r="N252" s="66">
        <v>35.200000000000003</v>
      </c>
      <c r="O252" s="66">
        <v>36.6</v>
      </c>
      <c r="P252" s="66">
        <v>36</v>
      </c>
      <c r="Q252" s="66">
        <v>36.6</v>
      </c>
      <c r="R252" s="66">
        <v>35.6</v>
      </c>
      <c r="S252" s="66">
        <v>34.4</v>
      </c>
      <c r="T252" s="66"/>
      <c r="U252" s="66"/>
      <c r="V252" s="66">
        <v>31.8</v>
      </c>
      <c r="W252" s="66">
        <v>32</v>
      </c>
      <c r="X252" s="66">
        <v>34.4</v>
      </c>
      <c r="Y252" s="66">
        <v>36.4</v>
      </c>
      <c r="Z252" s="66">
        <v>33.4</v>
      </c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14</v>
      </c>
      <c r="AQ252" s="68" t="str">
        <f t="shared" si="17"/>
        <v/>
      </c>
      <c r="AR252" s="68">
        <f>IFERROR(VLOOKUP(A252,Climatologia_TMAX!A:U,9+$E$2,FALSE),"")</f>
        <v>33.148146247422638</v>
      </c>
      <c r="AS252" s="68" t="str">
        <f t="shared" si="18"/>
        <v/>
      </c>
      <c r="AT252" s="74">
        <f t="shared" si="19"/>
        <v>36.6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45595</v>
      </c>
      <c r="AW252" s="69">
        <f t="shared" si="20"/>
        <v>-3.3999999999999986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34.733276587326891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41.8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43381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32.799999999999997</v>
      </c>
      <c r="L255" s="66">
        <v>33.6</v>
      </c>
      <c r="M255" s="66"/>
      <c r="N255" s="66">
        <v>36</v>
      </c>
      <c r="O255" s="66">
        <v>36</v>
      </c>
      <c r="P255" s="66">
        <v>34.6</v>
      </c>
      <c r="Q255" s="66">
        <v>32.6</v>
      </c>
      <c r="R255" s="66"/>
      <c r="S255" s="66"/>
      <c r="T255" s="66"/>
      <c r="U255" s="66"/>
      <c r="V255" s="66"/>
      <c r="W255" s="66"/>
      <c r="X255" s="66">
        <v>34.4</v>
      </c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7</v>
      </c>
      <c r="AQ255" s="68" t="str">
        <f t="shared" si="17"/>
        <v/>
      </c>
      <c r="AR255" s="68">
        <f>IFERROR(VLOOKUP(A255,Climatologia_TMAX!A:U,9+$E$2,FALSE),"")</f>
        <v>31.503837526872839</v>
      </c>
      <c r="AS255" s="68" t="str">
        <f t="shared" si="18"/>
        <v/>
      </c>
      <c r="AT255" s="74">
        <f t="shared" si="19"/>
        <v>36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55" s="69">
        <f t="shared" si="20"/>
        <v>-3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29.930338384733549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33.297129294370073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39.4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23.2</v>
      </c>
      <c r="L258" s="66">
        <v>21.6</v>
      </c>
      <c r="M258" s="66">
        <v>21.2</v>
      </c>
      <c r="N258" s="66">
        <v>22.2</v>
      </c>
      <c r="O258" s="66">
        <v>24.2</v>
      </c>
      <c r="P258" s="66">
        <v>22.2</v>
      </c>
      <c r="Q258" s="66">
        <v>23.8</v>
      </c>
      <c r="R258" s="66">
        <v>24.2</v>
      </c>
      <c r="S258" s="66">
        <v>24</v>
      </c>
      <c r="T258" s="66">
        <v>21.6</v>
      </c>
      <c r="U258" s="66">
        <v>23.4</v>
      </c>
      <c r="V258" s="66">
        <v>21.2</v>
      </c>
      <c r="W258" s="66">
        <v>20.2</v>
      </c>
      <c r="X258" s="66">
        <v>23.2</v>
      </c>
      <c r="Y258" s="66">
        <v>24.4</v>
      </c>
      <c r="Z258" s="66">
        <v>23.4</v>
      </c>
      <c r="AA258" s="66">
        <v>22.6</v>
      </c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17</v>
      </c>
      <c r="AQ258" s="68">
        <f t="shared" si="17"/>
        <v>22.741176470588233</v>
      </c>
      <c r="AR258" s="68">
        <f>IFERROR(VLOOKUP(A258,Climatologia_TMAX!A:U,9+$E$2,FALSE),"")</f>
        <v>21.808832428070328</v>
      </c>
      <c r="AS258" s="68">
        <f t="shared" si="18"/>
        <v>0.93234404251790437</v>
      </c>
      <c r="AT258" s="74">
        <f t="shared" si="19"/>
        <v>24.4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30590</v>
      </c>
      <c r="AW258" s="69">
        <f t="shared" si="20"/>
        <v>-3.6000000000000014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26.2</v>
      </c>
      <c r="L259" s="66">
        <v>25.6</v>
      </c>
      <c r="M259" s="66">
        <v>25.6</v>
      </c>
      <c r="N259" s="66">
        <v>27.4</v>
      </c>
      <c r="O259" s="66">
        <v>28</v>
      </c>
      <c r="P259" s="66">
        <v>27.6</v>
      </c>
      <c r="Q259" s="66">
        <v>28</v>
      </c>
      <c r="R259" s="66">
        <v>26.5</v>
      </c>
      <c r="S259" s="66">
        <v>27</v>
      </c>
      <c r="T259" s="66">
        <v>24.4</v>
      </c>
      <c r="U259" s="66">
        <v>27</v>
      </c>
      <c r="V259" s="66"/>
      <c r="W259" s="66">
        <v>23</v>
      </c>
      <c r="X259" s="66">
        <v>26.2</v>
      </c>
      <c r="Y259" s="66">
        <v>28.2</v>
      </c>
      <c r="Z259" s="66">
        <v>26</v>
      </c>
      <c r="AA259" s="66">
        <v>26.6</v>
      </c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16</v>
      </c>
      <c r="AQ259" s="68">
        <f t="shared" si="17"/>
        <v>26.456250000000001</v>
      </c>
      <c r="AR259" s="68">
        <f>IFERROR(VLOOKUP(A259,Climatologia_TMAX!A:U,9+$E$2,FALSE),"")</f>
        <v>25.9010136502114</v>
      </c>
      <c r="AS259" s="68">
        <f t="shared" si="18"/>
        <v>0.55523634978860059</v>
      </c>
      <c r="AT259" s="74">
        <f t="shared" si="19"/>
        <v>28.2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42298</v>
      </c>
      <c r="AW259" s="69">
        <f t="shared" si="20"/>
        <v>-2.4000000000000021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20.8</v>
      </c>
      <c r="L260" s="66">
        <v>20.6</v>
      </c>
      <c r="M260" s="66">
        <v>20.399999999999999</v>
      </c>
      <c r="N260" s="66">
        <v>21.2</v>
      </c>
      <c r="O260" s="66">
        <v>21.8</v>
      </c>
      <c r="P260" s="66">
        <v>20</v>
      </c>
      <c r="Q260" s="66">
        <v>18.8</v>
      </c>
      <c r="R260" s="66">
        <v>21</v>
      </c>
      <c r="S260" s="66">
        <v>20.8</v>
      </c>
      <c r="T260" s="66">
        <v>19.8</v>
      </c>
      <c r="U260" s="66">
        <v>19.399999999999999</v>
      </c>
      <c r="V260" s="66">
        <v>18</v>
      </c>
      <c r="W260" s="109">
        <v>16</v>
      </c>
      <c r="X260" s="66">
        <v>21</v>
      </c>
      <c r="Y260" s="66">
        <v>23.8</v>
      </c>
      <c r="Z260" s="66">
        <v>22.4</v>
      </c>
      <c r="AA260" s="66">
        <v>20.6</v>
      </c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17</v>
      </c>
      <c r="AQ260" s="68">
        <f t="shared" si="17"/>
        <v>20.376470588235296</v>
      </c>
      <c r="AR260" s="68">
        <f>IFERROR(VLOOKUP(A260,Climatologia_TMAX!A:U,9+$E$2,FALSE),"")</f>
        <v>18.23163558863169</v>
      </c>
      <c r="AS260" s="68">
        <f t="shared" si="18"/>
        <v>2.1448349996036065</v>
      </c>
      <c r="AT260" s="74">
        <f t="shared" si="19"/>
        <v>23.8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24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45576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31.8</v>
      </c>
      <c r="L261" s="66">
        <v>31.6</v>
      </c>
      <c r="M261" s="66">
        <v>30.6</v>
      </c>
      <c r="N261" s="66">
        <v>33</v>
      </c>
      <c r="O261" s="66">
        <v>33.200000000000003</v>
      </c>
      <c r="P261" s="66">
        <v>33.6</v>
      </c>
      <c r="Q261" s="66">
        <v>31.4</v>
      </c>
      <c r="R261" s="66">
        <v>30.8</v>
      </c>
      <c r="S261" s="66">
        <v>31.4</v>
      </c>
      <c r="T261" s="66">
        <v>28</v>
      </c>
      <c r="U261" s="66">
        <v>29.4</v>
      </c>
      <c r="V261" s="66">
        <v>29</v>
      </c>
      <c r="W261" s="66">
        <v>28.8</v>
      </c>
      <c r="X261" s="66">
        <v>31.4</v>
      </c>
      <c r="Y261" s="66">
        <v>33.6</v>
      </c>
      <c r="Z261" s="66">
        <v>32</v>
      </c>
      <c r="AA261" s="66">
        <v>33</v>
      </c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17</v>
      </c>
      <c r="AQ261" s="68">
        <f t="shared" ref="AQ261:AQ324" si="22">IF(AP261&gt;14,AVERAGE(K261:AO261),"")</f>
        <v>31.329411764705878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35710</v>
      </c>
      <c r="AW261" s="69">
        <f t="shared" ref="AW261:AW288" si="25">IF(OR(AT261="",AU261=""),"NA",IFERROR(AT261-AU261,"NA"))</f>
        <v>-4.3999999999999986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21.6</v>
      </c>
      <c r="M262" s="66">
        <v>21.2</v>
      </c>
      <c r="N262" s="66">
        <v>22.2</v>
      </c>
      <c r="O262" s="66">
        <v>23.6</v>
      </c>
      <c r="P262" s="66">
        <v>21.4</v>
      </c>
      <c r="Q262" s="66">
        <v>21.2</v>
      </c>
      <c r="R262" s="66">
        <v>22.6</v>
      </c>
      <c r="S262" s="66">
        <v>23.2</v>
      </c>
      <c r="T262" s="66">
        <v>19</v>
      </c>
      <c r="U262" s="66"/>
      <c r="V262" s="66">
        <v>18.600000000000001</v>
      </c>
      <c r="W262" s="66">
        <v>20.2</v>
      </c>
      <c r="X262" s="66">
        <v>21.4</v>
      </c>
      <c r="Y262" s="66">
        <v>24.8</v>
      </c>
      <c r="Z262" s="66">
        <v>22.6</v>
      </c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15</v>
      </c>
      <c r="AQ262" s="68">
        <f t="shared" si="22"/>
        <v>21.77333333333333</v>
      </c>
      <c r="AR262" s="68">
        <f>IFERROR(VLOOKUP(A262,Climatologia_TMAX!A:U,9+$E$2,FALSE),"")</f>
        <v>20.583971968097579</v>
      </c>
      <c r="AS262" s="68">
        <f t="shared" si="23"/>
        <v>1.1893613652357509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62" s="69">
        <f t="shared" si="25"/>
        <v>-0.39999999999999858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15.638000370782351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23</v>
      </c>
      <c r="L266" s="66"/>
      <c r="M266" s="66"/>
      <c r="N266" s="66">
        <v>21.4</v>
      </c>
      <c r="O266" s="66">
        <v>25.2</v>
      </c>
      <c r="P266" s="66">
        <v>22.4</v>
      </c>
      <c r="Q266" s="66">
        <v>20.399999999999999</v>
      </c>
      <c r="R266" s="66">
        <v>20.6</v>
      </c>
      <c r="S266" s="66"/>
      <c r="T266" s="66"/>
      <c r="U266" s="66"/>
      <c r="V266" s="66">
        <v>21.6</v>
      </c>
      <c r="W266" s="66">
        <v>19.8</v>
      </c>
      <c r="X266" s="66">
        <v>22.2</v>
      </c>
      <c r="Y266" s="66">
        <v>22.6</v>
      </c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25.2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43010</v>
      </c>
      <c r="AW266" s="69">
        <f t="shared" si="25"/>
        <v>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15.2</v>
      </c>
      <c r="M268" s="66">
        <v>15.8</v>
      </c>
      <c r="N268" s="66">
        <v>16.2</v>
      </c>
      <c r="O268" s="66">
        <v>16.600000000000001</v>
      </c>
      <c r="P268" s="66">
        <v>16</v>
      </c>
      <c r="Q268" s="66">
        <v>15.6</v>
      </c>
      <c r="R268" s="66">
        <v>15</v>
      </c>
      <c r="S268" s="66">
        <v>15.6</v>
      </c>
      <c r="T268" s="66">
        <v>16</v>
      </c>
      <c r="U268" s="66">
        <v>16.399999999999999</v>
      </c>
      <c r="V268" s="66">
        <v>15.8</v>
      </c>
      <c r="W268" s="66">
        <v>15.4</v>
      </c>
      <c r="X268" s="66">
        <v>15</v>
      </c>
      <c r="Y268" s="66">
        <v>15.6</v>
      </c>
      <c r="Z268" s="66">
        <v>16.2</v>
      </c>
      <c r="AA268" s="66">
        <v>16.600000000000001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17</v>
      </c>
      <c r="AQ268" s="68">
        <f t="shared" si="22"/>
        <v>15.8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16.600000000000001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37543</v>
      </c>
      <c r="AW268" s="69">
        <f t="shared" si="25"/>
        <v>-8.1999999999999993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20</v>
      </c>
      <c r="M269" s="66">
        <v>20.399999999999999</v>
      </c>
      <c r="N269" s="66">
        <v>22.2</v>
      </c>
      <c r="O269" s="66">
        <v>25.4</v>
      </c>
      <c r="P269" s="66">
        <v>23.4</v>
      </c>
      <c r="Q269" s="66">
        <v>22</v>
      </c>
      <c r="R269" s="66">
        <v>21</v>
      </c>
      <c r="S269" s="66">
        <v>23</v>
      </c>
      <c r="T269" s="66">
        <v>19.399999999999999</v>
      </c>
      <c r="U269" s="109">
        <v>21</v>
      </c>
      <c r="V269" s="66">
        <v>19.2</v>
      </c>
      <c r="W269" s="66">
        <v>18.600000000000001</v>
      </c>
      <c r="X269" s="66">
        <v>22.6</v>
      </c>
      <c r="Y269" s="66">
        <v>24.6</v>
      </c>
      <c r="Z269" s="66">
        <v>22.6</v>
      </c>
      <c r="AA269" s="66">
        <v>23</v>
      </c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17</v>
      </c>
      <c r="AQ269" s="68">
        <f t="shared" si="22"/>
        <v>21.764705882352949</v>
      </c>
      <c r="AR269" s="68">
        <f>IFERROR(VLOOKUP(A269,Climatologia_TMAX!A:U,9+$E$2,FALSE),"")</f>
        <v>19.72737191725864</v>
      </c>
      <c r="AS269" s="68">
        <f t="shared" si="23"/>
        <v>2.0373339650943088</v>
      </c>
      <c r="AT269" s="74">
        <f t="shared" si="24"/>
        <v>25.4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24.6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45582</v>
      </c>
      <c r="AW269" s="69">
        <f t="shared" si="25"/>
        <v>0.79999999999999716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23</v>
      </c>
      <c r="L270" s="66">
        <v>20</v>
      </c>
      <c r="M270" s="66">
        <v>18.399999999999999</v>
      </c>
      <c r="N270" s="66">
        <v>22</v>
      </c>
      <c r="O270" s="66">
        <v>24</v>
      </c>
      <c r="P270" s="66">
        <v>23</v>
      </c>
      <c r="Q270" s="66">
        <v>19</v>
      </c>
      <c r="R270" s="66">
        <v>20.6</v>
      </c>
      <c r="S270" s="66">
        <v>21</v>
      </c>
      <c r="T270" s="66">
        <v>21.2</v>
      </c>
      <c r="U270" s="66">
        <v>20</v>
      </c>
      <c r="V270" s="66">
        <v>17.600000000000001</v>
      </c>
      <c r="W270" s="66">
        <v>16.600000000000001</v>
      </c>
      <c r="X270" s="66">
        <v>22</v>
      </c>
      <c r="Y270" s="66">
        <v>21.8</v>
      </c>
      <c r="Z270" s="66">
        <v>19.399999999999999</v>
      </c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16</v>
      </c>
      <c r="AQ270" s="68">
        <f t="shared" si="22"/>
        <v>20.599999999999998</v>
      </c>
      <c r="AR270" s="68">
        <f>IFERROR(VLOOKUP(A270,Climatologia_TMAX!A:U,9+$E$2,FALSE),"")</f>
        <v>16.868255178571651</v>
      </c>
      <c r="AS270" s="68">
        <f t="shared" si="23"/>
        <v>3.7317448214283466</v>
      </c>
      <c r="AT270" s="74">
        <f t="shared" si="24"/>
        <v>24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70" s="69">
        <f t="shared" si="25"/>
        <v>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21.8</v>
      </c>
      <c r="L271" s="66">
        <v>16.600000000000001</v>
      </c>
      <c r="M271" s="66">
        <v>17.399999999999999</v>
      </c>
      <c r="N271" s="66">
        <v>19.399999999999999</v>
      </c>
      <c r="O271" s="66">
        <v>21.8</v>
      </c>
      <c r="P271" s="66">
        <v>20.8</v>
      </c>
      <c r="Q271" s="66">
        <v>18.2</v>
      </c>
      <c r="R271" s="66">
        <v>18.399999999999999</v>
      </c>
      <c r="S271" s="66">
        <v>17.8</v>
      </c>
      <c r="T271" s="66">
        <v>19.2</v>
      </c>
      <c r="U271" s="66">
        <v>19.2</v>
      </c>
      <c r="V271" s="66">
        <v>19.8</v>
      </c>
      <c r="W271" s="66">
        <v>19.2</v>
      </c>
      <c r="X271" s="66">
        <v>18.8</v>
      </c>
      <c r="Y271" s="66">
        <v>20.6</v>
      </c>
      <c r="Z271" s="66"/>
      <c r="AA271" s="66">
        <v>20.8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16</v>
      </c>
      <c r="AQ271" s="68">
        <f t="shared" si="22"/>
        <v>19.362500000000001</v>
      </c>
      <c r="AR271" s="68">
        <f>IFERROR(VLOOKUP(A271,Climatologia_TMAX!A:U,9+$E$2,FALSE),"")</f>
        <v>18.478554548666519</v>
      </c>
      <c r="AS271" s="68">
        <f t="shared" si="23"/>
        <v>0.88394545133348146</v>
      </c>
      <c r="AT271" s="74">
        <f t="shared" si="24"/>
        <v>21.8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23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1" s="69">
        <f t="shared" si="25"/>
        <v>-1.1999999999999993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29.6</v>
      </c>
      <c r="L272" s="66">
        <v>23.6</v>
      </c>
      <c r="M272" s="66"/>
      <c r="N272" s="66">
        <v>24.4</v>
      </c>
      <c r="O272" s="66">
        <v>29.2</v>
      </c>
      <c r="P272" s="66">
        <v>25.6</v>
      </c>
      <c r="Q272" s="66">
        <v>23.8</v>
      </c>
      <c r="R272" s="66">
        <v>24.2</v>
      </c>
      <c r="S272" s="66">
        <v>25</v>
      </c>
      <c r="T272" s="66">
        <v>20</v>
      </c>
      <c r="U272" s="66">
        <v>25</v>
      </c>
      <c r="V272" s="66">
        <v>18</v>
      </c>
      <c r="W272" s="66">
        <v>22.8</v>
      </c>
      <c r="X272" s="66">
        <v>24.6</v>
      </c>
      <c r="Y272" s="66">
        <v>25.8</v>
      </c>
      <c r="Z272" s="66">
        <v>23.6</v>
      </c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15</v>
      </c>
      <c r="AQ272" s="68">
        <f t="shared" si="22"/>
        <v>24.346666666666671</v>
      </c>
      <c r="AR272" s="68">
        <f>IFERROR(VLOOKUP(A272,Climatologia_TMAX!A:U,9+$E$2,FALSE),"")</f>
        <v>21.483451369051782</v>
      </c>
      <c r="AS272" s="68">
        <f t="shared" si="23"/>
        <v>2.8632152976148895</v>
      </c>
      <c r="AT272" s="74">
        <f t="shared" si="24"/>
        <v>29.6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26.6</v>
      </c>
      <c r="L273" s="66">
        <v>24.2</v>
      </c>
      <c r="M273" s="66">
        <v>25.8</v>
      </c>
      <c r="N273" s="66">
        <v>28.2</v>
      </c>
      <c r="O273" s="66">
        <v>29.2</v>
      </c>
      <c r="P273" s="66">
        <v>27</v>
      </c>
      <c r="Q273" s="66">
        <v>27.6</v>
      </c>
      <c r="R273" s="66">
        <v>26.6</v>
      </c>
      <c r="S273" s="66">
        <v>27.6</v>
      </c>
      <c r="T273" s="66">
        <v>23.4</v>
      </c>
      <c r="U273" s="66">
        <v>25.6</v>
      </c>
      <c r="V273" s="66">
        <v>22.2</v>
      </c>
      <c r="W273" s="66">
        <v>26</v>
      </c>
      <c r="X273" s="66">
        <v>26.6</v>
      </c>
      <c r="Y273" s="66">
        <v>28.4</v>
      </c>
      <c r="Z273" s="66">
        <v>26.6</v>
      </c>
      <c r="AA273" s="66">
        <v>26.6</v>
      </c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17</v>
      </c>
      <c r="AQ273" s="68">
        <f t="shared" si="22"/>
        <v>26.364705882352943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38262</v>
      </c>
      <c r="AW273" s="69">
        <f t="shared" si="25"/>
        <v>-0.80000000000000071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25.2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16.600000000000001</v>
      </c>
      <c r="L275" s="66">
        <v>11.4</v>
      </c>
      <c r="M275" s="66">
        <v>10.6</v>
      </c>
      <c r="N275" s="66">
        <v>13</v>
      </c>
      <c r="O275" s="66">
        <v>16.399999999999999</v>
      </c>
      <c r="P275" s="66">
        <v>15.4</v>
      </c>
      <c r="Q275" s="66">
        <v>13.6</v>
      </c>
      <c r="R275" s="66">
        <v>13.4</v>
      </c>
      <c r="S275" s="66">
        <v>14.6</v>
      </c>
      <c r="T275" s="66">
        <v>12.6</v>
      </c>
      <c r="U275" s="109">
        <v>13</v>
      </c>
      <c r="V275" s="66">
        <v>11</v>
      </c>
      <c r="W275" s="66">
        <v>13.4</v>
      </c>
      <c r="X275" s="66">
        <v>14.6</v>
      </c>
      <c r="Y275" s="66">
        <v>15.4</v>
      </c>
      <c r="Z275" s="66">
        <v>14.2</v>
      </c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16</v>
      </c>
      <c r="AQ275" s="68">
        <f t="shared" si="22"/>
        <v>13.7</v>
      </c>
      <c r="AR275" s="68">
        <f>IFERROR(VLOOKUP(A275,Climatologia_TMAX!A:U,9+$E$2,FALSE),"")</f>
        <v>12.46474387230348</v>
      </c>
      <c r="AS275" s="68">
        <f t="shared" si="23"/>
        <v>1.2352561276965197</v>
      </c>
      <c r="AT275" s="74">
        <f t="shared" si="24"/>
        <v>16.600000000000001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5" s="69">
        <f t="shared" si="25"/>
        <v>0.20000000000000284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39.799999999999997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45569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20.96381123687328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29.2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37184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30.8</v>
      </c>
      <c r="L278" s="66">
        <v>29.6</v>
      </c>
      <c r="M278" s="66">
        <v>31.4</v>
      </c>
      <c r="N278" s="66">
        <v>32.4</v>
      </c>
      <c r="O278" s="66">
        <v>33.6</v>
      </c>
      <c r="P278" s="66">
        <v>33.799999999999997</v>
      </c>
      <c r="Q278" s="66">
        <v>30.8</v>
      </c>
      <c r="R278" s="66">
        <v>30.6</v>
      </c>
      <c r="S278" s="66">
        <v>31.6</v>
      </c>
      <c r="T278" s="66">
        <v>28.8</v>
      </c>
      <c r="U278" s="66">
        <v>30.8</v>
      </c>
      <c r="V278" s="66">
        <v>28.2</v>
      </c>
      <c r="W278" s="66">
        <v>29.6</v>
      </c>
      <c r="X278" s="66">
        <v>31</v>
      </c>
      <c r="Y278" s="66">
        <v>33.4</v>
      </c>
      <c r="Z278" s="66">
        <v>30.6</v>
      </c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16</v>
      </c>
      <c r="AQ278" s="68">
        <f t="shared" si="22"/>
        <v>31.062500000000004</v>
      </c>
      <c r="AR278" s="68">
        <f>IFERROR(VLOOKUP(A278,Climatologia_TMAX!A:U,9+$E$2,FALSE),"")</f>
        <v>30.15034710932375</v>
      </c>
      <c r="AS278" s="68">
        <f t="shared" si="23"/>
        <v>0.91215289067625349</v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78" s="69">
        <f t="shared" si="25"/>
        <v>-1.8000000000000043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23.8</v>
      </c>
      <c r="L279" s="66">
        <v>22.6</v>
      </c>
      <c r="M279" s="66">
        <v>22.2</v>
      </c>
      <c r="N279" s="66">
        <v>20.399999999999999</v>
      </c>
      <c r="O279" s="66">
        <v>25.8</v>
      </c>
      <c r="P279" s="66">
        <v>23.2</v>
      </c>
      <c r="Q279" s="66">
        <v>21.8</v>
      </c>
      <c r="R279" s="66"/>
      <c r="S279" s="66">
        <v>24.2</v>
      </c>
      <c r="T279" s="66">
        <v>19.8</v>
      </c>
      <c r="U279" s="66">
        <v>22.2</v>
      </c>
      <c r="V279" s="66">
        <v>19.2</v>
      </c>
      <c r="W279" s="66">
        <v>21.2</v>
      </c>
      <c r="X279" s="66">
        <v>23.4</v>
      </c>
      <c r="Y279" s="66">
        <v>24.4</v>
      </c>
      <c r="Z279" s="66">
        <v>22.6</v>
      </c>
      <c r="AA279" s="66">
        <v>24.4</v>
      </c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16</v>
      </c>
      <c r="AQ279" s="68">
        <f t="shared" si="22"/>
        <v>22.574999999999996</v>
      </c>
      <c r="AR279" s="68">
        <f>IFERROR(VLOOKUP(A279,Climatologia_TMAX!A:U,9+$E$2,FALSE),"")</f>
        <v>21.130903225806449</v>
      </c>
      <c r="AS279" s="68">
        <f t="shared" si="23"/>
        <v>1.4440967741935467</v>
      </c>
      <c r="AT279" s="74">
        <f t="shared" si="24"/>
        <v>25.8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25.6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279" s="69">
        <f t="shared" si="25"/>
        <v>0.19999999999999929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31.8</v>
      </c>
      <c r="L280" s="66">
        <v>28.6</v>
      </c>
      <c r="M280" s="66">
        <v>29.8</v>
      </c>
      <c r="N280" s="66">
        <v>33.200000000000003</v>
      </c>
      <c r="O280" s="66">
        <v>34.6</v>
      </c>
      <c r="P280" s="66">
        <v>32.6</v>
      </c>
      <c r="Q280" s="66">
        <v>31.6</v>
      </c>
      <c r="R280" s="66">
        <v>31.6</v>
      </c>
      <c r="S280" s="66">
        <v>31.8</v>
      </c>
      <c r="T280" s="66">
        <v>26.8</v>
      </c>
      <c r="U280" s="66">
        <v>31.4</v>
      </c>
      <c r="V280" s="66">
        <v>27.2</v>
      </c>
      <c r="W280" s="66">
        <v>29.6</v>
      </c>
      <c r="X280" s="66">
        <v>31.6</v>
      </c>
      <c r="Y280" s="66">
        <v>33.799999999999997</v>
      </c>
      <c r="Z280" s="66">
        <v>30.8</v>
      </c>
      <c r="AA280" s="66">
        <v>31.6</v>
      </c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17</v>
      </c>
      <c r="AQ280" s="68">
        <f t="shared" si="22"/>
        <v>31.08235294117647</v>
      </c>
      <c r="AR280" s="68">
        <f>IFERROR(VLOOKUP(A280,Climatologia_TMAX!A:U,9+$E$2,FALSE),"")</f>
        <v>28.78996989247312</v>
      </c>
      <c r="AS280" s="68">
        <f t="shared" si="23"/>
        <v>2.2923830487033499</v>
      </c>
      <c r="AT280" s="74">
        <f t="shared" si="24"/>
        <v>34.6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35.6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44125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20.2</v>
      </c>
      <c r="L281" s="66">
        <v>20</v>
      </c>
      <c r="M281" s="66">
        <v>21.2</v>
      </c>
      <c r="N281" s="66">
        <v>22.8</v>
      </c>
      <c r="O281" s="66">
        <v>23.6</v>
      </c>
      <c r="P281" s="66">
        <v>22</v>
      </c>
      <c r="Q281" s="66">
        <v>21.4</v>
      </c>
      <c r="R281" s="66">
        <v>20.8</v>
      </c>
      <c r="S281" s="66">
        <v>21</v>
      </c>
      <c r="T281" s="66">
        <v>17.399999999999999</v>
      </c>
      <c r="U281" s="66">
        <v>21.4</v>
      </c>
      <c r="V281" s="66">
        <v>18</v>
      </c>
      <c r="W281" s="66">
        <v>19.600000000000001</v>
      </c>
      <c r="X281" s="66">
        <v>21</v>
      </c>
      <c r="Y281" s="66">
        <v>23.2</v>
      </c>
      <c r="Z281" s="66">
        <v>21.4</v>
      </c>
      <c r="AA281" s="66">
        <v>22.2</v>
      </c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17</v>
      </c>
      <c r="AQ281" s="68">
        <f t="shared" si="22"/>
        <v>21.011764705882353</v>
      </c>
      <c r="AR281" s="68">
        <f>IFERROR(VLOOKUP(A281,Climatologia_TMAX!A:U,9+$E$2,FALSE),"")</f>
        <v>19.74925870014302</v>
      </c>
      <c r="AS281" s="68">
        <f t="shared" si="23"/>
        <v>1.2625060057393327</v>
      </c>
      <c r="AT281" s="74">
        <f t="shared" si="24"/>
        <v>23.6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17.511598029984679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21.6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41192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21.8</v>
      </c>
      <c r="L284" s="66">
        <v>19.399999999999999</v>
      </c>
      <c r="M284" s="66">
        <v>18.8</v>
      </c>
      <c r="N284" s="66">
        <v>21.6</v>
      </c>
      <c r="O284" s="66">
        <v>24.2</v>
      </c>
      <c r="P284" s="66">
        <v>19.8</v>
      </c>
      <c r="Q284" s="66">
        <v>21.2</v>
      </c>
      <c r="R284" s="66">
        <v>20.6</v>
      </c>
      <c r="S284" s="66">
        <v>23.2</v>
      </c>
      <c r="T284" s="66">
        <v>19.600000000000001</v>
      </c>
      <c r="U284" s="66">
        <v>21.4</v>
      </c>
      <c r="V284" s="66">
        <v>19.8</v>
      </c>
      <c r="W284" s="66">
        <v>19.2</v>
      </c>
      <c r="X284" s="66">
        <v>23</v>
      </c>
      <c r="Y284" s="66">
        <v>23.4</v>
      </c>
      <c r="Z284" s="66">
        <v>21.4</v>
      </c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16</v>
      </c>
      <c r="AQ284" s="68">
        <f t="shared" si="22"/>
        <v>21.149999999999995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24.2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44129</v>
      </c>
      <c r="AW284" s="69">
        <f t="shared" si="25"/>
        <v>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22.6</v>
      </c>
      <c r="L285" s="66">
        <v>20</v>
      </c>
      <c r="M285" s="66">
        <v>20.399999999999999</v>
      </c>
      <c r="N285" s="66">
        <v>21.2</v>
      </c>
      <c r="O285" s="66">
        <v>25</v>
      </c>
      <c r="P285" s="66">
        <v>22</v>
      </c>
      <c r="Q285" s="66">
        <v>21.8</v>
      </c>
      <c r="R285" s="66">
        <v>21.8</v>
      </c>
      <c r="S285" s="66">
        <v>23</v>
      </c>
      <c r="T285" s="66">
        <v>19</v>
      </c>
      <c r="U285" s="109">
        <v>22</v>
      </c>
      <c r="V285" s="66">
        <v>19</v>
      </c>
      <c r="W285" s="66">
        <v>19.399999999999999</v>
      </c>
      <c r="X285" s="66">
        <v>22.8</v>
      </c>
      <c r="Y285" s="66">
        <v>24.4</v>
      </c>
      <c r="Z285" s="66">
        <v>23</v>
      </c>
      <c r="AA285" s="66">
        <v>22.4</v>
      </c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17</v>
      </c>
      <c r="AQ285" s="68">
        <f t="shared" si="22"/>
        <v>21.752941176470586</v>
      </c>
      <c r="AR285" s="68">
        <f>IFERROR(VLOOKUP(A285,Climatologia_TMAX!A:U,9+$E$2,FALSE),"")</f>
        <v>19.877590063924739</v>
      </c>
      <c r="AS285" s="68">
        <f t="shared" si="23"/>
        <v>1.8753511125458466</v>
      </c>
      <c r="AT285" s="74">
        <f t="shared" si="24"/>
        <v>25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24.6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5" s="69">
        <f t="shared" si="25"/>
        <v>0.39999999999999858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31.322301410738561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36.799999999999997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44847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19.600000000000001</v>
      </c>
      <c r="L287" s="66">
        <v>17.600000000000001</v>
      </c>
      <c r="M287" s="66">
        <v>17.600000000000001</v>
      </c>
      <c r="N287" s="66">
        <v>21</v>
      </c>
      <c r="O287" s="66">
        <v>21.2</v>
      </c>
      <c r="P287" s="66">
        <v>19</v>
      </c>
      <c r="Q287" s="66">
        <v>19.8</v>
      </c>
      <c r="R287" s="66">
        <v>19.600000000000001</v>
      </c>
      <c r="S287" s="66">
        <v>17.600000000000001</v>
      </c>
      <c r="T287" s="66">
        <v>20</v>
      </c>
      <c r="U287" s="66">
        <v>19.399999999999999</v>
      </c>
      <c r="V287" s="66">
        <v>17</v>
      </c>
      <c r="W287" s="66">
        <v>18</v>
      </c>
      <c r="X287" s="66">
        <v>21.4</v>
      </c>
      <c r="Y287" s="66">
        <v>22</v>
      </c>
      <c r="Z287" s="66">
        <v>20.6</v>
      </c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16</v>
      </c>
      <c r="AQ287" s="68">
        <f t="shared" si="22"/>
        <v>19.462500000000002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22.2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7" s="69">
        <f t="shared" si="25"/>
        <v>-0.19999999999999929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25.304799281117951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workbookViewId="0">
      <selection activeCell="R5" sqref="R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31.608866726334998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77" width="11.42578125" style="42" customWidth="1"/>
    <col min="178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2026-10-18T15:17:30Z</dcterms:modified>
</cp:coreProperties>
</file>