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1272F23-ED52-4EC4-8664-C93F4ABDA1D0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<sst xmlns="http://schemas.openxmlformats.org/spreadsheetml/2006/main" count="604" uniqueCount="273">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</sst>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O31" activePane="bottomRight" state="frozen"/>
      <selection pane="topRight" activeCell="E1" sqref="E1"/>
      <selection pane="bottomLeft" activeCell="A4" sqref="A4"/>
      <selection pane="bottomRight" activeCell="X11" sqref="X11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>
        <v>30.9</v>
      </c>
      <c r="W5" s="57">
        <v>30.9</v>
      </c>
      <c r="X5" s="57">
        <v>29.2</v>
      </c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29.2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31.090000000000003</v>
      </c>
      <c r="AP5" s="23">
        <f>IF(AN5&gt;0,IFERROR(AO5-AN5,""),"")</f>
        <v>0.89262822399177466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>
        <v>31.1</v>
      </c>
      <c r="W6" s="57">
        <v>30.8</v>
      </c>
      <c r="X6" s="57">
        <v>29.7</v>
      </c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29.7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30.614999999999998</v>
      </c>
      <c r="AP6" s="23">
        <f t="shared" ref="AP6:AP48" si="4">IF(AN6&gt;0,IFERROR(AO6-AN6,""),"")</f>
        <v>-3.9280397022341873E-2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>
        <v>35.799999999999997</v>
      </c>
      <c r="W7" s="57">
        <v>35.9</v>
      </c>
      <c r="X7" s="57">
        <v>30.6</v>
      </c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30.6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35.89</v>
      </c>
      <c r="AP7" s="23">
        <f t="shared" si="4"/>
        <v>2.523983992430928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>
        <v>34.1</v>
      </c>
      <c r="W8" s="57">
        <v>32.799999999999997</v>
      </c>
      <c r="X8" s="57">
        <v>30.2</v>
      </c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30.2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33.270000000000003</v>
      </c>
      <c r="AP8" s="23">
        <f t="shared" si="4"/>
        <v>1.0209569892473098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>
        <v>34.1</v>
      </c>
      <c r="W9" s="57">
        <v>33.200000000000003</v>
      </c>
      <c r="X9" s="57">
        <v>30.4</v>
      </c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30.4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>
        <f t="shared" si="3"/>
        <v>33.774999999999999</v>
      </c>
      <c r="AP9" s="23">
        <f t="shared" si="4"/>
        <v>0.68375386231615209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>
        <v>36.299999999999997</v>
      </c>
      <c r="W10" s="57">
        <v>35.4</v>
      </c>
      <c r="X10" s="57">
        <v>35.5</v>
      </c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35.5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>
        <f t="shared" si="3"/>
        <v>35.784999999999997</v>
      </c>
      <c r="AP10" s="23">
        <f t="shared" si="4"/>
        <v>0.40476177233963995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>
        <v>38.299999999999997</v>
      </c>
      <c r="W11" s="57">
        <v>37</v>
      </c>
      <c r="X11" s="57">
        <v>36.4</v>
      </c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36.4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>
        <f t="shared" si="3"/>
        <v>38.184999999999988</v>
      </c>
      <c r="AP11" s="23">
        <f t="shared" si="4"/>
        <v>2.6477159071513867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>
        <v>35.200000000000003</v>
      </c>
      <c r="W12" s="57">
        <v>32.799999999999997</v>
      </c>
      <c r="X12" s="57">
        <v>30.4</v>
      </c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30.4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34.739999999999995</v>
      </c>
      <c r="AP12" s="23">
        <f t="shared" si="4"/>
        <v>2.5513758538262579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>
        <v>36.799999999999997</v>
      </c>
      <c r="W13" s="57">
        <v>34.6</v>
      </c>
      <c r="X13" s="57">
        <v>31.2</v>
      </c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31.2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35.96</v>
      </c>
      <c r="AP13" s="23">
        <f t="shared" si="4"/>
        <v>2.5782078853046642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>
        <v>36.700000000000003</v>
      </c>
      <c r="W14" s="57">
        <v>33</v>
      </c>
      <c r="X14" s="57">
        <v>31.1</v>
      </c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31.1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35.049999999999997</v>
      </c>
      <c r="AP14" s="23">
        <f t="shared" si="4"/>
        <v>1.8250634007857656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>
        <v>33.1</v>
      </c>
      <c r="W15" s="57">
        <v>29.5</v>
      </c>
      <c r="X15" s="57">
        <v>31.5</v>
      </c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31.5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31.82</v>
      </c>
      <c r="AP15" s="23">
        <f t="shared" si="4"/>
        <v>8.4662543920050126E-2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>
        <v>35.799999999999997</v>
      </c>
      <c r="W17" s="57">
        <v>32.4</v>
      </c>
      <c r="X17" s="57">
        <v>31</v>
      </c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31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34.439999999999991</v>
      </c>
      <c r="AP17" s="23">
        <f>IF(AN17&gt;0,IFERROR(AO17-AN17,""),"")</f>
        <v>1.7660177975528342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>
        <v>27.6</v>
      </c>
      <c r="W18" s="57">
        <v>26.9</v>
      </c>
      <c r="X18" s="57">
        <v>24.8</v>
      </c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24.8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27.970000000000006</v>
      </c>
      <c r="AP18" s="23">
        <f t="shared" si="4"/>
        <v>1.9101291460431362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>
        <v>32.299999999999997</v>
      </c>
      <c r="W19" s="57">
        <v>34.1</v>
      </c>
      <c r="X19" s="57">
        <v>29.8</v>
      </c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29.8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>
        <f t="shared" si="5"/>
        <v>33.584999999999994</v>
      </c>
      <c r="AP19" s="23">
        <f t="shared" si="4"/>
        <v>0.33403759733035088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>
        <v>31.8</v>
      </c>
      <c r="W20" s="57">
        <v>28.6</v>
      </c>
      <c r="X20" s="57">
        <v>26.9</v>
      </c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26.9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30.385000000000002</v>
      </c>
      <c r="AP20" s="23">
        <f t="shared" si="4"/>
        <v>1.7441954022988533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>
        <v>24.9</v>
      </c>
      <c r="W21" s="57">
        <v>23.7</v>
      </c>
      <c r="X21" s="57">
        <v>21.9</v>
      </c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21.9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24.289999999999996</v>
      </c>
      <c r="AP21" s="23">
        <f t="shared" si="4"/>
        <v>1.6804968483500247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>
        <v>28.5</v>
      </c>
      <c r="W23" s="57">
        <v>24</v>
      </c>
      <c r="X23" s="57">
        <v>27.2</v>
      </c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27.2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28.645000000000003</v>
      </c>
      <c r="AP23" s="23">
        <f t="shared" si="4"/>
        <v>1.7766129032258036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>
        <v>29.6</v>
      </c>
      <c r="W24" s="57">
        <v>24.9</v>
      </c>
      <c r="X24" s="57">
        <v>27.7</v>
      </c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27.7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29.685000000000002</v>
      </c>
      <c r="AP24" s="23">
        <f t="shared" si="4"/>
        <v>1.4331758832565207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>
        <v>31.1</v>
      </c>
      <c r="W25" s="57">
        <v>31.2</v>
      </c>
      <c r="X25" s="57">
        <v>32.4</v>
      </c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32.4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32.25500000000001</v>
      </c>
      <c r="AP25" s="23">
        <f t="shared" si="4"/>
        <v>1.8791346067789405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>
        <v>20.6</v>
      </c>
      <c r="W26" s="57">
        <v>19.3</v>
      </c>
      <c r="X26" s="57">
        <v>19.399999999999999</v>
      </c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19.399999999999999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19.650000000000002</v>
      </c>
      <c r="AP26" s="23">
        <f t="shared" si="4"/>
        <v>1.1071283925566426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>
        <v>21.8</v>
      </c>
      <c r="W27" s="57">
        <v>20.399999999999999</v>
      </c>
      <c r="X27" s="57">
        <v>20</v>
      </c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20</v>
      </c>
      <c r="AK27" s="21">
        <f t="shared" si="1"/>
        <v>21.8</v>
      </c>
      <c r="AL27" s="22">
        <v>21.4</v>
      </c>
      <c r="AM27" s="23">
        <f t="shared" si="2"/>
        <v>0.40000000000000213</v>
      </c>
      <c r="AN27" s="23">
        <v>16.682050544108389</v>
      </c>
      <c r="AO27" s="23">
        <f t="shared" si="5"/>
        <v>18.674999999999997</v>
      </c>
      <c r="AP27" s="23">
        <f t="shared" si="4"/>
        <v>1.9929494558916083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>
        <v>30.5</v>
      </c>
      <c r="W28" s="57">
        <v>29.1</v>
      </c>
      <c r="X28" s="57">
        <v>30.5</v>
      </c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30.5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31.895000000000003</v>
      </c>
      <c r="AP28" s="23">
        <f t="shared" si="4"/>
        <v>1.3665473983438439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>
        <v>31.8</v>
      </c>
      <c r="W30" s="57">
        <v>33.200000000000003</v>
      </c>
      <c r="X30" s="57">
        <v>35.299999999999997</v>
      </c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35.299999999999997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>
        <f t="shared" si="5"/>
        <v>34.540000000000006</v>
      </c>
      <c r="AP30" s="23">
        <f t="shared" si="4"/>
        <v>0.79774910394265675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>
        <v>27.4</v>
      </c>
      <c r="W31" s="57">
        <v>23.8</v>
      </c>
      <c r="X31" s="57">
        <v>24.9</v>
      </c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24.9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27.409999999999997</v>
      </c>
      <c r="AP31" s="23">
        <f t="shared" si="4"/>
        <v>2.0225751628793773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>
        <v>18.2</v>
      </c>
      <c r="W32" s="57">
        <v>17.600000000000001</v>
      </c>
      <c r="X32" s="57">
        <v>19.399999999999999</v>
      </c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19.399999999999999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17.940000000000001</v>
      </c>
      <c r="AP32" s="23">
        <f t="shared" si="4"/>
        <v>1.6104622267387505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>
        <v>16</v>
      </c>
      <c r="W33" s="57">
        <v>16.2</v>
      </c>
      <c r="X33" s="57">
        <v>17.399999999999999</v>
      </c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17.399999999999999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15.754999999999999</v>
      </c>
      <c r="AP33" s="23">
        <f t="shared" si="4"/>
        <v>1.0103874675565496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>
        <v>32.4</v>
      </c>
      <c r="W35" s="57">
        <v>28</v>
      </c>
      <c r="X35" s="57">
        <v>31.4</v>
      </c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31.4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31.989999999999991</v>
      </c>
      <c r="AP35" s="23">
        <f t="shared" si="4"/>
        <v>0.91730414746542976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>
        <v>31.8</v>
      </c>
      <c r="W38" s="57">
        <v>31.5</v>
      </c>
      <c r="X38" s="57">
        <v>26.4</v>
      </c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26.4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>
        <f>IF(COUNTIF(E38:AI38,"&gt;0")&gt;=15,AVERAGE(E38:AI38),"")</f>
        <v>30.044999999999995</v>
      </c>
      <c r="AP38" s="23">
        <f t="shared" si="4"/>
        <v>1.5973776607413726E-2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>
        <v>30.2</v>
      </c>
      <c r="W39" s="57">
        <v>29</v>
      </c>
      <c r="X39" s="57">
        <v>32.4</v>
      </c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32.4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31.27</v>
      </c>
      <c r="AP39" s="23">
        <f t="shared" si="4"/>
        <v>0.42686688913607895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>
        <v>29.2</v>
      </c>
      <c r="W40" s="57">
        <v>30.2</v>
      </c>
      <c r="X40" s="57">
        <v>30.8</v>
      </c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30.8</v>
      </c>
      <c r="AK40" s="21">
        <f t="shared" si="1"/>
        <v>31.7</v>
      </c>
      <c r="AL40" s="22">
        <v>33.5</v>
      </c>
      <c r="AM40" s="23">
        <f t="shared" si="2"/>
        <v>-1.8000000000000007</v>
      </c>
      <c r="AN40" s="23">
        <v>28.947548387096781</v>
      </c>
      <c r="AO40" s="23">
        <f t="shared" si="7"/>
        <v>29.540000000000003</v>
      </c>
      <c r="AP40" s="23">
        <f t="shared" si="4"/>
        <v>0.59245161290322201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>
        <v>29.6</v>
      </c>
      <c r="W41" s="57">
        <v>29.2</v>
      </c>
      <c r="X41" s="57">
        <v>29.6</v>
      </c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29.6</v>
      </c>
      <c r="AK41" s="21">
        <f t="shared" si="1"/>
        <v>33.799999999999997</v>
      </c>
      <c r="AL41" s="22">
        <v>34.4</v>
      </c>
      <c r="AM41" s="23">
        <f t="shared" si="2"/>
        <v>-0.60000000000000142</v>
      </c>
      <c r="AN41" s="23">
        <v>29.366308243727591</v>
      </c>
      <c r="AO41" s="23">
        <f t="shared" si="7"/>
        <v>30.350000000000005</v>
      </c>
      <c r="AP41" s="23">
        <f t="shared" si="4"/>
        <v>0.9836917562724139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>
        <v>31.2</v>
      </c>
      <c r="W43" s="57">
        <v>26.6</v>
      </c>
      <c r="X43" s="57">
        <v>32.200000000000003</v>
      </c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32.200000000000003</v>
      </c>
      <c r="AK43" s="21">
        <f t="shared" si="1"/>
        <v>33.200000000000003</v>
      </c>
      <c r="AL43" s="22">
        <v>34.200000000000003</v>
      </c>
      <c r="AM43" s="23">
        <f t="shared" si="2"/>
        <v>-1</v>
      </c>
      <c r="AN43" s="23">
        <v>30.061061827956991</v>
      </c>
      <c r="AO43" s="23">
        <f t="shared" si="7"/>
        <v>30.788235294117644</v>
      </c>
      <c r="AP43" s="23">
        <f t="shared" si="4"/>
        <v>0.7271734661606537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>
        <v>31.1</v>
      </c>
      <c r="W44" s="29">
        <v>30.3</v>
      </c>
      <c r="X44" s="29">
        <v>31.4</v>
      </c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31.4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31.178947368421046</v>
      </c>
      <c r="AP44" s="23">
        <f t="shared" si="4"/>
        <v>2.1357601630605849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>
        <v>29.8</v>
      </c>
      <c r="W45" s="57">
        <v>27.2</v>
      </c>
      <c r="X45" s="57">
        <v>31.6</v>
      </c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31.6</v>
      </c>
      <c r="AK45" s="21">
        <f t="shared" si="1"/>
        <v>32.799999999999997</v>
      </c>
      <c r="AL45" s="22">
        <v>34.200000000000003</v>
      </c>
      <c r="AM45" s="23">
        <f t="shared" si="2"/>
        <v>-1.4000000000000057</v>
      </c>
      <c r="AN45" s="23">
        <v>29.54581639287883</v>
      </c>
      <c r="AO45" s="23">
        <f t="shared" si="7"/>
        <v>30.310000000000009</v>
      </c>
      <c r="AP45" s="23">
        <f t="shared" si="4"/>
        <v>0.76418360712117916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>
        <v>32.9</v>
      </c>
      <c r="W48" s="57">
        <v>32.9</v>
      </c>
      <c r="X48" s="57">
        <v>32.299999999999997</v>
      </c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32.299999999999997</v>
      </c>
      <c r="AK48" s="21">
        <f t="shared" si="1"/>
        <v>32.9</v>
      </c>
      <c r="AL48" s="22">
        <v>35.200000000000003</v>
      </c>
      <c r="AM48" s="23">
        <f t="shared" si="2"/>
        <v>-2.3000000000000043</v>
      </c>
      <c r="AN48" s="23">
        <v>30.34253285543608</v>
      </c>
      <c r="AO48" s="23">
        <f t="shared" si="7"/>
        <v>30.494999999999997</v>
      </c>
      <c r="AP48" s="23">
        <f t="shared" si="4"/>
        <v>0.15246714456391786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2" t="s">
        <v>123</v>
      </c>
      <c r="I1" s="73"/>
      <c r="J1" s="74"/>
      <c r="K1" s="69" t="s">
        <v>124</v>
      </c>
      <c r="L1" s="70"/>
      <c r="M1" s="71"/>
      <c r="N1" s="72" t="s">
        <v>125</v>
      </c>
      <c r="O1" s="73"/>
      <c r="P1" s="74"/>
      <c r="Q1" s="69" t="s">
        <v>126</v>
      </c>
      <c r="R1" s="70"/>
      <c r="S1" s="71"/>
      <c r="T1" s="72" t="s">
        <v>127</v>
      </c>
      <c r="U1" s="73"/>
      <c r="V1" s="74"/>
      <c r="W1" s="69" t="s">
        <v>128</v>
      </c>
      <c r="X1" s="70"/>
      <c r="Y1" s="71"/>
      <c r="Z1" s="72" t="s">
        <v>129</v>
      </c>
      <c r="AA1" s="73"/>
      <c r="AB1" s="74"/>
      <c r="AC1" s="69" t="s">
        <v>130</v>
      </c>
      <c r="AD1" s="70"/>
      <c r="AE1" s="71"/>
      <c r="AF1" s="72" t="s">
        <v>131</v>
      </c>
      <c r="AG1" s="73"/>
      <c r="AH1" s="74"/>
      <c r="AI1" s="69" t="s">
        <v>132</v>
      </c>
      <c r="AJ1" s="70"/>
      <c r="AK1" s="71"/>
      <c r="AL1" s="72" t="s">
        <v>133</v>
      </c>
      <c r="AM1" s="73"/>
      <c r="AN1" s="74"/>
      <c r="AO1" s="69" t="s">
        <v>134</v>
      </c>
      <c r="AP1" s="70"/>
      <c r="AQ1" s="71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93</v>
      </c>
      <c r="C1" s="68" t="s">
        <v>94</v>
      </c>
      <c r="D1" s="75" t="s">
        <v>95</v>
      </c>
      <c r="E1" s="75" t="s">
        <v>96</v>
      </c>
      <c r="F1" s="75" t="s">
        <v>97</v>
      </c>
      <c r="G1" s="75" t="s">
        <v>98</v>
      </c>
      <c r="H1" s="75" t="s">
        <v>99</v>
      </c>
      <c r="I1" s="75" t="s">
        <v>100</v>
      </c>
      <c r="J1" s="75" t="s">
        <v>101</v>
      </c>
      <c r="K1" s="75" t="s">
        <v>102</v>
      </c>
      <c r="L1" s="75" t="s">
        <v>103</v>
      </c>
      <c r="M1" s="75" t="s">
        <v>104</v>
      </c>
      <c r="N1" s="75" t="s">
        <v>105</v>
      </c>
      <c r="O1" s="75" t="s">
        <v>106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2026-07-21T13:21:46Z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