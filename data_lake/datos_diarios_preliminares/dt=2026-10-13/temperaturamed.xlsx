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28919AC-B091-4EDE-A230-DB88264D43C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Q209" i="1"/>
  <c r="AS209" i="1" s="1"/>
  <c r="AP209" i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Q204" i="1"/>
  <c r="AS204" i="1" s="1"/>
  <c r="AP204" i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Q199" i="1"/>
  <c r="AS199" i="1" s="1"/>
  <c r="AP199" i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Q189" i="1"/>
  <c r="AS189" i="1" s="1"/>
  <c r="AP189" i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Q184" i="1"/>
  <c r="AS184" i="1" s="1"/>
  <c r="AP184" i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Q169" i="1"/>
  <c r="AS169" i="1" s="1"/>
  <c r="AP169" i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Q164" i="1"/>
  <c r="AS164" i="1" s="1"/>
  <c r="AP164" i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Q144" i="1"/>
  <c r="AS144" i="1" s="1"/>
  <c r="AP144" i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Q134" i="1"/>
  <c r="AS134" i="1" s="1"/>
  <c r="AP134" i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Q129" i="1"/>
  <c r="AS129" i="1" s="1"/>
  <c r="AP129" i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Q124" i="1"/>
  <c r="AS124" i="1" s="1"/>
  <c r="AP124" i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Q119" i="1"/>
  <c r="AS119" i="1" s="1"/>
  <c r="AP119" i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Q114" i="1"/>
  <c r="AS114" i="1" s="1"/>
  <c r="AP114" i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Q109" i="1"/>
  <c r="AS109" i="1" s="1"/>
  <c r="AP109" i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Q104" i="1"/>
  <c r="AS104" i="1" s="1"/>
  <c r="AP104" i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Q99" i="1"/>
  <c r="AS99" i="1" s="1"/>
  <c r="AP99" i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Q94" i="1"/>
  <c r="AS94" i="1" s="1"/>
  <c r="AP94" i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Q89" i="1"/>
  <c r="AS89" i="1" s="1"/>
  <c r="AP89" i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Q84" i="1"/>
  <c r="AS84" i="1" s="1"/>
  <c r="AP84" i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Q79" i="1"/>
  <c r="AS79" i="1" s="1"/>
  <c r="AP79" i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Q74" i="1"/>
  <c r="AS74" i="1" s="1"/>
  <c r="AP74" i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Q69" i="1"/>
  <c r="AS69" i="1" s="1"/>
  <c r="AP69" i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Q64" i="1"/>
  <c r="AS64" i="1" s="1"/>
  <c r="AP64" i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Q59" i="1"/>
  <c r="AS59" i="1" s="1"/>
  <c r="AP59" i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Q54" i="1"/>
  <c r="AS54" i="1" s="1"/>
  <c r="AP54" i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Q49" i="1"/>
  <c r="AS49" i="1" s="1"/>
  <c r="AP49" i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Q44" i="1"/>
  <c r="AS44" i="1" s="1"/>
  <c r="AP44" i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Q39" i="1"/>
  <c r="AS39" i="1" s="1"/>
  <c r="AP39" i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Q34" i="1"/>
  <c r="AS34" i="1" s="1"/>
  <c r="AP34" i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Q29" i="1"/>
  <c r="AS29" i="1" s="1"/>
  <c r="AP29" i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Q24" i="1"/>
  <c r="AS24" i="1" s="1"/>
  <c r="AP24" i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Q19" i="1"/>
  <c r="AS19" i="1" s="1"/>
  <c r="AP19" i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Q14" i="1"/>
  <c r="AS14" i="1" s="1"/>
  <c r="AP14" i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Q9" i="1"/>
  <c r="AS9" i="1" s="1"/>
  <c r="AP9" i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<sst xmlns="http://schemas.openxmlformats.org/spreadsheetml/2006/main" count="3690" uniqueCount="1514">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</sst>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A197" zoomScale="87" zoomScaleNormal="87" workbookViewId="0">
      <selection activeCell="V30" sqref="V30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91" width="32.42578125" style="50" customWidth="1"/>
    <col min="192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OCTUBRE</v>
      </c>
      <c r="E2" s="76">
        <v>10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29.7</v>
      </c>
      <c r="L5" s="56">
        <v>29.4</v>
      </c>
      <c r="M5" s="56">
        <v>28.6</v>
      </c>
      <c r="N5" s="56">
        <v>29.3</v>
      </c>
      <c r="O5" s="56">
        <v>29.7</v>
      </c>
      <c r="P5" s="56">
        <v>29.4</v>
      </c>
      <c r="Q5" s="56">
        <v>29.4</v>
      </c>
      <c r="R5" s="56">
        <v>29</v>
      </c>
      <c r="S5" s="56">
        <v>28.9</v>
      </c>
      <c r="T5" s="56">
        <v>29.1</v>
      </c>
      <c r="U5" s="56">
        <v>29.9</v>
      </c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11</v>
      </c>
      <c r="AQ5" s="71" t="str">
        <f t="shared" ref="AQ5:AQ68" si="1">IF(AP5&gt;14,AVERAGE(K5:AO5),"")</f>
        <v/>
      </c>
      <c r="AR5" s="71">
        <f>IFERROR(VLOOKUP(A5,Climatologia_TMED!A:U,9+$E$2,FALSE),"")</f>
        <v>27.881000630194169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28.9</v>
      </c>
      <c r="M6" s="56">
        <v>28.8</v>
      </c>
      <c r="N6" s="56">
        <v>29.3</v>
      </c>
      <c r="O6" s="56">
        <v>29.4</v>
      </c>
      <c r="P6" s="56">
        <v>28.3</v>
      </c>
      <c r="Q6" s="56">
        <v>29.1</v>
      </c>
      <c r="R6" s="56">
        <v>28.9</v>
      </c>
      <c r="S6" s="56">
        <v>28.7</v>
      </c>
      <c r="T6" s="56">
        <v>27.7</v>
      </c>
      <c r="U6" s="56">
        <v>29.6</v>
      </c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11</v>
      </c>
      <c r="AQ6" s="71" t="str">
        <f t="shared" si="1"/>
        <v/>
      </c>
      <c r="AR6" s="71">
        <f>IFERROR(VLOOKUP(A6,Climatologia_TMED!A:U,9+$E$2,FALSE),"")</f>
        <v>27.729629390681001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30.3</v>
      </c>
      <c r="L7" s="56">
        <v>30.7</v>
      </c>
      <c r="M7" s="56">
        <v>28.6</v>
      </c>
      <c r="N7" s="56">
        <v>28.7</v>
      </c>
      <c r="O7" s="56">
        <v>30.9</v>
      </c>
      <c r="P7" s="56">
        <v>29.7</v>
      </c>
      <c r="Q7" s="56">
        <v>29.5</v>
      </c>
      <c r="R7" s="56">
        <v>29.3</v>
      </c>
      <c r="S7" s="56">
        <v>31.4</v>
      </c>
      <c r="T7" s="56">
        <v>30.9</v>
      </c>
      <c r="U7" s="56">
        <v>31.4</v>
      </c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11</v>
      </c>
      <c r="AQ7" s="71" t="str">
        <f t="shared" si="1"/>
        <v/>
      </c>
      <c r="AR7" s="71">
        <f>IFERROR(VLOOKUP(A7,Climatologia_TMED!A:U,9+$E$2,FALSE),"")</f>
        <v>28.179117106951619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29.9</v>
      </c>
      <c r="L8" s="56">
        <v>31.1</v>
      </c>
      <c r="M8" s="56">
        <v>28.6</v>
      </c>
      <c r="N8" s="56">
        <v>29.8</v>
      </c>
      <c r="O8" s="56">
        <v>30.8</v>
      </c>
      <c r="P8" s="56">
        <v>29.1</v>
      </c>
      <c r="Q8" s="56">
        <v>27.6</v>
      </c>
      <c r="R8" s="56">
        <v>29</v>
      </c>
      <c r="S8" s="56">
        <v>30.4</v>
      </c>
      <c r="T8" s="56">
        <v>30.7</v>
      </c>
      <c r="U8" s="56">
        <v>30.5</v>
      </c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11</v>
      </c>
      <c r="AQ8" s="71" t="str">
        <f t="shared" si="1"/>
        <v/>
      </c>
      <c r="AR8" s="71">
        <f>IFERROR(VLOOKUP(A8,Climatologia_TMED!A:U,9+$E$2,FALSE),"")</f>
        <v>28.286533664480331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</v>
      </c>
      <c r="L9" s="56">
        <v>30.5</v>
      </c>
      <c r="M9" s="56">
        <v>28.5</v>
      </c>
      <c r="N9" s="56">
        <v>29</v>
      </c>
      <c r="O9" s="56">
        <v>29</v>
      </c>
      <c r="P9" s="56">
        <v>28.6</v>
      </c>
      <c r="Q9" s="56">
        <v>28.3</v>
      </c>
      <c r="R9" s="56">
        <v>29.1</v>
      </c>
      <c r="S9" s="56">
        <v>31.1</v>
      </c>
      <c r="T9" s="56">
        <v>30.5</v>
      </c>
      <c r="U9" s="56">
        <v>30.7</v>
      </c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11</v>
      </c>
      <c r="AQ9" s="71" t="str">
        <f t="shared" si="1"/>
        <v/>
      </c>
      <c r="AR9" s="71">
        <f>IFERROR(VLOOKUP(A9,Climatologia_TMED!A:U,9+$E$2,FALSE),"")</f>
        <v>29.103848566308201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30.5</v>
      </c>
      <c r="L10" s="56">
        <v>28.7</v>
      </c>
      <c r="M10" s="56">
        <v>29.1</v>
      </c>
      <c r="N10" s="56">
        <v>29.4</v>
      </c>
      <c r="O10" s="56">
        <v>33.1</v>
      </c>
      <c r="P10" s="56">
        <v>29.9</v>
      </c>
      <c r="Q10" s="56">
        <v>27.9</v>
      </c>
      <c r="R10" s="56">
        <v>28.9</v>
      </c>
      <c r="S10" s="56">
        <v>30</v>
      </c>
      <c r="T10" s="56">
        <v>32.4</v>
      </c>
      <c r="U10" s="56">
        <v>29.8</v>
      </c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11</v>
      </c>
      <c r="AQ10" s="71" t="str">
        <f t="shared" si="1"/>
        <v/>
      </c>
      <c r="AR10" s="71">
        <f>IFERROR(VLOOKUP(A10,Climatologia_TMED!A:U,9+$E$2,FALSE),"")</f>
        <v>28.122698839392388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29.5</v>
      </c>
      <c r="L11" s="56">
        <v>30.2</v>
      </c>
      <c r="M11" s="56">
        <v>27.9</v>
      </c>
      <c r="N11" s="56">
        <v>29.9</v>
      </c>
      <c r="O11" s="56">
        <v>30.7</v>
      </c>
      <c r="P11" s="56">
        <v>28.7</v>
      </c>
      <c r="Q11" s="56">
        <v>28.1</v>
      </c>
      <c r="R11" s="56">
        <v>29.6</v>
      </c>
      <c r="S11" s="56">
        <v>30.6</v>
      </c>
      <c r="T11" s="56">
        <v>30.9</v>
      </c>
      <c r="U11" s="56">
        <v>30</v>
      </c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11</v>
      </c>
      <c r="AQ11" s="71" t="str">
        <f t="shared" si="1"/>
        <v/>
      </c>
      <c r="AR11" s="71">
        <f>IFERROR(VLOOKUP(A11,Climatologia_TMED!A:U,9+$E$2,FALSE),"")</f>
        <v>27.709736758537161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30.3</v>
      </c>
      <c r="L12" s="56">
        <v>28.8</v>
      </c>
      <c r="M12" s="56"/>
      <c r="N12" s="56">
        <v>27.9</v>
      </c>
      <c r="O12" s="56">
        <v>29.8</v>
      </c>
      <c r="P12" s="56">
        <v>27.6</v>
      </c>
      <c r="Q12" s="56">
        <v>28.8</v>
      </c>
      <c r="R12" s="56">
        <v>27.4</v>
      </c>
      <c r="S12" s="56">
        <v>30.4</v>
      </c>
      <c r="T12" s="56">
        <v>29.6</v>
      </c>
      <c r="U12" s="56">
        <v>29.5</v>
      </c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10</v>
      </c>
      <c r="AQ12" s="71" t="str">
        <f t="shared" si="1"/>
        <v/>
      </c>
      <c r="AR12" s="71">
        <f>IFERROR(VLOOKUP(A12,Climatologia_TMED!A:U,9+$E$2,FALSE),"")</f>
        <v>27.557996852311359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28.6</v>
      </c>
      <c r="L13" s="56">
        <v>28.1</v>
      </c>
      <c r="M13" s="56">
        <v>27.3</v>
      </c>
      <c r="N13" s="56">
        <v>29.6</v>
      </c>
      <c r="O13" s="56">
        <v>30.8</v>
      </c>
      <c r="P13" s="56">
        <v>28.5</v>
      </c>
      <c r="Q13" s="56">
        <v>28.7</v>
      </c>
      <c r="R13" s="56">
        <v>29.8</v>
      </c>
      <c r="S13" s="56">
        <v>26.6</v>
      </c>
      <c r="T13" s="56">
        <v>27.6</v>
      </c>
      <c r="U13" s="56">
        <v>30.1</v>
      </c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11</v>
      </c>
      <c r="AQ13" s="71" t="str">
        <f t="shared" si="1"/>
        <v/>
      </c>
      <c r="AR13" s="71">
        <f>IFERROR(VLOOKUP(A13,Climatologia_TMED!A:U,9+$E$2,FALSE),"")</f>
        <v>27.382634408602119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23.7</v>
      </c>
      <c r="L14" s="56">
        <v>23.1</v>
      </c>
      <c r="M14" s="56">
        <v>21.9</v>
      </c>
      <c r="N14" s="56">
        <v>24.8</v>
      </c>
      <c r="O14" s="56">
        <v>24.5</v>
      </c>
      <c r="P14" s="56">
        <v>22.8</v>
      </c>
      <c r="Q14" s="56">
        <v>23.8</v>
      </c>
      <c r="R14" s="56">
        <v>22.9</v>
      </c>
      <c r="S14" s="56">
        <v>23.2</v>
      </c>
      <c r="T14" s="56">
        <v>23.4</v>
      </c>
      <c r="U14" s="56">
        <v>24.3</v>
      </c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11</v>
      </c>
      <c r="AQ14" s="71" t="str">
        <f t="shared" si="1"/>
        <v/>
      </c>
      <c r="AR14" s="71">
        <f>IFERROR(VLOOKUP(A14,Climatologia_TMED!A:U,9+$E$2,FALSE),"")</f>
        <v>21.259047860741401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29.8</v>
      </c>
      <c r="L15" s="56">
        <v>31.7</v>
      </c>
      <c r="M15" s="56">
        <v>30.6</v>
      </c>
      <c r="N15" s="56">
        <v>29</v>
      </c>
      <c r="O15" s="56">
        <v>30.2</v>
      </c>
      <c r="P15" s="56">
        <v>29.8</v>
      </c>
      <c r="Q15" s="56">
        <v>27.7</v>
      </c>
      <c r="R15" s="56">
        <v>31</v>
      </c>
      <c r="S15" s="56">
        <v>29.8</v>
      </c>
      <c r="T15" s="56">
        <v>28.7</v>
      </c>
      <c r="U15" s="56">
        <v>30</v>
      </c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11</v>
      </c>
      <c r="AQ15" s="71" t="str">
        <f t="shared" si="1"/>
        <v/>
      </c>
      <c r="AR15" s="71">
        <f>IFERROR(VLOOKUP(A15,Climatologia_TMED!A:U,9+$E$2,FALSE),"")</f>
        <v>27.673047235023031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28.5</v>
      </c>
      <c r="M16" s="56">
        <v>23.5</v>
      </c>
      <c r="N16" s="56">
        <v>27</v>
      </c>
      <c r="O16" s="56">
        <v>30.3</v>
      </c>
      <c r="P16" s="56">
        <v>26.6</v>
      </c>
      <c r="Q16" s="56">
        <v>28.3</v>
      </c>
      <c r="R16" s="56">
        <v>29</v>
      </c>
      <c r="S16" s="56">
        <v>29.1</v>
      </c>
      <c r="T16" s="56">
        <v>29</v>
      </c>
      <c r="U16" s="56">
        <v>27.6</v>
      </c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11</v>
      </c>
      <c r="AQ16" s="71" t="str">
        <f t="shared" si="1"/>
        <v/>
      </c>
      <c r="AR16" s="71">
        <f>IFERROR(VLOOKUP(A16,Climatologia_TMED!A:U,9+$E$2,FALSE),"")</f>
        <v>27.20826867240342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23.1</v>
      </c>
      <c r="L17" s="56">
        <v>24</v>
      </c>
      <c r="M17" s="56">
        <v>23</v>
      </c>
      <c r="N17" s="56">
        <v>24.5</v>
      </c>
      <c r="O17" s="56">
        <v>23.7</v>
      </c>
      <c r="P17" s="56">
        <v>22.7</v>
      </c>
      <c r="Q17" s="56">
        <v>22.9</v>
      </c>
      <c r="R17" s="56">
        <v>22.5</v>
      </c>
      <c r="S17" s="56">
        <v>22.6</v>
      </c>
      <c r="T17" s="56">
        <v>21.9</v>
      </c>
      <c r="U17" s="56">
        <v>24</v>
      </c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11</v>
      </c>
      <c r="AQ17" s="71" t="str">
        <f t="shared" si="1"/>
        <v/>
      </c>
      <c r="AR17" s="71">
        <f>IFERROR(VLOOKUP(A17,Climatologia_TMED!A:U,9+$E$2,FALSE),"")</f>
        <v>22.205912124582859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18.899999999999999</v>
      </c>
      <c r="M18" s="56">
        <v>18.399999999999999</v>
      </c>
      <c r="N18" s="56">
        <v>19.3</v>
      </c>
      <c r="O18" s="56">
        <v>18.600000000000001</v>
      </c>
      <c r="P18" s="56">
        <v>18.600000000000001</v>
      </c>
      <c r="Q18" s="56">
        <v>18.100000000000001</v>
      </c>
      <c r="R18" s="56">
        <v>16.5</v>
      </c>
      <c r="S18" s="56">
        <v>20</v>
      </c>
      <c r="T18" s="56">
        <v>18.3</v>
      </c>
      <c r="U18" s="56">
        <v>18.8</v>
      </c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11</v>
      </c>
      <c r="AQ18" s="71" t="str">
        <f t="shared" si="1"/>
        <v/>
      </c>
      <c r="AR18" s="71">
        <f>IFERROR(VLOOKUP(A18,Climatologia_TMED!A:U,9+$E$2,FALSE),"")</f>
        <v>16.702332904784161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23.7</v>
      </c>
      <c r="L19" s="56">
        <v>22.6</v>
      </c>
      <c r="M19" s="56">
        <v>22.1</v>
      </c>
      <c r="N19" s="56">
        <v>23.7</v>
      </c>
      <c r="O19" s="56">
        <v>24.1</v>
      </c>
      <c r="P19" s="56">
        <v>21.9</v>
      </c>
      <c r="Q19" s="56">
        <v>22.5</v>
      </c>
      <c r="R19" s="56">
        <v>22.8</v>
      </c>
      <c r="S19" s="56">
        <v>21.7</v>
      </c>
      <c r="T19" s="56">
        <v>21.6</v>
      </c>
      <c r="U19" s="56">
        <v>23.3</v>
      </c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11</v>
      </c>
      <c r="AQ19" s="71" t="str">
        <f t="shared" si="1"/>
        <v/>
      </c>
      <c r="AR19" s="71">
        <f>IFERROR(VLOOKUP(A19,Climatologia_TMED!A:U,9+$E$2,FALSE),"")</f>
        <v>21.27792338709677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23.3</v>
      </c>
      <c r="L20" s="56">
        <v>23.1</v>
      </c>
      <c r="M20" s="56">
        <v>23.1</v>
      </c>
      <c r="N20" s="56">
        <v>23.4</v>
      </c>
      <c r="O20" s="56">
        <v>24.7</v>
      </c>
      <c r="P20" s="56">
        <v>23.4</v>
      </c>
      <c r="Q20" s="56">
        <v>22.1</v>
      </c>
      <c r="R20" s="56">
        <v>22.7</v>
      </c>
      <c r="S20" s="56">
        <v>22.5</v>
      </c>
      <c r="T20" s="56">
        <v>22.7</v>
      </c>
      <c r="U20" s="56">
        <v>22.8</v>
      </c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11</v>
      </c>
      <c r="AQ20" s="71" t="str">
        <f t="shared" si="1"/>
        <v/>
      </c>
      <c r="AR20" s="71">
        <f>IFERROR(VLOOKUP(A20,Climatologia_TMED!A:U,9+$E$2,FALSE),"")</f>
        <v>21.607575757575749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24.9</v>
      </c>
      <c r="L21" s="56">
        <v>23.8</v>
      </c>
      <c r="M21" s="56">
        <v>24.4</v>
      </c>
      <c r="N21" s="56">
        <v>25</v>
      </c>
      <c r="O21" s="56">
        <v>26.6</v>
      </c>
      <c r="P21" s="56">
        <v>26.6</v>
      </c>
      <c r="Q21" s="56">
        <v>24.1</v>
      </c>
      <c r="R21" s="56">
        <v>24.7</v>
      </c>
      <c r="S21" s="56">
        <v>24.8</v>
      </c>
      <c r="T21" s="56">
        <v>23.5</v>
      </c>
      <c r="U21" s="56">
        <v>26.1</v>
      </c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11</v>
      </c>
      <c r="AQ21" s="71" t="str">
        <f t="shared" si="1"/>
        <v/>
      </c>
      <c r="AR21" s="71">
        <f>IFERROR(VLOOKUP(A21,Climatologia_TMED!A:U,9+$E$2,FALSE),"")</f>
        <v>23.654690396737109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16.3</v>
      </c>
      <c r="L22" s="56">
        <v>15.9</v>
      </c>
      <c r="M22" s="56">
        <v>16</v>
      </c>
      <c r="N22" s="56">
        <v>16.100000000000001</v>
      </c>
      <c r="O22" s="56">
        <v>17.3</v>
      </c>
      <c r="P22" s="56">
        <v>16.7</v>
      </c>
      <c r="Q22" s="56">
        <v>16.5</v>
      </c>
      <c r="R22" s="56">
        <v>15.2</v>
      </c>
      <c r="S22" s="56">
        <v>16.3</v>
      </c>
      <c r="T22" s="56">
        <v>15.4</v>
      </c>
      <c r="U22" s="56">
        <v>16.5</v>
      </c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11</v>
      </c>
      <c r="AQ22" s="71" t="str">
        <f t="shared" si="1"/>
        <v/>
      </c>
      <c r="AR22" s="71">
        <f>IFERROR(VLOOKUP(A22,Climatologia_TMED!A:U,9+$E$2,FALSE),"")</f>
        <v>13.74946812596005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25.3</v>
      </c>
      <c r="L23" s="56">
        <v>23.1</v>
      </c>
      <c r="M23" s="56">
        <v>23.8</v>
      </c>
      <c r="N23" s="56">
        <v>23.6</v>
      </c>
      <c r="O23" s="56">
        <v>26</v>
      </c>
      <c r="P23" s="56">
        <v>25</v>
      </c>
      <c r="Q23" s="56">
        <v>24.2</v>
      </c>
      <c r="R23" s="56">
        <v>23.9</v>
      </c>
      <c r="S23" s="56">
        <v>25.1</v>
      </c>
      <c r="T23" s="56">
        <v>23.1</v>
      </c>
      <c r="U23" s="56">
        <v>24.2</v>
      </c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11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28.3</v>
      </c>
      <c r="L24" s="56">
        <v>28</v>
      </c>
      <c r="M24" s="56">
        <v>29.5</v>
      </c>
      <c r="N24" s="56">
        <v>29.6</v>
      </c>
      <c r="O24" s="56">
        <v>31.5</v>
      </c>
      <c r="P24" s="56">
        <v>31.2</v>
      </c>
      <c r="Q24" s="56">
        <v>29.2</v>
      </c>
      <c r="R24" s="56">
        <v>28.8</v>
      </c>
      <c r="S24" s="56">
        <v>31.3</v>
      </c>
      <c r="T24" s="56">
        <v>29.3</v>
      </c>
      <c r="U24" s="56">
        <v>29.1</v>
      </c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11</v>
      </c>
      <c r="AQ24" s="71" t="str">
        <f t="shared" si="1"/>
        <v/>
      </c>
      <c r="AR24" s="71">
        <f>IFERROR(VLOOKUP(A24,Climatologia_TMED!A:U,9+$E$2,FALSE),"")</f>
        <v>28.253813918757459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20.3</v>
      </c>
      <c r="L25" s="56">
        <v>18.7</v>
      </c>
      <c r="M25" s="56">
        <v>19.600000000000001</v>
      </c>
      <c r="N25" s="56">
        <v>21</v>
      </c>
      <c r="O25" s="56">
        <v>20.5</v>
      </c>
      <c r="P25" s="56">
        <v>20.6</v>
      </c>
      <c r="Q25" s="56">
        <v>20.2</v>
      </c>
      <c r="R25" s="56">
        <v>18.600000000000001</v>
      </c>
      <c r="S25" s="56">
        <v>20.9</v>
      </c>
      <c r="T25" s="56">
        <v>20.8</v>
      </c>
      <c r="U25" s="56">
        <v>19.5</v>
      </c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11</v>
      </c>
      <c r="AQ25" s="71" t="str">
        <f t="shared" si="1"/>
        <v/>
      </c>
      <c r="AR25" s="71">
        <f>IFERROR(VLOOKUP(A25,Climatologia_TMED!A:U,9+$E$2,FALSE),"")</f>
        <v>18.986103909450769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12.7</v>
      </c>
      <c r="L26" s="56">
        <v>11.4</v>
      </c>
      <c r="M26" s="56">
        <v>12.1</v>
      </c>
      <c r="N26" s="56">
        <v>13.5</v>
      </c>
      <c r="O26" s="56">
        <v>13.7</v>
      </c>
      <c r="P26" s="56">
        <v>14.1</v>
      </c>
      <c r="Q26" s="56">
        <v>14.3</v>
      </c>
      <c r="R26" s="56">
        <v>12.1</v>
      </c>
      <c r="S26" s="56">
        <v>12.7</v>
      </c>
      <c r="T26" s="56">
        <v>13.7</v>
      </c>
      <c r="U26" s="56">
        <v>11.8</v>
      </c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11</v>
      </c>
      <c r="AQ26" s="71" t="str">
        <f t="shared" si="1"/>
        <v/>
      </c>
      <c r="AR26" s="71">
        <f>IFERROR(VLOOKUP(A26,Climatologia_TMED!A:U,9+$E$2,FALSE),"")</f>
        <v>11.362154377880151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29.9</v>
      </c>
      <c r="L27" s="56">
        <v>26</v>
      </c>
      <c r="M27" s="56">
        <v>25.7</v>
      </c>
      <c r="N27" s="56">
        <v>28.8</v>
      </c>
      <c r="O27" s="56">
        <v>29.5</v>
      </c>
      <c r="P27" s="56">
        <v>25.5</v>
      </c>
      <c r="Q27" s="56">
        <v>28.4</v>
      </c>
      <c r="R27" s="56">
        <v>28.5</v>
      </c>
      <c r="S27" s="56">
        <v>28.9</v>
      </c>
      <c r="T27" s="56">
        <v>27.3</v>
      </c>
      <c r="U27" s="56">
        <v>26.8</v>
      </c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11</v>
      </c>
      <c r="AQ27" s="71" t="str">
        <f t="shared" si="1"/>
        <v/>
      </c>
      <c r="AR27" s="71">
        <f>IFERROR(VLOOKUP(A27,Climatologia_TMED!A:U,9+$E$2,FALSE),"")</f>
        <v>26.428489988876521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</v>
      </c>
      <c r="L28" s="99">
        <v>25.4</v>
      </c>
      <c r="M28" s="56">
        <v>29.2</v>
      </c>
      <c r="N28" s="56">
        <v>29.3</v>
      </c>
      <c r="O28" s="56">
        <v>30.3</v>
      </c>
      <c r="P28" s="56">
        <v>32.1</v>
      </c>
      <c r="Q28" s="56">
        <v>26.1</v>
      </c>
      <c r="R28" s="56">
        <v>28.6</v>
      </c>
      <c r="S28" s="56">
        <v>29.5</v>
      </c>
      <c r="T28" s="56">
        <v>30.1</v>
      </c>
      <c r="U28" s="56">
        <v>25.7</v>
      </c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99"/>
      <c r="AI28" s="56"/>
      <c r="AJ28" s="56"/>
      <c r="AK28" s="56"/>
      <c r="AL28" s="56"/>
      <c r="AM28" s="56"/>
      <c r="AN28" s="56"/>
      <c r="AO28" s="56"/>
      <c r="AP28" s="58">
        <f t="shared" si="0"/>
        <v>11</v>
      </c>
      <c r="AQ28" s="71" t="str">
        <f t="shared" si="1"/>
        <v/>
      </c>
      <c r="AR28" s="71">
        <f>IFERROR(VLOOKUP(A28,Climatologia_TMED!A:U,9+$E$2,FALSE),"")</f>
        <v>26.85779444357868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29.1</v>
      </c>
      <c r="L29" s="56">
        <v>28.9</v>
      </c>
      <c r="M29" s="56">
        <v>30</v>
      </c>
      <c r="N29" s="56">
        <v>30.8</v>
      </c>
      <c r="O29" s="56">
        <v>30.9</v>
      </c>
      <c r="P29" s="56">
        <v>30</v>
      </c>
      <c r="Q29" s="56">
        <v>27.9</v>
      </c>
      <c r="R29" s="56">
        <v>28.9</v>
      </c>
      <c r="S29" s="56">
        <v>29.3</v>
      </c>
      <c r="T29" s="56">
        <v>29.6</v>
      </c>
      <c r="U29" s="56">
        <v>28.7</v>
      </c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11</v>
      </c>
      <c r="AQ29" s="71" t="str">
        <f t="shared" si="1"/>
        <v/>
      </c>
      <c r="AR29" s="71">
        <f>IFERROR(VLOOKUP(A29,Climatologia_TMED!A:U,9+$E$2,FALSE),"")</f>
        <v>28.371190211345901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26.3</v>
      </c>
      <c r="L30" s="56">
        <v>24.1</v>
      </c>
      <c r="M30" s="56">
        <v>25.9</v>
      </c>
      <c r="N30" s="56">
        <v>28.7</v>
      </c>
      <c r="O30" s="56">
        <v>28</v>
      </c>
      <c r="P30" s="56">
        <v>27.8</v>
      </c>
      <c r="Q30" s="56">
        <v>24.9</v>
      </c>
      <c r="R30" s="56">
        <v>27.7</v>
      </c>
      <c r="S30" s="56">
        <v>26.7</v>
      </c>
      <c r="T30" s="56">
        <v>25.5</v>
      </c>
      <c r="U30" s="56">
        <v>26.6</v>
      </c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11</v>
      </c>
      <c r="AQ30" s="71" t="str">
        <f t="shared" si="1"/>
        <v/>
      </c>
      <c r="AR30" s="71">
        <f>IFERROR(VLOOKUP(A30,Climatologia_TMED!A:U,9+$E$2,FALSE),"")</f>
        <v>25.87283273596173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27.3</v>
      </c>
      <c r="L31" s="98">
        <v>27.2</v>
      </c>
      <c r="M31" s="98">
        <v>27.8</v>
      </c>
      <c r="N31" s="98">
        <v>28.4</v>
      </c>
      <c r="O31" s="98">
        <v>28.7</v>
      </c>
      <c r="P31" s="98">
        <v>30.2</v>
      </c>
      <c r="Q31" s="98">
        <v>28.4</v>
      </c>
      <c r="R31" s="98">
        <v>28.8</v>
      </c>
      <c r="S31" s="98">
        <v>27.4</v>
      </c>
      <c r="T31" s="98">
        <v>27.6</v>
      </c>
      <c r="U31" s="98">
        <v>29.2</v>
      </c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11</v>
      </c>
      <c r="AQ31" s="71" t="str">
        <f t="shared" si="1"/>
        <v/>
      </c>
      <c r="AR31" s="71">
        <f>IFERROR(VLOOKUP(A31,Climatologia_TMED!A:U,9+$E$2,FALSE),"")</f>
        <v>26.594523775388289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19.399999999999999</v>
      </c>
      <c r="L32" s="56">
        <v>20</v>
      </c>
      <c r="M32" s="56">
        <v>20.466666666666669</v>
      </c>
      <c r="N32" s="56">
        <v>19.399999999999999</v>
      </c>
      <c r="O32" s="56">
        <v>19.533333333333331</v>
      </c>
      <c r="P32" s="56">
        <v>19.399999999999999</v>
      </c>
      <c r="Q32" s="56">
        <v>20.466666666666669</v>
      </c>
      <c r="R32" s="56">
        <v>20.2</v>
      </c>
      <c r="S32" s="56">
        <v>19.266666666666669</v>
      </c>
      <c r="T32" s="56">
        <v>19.600000000000001</v>
      </c>
      <c r="U32" s="56">
        <v>20.06666666666667</v>
      </c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11</v>
      </c>
      <c r="AQ32" s="71" t="str">
        <f t="shared" si="1"/>
        <v/>
      </c>
      <c r="AR32" s="71">
        <f>IFERROR(VLOOKUP(A32,Climatologia_TMED!A:U,9+$E$2,FALSE),"")</f>
        <v>17.254437895100601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28.75</v>
      </c>
      <c r="L33" s="56">
        <v>26.9</v>
      </c>
      <c r="M33" s="56">
        <v>24.1</v>
      </c>
      <c r="N33" s="56">
        <v>28.15</v>
      </c>
      <c r="O33" s="56">
        <v>29.25</v>
      </c>
      <c r="P33" s="56">
        <v>27.3</v>
      </c>
      <c r="Q33" s="56">
        <v>27.9</v>
      </c>
      <c r="R33" s="56">
        <v>28.75</v>
      </c>
      <c r="S33" s="56">
        <v>27.85</v>
      </c>
      <c r="T33" s="56">
        <v>28.2</v>
      </c>
      <c r="U33" s="56">
        <v>26.95</v>
      </c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11</v>
      </c>
      <c r="AQ33" s="71" t="str">
        <f t="shared" si="1"/>
        <v/>
      </c>
      <c r="AR33" s="71">
        <f>IFERROR(VLOOKUP(A33,Climatologia_TMED!A:U,9+$E$2,FALSE),"")</f>
        <v>26.480026163250781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21.13333333333334</v>
      </c>
      <c r="L34" s="56">
        <v>20.666666666666671</v>
      </c>
      <c r="M34" s="56">
        <v>19.8</v>
      </c>
      <c r="N34" s="56">
        <v>20.93333333333333</v>
      </c>
      <c r="O34" s="56">
        <v>22.06666666666667</v>
      </c>
      <c r="P34" s="56">
        <v>20.733333333333331</v>
      </c>
      <c r="Q34" s="56">
        <v>20.8</v>
      </c>
      <c r="R34" s="56">
        <v>20.133333333333329</v>
      </c>
      <c r="S34" s="56">
        <v>21.2</v>
      </c>
      <c r="T34" s="56">
        <v>20.06666666666667</v>
      </c>
      <c r="U34" s="56">
        <v>21.2</v>
      </c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11</v>
      </c>
      <c r="AQ34" s="71" t="str">
        <f t="shared" si="1"/>
        <v/>
      </c>
      <c r="AR34" s="71">
        <f>IFERROR(VLOOKUP(A34,Climatologia_TMED!A:U,9+$E$2,FALSE),"")</f>
        <v>19.457461376838431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25.3</v>
      </c>
      <c r="L35" s="56">
        <v>24.6</v>
      </c>
      <c r="M35" s="56">
        <v>23.35</v>
      </c>
      <c r="N35" s="56">
        <v>23.65</v>
      </c>
      <c r="O35" s="56">
        <v>24.9</v>
      </c>
      <c r="P35" s="56">
        <v>24.85</v>
      </c>
      <c r="Q35" s="56">
        <v>22.3</v>
      </c>
      <c r="R35" s="56">
        <v>23.25</v>
      </c>
      <c r="S35" s="56">
        <v>23.75</v>
      </c>
      <c r="T35" s="56">
        <v>23.7</v>
      </c>
      <c r="U35" s="56">
        <v>25.35</v>
      </c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11</v>
      </c>
      <c r="AQ35" s="71" t="str">
        <f t="shared" si="1"/>
        <v/>
      </c>
      <c r="AR35" s="71">
        <f>IFERROR(VLOOKUP(A35,Climatologia_TMED!A:U,9+$E$2,FALSE),"")</f>
        <v>23.52490973164798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19.55</v>
      </c>
      <c r="L36" s="56">
        <v>19.149999999999999</v>
      </c>
      <c r="M36" s="56">
        <v>19.399999999999999</v>
      </c>
      <c r="N36" s="56">
        <v>18.350000000000001</v>
      </c>
      <c r="O36" s="56">
        <v>20.350000000000001</v>
      </c>
      <c r="P36" s="56">
        <v>19.45</v>
      </c>
      <c r="Q36" s="56">
        <v>19.149999999999999</v>
      </c>
      <c r="R36" s="56">
        <v>19.25</v>
      </c>
      <c r="S36" s="56">
        <v>20.25</v>
      </c>
      <c r="T36" s="56">
        <v>18.899999999999999</v>
      </c>
      <c r="U36" s="56">
        <v>19.95</v>
      </c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11</v>
      </c>
      <c r="AQ36" s="71" t="str">
        <f t="shared" si="1"/>
        <v/>
      </c>
      <c r="AR36" s="71">
        <f>IFERROR(VLOOKUP(A36,Climatologia_TMED!A:U,9+$E$2,FALSE),"")</f>
        <v>17.966849004562881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27.4</v>
      </c>
      <c r="L37" s="56">
        <v>27.45</v>
      </c>
      <c r="M37" s="56">
        <v>26.8</v>
      </c>
      <c r="N37" s="56">
        <v>27.95</v>
      </c>
      <c r="O37" s="56">
        <v>27.1</v>
      </c>
      <c r="P37" s="56">
        <v>25.1</v>
      </c>
      <c r="Q37" s="56">
        <v>26.1</v>
      </c>
      <c r="R37" s="56">
        <v>27.8</v>
      </c>
      <c r="S37" s="56">
        <v>27.8</v>
      </c>
      <c r="T37" s="56">
        <v>25.5</v>
      </c>
      <c r="U37" s="56">
        <v>26.8</v>
      </c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11</v>
      </c>
      <c r="AQ37" s="71" t="str">
        <f t="shared" si="1"/>
        <v/>
      </c>
      <c r="AR37" s="71">
        <f>IFERROR(VLOOKUP(A37,Climatologia_TMED!A:U,9+$E$2,FALSE),"")</f>
        <v>25.484403091811242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16.75</v>
      </c>
      <c r="L38" s="56">
        <v>15.5</v>
      </c>
      <c r="M38" s="56">
        <v>15.4</v>
      </c>
      <c r="N38" s="56">
        <v>16.75</v>
      </c>
      <c r="O38" s="56">
        <v>14.55</v>
      </c>
      <c r="P38" s="56">
        <v>15.75</v>
      </c>
      <c r="Q38" s="56">
        <v>14.45</v>
      </c>
      <c r="R38" s="56">
        <v>15.8</v>
      </c>
      <c r="S38" s="56">
        <v>16.850000000000001</v>
      </c>
      <c r="T38" s="56">
        <v>14.4</v>
      </c>
      <c r="U38" s="56">
        <v>14.45</v>
      </c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11</v>
      </c>
      <c r="AQ38" s="71" t="str">
        <f t="shared" si="1"/>
        <v/>
      </c>
      <c r="AR38" s="71">
        <f>IFERROR(VLOOKUP(A38,Climatologia_TMED!A:U,9+$E$2,FALSE),"")</f>
        <v>14.761222698942371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21.06666666666667</v>
      </c>
      <c r="L39" s="56">
        <v>21.266666666666669</v>
      </c>
      <c r="M39" s="56">
        <v>19.86666666666666</v>
      </c>
      <c r="N39" s="56">
        <v>22.06666666666667</v>
      </c>
      <c r="O39" s="56">
        <v>21.133333333333329</v>
      </c>
      <c r="P39" s="56">
        <v>20.466666666666669</v>
      </c>
      <c r="Q39" s="56">
        <v>21.06666666666667</v>
      </c>
      <c r="R39" s="56">
        <v>21.666666666666671</v>
      </c>
      <c r="S39" s="56">
        <v>21.733333333333331</v>
      </c>
      <c r="T39" s="56">
        <v>20.06666666666667</v>
      </c>
      <c r="U39" s="56">
        <v>21.2</v>
      </c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11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</v>
      </c>
      <c r="L40" s="56"/>
      <c r="M40" s="56">
        <v>22.733333333333331</v>
      </c>
      <c r="N40" s="56"/>
      <c r="O40" s="56">
        <v>23.8</v>
      </c>
      <c r="P40" s="56">
        <v>23.266666666666669</v>
      </c>
      <c r="Q40" s="56"/>
      <c r="R40" s="56"/>
      <c r="S40" s="56"/>
      <c r="T40" s="56">
        <v>22.733333333333331</v>
      </c>
      <c r="U40" s="56">
        <v>23.533333333333331</v>
      </c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6</v>
      </c>
      <c r="AQ40" s="71" t="str">
        <f t="shared" si="1"/>
        <v/>
      </c>
      <c r="AR40" s="71">
        <f>IFERROR(VLOOKUP(A40,Climatologia_TMED!A:U,9+$E$2,FALSE),"")</f>
        <v>21.706254066649031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19.06666666666667</v>
      </c>
      <c r="L41" s="56">
        <v>19.533333333333331</v>
      </c>
      <c r="M41" s="56">
        <v>19</v>
      </c>
      <c r="N41" s="56">
        <v>19.06666666666667</v>
      </c>
      <c r="O41" s="56">
        <v>19.399999999999999</v>
      </c>
      <c r="P41" s="56">
        <v>16.600000000000001</v>
      </c>
      <c r="Q41" s="56">
        <v>18.06666666666667</v>
      </c>
      <c r="R41" s="56">
        <v>15.33333333333333</v>
      </c>
      <c r="S41" s="56">
        <v>18.266666666666669</v>
      </c>
      <c r="T41" s="56">
        <v>18.06666666666667</v>
      </c>
      <c r="U41" s="56">
        <v>19.533333333333331</v>
      </c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11</v>
      </c>
      <c r="AQ41" s="71" t="str">
        <f t="shared" si="1"/>
        <v/>
      </c>
      <c r="AR41" s="71">
        <f>IFERROR(VLOOKUP(A41,Climatologia_TMED!A:U,9+$E$2,FALSE),"")</f>
        <v>17.809525933717701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28.2</v>
      </c>
      <c r="M42" s="56">
        <v>25.3</v>
      </c>
      <c r="N42" s="56">
        <v>27.75</v>
      </c>
      <c r="O42" s="56">
        <v>28.5</v>
      </c>
      <c r="P42" s="56">
        <v>27</v>
      </c>
      <c r="Q42" s="56">
        <v>27.7</v>
      </c>
      <c r="R42" s="56"/>
      <c r="S42" s="56">
        <v>28.7</v>
      </c>
      <c r="T42" s="56">
        <v>28.25</v>
      </c>
      <c r="U42" s="56">
        <v>29.1</v>
      </c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10</v>
      </c>
      <c r="AQ42" s="71" t="str">
        <f t="shared" si="1"/>
        <v/>
      </c>
      <c r="AR42" s="71">
        <f>IFERROR(VLOOKUP(A42,Climatologia_TMED!A:U,9+$E$2,FALSE),"")</f>
        <v>27.174029271206681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30.1</v>
      </c>
      <c r="L43" s="56">
        <v>29.25</v>
      </c>
      <c r="M43" s="56">
        <v>25.35</v>
      </c>
      <c r="N43" s="56">
        <v>27.85</v>
      </c>
      <c r="O43" s="56">
        <v>28.95</v>
      </c>
      <c r="P43" s="56">
        <v>27.3</v>
      </c>
      <c r="Q43" s="56">
        <v>28.25</v>
      </c>
      <c r="R43" s="56">
        <v>28.75</v>
      </c>
      <c r="S43" s="56">
        <v>29.25</v>
      </c>
      <c r="T43" s="56">
        <v>29.55</v>
      </c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10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29.25</v>
      </c>
      <c r="L44" s="56">
        <v>27.55</v>
      </c>
      <c r="M44" s="56">
        <v>24.75</v>
      </c>
      <c r="N44" s="56">
        <v>27.85</v>
      </c>
      <c r="O44" s="56">
        <v>28.75</v>
      </c>
      <c r="P44" s="56">
        <v>25.55</v>
      </c>
      <c r="Q44" s="56">
        <v>27.524999999999999</v>
      </c>
      <c r="R44" s="56">
        <v>27.824999999999999</v>
      </c>
      <c r="S44" s="56">
        <v>29</v>
      </c>
      <c r="T44" s="56">
        <v>27.574999999999999</v>
      </c>
      <c r="U44" s="56">
        <v>29</v>
      </c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11</v>
      </c>
      <c r="AQ44" s="71" t="str">
        <f t="shared" si="1"/>
        <v/>
      </c>
      <c r="AR44" s="71">
        <f>IFERROR(VLOOKUP(A44,Climatologia_TMED!A:U,9+$E$2,FALSE),"")</f>
        <v>27.22822487949573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28.6</v>
      </c>
      <c r="L45" s="56">
        <v>28.6</v>
      </c>
      <c r="M45" s="56">
        <v>24.4</v>
      </c>
      <c r="N45" s="56">
        <v>26.65</v>
      </c>
      <c r="O45" s="56">
        <v>29</v>
      </c>
      <c r="P45" s="56">
        <v>26.3</v>
      </c>
      <c r="Q45" s="56">
        <v>27.75</v>
      </c>
      <c r="R45" s="56">
        <v>28.2</v>
      </c>
      <c r="S45" s="56">
        <v>28.4</v>
      </c>
      <c r="T45" s="56">
        <v>28.15</v>
      </c>
      <c r="U45" s="56">
        <v>29.1</v>
      </c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11</v>
      </c>
      <c r="AQ45" s="71" t="str">
        <f t="shared" si="1"/>
        <v/>
      </c>
      <c r="AR45" s="71">
        <f>IFERROR(VLOOKUP(A45,Climatologia_TMED!A:U,9+$E$2,FALSE),"")</f>
        <v>26.888831730658229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29</v>
      </c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</v>
      </c>
      <c r="AQ46" s="71" t="str">
        <f t="shared" si="1"/>
        <v/>
      </c>
      <c r="AR46" s="71">
        <f>IFERROR(VLOOKUP(A46,Climatologia_TMED!A:U,9+$E$2,FALSE),"")</f>
        <v>27.478847261609349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27.517259164073671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27.620388404955971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27.220810541310531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</v>
      </c>
      <c r="L50" s="56">
        <v>26.35</v>
      </c>
      <c r="M50" s="56">
        <v>25.35</v>
      </c>
      <c r="N50" s="56">
        <v>27.85</v>
      </c>
      <c r="O50" s="56">
        <v>29.2</v>
      </c>
      <c r="P50" s="56">
        <v>26.85</v>
      </c>
      <c r="Q50" s="56">
        <v>29.2</v>
      </c>
      <c r="R50" s="56">
        <v>27.75</v>
      </c>
      <c r="S50" s="56">
        <v>28.4</v>
      </c>
      <c r="T50" s="56">
        <v>27.5</v>
      </c>
      <c r="U50" s="56">
        <v>29.05</v>
      </c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11</v>
      </c>
      <c r="AQ50" s="71" t="str">
        <f t="shared" si="1"/>
        <v/>
      </c>
      <c r="AR50" s="71">
        <f>IFERROR(VLOOKUP(A50,Climatologia_TMED!A:U,9+$E$2,FALSE),"")</f>
        <v>27.189899602702589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27.431466051553041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28.15</v>
      </c>
      <c r="L53" s="56">
        <v>27.1</v>
      </c>
      <c r="M53" s="56">
        <v>23.85</v>
      </c>
      <c r="N53" s="56">
        <v>25.85</v>
      </c>
      <c r="O53" s="56">
        <v>28.4</v>
      </c>
      <c r="P53" s="56">
        <v>26.2</v>
      </c>
      <c r="Q53" s="56">
        <v>27.1</v>
      </c>
      <c r="R53" s="56">
        <v>27.05</v>
      </c>
      <c r="S53" s="56">
        <v>28</v>
      </c>
      <c r="T53" s="56">
        <v>27.85</v>
      </c>
      <c r="U53" s="56">
        <v>27.65</v>
      </c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11</v>
      </c>
      <c r="AQ53" s="71" t="str">
        <f t="shared" si="1"/>
        <v/>
      </c>
      <c r="AR53" s="71">
        <f>IFERROR(VLOOKUP(A53,Climatologia_TMED!A:U,9+$E$2,FALSE),"")</f>
        <v>26.49867881858615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29.5</v>
      </c>
      <c r="L54" s="56">
        <v>28.2</v>
      </c>
      <c r="M54" s="56">
        <v>27.15</v>
      </c>
      <c r="N54" s="56">
        <v>27.65</v>
      </c>
      <c r="O54" s="56">
        <v>29.6</v>
      </c>
      <c r="P54" s="56">
        <v>27.65</v>
      </c>
      <c r="Q54" s="56">
        <v>28.75</v>
      </c>
      <c r="R54" s="56">
        <v>29.2</v>
      </c>
      <c r="S54" s="56">
        <v>29.95</v>
      </c>
      <c r="T54" s="56">
        <v>27.85</v>
      </c>
      <c r="U54" s="56">
        <v>30.05</v>
      </c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11</v>
      </c>
      <c r="AQ54" s="71" t="str">
        <f t="shared" si="1"/>
        <v/>
      </c>
      <c r="AR54" s="71">
        <f>IFERROR(VLOOKUP(A54,Climatologia_TMED!A:U,9+$E$2,FALSE),"")</f>
        <v>27.989273285300179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</v>
      </c>
      <c r="M55" s="56">
        <v>27.2</v>
      </c>
      <c r="N55" s="56">
        <v>29.1</v>
      </c>
      <c r="O55" s="56"/>
      <c r="P55" s="56"/>
      <c r="Q55" s="56">
        <v>25.35</v>
      </c>
      <c r="R55" s="56">
        <v>27.35</v>
      </c>
      <c r="S55" s="56">
        <v>29.25</v>
      </c>
      <c r="T55" s="56">
        <v>30</v>
      </c>
      <c r="U55" s="56">
        <v>29.15</v>
      </c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8</v>
      </c>
      <c r="AQ55" s="71" t="str">
        <f t="shared" si="1"/>
        <v/>
      </c>
      <c r="AR55" s="71">
        <f>IFERROR(VLOOKUP(A55,Climatologia_TMED!A:U,9+$E$2,FALSE),"")</f>
        <v>27.517592431191851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27.20975891866382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</v>
      </c>
      <c r="L59" s="56">
        <v>29.35</v>
      </c>
      <c r="M59" s="56">
        <v>26.65</v>
      </c>
      <c r="N59" s="56">
        <v>27.65</v>
      </c>
      <c r="O59" s="56">
        <v>30.45</v>
      </c>
      <c r="P59" s="56">
        <v>27.4</v>
      </c>
      <c r="Q59" s="56">
        <v>26.6</v>
      </c>
      <c r="R59" s="56">
        <v>26.4</v>
      </c>
      <c r="S59" s="56">
        <v>29</v>
      </c>
      <c r="T59" s="56">
        <v>28.95</v>
      </c>
      <c r="U59" s="56">
        <v>28.55</v>
      </c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11</v>
      </c>
      <c r="AQ59" s="71" t="str">
        <f t="shared" si="1"/>
        <v/>
      </c>
      <c r="AR59" s="71">
        <f>IFERROR(VLOOKUP(A59,Climatologia_TMED!A:U,9+$E$2,FALSE),"")</f>
        <v>27.213190091590139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25.45</v>
      </c>
      <c r="M60" s="56">
        <v>24.5</v>
      </c>
      <c r="N60" s="56">
        <v>26.8</v>
      </c>
      <c r="O60" s="56">
        <v>26.15</v>
      </c>
      <c r="P60" s="56">
        <v>27</v>
      </c>
      <c r="Q60" s="56"/>
      <c r="R60" s="56">
        <v>26</v>
      </c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6</v>
      </c>
      <c r="AQ60" s="71" t="str">
        <f t="shared" si="1"/>
        <v/>
      </c>
      <c r="AR60" s="71">
        <f>IFERROR(VLOOKUP(A60,Climatologia_TMED!A:U,9+$E$2,FALSE),"")</f>
        <v>25.40553026864524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26.65</v>
      </c>
      <c r="L61" s="56">
        <v>27.6</v>
      </c>
      <c r="M61" s="56">
        <v>29.35</v>
      </c>
      <c r="N61" s="56">
        <v>29.5</v>
      </c>
      <c r="O61" s="56">
        <v>29.05</v>
      </c>
      <c r="P61" s="56">
        <v>29.55</v>
      </c>
      <c r="Q61" s="56">
        <v>26.8</v>
      </c>
      <c r="R61" s="56">
        <v>28.6</v>
      </c>
      <c r="S61" s="56">
        <v>27.5</v>
      </c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9</v>
      </c>
      <c r="AQ61" s="71" t="str">
        <f t="shared" si="1"/>
        <v/>
      </c>
      <c r="AR61" s="71">
        <f>IFERROR(VLOOKUP(A61,Climatologia_TMED!A:U,9+$E$2,FALSE),"")</f>
        <v>26.804794338924129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27.266666666666669</v>
      </c>
      <c r="L62" s="56">
        <v>24.266666666666669</v>
      </c>
      <c r="M62" s="56">
        <v>25.4</v>
      </c>
      <c r="N62" s="56">
        <v>28.333333333333329</v>
      </c>
      <c r="O62" s="56">
        <v>29.333333333333329</v>
      </c>
      <c r="P62" s="56">
        <v>28.333333333333329</v>
      </c>
      <c r="Q62" s="56">
        <v>25.333333333333329</v>
      </c>
      <c r="R62" s="56">
        <v>28.666666666666671</v>
      </c>
      <c r="S62" s="56">
        <v>28.6</v>
      </c>
      <c r="T62" s="56">
        <v>27.13333333333334</v>
      </c>
      <c r="U62" s="56">
        <v>27.933333333333341</v>
      </c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11</v>
      </c>
      <c r="AQ62" s="71" t="str">
        <f t="shared" si="1"/>
        <v/>
      </c>
      <c r="AR62" s="71">
        <f>IFERROR(VLOOKUP(A62,Climatologia_TMED!A:U,9+$E$2,FALSE),"")</f>
        <v>25.86650485081659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24.55464610863833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26.2635709767778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25.2</v>
      </c>
      <c r="L65" s="56">
        <v>26.8</v>
      </c>
      <c r="M65" s="56">
        <v>26.9</v>
      </c>
      <c r="N65" s="56">
        <v>28.1</v>
      </c>
      <c r="O65" s="56">
        <v>27.75</v>
      </c>
      <c r="P65" s="56">
        <v>27.9</v>
      </c>
      <c r="Q65" s="56">
        <v>26.15</v>
      </c>
      <c r="R65" s="56">
        <v>27.2</v>
      </c>
      <c r="S65" s="56">
        <v>26.75</v>
      </c>
      <c r="T65" s="56">
        <v>26.7</v>
      </c>
      <c r="U65" s="56">
        <v>26.1</v>
      </c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11</v>
      </c>
      <c r="AQ65" s="71" t="str">
        <f t="shared" si="1"/>
        <v/>
      </c>
      <c r="AR65" s="71">
        <f>IFERROR(VLOOKUP(A65,Climatologia_TMED!A:U,9+$E$2,FALSE),"")</f>
        <v>26.097584247861882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26.55</v>
      </c>
      <c r="L66" s="56">
        <v>26.1</v>
      </c>
      <c r="M66" s="56">
        <v>26.3</v>
      </c>
      <c r="N66" s="56">
        <v>28.55</v>
      </c>
      <c r="O66" s="56">
        <v>27.7</v>
      </c>
      <c r="P66" s="56">
        <v>28.45</v>
      </c>
      <c r="Q66" s="56">
        <v>24.25</v>
      </c>
      <c r="R66" s="56">
        <v>27.65</v>
      </c>
      <c r="S66" s="56">
        <v>26.6</v>
      </c>
      <c r="T66" s="56">
        <v>27.05</v>
      </c>
      <c r="U66" s="56">
        <v>27.95</v>
      </c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11</v>
      </c>
      <c r="AQ66" s="71" t="str">
        <f t="shared" si="1"/>
        <v/>
      </c>
      <c r="AR66" s="71">
        <f>IFERROR(VLOOKUP(A66,Climatologia_TMED!A:U,9+$E$2,FALSE),"")</f>
        <v>26.18643292457655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25.75</v>
      </c>
      <c r="L67" s="56">
        <v>24.65</v>
      </c>
      <c r="M67" s="56">
        <v>26.2</v>
      </c>
      <c r="N67" s="56">
        <v>26.45</v>
      </c>
      <c r="O67" s="56">
        <v>28.55</v>
      </c>
      <c r="P67" s="56"/>
      <c r="Q67" s="56">
        <v>26.2</v>
      </c>
      <c r="R67" s="56">
        <v>27.4</v>
      </c>
      <c r="S67" s="56">
        <v>27.8</v>
      </c>
      <c r="T67" s="56">
        <v>25.75</v>
      </c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9</v>
      </c>
      <c r="AQ67" s="71" t="str">
        <f t="shared" si="1"/>
        <v/>
      </c>
      <c r="AR67" s="71">
        <f>IFERROR(VLOOKUP(A67,Climatologia_TMED!A:U,9+$E$2,FALSE),"")</f>
        <v>26.111106729021561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26.9</v>
      </c>
      <c r="L68" s="56">
        <v>24.9</v>
      </c>
      <c r="M68" s="56">
        <v>26.05</v>
      </c>
      <c r="N68" s="56">
        <v>25.55</v>
      </c>
      <c r="O68" s="56">
        <v>26.85</v>
      </c>
      <c r="P68" s="56">
        <v>27.55</v>
      </c>
      <c r="Q68" s="56">
        <v>26.35</v>
      </c>
      <c r="R68" s="56">
        <v>26.55</v>
      </c>
      <c r="S68" s="56">
        <v>25.6</v>
      </c>
      <c r="T68" s="56">
        <v>25.45</v>
      </c>
      <c r="U68" s="56">
        <v>26.7</v>
      </c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11</v>
      </c>
      <c r="AQ68" s="71" t="str">
        <f t="shared" si="1"/>
        <v/>
      </c>
      <c r="AR68" s="71">
        <f>IFERROR(VLOOKUP(A68,Climatologia_TMED!A:U,9+$E$2,FALSE),"")</f>
        <v>25.781046108207619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26.25</v>
      </c>
      <c r="L69" s="56">
        <v>25.725000000000001</v>
      </c>
      <c r="M69" s="56">
        <v>26.6</v>
      </c>
      <c r="N69" s="56">
        <v>25.5</v>
      </c>
      <c r="O69" s="56">
        <v>26.65</v>
      </c>
      <c r="P69" s="56">
        <v>27.2</v>
      </c>
      <c r="Q69" s="56">
        <v>24.35</v>
      </c>
      <c r="R69" s="56">
        <v>26.25</v>
      </c>
      <c r="S69" s="56">
        <v>26.5</v>
      </c>
      <c r="T69" s="56">
        <v>25.1</v>
      </c>
      <c r="U69" s="56">
        <v>26.9</v>
      </c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11</v>
      </c>
      <c r="AQ69" s="71" t="str">
        <f t="shared" ref="AQ69:AQ132" si="4">IF(AP69&gt;14,AVERAGE(K69:AO69),"")</f>
        <v/>
      </c>
      <c r="AR69" s="71">
        <f>IFERROR(VLOOKUP(A69,Climatologia_TMED!A:U,9+$E$2,FALSE),"")</f>
        <v>25.72848061100953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</v>
      </c>
      <c r="L70" s="56">
        <v>25.666666666666671</v>
      </c>
      <c r="M70" s="56">
        <v>28</v>
      </c>
      <c r="N70" s="56">
        <v>25.266666666666669</v>
      </c>
      <c r="O70" s="56">
        <v>28.2</v>
      </c>
      <c r="P70" s="56">
        <v>29.466666666666669</v>
      </c>
      <c r="Q70" s="56">
        <v>25.966666666666669</v>
      </c>
      <c r="R70" s="56">
        <v>28.066666666666659</v>
      </c>
      <c r="S70" s="56">
        <v>27.6</v>
      </c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9</v>
      </c>
      <c r="AQ70" s="71" t="str">
        <f t="shared" si="4"/>
        <v/>
      </c>
      <c r="AR70" s="71">
        <f>IFERROR(VLOOKUP(A70,Climatologia_TMED!A:U,9+$E$2,FALSE),"")</f>
        <v>27.054430505774569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27.266666666666669</v>
      </c>
      <c r="L71" s="56">
        <v>26.833333333333329</v>
      </c>
      <c r="M71" s="56">
        <v>27.333333333333329</v>
      </c>
      <c r="N71" s="56">
        <v>28.533333333333331</v>
      </c>
      <c r="O71" s="56">
        <v>28.666666666666671</v>
      </c>
      <c r="P71" s="56">
        <v>28.6</v>
      </c>
      <c r="Q71" s="56">
        <v>25</v>
      </c>
      <c r="R71" s="56">
        <v>27.566666666666659</v>
      </c>
      <c r="S71" s="56">
        <v>27.36666666666666</v>
      </c>
      <c r="T71" s="56">
        <v>27.033333333333331</v>
      </c>
      <c r="U71" s="56">
        <v>27.63333333333334</v>
      </c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11</v>
      </c>
      <c r="AQ71" s="71" t="str">
        <f t="shared" si="4"/>
        <v/>
      </c>
      <c r="AR71" s="71">
        <f>IFERROR(VLOOKUP(A71,Climatologia_TMED!A:U,9+$E$2,FALSE),"")</f>
        <v>26.934526828589131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26.166666666666671</v>
      </c>
      <c r="L72" s="56">
        <v>27.06666666666667</v>
      </c>
      <c r="M72" s="56">
        <v>25.533333333333331</v>
      </c>
      <c r="N72" s="56">
        <v>26.033333333333331</v>
      </c>
      <c r="O72" s="56">
        <v>27.63333333333334</v>
      </c>
      <c r="P72" s="56">
        <v>25.466666666666669</v>
      </c>
      <c r="Q72" s="56">
        <v>27.13333333333334</v>
      </c>
      <c r="R72" s="56">
        <v>27.166666666666671</v>
      </c>
      <c r="S72" s="56">
        <v>25.766666666666669</v>
      </c>
      <c r="T72" s="56">
        <v>26.6</v>
      </c>
      <c r="U72" s="56">
        <v>25.833333333333329</v>
      </c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11</v>
      </c>
      <c r="AQ72" s="71" t="str">
        <f t="shared" si="4"/>
        <v/>
      </c>
      <c r="AR72" s="71">
        <f>IFERROR(VLOOKUP(A72,Climatologia_TMED!A:U,9+$E$2,FALSE),"")</f>
        <v>25.84451128626969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</v>
      </c>
      <c r="L73" s="56">
        <v>24.55</v>
      </c>
      <c r="M73" s="56"/>
      <c r="N73" s="56"/>
      <c r="O73" s="56"/>
      <c r="P73" s="56">
        <v>26.225000000000001</v>
      </c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3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19.350000000000001</v>
      </c>
      <c r="M74" s="56">
        <v>22.4</v>
      </c>
      <c r="N74" s="56">
        <v>23.35</v>
      </c>
      <c r="O74" s="56">
        <v>24.4</v>
      </c>
      <c r="P74" s="56">
        <v>23.55</v>
      </c>
      <c r="Q74" s="56">
        <v>23</v>
      </c>
      <c r="R74" s="56">
        <v>21.3</v>
      </c>
      <c r="S74" s="56">
        <v>23.5</v>
      </c>
      <c r="T74" s="56">
        <v>22.8</v>
      </c>
      <c r="U74" s="56">
        <v>22.4</v>
      </c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11</v>
      </c>
      <c r="AQ74" s="71" t="str">
        <f t="shared" si="4"/>
        <v/>
      </c>
      <c r="AR74" s="71">
        <f>IFERROR(VLOOKUP(A74,Climatologia_TMED!A:U,9+$E$2,FALSE),"")</f>
        <v>21.226017584604101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17.266666666666669</v>
      </c>
      <c r="L75" s="56">
        <v>15</v>
      </c>
      <c r="M75" s="56">
        <v>16.399999999999999</v>
      </c>
      <c r="N75" s="56">
        <v>16.266666666666669</v>
      </c>
      <c r="O75" s="56">
        <v>18</v>
      </c>
      <c r="P75" s="56">
        <v>17.266666666666669</v>
      </c>
      <c r="Q75" s="56">
        <v>17.133333333333329</v>
      </c>
      <c r="R75" s="56">
        <v>15.4</v>
      </c>
      <c r="S75" s="56">
        <v>16.866666666666671</v>
      </c>
      <c r="T75" s="56">
        <v>17.266666666666669</v>
      </c>
      <c r="U75" s="56">
        <v>16.399999999999999</v>
      </c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11</v>
      </c>
      <c r="AQ75" s="71" t="str">
        <f t="shared" si="4"/>
        <v/>
      </c>
      <c r="AR75" s="71">
        <f>IFERROR(VLOOKUP(A75,Climatologia_TMED!A:U,9+$E$2,FALSE),"")</f>
        <v>15.837189539923889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21.75</v>
      </c>
      <c r="L76" s="56">
        <v>19.649999999999999</v>
      </c>
      <c r="M76" s="56">
        <v>21.65</v>
      </c>
      <c r="N76" s="56">
        <v>21.85</v>
      </c>
      <c r="O76" s="56">
        <v>22.95</v>
      </c>
      <c r="P76" s="56">
        <v>23.1</v>
      </c>
      <c r="Q76" s="56">
        <v>20.9</v>
      </c>
      <c r="R76" s="56">
        <v>19.5</v>
      </c>
      <c r="S76" s="56">
        <v>23</v>
      </c>
      <c r="T76" s="56">
        <v>21.35</v>
      </c>
      <c r="U76" s="56">
        <v>21.65</v>
      </c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11</v>
      </c>
      <c r="AQ76" s="71" t="str">
        <f t="shared" si="4"/>
        <v/>
      </c>
      <c r="AR76" s="71">
        <f>IFERROR(VLOOKUP(A76,Climatologia_TMED!A:U,9+$E$2,FALSE),"")</f>
        <v>20.58024705695469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</v>
      </c>
      <c r="L77" s="56">
        <v>23.13333333333334</v>
      </c>
      <c r="M77" s="56">
        <v>25.2</v>
      </c>
      <c r="N77" s="56">
        <v>23.93333333333333</v>
      </c>
      <c r="O77" s="56">
        <v>25.6</v>
      </c>
      <c r="P77" s="56">
        <v>25.266666666666669</v>
      </c>
      <c r="Q77" s="56">
        <v>23.333333333333329</v>
      </c>
      <c r="R77" s="56">
        <v>22.13333333333334</v>
      </c>
      <c r="S77" s="56">
        <v>26.466666666666669</v>
      </c>
      <c r="T77" s="56">
        <v>22.93333333333333</v>
      </c>
      <c r="U77" s="56">
        <v>25.86666666666666</v>
      </c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11</v>
      </c>
      <c r="AQ77" s="71" t="str">
        <f t="shared" si="4"/>
        <v/>
      </c>
      <c r="AR77" s="71">
        <f>IFERROR(VLOOKUP(A77,Climatologia_TMED!A:U,9+$E$2,FALSE),"")</f>
        <v>22.700195843288881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29.35</v>
      </c>
      <c r="L78" s="56">
        <v>28.4</v>
      </c>
      <c r="M78" s="56"/>
      <c r="N78" s="56">
        <v>30.85</v>
      </c>
      <c r="O78" s="56">
        <v>32.75</v>
      </c>
      <c r="P78" s="56">
        <v>30.6</v>
      </c>
      <c r="Q78" s="56">
        <v>29.35</v>
      </c>
      <c r="R78" s="56">
        <v>30.5</v>
      </c>
      <c r="S78" s="56">
        <v>30</v>
      </c>
      <c r="T78" s="56">
        <v>26.2</v>
      </c>
      <c r="U78" s="56">
        <v>31.15</v>
      </c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10</v>
      </c>
      <c r="AQ78" s="71" t="str">
        <f t="shared" si="4"/>
        <v/>
      </c>
      <c r="AR78" s="71">
        <f>IFERROR(VLOOKUP(A78,Climatologia_TMED!A:U,9+$E$2,FALSE),"")</f>
        <v>28.36125399000905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30.733333333333331</v>
      </c>
      <c r="L79" s="56">
        <v>31.86666666666666</v>
      </c>
      <c r="M79" s="56">
        <v>26.266666666666669</v>
      </c>
      <c r="N79" s="56">
        <v>28.8</v>
      </c>
      <c r="O79" s="56">
        <v>32.133333333333333</v>
      </c>
      <c r="P79" s="56">
        <v>32.533333333333331</v>
      </c>
      <c r="Q79" s="56">
        <v>31.533333333333331</v>
      </c>
      <c r="R79" s="56">
        <v>31.266666666666669</v>
      </c>
      <c r="S79" s="56">
        <v>31.666666666666671</v>
      </c>
      <c r="T79" s="56">
        <v>26.8</v>
      </c>
      <c r="U79" s="56">
        <v>32.200000000000003</v>
      </c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11</v>
      </c>
      <c r="AQ79" s="71" t="str">
        <f t="shared" si="4"/>
        <v/>
      </c>
      <c r="AR79" s="71">
        <f>IFERROR(VLOOKUP(A79,Climatologia_TMED!A:U,9+$E$2,FALSE),"")</f>
        <v>29.03471256683039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21.533333333333331</v>
      </c>
      <c r="L80" s="56">
        <v>20.466666666666669</v>
      </c>
      <c r="M80" s="56">
        <v>20.8</v>
      </c>
      <c r="N80" s="56">
        <v>22.466666666666669</v>
      </c>
      <c r="O80" s="56">
        <v>23.4</v>
      </c>
      <c r="P80" s="56">
        <v>22.43333333333333</v>
      </c>
      <c r="Q80" s="56">
        <v>22.2</v>
      </c>
      <c r="R80" s="56">
        <v>22.333333333333329</v>
      </c>
      <c r="S80" s="56">
        <v>23.466666666666669</v>
      </c>
      <c r="T80" s="56">
        <v>19.733333333333331</v>
      </c>
      <c r="U80" s="56">
        <v>22.86666666666666</v>
      </c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11</v>
      </c>
      <c r="AQ80" s="71" t="str">
        <f t="shared" si="4"/>
        <v/>
      </c>
      <c r="AR80" s="71">
        <f>IFERROR(VLOOKUP(A80,Climatologia_TMED!A:U,9+$E$2,FALSE),"")</f>
        <v>20.3636890694053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31.55</v>
      </c>
      <c r="L81" s="56"/>
      <c r="M81" s="56">
        <v>25.45</v>
      </c>
      <c r="N81" s="56">
        <v>26.45</v>
      </c>
      <c r="O81" s="56">
        <v>28.25</v>
      </c>
      <c r="P81" s="56">
        <v>27.5</v>
      </c>
      <c r="Q81" s="56"/>
      <c r="R81" s="56">
        <v>23.85</v>
      </c>
      <c r="S81" s="56">
        <v>27.05</v>
      </c>
      <c r="T81" s="56">
        <v>25.4</v>
      </c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8</v>
      </c>
      <c r="AQ81" s="71" t="str">
        <f t="shared" si="4"/>
        <v/>
      </c>
      <c r="AR81" s="71">
        <f>IFERROR(VLOOKUP(A81,Climatologia_TMED!A:U,9+$E$2,FALSE),"")</f>
        <v>25.649001100346791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24</v>
      </c>
      <c r="M82" s="56">
        <v>26.93333333333333</v>
      </c>
      <c r="N82" s="56">
        <v>28</v>
      </c>
      <c r="O82" s="56">
        <v>29.06666666666667</v>
      </c>
      <c r="P82" s="56"/>
      <c r="Q82" s="56">
        <v>28.6</v>
      </c>
      <c r="R82" s="56">
        <v>26</v>
      </c>
      <c r="S82" s="56">
        <v>28.533333333333331</v>
      </c>
      <c r="T82" s="56">
        <v>27.266666666666669</v>
      </c>
      <c r="U82" s="56">
        <v>27.6</v>
      </c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10</v>
      </c>
      <c r="AQ82" s="71" t="str">
        <f t="shared" si="4"/>
        <v/>
      </c>
      <c r="AR82" s="71">
        <f>IFERROR(VLOOKUP(A82,Climatologia_TMED!A:U,9+$E$2,FALSE),"")</f>
        <v>26.62117511996097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28.166161108168389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/>
      <c r="L85" s="56"/>
      <c r="M85" s="56">
        <v>32.25</v>
      </c>
      <c r="N85" s="56">
        <v>32.799999999999997</v>
      </c>
      <c r="O85" s="56">
        <v>33.35</v>
      </c>
      <c r="P85" s="56">
        <v>32.049999999999997</v>
      </c>
      <c r="Q85" s="56">
        <v>29.75</v>
      </c>
      <c r="R85" s="56">
        <v>30.5</v>
      </c>
      <c r="S85" s="56">
        <v>31.05</v>
      </c>
      <c r="T85" s="56">
        <v>31.35</v>
      </c>
      <c r="U85" s="56">
        <v>31.75</v>
      </c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9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29.75</v>
      </c>
      <c r="L86" s="56">
        <v>28.15</v>
      </c>
      <c r="M86" s="56">
        <v>27.85</v>
      </c>
      <c r="N86" s="56">
        <v>29.1</v>
      </c>
      <c r="O86" s="56">
        <v>29.45</v>
      </c>
      <c r="P86" s="56">
        <v>29.6</v>
      </c>
      <c r="Q86" s="56">
        <v>29.15</v>
      </c>
      <c r="R86" s="56">
        <v>29.8</v>
      </c>
      <c r="S86" s="56">
        <v>29.6</v>
      </c>
      <c r="T86" s="56">
        <v>29.7</v>
      </c>
      <c r="U86" s="56">
        <v>30.35</v>
      </c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11</v>
      </c>
      <c r="AQ86" s="71" t="str">
        <f t="shared" si="4"/>
        <v/>
      </c>
      <c r="AR86" s="71">
        <f>IFERROR(VLOOKUP(A86,Climatologia_TMED!A:U,9+$E$2,FALSE),"")</f>
        <v>27.379728091279489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/>
      <c r="L87" s="56"/>
      <c r="M87" s="56"/>
      <c r="N87" s="56"/>
      <c r="O87" s="56">
        <v>29.35</v>
      </c>
      <c r="P87" s="56">
        <v>29.1</v>
      </c>
      <c r="Q87" s="56">
        <v>28.1</v>
      </c>
      <c r="R87" s="56">
        <v>28.2</v>
      </c>
      <c r="S87" s="56">
        <v>30.35</v>
      </c>
      <c r="T87" s="56">
        <v>28.6</v>
      </c>
      <c r="U87" s="56">
        <v>30.9</v>
      </c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7</v>
      </c>
      <c r="AQ87" s="71" t="str">
        <f t="shared" si="4"/>
        <v/>
      </c>
      <c r="AR87" s="71">
        <f>IFERROR(VLOOKUP(A87,Climatologia_TMED!A:U,9+$E$2,FALSE),"")</f>
        <v>27.720582732365109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27.9</v>
      </c>
      <c r="L88" s="56">
        <v>28.1</v>
      </c>
      <c r="M88" s="56">
        <v>27.6</v>
      </c>
      <c r="N88" s="56">
        <v>27.55</v>
      </c>
      <c r="O88" s="56">
        <v>29.85</v>
      </c>
      <c r="P88" s="56">
        <v>26.6</v>
      </c>
      <c r="Q88" s="56">
        <v>26.7</v>
      </c>
      <c r="R88" s="56">
        <v>27.45</v>
      </c>
      <c r="S88" s="56">
        <v>27.75</v>
      </c>
      <c r="T88" s="56">
        <v>27.75</v>
      </c>
      <c r="U88" s="56">
        <v>28.25</v>
      </c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11</v>
      </c>
      <c r="AQ88" s="71" t="str">
        <f t="shared" si="4"/>
        <v/>
      </c>
      <c r="AR88" s="71">
        <f>IFERROR(VLOOKUP(A88,Climatologia_TMED!A:U,9+$E$2,FALSE),"")</f>
        <v>27.069778972520901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29.85</v>
      </c>
      <c r="L89" s="56">
        <v>30.5</v>
      </c>
      <c r="M89" s="56">
        <v>28.1</v>
      </c>
      <c r="N89" s="56">
        <v>30.1</v>
      </c>
      <c r="O89" s="56">
        <v>29.8</v>
      </c>
      <c r="P89" s="56">
        <v>26.65</v>
      </c>
      <c r="Q89" s="56">
        <v>27.75</v>
      </c>
      <c r="R89" s="56">
        <v>29.1</v>
      </c>
      <c r="S89" s="56">
        <v>29.6</v>
      </c>
      <c r="T89" s="56">
        <v>30.45</v>
      </c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10</v>
      </c>
      <c r="AQ89" s="71" t="str">
        <f t="shared" si="4"/>
        <v/>
      </c>
      <c r="AR89" s="71">
        <f>IFERROR(VLOOKUP(A89,Climatologia_TMED!A:U,9+$E$2,FALSE),"")</f>
        <v>27.705209307495291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29.35</v>
      </c>
      <c r="L90" s="56"/>
      <c r="M90" s="56"/>
      <c r="N90" s="56"/>
      <c r="O90" s="56">
        <v>30.15</v>
      </c>
      <c r="P90" s="56">
        <v>29.3</v>
      </c>
      <c r="Q90" s="56">
        <v>28.9</v>
      </c>
      <c r="R90" s="56">
        <v>29.95</v>
      </c>
      <c r="S90" s="56">
        <v>30.85</v>
      </c>
      <c r="T90" s="56">
        <v>31.75</v>
      </c>
      <c r="U90" s="56">
        <v>30.85</v>
      </c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8</v>
      </c>
      <c r="AQ90" s="71" t="str">
        <f t="shared" si="4"/>
        <v/>
      </c>
      <c r="AR90" s="71">
        <f>IFERROR(VLOOKUP(A90,Climatologia_TMED!A:U,9+$E$2,FALSE),"")</f>
        <v>27.329609392143951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29.15</v>
      </c>
      <c r="L91" s="56">
        <v>28.4</v>
      </c>
      <c r="M91" s="56">
        <v>27.25</v>
      </c>
      <c r="N91" s="56">
        <v>29.7</v>
      </c>
      <c r="O91" s="56">
        <v>31.15</v>
      </c>
      <c r="P91" s="56">
        <v>28.5</v>
      </c>
      <c r="Q91" s="56">
        <v>29.05</v>
      </c>
      <c r="R91" s="56">
        <v>30.35</v>
      </c>
      <c r="S91" s="56">
        <v>29.35</v>
      </c>
      <c r="T91" s="56"/>
      <c r="U91" s="56">
        <v>27.45</v>
      </c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10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16.899999999999999</v>
      </c>
      <c r="L92" s="56">
        <v>17.7</v>
      </c>
      <c r="M92" s="56">
        <v>16.5</v>
      </c>
      <c r="N92" s="56">
        <v>17.149999999999999</v>
      </c>
      <c r="O92" s="56">
        <v>17.05</v>
      </c>
      <c r="P92" s="56">
        <v>17</v>
      </c>
      <c r="Q92" s="56">
        <v>17.2</v>
      </c>
      <c r="R92" s="56">
        <v>16.95</v>
      </c>
      <c r="S92" s="56">
        <v>17.75</v>
      </c>
      <c r="T92" s="56">
        <v>16.850000000000001</v>
      </c>
      <c r="U92" s="56">
        <v>17.75</v>
      </c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11</v>
      </c>
      <c r="AQ92" s="71" t="str">
        <f t="shared" si="4"/>
        <v/>
      </c>
      <c r="AR92" s="71">
        <f>IFERROR(VLOOKUP(A92,Climatologia_TMED!A:U,9+$E$2,FALSE),"")</f>
        <v>15.8775587415372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24.266666666666669</v>
      </c>
      <c r="L93" s="56">
        <v>22.466666666666669</v>
      </c>
      <c r="M93" s="56">
        <v>22.733333333333331</v>
      </c>
      <c r="N93" s="56">
        <v>24.4</v>
      </c>
      <c r="O93" s="56">
        <v>23.733333333333331</v>
      </c>
      <c r="P93" s="56">
        <v>22.86666666666666</v>
      </c>
      <c r="Q93" s="56">
        <v>23.466666666666669</v>
      </c>
      <c r="R93" s="56">
        <v>23.13333333333334</v>
      </c>
      <c r="S93" s="56">
        <v>23.4</v>
      </c>
      <c r="T93" s="56">
        <v>22.4</v>
      </c>
      <c r="U93" s="56">
        <v>23.733333333333331</v>
      </c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11</v>
      </c>
      <c r="AQ93" s="71" t="str">
        <f t="shared" si="4"/>
        <v/>
      </c>
      <c r="AR93" s="71">
        <f>IFERROR(VLOOKUP(A93,Climatologia_TMED!A:U,9+$E$2,FALSE),"")</f>
        <v>21.989857397107869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17.149999999999999</v>
      </c>
      <c r="M94" s="56">
        <v>17.899999999999999</v>
      </c>
      <c r="N94" s="56">
        <v>17.55</v>
      </c>
      <c r="O94" s="56">
        <v>16.95</v>
      </c>
      <c r="P94" s="56">
        <v>16.95</v>
      </c>
      <c r="Q94" s="56">
        <v>15.85</v>
      </c>
      <c r="R94" s="56">
        <v>16.7</v>
      </c>
      <c r="S94" s="56">
        <v>17.2</v>
      </c>
      <c r="T94" s="56">
        <v>18.3</v>
      </c>
      <c r="U94" s="56">
        <v>17.45</v>
      </c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11</v>
      </c>
      <c r="AQ94" s="71" t="str">
        <f t="shared" si="4"/>
        <v/>
      </c>
      <c r="AR94" s="71">
        <f>IFERROR(VLOOKUP(A94,Climatologia_TMED!A:U,9+$E$2,FALSE),"")</f>
        <v>16.039847019800661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16.2</v>
      </c>
      <c r="L95" s="56">
        <v>15.3</v>
      </c>
      <c r="M95" s="56">
        <v>15.35</v>
      </c>
      <c r="N95" s="56">
        <v>14.7</v>
      </c>
      <c r="O95" s="56">
        <v>16.600000000000001</v>
      </c>
      <c r="P95" s="56">
        <v>16.2</v>
      </c>
      <c r="Q95" s="56">
        <v>15.85</v>
      </c>
      <c r="R95" s="56">
        <v>15.8</v>
      </c>
      <c r="S95" s="56">
        <v>16.45</v>
      </c>
      <c r="T95" s="56">
        <v>15.6</v>
      </c>
      <c r="U95" s="56">
        <v>16</v>
      </c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11</v>
      </c>
      <c r="AQ95" s="71" t="str">
        <f t="shared" si="4"/>
        <v/>
      </c>
      <c r="AR95" s="71">
        <f>IFERROR(VLOOKUP(A95,Climatologia_TMED!A:U,9+$E$2,FALSE),"")</f>
        <v>14.123251533978079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17.01292441020539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17.45</v>
      </c>
      <c r="L97" s="56">
        <v>17.8</v>
      </c>
      <c r="M97" s="56">
        <v>19.2</v>
      </c>
      <c r="N97" s="56">
        <v>17.3</v>
      </c>
      <c r="O97" s="56">
        <v>17.55</v>
      </c>
      <c r="P97" s="56">
        <v>16.55</v>
      </c>
      <c r="Q97" s="56">
        <v>17.149999999999999</v>
      </c>
      <c r="R97" s="56">
        <v>17.149999999999999</v>
      </c>
      <c r="S97" s="56">
        <v>15.4</v>
      </c>
      <c r="T97" s="56">
        <v>15.1</v>
      </c>
      <c r="U97" s="56">
        <v>16.5</v>
      </c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11</v>
      </c>
      <c r="AQ97" s="71" t="str">
        <f t="shared" si="4"/>
        <v/>
      </c>
      <c r="AR97" s="71">
        <f>IFERROR(VLOOKUP(A97,Climatologia_TMED!A:U,9+$E$2,FALSE),"")</f>
        <v>14.44460019878052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15.35</v>
      </c>
      <c r="L98" s="56">
        <v>13.45</v>
      </c>
      <c r="M98" s="56">
        <v>12.8</v>
      </c>
      <c r="N98" s="56">
        <v>12.65</v>
      </c>
      <c r="O98" s="56">
        <v>14.6</v>
      </c>
      <c r="P98" s="56">
        <v>15.75</v>
      </c>
      <c r="Q98" s="56">
        <v>13.5</v>
      </c>
      <c r="R98" s="56">
        <v>13.65</v>
      </c>
      <c r="S98" s="56">
        <v>14.85</v>
      </c>
      <c r="T98" s="56">
        <v>13.35</v>
      </c>
      <c r="U98" s="56">
        <v>13.9</v>
      </c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11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15.8</v>
      </c>
      <c r="L99" s="56">
        <v>14.133333333333329</v>
      </c>
      <c r="M99" s="56">
        <v>15.1</v>
      </c>
      <c r="N99" s="56">
        <v>15.66666666666667</v>
      </c>
      <c r="O99" s="56">
        <v>16.63333333333334</v>
      </c>
      <c r="P99" s="56">
        <v>14.56666666666667</v>
      </c>
      <c r="Q99" s="56">
        <v>14.4</v>
      </c>
      <c r="R99" s="56">
        <v>14.7</v>
      </c>
      <c r="S99" s="56">
        <v>14.53333333333333</v>
      </c>
      <c r="T99" s="56">
        <v>14.1</v>
      </c>
      <c r="U99" s="56">
        <v>14.8</v>
      </c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11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17.466666666666669</v>
      </c>
      <c r="L100" s="56">
        <v>16.93333333333333</v>
      </c>
      <c r="M100" s="56"/>
      <c r="N100" s="56"/>
      <c r="O100" s="56">
        <v>17.399999999999999</v>
      </c>
      <c r="P100" s="56">
        <v>18.600000000000001</v>
      </c>
      <c r="Q100" s="56">
        <v>17</v>
      </c>
      <c r="R100" s="56">
        <v>15.8</v>
      </c>
      <c r="S100" s="56">
        <v>17.2</v>
      </c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7</v>
      </c>
      <c r="AQ100" s="71" t="str">
        <f t="shared" si="4"/>
        <v/>
      </c>
      <c r="AR100" s="71">
        <f>IFERROR(VLOOKUP(A100,Climatologia_TMED!A:U,9+$E$2,FALSE),"")</f>
        <v>14.509560422870511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15.45</v>
      </c>
      <c r="L101" s="56">
        <v>14.05</v>
      </c>
      <c r="M101" s="56">
        <v>13.85</v>
      </c>
      <c r="N101" s="56">
        <v>13.15</v>
      </c>
      <c r="O101" s="56">
        <v>15.25</v>
      </c>
      <c r="P101" s="56">
        <v>16.45</v>
      </c>
      <c r="Q101" s="56">
        <v>13.8</v>
      </c>
      <c r="R101" s="56">
        <v>14.1</v>
      </c>
      <c r="S101" s="56">
        <v>15</v>
      </c>
      <c r="T101" s="56">
        <v>14.15</v>
      </c>
      <c r="U101" s="56">
        <v>14.3</v>
      </c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11</v>
      </c>
      <c r="AQ101" s="71" t="str">
        <f t="shared" si="4"/>
        <v/>
      </c>
      <c r="AR101" s="71">
        <f>IFERROR(VLOOKUP(A101,Climatologia_TMED!A:U,9+$E$2,FALSE),"")</f>
        <v>13.247962835098431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15</v>
      </c>
      <c r="L102" s="56">
        <v>13.733333333333331</v>
      </c>
      <c r="M102" s="56">
        <v>13.66666666666667</v>
      </c>
      <c r="N102" s="56">
        <v>14.53333333333333</v>
      </c>
      <c r="O102" s="56">
        <v>15.4</v>
      </c>
      <c r="P102" s="56"/>
      <c r="Q102" s="56"/>
      <c r="R102" s="56">
        <v>14.53333333333333</v>
      </c>
      <c r="S102" s="56">
        <v>13.6</v>
      </c>
      <c r="T102" s="56">
        <v>12.46666666666667</v>
      </c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8</v>
      </c>
      <c r="AQ102" s="71" t="str">
        <f t="shared" si="4"/>
        <v/>
      </c>
      <c r="AR102" s="71">
        <f>IFERROR(VLOOKUP(A102,Climatologia_TMED!A:U,9+$E$2,FALSE),"")</f>
        <v>11.74846290543551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25.13070503981595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16.725767393923569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19.399999999999999</v>
      </c>
      <c r="L105" s="56">
        <v>17.8</v>
      </c>
      <c r="M105" s="56">
        <v>19.333333333333329</v>
      </c>
      <c r="N105" s="56">
        <v>18.733333333333331</v>
      </c>
      <c r="O105" s="56">
        <v>20.8</v>
      </c>
      <c r="P105" s="56">
        <v>20.133333333333329</v>
      </c>
      <c r="Q105" s="56">
        <v>18.666666666666671</v>
      </c>
      <c r="R105" s="56">
        <v>18.06666666666667</v>
      </c>
      <c r="S105" s="56">
        <v>16.86666666666666</v>
      </c>
      <c r="T105" s="56">
        <v>16.399999999999999</v>
      </c>
      <c r="U105" s="56">
        <v>18.533333333333331</v>
      </c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11</v>
      </c>
      <c r="AQ105" s="71" t="str">
        <f t="shared" si="4"/>
        <v/>
      </c>
      <c r="AR105" s="71">
        <f>IFERROR(VLOOKUP(A105,Climatologia_TMED!A:U,9+$E$2,FALSE),"")</f>
        <v>17.093359138055629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>
        <v>17.350000000000001</v>
      </c>
      <c r="L106" s="56">
        <v>15.9</v>
      </c>
      <c r="M106" s="56">
        <v>15.15</v>
      </c>
      <c r="N106" s="56">
        <v>14.05</v>
      </c>
      <c r="O106" s="56">
        <v>16.7</v>
      </c>
      <c r="P106" s="56">
        <v>15.7</v>
      </c>
      <c r="Q106" s="56">
        <v>13.074999999999999</v>
      </c>
      <c r="R106" s="56">
        <v>14.85</v>
      </c>
      <c r="S106" s="56"/>
      <c r="T106" s="56">
        <v>13.2</v>
      </c>
      <c r="U106" s="56">
        <v>15.1</v>
      </c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10</v>
      </c>
      <c r="AQ106" s="71" t="str">
        <f t="shared" si="4"/>
        <v/>
      </c>
      <c r="AR106" s="71">
        <f>IFERROR(VLOOKUP(A106,Climatologia_TMED!A:U,9+$E$2,FALSE),"")</f>
        <v>14.06904829587253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0</v>
      </c>
      <c r="AQ107" s="71" t="str">
        <f t="shared" si="4"/>
        <v/>
      </c>
      <c r="AR107" s="71">
        <f>IFERROR(VLOOKUP(A107,Climatologia_TMED!A:U,9+$E$2,FALSE),"")</f>
        <v>13.93105734767021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16.25</v>
      </c>
      <c r="L108" s="56">
        <v>16.3</v>
      </c>
      <c r="M108" s="56">
        <v>13.824999999999999</v>
      </c>
      <c r="N108" s="56">
        <v>15.2</v>
      </c>
      <c r="O108" s="56">
        <v>15.25</v>
      </c>
      <c r="P108" s="56">
        <v>16.55</v>
      </c>
      <c r="Q108" s="56">
        <v>13.6</v>
      </c>
      <c r="R108" s="56">
        <v>14.3</v>
      </c>
      <c r="S108" s="56">
        <v>16.25</v>
      </c>
      <c r="T108" s="56">
        <v>13.85</v>
      </c>
      <c r="U108" s="56">
        <v>16.350000000000001</v>
      </c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11</v>
      </c>
      <c r="AQ108" s="71" t="str">
        <f t="shared" si="4"/>
        <v/>
      </c>
      <c r="AR108" s="71">
        <f>IFERROR(VLOOKUP(A108,Climatologia_TMED!A:U,9+$E$2,FALSE),"")</f>
        <v>14.682222659169771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16.350000000000001</v>
      </c>
      <c r="L109" s="56">
        <v>14.45</v>
      </c>
      <c r="M109" s="56">
        <v>15.2</v>
      </c>
      <c r="N109" s="56">
        <v>15.75</v>
      </c>
      <c r="O109" s="56">
        <v>16.399999999999999</v>
      </c>
      <c r="P109" s="56">
        <v>16.25</v>
      </c>
      <c r="Q109" s="56">
        <v>16.8</v>
      </c>
      <c r="R109" s="56">
        <v>15.75</v>
      </c>
      <c r="S109" s="56">
        <v>16.350000000000001</v>
      </c>
      <c r="T109" s="56">
        <v>15.05</v>
      </c>
      <c r="U109" s="56">
        <v>16.25</v>
      </c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11</v>
      </c>
      <c r="AQ109" s="71" t="str">
        <f t="shared" si="4"/>
        <v/>
      </c>
      <c r="AR109" s="71">
        <f>IFERROR(VLOOKUP(A109,Climatologia_TMED!A:U,9+$E$2,FALSE),"")</f>
        <v>14.58204881504656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19.733333333333331</v>
      </c>
      <c r="L110" s="56">
        <v>17.8</v>
      </c>
      <c r="M110" s="56">
        <v>17.8</v>
      </c>
      <c r="N110" s="56">
        <v>19</v>
      </c>
      <c r="O110" s="56">
        <v>19.466666666666669</v>
      </c>
      <c r="P110" s="56">
        <v>19.06666666666667</v>
      </c>
      <c r="Q110" s="56">
        <v>18.333333333333329</v>
      </c>
      <c r="R110" s="56">
        <v>19.06666666666667</v>
      </c>
      <c r="S110" s="56">
        <v>18.8</v>
      </c>
      <c r="T110" s="56">
        <v>18.266666666666669</v>
      </c>
      <c r="U110" s="56">
        <v>18.399999999999999</v>
      </c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11</v>
      </c>
      <c r="AQ110" s="71" t="str">
        <f t="shared" si="4"/>
        <v/>
      </c>
      <c r="AR110" s="71">
        <f>IFERROR(VLOOKUP(A110,Climatologia_TMED!A:U,9+$E$2,FALSE),"")</f>
        <v>18.046652477429902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17.850000000000001</v>
      </c>
      <c r="L111" s="56">
        <v>16.7</v>
      </c>
      <c r="M111" s="56">
        <v>15.75</v>
      </c>
      <c r="N111" s="56">
        <v>15.6</v>
      </c>
      <c r="O111" s="56">
        <v>17.149999999999999</v>
      </c>
      <c r="P111" s="56">
        <v>17.8</v>
      </c>
      <c r="Q111" s="56">
        <v>15.9</v>
      </c>
      <c r="R111" s="56">
        <v>16.899999999999999</v>
      </c>
      <c r="S111" s="56">
        <v>17.850000000000001</v>
      </c>
      <c r="T111" s="56">
        <v>17.399999999999999</v>
      </c>
      <c r="U111" s="56">
        <v>16.399999999999999</v>
      </c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11</v>
      </c>
      <c r="AQ111" s="71" t="str">
        <f t="shared" si="4"/>
        <v/>
      </c>
      <c r="AR111" s="71">
        <f>IFERROR(VLOOKUP(A111,Climatologia_TMED!A:U,9+$E$2,FALSE),"")</f>
        <v>16.360524994967189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20.399999999999999</v>
      </c>
      <c r="L112" s="56">
        <v>17.93333333333333</v>
      </c>
      <c r="M112" s="56">
        <v>19.533333333333331</v>
      </c>
      <c r="N112" s="56">
        <v>19.600000000000001</v>
      </c>
      <c r="O112" s="56">
        <v>20.466666666666669</v>
      </c>
      <c r="P112" s="56">
        <v>19.399999999999999</v>
      </c>
      <c r="Q112" s="56">
        <v>19.333333333333329</v>
      </c>
      <c r="R112" s="56">
        <v>19.333333333333329</v>
      </c>
      <c r="S112" s="56">
        <v>20.399999999999999</v>
      </c>
      <c r="T112" s="56">
        <v>18.333333333333329</v>
      </c>
      <c r="U112" s="56">
        <v>19.866666666666671</v>
      </c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11</v>
      </c>
      <c r="AQ112" s="71" t="str">
        <f t="shared" si="4"/>
        <v/>
      </c>
      <c r="AR112" s="71">
        <f>IFERROR(VLOOKUP(A112,Climatologia_TMED!A:U,9+$E$2,FALSE),"")</f>
        <v>17.634442842433899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21.6</v>
      </c>
      <c r="L113" s="56">
        <v>20</v>
      </c>
      <c r="M113" s="56">
        <v>20.333333333333329</v>
      </c>
      <c r="N113" s="56">
        <v>19.733333333333331</v>
      </c>
      <c r="O113" s="56">
        <v>21.06666666666667</v>
      </c>
      <c r="P113" s="56">
        <v>21.06666666666667</v>
      </c>
      <c r="Q113" s="56">
        <v>20.2</v>
      </c>
      <c r="R113" s="56"/>
      <c r="S113" s="56">
        <v>20.133333333333329</v>
      </c>
      <c r="T113" s="56">
        <v>19.333333333333339</v>
      </c>
      <c r="U113" s="56">
        <v>20.8</v>
      </c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10</v>
      </c>
      <c r="AQ113" s="71" t="str">
        <f t="shared" si="4"/>
        <v/>
      </c>
      <c r="AR113" s="71">
        <f>IFERROR(VLOOKUP(A113,Climatologia_TMED!A:U,9+$E$2,FALSE),"")</f>
        <v>18.982990988223222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24.6</v>
      </c>
      <c r="L114" s="56">
        <v>23.533333333333331</v>
      </c>
      <c r="M114" s="56">
        <v>22.8</v>
      </c>
      <c r="N114" s="56"/>
      <c r="O114" s="56">
        <v>24.333333333333329</v>
      </c>
      <c r="P114" s="56"/>
      <c r="Q114" s="56">
        <v>23.333333333333329</v>
      </c>
      <c r="R114" s="56"/>
      <c r="S114" s="56"/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6</v>
      </c>
      <c r="AQ114" s="71" t="str">
        <f t="shared" si="4"/>
        <v/>
      </c>
      <c r="AR114" s="71">
        <f>IFERROR(VLOOKUP(A114,Climatologia_TMED!A:U,9+$E$2,FALSE),"")</f>
        <v>21.484302258844231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26.2</v>
      </c>
      <c r="M115" s="56">
        <v>28.274999999999999</v>
      </c>
      <c r="N115" s="56">
        <v>27.95</v>
      </c>
      <c r="O115" s="56">
        <v>29.4</v>
      </c>
      <c r="P115" s="56">
        <v>29.5</v>
      </c>
      <c r="Q115" s="56">
        <v>25.9</v>
      </c>
      <c r="R115" s="56">
        <v>27.65</v>
      </c>
      <c r="S115" s="56">
        <v>29.7</v>
      </c>
      <c r="T115" s="56">
        <v>27.5</v>
      </c>
      <c r="U115" s="56">
        <v>27.4</v>
      </c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11</v>
      </c>
      <c r="AQ115" s="71" t="str">
        <f t="shared" si="4"/>
        <v/>
      </c>
      <c r="AR115" s="71">
        <f>IFERROR(VLOOKUP(A115,Climatologia_TMED!A:U,9+$E$2,FALSE),"")</f>
        <v>27.484475806451581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18.13333333333334</v>
      </c>
      <c r="M116" s="56">
        <v>19.466666666666669</v>
      </c>
      <c r="N116" s="56">
        <v>19.399999999999999</v>
      </c>
      <c r="O116" s="56">
        <v>20.133333333333329</v>
      </c>
      <c r="P116" s="56">
        <v>20.8</v>
      </c>
      <c r="Q116" s="56">
        <v>19.266666666666669</v>
      </c>
      <c r="R116" s="56">
        <v>18.866666666666671</v>
      </c>
      <c r="S116" s="56">
        <v>19.2</v>
      </c>
      <c r="T116" s="56">
        <v>19.333333333333329</v>
      </c>
      <c r="U116" s="56">
        <v>19.666666666666671</v>
      </c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11</v>
      </c>
      <c r="AQ116" s="71" t="str">
        <f t="shared" si="4"/>
        <v/>
      </c>
      <c r="AR116" s="71">
        <f>IFERROR(VLOOKUP(A116,Climatologia_TMED!A:U,9+$E$2,FALSE),"")</f>
        <v>19.131439248100389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28.666666666666671</v>
      </c>
      <c r="L117" s="56">
        <v>25.8</v>
      </c>
      <c r="M117" s="56">
        <v>27.4</v>
      </c>
      <c r="N117" s="56">
        <v>27.6</v>
      </c>
      <c r="O117" s="56">
        <v>29.06666666666667</v>
      </c>
      <c r="P117" s="56">
        <v>29.4</v>
      </c>
      <c r="Q117" s="56">
        <v>25.533333333333331</v>
      </c>
      <c r="R117" s="56">
        <v>27.666666666666671</v>
      </c>
      <c r="S117" s="56">
        <v>28.733333333333331</v>
      </c>
      <c r="T117" s="56">
        <v>27.13333333333334</v>
      </c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10</v>
      </c>
      <c r="AQ117" s="71" t="str">
        <f t="shared" si="4"/>
        <v/>
      </c>
      <c r="AR117" s="71">
        <f>IFERROR(VLOOKUP(A117,Climatologia_TMED!A:U,9+$E$2,FALSE),"")</f>
        <v>26.59831004118276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30.8</v>
      </c>
      <c r="L118" s="56">
        <v>29.86666666666666</v>
      </c>
      <c r="M118" s="56"/>
      <c r="N118" s="56">
        <v>30.4</v>
      </c>
      <c r="O118" s="56">
        <v>30</v>
      </c>
      <c r="P118" s="56">
        <v>30.06666666666667</v>
      </c>
      <c r="Q118" s="56">
        <v>30.13333333333334</v>
      </c>
      <c r="R118" s="56">
        <v>29.333333333333329</v>
      </c>
      <c r="S118" s="56">
        <v>29.666666666666671</v>
      </c>
      <c r="T118" s="56">
        <v>29.8</v>
      </c>
      <c r="U118" s="56">
        <v>30.333333333333329</v>
      </c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10</v>
      </c>
      <c r="AQ118" s="71" t="str">
        <f t="shared" si="4"/>
        <v/>
      </c>
      <c r="AR118" s="71">
        <f>IFERROR(VLOOKUP(A118,Climatologia_TMED!A:U,9+$E$2,FALSE),"")</f>
        <v>26.967688172043001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/>
      <c r="L119" s="56">
        <v>23.733333333333331</v>
      </c>
      <c r="M119" s="56">
        <v>25.266666666666669</v>
      </c>
      <c r="N119" s="56">
        <v>23.666666666666671</v>
      </c>
      <c r="O119" s="56">
        <v>23.533333333333331</v>
      </c>
      <c r="P119" s="56">
        <v>24.6</v>
      </c>
      <c r="Q119" s="56">
        <v>25.6</v>
      </c>
      <c r="R119" s="56">
        <v>25.666666666666671</v>
      </c>
      <c r="S119" s="56">
        <v>23.6</v>
      </c>
      <c r="T119" s="56">
        <v>24</v>
      </c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9</v>
      </c>
      <c r="AQ119" s="71" t="str">
        <f t="shared" si="4"/>
        <v/>
      </c>
      <c r="AR119" s="71">
        <f>IFERROR(VLOOKUP(A119,Climatologia_TMED!A:U,9+$E$2,FALSE),"")</f>
        <v>22.61409796893664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29</v>
      </c>
      <c r="L120" s="56"/>
      <c r="M120" s="56">
        <v>28.06666666666667</v>
      </c>
      <c r="N120" s="56">
        <v>29.333333333333329</v>
      </c>
      <c r="O120" s="56">
        <v>28.2</v>
      </c>
      <c r="P120" s="56">
        <v>26.86666666666666</v>
      </c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5</v>
      </c>
      <c r="AQ120" s="71" t="str">
        <f t="shared" si="4"/>
        <v/>
      </c>
      <c r="AR120" s="71">
        <f>IFERROR(VLOOKUP(A120,Climatologia_TMED!A:U,9+$E$2,FALSE),"")</f>
        <v>27.08701552597141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26.538243725963699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13.8</v>
      </c>
      <c r="L122" s="56">
        <v>13</v>
      </c>
      <c r="M122" s="56">
        <v>12.93333333333333</v>
      </c>
      <c r="N122" s="56">
        <v>13.8</v>
      </c>
      <c r="O122" s="56">
        <v>12.66666666666667</v>
      </c>
      <c r="P122" s="56">
        <v>11.866666666666671</v>
      </c>
      <c r="Q122" s="56">
        <v>10.4</v>
      </c>
      <c r="R122" s="56">
        <v>11.8</v>
      </c>
      <c r="S122" s="56">
        <v>13.2</v>
      </c>
      <c r="T122" s="56">
        <v>12.46666666666667</v>
      </c>
      <c r="U122" s="56">
        <v>12</v>
      </c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11</v>
      </c>
      <c r="AQ122" s="71" t="str">
        <f t="shared" si="4"/>
        <v/>
      </c>
      <c r="AR122" s="71">
        <f>IFERROR(VLOOKUP(A122,Climatologia_TMED!A:U,9+$E$2,FALSE),"")</f>
        <v>10.85633242813253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23.638459600288289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17.533333333333331</v>
      </c>
      <c r="L124" s="56">
        <v>15.733333333333331</v>
      </c>
      <c r="M124" s="56">
        <v>16.866666666666671</v>
      </c>
      <c r="N124" s="56">
        <v>18.2</v>
      </c>
      <c r="O124" s="56">
        <v>18.06666666666667</v>
      </c>
      <c r="P124" s="56">
        <v>18.2</v>
      </c>
      <c r="Q124" s="56">
        <v>18.266666666666669</v>
      </c>
      <c r="R124" s="56">
        <v>17.866666666666671</v>
      </c>
      <c r="S124" s="56">
        <v>17.666666666666671</v>
      </c>
      <c r="T124" s="56">
        <v>18.399999999999999</v>
      </c>
      <c r="U124" s="56">
        <v>18</v>
      </c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11</v>
      </c>
      <c r="AQ124" s="71" t="str">
        <f t="shared" si="4"/>
        <v/>
      </c>
      <c r="AR124" s="71">
        <f>IFERROR(VLOOKUP(A124,Climatologia_TMED!A:U,9+$E$2,FALSE),"")</f>
        <v>16.229132820044239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17.402636498767819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14.06666666666667</v>
      </c>
      <c r="L126" s="56"/>
      <c r="M126" s="56">
        <v>11.53333333333333</v>
      </c>
      <c r="N126" s="56"/>
      <c r="O126" s="56">
        <v>13.66666666666667</v>
      </c>
      <c r="P126" s="56">
        <v>13.866666666666671</v>
      </c>
      <c r="Q126" s="56">
        <v>12.8</v>
      </c>
      <c r="R126" s="56">
        <v>12.9</v>
      </c>
      <c r="S126" s="56">
        <v>12.6</v>
      </c>
      <c r="T126" s="56">
        <v>12.93333333333333</v>
      </c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8</v>
      </c>
      <c r="AQ126" s="71" t="str">
        <f t="shared" si="4"/>
        <v/>
      </c>
      <c r="AR126" s="71">
        <f>IFERROR(VLOOKUP(A126,Climatologia_TMED!A:U,9+$E$2,FALSE),"")</f>
        <v>11.806048918509131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26.170070326925149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26.368048586220631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25.675025997066079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14.733333333333331</v>
      </c>
      <c r="L130" s="56">
        <v>13.866666666666671</v>
      </c>
      <c r="M130" s="56">
        <v>15.233333333333331</v>
      </c>
      <c r="N130" s="56">
        <v>14.6</v>
      </c>
      <c r="O130" s="56">
        <v>16.2</v>
      </c>
      <c r="P130" s="56">
        <v>12.866666666666671</v>
      </c>
      <c r="Q130" s="56">
        <v>13.133333333333329</v>
      </c>
      <c r="R130" s="56">
        <v>14.4</v>
      </c>
      <c r="S130" s="56">
        <v>16.36666666666666</v>
      </c>
      <c r="T130" s="56">
        <v>16.06666666666667</v>
      </c>
      <c r="U130" s="56">
        <v>15.03333333333333</v>
      </c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11</v>
      </c>
      <c r="AQ130" s="71" t="str">
        <f t="shared" si="4"/>
        <v/>
      </c>
      <c r="AR130" s="71">
        <f>IFERROR(VLOOKUP(A130,Climatologia_TMED!A:U,9+$E$2,FALSE),"")</f>
        <v>13.846390041845421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17.149999999999999</v>
      </c>
      <c r="L131" s="56">
        <v>16.600000000000001</v>
      </c>
      <c r="M131" s="56">
        <v>18.05</v>
      </c>
      <c r="N131" s="56">
        <v>19.899999999999999</v>
      </c>
      <c r="O131" s="56">
        <v>17.899999999999999</v>
      </c>
      <c r="P131" s="56">
        <v>16.850000000000001</v>
      </c>
      <c r="Q131" s="56">
        <v>17.100000000000001</v>
      </c>
      <c r="R131" s="56">
        <v>15.9</v>
      </c>
      <c r="S131" s="56">
        <v>18.649999999999999</v>
      </c>
      <c r="T131" s="56">
        <v>17.399999999999999</v>
      </c>
      <c r="U131" s="56">
        <v>18.2</v>
      </c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11</v>
      </c>
      <c r="AQ131" s="71" t="str">
        <f t="shared" si="4"/>
        <v/>
      </c>
      <c r="AR131" s="71">
        <f>IFERROR(VLOOKUP(A131,Climatologia_TMED!A:U,9+$E$2,FALSE),"")</f>
        <v>16.55177959187796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18.07603789174123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15.133333333333329</v>
      </c>
      <c r="L133" s="56">
        <v>13.733333333333331</v>
      </c>
      <c r="M133" s="56">
        <v>14.266666666666669</v>
      </c>
      <c r="N133" s="56">
        <v>15.133333333333329</v>
      </c>
      <c r="O133" s="56">
        <v>15.366666666666671</v>
      </c>
      <c r="P133" s="56">
        <v>13.96666666666667</v>
      </c>
      <c r="Q133" s="56">
        <v>14.43333333333333</v>
      </c>
      <c r="R133" s="56">
        <v>13.5</v>
      </c>
      <c r="S133" s="56">
        <v>15.2</v>
      </c>
      <c r="T133" s="56">
        <v>15.06666666666667</v>
      </c>
      <c r="U133" s="56">
        <v>14.7</v>
      </c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11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13.13826330396255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18.333333333333329</v>
      </c>
      <c r="L134" s="56">
        <v>16.533333333333331</v>
      </c>
      <c r="M134" s="56">
        <v>18.600000000000001</v>
      </c>
      <c r="N134" s="56">
        <v>20.466666666666669</v>
      </c>
      <c r="O134" s="56">
        <v>18.13333333333334</v>
      </c>
      <c r="P134" s="56">
        <v>15.53333333333333</v>
      </c>
      <c r="Q134" s="56">
        <v>17</v>
      </c>
      <c r="R134" s="56">
        <v>16.466666666666669</v>
      </c>
      <c r="S134" s="56">
        <v>19.133333333333329</v>
      </c>
      <c r="T134" s="56">
        <v>19.93333333333333</v>
      </c>
      <c r="U134" s="56">
        <v>18.733333333333331</v>
      </c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11</v>
      </c>
      <c r="AQ134" s="71" t="str">
        <f t="shared" si="7"/>
        <v/>
      </c>
      <c r="AR134" s="71">
        <f>IFERROR(VLOOKUP(A134,Climatologia_TMED!A:U,9+$E$2,FALSE),"")</f>
        <v>16.123804262864379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19.100000000000001</v>
      </c>
      <c r="L135" s="56">
        <v>17.649999999999999</v>
      </c>
      <c r="M135" s="56">
        <v>18.100000000000001</v>
      </c>
      <c r="N135" s="56">
        <v>18.149999999999999</v>
      </c>
      <c r="O135" s="56">
        <v>18.5</v>
      </c>
      <c r="P135" s="56">
        <v>18.25</v>
      </c>
      <c r="Q135" s="56">
        <v>18.350000000000001</v>
      </c>
      <c r="R135" s="56"/>
      <c r="S135" s="56">
        <v>18.95</v>
      </c>
      <c r="T135" s="56">
        <v>19.350000000000001</v>
      </c>
      <c r="U135" s="56">
        <v>16.95</v>
      </c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10</v>
      </c>
      <c r="AQ135" s="71" t="str">
        <f t="shared" si="7"/>
        <v/>
      </c>
      <c r="AR135" s="71">
        <f>IFERROR(VLOOKUP(A135,Climatologia_TMED!A:U,9+$E$2,FALSE),"")</f>
        <v>17.803425611943009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12.93333333333333</v>
      </c>
      <c r="L136" s="56">
        <v>11.53333333333333</v>
      </c>
      <c r="M136" s="56">
        <v>11.733333333333331</v>
      </c>
      <c r="N136" s="56"/>
      <c r="O136" s="56">
        <v>12.2</v>
      </c>
      <c r="P136" s="56">
        <v>14.133333333333329</v>
      </c>
      <c r="Q136" s="56">
        <v>14.33333333333333</v>
      </c>
      <c r="R136" s="56">
        <v>14.266666666666669</v>
      </c>
      <c r="S136" s="56">
        <v>13.53333333333333</v>
      </c>
      <c r="T136" s="56">
        <v>13.33333333333333</v>
      </c>
      <c r="U136" s="56">
        <v>13.2</v>
      </c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10</v>
      </c>
      <c r="AQ136" s="71" t="str">
        <f t="shared" si="7"/>
        <v/>
      </c>
      <c r="AR136" s="71">
        <f>IFERROR(VLOOKUP(A136,Climatologia_TMED!A:U,9+$E$2,FALSE),"")</f>
        <v>12.221172043010739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20.285381058186829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20.266666666666669</v>
      </c>
      <c r="L138" s="56">
        <v>20.6</v>
      </c>
      <c r="M138" s="56">
        <v>21.06666666666667</v>
      </c>
      <c r="N138" s="56">
        <v>21.86666666666666</v>
      </c>
      <c r="O138" s="56">
        <v>21.533333333333331</v>
      </c>
      <c r="P138" s="56">
        <v>21.733333333333331</v>
      </c>
      <c r="Q138" s="56">
        <v>21.86666666666666</v>
      </c>
      <c r="R138" s="56">
        <v>21.333333333333329</v>
      </c>
      <c r="S138" s="56">
        <v>22.533333333333331</v>
      </c>
      <c r="T138" s="56">
        <v>21.86666666666666</v>
      </c>
      <c r="U138" s="56">
        <v>21.133333333333329</v>
      </c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11</v>
      </c>
      <c r="AQ138" s="71" t="str">
        <f t="shared" si="7"/>
        <v/>
      </c>
      <c r="AR138" s="71">
        <f>IFERROR(VLOOKUP(A138,Climatologia_TMED!A:U,9+$E$2,FALSE),"")</f>
        <v>19.995544690623731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14.625</v>
      </c>
      <c r="L139" s="56">
        <v>13.25</v>
      </c>
      <c r="M139" s="56">
        <v>13.85</v>
      </c>
      <c r="N139" s="56">
        <v>14.95</v>
      </c>
      <c r="O139" s="56">
        <v>15.85</v>
      </c>
      <c r="P139" s="56">
        <v>15.125</v>
      </c>
      <c r="Q139" s="56">
        <v>14.75</v>
      </c>
      <c r="R139" s="56">
        <v>13.55</v>
      </c>
      <c r="S139" s="56">
        <v>15.05</v>
      </c>
      <c r="T139" s="56">
        <v>14.525</v>
      </c>
      <c r="U139" s="56">
        <v>14.725</v>
      </c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11</v>
      </c>
      <c r="AQ139" s="71" t="str">
        <f t="shared" si="7"/>
        <v/>
      </c>
      <c r="AR139" s="71">
        <f>IFERROR(VLOOKUP(A139,Climatologia_TMED!A:U,9+$E$2,FALSE),"")</f>
        <v>13.25229822156893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16.45</v>
      </c>
      <c r="L140" s="56">
        <v>15.65</v>
      </c>
      <c r="M140" s="56">
        <v>15.9</v>
      </c>
      <c r="N140" s="56">
        <v>15.2</v>
      </c>
      <c r="O140" s="56">
        <v>16</v>
      </c>
      <c r="P140" s="56">
        <v>16.55</v>
      </c>
      <c r="Q140" s="56">
        <v>16.5</v>
      </c>
      <c r="R140" s="56">
        <v>16.850000000000001</v>
      </c>
      <c r="S140" s="56">
        <v>16.5</v>
      </c>
      <c r="T140" s="56">
        <v>16.45</v>
      </c>
      <c r="U140" s="56">
        <v>15.25</v>
      </c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11</v>
      </c>
      <c r="AQ140" s="71" t="str">
        <f t="shared" si="7"/>
        <v/>
      </c>
      <c r="AR140" s="71">
        <f>IFERROR(VLOOKUP(A140,Climatologia_TMED!A:U,9+$E$2,FALSE),"")</f>
        <v>15.717934093437149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14.2</v>
      </c>
      <c r="L141" s="56">
        <v>13.06666666666667</v>
      </c>
      <c r="M141" s="56">
        <v>13.733333333333331</v>
      </c>
      <c r="N141" s="56">
        <v>15.66666666666667</v>
      </c>
      <c r="O141" s="56">
        <v>16.2</v>
      </c>
      <c r="P141" s="56">
        <v>12.866666666666671</v>
      </c>
      <c r="Q141" s="56">
        <v>14.66666666666667</v>
      </c>
      <c r="R141" s="56">
        <v>13.066666666666659</v>
      </c>
      <c r="S141" s="56">
        <v>14.266666666666669</v>
      </c>
      <c r="T141" s="56">
        <v>14.4</v>
      </c>
      <c r="U141" s="56">
        <v>14.33333333333333</v>
      </c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11</v>
      </c>
      <c r="AQ141" s="71" t="str">
        <f t="shared" si="7"/>
        <v/>
      </c>
      <c r="AR141" s="71">
        <f>IFERROR(VLOOKUP(A141,Climatologia_TMED!A:U,9+$E$2,FALSE),"")</f>
        <v>12.760684905622311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12.15</v>
      </c>
      <c r="L142" s="56">
        <v>10.85</v>
      </c>
      <c r="M142" s="56">
        <v>11.2</v>
      </c>
      <c r="N142" s="56">
        <v>12.7</v>
      </c>
      <c r="O142" s="56">
        <v>13.2</v>
      </c>
      <c r="P142" s="56">
        <v>12.55</v>
      </c>
      <c r="Q142" s="56">
        <v>12.9</v>
      </c>
      <c r="R142" s="56">
        <v>11.5</v>
      </c>
      <c r="S142" s="56">
        <v>13.3</v>
      </c>
      <c r="T142" s="56">
        <v>13.4</v>
      </c>
      <c r="U142" s="56">
        <v>12.4</v>
      </c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11</v>
      </c>
      <c r="AQ142" s="71" t="str">
        <f t="shared" si="7"/>
        <v/>
      </c>
      <c r="AR142" s="71">
        <f>IFERROR(VLOOKUP(A142,Climatologia_TMED!A:U,9+$E$2,FALSE),"")</f>
        <v>11.19315959344102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28.2</v>
      </c>
      <c r="L143" s="56">
        <v>26.066666666666659</v>
      </c>
      <c r="M143" s="56">
        <v>26</v>
      </c>
      <c r="N143" s="56">
        <v>28.333333333333329</v>
      </c>
      <c r="O143" s="56">
        <v>28.733333333333331</v>
      </c>
      <c r="P143" s="56">
        <v>28.333333333333329</v>
      </c>
      <c r="Q143" s="56">
        <v>29</v>
      </c>
      <c r="R143" s="56">
        <v>28.4</v>
      </c>
      <c r="S143" s="56">
        <v>28.466666666666669</v>
      </c>
      <c r="T143" s="56">
        <v>26.733333333333331</v>
      </c>
      <c r="U143" s="56">
        <v>26.8</v>
      </c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11</v>
      </c>
      <c r="AQ143" s="71" t="str">
        <f t="shared" si="7"/>
        <v/>
      </c>
      <c r="AR143" s="71">
        <f>IFERROR(VLOOKUP(A143,Climatologia_TMED!A:U,9+$E$2,FALSE),"")</f>
        <v>25.817599555061172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18.06666666666667</v>
      </c>
      <c r="L144" s="56">
        <v>17.266666666666669</v>
      </c>
      <c r="M144" s="56">
        <v>16.533333333333331</v>
      </c>
      <c r="N144" s="56">
        <v>17.133333333333329</v>
      </c>
      <c r="O144" s="56">
        <v>18.266666666666669</v>
      </c>
      <c r="P144" s="56">
        <v>18</v>
      </c>
      <c r="Q144" s="56">
        <v>16</v>
      </c>
      <c r="R144" s="56">
        <v>18.2</v>
      </c>
      <c r="S144" s="56">
        <v>17.600000000000001</v>
      </c>
      <c r="T144" s="56">
        <v>16.333333333333329</v>
      </c>
      <c r="U144" s="56">
        <v>17.333333333333329</v>
      </c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11</v>
      </c>
      <c r="AQ144" s="71" t="str">
        <f t="shared" si="7"/>
        <v/>
      </c>
      <c r="AR144" s="71">
        <f>IFERROR(VLOOKUP(A144,Climatologia_TMED!A:U,9+$E$2,FALSE),"")</f>
        <v>15.68907352555914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20.2</v>
      </c>
      <c r="L145" s="56">
        <v>19.866666666666671</v>
      </c>
      <c r="M145" s="56">
        <v>20.93333333333333</v>
      </c>
      <c r="N145" s="56">
        <v>22</v>
      </c>
      <c r="O145" s="56">
        <v>22</v>
      </c>
      <c r="P145" s="56">
        <v>21.2</v>
      </c>
      <c r="Q145" s="56">
        <v>18.600000000000001</v>
      </c>
      <c r="R145" s="56">
        <v>20.266666666666669</v>
      </c>
      <c r="S145" s="56">
        <v>22.06666666666667</v>
      </c>
      <c r="T145" s="56">
        <v>20.333333333333329</v>
      </c>
      <c r="U145" s="56">
        <v>22.13333333333334</v>
      </c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11</v>
      </c>
      <c r="AQ145" s="71" t="str">
        <f t="shared" si="7"/>
        <v/>
      </c>
      <c r="AR145" s="71">
        <f>IFERROR(VLOOKUP(A145,Climatologia_TMED!A:U,9+$E$2,FALSE),"")</f>
        <v>19.419995767669139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31.13333333333334</v>
      </c>
      <c r="L146" s="56">
        <v>31.8</v>
      </c>
      <c r="M146" s="56">
        <v>30.8</v>
      </c>
      <c r="N146" s="56">
        <v>29.93333333333333</v>
      </c>
      <c r="O146" s="56">
        <v>31.6</v>
      </c>
      <c r="P146" s="56">
        <v>31.733333333333331</v>
      </c>
      <c r="Q146" s="56">
        <v>28.13333333333334</v>
      </c>
      <c r="R146" s="56"/>
      <c r="S146" s="56">
        <v>30.466666666666669</v>
      </c>
      <c r="T146" s="56">
        <v>30</v>
      </c>
      <c r="U146" s="56">
        <v>31.733333333333331</v>
      </c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10</v>
      </c>
      <c r="AQ146" s="71" t="str">
        <f t="shared" si="7"/>
        <v/>
      </c>
      <c r="AR146" s="71">
        <f>IFERROR(VLOOKUP(A146,Climatologia_TMED!A:U,9+$E$2,FALSE),"")</f>
        <v>28.23129393152885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26.93333333333333</v>
      </c>
      <c r="L147" s="56">
        <v>26.13333333333334</v>
      </c>
      <c r="M147" s="56">
        <v>25.93333333333333</v>
      </c>
      <c r="N147" s="56">
        <v>26.666666666666671</v>
      </c>
      <c r="O147" s="56">
        <v>27.13333333333334</v>
      </c>
      <c r="P147" s="56">
        <v>25.4</v>
      </c>
      <c r="Q147" s="56">
        <v>23.8</v>
      </c>
      <c r="R147" s="56">
        <v>26.466666666666669</v>
      </c>
      <c r="S147" s="56">
        <v>26.733333333333331</v>
      </c>
      <c r="T147" s="56">
        <v>25.93333333333333</v>
      </c>
      <c r="U147" s="56">
        <v>26.466666666666669</v>
      </c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11</v>
      </c>
      <c r="AQ147" s="71" t="str">
        <f t="shared" si="7"/>
        <v/>
      </c>
      <c r="AR147" s="71">
        <f>IFERROR(VLOOKUP(A147,Climatologia_TMED!A:U,9+$E$2,FALSE),"")</f>
        <v>23.435879058931128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29.13333333333334</v>
      </c>
      <c r="L148" s="56">
        <v>31.733333333333331</v>
      </c>
      <c r="M148" s="56">
        <v>30.93333333333333</v>
      </c>
      <c r="N148" s="56">
        <v>29.866666666666671</v>
      </c>
      <c r="O148" s="56">
        <v>31.733333333333331</v>
      </c>
      <c r="P148" s="56">
        <v>29.333333333333329</v>
      </c>
      <c r="Q148" s="56">
        <v>29.2</v>
      </c>
      <c r="R148" s="56">
        <v>31.13333333333334</v>
      </c>
      <c r="S148" s="56">
        <v>30.2</v>
      </c>
      <c r="T148" s="56">
        <v>27.8</v>
      </c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10</v>
      </c>
      <c r="AQ148" s="71" t="str">
        <f t="shared" si="7"/>
        <v/>
      </c>
      <c r="AR148" s="71">
        <f>IFERROR(VLOOKUP(A148,Climatologia_TMED!A:U,9+$E$2,FALSE),"")</f>
        <v>28.269792366916029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0</v>
      </c>
      <c r="AQ149" s="71" t="str">
        <f t="shared" si="7"/>
        <v/>
      </c>
      <c r="AR149" s="71">
        <f>IFERROR(VLOOKUP(A149,Climatologia_TMED!A:U,9+$E$2,FALSE),"")</f>
        <v>21.51672599184278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22.15209540019616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23.666666666666671</v>
      </c>
      <c r="L151" s="56">
        <v>23.933333333333341</v>
      </c>
      <c r="M151" s="56">
        <v>22.06666666666667</v>
      </c>
      <c r="N151" s="56">
        <v>23.266666666666669</v>
      </c>
      <c r="O151" s="56">
        <v>23.933333333333341</v>
      </c>
      <c r="P151" s="56">
        <v>23</v>
      </c>
      <c r="Q151" s="56">
        <v>22.06666666666667</v>
      </c>
      <c r="R151" s="56">
        <v>22.4</v>
      </c>
      <c r="S151" s="56">
        <v>22.466666666666669</v>
      </c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9</v>
      </c>
      <c r="AQ151" s="71" t="str">
        <f t="shared" si="7"/>
        <v/>
      </c>
      <c r="AR151" s="71">
        <f>IFERROR(VLOOKUP(A151,Climatologia_TMED!A:U,9+$E$2,FALSE),"")</f>
        <v>21.245281015509999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21.5141724872101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28.439637613730319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19.5</v>
      </c>
      <c r="L154" s="56">
        <v>19.600000000000001</v>
      </c>
      <c r="M154" s="56">
        <v>19.05</v>
      </c>
      <c r="N154" s="56">
        <v>20.350000000000001</v>
      </c>
      <c r="O154" s="56">
        <v>21.15</v>
      </c>
      <c r="P154" s="56">
        <v>20.25</v>
      </c>
      <c r="Q154" s="56">
        <v>20.25</v>
      </c>
      <c r="R154" s="56">
        <v>20.149999999999999</v>
      </c>
      <c r="S154" s="56">
        <v>20.55</v>
      </c>
      <c r="T154" s="56">
        <v>18.899999999999999</v>
      </c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10</v>
      </c>
      <c r="AQ154" s="71" t="str">
        <f t="shared" si="7"/>
        <v/>
      </c>
      <c r="AR154" s="71">
        <f>IFERROR(VLOOKUP(A154,Climatologia_TMED!A:U,9+$E$2,FALSE),"")</f>
        <v>19.26545544432085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27.266666666666669</v>
      </c>
      <c r="L155" s="56">
        <v>26.4</v>
      </c>
      <c r="M155" s="56">
        <v>26.466666666666669</v>
      </c>
      <c r="N155" s="56">
        <v>28.266666666666669</v>
      </c>
      <c r="O155" s="56">
        <v>29.666666666666671</v>
      </c>
      <c r="P155" s="56">
        <v>27.333333333333329</v>
      </c>
      <c r="Q155" s="56">
        <v>28.06666666666667</v>
      </c>
      <c r="R155" s="56">
        <v>28.666666666666671</v>
      </c>
      <c r="S155" s="56">
        <v>27.466666666666669</v>
      </c>
      <c r="T155" s="56">
        <v>26.8</v>
      </c>
      <c r="U155" s="56">
        <v>28.466666666666669</v>
      </c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11</v>
      </c>
      <c r="AQ155" s="71" t="str">
        <f t="shared" si="7"/>
        <v/>
      </c>
      <c r="AR155" s="71">
        <f>IFERROR(VLOOKUP(A155,Climatologia_TMED!A:U,9+$E$2,FALSE),"")</f>
        <v>27.327364142600121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23.877657679608699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27.333333333333329</v>
      </c>
      <c r="L157" s="56"/>
      <c r="M157" s="56">
        <v>27.733333333333331</v>
      </c>
      <c r="N157" s="56"/>
      <c r="O157" s="56">
        <v>28.86666666666666</v>
      </c>
      <c r="P157" s="56">
        <v>28.133333333333329</v>
      </c>
      <c r="Q157" s="56"/>
      <c r="R157" s="56"/>
      <c r="S157" s="56">
        <v>27.333333333333329</v>
      </c>
      <c r="T157" s="56">
        <v>27.4</v>
      </c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6</v>
      </c>
      <c r="AQ157" s="71" t="str">
        <f t="shared" si="7"/>
        <v/>
      </c>
      <c r="AR157" s="71">
        <f>IFERROR(VLOOKUP(A157,Climatologia_TMED!A:U,9+$E$2,FALSE),"")</f>
        <v>26.98420492870563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</v>
      </c>
      <c r="L158" s="56">
        <v>28.86666666666666</v>
      </c>
      <c r="M158" s="56">
        <v>28</v>
      </c>
      <c r="N158" s="56">
        <v>30.06666666666667</v>
      </c>
      <c r="O158" s="56">
        <v>31</v>
      </c>
      <c r="P158" s="56">
        <v>30</v>
      </c>
      <c r="Q158" s="56">
        <v>30.6</v>
      </c>
      <c r="R158" s="56"/>
      <c r="S158" s="56"/>
      <c r="T158" s="56"/>
      <c r="U158" s="56">
        <v>29.86666666666666</v>
      </c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8</v>
      </c>
      <c r="AQ158" s="71" t="str">
        <f t="shared" si="7"/>
        <v/>
      </c>
      <c r="AR158" s="71">
        <f>IFERROR(VLOOKUP(A158,Climatologia_TMED!A:U,9+$E$2,FALSE),"")</f>
        <v>27.282952445666279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21.733333333333331</v>
      </c>
      <c r="L159" s="56">
        <v>20.266666666666669</v>
      </c>
      <c r="M159" s="56">
        <v>20.93333333333333</v>
      </c>
      <c r="N159" s="56">
        <v>21.06666666666667</v>
      </c>
      <c r="O159" s="56">
        <v>21.06666666666667</v>
      </c>
      <c r="P159" s="56">
        <v>20.866666666666671</v>
      </c>
      <c r="Q159" s="56">
        <v>20.466666666666669</v>
      </c>
      <c r="R159" s="56">
        <v>19.600000000000001</v>
      </c>
      <c r="S159" s="56">
        <v>19.93333333333333</v>
      </c>
      <c r="T159" s="56">
        <v>19.8</v>
      </c>
      <c r="U159" s="56">
        <v>20.399999999999999</v>
      </c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11</v>
      </c>
      <c r="AQ159" s="71" t="str">
        <f t="shared" si="7"/>
        <v/>
      </c>
      <c r="AR159" s="71">
        <f>IFERROR(VLOOKUP(A159,Climatologia_TMED!A:U,9+$E$2,FALSE),"")</f>
        <v>18.50720835851228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28.13333333333334</v>
      </c>
      <c r="L160" s="56">
        <v>27.733333333333331</v>
      </c>
      <c r="M160" s="56">
        <v>26</v>
      </c>
      <c r="N160" s="56">
        <v>28.4</v>
      </c>
      <c r="O160" s="56">
        <v>28.13333333333334</v>
      </c>
      <c r="P160" s="56">
        <v>26.733333333333331</v>
      </c>
      <c r="Q160" s="56">
        <v>27.533333333333331</v>
      </c>
      <c r="R160" s="56">
        <v>27.666666666666671</v>
      </c>
      <c r="S160" s="56">
        <v>27.066666666666659</v>
      </c>
      <c r="T160" s="56">
        <v>26.533333333333331</v>
      </c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10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17.144719156195411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28.4</v>
      </c>
      <c r="L162" s="56">
        <v>27.8</v>
      </c>
      <c r="M162" s="56">
        <v>27.266666666666669</v>
      </c>
      <c r="N162" s="56">
        <v>28.733333333333331</v>
      </c>
      <c r="O162" s="56">
        <v>29.13333333333334</v>
      </c>
      <c r="P162" s="56">
        <v>27.86666666666666</v>
      </c>
      <c r="Q162" s="56">
        <v>28.6</v>
      </c>
      <c r="R162" s="56">
        <v>29.13333333333334</v>
      </c>
      <c r="S162" s="56">
        <v>28.333333333333329</v>
      </c>
      <c r="T162" s="56">
        <v>28</v>
      </c>
      <c r="U162" s="56">
        <v>29</v>
      </c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11</v>
      </c>
      <c r="AQ162" s="71" t="str">
        <f t="shared" si="7"/>
        <v/>
      </c>
      <c r="AR162" s="71">
        <f>IFERROR(VLOOKUP(A162,Climatologia_TMED!A:U,9+$E$2,FALSE),"")</f>
        <v>27.840201618906349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20.666666666666671</v>
      </c>
      <c r="L163" s="56">
        <v>20.6</v>
      </c>
      <c r="M163" s="56">
        <v>21.266666666666669</v>
      </c>
      <c r="N163" s="56">
        <v>21.733333333333331</v>
      </c>
      <c r="O163" s="56">
        <v>21.86666666666666</v>
      </c>
      <c r="P163" s="56">
        <v>21.733333333333331</v>
      </c>
      <c r="Q163" s="56">
        <v>21.4</v>
      </c>
      <c r="R163" s="56">
        <v>21</v>
      </c>
      <c r="S163" s="56">
        <v>20.8</v>
      </c>
      <c r="T163" s="56">
        <v>21.466666666666669</v>
      </c>
      <c r="U163" s="56">
        <v>21.93333333333333</v>
      </c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11</v>
      </c>
      <c r="AQ163" s="71" t="str">
        <f t="shared" si="7"/>
        <v/>
      </c>
      <c r="AR163" s="71">
        <f>IFERROR(VLOOKUP(A163,Climatologia_TMED!A:U,9+$E$2,FALSE),"")</f>
        <v>21.150314253896148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24.85</v>
      </c>
      <c r="L164" s="56">
        <v>25.25</v>
      </c>
      <c r="M164" s="56">
        <v>24.6</v>
      </c>
      <c r="N164" s="56">
        <v>25.35</v>
      </c>
      <c r="O164" s="56">
        <v>25.45</v>
      </c>
      <c r="P164" s="56">
        <v>26.05</v>
      </c>
      <c r="Q164" s="56">
        <v>25.4</v>
      </c>
      <c r="R164" s="56">
        <v>24.9</v>
      </c>
      <c r="S164" s="56">
        <v>24.9</v>
      </c>
      <c r="T164" s="56">
        <v>24.3</v>
      </c>
      <c r="U164" s="56">
        <v>25.1</v>
      </c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11</v>
      </c>
      <c r="AQ164" s="71" t="str">
        <f t="shared" si="7"/>
        <v/>
      </c>
      <c r="AR164" s="71">
        <f>IFERROR(VLOOKUP(A164,Climatologia_TMED!A:U,9+$E$2,FALSE),"")</f>
        <v>23.812330659664671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19.065929567791962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16.333333333333329</v>
      </c>
      <c r="L166" s="56">
        <v>15.4</v>
      </c>
      <c r="M166" s="56">
        <v>14.46666666666667</v>
      </c>
      <c r="N166" s="56">
        <v>15.266666666666669</v>
      </c>
      <c r="O166" s="56">
        <v>15.6</v>
      </c>
      <c r="P166" s="56">
        <v>14.4</v>
      </c>
      <c r="Q166" s="56">
        <v>13.133333333333329</v>
      </c>
      <c r="R166" s="56">
        <v>13.133333333333329</v>
      </c>
      <c r="S166" s="56">
        <v>15.6</v>
      </c>
      <c r="T166" s="56">
        <v>13.733333333333331</v>
      </c>
      <c r="U166" s="56">
        <v>14.6</v>
      </c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11</v>
      </c>
      <c r="AQ166" s="71" t="str">
        <f t="shared" si="7"/>
        <v/>
      </c>
      <c r="AR166" s="71">
        <f>IFERROR(VLOOKUP(A166,Climatologia_TMED!A:U,9+$E$2,FALSE),"")</f>
        <v>13.44716277345195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20.466666666666669</v>
      </c>
      <c r="L167" s="56">
        <v>19.333333333333329</v>
      </c>
      <c r="M167" s="56">
        <v>19.2</v>
      </c>
      <c r="N167" s="56">
        <v>20.266666666666669</v>
      </c>
      <c r="O167" s="56">
        <v>21.666666666666671</v>
      </c>
      <c r="P167" s="56">
        <v>20.666666666666671</v>
      </c>
      <c r="Q167" s="56">
        <v>20.466666666666669</v>
      </c>
      <c r="R167" s="56">
        <v>19.333333333333329</v>
      </c>
      <c r="S167" s="56">
        <v>19.86666666666666</v>
      </c>
      <c r="T167" s="56">
        <v>20.133333333333329</v>
      </c>
      <c r="U167" s="56">
        <v>21</v>
      </c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11</v>
      </c>
      <c r="AQ167" s="71" t="str">
        <f t="shared" si="7"/>
        <v/>
      </c>
      <c r="AR167" s="71">
        <f>IFERROR(VLOOKUP(A167,Climatologia_TMED!A:U,9+$E$2,FALSE),"")</f>
        <v>18.685052168105109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28.1</v>
      </c>
      <c r="L168" s="56">
        <v>27.65</v>
      </c>
      <c r="M168" s="56">
        <v>27.7</v>
      </c>
      <c r="N168" s="56">
        <v>27.45</v>
      </c>
      <c r="O168" s="56">
        <v>26.9</v>
      </c>
      <c r="P168" s="56">
        <v>27.25</v>
      </c>
      <c r="Q168" s="56">
        <v>26.25</v>
      </c>
      <c r="R168" s="56">
        <v>27.05</v>
      </c>
      <c r="S168" s="56">
        <v>26.4</v>
      </c>
      <c r="T168" s="56">
        <v>26.75</v>
      </c>
      <c r="U168" s="56">
        <v>28.7</v>
      </c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11</v>
      </c>
      <c r="AQ168" s="71" t="str">
        <f t="shared" si="7"/>
        <v/>
      </c>
      <c r="AR168" s="71">
        <f>IFERROR(VLOOKUP(A168,Climatologia_TMED!A:U,9+$E$2,FALSE),"")</f>
        <v>25.68526828154393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10.85</v>
      </c>
      <c r="L169" s="56">
        <v>10.3</v>
      </c>
      <c r="M169" s="56">
        <v>9.3999999999999986</v>
      </c>
      <c r="N169" s="56">
        <v>11.55</v>
      </c>
      <c r="O169" s="56">
        <v>11.15</v>
      </c>
      <c r="P169" s="56">
        <v>11.75</v>
      </c>
      <c r="Q169" s="56">
        <v>11.55</v>
      </c>
      <c r="R169" s="56">
        <v>10.050000000000001</v>
      </c>
      <c r="S169" s="56">
        <v>10.9</v>
      </c>
      <c r="T169" s="56">
        <v>10.4</v>
      </c>
      <c r="U169" s="56">
        <v>10.3</v>
      </c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11</v>
      </c>
      <c r="AQ169" s="71" t="str">
        <f t="shared" si="7"/>
        <v/>
      </c>
      <c r="AR169" s="71">
        <f>IFERROR(VLOOKUP(A169,Climatologia_TMED!A:U,9+$E$2,FALSE),"")</f>
        <v>9.1783728479351918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26.733333333333331</v>
      </c>
      <c r="L170" s="56">
        <v>24.533333333333331</v>
      </c>
      <c r="M170" s="56">
        <v>26.333333333333329</v>
      </c>
      <c r="N170" s="56">
        <v>25.6</v>
      </c>
      <c r="O170" s="56">
        <v>27.466666666666669</v>
      </c>
      <c r="P170" s="56">
        <v>27.8</v>
      </c>
      <c r="Q170" s="56">
        <v>24.8</v>
      </c>
      <c r="R170" s="56">
        <v>26.866666666666671</v>
      </c>
      <c r="S170" s="56">
        <v>26.13333333333334</v>
      </c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9</v>
      </c>
      <c r="AQ170" s="71" t="str">
        <f t="shared" si="7"/>
        <v/>
      </c>
      <c r="AR170" s="71">
        <f>IFERROR(VLOOKUP(A170,Climatologia_TMED!A:U,9+$E$2,FALSE),"")</f>
        <v>25.172318057027329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19.06666666666667</v>
      </c>
      <c r="L171" s="56">
        <v>17.93333333333333</v>
      </c>
      <c r="M171" s="56">
        <v>19.399999999999999</v>
      </c>
      <c r="N171" s="56">
        <v>20.533333333333331</v>
      </c>
      <c r="O171" s="56">
        <v>20.8</v>
      </c>
      <c r="P171" s="56">
        <v>19.2</v>
      </c>
      <c r="Q171" s="56">
        <v>16.2</v>
      </c>
      <c r="R171" s="56">
        <v>17.466666666666669</v>
      </c>
      <c r="S171" s="56">
        <v>17.733333333333331</v>
      </c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9</v>
      </c>
      <c r="AQ171" s="71" t="str">
        <f t="shared" si="7"/>
        <v/>
      </c>
      <c r="AR171" s="71">
        <f>IFERROR(VLOOKUP(A171,Climatologia_TMED!A:U,9+$E$2,FALSE),"")</f>
        <v>18.15503279216766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25.95</v>
      </c>
      <c r="L172" s="56">
        <v>24.6</v>
      </c>
      <c r="M172" s="56">
        <v>25</v>
      </c>
      <c r="N172" s="56">
        <v>25.95</v>
      </c>
      <c r="O172" s="56">
        <v>25.75</v>
      </c>
      <c r="P172" s="56">
        <v>25</v>
      </c>
      <c r="Q172" s="56">
        <v>24.9</v>
      </c>
      <c r="R172" s="56">
        <v>24.7</v>
      </c>
      <c r="S172" s="56">
        <v>25.55</v>
      </c>
      <c r="T172" s="56">
        <v>23.95</v>
      </c>
      <c r="U172" s="56">
        <v>25.3</v>
      </c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11</v>
      </c>
      <c r="AQ172" s="71" t="str">
        <f t="shared" si="7"/>
        <v/>
      </c>
      <c r="AR172" s="71">
        <f>IFERROR(VLOOKUP(A172,Climatologia_TMED!A:U,9+$E$2,FALSE),"")</f>
        <v>24.050262637051691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</v>
      </c>
      <c r="L173" s="56">
        <v>22.45</v>
      </c>
      <c r="M173" s="56">
        <v>23.6</v>
      </c>
      <c r="N173" s="56">
        <v>23.1</v>
      </c>
      <c r="O173" s="56">
        <v>24.65</v>
      </c>
      <c r="P173" s="56">
        <v>23.85</v>
      </c>
      <c r="Q173" s="56">
        <v>24.3</v>
      </c>
      <c r="R173" s="56">
        <v>23.25</v>
      </c>
      <c r="S173" s="56">
        <v>24.95</v>
      </c>
      <c r="T173" s="56">
        <v>22.35</v>
      </c>
      <c r="U173" s="56">
        <v>23.75</v>
      </c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11</v>
      </c>
      <c r="AQ173" s="71" t="str">
        <f t="shared" si="7"/>
        <v/>
      </c>
      <c r="AR173" s="71">
        <f>IFERROR(VLOOKUP(A173,Climatologia_TMED!A:U,9+$E$2,FALSE),"")</f>
        <v>23.497853229879439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11.822213153512321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24.4</v>
      </c>
      <c r="L175" s="56">
        <v>24.333333333333329</v>
      </c>
      <c r="M175" s="56">
        <v>23.733333333333331</v>
      </c>
      <c r="N175" s="56">
        <v>24.733333333333331</v>
      </c>
      <c r="O175" s="56">
        <v>24.333333333333329</v>
      </c>
      <c r="P175" s="56">
        <v>23.333333333333329</v>
      </c>
      <c r="Q175" s="56">
        <v>24.666666666666671</v>
      </c>
      <c r="R175" s="56">
        <v>22.13333333333334</v>
      </c>
      <c r="S175" s="56">
        <v>24.6</v>
      </c>
      <c r="T175" s="56">
        <v>23</v>
      </c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10</v>
      </c>
      <c r="AQ175" s="71" t="str">
        <f t="shared" si="7"/>
        <v/>
      </c>
      <c r="AR175" s="71">
        <f>IFERROR(VLOOKUP(A175,Climatologia_TMED!A:U,9+$E$2,FALSE),"")</f>
        <v>23.1422602484216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22.557266090755959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18.720496714456381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23.8</v>
      </c>
      <c r="M178" s="56">
        <v>23.86666666666666</v>
      </c>
      <c r="N178" s="56">
        <v>24.533333333333331</v>
      </c>
      <c r="O178" s="56">
        <v>21.733333333333331</v>
      </c>
      <c r="P178" s="56">
        <v>24.266666666666669</v>
      </c>
      <c r="Q178" s="56">
        <v>25.2</v>
      </c>
      <c r="R178" s="56">
        <v>24.13333333333334</v>
      </c>
      <c r="S178" s="56">
        <v>25.533333333333331</v>
      </c>
      <c r="T178" s="56">
        <v>25.4</v>
      </c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10</v>
      </c>
      <c r="AQ178" s="71" t="str">
        <f t="shared" si="7"/>
        <v/>
      </c>
      <c r="AR178" s="71">
        <f>IFERROR(VLOOKUP(A178,Climatologia_TMED!A:U,9+$E$2,FALSE),"")</f>
        <v>23.856486653552508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18.3</v>
      </c>
      <c r="L179" s="56">
        <v>17.55</v>
      </c>
      <c r="M179" s="56">
        <v>16</v>
      </c>
      <c r="N179" s="56">
        <v>18.55</v>
      </c>
      <c r="O179" s="56">
        <v>18.55</v>
      </c>
      <c r="P179" s="56">
        <v>17.350000000000001</v>
      </c>
      <c r="Q179" s="56">
        <v>17.850000000000001</v>
      </c>
      <c r="R179" s="56">
        <v>18.25</v>
      </c>
      <c r="S179" s="56">
        <v>18.850000000000001</v>
      </c>
      <c r="T179" s="56">
        <v>17.3</v>
      </c>
      <c r="U179" s="56">
        <v>18.399999999999999</v>
      </c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11</v>
      </c>
      <c r="AQ179" s="71" t="str">
        <f t="shared" si="7"/>
        <v/>
      </c>
      <c r="AR179" s="71">
        <f>IFERROR(VLOOKUP(A179,Climatologia_TMED!A:U,9+$E$2,FALSE),"")</f>
        <v>16.764946858821169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15.2649193548387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28.733333333333331</v>
      </c>
      <c r="L181" s="56">
        <v>28.266666666666669</v>
      </c>
      <c r="M181" s="56">
        <v>28.733333333333331</v>
      </c>
      <c r="N181" s="56">
        <v>29.266666666666669</v>
      </c>
      <c r="O181" s="56">
        <v>31.333333333333329</v>
      </c>
      <c r="P181" s="56">
        <v>30.733333333333331</v>
      </c>
      <c r="Q181" s="56">
        <v>28.4</v>
      </c>
      <c r="R181" s="56">
        <v>29.4</v>
      </c>
      <c r="S181" s="56">
        <v>27.866666666666671</v>
      </c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9</v>
      </c>
      <c r="AQ181" s="71" t="str">
        <f t="shared" si="7"/>
        <v/>
      </c>
      <c r="AR181" s="71">
        <f>IFERROR(VLOOKUP(A181,Climatologia_TMED!A:U,9+$E$2,FALSE),"")</f>
        <v>28.166902300402729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28.10239113050358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27.976983870967722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27.13333333333334</v>
      </c>
      <c r="L184" s="56">
        <v>27.466666666666669</v>
      </c>
      <c r="M184" s="56">
        <v>26.466666666666669</v>
      </c>
      <c r="N184" s="56">
        <v>28.86666666666666</v>
      </c>
      <c r="O184" s="56">
        <v>28.733333333333331</v>
      </c>
      <c r="P184" s="56">
        <v>29.13333333333334</v>
      </c>
      <c r="Q184" s="56">
        <v>26.266666666666669</v>
      </c>
      <c r="R184" s="56">
        <v>26.466666666666669</v>
      </c>
      <c r="S184" s="56">
        <v>27.13333333333334</v>
      </c>
      <c r="T184" s="56">
        <v>25.533333333333331</v>
      </c>
      <c r="U184" s="56">
        <v>27.666666666666671</v>
      </c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11</v>
      </c>
      <c r="AQ184" s="71" t="str">
        <f t="shared" si="7"/>
        <v/>
      </c>
      <c r="AR184" s="71">
        <f>IFERROR(VLOOKUP(A184,Climatologia_TMED!A:U,9+$E$2,FALSE),"")</f>
        <v>26.16601419906257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27.6</v>
      </c>
      <c r="M185" s="56">
        <v>26.333333333333329</v>
      </c>
      <c r="N185" s="56"/>
      <c r="O185" s="56">
        <v>29.533333333333331</v>
      </c>
      <c r="P185" s="56">
        <v>29.2</v>
      </c>
      <c r="Q185" s="56">
        <v>26.06666666666667</v>
      </c>
      <c r="R185" s="56">
        <v>26</v>
      </c>
      <c r="S185" s="56">
        <v>26.6</v>
      </c>
      <c r="T185" s="56">
        <v>25</v>
      </c>
      <c r="U185" s="56">
        <v>28.2</v>
      </c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10</v>
      </c>
      <c r="AQ185" s="71" t="str">
        <f t="shared" si="7"/>
        <v/>
      </c>
      <c r="AR185" s="71">
        <f>IFERROR(VLOOKUP(A185,Climatologia_TMED!A:U,9+$E$2,FALSE),"")</f>
        <v>27.314008040702969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28.176192062942871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24.93341060609438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16.466666666666669</v>
      </c>
      <c r="M188" s="56">
        <v>17.266666666666669</v>
      </c>
      <c r="N188" s="56">
        <v>17.399999999999999</v>
      </c>
      <c r="O188" s="56">
        <v>18.06666666666667</v>
      </c>
      <c r="P188" s="56">
        <v>17.2</v>
      </c>
      <c r="Q188" s="56">
        <v>16.133333333333329</v>
      </c>
      <c r="R188" s="56">
        <v>17.06666666666667</v>
      </c>
      <c r="S188" s="56">
        <v>17.333333333333329</v>
      </c>
      <c r="T188" s="56">
        <v>15.8</v>
      </c>
      <c r="U188" s="56">
        <v>16.266666666666669</v>
      </c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11</v>
      </c>
      <c r="AQ188" s="71" t="str">
        <f t="shared" si="7"/>
        <v/>
      </c>
      <c r="AR188" s="71">
        <f>IFERROR(VLOOKUP(A188,Climatologia_TMED!A:U,9+$E$2,FALSE),"")</f>
        <v>15.632681192521719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28.733333333333331</v>
      </c>
      <c r="L189" s="56">
        <v>27.6</v>
      </c>
      <c r="M189" s="56">
        <v>28.533333333333331</v>
      </c>
      <c r="N189" s="56"/>
      <c r="O189" s="56">
        <v>31.13333333333334</v>
      </c>
      <c r="P189" s="56"/>
      <c r="Q189" s="56"/>
      <c r="R189" s="56">
        <v>29.06666666666667</v>
      </c>
      <c r="S189" s="56">
        <v>28</v>
      </c>
      <c r="T189" s="56"/>
      <c r="U189" s="56">
        <v>30</v>
      </c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7</v>
      </c>
      <c r="AQ189" s="71" t="str">
        <f t="shared" si="7"/>
        <v/>
      </c>
      <c r="AR189" s="71">
        <f>IFERROR(VLOOKUP(A189,Climatologia_TMED!A:U,9+$E$2,FALSE),"")</f>
        <v>28.14153599027232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28.13333333333334</v>
      </c>
      <c r="L190" s="56">
        <v>27.8</v>
      </c>
      <c r="M190" s="56">
        <v>26.93333333333333</v>
      </c>
      <c r="N190" s="56">
        <v>28.666666666666671</v>
      </c>
      <c r="O190" s="56">
        <v>29.4</v>
      </c>
      <c r="P190" s="56">
        <v>27.666666666666671</v>
      </c>
      <c r="Q190" s="56">
        <v>26.666666666666671</v>
      </c>
      <c r="R190" s="56">
        <v>28</v>
      </c>
      <c r="S190" s="56">
        <v>27.333333333333329</v>
      </c>
      <c r="T190" s="56">
        <v>27</v>
      </c>
      <c r="U190" s="56">
        <v>29.066666666666659</v>
      </c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11</v>
      </c>
      <c r="AQ190" s="71" t="str">
        <f t="shared" si="7"/>
        <v/>
      </c>
      <c r="AR190" s="71">
        <f>IFERROR(VLOOKUP(A190,Climatologia_TMED!A:U,9+$E$2,FALSE),"")</f>
        <v>28.021983889303101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18.75</v>
      </c>
      <c r="L191" s="56">
        <v>17.649999999999999</v>
      </c>
      <c r="M191" s="56">
        <v>17.7</v>
      </c>
      <c r="N191" s="56">
        <v>18.600000000000001</v>
      </c>
      <c r="O191" s="56">
        <v>19.2</v>
      </c>
      <c r="P191" s="56">
        <v>18.649999999999999</v>
      </c>
      <c r="Q191" s="56">
        <v>17.75</v>
      </c>
      <c r="R191" s="56">
        <v>18.55</v>
      </c>
      <c r="S191" s="56">
        <v>18.7</v>
      </c>
      <c r="T191" s="56">
        <v>17.5</v>
      </c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10</v>
      </c>
      <c r="AQ191" s="71" t="str">
        <f t="shared" si="7"/>
        <v/>
      </c>
      <c r="AR191" s="71">
        <f>IFERROR(VLOOKUP(A191,Climatologia_TMED!A:U,9+$E$2,FALSE),"")</f>
        <v>17.031723004984951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25.533333333333331</v>
      </c>
      <c r="L192" s="56">
        <v>25.266666666666669</v>
      </c>
      <c r="M192" s="56">
        <v>24.333333333333329</v>
      </c>
      <c r="N192" s="56">
        <v>26.266666666666669</v>
      </c>
      <c r="O192" s="56">
        <v>26.6</v>
      </c>
      <c r="P192" s="56">
        <v>25.466666666666669</v>
      </c>
      <c r="Q192" s="56">
        <v>25.266666666666669</v>
      </c>
      <c r="R192" s="56">
        <v>24.6</v>
      </c>
      <c r="S192" s="56">
        <v>24.466666666666669</v>
      </c>
      <c r="T192" s="56">
        <v>24.8</v>
      </c>
      <c r="U192" s="56">
        <v>25.86666666666666</v>
      </c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11</v>
      </c>
      <c r="AQ192" s="71" t="str">
        <f t="shared" si="7"/>
        <v/>
      </c>
      <c r="AR192" s="71">
        <f>IFERROR(VLOOKUP(A192,Climatologia_TMED!A:U,9+$E$2,FALSE),"")</f>
        <v>24.47218981595962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26.7</v>
      </c>
      <c r="L193" s="56">
        <v>24.85</v>
      </c>
      <c r="M193" s="56"/>
      <c r="N193" s="56"/>
      <c r="O193" s="56"/>
      <c r="P193" s="56">
        <v>28.05</v>
      </c>
      <c r="Q193" s="56">
        <v>24.65</v>
      </c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4</v>
      </c>
      <c r="AQ193" s="71" t="str">
        <f t="shared" si="7"/>
        <v/>
      </c>
      <c r="AR193" s="71">
        <f>IFERROR(VLOOKUP(A193,Climatologia_TMED!A:U,9+$E$2,FALSE),"")</f>
        <v>25.911317793433021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20.466666666666669</v>
      </c>
      <c r="L194" s="56">
        <v>19.666666666666671</v>
      </c>
      <c r="M194" s="56">
        <v>20.666666666666671</v>
      </c>
      <c r="N194" s="56">
        <v>22.466666666666669</v>
      </c>
      <c r="O194" s="56">
        <v>21.733333333333331</v>
      </c>
      <c r="P194" s="56">
        <v>21.06666666666667</v>
      </c>
      <c r="Q194" s="56">
        <v>22.133333333333329</v>
      </c>
      <c r="R194" s="56">
        <v>21.13333333333334</v>
      </c>
      <c r="S194" s="56">
        <v>21.733333333333331</v>
      </c>
      <c r="T194" s="56">
        <v>19.666666666666671</v>
      </c>
      <c r="U194" s="56">
        <v>21.666666666666671</v>
      </c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11</v>
      </c>
      <c r="AQ194" s="71" t="str">
        <f t="shared" si="7"/>
        <v/>
      </c>
      <c r="AR194" s="71">
        <f>IFERROR(VLOOKUP(A194,Climatologia_TMED!A:U,9+$E$2,FALSE),"")</f>
        <v>21.212110372187279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25.4</v>
      </c>
      <c r="L195" s="56">
        <v>24.466666666666669</v>
      </c>
      <c r="M195" s="56">
        <v>23.733333333333331</v>
      </c>
      <c r="N195" s="56">
        <v>26.333333333333329</v>
      </c>
      <c r="O195" s="56">
        <v>27.266666666666669</v>
      </c>
      <c r="P195" s="56">
        <v>24.466666666666669</v>
      </c>
      <c r="Q195" s="56">
        <v>24.93333333333333</v>
      </c>
      <c r="R195" s="56">
        <v>25.8</v>
      </c>
      <c r="S195" s="56">
        <v>26.2</v>
      </c>
      <c r="T195" s="56">
        <v>25.466666666666669</v>
      </c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10</v>
      </c>
      <c r="AQ195" s="71" t="str">
        <f t="shared" si="7"/>
        <v/>
      </c>
      <c r="AR195" s="71">
        <f>IFERROR(VLOOKUP(A195,Climatologia_TMED!A:U,9+$E$2,FALSE),"")</f>
        <v>24.663820600570912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20.766666666666669</v>
      </c>
      <c r="L196" s="56">
        <v>19.600000000000001</v>
      </c>
      <c r="M196" s="56">
        <v>19.733333333333331</v>
      </c>
      <c r="N196" s="56">
        <v>19.8</v>
      </c>
      <c r="O196" s="56">
        <v>21.6</v>
      </c>
      <c r="P196" s="56">
        <v>20</v>
      </c>
      <c r="Q196" s="56">
        <v>20.733333333333331</v>
      </c>
      <c r="R196" s="56">
        <v>20.866666666666671</v>
      </c>
      <c r="S196" s="56">
        <v>20.8</v>
      </c>
      <c r="T196" s="56">
        <v>20.399999999999999</v>
      </c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10</v>
      </c>
      <c r="AQ196" s="71" t="str">
        <f t="shared" si="7"/>
        <v/>
      </c>
      <c r="AR196" s="71">
        <f>IFERROR(VLOOKUP(A196,Climatologia_TMED!A:U,9+$E$2,FALSE),"")</f>
        <v>19.30020530053967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</v>
      </c>
      <c r="L197" s="56">
        <v>24.13333333333334</v>
      </c>
      <c r="M197" s="56">
        <v>25.133333333333329</v>
      </c>
      <c r="N197" s="56">
        <v>26</v>
      </c>
      <c r="O197" s="56">
        <v>27.86666666666666</v>
      </c>
      <c r="P197" s="56">
        <v>27.13333333333334</v>
      </c>
      <c r="Q197" s="56">
        <v>25</v>
      </c>
      <c r="R197" s="56">
        <v>25.06666666666667</v>
      </c>
      <c r="S197" s="56">
        <v>27.13333333333334</v>
      </c>
      <c r="T197" s="56">
        <v>24.333333333333329</v>
      </c>
      <c r="U197" s="56">
        <v>25.533333333333331</v>
      </c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11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24.067391244533901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22.1</v>
      </c>
      <c r="L198" s="56">
        <v>21</v>
      </c>
      <c r="M198" s="56">
        <v>22.2</v>
      </c>
      <c r="N198" s="56">
        <v>22.35</v>
      </c>
      <c r="O198" s="56">
        <v>24.4</v>
      </c>
      <c r="P198" s="56">
        <v>23.25</v>
      </c>
      <c r="Q198" s="56">
        <v>21.55</v>
      </c>
      <c r="R198" s="56">
        <v>20.6</v>
      </c>
      <c r="S198" s="56">
        <v>21.7</v>
      </c>
      <c r="T198" s="56">
        <v>20.05</v>
      </c>
      <c r="U198" s="56">
        <v>21.95</v>
      </c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11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16.533333333333331</v>
      </c>
      <c r="L199" s="56">
        <v>16.666666666666671</v>
      </c>
      <c r="M199" s="56">
        <v>16.8</v>
      </c>
      <c r="N199" s="56">
        <v>17.06666666666667</v>
      </c>
      <c r="O199" s="56">
        <v>17.600000000000001</v>
      </c>
      <c r="P199" s="56">
        <v>17.533333333333331</v>
      </c>
      <c r="Q199" s="56">
        <v>16.533333333333331</v>
      </c>
      <c r="R199" s="56">
        <v>16.533333333333331</v>
      </c>
      <c r="S199" s="56">
        <v>17.399999999999999</v>
      </c>
      <c r="T199" s="56">
        <v>15.46666666666667</v>
      </c>
      <c r="U199" s="56">
        <v>15.66666666666667</v>
      </c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11</v>
      </c>
      <c r="AQ199" s="71" t="str">
        <f t="shared" si="10"/>
        <v/>
      </c>
      <c r="AR199" s="71">
        <f>IFERROR(VLOOKUP(A199,Climatologia_TMED!A:U,9+$E$2,FALSE),"")</f>
        <v>15.991572822061141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</v>
      </c>
      <c r="L200" s="56">
        <v>15.85</v>
      </c>
      <c r="M200" s="56">
        <v>14.4</v>
      </c>
      <c r="N200" s="56">
        <v>15.15</v>
      </c>
      <c r="O200" s="56"/>
      <c r="P200" s="56">
        <v>15.45</v>
      </c>
      <c r="Q200" s="56">
        <v>14.25</v>
      </c>
      <c r="R200" s="56">
        <v>14.25</v>
      </c>
      <c r="S200" s="56">
        <v>16.100000000000001</v>
      </c>
      <c r="T200" s="56">
        <v>14.2</v>
      </c>
      <c r="U200" s="56">
        <v>15.95</v>
      </c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10</v>
      </c>
      <c r="AQ200" s="71" t="str">
        <f t="shared" si="10"/>
        <v/>
      </c>
      <c r="AR200" s="71">
        <f>IFERROR(VLOOKUP(A200,Climatologia_TMED!A:U,9+$E$2,FALSE),"")</f>
        <v>13.379643694033749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26.35</v>
      </c>
      <c r="L201" s="56">
        <v>25.05</v>
      </c>
      <c r="M201" s="56">
        <v>26.6</v>
      </c>
      <c r="N201" s="56">
        <v>26.75</v>
      </c>
      <c r="O201" s="56">
        <v>28.35</v>
      </c>
      <c r="P201" s="56">
        <v>28.55</v>
      </c>
      <c r="Q201" s="56">
        <v>26.2</v>
      </c>
      <c r="R201" s="56">
        <v>26.15</v>
      </c>
      <c r="S201" s="56">
        <v>27.45</v>
      </c>
      <c r="T201" s="56">
        <v>24.2</v>
      </c>
      <c r="U201" s="56">
        <v>27.4</v>
      </c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11</v>
      </c>
      <c r="AQ201" s="71" t="str">
        <f t="shared" si="10"/>
        <v/>
      </c>
      <c r="AR201" s="71">
        <f>IFERROR(VLOOKUP(A201,Climatologia_TMED!A:U,9+$E$2,FALSE),"")</f>
        <v>25.410236323068471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15</v>
      </c>
      <c r="L202" s="56">
        <v>13.5</v>
      </c>
      <c r="M202" s="56">
        <v>13.5</v>
      </c>
      <c r="N202" s="56">
        <v>13.5</v>
      </c>
      <c r="O202" s="56">
        <v>14.85</v>
      </c>
      <c r="P202" s="56">
        <v>14.75</v>
      </c>
      <c r="Q202" s="56">
        <v>13.5</v>
      </c>
      <c r="R202" s="56">
        <v>13.8</v>
      </c>
      <c r="S202" s="56">
        <v>13.15</v>
      </c>
      <c r="T202" s="56">
        <v>14.15</v>
      </c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10</v>
      </c>
      <c r="AQ202" s="71" t="str">
        <f t="shared" si="10"/>
        <v/>
      </c>
      <c r="AR202" s="71">
        <f>IFERROR(VLOOKUP(A202,Climatologia_TMED!A:U,9+$E$2,FALSE),"")</f>
        <v>13.321685479663159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15.53333333333333</v>
      </c>
      <c r="L203" s="56">
        <v>14.33333333333333</v>
      </c>
      <c r="M203" s="56">
        <v>14.266666666666669</v>
      </c>
      <c r="N203" s="56">
        <v>15.53333333333333</v>
      </c>
      <c r="O203" s="56">
        <v>15.46666666666667</v>
      </c>
      <c r="P203" s="56">
        <v>15.133333333333329</v>
      </c>
      <c r="Q203" s="56">
        <v>13.66666666666667</v>
      </c>
      <c r="R203" s="56">
        <v>14.066666666666659</v>
      </c>
      <c r="S203" s="56">
        <v>14.933333333333341</v>
      </c>
      <c r="T203" s="56">
        <v>15</v>
      </c>
      <c r="U203" s="56">
        <v>14.133333333333329</v>
      </c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11</v>
      </c>
      <c r="AQ203" s="71" t="str">
        <f t="shared" si="10"/>
        <v/>
      </c>
      <c r="AR203" s="71">
        <f>IFERROR(VLOOKUP(A203,Climatologia_TMED!A:U,9+$E$2,FALSE),"")</f>
        <v>12.34760616022419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12.743373324088489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14.95</v>
      </c>
      <c r="L205" s="56">
        <v>14.65</v>
      </c>
      <c r="M205" s="56">
        <v>15.8</v>
      </c>
      <c r="N205" s="56">
        <v>14.85</v>
      </c>
      <c r="O205" s="56">
        <v>16.600000000000001</v>
      </c>
      <c r="P205" s="56">
        <v>15.45</v>
      </c>
      <c r="Q205" s="56">
        <v>15.4</v>
      </c>
      <c r="R205" s="56">
        <v>15.85</v>
      </c>
      <c r="S205" s="56">
        <v>15.85</v>
      </c>
      <c r="T205" s="56">
        <v>14.5</v>
      </c>
      <c r="U205" s="56">
        <v>17.399999999999999</v>
      </c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11</v>
      </c>
      <c r="AQ205" s="71" t="str">
        <f t="shared" si="10"/>
        <v/>
      </c>
      <c r="AR205" s="71">
        <f>IFERROR(VLOOKUP(A205,Climatologia_TMED!A:U,9+$E$2,FALSE),"")</f>
        <v>14.246549125350921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14.35</v>
      </c>
      <c r="L206" s="56">
        <v>13.8</v>
      </c>
      <c r="M206" s="56">
        <v>13.35</v>
      </c>
      <c r="N206" s="56">
        <v>13.6</v>
      </c>
      <c r="O206" s="56"/>
      <c r="P206" s="56">
        <v>13.9</v>
      </c>
      <c r="Q206" s="56">
        <v>15.15</v>
      </c>
      <c r="R206" s="56">
        <v>13.95</v>
      </c>
      <c r="S206" s="56">
        <v>13.5</v>
      </c>
      <c r="T206" s="56">
        <v>15.15</v>
      </c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9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16.600000000000001</v>
      </c>
      <c r="L207" s="56">
        <v>15</v>
      </c>
      <c r="M207" s="56"/>
      <c r="N207" s="56"/>
      <c r="O207" s="56">
        <v>16.733333333333331</v>
      </c>
      <c r="P207" s="56">
        <v>16</v>
      </c>
      <c r="Q207" s="56">
        <v>14.866666666666671</v>
      </c>
      <c r="R207" s="56">
        <v>13.93333333333333</v>
      </c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6</v>
      </c>
      <c r="AQ207" s="71" t="str">
        <f t="shared" si="10"/>
        <v/>
      </c>
      <c r="AR207" s="71">
        <f>IFERROR(VLOOKUP(A207,Climatologia_TMED!A:U,9+$E$2,FALSE),"")</f>
        <v>13.76939164245368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16.3</v>
      </c>
      <c r="L208" s="56">
        <v>15.15</v>
      </c>
      <c r="M208" s="56">
        <v>15</v>
      </c>
      <c r="N208" s="56">
        <v>14.5</v>
      </c>
      <c r="O208" s="56">
        <v>17.399999999999999</v>
      </c>
      <c r="P208" s="56">
        <v>16.600000000000001</v>
      </c>
      <c r="Q208" s="56">
        <v>15.85</v>
      </c>
      <c r="R208" s="56"/>
      <c r="S208" s="56">
        <v>15.4</v>
      </c>
      <c r="T208" s="56">
        <v>14.95</v>
      </c>
      <c r="U208" s="56">
        <v>15.9</v>
      </c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10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</v>
      </c>
      <c r="L209" s="56">
        <v>11.4</v>
      </c>
      <c r="M209" s="56">
        <v>11.1</v>
      </c>
      <c r="N209" s="56">
        <v>10.6</v>
      </c>
      <c r="O209" s="56">
        <v>10.4</v>
      </c>
      <c r="P209" s="56">
        <v>10.9</v>
      </c>
      <c r="Q209" s="56">
        <v>11.45</v>
      </c>
      <c r="R209" s="56">
        <v>11.6</v>
      </c>
      <c r="S209" s="56">
        <v>11.2</v>
      </c>
      <c r="T209" s="56">
        <v>10.65</v>
      </c>
      <c r="U209" s="56">
        <v>10.55</v>
      </c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11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18.899999999999999</v>
      </c>
      <c r="L210" s="56">
        <v>16.05</v>
      </c>
      <c r="M210" s="56"/>
      <c r="N210" s="56"/>
      <c r="O210" s="56">
        <v>17.350000000000001</v>
      </c>
      <c r="P210" s="56">
        <v>17.649999999999999</v>
      </c>
      <c r="Q210" s="56">
        <v>17.3</v>
      </c>
      <c r="R210" s="56">
        <v>16.75</v>
      </c>
      <c r="S210" s="56">
        <v>16.899999999999999</v>
      </c>
      <c r="T210" s="56">
        <v>16.25</v>
      </c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8</v>
      </c>
      <c r="AQ210" s="71" t="str">
        <f t="shared" si="10"/>
        <v/>
      </c>
      <c r="AR210" s="71">
        <f>IFERROR(VLOOKUP(A210,Climatologia_TMED!A:U,9+$E$2,FALSE),"")</f>
        <v>14.424177791772021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10.25</v>
      </c>
      <c r="L211" s="56">
        <v>8.9</v>
      </c>
      <c r="M211" s="56">
        <v>8.3999999999999986</v>
      </c>
      <c r="N211" s="56">
        <v>9.5</v>
      </c>
      <c r="O211" s="56">
        <v>10.5</v>
      </c>
      <c r="P211" s="56">
        <v>10.199999999999999</v>
      </c>
      <c r="Q211" s="56">
        <v>9.0500000000000007</v>
      </c>
      <c r="R211" s="56">
        <v>9.6999999999999993</v>
      </c>
      <c r="S211" s="56">
        <v>10.15</v>
      </c>
      <c r="T211" s="56">
        <v>10.199999999999999</v>
      </c>
      <c r="U211" s="56">
        <v>9.25</v>
      </c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11</v>
      </c>
      <c r="AQ211" s="71" t="str">
        <f t="shared" si="10"/>
        <v/>
      </c>
      <c r="AR211" s="71">
        <f>IFERROR(VLOOKUP(A211,Climatologia_TMED!A:U,9+$E$2,FALSE),"")</f>
        <v>8.5279378065139184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29.75</v>
      </c>
      <c r="L212" s="56">
        <v>28.95</v>
      </c>
      <c r="M212" s="56">
        <v>28.65</v>
      </c>
      <c r="N212" s="56"/>
      <c r="O212" s="56"/>
      <c r="P212" s="56">
        <v>29.85</v>
      </c>
      <c r="Q212" s="56">
        <v>29.85</v>
      </c>
      <c r="R212" s="56">
        <v>28.85</v>
      </c>
      <c r="S212" s="56">
        <v>28.95</v>
      </c>
      <c r="T212" s="56">
        <v>29.2</v>
      </c>
      <c r="U212" s="56">
        <v>29.4</v>
      </c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9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2026-10-12T15:25:21Z</dcterms:modified>
</cp:coreProperties>
</file>