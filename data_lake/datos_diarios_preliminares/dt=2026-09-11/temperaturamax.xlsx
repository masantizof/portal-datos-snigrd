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8A592DB9-BDD9-4FFB-87D3-5167A96D384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Temperatura!$R$1:$R$472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/>
  <c r="AU117" i="1" a="1"/>
  <c r="AU117" i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/>
  <c r="AT113" i="1"/>
  <c r="AR113" i="1"/>
  <c r="AP113" i="1"/>
  <c r="AQ113" i="1" s="1"/>
  <c r="AS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S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S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/>
  <c r="AU98" i="1" a="1"/>
  <c r="AU98" i="1" s="1"/>
  <c r="AT98" i="1"/>
  <c r="AW98" i="1" s="1"/>
  <c r="AR98" i="1"/>
  <c r="AP98" i="1"/>
  <c r="AQ98" i="1" s="1"/>
  <c r="AV97" i="1" a="1"/>
  <c r="AV97" i="1" s="1"/>
  <c r="AU97" i="1" a="1"/>
  <c r="AU97" i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S96" i="1" s="1"/>
  <c r="AV95" i="1" a="1"/>
  <c r="AV95" i="1" s="1"/>
  <c r="AU95" i="1" a="1"/>
  <c r="AU95" i="1" s="1"/>
  <c r="AT95" i="1"/>
  <c r="AR95" i="1"/>
  <c r="AP95" i="1"/>
  <c r="AQ95" i="1" s="1"/>
  <c r="AV94" i="1" a="1"/>
  <c r="AV94" i="1"/>
  <c r="AU94" i="1" a="1"/>
  <c r="AU94" i="1"/>
  <c r="AT94" i="1"/>
  <c r="AR94" i="1"/>
  <c r="AP94" i="1"/>
  <c r="AQ94" i="1" s="1"/>
  <c r="AV93" i="1" a="1"/>
  <c r="AV93" i="1"/>
  <c r="AU93" i="1" a="1"/>
  <c r="AU93" i="1" s="1"/>
  <c r="AT93" i="1"/>
  <c r="AR93" i="1"/>
  <c r="AP93" i="1"/>
  <c r="AQ93" i="1" s="1"/>
  <c r="AV92" i="1" a="1"/>
  <c r="AV92" i="1"/>
  <c r="AU92" i="1" a="1"/>
  <c r="AU92" i="1"/>
  <c r="AT92" i="1"/>
  <c r="AR92" i="1"/>
  <c r="AP92" i="1"/>
  <c r="AQ92" i="1" s="1"/>
  <c r="AV91" i="1" a="1"/>
  <c r="AV91" i="1"/>
  <c r="AU91" i="1" a="1"/>
  <c r="AU91" i="1" s="1"/>
  <c r="AT91" i="1"/>
  <c r="AW91" i="1" s="1"/>
  <c r="AR91" i="1"/>
  <c r="AP91" i="1"/>
  <c r="AQ91" i="1" s="1"/>
  <c r="AV90" i="1" a="1"/>
  <c r="AV90" i="1" s="1"/>
  <c r="AU90" i="1" a="1"/>
  <c r="AU90" i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S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S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S81" i="1" s="1"/>
  <c r="AV80" i="1" a="1"/>
  <c r="AV80" i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S76" i="1" s="1"/>
  <c r="AV75" i="1" a="1"/>
  <c r="AV75" i="1" s="1"/>
  <c r="AU75" i="1" a="1"/>
  <c r="AU75" i="1" s="1"/>
  <c r="AT75" i="1"/>
  <c r="AR75" i="1"/>
  <c r="AP75" i="1"/>
  <c r="AQ75" i="1" s="1"/>
  <c r="AS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W72" i="1" s="1"/>
  <c r="AR72" i="1"/>
  <c r="AP72" i="1"/>
  <c r="AQ72" i="1" s="1"/>
  <c r="AS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S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S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/>
  <c r="AU58" i="1" a="1"/>
  <c r="AU58" i="1" s="1"/>
  <c r="AT58" i="1"/>
  <c r="AR58" i="1"/>
  <c r="AP58" i="1"/>
  <c r="AQ58" i="1" s="1"/>
  <c r="AV57" i="1" a="1"/>
  <c r="AV57" i="1" s="1"/>
  <c r="AU57" i="1" a="1"/>
  <c r="AU57" i="1" s="1"/>
  <c r="AW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S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/>
  <c r="AU46" i="1" a="1"/>
  <c r="AU46" i="1" s="1"/>
  <c r="AT46" i="1"/>
  <c r="AW46" i="1" s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/>
  <c r="AT32" i="1"/>
  <c r="AW32" i="1" s="1"/>
  <c r="AR32" i="1"/>
  <c r="AP32" i="1"/>
  <c r="AQ32" i="1" s="1"/>
  <c r="AV31" i="1" a="1"/>
  <c r="AV31" i="1" s="1"/>
  <c r="AU31" i="1" a="1"/>
  <c r="AU31" i="1" s="1"/>
  <c r="AT31" i="1"/>
  <c r="AW31" i="1" s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/>
  <c r="AT23" i="1"/>
  <c r="AR23" i="1"/>
  <c r="AP23" i="1"/>
  <c r="AQ23" i="1" s="1"/>
  <c r="AV22" i="1" a="1"/>
  <c r="AV22" i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/>
  <c r="AT13" i="1"/>
  <c r="AR13" i="1"/>
  <c r="AP13" i="1"/>
  <c r="AQ13" i="1" s="1"/>
  <c r="AS13" i="1" s="1"/>
  <c r="AV12" i="1" a="1"/>
  <c r="AV12" i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/>
  <c r="AT7" i="1"/>
  <c r="AR7" i="1"/>
  <c r="AP7" i="1"/>
  <c r="AQ7" i="1" s="1"/>
  <c r="AV6" i="1" a="1"/>
  <c r="AV6" i="1"/>
  <c r="AU6" i="1" a="1"/>
  <c r="AU6" i="1" s="1"/>
  <c r="AT6" i="1"/>
  <c r="AR6" i="1"/>
  <c r="AP6" i="1"/>
  <c r="AQ6" i="1" s="1"/>
  <c r="AV5" i="1" a="1"/>
  <c r="AV5" i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82" i="1" l="1"/>
  <c r="AW97" i="1"/>
  <c r="AW25" i="1"/>
  <c r="AW11" i="1"/>
  <c r="AS126" i="1"/>
  <c r="AS130" i="1"/>
  <c r="AS138" i="1"/>
  <c r="AS142" i="1"/>
  <c r="AS146" i="1"/>
  <c r="AS150" i="1"/>
  <c r="AS154" i="1"/>
  <c r="AS158" i="1"/>
  <c r="AS162" i="1"/>
  <c r="AS186" i="1"/>
  <c r="AS194" i="1"/>
  <c r="AS206" i="1"/>
  <c r="AS210" i="1"/>
  <c r="AS214" i="1"/>
  <c r="AS222" i="1"/>
  <c r="AS230" i="1"/>
  <c r="AS8" i="1"/>
  <c r="AS33" i="1"/>
  <c r="AS37" i="1"/>
  <c r="AS44" i="1"/>
  <c r="AW190" i="1"/>
  <c r="AW198" i="1"/>
  <c r="AW8" i="1"/>
  <c r="AW26" i="1"/>
  <c r="AS41" i="1"/>
  <c r="AS78" i="1"/>
  <c r="AW96" i="1"/>
  <c r="AS100" i="1"/>
  <c r="AS131" i="1"/>
  <c r="AS139" i="1"/>
  <c r="AS143" i="1"/>
  <c r="AS147" i="1"/>
  <c r="AS155" i="1"/>
  <c r="AS215" i="1"/>
  <c r="AS287" i="1"/>
  <c r="AS52" i="1"/>
  <c r="AS63" i="1"/>
  <c r="AW100" i="1"/>
  <c r="AS97" i="1"/>
  <c r="AS49" i="1"/>
  <c r="AS140" i="1"/>
  <c r="AS148" i="1"/>
  <c r="AS152" i="1"/>
  <c r="AS156" i="1"/>
  <c r="AS168" i="1"/>
  <c r="AS176" i="1"/>
  <c r="AS188" i="1"/>
  <c r="AS192" i="1"/>
  <c r="AS196" i="1"/>
  <c r="AS208" i="1"/>
  <c r="AS212" i="1"/>
  <c r="AS64" i="1"/>
  <c r="AW24" i="1"/>
  <c r="AS21" i="1"/>
  <c r="AS57" i="1"/>
  <c r="AS129" i="1"/>
  <c r="AS213" i="1"/>
  <c r="AW53" i="1"/>
  <c r="AS36" i="1"/>
  <c r="AS65" i="1"/>
  <c r="AW169" i="1"/>
  <c r="AW181" i="1"/>
  <c r="AW185" i="1"/>
  <c r="AW13" i="1"/>
  <c r="AW23" i="1"/>
  <c r="AS47" i="1"/>
  <c r="AS104" i="1"/>
  <c r="AW142" i="1"/>
  <c r="AW170" i="1"/>
  <c r="AW174" i="1"/>
  <c r="AS234" i="1"/>
  <c r="AS30" i="1"/>
  <c r="AW50" i="1"/>
  <c r="AS7" i="1"/>
  <c r="AW30" i="1"/>
  <c r="AS54" i="1"/>
  <c r="AS58" i="1"/>
  <c r="AW27" i="1"/>
  <c r="AS80" i="1"/>
  <c r="AS243" i="1"/>
  <c r="AW16" i="1"/>
  <c r="AW239" i="1"/>
  <c r="AW14" i="1"/>
  <c r="AS35" i="1"/>
  <c r="AW77" i="1"/>
  <c r="AW160" i="1"/>
  <c r="AW168" i="1"/>
  <c r="AW172" i="1"/>
  <c r="AW180" i="1"/>
  <c r="AW184" i="1"/>
  <c r="AS236" i="1"/>
  <c r="AW35" i="1"/>
  <c r="AW15" i="1"/>
  <c r="AW18" i="1"/>
  <c r="AS32" i="1"/>
  <c r="AW63" i="1"/>
  <c r="AS121" i="1"/>
  <c r="AS125" i="1"/>
  <c r="AW145" i="1"/>
  <c r="AW205" i="1"/>
  <c r="AW85" i="1"/>
  <c r="AW29" i="1"/>
  <c r="AS68" i="1"/>
  <c r="AW12" i="1"/>
  <c r="AS38" i="1"/>
  <c r="AW65" i="1"/>
  <c r="AW175" i="1"/>
  <c r="AS187" i="1"/>
  <c r="AW6" i="1"/>
  <c r="AS55" i="1"/>
  <c r="AS69" i="1"/>
  <c r="AW89" i="1"/>
  <c r="AS117" i="1"/>
  <c r="AS128" i="1"/>
  <c r="AS132" i="1"/>
  <c r="AS136" i="1"/>
  <c r="AW191" i="1"/>
  <c r="AS207" i="1"/>
  <c r="AW230" i="1"/>
  <c r="AS238" i="1"/>
  <c r="AS66" i="1"/>
  <c r="AS90" i="1"/>
  <c r="AW117" i="1"/>
  <c r="AW120" i="1"/>
  <c r="AS180" i="1"/>
  <c r="AW215" i="1"/>
  <c r="AS141" i="1"/>
  <c r="AS145" i="1"/>
  <c r="AS153" i="1"/>
  <c r="AS157" i="1"/>
  <c r="AW200" i="1"/>
  <c r="AW204" i="1"/>
  <c r="AS216" i="1"/>
  <c r="AS224" i="1"/>
  <c r="AS228" i="1"/>
  <c r="AS118" i="1"/>
  <c r="AW125" i="1"/>
  <c r="AW129" i="1"/>
  <c r="AS177" i="1"/>
  <c r="AS133" i="1"/>
  <c r="AW49" i="1"/>
  <c r="AW76" i="1"/>
  <c r="AW83" i="1"/>
  <c r="AS87" i="1"/>
  <c r="AW121" i="1"/>
  <c r="AW36" i="1"/>
  <c r="AW220" i="1"/>
  <c r="AS24" i="1"/>
  <c r="AW43" i="1"/>
  <c r="AS77" i="1"/>
  <c r="AS84" i="1"/>
  <c r="AW94" i="1"/>
  <c r="AW42" i="1"/>
  <c r="AW103" i="1"/>
  <c r="AW126" i="1"/>
  <c r="AS178" i="1"/>
  <c r="AS182" i="1"/>
  <c r="AW209" i="1"/>
  <c r="AS134" i="1"/>
  <c r="AW60" i="1"/>
  <c r="AS71" i="1"/>
  <c r="AS98" i="1"/>
  <c r="AS112" i="1"/>
  <c r="AW5" i="1"/>
  <c r="AW71" i="1"/>
  <c r="AW74" i="1"/>
  <c r="AS12" i="1"/>
  <c r="AS15" i="1"/>
  <c r="AS18" i="1"/>
  <c r="AS34" i="1"/>
  <c r="AS85" i="1"/>
  <c r="AS92" i="1"/>
  <c r="AS95" i="1"/>
  <c r="AS116" i="1"/>
  <c r="AW44" i="1"/>
  <c r="AW81" i="1"/>
  <c r="AW119" i="1"/>
  <c r="AW116" i="1"/>
  <c r="AW123" i="1"/>
  <c r="AW127" i="1"/>
  <c r="AW131" i="1"/>
  <c r="AW135" i="1"/>
  <c r="AS218" i="1"/>
  <c r="AW33" i="1"/>
  <c r="AS26" i="1"/>
  <c r="AS29" i="1"/>
  <c r="AS62" i="1"/>
  <c r="AS110" i="1"/>
  <c r="AW47" i="1"/>
  <c r="AS53" i="1"/>
  <c r="AS56" i="1"/>
  <c r="AS74" i="1"/>
  <c r="AW92" i="1"/>
  <c r="AS101" i="1"/>
  <c r="AW113" i="1"/>
  <c r="AS119" i="1"/>
  <c r="AS144" i="1"/>
  <c r="AW155" i="1"/>
  <c r="AS163" i="1"/>
  <c r="AS167" i="1"/>
  <c r="AW189" i="1"/>
  <c r="AS193" i="1"/>
  <c r="AW219" i="1"/>
  <c r="AS223" i="1"/>
  <c r="AS227" i="1"/>
  <c r="AS242" i="1"/>
  <c r="AS11" i="1"/>
  <c r="AS20" i="1"/>
  <c r="AW104" i="1"/>
  <c r="AS122" i="1"/>
  <c r="AS205" i="1"/>
  <c r="AW242" i="1"/>
  <c r="AS235" i="1"/>
  <c r="AW17" i="1"/>
  <c r="AW38" i="1"/>
  <c r="AW41" i="1"/>
  <c r="AW68" i="1"/>
  <c r="AS6" i="1"/>
  <c r="AW59" i="1"/>
  <c r="AS39" i="1"/>
  <c r="AS42" i="1"/>
  <c r="AS45" i="1"/>
  <c r="AS48" i="1"/>
  <c r="AS93" i="1"/>
  <c r="AS108" i="1"/>
  <c r="AS114" i="1"/>
  <c r="AW122" i="1"/>
  <c r="AW152" i="1"/>
  <c r="AS160" i="1"/>
  <c r="AS164" i="1"/>
  <c r="AS190" i="1"/>
  <c r="AS220" i="1"/>
  <c r="AW20" i="1"/>
  <c r="AW80" i="1"/>
  <c r="AW39" i="1"/>
  <c r="AW45" i="1"/>
  <c r="AW90" i="1"/>
  <c r="AW93" i="1"/>
  <c r="AS99" i="1"/>
  <c r="AS102" i="1"/>
  <c r="AS105" i="1"/>
  <c r="AW108" i="1"/>
  <c r="AW114" i="1"/>
  <c r="AS120" i="1"/>
  <c r="AS123" i="1"/>
  <c r="AS172" i="1"/>
  <c r="AS183" i="1"/>
  <c r="AW194" i="1"/>
  <c r="AS198" i="1"/>
  <c r="AS202" i="1"/>
  <c r="AW224" i="1"/>
  <c r="AW243" i="1"/>
  <c r="AW287" i="1"/>
  <c r="AW66" i="1"/>
  <c r="AW69" i="1"/>
  <c r="AW75" i="1"/>
  <c r="AW54" i="1"/>
  <c r="AW78" i="1"/>
  <c r="AW84" i="1"/>
  <c r="AW102" i="1"/>
  <c r="AW99" i="1"/>
  <c r="AW105" i="1"/>
  <c r="AS165" i="1"/>
  <c r="AS195" i="1"/>
  <c r="AS225" i="1"/>
  <c r="AW232" i="1"/>
  <c r="AS244" i="1"/>
  <c r="AS288" i="1"/>
  <c r="AS88" i="1"/>
  <c r="AW7" i="1"/>
  <c r="AS10" i="1"/>
  <c r="AS19" i="1"/>
  <c r="AS22" i="1"/>
  <c r="AS25" i="1"/>
  <c r="AS28" i="1"/>
  <c r="AS31" i="1"/>
  <c r="AS40" i="1"/>
  <c r="AS43" i="1"/>
  <c r="AS46" i="1"/>
  <c r="AS61" i="1"/>
  <c r="AS79" i="1"/>
  <c r="AS82" i="1"/>
  <c r="AW88" i="1"/>
  <c r="AS94" i="1"/>
  <c r="AS103" i="1"/>
  <c r="AS106" i="1"/>
  <c r="AS109" i="1"/>
  <c r="AS115" i="1"/>
  <c r="AS124" i="1"/>
  <c r="AW165" i="1"/>
  <c r="AS173" i="1"/>
  <c r="AS184" i="1"/>
  <c r="AS203" i="1"/>
  <c r="AW210" i="1"/>
  <c r="AW288" i="1"/>
  <c r="AW48" i="1"/>
  <c r="AW87" i="1"/>
  <c r="AW111" i="1"/>
  <c r="AW9" i="1"/>
  <c r="AW21" i="1"/>
  <c r="AS51" i="1"/>
  <c r="AS16" i="1"/>
  <c r="AS233" i="1"/>
  <c r="AS73" i="1"/>
  <c r="AS91" i="1"/>
  <c r="AW214" i="1"/>
  <c r="AW64" i="1"/>
  <c r="AS70" i="1"/>
  <c r="AW52" i="1"/>
  <c r="AW61" i="1"/>
  <c r="AW67" i="1"/>
  <c r="AW70" i="1"/>
  <c r="AW73" i="1"/>
  <c r="AW139" i="1"/>
  <c r="AW150" i="1"/>
  <c r="AW154" i="1"/>
  <c r="AS166" i="1"/>
  <c r="AS226" i="1"/>
  <c r="AS170" i="1"/>
  <c r="AS200" i="1"/>
  <c r="AS14" i="1"/>
  <c r="AS83" i="1"/>
  <c r="AW95" i="1"/>
  <c r="AW79" i="1"/>
  <c r="AW106" i="1"/>
  <c r="AW109" i="1"/>
  <c r="AW115" i="1"/>
  <c r="AW19" i="1"/>
  <c r="AW28" i="1"/>
  <c r="AW40" i="1"/>
  <c r="AW34" i="1"/>
  <c r="AW37" i="1"/>
  <c r="AW55" i="1"/>
  <c r="AW58" i="1"/>
  <c r="AP2" i="1"/>
  <c r="AS5" i="1"/>
  <c r="AS23" i="1"/>
  <c r="AW118" i="1"/>
  <c r="AW162" i="1"/>
  <c r="AS174" i="1"/>
  <c r="AS204" i="1"/>
  <c r="AW62" i="1"/>
  <c r="AW86" i="1"/>
  <c r="AW110" i="1"/>
  <c r="AW107" i="1"/>
  <c r="AW56" i="1"/>
  <c r="AW101" i="1"/>
  <c r="AW51" i="1"/>
  <c r="AW10" i="1"/>
  <c r="AW22" i="1"/>
  <c r="AW112" i="1"/>
  <c r="AS135" i="1"/>
  <c r="AW138" i="1"/>
  <c r="AW151" i="1"/>
  <c r="AW158" i="1"/>
  <c r="AW128" i="1"/>
  <c r="AW148" i="1"/>
  <c r="AW132" i="1"/>
  <c r="AW159" i="1"/>
  <c r="AS217" i="1"/>
  <c r="AW195" i="1"/>
  <c r="AW149" i="1"/>
  <c r="AS185" i="1"/>
  <c r="AW188" i="1"/>
  <c r="AW199" i="1"/>
  <c r="AS232" i="1"/>
  <c r="AW225" i="1"/>
  <c r="AS137" i="1"/>
  <c r="AS175" i="1"/>
  <c r="AW178" i="1"/>
  <c r="AS127" i="1"/>
  <c r="AW130" i="1"/>
  <c r="AW164" i="1"/>
  <c r="AW171" i="1"/>
  <c r="AS197" i="1"/>
  <c r="AW124" i="1"/>
  <c r="AW134" i="1"/>
  <c r="AW161" i="1"/>
  <c r="AW179" i="1"/>
  <c r="AW201" i="1"/>
  <c r="AW211" i="1"/>
  <c r="AW221" i="1"/>
  <c r="AW231" i="1"/>
  <c r="AW238" i="1"/>
  <c r="AS246" i="1"/>
  <c r="AS250" i="1"/>
  <c r="AS254" i="1"/>
  <c r="AS258" i="1"/>
  <c r="AS262" i="1"/>
  <c r="AS266" i="1"/>
  <c r="AS270" i="1"/>
  <c r="AS274" i="1"/>
  <c r="AS278" i="1"/>
  <c r="AS282" i="1"/>
  <c r="AS286" i="1"/>
  <c r="AW208" i="1"/>
  <c r="AW218" i="1"/>
  <c r="AW228" i="1"/>
  <c r="AW235" i="1"/>
  <c r="AS239" i="1"/>
  <c r="AW246" i="1"/>
  <c r="AW250" i="1"/>
  <c r="AW254" i="1"/>
  <c r="AW258" i="1"/>
  <c r="AW262" i="1"/>
  <c r="AW266" i="1"/>
  <c r="AW270" i="1"/>
  <c r="AW274" i="1"/>
  <c r="AW278" i="1"/>
  <c r="AW282" i="1"/>
  <c r="AW286" i="1"/>
  <c r="AW133" i="1"/>
  <c r="AW136" i="1"/>
  <c r="AS149" i="1"/>
  <c r="AS159" i="1"/>
  <c r="AS169" i="1"/>
  <c r="AS179" i="1"/>
  <c r="AS189" i="1"/>
  <c r="AS199" i="1"/>
  <c r="AS209" i="1"/>
  <c r="AS219" i="1"/>
  <c r="AS229" i="1"/>
  <c r="AS247" i="1"/>
  <c r="AS251" i="1"/>
  <c r="AS255" i="1"/>
  <c r="AS259" i="1"/>
  <c r="AS263" i="1"/>
  <c r="AS267" i="1"/>
  <c r="AS271" i="1"/>
  <c r="AS275" i="1"/>
  <c r="AS279" i="1"/>
  <c r="AS283" i="1"/>
  <c r="AW182" i="1"/>
  <c r="AW192" i="1"/>
  <c r="AW202" i="1"/>
  <c r="AW212" i="1"/>
  <c r="AW222" i="1"/>
  <c r="AW229" i="1"/>
  <c r="AW247" i="1"/>
  <c r="AW251" i="1"/>
  <c r="AW255" i="1"/>
  <c r="AW259" i="1"/>
  <c r="AW263" i="1"/>
  <c r="AW267" i="1"/>
  <c r="AW271" i="1"/>
  <c r="AW275" i="1"/>
  <c r="AW279" i="1"/>
  <c r="AW283" i="1"/>
  <c r="AW236" i="1"/>
  <c r="AS240" i="1"/>
  <c r="AW143" i="1"/>
  <c r="AW146" i="1"/>
  <c r="AW156" i="1"/>
  <c r="AW166" i="1"/>
  <c r="AW176" i="1"/>
  <c r="AW186" i="1"/>
  <c r="AW196" i="1"/>
  <c r="AW206" i="1"/>
  <c r="AW216" i="1"/>
  <c r="AW226" i="1"/>
  <c r="AW240" i="1"/>
  <c r="AS248" i="1"/>
  <c r="AS252" i="1"/>
  <c r="AS256" i="1"/>
  <c r="AS260" i="1"/>
  <c r="AS264" i="1"/>
  <c r="AS268" i="1"/>
  <c r="AS272" i="1"/>
  <c r="AS276" i="1"/>
  <c r="AS280" i="1"/>
  <c r="AS284" i="1"/>
  <c r="AW137" i="1"/>
  <c r="AW140" i="1"/>
  <c r="AW153" i="1"/>
  <c r="AW163" i="1"/>
  <c r="AW173" i="1"/>
  <c r="AW183" i="1"/>
  <c r="AW193" i="1"/>
  <c r="AW203" i="1"/>
  <c r="AW213" i="1"/>
  <c r="AW223" i="1"/>
  <c r="AW233" i="1"/>
  <c r="AS237" i="1"/>
  <c r="AW244" i="1"/>
  <c r="AW248" i="1"/>
  <c r="AW252" i="1"/>
  <c r="AW256" i="1"/>
  <c r="AW260" i="1"/>
  <c r="AW264" i="1"/>
  <c r="AW268" i="1"/>
  <c r="AW272" i="1"/>
  <c r="AW276" i="1"/>
  <c r="AW280" i="1"/>
  <c r="AW284" i="1"/>
  <c r="AW237" i="1"/>
  <c r="AS241" i="1"/>
  <c r="AW147" i="1"/>
  <c r="AW157" i="1"/>
  <c r="AW167" i="1"/>
  <c r="AW177" i="1"/>
  <c r="AW187" i="1"/>
  <c r="AW197" i="1"/>
  <c r="AW207" i="1"/>
  <c r="AW217" i="1"/>
  <c r="AW227" i="1"/>
  <c r="AW241" i="1"/>
  <c r="AS245" i="1"/>
  <c r="AS249" i="1"/>
  <c r="AS253" i="1"/>
  <c r="AS257" i="1"/>
  <c r="AS261" i="1"/>
  <c r="AS265" i="1"/>
  <c r="AS269" i="1"/>
  <c r="AS273" i="1"/>
  <c r="AS277" i="1"/>
  <c r="AS281" i="1"/>
  <c r="AS285" i="1"/>
  <c r="AW141" i="1"/>
  <c r="AW144" i="1"/>
  <c r="AS151" i="1"/>
  <c r="AS161" i="1"/>
  <c r="AS171" i="1"/>
  <c r="AS181" i="1"/>
  <c r="AS191" i="1"/>
  <c r="AS201" i="1"/>
  <c r="AS211" i="1"/>
  <c r="AS221" i="1"/>
  <c r="AS231" i="1"/>
  <c r="AW234" i="1"/>
  <c r="AW245" i="1"/>
  <c r="AW249" i="1"/>
  <c r="AW253" i="1"/>
  <c r="AW257" i="1"/>
  <c r="AW261" i="1"/>
  <c r="AW265" i="1"/>
  <c r="AW269" i="1"/>
  <c r="AW273" i="1"/>
  <c r="AW277" i="1"/>
  <c r="AW281" i="1"/>
  <c r="AW285" i="1"/>
</calcChain>
</file>

<file path=xl/sharedStrings.xml><?xml version="1.0" encoding="utf-8"?>
<sst xmlns="http://schemas.openxmlformats.org/spreadsheetml/2006/main" count="3835" uniqueCount="1290">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</sst>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8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166" fontId="45" fillId="38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72"/>
  <sheetViews>
    <sheetView tabSelected="1" topLeftCell="B236" zoomScale="80" zoomScaleNormal="80" workbookViewId="0">
      <selection activeCell="S32" sqref="S32:S288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91" width="32.42578125" style="51" customWidth="1"/>
    <col min="192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SEPTIEMBRE</v>
      </c>
      <c r="E2" s="80">
        <v>9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30</v>
      </c>
      <c r="J2" s="89" t="s">
        <v>5</v>
      </c>
      <c r="K2" s="92">
        <f t="shared" ref="K2:AO2" si="0">MAX(K5:K288)</f>
        <v>38</v>
      </c>
      <c r="L2" s="92">
        <f t="shared" si="0"/>
        <v>40</v>
      </c>
      <c r="M2" s="92">
        <f t="shared" si="0"/>
        <v>39</v>
      </c>
      <c r="N2" s="92">
        <f t="shared" si="0"/>
        <v>39.6</v>
      </c>
      <c r="O2" s="92">
        <f t="shared" si="0"/>
        <v>40</v>
      </c>
      <c r="P2" s="92">
        <f t="shared" si="0"/>
        <v>40.200000000000003</v>
      </c>
      <c r="Q2" s="92">
        <f t="shared" si="0"/>
        <v>39</v>
      </c>
      <c r="R2" s="92">
        <f t="shared" si="0"/>
        <v>41.4</v>
      </c>
      <c r="S2" s="92">
        <f t="shared" si="0"/>
        <v>42</v>
      </c>
      <c r="T2" s="92">
        <f t="shared" si="0"/>
        <v>0</v>
      </c>
      <c r="U2" s="92">
        <f t="shared" si="0"/>
        <v>0</v>
      </c>
      <c r="V2" s="92">
        <f t="shared" si="0"/>
        <v>0</v>
      </c>
      <c r="W2" s="92">
        <f t="shared" si="0"/>
        <v>0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42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30.5</v>
      </c>
      <c r="L5" s="66">
        <v>32.4</v>
      </c>
      <c r="M5" s="66">
        <v>32.1</v>
      </c>
      <c r="N5" s="66">
        <v>32.4</v>
      </c>
      <c r="O5" s="66">
        <v>32.6</v>
      </c>
      <c r="P5" s="66">
        <v>32.4</v>
      </c>
      <c r="Q5" s="66">
        <v>32</v>
      </c>
      <c r="R5" s="66">
        <v>32.200000000000003</v>
      </c>
      <c r="S5" s="66">
        <v>32.1</v>
      </c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9</v>
      </c>
      <c r="AQ5" s="68" t="str">
        <f t="shared" ref="AQ5:AQ68" si="2">IF(AP5&gt;14,AVERAGE(K5:AO5),"")</f>
        <v/>
      </c>
      <c r="AR5" s="68">
        <f>IFERROR(VLOOKUP(A5,Climatologia_TMAX!A:U,9+$E$2,FALSE),"")</f>
        <v>30.837144120247562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32.6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33.4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42992</v>
      </c>
      <c r="AW5" s="69">
        <f t="shared" ref="AW5:AW68" si="5">IF(OR(AT5="",AU5=""),"NA",IFERROR(AT5-AU5,"NA"))</f>
        <v>-0.79999999999999716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30.6</v>
      </c>
      <c r="L6" s="66">
        <v>32.1</v>
      </c>
      <c r="M6" s="66">
        <v>32.200000000000003</v>
      </c>
      <c r="N6" s="66">
        <v>32.5</v>
      </c>
      <c r="O6" s="66">
        <v>32.200000000000003</v>
      </c>
      <c r="P6" s="66">
        <v>32.4</v>
      </c>
      <c r="Q6" s="66">
        <v>32.4</v>
      </c>
      <c r="R6" s="66">
        <v>32.799999999999997</v>
      </c>
      <c r="S6" s="66">
        <v>32.6</v>
      </c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9</v>
      </c>
      <c r="AQ6" s="68" t="str">
        <f t="shared" si="2"/>
        <v/>
      </c>
      <c r="AR6" s="68">
        <f>IFERROR(VLOOKUP(A6,Climatologia_TMAX!A:U,9+$E$2,FALSE),"")</f>
        <v>31.213724845269681</v>
      </c>
      <c r="AS6" s="68" t="str">
        <f t="shared" si="3"/>
        <v/>
      </c>
      <c r="AT6" s="74">
        <f t="shared" si="4"/>
        <v>32.799999999999997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33.200000000000003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39718</v>
      </c>
      <c r="AW6" s="69">
        <f t="shared" si="5"/>
        <v>-0.40000000000000568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32.4</v>
      </c>
      <c r="L7" s="66">
        <v>34.799999999999997</v>
      </c>
      <c r="M7" s="66">
        <v>35.200000000000003</v>
      </c>
      <c r="N7" s="66">
        <v>35.200000000000003</v>
      </c>
      <c r="O7" s="66">
        <v>37</v>
      </c>
      <c r="P7" s="66">
        <v>35.200000000000003</v>
      </c>
      <c r="Q7" s="66">
        <v>33.5</v>
      </c>
      <c r="R7" s="66">
        <v>35</v>
      </c>
      <c r="S7" s="66">
        <v>36.9</v>
      </c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117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9</v>
      </c>
      <c r="AQ7" s="68" t="str">
        <f t="shared" si="2"/>
        <v/>
      </c>
      <c r="AR7" s="68">
        <f>IFERROR(VLOOKUP(A7,Climatologia_TMAX!A:U,9+$E$2,FALSE),"")</f>
        <v>32.888880131362889</v>
      </c>
      <c r="AS7" s="68" t="str">
        <f t="shared" si="3"/>
        <v/>
      </c>
      <c r="AT7" s="74">
        <f t="shared" si="4"/>
        <v>37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37.200000000000003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34946</v>
      </c>
      <c r="AW7" s="69">
        <f t="shared" si="5"/>
        <v>-0.20000000000000284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33.9</v>
      </c>
      <c r="M8" s="66">
        <v>33.700000000000003</v>
      </c>
      <c r="N8" s="66">
        <v>34.299999999999997</v>
      </c>
      <c r="O8" s="66">
        <v>34.200000000000003</v>
      </c>
      <c r="P8" s="66">
        <v>36.1</v>
      </c>
      <c r="Q8" s="66">
        <v>33.9</v>
      </c>
      <c r="R8" s="66">
        <v>38.299999999999997</v>
      </c>
      <c r="S8" s="66">
        <v>35.5</v>
      </c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9</v>
      </c>
      <c r="AQ8" s="68" t="str">
        <f t="shared" si="2"/>
        <v/>
      </c>
      <c r="AR8" s="68">
        <f>IFERROR(VLOOKUP(A8,Climatologia_TMAX!A:U,9+$E$2,FALSE),"")</f>
        <v>32.066531113753463</v>
      </c>
      <c r="AS8" s="68" t="str">
        <f t="shared" si="3"/>
        <v/>
      </c>
      <c r="AT8" s="74">
        <f t="shared" si="4"/>
        <v>38.299999999999997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36.799999999999997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35689</v>
      </c>
      <c r="AW8" s="69">
        <f t="shared" si="5"/>
        <v>1.5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35.1</v>
      </c>
      <c r="L9" s="66">
        <v>35.6</v>
      </c>
      <c r="M9" s="66">
        <v>36.700000000000003</v>
      </c>
      <c r="N9" s="66">
        <v>35.6</v>
      </c>
      <c r="O9" s="66">
        <v>36.5</v>
      </c>
      <c r="P9" s="66">
        <v>38</v>
      </c>
      <c r="Q9" s="66">
        <v>34.799999999999997</v>
      </c>
      <c r="R9" s="66">
        <v>35.6</v>
      </c>
      <c r="S9" s="66">
        <v>36.1</v>
      </c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9</v>
      </c>
      <c r="AQ9" s="68" t="str">
        <f t="shared" si="2"/>
        <v/>
      </c>
      <c r="AR9" s="68">
        <f>IFERROR(VLOOKUP(A9,Climatologia_TMAX!A:U,9+$E$2,FALSE),"")</f>
        <v>33.308997701149423</v>
      </c>
      <c r="AS9" s="68" t="str">
        <f t="shared" si="3"/>
        <v/>
      </c>
      <c r="AT9" s="74">
        <f t="shared" si="4"/>
        <v>38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37866</v>
      </c>
      <c r="AW9" s="69">
        <f t="shared" si="5"/>
        <v>-0.39999999999999858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34.700000000000003</v>
      </c>
      <c r="L10" s="66">
        <v>34.299999999999997</v>
      </c>
      <c r="M10" s="66">
        <v>37.4</v>
      </c>
      <c r="N10" s="66">
        <v>36.799999999999997</v>
      </c>
      <c r="O10" s="66">
        <v>38.5</v>
      </c>
      <c r="P10" s="66">
        <v>39.6</v>
      </c>
      <c r="Q10" s="66">
        <v>37.799999999999997</v>
      </c>
      <c r="R10" s="66">
        <v>38.1</v>
      </c>
      <c r="S10" s="66">
        <v>37.9</v>
      </c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9</v>
      </c>
      <c r="AQ10" s="68" t="str">
        <f t="shared" si="2"/>
        <v/>
      </c>
      <c r="AR10" s="68">
        <f>IFERROR(VLOOKUP(A10,Climatologia_TMAX!A:U,9+$E$2,FALSE),"")</f>
        <v>33.75991221422256</v>
      </c>
      <c r="AS10" s="68" t="str">
        <f t="shared" si="3"/>
        <v/>
      </c>
      <c r="AT10" s="74">
        <f t="shared" si="4"/>
        <v>39.6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39.6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10" s="69">
        <f t="shared" si="5"/>
        <v>0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35.799999999999997</v>
      </c>
      <c r="L11" s="66">
        <v>37</v>
      </c>
      <c r="M11" s="66">
        <v>37.799999999999997</v>
      </c>
      <c r="N11" s="66">
        <v>39</v>
      </c>
      <c r="O11" s="66">
        <v>38.9</v>
      </c>
      <c r="P11" s="66">
        <v>40.1</v>
      </c>
      <c r="Q11" s="66">
        <v>35.9</v>
      </c>
      <c r="R11" s="66">
        <v>40</v>
      </c>
      <c r="S11" s="66">
        <v>39.799999999999997</v>
      </c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9</v>
      </c>
      <c r="AQ11" s="68" t="str">
        <f t="shared" si="2"/>
        <v/>
      </c>
      <c r="AR11" s="68">
        <f>IFERROR(VLOOKUP(A11,Climatologia_TMAX!A:U,9+$E$2,FALSE),"")</f>
        <v>34.012164961475307</v>
      </c>
      <c r="AS11" s="68" t="str">
        <f t="shared" si="3"/>
        <v/>
      </c>
      <c r="AT11" s="112">
        <f t="shared" si="4"/>
        <v>40.1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40.200000000000003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33494</v>
      </c>
      <c r="AW11" s="69">
        <f t="shared" si="5"/>
        <v>-0.10000000000000142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34.6</v>
      </c>
      <c r="L12" s="66">
        <v>34.1</v>
      </c>
      <c r="M12" s="66">
        <v>36.1</v>
      </c>
      <c r="N12" s="66">
        <v>35</v>
      </c>
      <c r="O12" s="66">
        <v>36.200000000000003</v>
      </c>
      <c r="P12" s="66">
        <v>30.6</v>
      </c>
      <c r="Q12" s="66">
        <v>32.6</v>
      </c>
      <c r="R12" s="66">
        <v>37.4</v>
      </c>
      <c r="S12" s="66">
        <v>36.4</v>
      </c>
      <c r="T12" s="66"/>
      <c r="U12" s="11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9</v>
      </c>
      <c r="AQ12" s="68" t="str">
        <f t="shared" si="2"/>
        <v/>
      </c>
      <c r="AR12" s="68">
        <f>IFERROR(VLOOKUP(A12,Climatologia_TMAX!A:U,9+$E$2,FALSE),"")</f>
        <v>32.561237881007962</v>
      </c>
      <c r="AS12" s="68" t="str">
        <f t="shared" si="3"/>
        <v/>
      </c>
      <c r="AT12" s="74">
        <f t="shared" si="4"/>
        <v>37.4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37.5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2" s="69">
        <f t="shared" si="5"/>
        <v>-0.10000000000000142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35</v>
      </c>
      <c r="L13" s="66">
        <v>33.799999999999997</v>
      </c>
      <c r="M13" s="66">
        <v>35.4</v>
      </c>
      <c r="N13" s="66">
        <v>35.4</v>
      </c>
      <c r="O13" s="66">
        <v>36.6</v>
      </c>
      <c r="P13" s="66">
        <v>32.200000000000003</v>
      </c>
      <c r="Q13" s="66">
        <v>34</v>
      </c>
      <c r="R13" s="66">
        <v>36.4</v>
      </c>
      <c r="S13" s="66">
        <v>37.6</v>
      </c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9</v>
      </c>
      <c r="AQ13" s="68" t="str">
        <f t="shared" si="2"/>
        <v/>
      </c>
      <c r="AR13" s="68">
        <f>IFERROR(VLOOKUP(A13,Climatologia_TMAX!A:U,9+$E$2,FALSE),"")</f>
        <v>32.028002378121293</v>
      </c>
      <c r="AS13" s="68" t="str">
        <f t="shared" si="3"/>
        <v/>
      </c>
      <c r="AT13" s="74">
        <f t="shared" si="4"/>
        <v>37.6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36.6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13" s="69">
        <f t="shared" si="5"/>
        <v>1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28.6</v>
      </c>
      <c r="L14" s="115">
        <v>26.3</v>
      </c>
      <c r="M14" s="66">
        <v>29.2</v>
      </c>
      <c r="N14" s="66">
        <v>29.8</v>
      </c>
      <c r="O14" s="66">
        <v>31.3</v>
      </c>
      <c r="P14" s="66">
        <v>26.7</v>
      </c>
      <c r="Q14" s="66">
        <v>29.2</v>
      </c>
      <c r="R14" s="115">
        <v>29.4</v>
      </c>
      <c r="S14" s="66">
        <v>29.6</v>
      </c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9</v>
      </c>
      <c r="AQ14" s="68" t="str">
        <f t="shared" si="2"/>
        <v/>
      </c>
      <c r="AR14" s="68">
        <f>IFERROR(VLOOKUP(A14,Climatologia_TMAX!A:U,9+$E$2,FALSE),"")</f>
        <v>26.245613553113561</v>
      </c>
      <c r="AS14" s="68" t="str">
        <f t="shared" si="3"/>
        <v/>
      </c>
      <c r="AT14" s="74">
        <f t="shared" si="4"/>
        <v>31.3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31.8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14" s="69">
        <f t="shared" si="5"/>
        <v>-0.5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37.200000000000003</v>
      </c>
      <c r="L15" s="66">
        <v>36.6</v>
      </c>
      <c r="M15" s="66">
        <v>37</v>
      </c>
      <c r="N15" s="66">
        <v>37.200000000000003</v>
      </c>
      <c r="O15" s="66">
        <v>36</v>
      </c>
      <c r="P15" s="66">
        <v>34.200000000000003</v>
      </c>
      <c r="Q15" s="66">
        <v>36.200000000000003</v>
      </c>
      <c r="R15" s="66">
        <v>33.4</v>
      </c>
      <c r="S15" s="66">
        <v>35.4</v>
      </c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9</v>
      </c>
      <c r="AQ15" s="68" t="str">
        <f t="shared" si="2"/>
        <v/>
      </c>
      <c r="AR15" s="68">
        <f>IFERROR(VLOOKUP(A15,Climatologia_TMAX!A:U,9+$E$2,FALSE),"")</f>
        <v>34.362535919540242</v>
      </c>
      <c r="AS15" s="68" t="str">
        <f t="shared" si="3"/>
        <v/>
      </c>
      <c r="AT15" s="74">
        <f t="shared" si="4"/>
        <v>37.200000000000003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38.4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35687</v>
      </c>
      <c r="AW15" s="69">
        <f t="shared" si="5"/>
        <v>-1.1999999999999957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30.3</v>
      </c>
      <c r="L16" s="66">
        <v>31.9</v>
      </c>
      <c r="M16" s="66">
        <v>31.8</v>
      </c>
      <c r="N16" s="66">
        <v>32.9</v>
      </c>
      <c r="O16" s="66">
        <v>30.8</v>
      </c>
      <c r="P16" s="66">
        <v>30.5</v>
      </c>
      <c r="Q16" s="66">
        <v>31.8</v>
      </c>
      <c r="R16" s="66">
        <v>34.1</v>
      </c>
      <c r="S16" s="66">
        <v>32.299999999999997</v>
      </c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9</v>
      </c>
      <c r="AQ16" s="68" t="str">
        <f t="shared" si="2"/>
        <v/>
      </c>
      <c r="AR16" s="68">
        <f>IFERROR(VLOOKUP(A16,Climatologia_TMAX!A:U,9+$E$2,FALSE),"")</f>
        <v>31.91844417077176</v>
      </c>
      <c r="AS16" s="68" t="str">
        <f t="shared" si="3"/>
        <v/>
      </c>
      <c r="AT16" s="74">
        <f t="shared" si="4"/>
        <v>34.1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35.4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38987</v>
      </c>
      <c r="AW16" s="69">
        <f t="shared" si="5"/>
        <v>-1.2999999999999972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29</v>
      </c>
      <c r="L17" s="66">
        <v>30.8</v>
      </c>
      <c r="M17" s="66">
        <v>31.9</v>
      </c>
      <c r="N17" s="66">
        <v>32</v>
      </c>
      <c r="O17" s="66">
        <v>30.8</v>
      </c>
      <c r="P17" s="66">
        <v>30.1</v>
      </c>
      <c r="Q17" s="66">
        <v>28.9</v>
      </c>
      <c r="R17" s="66">
        <v>31.2</v>
      </c>
      <c r="S17" s="66">
        <v>32.4</v>
      </c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9</v>
      </c>
      <c r="AQ17" s="68" t="str">
        <f t="shared" si="2"/>
        <v/>
      </c>
      <c r="AR17" s="68">
        <f>IFERROR(VLOOKUP(A17,Climatologia_TMAX!A:U,9+$E$2,FALSE),"")</f>
        <v>28.140217569786529</v>
      </c>
      <c r="AS17" s="68" t="str">
        <f t="shared" si="3"/>
        <v/>
      </c>
      <c r="AT17" s="74">
        <f t="shared" si="4"/>
        <v>32.4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33.1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26554</v>
      </c>
      <c r="AW17" s="69">
        <f t="shared" si="5"/>
        <v>-0.70000000000000284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24.2</v>
      </c>
      <c r="L18" s="66">
        <v>24</v>
      </c>
      <c r="M18" s="66">
        <v>24.8</v>
      </c>
      <c r="N18" s="66">
        <v>25</v>
      </c>
      <c r="O18" s="66">
        <v>24</v>
      </c>
      <c r="P18" s="66">
        <v>23.2</v>
      </c>
      <c r="Q18" s="66">
        <v>22.8</v>
      </c>
      <c r="R18" s="66">
        <v>24.9</v>
      </c>
      <c r="S18" s="66">
        <v>25</v>
      </c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9</v>
      </c>
      <c r="AQ18" s="68" t="str">
        <f t="shared" si="2"/>
        <v/>
      </c>
      <c r="AR18" s="68">
        <f>IFERROR(VLOOKUP(A18,Climatologia_TMAX!A:U,9+$E$2,FALSE),"")</f>
        <v>22.564435196194999</v>
      </c>
      <c r="AS18" s="68" t="str">
        <f t="shared" si="3"/>
        <v/>
      </c>
      <c r="AT18" s="74">
        <f t="shared" si="4"/>
        <v>25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26.9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8" s="69">
        <f t="shared" si="5"/>
        <v>-1.8999999999999986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28</v>
      </c>
      <c r="L19" s="66">
        <v>28</v>
      </c>
      <c r="M19" s="66">
        <v>30.2</v>
      </c>
      <c r="N19" s="66">
        <v>29.2</v>
      </c>
      <c r="O19" s="66">
        <v>29.2</v>
      </c>
      <c r="P19" s="66">
        <v>28.2</v>
      </c>
      <c r="Q19" s="66">
        <v>27.8</v>
      </c>
      <c r="R19" s="66">
        <v>32.799999999999997</v>
      </c>
      <c r="S19" s="66">
        <v>30.6</v>
      </c>
      <c r="T19" s="66"/>
      <c r="U19" s="11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9</v>
      </c>
      <c r="AQ19" s="68" t="str">
        <f t="shared" si="2"/>
        <v/>
      </c>
      <c r="AR19" s="68">
        <f>IFERROR(VLOOKUP(A19,Climatologia_TMAX!A:U,9+$E$2,FALSE),"")</f>
        <v>27.03996905393457</v>
      </c>
      <c r="AS19" s="68" t="str">
        <f t="shared" si="3"/>
        <v/>
      </c>
      <c r="AT19" s="74">
        <f t="shared" si="4"/>
        <v>32.799999999999997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32.799999999999997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19" s="69">
        <f t="shared" si="5"/>
        <v>0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29.6</v>
      </c>
      <c r="L20" s="66">
        <v>30.6</v>
      </c>
      <c r="M20" s="66">
        <v>32.200000000000003</v>
      </c>
      <c r="N20" s="66">
        <v>32</v>
      </c>
      <c r="O20" s="66">
        <v>33.1</v>
      </c>
      <c r="P20" s="66">
        <v>32.299999999999997</v>
      </c>
      <c r="Q20" s="66">
        <v>26.9</v>
      </c>
      <c r="R20" s="66">
        <v>34.6</v>
      </c>
      <c r="S20" s="66">
        <v>31.7</v>
      </c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9</v>
      </c>
      <c r="AQ20" s="68" t="str">
        <f t="shared" si="2"/>
        <v/>
      </c>
      <c r="AR20" s="68">
        <f>IFERROR(VLOOKUP(A20,Climatologia_TMAX!A:U,9+$E$2,FALSE),"")</f>
        <v>28.21960773581463</v>
      </c>
      <c r="AS20" s="68" t="str">
        <f t="shared" si="3"/>
        <v/>
      </c>
      <c r="AT20" s="74">
        <f t="shared" si="4"/>
        <v>34.6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35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0" s="69">
        <f t="shared" si="5"/>
        <v>-0.39999999999999858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32.200000000000003</v>
      </c>
      <c r="L21" s="66">
        <v>32.1</v>
      </c>
      <c r="M21" s="66">
        <v>33.4</v>
      </c>
      <c r="N21" s="66">
        <v>33.700000000000003</v>
      </c>
      <c r="O21" s="66">
        <v>33.9</v>
      </c>
      <c r="P21" s="66">
        <v>33.299999999999997</v>
      </c>
      <c r="Q21" s="66">
        <v>32.799999999999997</v>
      </c>
      <c r="R21" s="66">
        <v>35.799999999999997</v>
      </c>
      <c r="S21" s="66">
        <v>35.4</v>
      </c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9</v>
      </c>
      <c r="AQ21" s="68" t="str">
        <f t="shared" si="2"/>
        <v/>
      </c>
      <c r="AR21" s="68">
        <f>IFERROR(VLOOKUP(A21,Climatologia_TMAX!A:U,9+$E$2,FALSE),"")</f>
        <v>30.83648877941982</v>
      </c>
      <c r="AS21" s="68" t="str">
        <f t="shared" si="3"/>
        <v/>
      </c>
      <c r="AT21" s="74">
        <f t="shared" si="4"/>
        <v>35.799999999999997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36.799999999999997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42263</v>
      </c>
      <c r="AW21" s="69">
        <f t="shared" si="5"/>
        <v>-1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20.8</v>
      </c>
      <c r="L22" s="66">
        <v>19.3</v>
      </c>
      <c r="M22" s="66">
        <v>18.5</v>
      </c>
      <c r="N22" s="66">
        <v>19.899999999999999</v>
      </c>
      <c r="O22" s="66">
        <v>19.8</v>
      </c>
      <c r="P22" s="66">
        <v>19.7</v>
      </c>
      <c r="Q22" s="66">
        <v>17.2</v>
      </c>
      <c r="R22" s="66">
        <v>19.8</v>
      </c>
      <c r="S22" s="66">
        <v>21.4</v>
      </c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9</v>
      </c>
      <c r="AQ22" s="68" t="str">
        <f t="shared" si="2"/>
        <v/>
      </c>
      <c r="AR22" s="68">
        <f>IFERROR(VLOOKUP(A22,Climatologia_TMAX!A:U,9+$E$2,FALSE),"")</f>
        <v>19.205027672249159</v>
      </c>
      <c r="AS22" s="68" t="str">
        <f t="shared" si="3"/>
        <v/>
      </c>
      <c r="AT22" s="74">
        <f t="shared" si="4"/>
        <v>21.4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23.3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34598</v>
      </c>
      <c r="AW22" s="69">
        <f t="shared" si="5"/>
        <v>-1.9000000000000021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33.200000000000003</v>
      </c>
      <c r="L23" s="66">
        <v>33.5</v>
      </c>
      <c r="M23" s="66">
        <v>31.7</v>
      </c>
      <c r="N23" s="66">
        <v>32.5</v>
      </c>
      <c r="O23" s="66">
        <v>32.700000000000003</v>
      </c>
      <c r="P23" s="66">
        <v>34</v>
      </c>
      <c r="Q23" s="66">
        <v>32.799999999999997</v>
      </c>
      <c r="R23" s="66">
        <v>35</v>
      </c>
      <c r="S23" s="66">
        <v>34.799999999999997</v>
      </c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9</v>
      </c>
      <c r="AQ23" s="68" t="str">
        <f t="shared" si="2"/>
        <v/>
      </c>
      <c r="AR23" s="68">
        <f>IFERROR(VLOOKUP(A23,Climatologia_TMAX!A:U,9+$E$2,FALSE),"")</f>
        <v>30.640448440448441</v>
      </c>
      <c r="AS23" s="68" t="str">
        <f t="shared" si="3"/>
        <v/>
      </c>
      <c r="AT23" s="74">
        <f t="shared" si="4"/>
        <v>35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35.1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3" s="69">
        <f t="shared" si="5"/>
        <v>-0.10000000000000142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</v>
      </c>
      <c r="L24" s="66">
        <v>36.200000000000003</v>
      </c>
      <c r="M24" s="66">
        <v>36.200000000000003</v>
      </c>
      <c r="N24" s="66">
        <v>36.4</v>
      </c>
      <c r="O24" s="66">
        <v>35.799999999999997</v>
      </c>
      <c r="P24" s="66">
        <v>36.700000000000003</v>
      </c>
      <c r="Q24" s="66">
        <v>36.4</v>
      </c>
      <c r="R24" s="66">
        <v>38.200000000000003</v>
      </c>
      <c r="S24" s="66">
        <v>38.200000000000003</v>
      </c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9</v>
      </c>
      <c r="AQ24" s="68" t="str">
        <f t="shared" si="2"/>
        <v/>
      </c>
      <c r="AR24" s="68">
        <f>IFERROR(VLOOKUP(A24,Climatologia_TMAX!A:U,9+$E$2,FALSE),"")</f>
        <v>34.911888888888889</v>
      </c>
      <c r="AS24" s="68" t="str">
        <f t="shared" si="3"/>
        <v/>
      </c>
      <c r="AT24" s="74">
        <f t="shared" si="4"/>
        <v>38.200000000000003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40.5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4" s="69">
        <f t="shared" si="5"/>
        <v>-2.2999999999999972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28.4</v>
      </c>
      <c r="L25" s="66">
        <v>28</v>
      </c>
      <c r="M25" s="66">
        <v>28.2</v>
      </c>
      <c r="N25" s="66">
        <v>28.5</v>
      </c>
      <c r="O25" s="66">
        <v>27.4</v>
      </c>
      <c r="P25" s="66">
        <v>27.4</v>
      </c>
      <c r="Q25" s="66">
        <v>26.8</v>
      </c>
      <c r="R25" s="66">
        <v>28.1</v>
      </c>
      <c r="S25" s="66">
        <v>27.8</v>
      </c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9</v>
      </c>
      <c r="AQ25" s="68" t="str">
        <f t="shared" si="2"/>
        <v/>
      </c>
      <c r="AR25" s="68">
        <f>IFERROR(VLOOKUP(A25,Climatologia_TMAX!A:U,9+$E$2,FALSE),"")</f>
        <v>25.982387369533619</v>
      </c>
      <c r="AS25" s="68" t="str">
        <f t="shared" si="3"/>
        <v/>
      </c>
      <c r="AT25" s="74">
        <f t="shared" si="4"/>
        <v>28.5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41538</v>
      </c>
      <c r="AW25" s="69">
        <f t="shared" si="5"/>
        <v>-2.6999999999999993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19.399999999999999</v>
      </c>
      <c r="L26" s="66">
        <v>16.2</v>
      </c>
      <c r="M26" s="66">
        <v>16.2</v>
      </c>
      <c r="N26" s="66">
        <v>15.2</v>
      </c>
      <c r="O26" s="66">
        <v>14.2</v>
      </c>
      <c r="P26" s="66">
        <v>16.8</v>
      </c>
      <c r="Q26" s="66">
        <v>16.2</v>
      </c>
      <c r="R26" s="66">
        <v>15.2</v>
      </c>
      <c r="S26" s="66">
        <v>16.399999999999999</v>
      </c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9</v>
      </c>
      <c r="AQ26" s="68" t="str">
        <f t="shared" si="2"/>
        <v/>
      </c>
      <c r="AR26" s="68">
        <f>IFERROR(VLOOKUP(A26,Climatologia_TMAX!A:U,9+$E$2,FALSE),"")</f>
        <v>15.930309706257979</v>
      </c>
      <c r="AS26" s="68" t="str">
        <f t="shared" si="3"/>
        <v/>
      </c>
      <c r="AT26" s="74">
        <f t="shared" si="4"/>
        <v>19.399999999999999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20.8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26" s="69">
        <f t="shared" si="5"/>
        <v>-1.4000000000000021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32.4</v>
      </c>
      <c r="L27" s="66">
        <v>32.799999999999997</v>
      </c>
      <c r="M27" s="66">
        <v>32.4</v>
      </c>
      <c r="N27" s="66">
        <v>33.4</v>
      </c>
      <c r="O27" s="66">
        <v>32.200000000000003</v>
      </c>
      <c r="P27" s="66">
        <v>31</v>
      </c>
      <c r="Q27" s="66">
        <v>31.4</v>
      </c>
      <c r="R27" s="66">
        <v>33.6</v>
      </c>
      <c r="S27" s="66">
        <v>31</v>
      </c>
      <c r="T27" s="66"/>
      <c r="U27" s="11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9</v>
      </c>
      <c r="AQ27" s="68" t="str">
        <f t="shared" si="2"/>
        <v/>
      </c>
      <c r="AR27" s="68">
        <f>IFERROR(VLOOKUP(A27,Climatologia_TMAX!A:U,9+$E$2,FALSE),"")</f>
        <v>30.947113847837979</v>
      </c>
      <c r="AS27" s="68" t="str">
        <f t="shared" si="3"/>
        <v/>
      </c>
      <c r="AT27" s="74">
        <f t="shared" si="4"/>
        <v>33.6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38987</v>
      </c>
      <c r="AW27" s="69">
        <f t="shared" si="5"/>
        <v>-1.6000000000000014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34.1</v>
      </c>
      <c r="L28" s="66">
        <v>30.3</v>
      </c>
      <c r="M28" s="66">
        <v>33.299999999999997</v>
      </c>
      <c r="N28" s="66">
        <v>31.6</v>
      </c>
      <c r="O28" s="66">
        <v>34.1</v>
      </c>
      <c r="P28" s="66">
        <v>33.1</v>
      </c>
      <c r="Q28" s="66">
        <v>33.4</v>
      </c>
      <c r="R28" s="66">
        <v>32.299999999999997</v>
      </c>
      <c r="S28" s="66">
        <v>33.5</v>
      </c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9</v>
      </c>
      <c r="AQ28" s="68" t="str">
        <f t="shared" si="2"/>
        <v/>
      </c>
      <c r="AR28" s="68">
        <f>IFERROR(VLOOKUP(A28,Climatologia_TMAX!A:U,9+$E$2,FALSE),"")</f>
        <v>31.67147144681628</v>
      </c>
      <c r="AS28" s="68" t="str">
        <f t="shared" si="3"/>
        <v/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35.6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42642</v>
      </c>
      <c r="AW28" s="69">
        <f t="shared" si="5"/>
        <v>-1.5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35.200000000000003</v>
      </c>
      <c r="L29" s="66">
        <v>32.5</v>
      </c>
      <c r="M29" s="66">
        <v>33</v>
      </c>
      <c r="N29" s="66">
        <v>33.799999999999997</v>
      </c>
      <c r="O29" s="66">
        <v>34.6</v>
      </c>
      <c r="P29" s="66">
        <v>32</v>
      </c>
      <c r="Q29" s="66">
        <v>33</v>
      </c>
      <c r="R29" s="66">
        <v>34.200000000000003</v>
      </c>
      <c r="S29" s="66">
        <v>34.799999999999997</v>
      </c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9</v>
      </c>
      <c r="AQ29" s="68" t="str">
        <f t="shared" si="2"/>
        <v/>
      </c>
      <c r="AR29" s="68">
        <f>IFERROR(VLOOKUP(A29,Climatologia_TMAX!A:U,9+$E$2,FALSE),"")</f>
        <v>32.684863258026162</v>
      </c>
      <c r="AS29" s="68" t="str">
        <f t="shared" si="3"/>
        <v/>
      </c>
      <c r="AT29" s="74">
        <f t="shared" si="4"/>
        <v>35.200000000000003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41539</v>
      </c>
      <c r="AW29" s="69">
        <f t="shared" si="5"/>
        <v>-1.1999999999999957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31.8</v>
      </c>
      <c r="L30" s="66">
        <v>32</v>
      </c>
      <c r="M30" s="66">
        <v>33.200000000000003</v>
      </c>
      <c r="N30" s="66">
        <v>31.3</v>
      </c>
      <c r="O30" s="66">
        <v>31.9</v>
      </c>
      <c r="P30" s="66">
        <v>33.200000000000003</v>
      </c>
      <c r="Q30" s="66">
        <v>30.6</v>
      </c>
      <c r="R30" s="66">
        <v>30.4</v>
      </c>
      <c r="S30" s="66">
        <v>31.7</v>
      </c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9</v>
      </c>
      <c r="AQ30" s="68" t="str">
        <f t="shared" si="2"/>
        <v/>
      </c>
      <c r="AR30" s="68">
        <f>IFERROR(VLOOKUP(A30,Climatologia_TMAX!A:U,9+$E$2,FALSE),"")</f>
        <v>30.79898193760263</v>
      </c>
      <c r="AS30" s="68" t="str">
        <f t="shared" si="3"/>
        <v/>
      </c>
      <c r="AT30" s="74">
        <f t="shared" si="4"/>
        <v>33.200000000000003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30" s="69">
        <f t="shared" si="5"/>
        <v>-1.7999999999999972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36.1</v>
      </c>
      <c r="L31" s="105">
        <v>34.6</v>
      </c>
      <c r="M31" s="105">
        <v>32.6</v>
      </c>
      <c r="N31" s="105">
        <v>33.299999999999997</v>
      </c>
      <c r="O31" s="105">
        <v>32.6</v>
      </c>
      <c r="P31" s="105">
        <v>32.6</v>
      </c>
      <c r="Q31" s="105">
        <v>30.3</v>
      </c>
      <c r="R31" s="105">
        <v>30.2</v>
      </c>
      <c r="S31" s="105">
        <v>32.9</v>
      </c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9</v>
      </c>
      <c r="AQ31" s="68" t="str">
        <f t="shared" si="2"/>
        <v/>
      </c>
      <c r="AR31" s="68">
        <f>IFERROR(VLOOKUP(A31,Climatologia_TMAX!A:U,9+$E$2,FALSE),"")</f>
        <v>31.98844385499557</v>
      </c>
      <c r="AS31" s="68" t="str">
        <f t="shared" si="3"/>
        <v/>
      </c>
      <c r="AT31" s="74">
        <f t="shared" si="4"/>
        <v>36.1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38.1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38620</v>
      </c>
      <c r="AW31" s="69">
        <f t="shared" si="5"/>
        <v>-2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 t="s">
        <v>1289</v>
      </c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25.014832783608199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28.2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24.8</v>
      </c>
      <c r="L33" s="66">
        <v>25</v>
      </c>
      <c r="M33" s="66">
        <v>26</v>
      </c>
      <c r="N33" s="66">
        <v>26.4</v>
      </c>
      <c r="O33" s="66">
        <v>26.2</v>
      </c>
      <c r="P33" s="66">
        <v>25</v>
      </c>
      <c r="Q33" s="66">
        <v>25.8</v>
      </c>
      <c r="R33" s="66">
        <v>26.4</v>
      </c>
      <c r="S33" s="66">
        <v>27</v>
      </c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9</v>
      </c>
      <c r="AQ33" s="68" t="str">
        <f t="shared" si="2"/>
        <v/>
      </c>
      <c r="AR33" s="68">
        <f>IFERROR(VLOOKUP(A33,Climatologia_TMAX!A:U,9+$E$2,FALSE),"")</f>
        <v>24.23233678727139</v>
      </c>
      <c r="AS33" s="68" t="str">
        <f t="shared" si="3"/>
        <v/>
      </c>
      <c r="AT33" s="74">
        <f t="shared" si="4"/>
        <v>27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30.3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42258</v>
      </c>
      <c r="AW33" s="69">
        <f t="shared" si="5"/>
        <v>-3.3000000000000007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 t="s">
        <v>1289</v>
      </c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28.04537448559671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35.4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42628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 t="s">
        <v>1289</v>
      </c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27.843180502341419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</v>
      </c>
      <c r="L36" s="66">
        <v>35.4</v>
      </c>
      <c r="M36" s="66">
        <v>39</v>
      </c>
      <c r="N36" s="66">
        <v>39.4</v>
      </c>
      <c r="O36" s="66">
        <v>38.200000000000003</v>
      </c>
      <c r="P36" s="66">
        <v>38.200000000000003</v>
      </c>
      <c r="Q36" s="66">
        <v>37</v>
      </c>
      <c r="R36" s="66">
        <v>41.4</v>
      </c>
      <c r="S36" s="66">
        <v>39.799999999999997</v>
      </c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9</v>
      </c>
      <c r="AQ36" s="68" t="str">
        <f t="shared" si="2"/>
        <v/>
      </c>
      <c r="AR36" s="68">
        <f>IFERROR(VLOOKUP(A36,Climatologia_TMAX!A:U,9+$E$2,FALSE),"")</f>
        <v>33.454009491466387</v>
      </c>
      <c r="AS36" s="68" t="str">
        <f t="shared" si="3"/>
        <v/>
      </c>
      <c r="AT36" s="74">
        <f t="shared" si="4"/>
        <v>41.4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40.200000000000003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36" s="69">
        <f t="shared" si="5"/>
        <v>1.1999999999999957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 t="s">
        <v>1289</v>
      </c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28.49385360653007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25</v>
      </c>
      <c r="L38" s="66">
        <v>27.4</v>
      </c>
      <c r="M38" s="66">
        <v>29.4</v>
      </c>
      <c r="N38" s="66">
        <v>29</v>
      </c>
      <c r="O38" s="66">
        <v>27.6</v>
      </c>
      <c r="P38" s="66">
        <v>27.2</v>
      </c>
      <c r="Q38" s="66">
        <v>27.6</v>
      </c>
      <c r="R38" s="115">
        <v>30</v>
      </c>
      <c r="S38" s="66">
        <v>29</v>
      </c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9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30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29.4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45190</v>
      </c>
      <c r="AW38" s="69">
        <f t="shared" si="5"/>
        <v>0.60000000000000142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24.6</v>
      </c>
      <c r="L39" s="66">
        <v>25</v>
      </c>
      <c r="M39" s="66">
        <v>27.2</v>
      </c>
      <c r="N39" s="66">
        <v>26</v>
      </c>
      <c r="O39" s="66">
        <v>27.4</v>
      </c>
      <c r="P39" s="66">
        <v>26.4</v>
      </c>
      <c r="Q39" s="66">
        <v>26.2</v>
      </c>
      <c r="R39" s="66">
        <v>28.4</v>
      </c>
      <c r="S39" s="66">
        <v>27.6</v>
      </c>
      <c r="T39" s="66"/>
      <c r="U39" s="66"/>
      <c r="V39" s="109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9</v>
      </c>
      <c r="AQ39" s="68" t="str">
        <f t="shared" si="2"/>
        <v/>
      </c>
      <c r="AR39" s="68">
        <f>IFERROR(VLOOKUP(A39,Climatologia_TMAX!A:U,9+$E$2,FALSE),"")</f>
        <v>23.447134238213408</v>
      </c>
      <c r="AS39" s="68" t="str">
        <f t="shared" si="3"/>
        <v/>
      </c>
      <c r="AT39" s="74">
        <f t="shared" si="4"/>
        <v>28.4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28.4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36043</v>
      </c>
      <c r="AW39" s="69">
        <f t="shared" si="5"/>
        <v>0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22.4</v>
      </c>
      <c r="L40" s="66">
        <v>21.4</v>
      </c>
      <c r="M40" s="66">
        <v>22</v>
      </c>
      <c r="N40" s="66">
        <v>22.2</v>
      </c>
      <c r="O40" s="66">
        <v>21.8</v>
      </c>
      <c r="P40" s="66">
        <v>21.8</v>
      </c>
      <c r="Q40" s="66">
        <v>20.6</v>
      </c>
      <c r="R40" s="66">
        <v>22.8</v>
      </c>
      <c r="S40" s="66">
        <v>22.6</v>
      </c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9</v>
      </c>
      <c r="AQ40" s="68" t="str">
        <f t="shared" si="2"/>
        <v/>
      </c>
      <c r="AR40" s="68">
        <f>IFERROR(VLOOKUP(A40,Climatologia_TMAX!A:U,9+$E$2,FALSE),"")</f>
        <v>20.702408866995071</v>
      </c>
      <c r="AS40" s="68" t="str">
        <f t="shared" si="3"/>
        <v/>
      </c>
      <c r="AT40" s="74">
        <f t="shared" si="4"/>
        <v>22.8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 t="s">
        <v>1289</v>
      </c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25.96535467980295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29.6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34595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30.6</v>
      </c>
      <c r="L42" s="66">
        <v>31.8</v>
      </c>
      <c r="M42" s="66">
        <v>33.200000000000003</v>
      </c>
      <c r="N42" s="66">
        <v>33.4</v>
      </c>
      <c r="O42" s="66">
        <v>32.200000000000003</v>
      </c>
      <c r="P42" s="66">
        <v>31</v>
      </c>
      <c r="Q42" s="66">
        <v>30</v>
      </c>
      <c r="R42" s="115">
        <v>33.4</v>
      </c>
      <c r="S42" s="66">
        <v>33</v>
      </c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9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33.4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34.200000000000003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42263</v>
      </c>
      <c r="AW42" s="69">
        <f t="shared" si="5"/>
        <v>-0.80000000000000426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31.2</v>
      </c>
      <c r="L43" s="66">
        <v>32.4</v>
      </c>
      <c r="M43" s="66">
        <v>32.200000000000003</v>
      </c>
      <c r="N43" s="66">
        <v>33</v>
      </c>
      <c r="O43" s="66">
        <v>31</v>
      </c>
      <c r="P43" s="66">
        <v>31.8</v>
      </c>
      <c r="Q43" s="66">
        <v>32</v>
      </c>
      <c r="R43" s="66">
        <v>33.799999999999997</v>
      </c>
      <c r="S43" s="66">
        <v>33.4</v>
      </c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9</v>
      </c>
      <c r="AQ43" s="68" t="str">
        <f t="shared" si="2"/>
        <v/>
      </c>
      <c r="AR43" s="68">
        <f>IFERROR(VLOOKUP(A43,Climatologia_TMAX!A:U,9+$E$2,FALSE),"")</f>
        <v>31.718826815519439</v>
      </c>
      <c r="AS43" s="68" t="str">
        <f t="shared" si="3"/>
        <v/>
      </c>
      <c r="AT43" s="74">
        <f t="shared" si="4"/>
        <v>33.799999999999997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35.200000000000003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42617</v>
      </c>
      <c r="AW43" s="69">
        <f t="shared" si="5"/>
        <v>-1.4000000000000057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26.4</v>
      </c>
      <c r="L44" s="66">
        <v>27.6</v>
      </c>
      <c r="M44" s="66">
        <v>27.4</v>
      </c>
      <c r="N44" s="66">
        <v>27</v>
      </c>
      <c r="O44" s="66">
        <v>27.2</v>
      </c>
      <c r="P44" s="66">
        <v>28</v>
      </c>
      <c r="Q44" s="66">
        <v>27.8</v>
      </c>
      <c r="R44" s="66">
        <v>29.2</v>
      </c>
      <c r="S44" s="66">
        <v>27.4</v>
      </c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9</v>
      </c>
      <c r="AQ44" s="68" t="str">
        <f t="shared" si="2"/>
        <v/>
      </c>
      <c r="AR44" s="68">
        <f>IFERROR(VLOOKUP(A44,Climatologia_TMAX!A:U,9+$E$2,FALSE),"")</f>
        <v>22.451263483642791</v>
      </c>
      <c r="AS44" s="68" t="str">
        <f t="shared" si="3"/>
        <v/>
      </c>
      <c r="AT44" s="74">
        <f t="shared" si="4"/>
        <v>29.2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28.4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45170</v>
      </c>
      <c r="AW44" s="69">
        <f t="shared" si="5"/>
        <v>0.80000000000000071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34</v>
      </c>
      <c r="L45" s="66">
        <v>34.6</v>
      </c>
      <c r="M45" s="66">
        <v>34.799999999999997</v>
      </c>
      <c r="N45" s="66">
        <v>36.200000000000003</v>
      </c>
      <c r="O45" s="66">
        <v>35.6</v>
      </c>
      <c r="P45" s="66">
        <v>33.6</v>
      </c>
      <c r="Q45" s="66">
        <v>32.6</v>
      </c>
      <c r="R45" s="66">
        <v>36.200000000000003</v>
      </c>
      <c r="S45" s="66">
        <v>37.200000000000003</v>
      </c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9</v>
      </c>
      <c r="AQ45" s="68" t="str">
        <f t="shared" si="2"/>
        <v/>
      </c>
      <c r="AR45" s="68">
        <f>IFERROR(VLOOKUP(A45,Climatologia_TMAX!A:U,9+$E$2,FALSE),"")</f>
        <v>32.199781609195398</v>
      </c>
      <c r="AS45" s="68" t="str">
        <f t="shared" si="3"/>
        <v/>
      </c>
      <c r="AT45" s="74">
        <f t="shared" si="4"/>
        <v>37.200000000000003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37.4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43719</v>
      </c>
      <c r="AW45" s="69">
        <f t="shared" si="5"/>
        <v>-0.19999999999999574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31.8</v>
      </c>
      <c r="L46" s="66">
        <v>31.6</v>
      </c>
      <c r="M46" s="66">
        <v>32.200000000000003</v>
      </c>
      <c r="N46" s="66">
        <v>32</v>
      </c>
      <c r="O46" s="66">
        <v>31.8</v>
      </c>
      <c r="P46" s="66">
        <v>31.2</v>
      </c>
      <c r="Q46" s="66">
        <v>30.2</v>
      </c>
      <c r="R46" s="66">
        <v>32.6</v>
      </c>
      <c r="S46" s="66">
        <v>33.200000000000003</v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9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33.200000000000003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38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33140</v>
      </c>
      <c r="AW46" s="69">
        <f t="shared" si="5"/>
        <v>-4.7999999999999972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 t="s">
        <v>1289</v>
      </c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 t="s">
        <v>1289</v>
      </c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33.799999999999997</v>
      </c>
      <c r="L49" s="66">
        <v>33.6</v>
      </c>
      <c r="M49" s="66">
        <v>34.799999999999997</v>
      </c>
      <c r="N49" s="66">
        <v>35.799999999999997</v>
      </c>
      <c r="O49" s="66">
        <v>36.200000000000003</v>
      </c>
      <c r="P49" s="66">
        <v>31.8</v>
      </c>
      <c r="Q49" s="66">
        <v>33.799999999999997</v>
      </c>
      <c r="R49" s="66">
        <v>34.200000000000003</v>
      </c>
      <c r="S49" s="66">
        <v>37.200000000000003</v>
      </c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9</v>
      </c>
      <c r="AQ49" s="68" t="str">
        <f t="shared" si="2"/>
        <v/>
      </c>
      <c r="AR49" s="68">
        <f>IFERROR(VLOOKUP(A49,Climatologia_TMAX!A:U,9+$E$2,FALSE),"")</f>
        <v>32.006441202475692</v>
      </c>
      <c r="AS49" s="68" t="str">
        <f t="shared" si="3"/>
        <v/>
      </c>
      <c r="AT49" s="74">
        <f t="shared" si="4"/>
        <v>37.200000000000003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37.200000000000003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29110</v>
      </c>
      <c r="AW49" s="69">
        <f t="shared" si="5"/>
        <v>0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 t="s">
        <v>1289</v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 t="s">
        <v>1289</v>
      </c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31.336216091954011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36.799999999999997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</v>
      </c>
      <c r="L52" s="66">
        <v>32.799999999999997</v>
      </c>
      <c r="M52" s="66">
        <v>32.6</v>
      </c>
      <c r="N52" s="66">
        <v>33</v>
      </c>
      <c r="O52" s="66">
        <v>33.4</v>
      </c>
      <c r="P52" s="66">
        <v>31.4</v>
      </c>
      <c r="Q52" s="66">
        <v>32.200000000000003</v>
      </c>
      <c r="R52" s="66">
        <v>34.200000000000003</v>
      </c>
      <c r="S52" s="66">
        <v>34.4</v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9</v>
      </c>
      <c r="AQ52" s="68" t="str">
        <f t="shared" si="2"/>
        <v/>
      </c>
      <c r="AR52" s="68">
        <f>IFERROR(VLOOKUP(A52,Climatologia_TMAX!A:U,9+$E$2,FALSE),"")</f>
        <v>30.893504627065631</v>
      </c>
      <c r="AS52" s="68" t="str">
        <f t="shared" si="3"/>
        <v/>
      </c>
      <c r="AT52" s="74">
        <f t="shared" si="4"/>
        <v>34.4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33.799999999999997</v>
      </c>
      <c r="L53" s="66">
        <v>32</v>
      </c>
      <c r="M53" s="66">
        <v>34.200000000000003</v>
      </c>
      <c r="N53" s="66">
        <v>34</v>
      </c>
      <c r="O53" s="66">
        <v>33.799999999999997</v>
      </c>
      <c r="P53" s="66">
        <v>29.8</v>
      </c>
      <c r="Q53" s="66">
        <v>33.799999999999997</v>
      </c>
      <c r="R53" s="66">
        <v>35</v>
      </c>
      <c r="S53" s="66">
        <v>35.200000000000003</v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9</v>
      </c>
      <c r="AQ53" s="68" t="str">
        <f t="shared" si="2"/>
        <v/>
      </c>
      <c r="AR53" s="68">
        <f>IFERROR(VLOOKUP(A53,Climatologia_TMAX!A:U,9+$E$2,FALSE),"")</f>
        <v>32.425316548075173</v>
      </c>
      <c r="AS53" s="68" t="str">
        <f t="shared" si="3"/>
        <v/>
      </c>
      <c r="AT53" s="74">
        <f t="shared" si="4"/>
        <v>35.200000000000003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38.200000000000003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31310</v>
      </c>
      <c r="AW53" s="69">
        <f t="shared" si="5"/>
        <v>-3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35</v>
      </c>
      <c r="L54" s="66">
        <v>36.799999999999997</v>
      </c>
      <c r="M54" s="66">
        <v>36.799999999999997</v>
      </c>
      <c r="N54" s="66">
        <v>37.799999999999997</v>
      </c>
      <c r="O54" s="66">
        <v>38.6</v>
      </c>
      <c r="P54" s="66">
        <v>32.4</v>
      </c>
      <c r="Q54" s="66">
        <v>33.4</v>
      </c>
      <c r="R54" s="66">
        <v>38</v>
      </c>
      <c r="S54" s="66">
        <v>38.799999999999997</v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9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38.799999999999997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39.6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42252</v>
      </c>
      <c r="AW54" s="69">
        <f t="shared" si="5"/>
        <v>-0.80000000000000426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35.6</v>
      </c>
      <c r="L55" s="66">
        <v>35</v>
      </c>
      <c r="M55" s="66">
        <v>35.799999999999997</v>
      </c>
      <c r="N55" s="66">
        <v>36.200000000000003</v>
      </c>
      <c r="O55" s="66">
        <v>36.799999999999997</v>
      </c>
      <c r="P55" s="66">
        <v>32.6</v>
      </c>
      <c r="Q55" s="66">
        <v>33.200000000000003</v>
      </c>
      <c r="R55" s="66">
        <v>37.6</v>
      </c>
      <c r="S55" s="66">
        <v>37.200000000000003</v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9</v>
      </c>
      <c r="AQ55" s="68" t="str">
        <f t="shared" si="2"/>
        <v/>
      </c>
      <c r="AR55" s="68">
        <f>IFERROR(VLOOKUP(A55,Climatologia_TMAX!A:U,9+$E$2,FALSE),"")</f>
        <v>32.47634846306795</v>
      </c>
      <c r="AS55" s="68" t="str">
        <f t="shared" si="3"/>
        <v/>
      </c>
      <c r="AT55" s="112">
        <f t="shared" si="4"/>
        <v>37.6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39.299999999999997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33135</v>
      </c>
      <c r="AW55" s="69">
        <f t="shared" si="5"/>
        <v>-1.6999999999999957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 t="s">
        <v>1289</v>
      </c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31.820200585421571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37.1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31664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 t="s">
        <v>1289</v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 t="s">
        <v>1289</v>
      </c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 t="s">
        <v>1289</v>
      </c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33.712201077977113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38.6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35684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 t="s">
        <v>1289</v>
      </c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 t="s">
        <v>1289</v>
      </c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38.200000000000003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33850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 t="s">
        <v>1289</v>
      </c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38.200000000000003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29470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 t="s">
        <v>1289</v>
      </c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 t="s">
        <v>1289</v>
      </c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32.117275185936442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36.5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45554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 t="s">
        <v>1289</v>
      </c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 t="s">
        <v>1289</v>
      </c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32.200000000000003</v>
      </c>
      <c r="L67" s="66">
        <v>33</v>
      </c>
      <c r="M67" s="66">
        <v>33</v>
      </c>
      <c r="N67" s="66">
        <v>33.6</v>
      </c>
      <c r="O67" s="66">
        <v>32</v>
      </c>
      <c r="P67" s="66">
        <v>29</v>
      </c>
      <c r="Q67" s="66">
        <v>31.6</v>
      </c>
      <c r="R67" s="66">
        <v>33.799999999999997</v>
      </c>
      <c r="S67" s="66">
        <v>33.6</v>
      </c>
      <c r="T67" s="66"/>
      <c r="U67" s="66"/>
      <c r="V67" s="66"/>
      <c r="W67" s="66"/>
      <c r="X67" s="66"/>
      <c r="Y67" s="114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9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33.799999999999997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67" s="69">
        <f t="shared" si="5"/>
        <v>-1.2000000000000028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 t="s">
        <v>1289</v>
      </c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38.799999999999997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 t="s">
        <v>1289</v>
      </c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32.56005291005291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43364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 t="s">
        <v>1289</v>
      </c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 t="s">
        <v>1289</v>
      </c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 t="s">
        <v>1289</v>
      </c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32.969054004743647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37.799999999999997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41883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 t="s">
        <v>1289</v>
      </c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/>
      <c r="L74" s="66"/>
      <c r="M74" s="66"/>
      <c r="N74" s="66"/>
      <c r="O74" s="66"/>
      <c r="P74" s="66"/>
      <c r="Q74" s="66"/>
      <c r="R74" s="66"/>
      <c r="S74" s="66" t="s">
        <v>1289</v>
      </c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0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 t="str">
        <f t="shared" si="9"/>
        <v/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45928</v>
      </c>
      <c r="AW74" s="69" t="str">
        <f t="shared" si="10"/>
        <v>NA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 t="s">
        <v>1289</v>
      </c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33</v>
      </c>
      <c r="L76" s="66">
        <v>33.200000000000003</v>
      </c>
      <c r="M76" s="66">
        <v>34.200000000000003</v>
      </c>
      <c r="N76" s="66">
        <v>35</v>
      </c>
      <c r="O76" s="66">
        <v>35.4</v>
      </c>
      <c r="P76" s="66">
        <v>32.4</v>
      </c>
      <c r="Q76" s="66">
        <v>32.799999999999997</v>
      </c>
      <c r="R76" s="66">
        <v>35.4</v>
      </c>
      <c r="S76" s="66">
        <v>36.6</v>
      </c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9</v>
      </c>
      <c r="AQ76" s="68" t="str">
        <f t="shared" si="7"/>
        <v/>
      </c>
      <c r="AR76" s="68">
        <f>IFERROR(VLOOKUP(A76,Climatologia_TMAX!A:U,9+$E$2,FALSE),"")</f>
        <v>31.452593153972469</v>
      </c>
      <c r="AS76" s="68" t="str">
        <f t="shared" si="8"/>
        <v/>
      </c>
      <c r="AT76" s="74">
        <f t="shared" si="9"/>
        <v>36.6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36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76" s="69">
        <f t="shared" si="10"/>
        <v>0.60000000000000142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34.200000000000003</v>
      </c>
      <c r="L77" s="66">
        <v>30</v>
      </c>
      <c r="M77" s="66">
        <v>32.6</v>
      </c>
      <c r="N77" s="66">
        <v>31.8</v>
      </c>
      <c r="O77" s="66">
        <v>34</v>
      </c>
      <c r="P77" s="66">
        <v>31.4</v>
      </c>
      <c r="Q77" s="66">
        <v>32.200000000000003</v>
      </c>
      <c r="R77" s="66">
        <v>32</v>
      </c>
      <c r="S77" s="66">
        <v>33.200000000000003</v>
      </c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9</v>
      </c>
      <c r="AQ77" s="68" t="str">
        <f t="shared" si="7"/>
        <v/>
      </c>
      <c r="AR77" s="68">
        <f>IFERROR(VLOOKUP(A77,Climatologia_TMAX!A:U,9+$E$2,FALSE),"")</f>
        <v>31.66925925925926</v>
      </c>
      <c r="AS77" s="68" t="str">
        <f t="shared" si="8"/>
        <v/>
      </c>
      <c r="AT77" s="74">
        <f t="shared" si="9"/>
        <v>34.200000000000003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36.6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77" s="69">
        <f t="shared" si="10"/>
        <v>-2.3999999999999986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 t="s">
        <v>1289</v>
      </c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30.96170901576075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33.200000000000003</v>
      </c>
      <c r="L79" s="66">
        <v>32.4</v>
      </c>
      <c r="M79" s="66">
        <v>33</v>
      </c>
      <c r="N79" s="66">
        <v>32.200000000000003</v>
      </c>
      <c r="O79" s="66">
        <v>32.799999999999997</v>
      </c>
      <c r="P79" s="66">
        <v>33.200000000000003</v>
      </c>
      <c r="Q79" s="66">
        <v>32.6</v>
      </c>
      <c r="R79" s="66">
        <v>33</v>
      </c>
      <c r="S79" s="66">
        <v>31.8</v>
      </c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9</v>
      </c>
      <c r="AQ79" s="68" t="str">
        <f t="shared" si="7"/>
        <v/>
      </c>
      <c r="AR79" s="68">
        <f>IFERROR(VLOOKUP(A79,Climatologia_TMAX!A:U,9+$E$2,FALSE),"")</f>
        <v>31.542409364140131</v>
      </c>
      <c r="AS79" s="68" t="str">
        <f t="shared" si="8"/>
        <v/>
      </c>
      <c r="AT79" s="74">
        <f t="shared" si="9"/>
        <v>33.200000000000003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36067</v>
      </c>
      <c r="AW79" s="69">
        <f t="shared" si="10"/>
        <v>-1.7999999999999972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33.4</v>
      </c>
      <c r="L80" s="66">
        <v>32</v>
      </c>
      <c r="M80" s="66">
        <v>33.200000000000003</v>
      </c>
      <c r="N80" s="66"/>
      <c r="O80" s="66">
        <v>32.6</v>
      </c>
      <c r="P80" s="66">
        <v>33</v>
      </c>
      <c r="Q80" s="66">
        <v>31.2</v>
      </c>
      <c r="R80" s="66">
        <v>32.4</v>
      </c>
      <c r="S80" s="66" t="s">
        <v>1289</v>
      </c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7</v>
      </c>
      <c r="AQ80" s="68" t="str">
        <f t="shared" si="7"/>
        <v/>
      </c>
      <c r="AR80" s="68">
        <f>IFERROR(VLOOKUP(A80,Climatologia_TMAX!A:U,9+$E$2,FALSE),"")</f>
        <v>31.501529678282552</v>
      </c>
      <c r="AS80" s="68" t="str">
        <f t="shared" si="8"/>
        <v/>
      </c>
      <c r="AT80" s="74">
        <f t="shared" si="9"/>
        <v>33.4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34595</v>
      </c>
      <c r="AW80" s="69">
        <f t="shared" si="10"/>
        <v>-2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33.200000000000003</v>
      </c>
      <c r="L81" s="66">
        <v>31.8</v>
      </c>
      <c r="M81" s="66">
        <v>33</v>
      </c>
      <c r="N81" s="66">
        <v>32.799999999999997</v>
      </c>
      <c r="O81" s="66">
        <v>32</v>
      </c>
      <c r="P81" s="66">
        <v>33.200000000000003</v>
      </c>
      <c r="Q81" s="66">
        <v>30</v>
      </c>
      <c r="R81" s="66">
        <v>31.6</v>
      </c>
      <c r="S81" s="66">
        <v>32.6</v>
      </c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9</v>
      </c>
      <c r="AQ81" s="68" t="str">
        <f t="shared" si="7"/>
        <v/>
      </c>
      <c r="AR81" s="68">
        <f>IFERROR(VLOOKUP(A81,Climatologia_TMAX!A:U,9+$E$2,FALSE),"")</f>
        <v>31.10612903516844</v>
      </c>
      <c r="AS81" s="68" t="str">
        <f t="shared" si="8"/>
        <v/>
      </c>
      <c r="AT81" s="74">
        <f t="shared" si="9"/>
        <v>33.200000000000003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35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30572</v>
      </c>
      <c r="AW81" s="69">
        <f t="shared" si="10"/>
        <v>-1.7999999999999972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 t="s">
        <v>1289</v>
      </c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37.200000000000003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34.6</v>
      </c>
      <c r="L83" s="66">
        <v>34.200000000000003</v>
      </c>
      <c r="M83" s="66">
        <v>34</v>
      </c>
      <c r="N83" s="66">
        <v>32.4</v>
      </c>
      <c r="O83" s="66">
        <v>32.200000000000003</v>
      </c>
      <c r="P83" s="66">
        <v>33.200000000000003</v>
      </c>
      <c r="Q83" s="66">
        <v>32.200000000000003</v>
      </c>
      <c r="R83" s="66">
        <v>32.4</v>
      </c>
      <c r="S83" s="66">
        <v>30.2</v>
      </c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9</v>
      </c>
      <c r="AQ83" s="68" t="str">
        <f t="shared" si="7"/>
        <v/>
      </c>
      <c r="AR83" s="68">
        <f>IFERROR(VLOOKUP(A83,Climatologia_TMAX!A:U,9+$E$2,FALSE),"")</f>
        <v>31.067557033171731</v>
      </c>
      <c r="AS83" s="68" t="str">
        <f t="shared" si="8"/>
        <v/>
      </c>
      <c r="AT83" s="74">
        <f t="shared" si="9"/>
        <v>34.6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 t="s">
        <v>1289</v>
      </c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31.130643946570672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32.799999999999997</v>
      </c>
      <c r="L85" s="66">
        <v>32.200000000000003</v>
      </c>
      <c r="M85" s="66">
        <v>33.200000000000003</v>
      </c>
      <c r="N85" s="66">
        <v>31</v>
      </c>
      <c r="O85" s="66">
        <v>32.4</v>
      </c>
      <c r="P85" s="66">
        <v>32.6</v>
      </c>
      <c r="Q85" s="66">
        <v>31.2</v>
      </c>
      <c r="R85" s="66">
        <v>31</v>
      </c>
      <c r="S85" s="66">
        <v>32</v>
      </c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9</v>
      </c>
      <c r="AQ85" s="68" t="str">
        <f t="shared" si="7"/>
        <v/>
      </c>
      <c r="AR85" s="68">
        <f>IFERROR(VLOOKUP(A85,Climatologia_TMAX!A:U,9+$E$2,FALSE),"")</f>
        <v>31.130077169796991</v>
      </c>
      <c r="AS85" s="68" t="str">
        <f t="shared" si="8"/>
        <v/>
      </c>
      <c r="AT85" s="74">
        <f t="shared" si="9"/>
        <v>33.200000000000003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35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31681</v>
      </c>
      <c r="AW85" s="69">
        <f t="shared" si="10"/>
        <v>-1.7999999999999972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34</v>
      </c>
      <c r="L86" s="66">
        <v>33.799999999999997</v>
      </c>
      <c r="M86" s="66">
        <v>34.6</v>
      </c>
      <c r="N86" s="66">
        <v>32.799999999999997</v>
      </c>
      <c r="O86" s="66">
        <v>33.6</v>
      </c>
      <c r="P86" s="66">
        <v>31.6</v>
      </c>
      <c r="Q86" s="66">
        <v>33.6</v>
      </c>
      <c r="R86" s="66">
        <v>32.6</v>
      </c>
      <c r="S86" s="66">
        <v>29.6</v>
      </c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9</v>
      </c>
      <c r="AQ86" s="68" t="str">
        <f t="shared" si="7"/>
        <v/>
      </c>
      <c r="AR86" s="68">
        <f>IFERROR(VLOOKUP(A86,Climatologia_TMAX!A:U,9+$E$2,FALSE),"")</f>
        <v>31.174760699298879</v>
      </c>
      <c r="AS86" s="68" t="str">
        <f t="shared" si="8"/>
        <v/>
      </c>
      <c r="AT86" s="74">
        <f t="shared" si="9"/>
        <v>34.6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35.6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42268</v>
      </c>
      <c r="AW86" s="69">
        <f t="shared" si="10"/>
        <v>-1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33.799999999999997</v>
      </c>
      <c r="L87" s="66">
        <v>33.200000000000003</v>
      </c>
      <c r="M87" s="66">
        <v>32.799999999999997</v>
      </c>
      <c r="N87" s="66">
        <v>33.200000000000003</v>
      </c>
      <c r="O87" s="66">
        <v>33.4</v>
      </c>
      <c r="P87" s="66">
        <v>31.8</v>
      </c>
      <c r="Q87" s="66">
        <v>33.200000000000003</v>
      </c>
      <c r="R87" s="66">
        <v>31.2</v>
      </c>
      <c r="S87" s="66">
        <v>31.6</v>
      </c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9</v>
      </c>
      <c r="AQ87" s="68" t="str">
        <f t="shared" si="7"/>
        <v/>
      </c>
      <c r="AR87" s="68">
        <f>IFERROR(VLOOKUP(A87,Climatologia_TMAX!A:U,9+$E$2,FALSE),"")</f>
        <v>31.478230462470751</v>
      </c>
      <c r="AS87" s="68" t="str">
        <f t="shared" si="8"/>
        <v/>
      </c>
      <c r="AT87" s="74">
        <f t="shared" si="9"/>
        <v>33.799999999999997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35.6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87" s="69">
        <f t="shared" si="10"/>
        <v>-1.8000000000000043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 t="s">
        <v>1289</v>
      </c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33.172462502875547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37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 t="s">
        <v>1289</v>
      </c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29.442684432425821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35.4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30.4</v>
      </c>
      <c r="L90" s="66">
        <v>32</v>
      </c>
      <c r="M90" s="66">
        <v>31</v>
      </c>
      <c r="N90" s="66">
        <v>32.299999999999997</v>
      </c>
      <c r="O90" s="66">
        <v>30</v>
      </c>
      <c r="P90" s="66">
        <v>32.1</v>
      </c>
      <c r="Q90" s="66">
        <v>33</v>
      </c>
      <c r="R90" s="66">
        <v>29.2</v>
      </c>
      <c r="S90" s="66">
        <v>33.1</v>
      </c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9</v>
      </c>
      <c r="AQ90" s="68" t="str">
        <f t="shared" si="7"/>
        <v/>
      </c>
      <c r="AR90" s="68">
        <f>IFERROR(VLOOKUP(A90,Climatologia_TMAX!A:U,9+$E$2,FALSE),"")</f>
        <v>31.099937562083159</v>
      </c>
      <c r="AS90" s="68" t="str">
        <f t="shared" si="8"/>
        <v/>
      </c>
      <c r="AT90" s="74">
        <f t="shared" si="9"/>
        <v>33.1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34.799999999999997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42251</v>
      </c>
      <c r="AW90" s="69">
        <f t="shared" si="10"/>
        <v>-1.6999999999999957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</v>
      </c>
      <c r="M91" s="66">
        <v>34</v>
      </c>
      <c r="N91" s="66">
        <v>31.3</v>
      </c>
      <c r="O91" s="66"/>
      <c r="P91" s="66">
        <v>33.1</v>
      </c>
      <c r="Q91" s="66">
        <v>33</v>
      </c>
      <c r="R91" s="66">
        <v>32.299999999999997</v>
      </c>
      <c r="S91" s="66">
        <v>32.1</v>
      </c>
      <c r="T91" s="66"/>
      <c r="U91" s="66"/>
      <c r="V91" s="66"/>
      <c r="W91" s="66"/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8</v>
      </c>
      <c r="AQ91" s="68" t="str">
        <f t="shared" si="7"/>
        <v/>
      </c>
      <c r="AR91" s="68">
        <f>IFERROR(VLOOKUP(A91,Climatologia_TMAX!A:U,9+$E$2,FALSE),"")</f>
        <v>31.92355343062879</v>
      </c>
      <c r="AS91" s="68" t="str">
        <f t="shared" si="8"/>
        <v/>
      </c>
      <c r="AT91" s="74">
        <f t="shared" si="9"/>
        <v>34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35.799999999999997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91" s="69">
        <f t="shared" si="10"/>
        <v>-1.7999999999999972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/>
      <c r="L92" s="66"/>
      <c r="M92" s="66"/>
      <c r="N92" s="66"/>
      <c r="O92" s="66"/>
      <c r="P92" s="66"/>
      <c r="Q92" s="66"/>
      <c r="R92" s="66"/>
      <c r="S92" s="66" t="s">
        <v>1289</v>
      </c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0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 t="str">
        <f t="shared" si="9"/>
        <v/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35.799999999999997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92" s="69" t="str">
        <f t="shared" si="10"/>
        <v>NA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 t="s">
        <v>1289</v>
      </c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33.6</v>
      </c>
      <c r="L94" s="66">
        <v>33.799999999999997</v>
      </c>
      <c r="M94" s="66">
        <v>33</v>
      </c>
      <c r="N94" s="66">
        <v>32.4</v>
      </c>
      <c r="O94" s="66">
        <v>34</v>
      </c>
      <c r="P94" s="66">
        <v>29.4</v>
      </c>
      <c r="Q94" s="66">
        <v>33.4</v>
      </c>
      <c r="R94" s="66">
        <v>32.200000000000003</v>
      </c>
      <c r="S94" s="66" t="s">
        <v>1289</v>
      </c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8</v>
      </c>
      <c r="AQ94" s="68" t="str">
        <f t="shared" si="7"/>
        <v/>
      </c>
      <c r="AR94" s="68">
        <f>IFERROR(VLOOKUP(A94,Climatologia_TMAX!A:U,9+$E$2,FALSE),"")</f>
        <v>31.991304063769562</v>
      </c>
      <c r="AS94" s="68" t="str">
        <f t="shared" si="8"/>
        <v/>
      </c>
      <c r="AT94" s="74">
        <f t="shared" si="9"/>
        <v>34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35.6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94" s="69">
        <f t="shared" si="10"/>
        <v>-1.6000000000000014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 t="s">
        <v>1289</v>
      </c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 t="s">
        <v>1289</v>
      </c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31.463300492610841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 t="s">
        <v>1289</v>
      </c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30.835706904382899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34.200000000000003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 t="s">
        <v>1289</v>
      </c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30</v>
      </c>
      <c r="L99" s="66">
        <v>25.2</v>
      </c>
      <c r="M99" s="66">
        <v>25</v>
      </c>
      <c r="N99" s="66">
        <v>26.2</v>
      </c>
      <c r="O99" s="66">
        <v>26.4</v>
      </c>
      <c r="P99" s="66">
        <v>28</v>
      </c>
      <c r="Q99" s="66">
        <v>27</v>
      </c>
      <c r="R99" s="66">
        <v>29</v>
      </c>
      <c r="S99" s="66">
        <v>29.2</v>
      </c>
      <c r="T99" s="66"/>
      <c r="U99" s="109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9</v>
      </c>
      <c r="AQ99" s="68" t="str">
        <f t="shared" si="7"/>
        <v/>
      </c>
      <c r="AR99" s="68">
        <f>IFERROR(VLOOKUP(A99,Climatologia_TMAX!A:U,9+$E$2,FALSE),"")</f>
        <v>25.859893128991061</v>
      </c>
      <c r="AS99" s="68" t="str">
        <f t="shared" si="8"/>
        <v/>
      </c>
      <c r="AT99" s="74">
        <f t="shared" si="9"/>
        <v>30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32.1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99" s="69">
        <f t="shared" si="10"/>
        <v>-2.1000000000000014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38</v>
      </c>
      <c r="L100" s="66">
        <v>40</v>
      </c>
      <c r="M100" s="66">
        <v>37.200000000000003</v>
      </c>
      <c r="N100" s="66">
        <v>39.200000000000003</v>
      </c>
      <c r="O100" s="66">
        <v>40</v>
      </c>
      <c r="P100" s="66">
        <v>40.200000000000003</v>
      </c>
      <c r="Q100" s="66">
        <v>38.4</v>
      </c>
      <c r="R100" s="66">
        <v>41.2</v>
      </c>
      <c r="S100" s="66" t="s">
        <v>1289</v>
      </c>
      <c r="T100" s="66"/>
      <c r="U100" s="66"/>
      <c r="V100" s="66"/>
      <c r="W100" s="66"/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8</v>
      </c>
      <c r="AQ100" s="68" t="str">
        <f t="shared" si="7"/>
        <v/>
      </c>
      <c r="AR100" s="68">
        <f>IFERROR(VLOOKUP(A100,Climatologia_TMAX!A:U,9+$E$2,FALSE),"")</f>
        <v>36.623448411009093</v>
      </c>
      <c r="AS100" s="68" t="str">
        <f t="shared" si="8"/>
        <v/>
      </c>
      <c r="AT100" s="74">
        <f t="shared" si="9"/>
        <v>41.2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100" s="69">
        <f t="shared" si="10"/>
        <v>-2.7999999999999972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 t="s">
        <v>1289</v>
      </c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31.23544312169312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37.9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30941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33.6</v>
      </c>
      <c r="L102" s="66">
        <v>30.2</v>
      </c>
      <c r="M102" s="66">
        <v>29</v>
      </c>
      <c r="N102" s="66">
        <v>29.6</v>
      </c>
      <c r="O102" s="66">
        <v>29.8</v>
      </c>
      <c r="P102" s="66">
        <v>31</v>
      </c>
      <c r="Q102" s="66">
        <v>30.6</v>
      </c>
      <c r="R102" s="66">
        <v>31.6</v>
      </c>
      <c r="S102" s="66">
        <v>31</v>
      </c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9</v>
      </c>
      <c r="AQ102" s="68" t="str">
        <f t="shared" si="7"/>
        <v/>
      </c>
      <c r="AR102" s="68">
        <f>IFERROR(VLOOKUP(A102,Climatologia_TMAX!A:U,9+$E$2,FALSE),"")</f>
        <v>28.401216931216929</v>
      </c>
      <c r="AS102" s="68" t="str">
        <f t="shared" si="8"/>
        <v/>
      </c>
      <c r="AT102" s="74">
        <f t="shared" si="9"/>
        <v>33.6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34.200000000000003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02" s="69">
        <f t="shared" si="10"/>
        <v>-0.60000000000000142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 t="s">
        <v>1289</v>
      </c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23.522671264367808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28.6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42272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37.6</v>
      </c>
      <c r="L104" s="66">
        <v>39.4</v>
      </c>
      <c r="M104" s="66">
        <v>36.799999999999997</v>
      </c>
      <c r="N104" s="66">
        <v>38.6</v>
      </c>
      <c r="O104" s="66">
        <v>39.200000000000003</v>
      </c>
      <c r="P104" s="66">
        <v>39.4</v>
      </c>
      <c r="Q104" s="66">
        <v>37.6</v>
      </c>
      <c r="R104" s="66">
        <v>39.6</v>
      </c>
      <c r="S104" s="66">
        <v>38.6</v>
      </c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9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104" s="69">
        <f t="shared" si="10"/>
        <v>-1.3999999999999986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35.200000000000003</v>
      </c>
      <c r="L105" s="66">
        <v>30.4</v>
      </c>
      <c r="M105" s="66">
        <v>33.200000000000003</v>
      </c>
      <c r="N105" s="66">
        <v>32.6</v>
      </c>
      <c r="O105" s="66">
        <v>32.5</v>
      </c>
      <c r="P105" s="66">
        <v>32.799999999999997</v>
      </c>
      <c r="Q105" s="66">
        <v>32</v>
      </c>
      <c r="R105" s="66">
        <v>30.8</v>
      </c>
      <c r="S105" s="66">
        <v>29.6</v>
      </c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9</v>
      </c>
      <c r="AQ105" s="68" t="str">
        <f t="shared" si="7"/>
        <v/>
      </c>
      <c r="AR105" s="68">
        <f>IFERROR(VLOOKUP(A105,Climatologia_TMAX!A:U,9+$E$2,FALSE),"")</f>
        <v>31.333378216621981</v>
      </c>
      <c r="AS105" s="68" t="str">
        <f t="shared" si="8"/>
        <v/>
      </c>
      <c r="AT105" s="74">
        <f t="shared" si="9"/>
        <v>35.200000000000003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36416</v>
      </c>
      <c r="AW105" s="69">
        <f t="shared" si="10"/>
        <v>-1.3999999999999986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26.2</v>
      </c>
      <c r="L106" s="66">
        <v>28</v>
      </c>
      <c r="M106" s="66">
        <v>25.8</v>
      </c>
      <c r="N106" s="66">
        <v>25.6</v>
      </c>
      <c r="O106" s="66">
        <v>28.6</v>
      </c>
      <c r="P106" s="66">
        <v>27</v>
      </c>
      <c r="Q106" s="66"/>
      <c r="R106" s="66"/>
      <c r="S106" s="66">
        <v>27.8</v>
      </c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7</v>
      </c>
      <c r="AQ106" s="68" t="str">
        <f t="shared" si="7"/>
        <v/>
      </c>
      <c r="AR106" s="68">
        <f>IFERROR(VLOOKUP(A106,Climatologia_TMAX!A:U,9+$E$2,FALSE),"")</f>
        <v>25.893091954022989</v>
      </c>
      <c r="AS106" s="68" t="str">
        <f t="shared" si="8"/>
        <v/>
      </c>
      <c r="AT106" s="74">
        <f t="shared" si="9"/>
        <v>28.6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 t="s">
        <v>1289</v>
      </c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19.612304811231439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35679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35.4</v>
      </c>
      <c r="L108" s="66">
        <v>31.6</v>
      </c>
      <c r="M108" s="66">
        <v>33.799999999999997</v>
      </c>
      <c r="N108" s="66">
        <v>32.6</v>
      </c>
      <c r="O108" s="66">
        <v>33.4</v>
      </c>
      <c r="P108" s="66">
        <v>33.799999999999997</v>
      </c>
      <c r="Q108" s="66">
        <v>32.799999999999997</v>
      </c>
      <c r="R108" s="66">
        <v>31.6</v>
      </c>
      <c r="S108" s="66">
        <v>31.2</v>
      </c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9</v>
      </c>
      <c r="AQ108" s="68" t="str">
        <f t="shared" si="7"/>
        <v/>
      </c>
      <c r="AR108" s="68">
        <f>IFERROR(VLOOKUP(A108,Climatologia_TMAX!A:U,9+$E$2,FALSE),"")</f>
        <v>31.57003010399562</v>
      </c>
      <c r="AS108" s="68" t="str">
        <f t="shared" si="8"/>
        <v/>
      </c>
      <c r="AT108" s="74">
        <f t="shared" si="9"/>
        <v>35.4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37.200000000000003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08" s="69">
        <f t="shared" si="10"/>
        <v>-1.8000000000000043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31</v>
      </c>
      <c r="L109" s="66">
        <v>27.2</v>
      </c>
      <c r="M109" s="66">
        <v>27.8</v>
      </c>
      <c r="N109" s="66">
        <v>28.6</v>
      </c>
      <c r="O109" s="66">
        <v>26.2</v>
      </c>
      <c r="P109" s="66">
        <v>26.8</v>
      </c>
      <c r="Q109" s="66">
        <v>28.2</v>
      </c>
      <c r="R109" s="66">
        <v>29.4</v>
      </c>
      <c r="S109" s="66">
        <v>30</v>
      </c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9</v>
      </c>
      <c r="AQ109" s="68" t="str">
        <f t="shared" si="7"/>
        <v/>
      </c>
      <c r="AR109" s="68">
        <f>IFERROR(VLOOKUP(A109,Climatologia_TMAX!A:U,9+$E$2,FALSE),"")</f>
        <v>26.601765290194411</v>
      </c>
      <c r="AS109" s="68" t="str">
        <f t="shared" si="8"/>
        <v/>
      </c>
      <c r="AT109" s="74">
        <f t="shared" si="9"/>
        <v>31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32.799999999999997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109" s="69">
        <f t="shared" si="10"/>
        <v>-1.7999999999999972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 t="s">
        <v>1289</v>
      </c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34.193588457094208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38.700000000000003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36.200000000000003</v>
      </c>
      <c r="L111" s="66">
        <v>35.6</v>
      </c>
      <c r="M111" s="66">
        <v>37.4</v>
      </c>
      <c r="N111" s="66">
        <v>38.200000000000003</v>
      </c>
      <c r="O111" s="66">
        <v>37.6</v>
      </c>
      <c r="P111" s="66">
        <v>40.200000000000003</v>
      </c>
      <c r="Q111" s="66">
        <v>34.4</v>
      </c>
      <c r="R111" s="66">
        <v>37.799999999999997</v>
      </c>
      <c r="S111" s="66">
        <v>39.4</v>
      </c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9</v>
      </c>
      <c r="AQ111" s="68" t="str">
        <f t="shared" si="7"/>
        <v/>
      </c>
      <c r="AR111" s="68">
        <f>IFERROR(VLOOKUP(A111,Climatologia_TMAX!A:U,9+$E$2,FALSE),"")</f>
        <v>33.956722503192843</v>
      </c>
      <c r="AS111" s="68" t="str">
        <f t="shared" si="8"/>
        <v/>
      </c>
      <c r="AT111" s="74">
        <f t="shared" si="9"/>
        <v>40.200000000000003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39.799999999999997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111" s="69">
        <f t="shared" si="10"/>
        <v>0.40000000000000568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36.200000000000003</v>
      </c>
      <c r="M112" s="66">
        <v>36.4</v>
      </c>
      <c r="N112" s="66">
        <v>37</v>
      </c>
      <c r="O112" s="66">
        <v>36.799999999999997</v>
      </c>
      <c r="P112" s="66">
        <v>38.200000000000003</v>
      </c>
      <c r="Q112" s="66">
        <v>37.799999999999997</v>
      </c>
      <c r="R112" s="66">
        <v>36.6</v>
      </c>
      <c r="S112" s="66">
        <v>37.200000000000003</v>
      </c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9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38.200000000000003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42260</v>
      </c>
      <c r="AW112" s="69">
        <f t="shared" si="10"/>
        <v>-1.7999999999999972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 t="s">
        <v>1289</v>
      </c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34.603377433732113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40.799999999999997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33493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33</v>
      </c>
      <c r="L114" s="66">
        <v>36.4</v>
      </c>
      <c r="M114" s="66">
        <v>36.4</v>
      </c>
      <c r="N114" s="66">
        <v>36.200000000000003</v>
      </c>
      <c r="O114" s="66">
        <v>37.4</v>
      </c>
      <c r="P114" s="66">
        <v>34.6</v>
      </c>
      <c r="Q114" s="66">
        <v>33</v>
      </c>
      <c r="R114" s="115">
        <v>39</v>
      </c>
      <c r="S114" s="66">
        <v>39.4</v>
      </c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9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39.4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38.799999999999997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45173</v>
      </c>
      <c r="AW114" s="69">
        <f t="shared" si="10"/>
        <v>0.60000000000000142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33.4</v>
      </c>
      <c r="L115" s="66">
        <v>35.799999999999997</v>
      </c>
      <c r="M115" s="66">
        <v>38</v>
      </c>
      <c r="N115" s="66">
        <v>37.4</v>
      </c>
      <c r="O115" s="66">
        <v>38.4</v>
      </c>
      <c r="P115" s="66">
        <v>39.200000000000003</v>
      </c>
      <c r="Q115" s="66">
        <v>37.4</v>
      </c>
      <c r="R115" s="66">
        <v>38</v>
      </c>
      <c r="S115" s="66">
        <v>38.4</v>
      </c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9</v>
      </c>
      <c r="AQ115" s="68" t="str">
        <f t="shared" si="7"/>
        <v/>
      </c>
      <c r="AR115" s="68">
        <f>IFERROR(VLOOKUP(A115,Climatologia_TMAX!A:U,9+$E$2,FALSE),"")</f>
        <v>34.78786103005671</v>
      </c>
      <c r="AS115" s="68" t="str">
        <f t="shared" si="8"/>
        <v/>
      </c>
      <c r="AT115" s="74">
        <f t="shared" si="9"/>
        <v>39.200000000000003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40.4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115" s="69">
        <f t="shared" si="10"/>
        <v>-1.1999999999999957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 t="s">
        <v>1289</v>
      </c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38.6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30560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 t="s">
        <v>1289</v>
      </c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33.646480106100803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40447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35.4</v>
      </c>
      <c r="L118" s="66">
        <v>36</v>
      </c>
      <c r="M118" s="66">
        <v>35.6</v>
      </c>
      <c r="N118" s="66">
        <v>38.4</v>
      </c>
      <c r="O118" s="66">
        <v>37.4</v>
      </c>
      <c r="P118" s="66">
        <v>38</v>
      </c>
      <c r="Q118" s="66">
        <v>34.200000000000003</v>
      </c>
      <c r="R118" s="66">
        <v>38</v>
      </c>
      <c r="S118" s="66">
        <v>38.200000000000003</v>
      </c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9</v>
      </c>
      <c r="AQ118" s="68" t="str">
        <f t="shared" si="7"/>
        <v/>
      </c>
      <c r="AR118" s="68">
        <f>IFERROR(VLOOKUP(A118,Climatologia_TMAX!A:U,9+$E$2,FALSE),"")</f>
        <v>33.363033585720373</v>
      </c>
      <c r="AS118" s="68" t="str">
        <f t="shared" si="8"/>
        <v/>
      </c>
      <c r="AT118" s="74">
        <f t="shared" si="9"/>
        <v>38.4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39.799999999999997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38606</v>
      </c>
      <c r="AW118" s="69">
        <f t="shared" si="10"/>
        <v>-1.3999999999999986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34.200000000000003</v>
      </c>
      <c r="L119" s="66">
        <v>36.4</v>
      </c>
      <c r="M119" s="66">
        <v>36.6</v>
      </c>
      <c r="N119" s="66">
        <v>36.799999999999997</v>
      </c>
      <c r="O119" s="66">
        <v>37</v>
      </c>
      <c r="P119" s="66">
        <v>38</v>
      </c>
      <c r="Q119" s="66">
        <v>32.6</v>
      </c>
      <c r="R119" s="66">
        <v>39.200000000000003</v>
      </c>
      <c r="S119" s="66">
        <v>40.4</v>
      </c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9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40.4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39.6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44095</v>
      </c>
      <c r="AW119" s="69">
        <f t="shared" si="10"/>
        <v>0.79999999999999716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34.799999999999997</v>
      </c>
      <c r="L120" s="66">
        <v>36.6</v>
      </c>
      <c r="M120" s="66">
        <v>37</v>
      </c>
      <c r="N120" s="66">
        <v>37</v>
      </c>
      <c r="O120" s="66">
        <v>39.200000000000003</v>
      </c>
      <c r="P120" s="66">
        <v>36.799999999999997</v>
      </c>
      <c r="Q120" s="66">
        <v>35.4</v>
      </c>
      <c r="R120" s="66">
        <v>39.799999999999997</v>
      </c>
      <c r="S120" s="66">
        <v>42</v>
      </c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9</v>
      </c>
      <c r="AQ120" s="68" t="str">
        <f t="shared" si="7"/>
        <v/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42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38.200000000000003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33495</v>
      </c>
      <c r="AW120" s="69">
        <f t="shared" si="10"/>
        <v>3.7999999999999972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 t="s">
        <v>1289</v>
      </c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20.83033951131431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27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30928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28.2</v>
      </c>
      <c r="L122" s="66">
        <v>29.8</v>
      </c>
      <c r="M122" s="66">
        <v>30.4</v>
      </c>
      <c r="N122" s="66">
        <v>29.2</v>
      </c>
      <c r="O122" s="66">
        <v>32.4</v>
      </c>
      <c r="P122" s="66">
        <v>30.2</v>
      </c>
      <c r="Q122" s="66">
        <v>27.8</v>
      </c>
      <c r="R122" s="66">
        <v>29.8</v>
      </c>
      <c r="S122" s="66">
        <v>30.4</v>
      </c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9</v>
      </c>
      <c r="AQ122" s="68" t="str">
        <f t="shared" si="7"/>
        <v/>
      </c>
      <c r="AR122" s="68">
        <f>IFERROR(VLOOKUP(A122,Climatologia_TMAX!A:U,9+$E$2,FALSE),"")</f>
        <v>28.13066666666667</v>
      </c>
      <c r="AS122" s="68" t="str">
        <f t="shared" si="8"/>
        <v/>
      </c>
      <c r="AT122" s="74">
        <f t="shared" si="9"/>
        <v>32.4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33.200000000000003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37507</v>
      </c>
      <c r="AW122" s="69">
        <f t="shared" si="10"/>
        <v>-0.80000000000000426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32.6</v>
      </c>
      <c r="L123" s="66">
        <v>32.4</v>
      </c>
      <c r="M123" s="66">
        <v>33.200000000000003</v>
      </c>
      <c r="N123" s="66">
        <v>32.200000000000003</v>
      </c>
      <c r="O123" s="66">
        <v>32</v>
      </c>
      <c r="P123" s="66">
        <v>30.8</v>
      </c>
      <c r="Q123" s="66">
        <v>32.799999999999997</v>
      </c>
      <c r="R123" s="66">
        <v>31.4</v>
      </c>
      <c r="S123" s="66">
        <v>32.799999999999997</v>
      </c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9</v>
      </c>
      <c r="AQ123" s="68" t="str">
        <f t="shared" si="7"/>
        <v/>
      </c>
      <c r="AR123" s="68">
        <f>IFERROR(VLOOKUP(A123,Climatologia_TMAX!A:U,9+$E$2,FALSE),"")</f>
        <v>30.61551559934319</v>
      </c>
      <c r="AS123" s="68" t="str">
        <f t="shared" si="8"/>
        <v/>
      </c>
      <c r="AT123" s="74">
        <f t="shared" si="9"/>
        <v>33.200000000000003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23" s="69">
        <f t="shared" si="10"/>
        <v>-1.7999999999999972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34.200000000000003</v>
      </c>
      <c r="L124" s="66">
        <v>33</v>
      </c>
      <c r="M124" s="66">
        <v>33</v>
      </c>
      <c r="N124" s="66">
        <v>32.6</v>
      </c>
      <c r="O124" s="66">
        <v>33.4</v>
      </c>
      <c r="P124" s="66">
        <v>31.8</v>
      </c>
      <c r="Q124" s="66">
        <v>33.6</v>
      </c>
      <c r="R124" s="66">
        <v>32.4</v>
      </c>
      <c r="S124" s="66">
        <v>33.799999999999997</v>
      </c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9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34.200000000000003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35.6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45926</v>
      </c>
      <c r="AW124" s="69">
        <f t="shared" si="10"/>
        <v>-1.3999999999999986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 t="s">
        <v>1289</v>
      </c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 t="s">
        <v>1289</v>
      </c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26.4</v>
      </c>
      <c r="L127" s="66">
        <v>27</v>
      </c>
      <c r="M127" s="66">
        <v>27.2</v>
      </c>
      <c r="N127" s="66">
        <v>27.2</v>
      </c>
      <c r="O127" s="66">
        <v>27</v>
      </c>
      <c r="P127" s="66">
        <v>25.4</v>
      </c>
      <c r="Q127" s="66">
        <v>28.6</v>
      </c>
      <c r="R127" s="66">
        <v>27</v>
      </c>
      <c r="S127" s="66">
        <v>29</v>
      </c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9</v>
      </c>
      <c r="AQ127" s="68" t="str">
        <f t="shared" si="7"/>
        <v/>
      </c>
      <c r="AR127" s="68">
        <f>IFERROR(VLOOKUP(A127,Climatologia_TMAX!A:U,9+$E$2,FALSE),"")</f>
        <v>24.09794521944821</v>
      </c>
      <c r="AS127" s="68" t="str">
        <f t="shared" si="8"/>
        <v/>
      </c>
      <c r="AT127" s="74">
        <f t="shared" si="9"/>
        <v>29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40075</v>
      </c>
      <c r="AW127" s="69">
        <f t="shared" si="10"/>
        <v>0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21</v>
      </c>
      <c r="L128" s="66">
        <v>22.4</v>
      </c>
      <c r="M128" s="66">
        <v>23</v>
      </c>
      <c r="N128" s="66">
        <v>23</v>
      </c>
      <c r="O128" s="66">
        <v>23.4</v>
      </c>
      <c r="P128" s="66">
        <v>23.8</v>
      </c>
      <c r="Q128" s="66">
        <v>21</v>
      </c>
      <c r="R128" s="66">
        <v>25.2</v>
      </c>
      <c r="S128" s="66">
        <v>25.4</v>
      </c>
      <c r="T128" s="66"/>
      <c r="U128" s="66"/>
      <c r="V128" s="66"/>
      <c r="W128" s="115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9</v>
      </c>
      <c r="AQ128" s="68" t="str">
        <f t="shared" si="7"/>
        <v/>
      </c>
      <c r="AR128" s="68">
        <f>IFERROR(VLOOKUP(A128,Climatologia_TMAX!A:U,9+$E$2,FALSE),"")</f>
        <v>19.967338391365981</v>
      </c>
      <c r="AS128" s="68" t="str">
        <f t="shared" si="8"/>
        <v/>
      </c>
      <c r="AT128" s="74">
        <f t="shared" si="9"/>
        <v>25.4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26.2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28" s="69">
        <f t="shared" si="10"/>
        <v>-0.80000000000000071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28.6</v>
      </c>
      <c r="L129" s="66">
        <v>28.2</v>
      </c>
      <c r="M129" s="66">
        <v>26.2</v>
      </c>
      <c r="N129" s="66"/>
      <c r="O129" s="66"/>
      <c r="P129" s="66"/>
      <c r="Q129" s="66">
        <v>27.4</v>
      </c>
      <c r="R129" s="66">
        <v>25.6</v>
      </c>
      <c r="S129" s="66">
        <v>27.8</v>
      </c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6</v>
      </c>
      <c r="AQ129" s="68" t="str">
        <f t="shared" si="7"/>
        <v/>
      </c>
      <c r="AR129" s="68">
        <f>IFERROR(VLOOKUP(A129,Climatologia_TMAX!A:U,9+$E$2,FALSE),"")</f>
        <v>26.02358363374416</v>
      </c>
      <c r="AS129" s="68" t="str">
        <f t="shared" si="8"/>
        <v/>
      </c>
      <c r="AT129" s="74">
        <f t="shared" si="9"/>
        <v>28.6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31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129" s="69">
        <f t="shared" si="10"/>
        <v>-2.3999999999999986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 t="s">
        <v>1289</v>
      </c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33.508208271932411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40.200000000000003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45194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>
        <v>20</v>
      </c>
      <c r="L131" s="66"/>
      <c r="M131" s="66"/>
      <c r="N131" s="66"/>
      <c r="O131" s="66"/>
      <c r="P131" s="66"/>
      <c r="Q131" s="66"/>
      <c r="R131" s="66"/>
      <c r="S131" s="66" t="s">
        <v>1289</v>
      </c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1</v>
      </c>
      <c r="AQ131" s="68" t="str">
        <f t="shared" si="7"/>
        <v/>
      </c>
      <c r="AR131" s="68">
        <f>IFERROR(VLOOKUP(A131,Climatologia_TMAX!A:U,9+$E$2,FALSE),"")</f>
        <v>20.62</v>
      </c>
      <c r="AS131" s="68" t="str">
        <f t="shared" si="8"/>
        <v/>
      </c>
      <c r="AT131" s="74">
        <f t="shared" si="9"/>
        <v>20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 t="s">
        <v>1289</v>
      </c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21.76246536196923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26.4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35678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/>
      <c r="L133" s="66">
        <v>19.2</v>
      </c>
      <c r="M133" s="66">
        <v>19.600000000000001</v>
      </c>
      <c r="N133" s="66"/>
      <c r="O133" s="66">
        <v>19</v>
      </c>
      <c r="P133" s="66"/>
      <c r="Q133" s="66">
        <v>18.399999999999999</v>
      </c>
      <c r="R133" s="66">
        <v>17.8</v>
      </c>
      <c r="S133" s="66">
        <v>17.8</v>
      </c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6</v>
      </c>
      <c r="AQ133" s="68" t="str">
        <f t="shared" ref="AQ133:AQ196" si="12">IF(AP133&gt;14,AVERAGE(K133:AO133),"")</f>
        <v/>
      </c>
      <c r="AR133" s="68">
        <f>IFERROR(VLOOKUP(A133,Climatologia_TMAX!A:U,9+$E$2,FALSE),"")</f>
        <v>16.79442268577645</v>
      </c>
      <c r="AS133" s="68" t="str">
        <f t="shared" ref="AS133:AS196" si="13">IF(OR(AQ133="",AR133=""),"",IFERROR(AQ133-AR133,""))</f>
        <v/>
      </c>
      <c r="AT133" s="74">
        <f t="shared" ref="AT133:AT196" si="14">IF(COUNT(K133:AO133)=0,"",MAX(K133:AO133))</f>
        <v>19.600000000000001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 t="s">
        <v>1289</v>
      </c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23</v>
      </c>
      <c r="L135" s="66">
        <v>23.6</v>
      </c>
      <c r="M135" s="66">
        <v>24.2</v>
      </c>
      <c r="N135" s="66">
        <v>23.4</v>
      </c>
      <c r="O135" s="66">
        <v>24.6</v>
      </c>
      <c r="P135" s="66">
        <v>23.8</v>
      </c>
      <c r="Q135" s="66">
        <v>24.2</v>
      </c>
      <c r="R135" s="66">
        <v>23.4</v>
      </c>
      <c r="S135" s="66">
        <v>22.4</v>
      </c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9</v>
      </c>
      <c r="AQ135" s="68" t="str">
        <f t="shared" si="12"/>
        <v/>
      </c>
      <c r="AR135" s="68">
        <f>IFERROR(VLOOKUP(A135,Climatologia_TMAX!A:U,9+$E$2,FALSE),"")</f>
        <v>24.414423280423279</v>
      </c>
      <c r="AS135" s="68" t="str">
        <f t="shared" si="13"/>
        <v/>
      </c>
      <c r="AT135" s="74">
        <f t="shared" si="14"/>
        <v>24.6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43715</v>
      </c>
      <c r="AW135" s="69">
        <f t="shared" si="15"/>
        <v>-3.7999999999999972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 t="s">
        <v>1289</v>
      </c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 t="s">
        <v>1289</v>
      </c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21.9</v>
      </c>
      <c r="L138" s="66">
        <v>21</v>
      </c>
      <c r="M138" s="66">
        <v>22</v>
      </c>
      <c r="N138" s="66">
        <v>23</v>
      </c>
      <c r="O138" s="66">
        <v>22.4</v>
      </c>
      <c r="P138" s="66">
        <v>20.8</v>
      </c>
      <c r="Q138" s="66">
        <v>19.7</v>
      </c>
      <c r="R138" s="115">
        <v>23.6</v>
      </c>
      <c r="S138" s="66">
        <v>24</v>
      </c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9</v>
      </c>
      <c r="AQ138" s="68" t="str">
        <f t="shared" si="12"/>
        <v/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24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23.6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138" s="69">
        <f t="shared" si="15"/>
        <v>0.39999999999999858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23.2</v>
      </c>
      <c r="L139" s="66">
        <v>23.8</v>
      </c>
      <c r="M139" s="66">
        <v>21.6</v>
      </c>
      <c r="N139" s="66">
        <v>21.2</v>
      </c>
      <c r="O139" s="66">
        <v>23</v>
      </c>
      <c r="P139" s="66">
        <v>22.8</v>
      </c>
      <c r="Q139" s="66">
        <v>22.6</v>
      </c>
      <c r="R139" s="66">
        <v>20.6</v>
      </c>
      <c r="S139" s="66">
        <v>22.2</v>
      </c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9</v>
      </c>
      <c r="AQ139" s="68" t="str">
        <f t="shared" si="12"/>
        <v/>
      </c>
      <c r="AR139" s="68">
        <f>IFERROR(VLOOKUP(A139,Climatologia_TMAX!A:U,9+$E$2,FALSE),"")</f>
        <v>21.860804597701151</v>
      </c>
      <c r="AS139" s="68" t="str">
        <f t="shared" si="13"/>
        <v/>
      </c>
      <c r="AT139" s="74">
        <f t="shared" si="14"/>
        <v>23.8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26.6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30201</v>
      </c>
      <c r="AW139" s="69">
        <f t="shared" si="15"/>
        <v>-2.8000000000000007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/>
      <c r="L140" s="66"/>
      <c r="M140" s="66"/>
      <c r="N140" s="66"/>
      <c r="O140" s="66"/>
      <c r="P140" s="66"/>
      <c r="Q140" s="66"/>
      <c r="R140" s="66"/>
      <c r="S140" s="66" t="s">
        <v>1289</v>
      </c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0</v>
      </c>
      <c r="AQ140" s="68" t="str">
        <f t="shared" si="12"/>
        <v/>
      </c>
      <c r="AR140" s="68">
        <f>IFERROR(VLOOKUP(A140,Climatologia_TMAX!A:U,9+$E$2,FALSE),"")</f>
        <v>21.97407966683922</v>
      </c>
      <c r="AS140" s="68" t="str">
        <f t="shared" si="13"/>
        <v/>
      </c>
      <c r="AT140" s="74" t="str">
        <f t="shared" si="14"/>
        <v/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26.8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45540</v>
      </c>
      <c r="AW140" s="69" t="str">
        <f t="shared" si="15"/>
        <v>NA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</v>
      </c>
      <c r="M141" s="66">
        <v>18.600000000000001</v>
      </c>
      <c r="N141" s="66">
        <v>19.8</v>
      </c>
      <c r="O141" s="66">
        <v>17.600000000000001</v>
      </c>
      <c r="P141" s="66">
        <v>17.2</v>
      </c>
      <c r="Q141" s="66">
        <v>18.600000000000001</v>
      </c>
      <c r="R141" s="66">
        <v>19.600000000000001</v>
      </c>
      <c r="S141" s="66">
        <v>20.6</v>
      </c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9</v>
      </c>
      <c r="AQ141" s="68" t="str">
        <f t="shared" si="12"/>
        <v/>
      </c>
      <c r="AR141" s="68">
        <f>IFERROR(VLOOKUP(A141,Climatologia_TMAX!A:U,9+$E$2,FALSE),"")</f>
        <v>18.581666666666671</v>
      </c>
      <c r="AS141" s="68" t="str">
        <f t="shared" si="13"/>
        <v/>
      </c>
      <c r="AT141" s="74">
        <f t="shared" si="14"/>
        <v>20.6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23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39334</v>
      </c>
      <c r="AW141" s="69">
        <f t="shared" si="15"/>
        <v>-2.3999999999999986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19</v>
      </c>
      <c r="L142" s="66">
        <v>17.8</v>
      </c>
      <c r="M142" s="66">
        <v>17.399999999999999</v>
      </c>
      <c r="N142" s="66">
        <v>16.2</v>
      </c>
      <c r="O142" s="66">
        <v>17.600000000000001</v>
      </c>
      <c r="P142" s="66">
        <v>17.399999999999999</v>
      </c>
      <c r="Q142" s="66">
        <v>18.2</v>
      </c>
      <c r="R142" s="66">
        <v>16</v>
      </c>
      <c r="S142" s="66">
        <v>19.600000000000001</v>
      </c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9</v>
      </c>
      <c r="AQ142" s="68" t="str">
        <f t="shared" si="12"/>
        <v/>
      </c>
      <c r="AR142" s="68">
        <f>IFERROR(VLOOKUP(A142,Climatologia_TMAX!A:U,9+$E$2,FALSE),"")</f>
        <v>18.785310944301099</v>
      </c>
      <c r="AS142" s="68" t="str">
        <f t="shared" si="13"/>
        <v/>
      </c>
      <c r="AT142" s="74">
        <f t="shared" si="14"/>
        <v>19.600000000000001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23.8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42643</v>
      </c>
      <c r="AW142" s="69">
        <f t="shared" si="15"/>
        <v>-4.1999999999999993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/>
      <c r="L143" s="66">
        <v>34.200000000000003</v>
      </c>
      <c r="M143" s="66">
        <v>33.4</v>
      </c>
      <c r="N143" s="66">
        <v>34</v>
      </c>
      <c r="O143" s="66">
        <v>32.200000000000003</v>
      </c>
      <c r="P143" s="66"/>
      <c r="Q143" s="66">
        <v>33</v>
      </c>
      <c r="R143" s="66">
        <v>32</v>
      </c>
      <c r="S143" s="66">
        <v>33</v>
      </c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7</v>
      </c>
      <c r="AQ143" s="68" t="str">
        <f t="shared" si="12"/>
        <v/>
      </c>
      <c r="AR143" s="68">
        <f>IFERROR(VLOOKUP(A143,Climatologia_TMAX!A:U,9+$E$2,FALSE),"")</f>
        <v>31.481520525451561</v>
      </c>
      <c r="AS143" s="68" t="str">
        <f t="shared" si="13"/>
        <v/>
      </c>
      <c r="AT143" s="74">
        <f t="shared" si="14"/>
        <v>34.200000000000003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35.200000000000003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45184</v>
      </c>
      <c r="AW143" s="69">
        <f t="shared" si="15"/>
        <v>-1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 t="s">
        <v>1289</v>
      </c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27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40449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>
        <v>22.4</v>
      </c>
      <c r="L145" s="66">
        <v>22.2</v>
      </c>
      <c r="M145" s="66">
        <v>23.2</v>
      </c>
      <c r="N145" s="66">
        <v>22.2</v>
      </c>
      <c r="O145" s="66">
        <v>22.2</v>
      </c>
      <c r="P145" s="66">
        <v>21.4</v>
      </c>
      <c r="Q145" s="66">
        <v>23</v>
      </c>
      <c r="R145" s="66">
        <v>23.4</v>
      </c>
      <c r="S145" s="66">
        <v>24.4</v>
      </c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9</v>
      </c>
      <c r="AQ145" s="68" t="str">
        <f t="shared" si="12"/>
        <v/>
      </c>
      <c r="AR145" s="68">
        <f>IFERROR(VLOOKUP(A145,Climatologia_TMAX!A:U,9+$E$2,FALSE),"")</f>
        <v>21.467271711366539</v>
      </c>
      <c r="AS145" s="68" t="str">
        <f t="shared" si="13"/>
        <v/>
      </c>
      <c r="AT145" s="74">
        <f t="shared" si="14"/>
        <v>24.4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26.2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40073</v>
      </c>
      <c r="AW145" s="69">
        <f t="shared" si="15"/>
        <v>-1.8000000000000007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20.6</v>
      </c>
      <c r="L146" s="66">
        <v>21.4</v>
      </c>
      <c r="M146" s="66">
        <v>21.6</v>
      </c>
      <c r="N146" s="66">
        <v>21.8</v>
      </c>
      <c r="O146" s="66">
        <v>21</v>
      </c>
      <c r="P146" s="66">
        <v>20.6</v>
      </c>
      <c r="Q146" s="66">
        <v>20.8</v>
      </c>
      <c r="R146" s="66">
        <v>22.6</v>
      </c>
      <c r="S146" s="66">
        <v>23</v>
      </c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9</v>
      </c>
      <c r="AQ146" s="68" t="str">
        <f t="shared" si="12"/>
        <v/>
      </c>
      <c r="AR146" s="68">
        <f>IFERROR(VLOOKUP(A146,Climatologia_TMAX!A:U,9+$E$2,FALSE),"")</f>
        <v>21.55397335070656</v>
      </c>
      <c r="AS146" s="68" t="str">
        <f t="shared" si="13"/>
        <v/>
      </c>
      <c r="AT146" s="74">
        <f t="shared" si="14"/>
        <v>23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26.8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40085</v>
      </c>
      <c r="AW146" s="69">
        <f t="shared" si="15"/>
        <v>-3.8000000000000007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>
        <v>23.8</v>
      </c>
      <c r="L147" s="66">
        <v>22</v>
      </c>
      <c r="M147" s="66">
        <v>21</v>
      </c>
      <c r="N147" s="66">
        <v>21.6</v>
      </c>
      <c r="O147" s="66">
        <v>23.6</v>
      </c>
      <c r="P147" s="66"/>
      <c r="Q147" s="66">
        <v>21.6</v>
      </c>
      <c r="R147" s="66">
        <v>21</v>
      </c>
      <c r="S147" s="66">
        <v>23</v>
      </c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8</v>
      </c>
      <c r="AQ147" s="68" t="str">
        <f t="shared" si="12"/>
        <v/>
      </c>
      <c r="AR147" s="68">
        <f>IFERROR(VLOOKUP(A147,Climatologia_TMAX!A:U,9+$E$2,FALSE),"")</f>
        <v>23.05814951651158</v>
      </c>
      <c r="AS147" s="68" t="str">
        <f t="shared" si="13"/>
        <v/>
      </c>
      <c r="AT147" s="74">
        <f t="shared" si="14"/>
        <v>23.8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27.8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44092</v>
      </c>
      <c r="AW147" s="69">
        <f t="shared" si="15"/>
        <v>-4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27.4</v>
      </c>
      <c r="L148" s="66">
        <v>27.6</v>
      </c>
      <c r="M148" s="66">
        <v>28.2</v>
      </c>
      <c r="N148" s="66">
        <v>27.2</v>
      </c>
      <c r="O148" s="66">
        <v>26.2</v>
      </c>
      <c r="P148" s="66">
        <v>26.2</v>
      </c>
      <c r="Q148" s="66">
        <v>27.6</v>
      </c>
      <c r="R148" s="66">
        <v>25.2</v>
      </c>
      <c r="S148" s="66">
        <v>26.2</v>
      </c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9</v>
      </c>
      <c r="AQ148" s="68" t="str">
        <f t="shared" si="12"/>
        <v/>
      </c>
      <c r="AR148" s="68">
        <f>IFERROR(VLOOKUP(A148,Climatologia_TMAX!A:U,9+$E$2,FALSE),"")</f>
        <v>26.452733077905489</v>
      </c>
      <c r="AS148" s="68" t="str">
        <f t="shared" si="13"/>
        <v/>
      </c>
      <c r="AT148" s="74">
        <f t="shared" si="14"/>
        <v>28.2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31.4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44819</v>
      </c>
      <c r="AW148" s="69">
        <f t="shared" si="15"/>
        <v>-3.1999999999999993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 t="s">
        <v>1289</v>
      </c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33.503528735632187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36.6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45543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 t="s">
        <v>1289</v>
      </c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30.146999999999998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40796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35.200000000000003</v>
      </c>
      <c r="L151" s="66"/>
      <c r="M151" s="66"/>
      <c r="N151" s="66"/>
      <c r="O151" s="66">
        <v>35</v>
      </c>
      <c r="P151" s="66">
        <v>34</v>
      </c>
      <c r="Q151" s="66">
        <v>34.6</v>
      </c>
      <c r="R151" s="66">
        <v>34</v>
      </c>
      <c r="S151" s="66">
        <v>34.799999999999997</v>
      </c>
      <c r="T151" s="66"/>
      <c r="U151" s="66"/>
      <c r="V151" s="66"/>
      <c r="W151" s="66"/>
      <c r="X151" s="66"/>
      <c r="Y151" s="66"/>
      <c r="Z151" s="107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6</v>
      </c>
      <c r="AQ151" s="68" t="str">
        <f t="shared" si="12"/>
        <v/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35.200000000000003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/>
      <c r="L152" s="66"/>
      <c r="M152" s="66"/>
      <c r="N152" s="66"/>
      <c r="O152" s="66"/>
      <c r="P152" s="66"/>
      <c r="Q152" s="66"/>
      <c r="R152" s="66"/>
      <c r="S152" s="66" t="s">
        <v>1289</v>
      </c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0</v>
      </c>
      <c r="AQ152" s="68" t="str">
        <f t="shared" si="12"/>
        <v/>
      </c>
      <c r="AR152" s="68">
        <f>IFERROR(VLOOKUP(A152,Climatologia_TMAX!A:U,9+$E$2,FALSE),"")</f>
        <v>21.3755612244898</v>
      </c>
      <c r="AS152" s="68" t="str">
        <f t="shared" si="13"/>
        <v/>
      </c>
      <c r="AT152" s="74" t="str">
        <f t="shared" si="14"/>
        <v/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19.2</v>
      </c>
      <c r="L153" s="66">
        <v>19.600000000000001</v>
      </c>
      <c r="M153" s="66">
        <v>19.2</v>
      </c>
      <c r="N153" s="66">
        <v>20.8</v>
      </c>
      <c r="O153" s="66">
        <v>19.600000000000001</v>
      </c>
      <c r="P153" s="66">
        <v>20.6</v>
      </c>
      <c r="Q153" s="66">
        <v>19.8</v>
      </c>
      <c r="R153" s="66">
        <v>20.6</v>
      </c>
      <c r="S153" s="66">
        <v>21.8</v>
      </c>
      <c r="T153" s="109"/>
      <c r="U153" s="66"/>
      <c r="V153" s="66"/>
      <c r="W153" s="66"/>
      <c r="X153" s="110"/>
      <c r="Y153" s="114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9</v>
      </c>
      <c r="AQ153" s="68" t="str">
        <f t="shared" si="12"/>
        <v/>
      </c>
      <c r="AR153" s="68">
        <f>IFERROR(VLOOKUP(A153,Climatologia_TMAX!A:U,9+$E$2,FALSE),"")</f>
        <v>18.093990147783249</v>
      </c>
      <c r="AS153" s="68" t="str">
        <f t="shared" si="13"/>
        <v/>
      </c>
      <c r="AT153" s="74">
        <f t="shared" si="14"/>
        <v>21.8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23.4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34954</v>
      </c>
      <c r="AW153" s="69">
        <f t="shared" si="15"/>
        <v>-1.5999999999999979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19.600000000000001</v>
      </c>
      <c r="L154" s="66">
        <v>18.2</v>
      </c>
      <c r="M154" s="66">
        <v>16.8</v>
      </c>
      <c r="N154" s="66">
        <v>18.399999999999999</v>
      </c>
      <c r="O154" s="66">
        <v>16.8</v>
      </c>
      <c r="P154" s="66">
        <v>17.8</v>
      </c>
      <c r="Q154" s="66">
        <v>17.8</v>
      </c>
      <c r="R154" s="66">
        <v>18.399999999999999</v>
      </c>
      <c r="S154" s="66">
        <v>20.2</v>
      </c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9</v>
      </c>
      <c r="AQ154" s="68" t="str">
        <f t="shared" si="12"/>
        <v/>
      </c>
      <c r="AR154" s="68">
        <f>IFERROR(VLOOKUP(A154,Climatologia_TMAX!A:U,9+$E$2,FALSE),"")</f>
        <v>18.64260102992246</v>
      </c>
      <c r="AS154" s="68" t="str">
        <f t="shared" si="13"/>
        <v/>
      </c>
      <c r="AT154" s="74">
        <f t="shared" si="14"/>
        <v>20.2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54" s="69">
        <f t="shared" si="15"/>
        <v>-3.1999999999999993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 t="s">
        <v>1289</v>
      </c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24.024060320267221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20.2</v>
      </c>
      <c r="L156" s="66">
        <v>21</v>
      </c>
      <c r="M156" s="66">
        <v>18.399999999999999</v>
      </c>
      <c r="N156" s="66">
        <v>21.4</v>
      </c>
      <c r="O156" s="66">
        <v>19.8</v>
      </c>
      <c r="P156" s="66">
        <v>20.399999999999999</v>
      </c>
      <c r="Q156" s="66">
        <v>21.8</v>
      </c>
      <c r="R156" s="66">
        <v>19.600000000000001</v>
      </c>
      <c r="S156" s="66">
        <v>22</v>
      </c>
      <c r="T156" s="66"/>
      <c r="U156" s="66"/>
      <c r="V156" s="66"/>
      <c r="W156" s="66"/>
      <c r="X156" s="110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9</v>
      </c>
      <c r="AQ156" s="68" t="str">
        <f t="shared" si="12"/>
        <v/>
      </c>
      <c r="AR156" s="68">
        <f>IFERROR(VLOOKUP(A156,Climatologia_TMAX!A:U,9+$E$2,FALSE),"")</f>
        <v>21.040558620689659</v>
      </c>
      <c r="AS156" s="68" t="str">
        <f t="shared" si="13"/>
        <v/>
      </c>
      <c r="AT156" s="74">
        <f t="shared" si="14"/>
        <v>22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25.2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35317</v>
      </c>
      <c r="AW156" s="69">
        <f t="shared" si="15"/>
        <v>-3.1999999999999993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 t="s">
        <v>1289</v>
      </c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25</v>
      </c>
      <c r="L158" s="66">
        <v>23</v>
      </c>
      <c r="M158" s="66">
        <v>22.8</v>
      </c>
      <c r="N158" s="66">
        <v>21.8</v>
      </c>
      <c r="O158" s="66">
        <v>23.4</v>
      </c>
      <c r="P158" s="66">
        <v>24.4</v>
      </c>
      <c r="Q158" s="66">
        <v>24.4</v>
      </c>
      <c r="R158" s="66">
        <v>22.6</v>
      </c>
      <c r="S158" s="66">
        <v>24.2</v>
      </c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9</v>
      </c>
      <c r="AQ158" s="68" t="str">
        <f t="shared" si="12"/>
        <v/>
      </c>
      <c r="AR158" s="68">
        <f>IFERROR(VLOOKUP(A158,Climatologia_TMAX!A:U,9+$E$2,FALSE),"")</f>
        <v>23.69400067733557</v>
      </c>
      <c r="AS158" s="68" t="str">
        <f t="shared" si="13"/>
        <v/>
      </c>
      <c r="AT158" s="74">
        <f t="shared" si="14"/>
        <v>25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29.6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35690</v>
      </c>
      <c r="AW158" s="69">
        <f t="shared" si="15"/>
        <v>-4.6000000000000014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 t="s">
        <v>1289</v>
      </c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28.629253380364489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33.6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44827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31.4</v>
      </c>
      <c r="L160" s="66">
        <v>32.4</v>
      </c>
      <c r="M160" s="66">
        <v>30.8</v>
      </c>
      <c r="N160" s="66">
        <v>29.6</v>
      </c>
      <c r="O160" s="66">
        <v>32.4</v>
      </c>
      <c r="P160" s="66">
        <v>31.8</v>
      </c>
      <c r="Q160" s="66">
        <v>31.4</v>
      </c>
      <c r="R160" s="66">
        <v>31.6</v>
      </c>
      <c r="S160" s="66">
        <v>32.4</v>
      </c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9</v>
      </c>
      <c r="AQ160" s="68" t="str">
        <f t="shared" si="12"/>
        <v/>
      </c>
      <c r="AR160" s="68">
        <f>IFERROR(VLOOKUP(A160,Climatologia_TMAX!A:U,9+$E$2,FALSE),"")</f>
        <v>29.810556198187779</v>
      </c>
      <c r="AS160" s="68" t="str">
        <f t="shared" si="13"/>
        <v/>
      </c>
      <c r="AT160" s="74">
        <f t="shared" si="14"/>
        <v>32.4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 t="s">
        <v>1289</v>
      </c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29.924349290556179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33.200000000000003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39692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 t="s">
        <v>1289</v>
      </c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28.35426777352065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 t="s">
        <v>1289</v>
      </c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27.494048531289909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32.700000000000003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43734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21.2</v>
      </c>
      <c r="L164" s="66">
        <v>17.600000000000001</v>
      </c>
      <c r="M164" s="66">
        <v>16.2</v>
      </c>
      <c r="N164" s="66">
        <v>17.399999999999999</v>
      </c>
      <c r="O164" s="66">
        <v>17.600000000000001</v>
      </c>
      <c r="P164" s="66">
        <v>18.8</v>
      </c>
      <c r="Q164" s="66">
        <v>17</v>
      </c>
      <c r="R164" s="66">
        <v>18</v>
      </c>
      <c r="S164" s="66">
        <v>18.8</v>
      </c>
      <c r="T164" s="66"/>
      <c r="U164" s="109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9</v>
      </c>
      <c r="AQ164" s="68" t="str">
        <f t="shared" si="12"/>
        <v/>
      </c>
      <c r="AR164" s="68">
        <f>IFERROR(VLOOKUP(A164,Climatologia_TMAX!A:U,9+$E$2,FALSE),"")</f>
        <v>17.33622330219147</v>
      </c>
      <c r="AS164" s="68" t="str">
        <f t="shared" si="13"/>
        <v/>
      </c>
      <c r="AT164" s="74">
        <f t="shared" si="14"/>
        <v>21.2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23.4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64" s="69">
        <f t="shared" si="15"/>
        <v>-2.1999999999999993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15.8</v>
      </c>
      <c r="L165" s="66"/>
      <c r="M165" s="66">
        <v>14.8</v>
      </c>
      <c r="N165" s="66">
        <v>15.2</v>
      </c>
      <c r="O165" s="66">
        <v>14.6</v>
      </c>
      <c r="P165" s="66">
        <v>14</v>
      </c>
      <c r="Q165" s="66">
        <v>14.8</v>
      </c>
      <c r="R165" s="66">
        <v>14.2</v>
      </c>
      <c r="S165" s="66">
        <v>14.8</v>
      </c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8</v>
      </c>
      <c r="AQ165" s="68" t="str">
        <f t="shared" si="12"/>
        <v/>
      </c>
      <c r="AR165" s="68">
        <f>IFERROR(VLOOKUP(A165,Climatologia_TMAX!A:U,9+$E$2,FALSE),"")</f>
        <v>13.83966666666667</v>
      </c>
      <c r="AS165" s="68" t="str">
        <f t="shared" si="13"/>
        <v/>
      </c>
      <c r="AT165" s="74">
        <f t="shared" si="14"/>
        <v>15.8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19.899999999999999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165" s="69">
        <f t="shared" si="15"/>
        <v>-4.0999999999999979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18.399999999999999</v>
      </c>
      <c r="L166" s="66">
        <v>14.4</v>
      </c>
      <c r="M166" s="66">
        <v>15.2</v>
      </c>
      <c r="N166" s="66">
        <v>15.6</v>
      </c>
      <c r="O166" s="66">
        <v>14.8</v>
      </c>
      <c r="P166" s="66">
        <v>15.2</v>
      </c>
      <c r="Q166" s="66">
        <v>15</v>
      </c>
      <c r="R166" s="66">
        <v>14.4</v>
      </c>
      <c r="S166" s="66">
        <v>16.8</v>
      </c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9</v>
      </c>
      <c r="AQ166" s="68" t="str">
        <f t="shared" si="12"/>
        <v/>
      </c>
      <c r="AR166" s="68">
        <f>IFERROR(VLOOKUP(A166,Climatologia_TMAX!A:U,9+$E$2,FALSE),"")</f>
        <v>15.254814574724669</v>
      </c>
      <c r="AS166" s="68" t="str">
        <f t="shared" si="13"/>
        <v/>
      </c>
      <c r="AT166" s="74">
        <f t="shared" si="14"/>
        <v>18.399999999999999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20.6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43373</v>
      </c>
      <c r="AW166" s="69">
        <f t="shared" si="15"/>
        <v>-2.2000000000000028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20.2</v>
      </c>
      <c r="L167" s="66">
        <v>17.399999999999999</v>
      </c>
      <c r="M167" s="66">
        <v>17.2</v>
      </c>
      <c r="N167" s="66">
        <v>18.2</v>
      </c>
      <c r="O167" s="66">
        <v>16.399999999999999</v>
      </c>
      <c r="P167" s="66">
        <v>17.8</v>
      </c>
      <c r="Q167" s="66">
        <v>16</v>
      </c>
      <c r="R167" s="66">
        <v>18.8</v>
      </c>
      <c r="S167" s="66">
        <v>17</v>
      </c>
      <c r="T167" s="66"/>
      <c r="U167" s="109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9</v>
      </c>
      <c r="AQ167" s="68" t="str">
        <f t="shared" si="12"/>
        <v/>
      </c>
      <c r="AR167" s="68">
        <f>IFERROR(VLOOKUP(A167,Climatologia_TMAX!A:U,9+$E$2,FALSE),"")</f>
        <v>16.18561379310345</v>
      </c>
      <c r="AS167" s="68" t="str">
        <f t="shared" si="13"/>
        <v/>
      </c>
      <c r="AT167" s="74">
        <f t="shared" si="14"/>
        <v>20.2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21.2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43373</v>
      </c>
      <c r="AW167" s="69">
        <f t="shared" si="15"/>
        <v>-1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25.8</v>
      </c>
      <c r="L168" s="66">
        <v>22</v>
      </c>
      <c r="M168" s="66">
        <v>22.8</v>
      </c>
      <c r="N168" s="66">
        <v>21.2</v>
      </c>
      <c r="O168" s="66">
        <v>22.6</v>
      </c>
      <c r="P168" s="66">
        <v>22.2</v>
      </c>
      <c r="Q168" s="66">
        <v>22.8</v>
      </c>
      <c r="R168" s="66">
        <v>23.8</v>
      </c>
      <c r="S168" s="66">
        <v>24.2</v>
      </c>
      <c r="T168" s="66"/>
      <c r="U168" s="109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9</v>
      </c>
      <c r="AQ168" s="68" t="str">
        <f t="shared" si="12"/>
        <v/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25.8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27.6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168" s="69">
        <f t="shared" si="15"/>
        <v>-1.8000000000000007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 t="s">
        <v>1289</v>
      </c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30.274203612479472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 t="s">
        <v>1289</v>
      </c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35.203184523809533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 t="s">
        <v>1289</v>
      </c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23.913520508865339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28.7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41171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25.6</v>
      </c>
      <c r="L172" s="66">
        <v>26.4</v>
      </c>
      <c r="M172" s="66">
        <v>23.6</v>
      </c>
      <c r="N172" s="66">
        <v>24.6</v>
      </c>
      <c r="O172" s="66">
        <v>22.4</v>
      </c>
      <c r="P172" s="66">
        <v>23.2</v>
      </c>
      <c r="Q172" s="66">
        <v>22.6</v>
      </c>
      <c r="R172" s="66">
        <v>23.4</v>
      </c>
      <c r="S172" s="66">
        <v>23.6</v>
      </c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9</v>
      </c>
      <c r="AQ172" s="68" t="str">
        <f t="shared" si="12"/>
        <v/>
      </c>
      <c r="AR172" s="68">
        <f>IFERROR(VLOOKUP(A172,Climatologia_TMAX!A:U,9+$E$2,FALSE),"")</f>
        <v>21.815994501380949</v>
      </c>
      <c r="AS172" s="68" t="str">
        <f t="shared" si="13"/>
        <v/>
      </c>
      <c r="AT172" s="74">
        <f t="shared" si="14"/>
        <v>26.4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28.4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28751</v>
      </c>
      <c r="AW172" s="69">
        <f t="shared" si="15"/>
        <v>-2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21.4</v>
      </c>
      <c r="L173" s="66">
        <v>18.399999999999999</v>
      </c>
      <c r="M173" s="66">
        <v>19.2</v>
      </c>
      <c r="N173" s="66">
        <v>21</v>
      </c>
      <c r="O173" s="66">
        <v>18.8</v>
      </c>
      <c r="P173" s="66">
        <v>19.8</v>
      </c>
      <c r="Q173" s="66">
        <v>19.399999999999999</v>
      </c>
      <c r="R173" s="66">
        <v>20.6</v>
      </c>
      <c r="S173" s="66">
        <v>21.6</v>
      </c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9</v>
      </c>
      <c r="AQ173" s="68" t="str">
        <f t="shared" si="12"/>
        <v/>
      </c>
      <c r="AR173" s="68">
        <f>IFERROR(VLOOKUP(A173,Climatologia_TMAX!A:U,9+$E$2,FALSE),"")</f>
        <v>20.099785014899961</v>
      </c>
      <c r="AS173" s="68" t="str">
        <f t="shared" si="13"/>
        <v/>
      </c>
      <c r="AT173" s="74">
        <f t="shared" si="14"/>
        <v>21.6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25.2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173" s="69">
        <f t="shared" si="15"/>
        <v>-3.5999999999999979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 t="s">
        <v>1289</v>
      </c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21.399669768290462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26.2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22</v>
      </c>
      <c r="L175" s="66">
        <v>17.8</v>
      </c>
      <c r="M175" s="66">
        <v>17.600000000000001</v>
      </c>
      <c r="N175" s="66">
        <v>19.399999999999999</v>
      </c>
      <c r="O175" s="66">
        <v>17</v>
      </c>
      <c r="P175" s="66">
        <v>16.399999999999999</v>
      </c>
      <c r="Q175" s="66">
        <v>19.399999999999999</v>
      </c>
      <c r="R175" s="66">
        <v>19.5</v>
      </c>
      <c r="S175" s="66" t="s">
        <v>1289</v>
      </c>
      <c r="T175" s="66"/>
      <c r="U175" s="109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8</v>
      </c>
      <c r="AQ175" s="68" t="str">
        <f t="shared" si="12"/>
        <v/>
      </c>
      <c r="AR175" s="68">
        <f>IFERROR(VLOOKUP(A175,Climatologia_TMAX!A:U,9+$E$2,FALSE),"")</f>
        <v>17.642557374659329</v>
      </c>
      <c r="AS175" s="68" t="str">
        <f t="shared" si="13"/>
        <v/>
      </c>
      <c r="AT175" s="74">
        <f t="shared" si="14"/>
        <v>22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23.8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40432</v>
      </c>
      <c r="AW175" s="69">
        <f t="shared" si="15"/>
        <v>-1.8000000000000007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22.4</v>
      </c>
      <c r="L176" s="66">
        <v>20.9</v>
      </c>
      <c r="M176" s="66">
        <v>19.600000000000001</v>
      </c>
      <c r="N176" s="66">
        <v>20.9</v>
      </c>
      <c r="O176" s="66">
        <v>20.5</v>
      </c>
      <c r="P176" s="66">
        <v>19.2</v>
      </c>
      <c r="Q176" s="66">
        <v>18.899999999999999</v>
      </c>
      <c r="R176" s="66">
        <v>20.5</v>
      </c>
      <c r="S176" s="66">
        <v>21.9</v>
      </c>
      <c r="T176" s="66"/>
      <c r="U176" s="109"/>
      <c r="V176" s="109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9</v>
      </c>
      <c r="AQ176" s="68" t="str">
        <f t="shared" si="12"/>
        <v/>
      </c>
      <c r="AR176" s="68">
        <f>IFERROR(VLOOKUP(A176,Climatologia_TMAX!A:U,9+$E$2,FALSE),"")</f>
        <v>19.335880952380951</v>
      </c>
      <c r="AS176" s="68" t="str">
        <f t="shared" si="13"/>
        <v/>
      </c>
      <c r="AT176" s="74">
        <f t="shared" si="14"/>
        <v>22.4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42264</v>
      </c>
      <c r="AW176" s="69">
        <f t="shared" si="15"/>
        <v>-0.60000000000000142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 t="s">
        <v>1289</v>
      </c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31.381677840285271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36.6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35698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 t="s">
        <v>1289</v>
      </c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30.8511083860088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35.200000000000003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35682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 t="s">
        <v>1289</v>
      </c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35.1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34969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27.6</v>
      </c>
      <c r="L180" s="66">
        <v>26</v>
      </c>
      <c r="M180" s="66">
        <v>24</v>
      </c>
      <c r="N180" s="66">
        <v>26.4</v>
      </c>
      <c r="O180" s="66">
        <v>25.4</v>
      </c>
      <c r="P180" s="66">
        <v>24.4</v>
      </c>
      <c r="Q180" s="66">
        <v>23</v>
      </c>
      <c r="R180" s="66">
        <v>27.4</v>
      </c>
      <c r="S180" s="66" t="s">
        <v>1289</v>
      </c>
      <c r="T180" s="66"/>
      <c r="U180" s="109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8</v>
      </c>
      <c r="AQ180" s="68" t="str">
        <f t="shared" si="12"/>
        <v/>
      </c>
      <c r="AR180" s="68">
        <f>IFERROR(VLOOKUP(A180,Climatologia_TMAX!A:U,9+$E$2,FALSE),"")</f>
        <v>22.8164890530925</v>
      </c>
      <c r="AS180" s="68" t="str">
        <f t="shared" si="13"/>
        <v/>
      </c>
      <c r="AT180" s="74">
        <f t="shared" si="14"/>
        <v>27.6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28.8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80" s="69">
        <f t="shared" si="15"/>
        <v>-1.1999999999999993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22</v>
      </c>
      <c r="L181" s="66">
        <v>20</v>
      </c>
      <c r="M181" s="66">
        <v>18.899999999999999</v>
      </c>
      <c r="N181" s="66"/>
      <c r="O181" s="66"/>
      <c r="P181" s="66">
        <v>19.899999999999999</v>
      </c>
      <c r="Q181" s="66">
        <v>18.100000000000001</v>
      </c>
      <c r="R181" s="66">
        <v>18.2</v>
      </c>
      <c r="S181" s="66">
        <v>19.899999999999999</v>
      </c>
      <c r="T181" s="66"/>
      <c r="U181" s="109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7</v>
      </c>
      <c r="AQ181" s="68" t="str">
        <f t="shared" si="12"/>
        <v/>
      </c>
      <c r="AR181" s="68">
        <f>IFERROR(VLOOKUP(A181,Climatologia_TMAX!A:U,9+$E$2,FALSE),"")</f>
        <v>18.29491428068123</v>
      </c>
      <c r="AS181" s="68" t="str">
        <f t="shared" si="13"/>
        <v/>
      </c>
      <c r="AT181" s="74">
        <f t="shared" si="14"/>
        <v>22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24.8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35312</v>
      </c>
      <c r="AW181" s="69">
        <f t="shared" si="15"/>
        <v>-2.8000000000000007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30.2</v>
      </c>
      <c r="L182" s="66">
        <v>25.4</v>
      </c>
      <c r="M182" s="66">
        <v>28.4</v>
      </c>
      <c r="N182" s="66">
        <v>29.6</v>
      </c>
      <c r="O182" s="66">
        <v>28.4</v>
      </c>
      <c r="P182" s="66">
        <v>28</v>
      </c>
      <c r="Q182" s="66">
        <v>25.8</v>
      </c>
      <c r="R182" s="66">
        <v>27</v>
      </c>
      <c r="S182" s="66">
        <v>30</v>
      </c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9</v>
      </c>
      <c r="AQ182" s="68" t="str">
        <f t="shared" si="12"/>
        <v/>
      </c>
      <c r="AR182" s="68">
        <f>IFERROR(VLOOKUP(A182,Climatologia_TMAX!A:U,9+$E$2,FALSE),"")</f>
        <v>24.92273106468112</v>
      </c>
      <c r="AS182" s="68" t="str">
        <f t="shared" si="13"/>
        <v/>
      </c>
      <c r="AT182" s="74">
        <f t="shared" si="14"/>
        <v>30.2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30.6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182" s="69">
        <f t="shared" si="15"/>
        <v>-0.40000000000000213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31.2</v>
      </c>
      <c r="L183" s="66">
        <v>30.4</v>
      </c>
      <c r="M183" s="66">
        <v>29.6</v>
      </c>
      <c r="N183" s="66">
        <v>31.6</v>
      </c>
      <c r="O183" s="66">
        <v>28.8</v>
      </c>
      <c r="P183" s="66">
        <v>31.8</v>
      </c>
      <c r="Q183" s="66">
        <v>29.8</v>
      </c>
      <c r="R183" s="66">
        <v>32</v>
      </c>
      <c r="S183" s="66">
        <v>31.8</v>
      </c>
      <c r="T183" s="66"/>
      <c r="U183" s="66"/>
      <c r="V183" s="66"/>
      <c r="W183" s="66"/>
      <c r="X183" s="66"/>
      <c r="Y183" s="66"/>
      <c r="Z183" s="66"/>
      <c r="AA183" s="66"/>
      <c r="AB183" s="66"/>
      <c r="AC183" s="109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9</v>
      </c>
      <c r="AQ183" s="68" t="str">
        <f t="shared" si="12"/>
        <v/>
      </c>
      <c r="AR183" s="68">
        <f>IFERROR(VLOOKUP(A183,Climatologia_TMAX!A:U,9+$E$2,FALSE),"")</f>
        <v>27.352242768241581</v>
      </c>
      <c r="AS183" s="68" t="str">
        <f t="shared" si="13"/>
        <v/>
      </c>
      <c r="AT183" s="74">
        <f t="shared" si="14"/>
        <v>32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32.4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42259</v>
      </c>
      <c r="AW183" s="69">
        <f t="shared" si="15"/>
        <v>-0.39999999999999858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16.8</v>
      </c>
      <c r="M184" s="66">
        <v>14.8</v>
      </c>
      <c r="N184" s="66">
        <v>17.600000000000001</v>
      </c>
      <c r="O184" s="66">
        <v>16.600000000000001</v>
      </c>
      <c r="P184" s="66">
        <v>15.8</v>
      </c>
      <c r="Q184" s="66">
        <v>13.8</v>
      </c>
      <c r="R184" s="66">
        <v>16.399999999999999</v>
      </c>
      <c r="S184" s="66">
        <v>15.6</v>
      </c>
      <c r="T184" s="66"/>
      <c r="U184" s="109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9</v>
      </c>
      <c r="AQ184" s="68" t="str">
        <f t="shared" si="12"/>
        <v/>
      </c>
      <c r="AR184" s="68">
        <f>IFERROR(VLOOKUP(A184,Climatologia_TMAX!A:U,9+$E$2,FALSE),"")</f>
        <v>15.3996091954023</v>
      </c>
      <c r="AS184" s="68" t="str">
        <f t="shared" si="13"/>
        <v/>
      </c>
      <c r="AT184" s="74">
        <f t="shared" si="14"/>
        <v>17.8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23.6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38620</v>
      </c>
      <c r="AW184" s="69">
        <f t="shared" si="15"/>
        <v>-5.8000000000000007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29</v>
      </c>
      <c r="L185" s="66">
        <v>29</v>
      </c>
      <c r="M185" s="66">
        <v>29.6</v>
      </c>
      <c r="N185" s="66">
        <v>30.4</v>
      </c>
      <c r="O185" s="66">
        <v>31.2</v>
      </c>
      <c r="P185" s="66">
        <v>30</v>
      </c>
      <c r="Q185" s="66">
        <v>31.4</v>
      </c>
      <c r="R185" s="66">
        <v>31.8</v>
      </c>
      <c r="S185" s="66">
        <v>32</v>
      </c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9</v>
      </c>
      <c r="AQ185" s="68" t="str">
        <f t="shared" si="12"/>
        <v/>
      </c>
      <c r="AR185" s="68">
        <f>IFERROR(VLOOKUP(A185,Climatologia_TMAX!A:U,9+$E$2,FALSE),"")</f>
        <v>27.69362790770483</v>
      </c>
      <c r="AS185" s="68" t="str">
        <f t="shared" si="13"/>
        <v/>
      </c>
      <c r="AT185" s="74">
        <f t="shared" si="14"/>
        <v>32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185" s="69">
        <f t="shared" si="15"/>
        <v>0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29.2</v>
      </c>
      <c r="L186" s="66">
        <v>28.4</v>
      </c>
      <c r="M186" s="66">
        <v>29.2</v>
      </c>
      <c r="N186" s="66">
        <v>29.4</v>
      </c>
      <c r="O186" s="66">
        <v>29.4</v>
      </c>
      <c r="P186" s="66">
        <v>30.8</v>
      </c>
      <c r="Q186" s="66">
        <v>32.200000000000003</v>
      </c>
      <c r="R186" s="66">
        <v>31.4</v>
      </c>
      <c r="S186" s="66">
        <v>32.200000000000003</v>
      </c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9</v>
      </c>
      <c r="AQ186" s="68" t="str">
        <f t="shared" si="12"/>
        <v/>
      </c>
      <c r="AR186" s="68">
        <f>IFERROR(VLOOKUP(A186,Climatologia_TMAX!A:U,9+$E$2,FALSE),"")</f>
        <v>27.282753147235908</v>
      </c>
      <c r="AS186" s="68" t="str">
        <f t="shared" si="13"/>
        <v/>
      </c>
      <c r="AT186" s="74">
        <f t="shared" si="14"/>
        <v>32.200000000000003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30.6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186" s="69">
        <f t="shared" si="15"/>
        <v>1.6000000000000014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24.8</v>
      </c>
      <c r="L187" s="66">
        <v>25</v>
      </c>
      <c r="M187" s="66">
        <v>27.4</v>
      </c>
      <c r="N187" s="66">
        <v>27.6</v>
      </c>
      <c r="O187" s="66">
        <v>27.8</v>
      </c>
      <c r="P187" s="66">
        <v>29</v>
      </c>
      <c r="Q187" s="66">
        <v>26</v>
      </c>
      <c r="R187" s="66"/>
      <c r="S187" s="66">
        <v>28.6</v>
      </c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8</v>
      </c>
      <c r="AQ187" s="68" t="str">
        <f t="shared" si="12"/>
        <v/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29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28.4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187" s="69">
        <f t="shared" si="15"/>
        <v>0.60000000000000142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14.8</v>
      </c>
      <c r="L188" s="66">
        <v>14.6</v>
      </c>
      <c r="M188" s="66">
        <v>13.2</v>
      </c>
      <c r="N188" s="66">
        <v>12.8</v>
      </c>
      <c r="O188" s="66">
        <v>12.4</v>
      </c>
      <c r="P188" s="66">
        <v>11.4</v>
      </c>
      <c r="Q188" s="66">
        <v>12.6</v>
      </c>
      <c r="R188" s="66">
        <v>11</v>
      </c>
      <c r="S188" s="66">
        <v>11.8</v>
      </c>
      <c r="T188" s="66"/>
      <c r="U188" s="66"/>
      <c r="V188" s="66"/>
      <c r="W188" s="66"/>
      <c r="X188" s="66"/>
      <c r="Y188" s="66"/>
      <c r="Z188" s="66"/>
      <c r="AA188" s="66"/>
      <c r="AB188" s="66"/>
      <c r="AC188" s="109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9</v>
      </c>
      <c r="AQ188" s="68" t="str">
        <f t="shared" si="12"/>
        <v/>
      </c>
      <c r="AR188" s="68">
        <f>IFERROR(VLOOKUP(A188,Climatologia_TMAX!A:U,9+$E$2,FALSE),"")</f>
        <v>13.71344968140675</v>
      </c>
      <c r="AS188" s="68" t="str">
        <f t="shared" si="13"/>
        <v/>
      </c>
      <c r="AT188" s="74">
        <f t="shared" si="14"/>
        <v>14.8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17.399999999999999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188" s="69">
        <f t="shared" si="15"/>
        <v>-2.5999999999999979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 t="s">
        <v>1289</v>
      </c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36.4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34590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 t="s">
        <v>1289</v>
      </c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36.799999999999997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37.6</v>
      </c>
      <c r="L191" s="66">
        <v>36.4</v>
      </c>
      <c r="M191" s="66">
        <v>37</v>
      </c>
      <c r="N191" s="66">
        <v>37</v>
      </c>
      <c r="O191" s="66">
        <v>37.4</v>
      </c>
      <c r="P191" s="66">
        <v>35</v>
      </c>
      <c r="Q191" s="66">
        <v>37.6</v>
      </c>
      <c r="R191" s="66">
        <v>34.799999999999997</v>
      </c>
      <c r="S191" s="66">
        <v>35.200000000000003</v>
      </c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9</v>
      </c>
      <c r="AQ191" s="68" t="str">
        <f t="shared" si="12"/>
        <v/>
      </c>
      <c r="AR191" s="68">
        <f>IFERROR(VLOOKUP(A191,Climatologia_TMAX!A:U,9+$E$2,FALSE),"")</f>
        <v>34.685813415236723</v>
      </c>
      <c r="AS191" s="68" t="str">
        <f t="shared" si="13"/>
        <v/>
      </c>
      <c r="AT191" s="74">
        <f t="shared" si="14"/>
        <v>37.6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40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45546</v>
      </c>
      <c r="AW191" s="69">
        <f t="shared" si="15"/>
        <v>-2.3999999999999986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30.6</v>
      </c>
      <c r="L192" s="66">
        <v>32.4</v>
      </c>
      <c r="M192" s="66">
        <v>31.8</v>
      </c>
      <c r="N192" s="66">
        <v>31.6</v>
      </c>
      <c r="O192" s="66">
        <v>33</v>
      </c>
      <c r="P192" s="66">
        <v>27.6</v>
      </c>
      <c r="Q192" s="66">
        <v>30</v>
      </c>
      <c r="R192" s="66">
        <v>32.4</v>
      </c>
      <c r="S192" s="66">
        <v>33</v>
      </c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9</v>
      </c>
      <c r="AQ192" s="68" t="str">
        <f t="shared" si="12"/>
        <v/>
      </c>
      <c r="AR192" s="68">
        <f>IFERROR(VLOOKUP(A192,Climatologia_TMAX!A:U,9+$E$2,FALSE),"")</f>
        <v>30.4095652173913</v>
      </c>
      <c r="AS192" s="68" t="str">
        <f t="shared" si="13"/>
        <v/>
      </c>
      <c r="AT192" s="74">
        <f t="shared" si="14"/>
        <v>33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34.200000000000003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41540</v>
      </c>
      <c r="AW192" s="69">
        <f t="shared" si="15"/>
        <v>-1.2000000000000028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33.200000000000003</v>
      </c>
      <c r="L193" s="66">
        <v>34.799999999999997</v>
      </c>
      <c r="M193" s="66">
        <v>35.799999999999997</v>
      </c>
      <c r="N193" s="66">
        <v>35.6</v>
      </c>
      <c r="O193" s="66">
        <v>35.200000000000003</v>
      </c>
      <c r="P193" s="66">
        <v>33</v>
      </c>
      <c r="Q193" s="66">
        <v>34.6</v>
      </c>
      <c r="R193" s="66">
        <v>37</v>
      </c>
      <c r="S193" s="66">
        <v>38.200000000000003</v>
      </c>
      <c r="T193" s="66"/>
      <c r="U193" s="11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9</v>
      </c>
      <c r="AQ193" s="68" t="str">
        <f t="shared" si="12"/>
        <v/>
      </c>
      <c r="AR193" s="68">
        <f>IFERROR(VLOOKUP(A193,Climatologia_TMAX!A:U,9+$E$2,FALSE),"")</f>
        <v>32.380779918578327</v>
      </c>
      <c r="AS193" s="68" t="str">
        <f t="shared" si="13"/>
        <v/>
      </c>
      <c r="AT193" s="74">
        <f t="shared" si="14"/>
        <v>38.200000000000003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93" s="69">
        <f t="shared" si="15"/>
        <v>1.4000000000000057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34</v>
      </c>
      <c r="L194" s="66">
        <v>35.6</v>
      </c>
      <c r="M194" s="66">
        <v>35.4</v>
      </c>
      <c r="N194" s="66">
        <v>35.6</v>
      </c>
      <c r="O194" s="66">
        <v>37.6</v>
      </c>
      <c r="P194" s="66">
        <v>36.4</v>
      </c>
      <c r="Q194" s="66">
        <v>37</v>
      </c>
      <c r="R194" s="66">
        <v>36</v>
      </c>
      <c r="S194" s="66">
        <v>36.4</v>
      </c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9</v>
      </c>
      <c r="AQ194" s="68" t="str">
        <f t="shared" si="12"/>
        <v/>
      </c>
      <c r="AR194" s="68">
        <f>IFERROR(VLOOKUP(A194,Climatologia_TMAX!A:U,9+$E$2,FALSE),"")</f>
        <v>33.541315599343193</v>
      </c>
      <c r="AS194" s="68" t="str">
        <f t="shared" si="13"/>
        <v/>
      </c>
      <c r="AT194" s="74">
        <f t="shared" si="14"/>
        <v>37.6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39.6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33487</v>
      </c>
      <c r="AW194" s="69">
        <f t="shared" si="15"/>
        <v>-2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 t="s">
        <v>1289</v>
      </c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32.690523003943703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39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33501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 t="s">
        <v>1289</v>
      </c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27.9412206432315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31.6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34583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35.200000000000003</v>
      </c>
      <c r="L197" s="66">
        <v>34.200000000000003</v>
      </c>
      <c r="M197" s="66">
        <v>36.799999999999997</v>
      </c>
      <c r="N197" s="66">
        <v>37.4</v>
      </c>
      <c r="O197" s="66"/>
      <c r="P197" s="66">
        <v>37.799999999999997</v>
      </c>
      <c r="Q197" s="66">
        <v>35.799999999999997</v>
      </c>
      <c r="R197" s="66">
        <v>37.799999999999997</v>
      </c>
      <c r="S197" s="66">
        <v>39.200000000000003</v>
      </c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8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32.992364601630797</v>
      </c>
      <c r="AS197" s="68" t="str">
        <f t="shared" ref="AS197:AS260" si="18">IF(OR(AQ197="",AR197=""),"",IFERROR(AQ197-AR197,""))</f>
        <v/>
      </c>
      <c r="AT197" s="74">
        <f t="shared" ref="AT197:AT260" si="19">IF(COUNT(K197:AO197)=0,"",MAX(K197:AO197))</f>
        <v>39.200000000000003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36.799999999999997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45194</v>
      </c>
      <c r="AW197" s="69">
        <f t="shared" ref="AW197:AW260" si="20">IF(OR(AT197="",AU197=""),"NA",IFERROR(AT197-AU197,"NA"))</f>
        <v>2.4000000000000057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 t="s">
        <v>1289</v>
      </c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31.202186621382019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36.200000000000003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38232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35.200000000000003</v>
      </c>
      <c r="L199" s="66">
        <v>34.200000000000003</v>
      </c>
      <c r="M199" s="66">
        <v>35.6</v>
      </c>
      <c r="N199" s="66">
        <v>36.200000000000003</v>
      </c>
      <c r="O199" s="66">
        <v>36.6</v>
      </c>
      <c r="P199" s="66">
        <v>33</v>
      </c>
      <c r="Q199" s="66">
        <v>34.799999999999997</v>
      </c>
      <c r="R199" s="66">
        <v>36.200000000000003</v>
      </c>
      <c r="S199" s="66">
        <v>38</v>
      </c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9</v>
      </c>
      <c r="AQ199" s="68" t="str">
        <f t="shared" si="17"/>
        <v/>
      </c>
      <c r="AR199" s="68">
        <f>IFERROR(VLOOKUP(A199,Climatologia_TMAX!A:U,9+$E$2,FALSE),"")</f>
        <v>32.209496897641714</v>
      </c>
      <c r="AS199" s="68" t="str">
        <f t="shared" si="18"/>
        <v/>
      </c>
      <c r="AT199" s="74">
        <f t="shared" si="19"/>
        <v>38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45185</v>
      </c>
      <c r="AW199" s="69">
        <f t="shared" si="20"/>
        <v>1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19.600000000000001</v>
      </c>
      <c r="L200" s="66">
        <v>18</v>
      </c>
      <c r="M200" s="66">
        <v>19</v>
      </c>
      <c r="N200" s="66">
        <v>19.2</v>
      </c>
      <c r="O200" s="66">
        <v>19</v>
      </c>
      <c r="P200" s="66">
        <v>18.600000000000001</v>
      </c>
      <c r="Q200" s="66">
        <v>17.8</v>
      </c>
      <c r="R200" s="66">
        <v>18</v>
      </c>
      <c r="S200" s="66">
        <v>20</v>
      </c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9</v>
      </c>
      <c r="AQ200" s="68" t="str">
        <f t="shared" si="17"/>
        <v/>
      </c>
      <c r="AR200" s="68">
        <f>IFERROR(VLOOKUP(A200,Climatologia_TMAX!A:U,9+$E$2,FALSE),"")</f>
        <v>17.974891443167309</v>
      </c>
      <c r="AS200" s="68" t="str">
        <f t="shared" si="18"/>
        <v/>
      </c>
      <c r="AT200" s="74">
        <f t="shared" si="19"/>
        <v>20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21.6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200" s="69">
        <f t="shared" si="20"/>
        <v>-1.6000000000000014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 t="s">
        <v>1289</v>
      </c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22.351650160539052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26.9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32763</v>
      </c>
      <c r="AW201" s="69" t="str">
        <f t="shared" si="20"/>
        <v>NA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 t="s">
        <v>1289</v>
      </c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25.812393267651888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30.6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42264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23</v>
      </c>
      <c r="L203" s="66">
        <v>21.6</v>
      </c>
      <c r="M203" s="66">
        <v>20.8</v>
      </c>
      <c r="N203" s="66">
        <v>21.2</v>
      </c>
      <c r="O203" s="66">
        <v>20</v>
      </c>
      <c r="P203" s="66">
        <v>19.399999999999999</v>
      </c>
      <c r="Q203" s="66">
        <v>19.600000000000001</v>
      </c>
      <c r="R203" s="66">
        <v>17.2</v>
      </c>
      <c r="S203" s="66">
        <v>21.4</v>
      </c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9</v>
      </c>
      <c r="AQ203" s="68" t="str">
        <f t="shared" si="17"/>
        <v/>
      </c>
      <c r="AR203" s="68">
        <f>IFERROR(VLOOKUP(A203,Climatologia_TMAX!A:U,9+$E$2,FALSE),"")</f>
        <v>20.392161330049259</v>
      </c>
      <c r="AS203" s="68" t="str">
        <f t="shared" si="18"/>
        <v/>
      </c>
      <c r="AT203" s="74">
        <f t="shared" si="19"/>
        <v>23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24.2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203" s="69">
        <f t="shared" si="20"/>
        <v>-1.1999999999999993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 t="s">
        <v>1289</v>
      </c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27.8</v>
      </c>
      <c r="L205" s="66">
        <v>28</v>
      </c>
      <c r="M205" s="66">
        <v>28.2</v>
      </c>
      <c r="N205" s="66">
        <v>28</v>
      </c>
      <c r="O205" s="66">
        <v>28.2</v>
      </c>
      <c r="P205" s="66">
        <v>25.4</v>
      </c>
      <c r="Q205" s="66">
        <v>27.8</v>
      </c>
      <c r="R205" s="66">
        <v>28.8</v>
      </c>
      <c r="S205" s="66">
        <v>29</v>
      </c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9</v>
      </c>
      <c r="AQ205" s="68" t="str">
        <f t="shared" si="17"/>
        <v/>
      </c>
      <c r="AR205" s="68">
        <f>IFERROR(VLOOKUP(A205,Climatologia_TMAX!A:U,9+$E$2,FALSE),"")</f>
        <v>26.57162068965517</v>
      </c>
      <c r="AS205" s="68" t="str">
        <f t="shared" si="18"/>
        <v/>
      </c>
      <c r="AT205" s="74">
        <f t="shared" si="19"/>
        <v>29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41540</v>
      </c>
      <c r="AW205" s="69">
        <f t="shared" si="20"/>
        <v>-1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 t="s">
        <v>1289</v>
      </c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33.964915613621763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36.799999999999997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40086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 t="s">
        <v>1289</v>
      </c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26.351049106704281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31.4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42276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32.4</v>
      </c>
      <c r="L208" s="66">
        <v>32.799999999999997</v>
      </c>
      <c r="M208" s="66">
        <v>33.799999999999997</v>
      </c>
      <c r="N208" s="66">
        <v>34</v>
      </c>
      <c r="O208" s="66">
        <v>35.4</v>
      </c>
      <c r="P208" s="66">
        <v>31.2</v>
      </c>
      <c r="Q208" s="66">
        <v>33.799999999999997</v>
      </c>
      <c r="R208" s="66">
        <v>34.299999999999997</v>
      </c>
      <c r="S208" s="66">
        <v>35.200000000000003</v>
      </c>
      <c r="T208" s="66"/>
      <c r="U208" s="66"/>
      <c r="V208" s="66"/>
      <c r="W208" s="66"/>
      <c r="X208" s="66"/>
      <c r="Y208" s="113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9</v>
      </c>
      <c r="AQ208" s="68" t="str">
        <f t="shared" si="17"/>
        <v/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35.4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36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08" s="69">
        <f t="shared" si="20"/>
        <v>-0.60000000000000142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24.6</v>
      </c>
      <c r="L209" s="66">
        <v>23.8</v>
      </c>
      <c r="M209" s="66">
        <v>24.6</v>
      </c>
      <c r="N209" s="66">
        <v>24.8</v>
      </c>
      <c r="O209" s="66">
        <v>25.6</v>
      </c>
      <c r="P209" s="66">
        <v>23.4</v>
      </c>
      <c r="Q209" s="66">
        <v>25.6</v>
      </c>
      <c r="R209" s="66">
        <v>22</v>
      </c>
      <c r="S209" s="66">
        <v>24.2</v>
      </c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9</v>
      </c>
      <c r="AQ209" s="68" t="str">
        <f t="shared" si="17"/>
        <v/>
      </c>
      <c r="AR209" s="68">
        <f>IFERROR(VLOOKUP(A209,Climatologia_TMAX!A:U,9+$E$2,FALSE),"")</f>
        <v>24.245733077905491</v>
      </c>
      <c r="AS209" s="68" t="str">
        <f t="shared" si="18"/>
        <v/>
      </c>
      <c r="AT209" s="74">
        <f t="shared" si="19"/>
        <v>25.6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29.3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37520</v>
      </c>
      <c r="AW209" s="69">
        <f t="shared" si="20"/>
        <v>-3.6999999999999993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31.4</v>
      </c>
      <c r="L210" s="66">
        <v>31.6</v>
      </c>
      <c r="M210" s="66">
        <v>31.8</v>
      </c>
      <c r="N210" s="66">
        <v>31.8</v>
      </c>
      <c r="O210" s="66">
        <v>32</v>
      </c>
      <c r="P210" s="66">
        <v>30.2</v>
      </c>
      <c r="Q210" s="66">
        <v>32.4</v>
      </c>
      <c r="R210" s="66">
        <v>29</v>
      </c>
      <c r="S210" s="66">
        <v>30.4</v>
      </c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9</v>
      </c>
      <c r="AQ210" s="68" t="str">
        <f t="shared" si="17"/>
        <v/>
      </c>
      <c r="AR210" s="68">
        <f>IFERROR(VLOOKUP(A210,Climatologia_TMAX!A:U,9+$E$2,FALSE),"")</f>
        <v>29.646482393723769</v>
      </c>
      <c r="AS210" s="68" t="str">
        <f t="shared" si="18"/>
        <v/>
      </c>
      <c r="AT210" s="74">
        <f t="shared" si="19"/>
        <v>32.4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34.799999999999997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10" s="69">
        <f t="shared" si="20"/>
        <v>-2.3999999999999986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 t="s">
        <v>1289</v>
      </c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28.952748074025209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33.4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40086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 t="s">
        <v>1289</v>
      </c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33.657073748992417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 t="s">
        <v>1289</v>
      </c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29</v>
      </c>
      <c r="L214" s="66">
        <v>27</v>
      </c>
      <c r="M214" s="66">
        <v>32</v>
      </c>
      <c r="N214" s="66">
        <v>31.6</v>
      </c>
      <c r="O214" s="66">
        <v>30</v>
      </c>
      <c r="P214" s="66">
        <v>29.6</v>
      </c>
      <c r="Q214" s="66">
        <v>33</v>
      </c>
      <c r="R214" s="66">
        <v>27</v>
      </c>
      <c r="S214" s="66">
        <v>32</v>
      </c>
      <c r="T214" s="109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9</v>
      </c>
      <c r="AQ214" s="68" t="str">
        <f t="shared" si="17"/>
        <v/>
      </c>
      <c r="AR214" s="68">
        <f>IFERROR(VLOOKUP(A214,Climatologia_TMAX!A:U,9+$E$2,FALSE),"")</f>
        <v>29.972884729064042</v>
      </c>
      <c r="AS214" s="68" t="str">
        <f t="shared" si="18"/>
        <v/>
      </c>
      <c r="AT214" s="74">
        <f t="shared" si="19"/>
        <v>33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45923</v>
      </c>
      <c r="AW214" s="69">
        <f t="shared" si="20"/>
        <v>-2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 t="s">
        <v>1289</v>
      </c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33.50350037857438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37.799999999999997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41883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</v>
      </c>
      <c r="M216" s="66">
        <v>27.8</v>
      </c>
      <c r="N216" s="66">
        <v>27.4</v>
      </c>
      <c r="O216" s="66">
        <v>27.4</v>
      </c>
      <c r="P216" s="66">
        <v>25.2</v>
      </c>
      <c r="Q216" s="66">
        <v>27.4</v>
      </c>
      <c r="R216" s="66">
        <v>27.4</v>
      </c>
      <c r="S216" s="66">
        <v>28.8</v>
      </c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9</v>
      </c>
      <c r="AQ216" s="68" t="str">
        <f t="shared" si="17"/>
        <v/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28.8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30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16" s="69">
        <f t="shared" si="20"/>
        <v>-1.1999999999999993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25.4</v>
      </c>
      <c r="L217" s="66">
        <v>25.8</v>
      </c>
      <c r="M217" s="66">
        <v>25.6</v>
      </c>
      <c r="N217" s="66">
        <v>26.6</v>
      </c>
      <c r="O217" s="66">
        <v>26.6</v>
      </c>
      <c r="P217" s="66">
        <v>27</v>
      </c>
      <c r="Q217" s="66">
        <v>24.2</v>
      </c>
      <c r="R217" s="66">
        <v>27.6</v>
      </c>
      <c r="S217" s="66">
        <v>28</v>
      </c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9</v>
      </c>
      <c r="AQ217" s="68" t="str">
        <f t="shared" si="17"/>
        <v/>
      </c>
      <c r="AR217" s="68">
        <f>IFERROR(VLOOKUP(A217,Climatologia_TMAX!A:U,9+$E$2,FALSE),"")</f>
        <v>23.75456916901744</v>
      </c>
      <c r="AS217" s="68" t="str">
        <f t="shared" si="18"/>
        <v/>
      </c>
      <c r="AT217" s="74">
        <f t="shared" si="19"/>
        <v>28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27.8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17" s="69">
        <f t="shared" si="20"/>
        <v>0.19999999999999929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 t="s">
        <v>1289</v>
      </c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30.05767241379311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33.6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32030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 t="s">
        <v>1289</v>
      </c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30.36653689844638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 t="s">
        <v>1289</v>
      </c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21.063776683087031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42255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16.600000000000001</v>
      </c>
      <c r="L221" s="66">
        <v>16.600000000000001</v>
      </c>
      <c r="M221" s="109">
        <v>16</v>
      </c>
      <c r="N221" s="66">
        <v>15.2</v>
      </c>
      <c r="O221" s="66">
        <v>18</v>
      </c>
      <c r="P221" s="66">
        <v>16</v>
      </c>
      <c r="Q221" s="66">
        <v>14.8</v>
      </c>
      <c r="R221" s="66"/>
      <c r="S221" s="66" t="s">
        <v>1289</v>
      </c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7</v>
      </c>
      <c r="AQ221" s="68" t="str">
        <f t="shared" si="17"/>
        <v/>
      </c>
      <c r="AR221" s="68">
        <f>IFERROR(VLOOKUP(A221,Climatologia_TMAX!A:U,9+$E$2,FALSE),"")</f>
        <v>16.38944991789819</v>
      </c>
      <c r="AS221" s="68" t="str">
        <f t="shared" si="18"/>
        <v/>
      </c>
      <c r="AT221" s="74">
        <f t="shared" si="19"/>
        <v>18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45539</v>
      </c>
      <c r="AW221" s="69">
        <f t="shared" si="20"/>
        <v>-3.1999999999999993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22</v>
      </c>
      <c r="L222" s="66">
        <v>24.2</v>
      </c>
      <c r="M222" s="66">
        <v>23.8</v>
      </c>
      <c r="N222" s="66">
        <v>24</v>
      </c>
      <c r="O222" s="66">
        <v>23.4</v>
      </c>
      <c r="P222" s="66">
        <v>24</v>
      </c>
      <c r="Q222" s="66">
        <v>24</v>
      </c>
      <c r="R222" s="66">
        <v>27.4</v>
      </c>
      <c r="S222" s="66">
        <v>25</v>
      </c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9</v>
      </c>
      <c r="AQ222" s="68" t="str">
        <f t="shared" si="17"/>
        <v/>
      </c>
      <c r="AR222" s="68">
        <f>IFERROR(VLOOKUP(A222,Climatologia_TMAX!A:U,9+$E$2,FALSE),"")</f>
        <v>22.364222333277809</v>
      </c>
      <c r="AS222" s="68" t="str">
        <f t="shared" si="18"/>
        <v/>
      </c>
      <c r="AT222" s="74">
        <f t="shared" si="19"/>
        <v>27.4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27.8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42261</v>
      </c>
      <c r="AW222" s="69">
        <f t="shared" si="20"/>
        <v>-0.40000000000000213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 t="s">
        <v>1289</v>
      </c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34</v>
      </c>
      <c r="L224" s="66">
        <v>31.8</v>
      </c>
      <c r="M224" s="66">
        <v>30.8</v>
      </c>
      <c r="N224" s="66">
        <v>33.4</v>
      </c>
      <c r="O224" s="66">
        <v>34.200000000000003</v>
      </c>
      <c r="P224" s="66">
        <v>33.4</v>
      </c>
      <c r="Q224" s="66">
        <v>35.299999999999997</v>
      </c>
      <c r="R224" s="66">
        <v>34.4</v>
      </c>
      <c r="S224" s="66" t="s">
        <v>1289</v>
      </c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8</v>
      </c>
      <c r="AQ224" s="68" t="str">
        <f t="shared" si="17"/>
        <v/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35.299999999999997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34.6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45190</v>
      </c>
      <c r="AW224" s="69">
        <f t="shared" si="20"/>
        <v>0.69999999999999574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 t="s">
        <v>1289</v>
      </c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24.256310241523739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31.2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 t="s">
        <v>1289</v>
      </c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36.200000000000003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42261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 t="s">
        <v>1289</v>
      </c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 t="s">
        <v>1289</v>
      </c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32.037701149425281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38605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 t="s">
        <v>1289</v>
      </c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30.62928735632185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37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 t="s">
        <v>1289</v>
      </c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24.284542402986538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28.8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34946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33.799999999999997</v>
      </c>
      <c r="L231" s="66">
        <v>32.799999999999997</v>
      </c>
      <c r="M231" s="66">
        <v>33.6</v>
      </c>
      <c r="N231" s="66">
        <v>31.2</v>
      </c>
      <c r="O231" s="66">
        <v>34.200000000000003</v>
      </c>
      <c r="P231" s="66">
        <v>33.6</v>
      </c>
      <c r="Q231" s="66">
        <v>31.2</v>
      </c>
      <c r="R231" s="66">
        <v>34.5</v>
      </c>
      <c r="S231" s="66">
        <v>33.799999999999997</v>
      </c>
      <c r="T231" s="66"/>
      <c r="U231" s="66"/>
      <c r="V231" s="66"/>
      <c r="W231" s="66"/>
      <c r="X231" s="66"/>
      <c r="Y231" s="114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9</v>
      </c>
      <c r="AQ231" s="68" t="str">
        <f t="shared" si="17"/>
        <v/>
      </c>
      <c r="AR231" s="68">
        <f>IFERROR(VLOOKUP(A231,Climatologia_TMAX!A:U,9+$E$2,FALSE),"")</f>
        <v>30.222298052824382</v>
      </c>
      <c r="AS231" s="68" t="str">
        <f t="shared" si="18"/>
        <v/>
      </c>
      <c r="AT231" s="74">
        <f t="shared" si="19"/>
        <v>34.5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34.200000000000003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41160</v>
      </c>
      <c r="AW231" s="69">
        <f t="shared" si="20"/>
        <v>0.29999999999999716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 t="s">
        <v>1289</v>
      </c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30.269365848538971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 t="s">
        <v>1289</v>
      </c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 t="s">
        <v>1289</v>
      </c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33</v>
      </c>
      <c r="L235" s="66">
        <v>32</v>
      </c>
      <c r="M235" s="66">
        <v>31.6</v>
      </c>
      <c r="N235" s="66">
        <v>32.200000000000003</v>
      </c>
      <c r="O235" s="66">
        <v>33.200000000000003</v>
      </c>
      <c r="P235" s="66">
        <v>33.6</v>
      </c>
      <c r="Q235" s="66">
        <v>30</v>
      </c>
      <c r="R235" s="66">
        <v>34.4</v>
      </c>
      <c r="S235" s="66">
        <v>34.799999999999997</v>
      </c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9</v>
      </c>
      <c r="AQ235" s="68" t="str">
        <f t="shared" si="17"/>
        <v/>
      </c>
      <c r="AR235" s="68">
        <f>IFERROR(VLOOKUP(A235,Climatologia_TMAX!A:U,9+$E$2,FALSE),"")</f>
        <v>30.25025408348457</v>
      </c>
      <c r="AS235" s="68" t="str">
        <f t="shared" si="18"/>
        <v/>
      </c>
      <c r="AT235" s="74">
        <f t="shared" si="19"/>
        <v>34.799999999999997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35.1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35" s="69">
        <f t="shared" si="20"/>
        <v>-0.30000000000000426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 t="s">
        <v>1289</v>
      </c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22.212165435139571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 t="s">
        <v>1289</v>
      </c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24.80701149425288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45171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29.4</v>
      </c>
      <c r="L238" s="66">
        <v>30.2</v>
      </c>
      <c r="M238" s="66">
        <v>31</v>
      </c>
      <c r="N238" s="66">
        <v>33.6</v>
      </c>
      <c r="O238" s="66"/>
      <c r="P238" s="66"/>
      <c r="Q238" s="66"/>
      <c r="R238" s="66"/>
      <c r="S238" s="66" t="s">
        <v>1289</v>
      </c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4</v>
      </c>
      <c r="AQ238" s="68" t="str">
        <f t="shared" si="17"/>
        <v/>
      </c>
      <c r="AR238" s="68">
        <f>IFERROR(VLOOKUP(A238,Climatologia_TMAX!A:U,9+$E$2,FALSE),"")</f>
        <v>30.51577690763898</v>
      </c>
      <c r="AS238" s="68" t="str">
        <f t="shared" si="18"/>
        <v/>
      </c>
      <c r="AT238" s="74">
        <f t="shared" si="19"/>
        <v>33.6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35.6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42251</v>
      </c>
      <c r="AW238" s="69">
        <f t="shared" si="20"/>
        <v>-2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 t="s">
        <v>1289</v>
      </c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21.316998722860792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25.6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37520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 t="s">
        <v>1289</v>
      </c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 t="s">
        <v>1289</v>
      </c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24.4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 t="s">
        <v>1289</v>
      </c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24.770555801159261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30.8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 t="s">
        <v>1289</v>
      </c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31.084472723955489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37.299999999999997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30</v>
      </c>
      <c r="L244" s="66">
        <v>28.2</v>
      </c>
      <c r="M244" s="66">
        <v>28.8</v>
      </c>
      <c r="N244" s="66">
        <v>29</v>
      </c>
      <c r="O244" s="66"/>
      <c r="P244" s="66"/>
      <c r="Q244" s="66">
        <v>29.2</v>
      </c>
      <c r="R244" s="66">
        <v>30</v>
      </c>
      <c r="S244" s="66" t="s">
        <v>1289</v>
      </c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6</v>
      </c>
      <c r="AQ244" s="68" t="str">
        <f t="shared" si="17"/>
        <v/>
      </c>
      <c r="AR244" s="68">
        <f>IFERROR(VLOOKUP(A244,Climatologia_TMAX!A:U,9+$E$2,FALSE),"")</f>
        <v>25.891908045977011</v>
      </c>
      <c r="AS244" s="68" t="str">
        <f t="shared" si="18"/>
        <v/>
      </c>
      <c r="AT244" s="74">
        <f t="shared" si="19"/>
        <v>30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31.8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33134</v>
      </c>
      <c r="AW244" s="69">
        <f t="shared" si="20"/>
        <v>-1.8000000000000007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 t="s">
        <v>1289</v>
      </c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34.250797705203837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41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38232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31.6</v>
      </c>
      <c r="L246" s="66">
        <v>32.200000000000003</v>
      </c>
      <c r="M246" s="66">
        <v>33</v>
      </c>
      <c r="N246" s="66"/>
      <c r="O246" s="66">
        <v>35.4</v>
      </c>
      <c r="P246" s="66">
        <v>34</v>
      </c>
      <c r="Q246" s="66">
        <v>33.6</v>
      </c>
      <c r="R246" s="66">
        <v>35</v>
      </c>
      <c r="S246" s="66">
        <v>34.4</v>
      </c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8</v>
      </c>
      <c r="AQ246" s="68" t="str">
        <f t="shared" si="17"/>
        <v/>
      </c>
      <c r="AR246" s="68">
        <f>IFERROR(VLOOKUP(A246,Climatologia_TMAX!A:U,9+$E$2,FALSE),"")</f>
        <v>29.700592680671161</v>
      </c>
      <c r="AS246" s="68" t="str">
        <f t="shared" si="18"/>
        <v/>
      </c>
      <c r="AT246" s="74">
        <f t="shared" si="19"/>
        <v>35.4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35.6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46" s="69">
        <f t="shared" si="20"/>
        <v>-0.20000000000000284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36.799999999999997</v>
      </c>
      <c r="L247" s="66">
        <v>35.6</v>
      </c>
      <c r="M247" s="66">
        <v>36.799999999999997</v>
      </c>
      <c r="N247" s="66">
        <v>37.4</v>
      </c>
      <c r="O247" s="66">
        <v>38.799999999999997</v>
      </c>
      <c r="P247" s="66">
        <v>38.4</v>
      </c>
      <c r="Q247" s="66">
        <v>33.799999999999997</v>
      </c>
      <c r="R247" s="66">
        <v>39</v>
      </c>
      <c r="S247" s="66">
        <v>38.4</v>
      </c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9</v>
      </c>
      <c r="AQ247" s="68" t="str">
        <f t="shared" si="17"/>
        <v/>
      </c>
      <c r="AR247" s="68">
        <f>IFERROR(VLOOKUP(A247,Climatologia_TMAX!A:U,9+$E$2,FALSE),"")</f>
        <v>35.267343185550082</v>
      </c>
      <c r="AS247" s="68" t="str">
        <f t="shared" si="18"/>
        <v/>
      </c>
      <c r="AT247" s="74">
        <f t="shared" si="19"/>
        <v>39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247" s="69">
        <f t="shared" si="20"/>
        <v>-2.6000000000000014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33.799999999999997</v>
      </c>
      <c r="L248" s="66">
        <v>37.200000000000003</v>
      </c>
      <c r="M248" s="66">
        <v>37.200000000000003</v>
      </c>
      <c r="N248" s="66">
        <v>38</v>
      </c>
      <c r="O248" s="66"/>
      <c r="P248" s="66">
        <v>39.4</v>
      </c>
      <c r="Q248" s="66">
        <v>35.4</v>
      </c>
      <c r="R248" s="66">
        <v>38.799999999999997</v>
      </c>
      <c r="S248" s="66">
        <v>37.799999999999997</v>
      </c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8</v>
      </c>
      <c r="AQ248" s="68" t="str">
        <f t="shared" si="17"/>
        <v/>
      </c>
      <c r="AR248" s="68">
        <f>IFERROR(VLOOKUP(A248,Climatologia_TMAX!A:U,9+$E$2,FALSE),"")</f>
        <v>33.731045299345787</v>
      </c>
      <c r="AS248" s="68" t="str">
        <f t="shared" si="18"/>
        <v/>
      </c>
      <c r="AT248" s="74">
        <f t="shared" si="19"/>
        <v>39.4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39.799999999999997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48" s="69">
        <f t="shared" si="20"/>
        <v>-0.39999999999999858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32.200000000000003</v>
      </c>
      <c r="L249" s="66">
        <v>32.6</v>
      </c>
      <c r="M249" s="66">
        <v>32.6</v>
      </c>
      <c r="N249" s="66">
        <v>30.6</v>
      </c>
      <c r="O249" s="66">
        <v>30.2</v>
      </c>
      <c r="P249" s="66">
        <v>31.2</v>
      </c>
      <c r="Q249" s="66">
        <v>30.2</v>
      </c>
      <c r="R249" s="66">
        <v>32.6</v>
      </c>
      <c r="S249" s="66">
        <v>32.799999999999997</v>
      </c>
      <c r="T249" s="66"/>
      <c r="U249" s="66"/>
      <c r="V249" s="66"/>
      <c r="W249" s="106"/>
      <c r="X249" s="66"/>
      <c r="Y249" s="10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9</v>
      </c>
      <c r="AQ249" s="68" t="str">
        <f t="shared" si="17"/>
        <v/>
      </c>
      <c r="AR249" s="68">
        <f>IFERROR(VLOOKUP(A249,Climatologia_TMAX!A:U,9+$E$2,FALSE),"")</f>
        <v>31.849166666666662</v>
      </c>
      <c r="AS249" s="68" t="str">
        <f t="shared" si="18"/>
        <v/>
      </c>
      <c r="AT249" s="74">
        <f t="shared" si="19"/>
        <v>32.799999999999997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37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249" s="69">
        <f t="shared" si="20"/>
        <v>-4.2000000000000028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37.4</v>
      </c>
      <c r="L250" s="66">
        <v>38</v>
      </c>
      <c r="M250" s="66"/>
      <c r="N250" s="66">
        <v>38.6</v>
      </c>
      <c r="O250" s="66"/>
      <c r="P250" s="66">
        <v>39.6</v>
      </c>
      <c r="Q250" s="66">
        <v>36.4</v>
      </c>
      <c r="R250" s="66">
        <v>39.6</v>
      </c>
      <c r="S250" s="66">
        <v>39.200000000000003</v>
      </c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7</v>
      </c>
      <c r="AQ250" s="68" t="str">
        <f t="shared" si="17"/>
        <v/>
      </c>
      <c r="AR250" s="68">
        <f>IFERROR(VLOOKUP(A250,Climatologia_TMAX!A:U,9+$E$2,FALSE),"")</f>
        <v>35.703584328231692</v>
      </c>
      <c r="AS250" s="68" t="str">
        <f t="shared" si="18"/>
        <v/>
      </c>
      <c r="AT250" s="74">
        <f t="shared" si="19"/>
        <v>39.6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41.8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32033</v>
      </c>
      <c r="AW250" s="69">
        <f t="shared" si="20"/>
        <v>-2.1999999999999957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 t="s">
        <v>1289</v>
      </c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34.640160854148633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41.6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35.200000000000003</v>
      </c>
      <c r="L252" s="66">
        <v>38</v>
      </c>
      <c r="M252" s="66">
        <v>37.200000000000003</v>
      </c>
      <c r="N252" s="66">
        <v>39.6</v>
      </c>
      <c r="O252" s="66">
        <v>40</v>
      </c>
      <c r="P252" s="66">
        <v>38.4</v>
      </c>
      <c r="Q252" s="66">
        <v>39</v>
      </c>
      <c r="R252" s="66">
        <v>41</v>
      </c>
      <c r="S252" s="66">
        <v>39.200000000000003</v>
      </c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9</v>
      </c>
      <c r="AQ252" s="68" t="str">
        <f t="shared" si="17"/>
        <v/>
      </c>
      <c r="AR252" s="68">
        <f>IFERROR(VLOOKUP(A252,Climatologia_TMAX!A:U,9+$E$2,FALSE),"")</f>
        <v>34.670477410573667</v>
      </c>
      <c r="AS252" s="68" t="str">
        <f t="shared" si="18"/>
        <v/>
      </c>
      <c r="AT252" s="74">
        <f t="shared" si="19"/>
        <v>41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42.4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52" s="69">
        <f t="shared" si="20"/>
        <v>-1.3999999999999986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 t="s">
        <v>1289</v>
      </c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36.302569910600248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44.2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 t="s">
        <v>1289</v>
      </c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38.4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43719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</v>
      </c>
      <c r="M255" s="66">
        <v>37.200000000000003</v>
      </c>
      <c r="N255" s="66">
        <v>36</v>
      </c>
      <c r="O255" s="66">
        <v>37.200000000000003</v>
      </c>
      <c r="P255" s="66">
        <v>36.799999999999997</v>
      </c>
      <c r="Q255" s="66">
        <v>36.200000000000003</v>
      </c>
      <c r="R255" s="66">
        <v>38.200000000000003</v>
      </c>
      <c r="S255" s="66">
        <v>38</v>
      </c>
      <c r="T255" s="66"/>
      <c r="U255" s="66"/>
      <c r="V255" s="66"/>
      <c r="W255" s="66"/>
      <c r="X255" s="66"/>
      <c r="Y255" s="114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9</v>
      </c>
      <c r="AQ255" s="68" t="str">
        <f t="shared" si="17"/>
        <v/>
      </c>
      <c r="AR255" s="68">
        <f>IFERROR(VLOOKUP(A255,Climatologia_TMAX!A:U,9+$E$2,FALSE),"")</f>
        <v>33.242094712934822</v>
      </c>
      <c r="AS255" s="68" t="str">
        <f t="shared" si="18"/>
        <v/>
      </c>
      <c r="AT255" s="74">
        <f t="shared" si="19"/>
        <v>38.200000000000003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39.799999999999997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42271</v>
      </c>
      <c r="AW255" s="69">
        <f t="shared" si="20"/>
        <v>-1.5999999999999943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 t="s">
        <v>1289</v>
      </c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31.39816644562335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37.200000000000003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44456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 t="s">
        <v>1289</v>
      </c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34.854866830376579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42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22.6</v>
      </c>
      <c r="L258" s="66">
        <v>24.4</v>
      </c>
      <c r="M258" s="66">
        <v>25.6</v>
      </c>
      <c r="N258" s="66">
        <v>25.2</v>
      </c>
      <c r="O258" s="66">
        <v>27.2</v>
      </c>
      <c r="P258" s="66">
        <v>27.2</v>
      </c>
      <c r="Q258" s="66">
        <v>24.6</v>
      </c>
      <c r="R258" s="66">
        <v>27.8</v>
      </c>
      <c r="S258" s="66">
        <v>27.2</v>
      </c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9</v>
      </c>
      <c r="AQ258" s="68" t="str">
        <f t="shared" si="17"/>
        <v/>
      </c>
      <c r="AR258" s="68">
        <f>IFERROR(VLOOKUP(A258,Climatologia_TMAX!A:U,9+$E$2,FALSE),"")</f>
        <v>22.819631675276192</v>
      </c>
      <c r="AS258" s="68" t="str">
        <f t="shared" si="18"/>
        <v/>
      </c>
      <c r="AT258" s="74">
        <f t="shared" si="19"/>
        <v>27.8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30197</v>
      </c>
      <c r="AW258" s="69">
        <f t="shared" si="20"/>
        <v>-0.19999999999999929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</v>
      </c>
      <c r="L259" s="66">
        <v>27.6</v>
      </c>
      <c r="M259" s="66">
        <v>26.8</v>
      </c>
      <c r="N259" s="66">
        <v>26.8</v>
      </c>
      <c r="O259" s="66">
        <v>27.8</v>
      </c>
      <c r="P259" s="66">
        <v>27</v>
      </c>
      <c r="Q259" s="66">
        <v>25.2</v>
      </c>
      <c r="R259" s="66">
        <v>29.2</v>
      </c>
      <c r="S259" s="66">
        <v>29</v>
      </c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9</v>
      </c>
      <c r="AQ259" s="68" t="str">
        <f t="shared" si="17"/>
        <v/>
      </c>
      <c r="AR259" s="68">
        <f>IFERROR(VLOOKUP(A259,Climatologia_TMAX!A:U,9+$E$2,FALSE),"")</f>
        <v>27.28826717088787</v>
      </c>
      <c r="AS259" s="68" t="str">
        <f t="shared" si="18"/>
        <v/>
      </c>
      <c r="AT259" s="74">
        <f t="shared" si="19"/>
        <v>29.2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32.200000000000003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259" s="69">
        <f t="shared" si="20"/>
        <v>-3.0000000000000036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21.2</v>
      </c>
      <c r="L260" s="66">
        <v>20.8</v>
      </c>
      <c r="M260" s="66">
        <v>21.2</v>
      </c>
      <c r="N260" s="66">
        <v>22.2</v>
      </c>
      <c r="O260" s="66">
        <v>22.8</v>
      </c>
      <c r="P260" s="66">
        <v>22</v>
      </c>
      <c r="Q260" s="66">
        <v>20.8</v>
      </c>
      <c r="R260" s="66">
        <v>24</v>
      </c>
      <c r="S260" s="66">
        <v>23</v>
      </c>
      <c r="T260" s="66"/>
      <c r="U260" s="66"/>
      <c r="V260" s="66"/>
      <c r="W260" s="109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9</v>
      </c>
      <c r="AQ260" s="68" t="str">
        <f t="shared" si="17"/>
        <v/>
      </c>
      <c r="AR260" s="68">
        <f>IFERROR(VLOOKUP(A260,Climatologia_TMAX!A:U,9+$E$2,FALSE),"")</f>
        <v>18.65319922126082</v>
      </c>
      <c r="AS260" s="68" t="str">
        <f t="shared" si="18"/>
        <v/>
      </c>
      <c r="AT260" s="74">
        <f t="shared" si="19"/>
        <v>24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23.8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60" s="69">
        <f t="shared" si="20"/>
        <v>0.19999999999999929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33.6</v>
      </c>
      <c r="L261" s="66">
        <v>36</v>
      </c>
      <c r="M261" s="66">
        <v>35.6</v>
      </c>
      <c r="N261" s="66">
        <v>36.4</v>
      </c>
      <c r="O261" s="66">
        <v>37.6</v>
      </c>
      <c r="P261" s="66">
        <v>37.799999999999997</v>
      </c>
      <c r="Q261" s="66">
        <v>35.200000000000003</v>
      </c>
      <c r="R261" s="66">
        <v>38.200000000000003</v>
      </c>
      <c r="S261" s="66">
        <v>37.200000000000003</v>
      </c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288" si="21">COUNTIF(K261:AO261,"&gt;0")</f>
        <v>9</v>
      </c>
      <c r="AQ261" s="68" t="str">
        <f t="shared" ref="AQ261:AQ288" si="22">IF(AP261&gt;14,AVERAGE(K261:AO261),"")</f>
        <v/>
      </c>
      <c r="AR261" s="68" t="str">
        <f>IFERROR(VLOOKUP(A261,Climatologia_TMAX!A:U,9+$E$2,FALSE),"")</f>
        <v/>
      </c>
      <c r="AS261" s="68" t="str">
        <f t="shared" ref="AS261:AS288" si="23">IF(OR(AQ261="",AR261=""),"",IFERROR(AQ261-AR261,""))</f>
        <v/>
      </c>
      <c r="AT261" s="74">
        <f t="shared" ref="AT261:AT288" si="24">IF(COUNT(K261:AO261)=0,"",MAX(K261:AO261))</f>
        <v>38.200000000000003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39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261" s="69">
        <f t="shared" ref="AW261:AW288" si="25">IF(OR(AT261="",AU261=""),"NA",IFERROR(AT261-AU261,"NA"))</f>
        <v>-0.79999999999999716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21.6</v>
      </c>
      <c r="L262" s="66">
        <v>22.6</v>
      </c>
      <c r="M262" s="66">
        <v>23</v>
      </c>
      <c r="N262" s="66">
        <v>22.8</v>
      </c>
      <c r="O262" s="66">
        <v>23.4</v>
      </c>
      <c r="P262" s="66">
        <v>23.4</v>
      </c>
      <c r="Q262" s="66">
        <v>22</v>
      </c>
      <c r="R262" s="66">
        <v>24.4</v>
      </c>
      <c r="S262" s="66">
        <v>24</v>
      </c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9</v>
      </c>
      <c r="AQ262" s="68" t="str">
        <f t="shared" si="22"/>
        <v/>
      </c>
      <c r="AR262" s="68">
        <f>IFERROR(VLOOKUP(A262,Climatologia_TMAX!A:U,9+$E$2,FALSE),"")</f>
        <v>20.946002371829959</v>
      </c>
      <c r="AS262" s="68" t="str">
        <f t="shared" si="23"/>
        <v/>
      </c>
      <c r="AT262" s="74">
        <f t="shared" si="24"/>
        <v>24.4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25.4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45192</v>
      </c>
      <c r="AW262" s="69">
        <f t="shared" si="25"/>
        <v>-1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 t="s">
        <v>1289</v>
      </c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16.1181404853129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22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 t="s">
        <v>1289</v>
      </c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 t="s">
        <v>1289</v>
      </c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>
        <v>19</v>
      </c>
      <c r="L266" s="66">
        <v>18.399999999999999</v>
      </c>
      <c r="M266" s="66">
        <v>18</v>
      </c>
      <c r="N266" s="66">
        <v>17.399999999999999</v>
      </c>
      <c r="O266" s="66">
        <v>17.399999999999999</v>
      </c>
      <c r="P266" s="66">
        <v>19</v>
      </c>
      <c r="Q266" s="66">
        <v>17.2</v>
      </c>
      <c r="R266" s="66">
        <v>19.2</v>
      </c>
      <c r="S266" s="66">
        <v>20.2</v>
      </c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9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20.2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24.4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266" s="69">
        <f t="shared" si="25"/>
        <v>-4.1999999999999993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 t="s">
        <v>1289</v>
      </c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15.8</v>
      </c>
      <c r="M268" s="66">
        <v>15.4</v>
      </c>
      <c r="N268" s="66">
        <v>15.8</v>
      </c>
      <c r="O268" s="66">
        <v>15</v>
      </c>
      <c r="P268" s="66">
        <v>15.2</v>
      </c>
      <c r="Q268" s="66">
        <v>15.4</v>
      </c>
      <c r="R268" s="66">
        <v>15.8</v>
      </c>
      <c r="S268" s="66">
        <v>16.2</v>
      </c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9</v>
      </c>
      <c r="AQ268" s="68" t="str">
        <f t="shared" si="22"/>
        <v/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16.2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19.8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38967</v>
      </c>
      <c r="AW268" s="69">
        <f t="shared" si="25"/>
        <v>-3.6000000000000014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20.2</v>
      </c>
      <c r="L269" s="66">
        <v>20</v>
      </c>
      <c r="M269" s="66">
        <v>19.600000000000001</v>
      </c>
      <c r="N269" s="66">
        <v>20.399999999999999</v>
      </c>
      <c r="O269" s="66">
        <v>21.4</v>
      </c>
      <c r="P269" s="66">
        <v>20.6</v>
      </c>
      <c r="Q269" s="66">
        <v>19.600000000000001</v>
      </c>
      <c r="R269" s="66">
        <v>20.8</v>
      </c>
      <c r="S269" s="66">
        <v>22</v>
      </c>
      <c r="T269" s="66"/>
      <c r="U269" s="109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9</v>
      </c>
      <c r="AQ269" s="68" t="str">
        <f t="shared" si="22"/>
        <v/>
      </c>
      <c r="AR269" s="68">
        <f>IFERROR(VLOOKUP(A269,Climatologia_TMAX!A:U,9+$E$2,FALSE),"")</f>
        <v>19.615369580929929</v>
      </c>
      <c r="AS269" s="68" t="str">
        <f t="shared" si="23"/>
        <v/>
      </c>
      <c r="AT269" s="74">
        <f t="shared" si="24"/>
        <v>22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25.2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45548</v>
      </c>
      <c r="AW269" s="69">
        <f t="shared" si="25"/>
        <v>-3.1999999999999993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19.8</v>
      </c>
      <c r="L270" s="66">
        <v>19</v>
      </c>
      <c r="M270" s="66">
        <v>18.2</v>
      </c>
      <c r="N270" s="66">
        <v>18.2</v>
      </c>
      <c r="O270" s="66">
        <v>18</v>
      </c>
      <c r="P270" s="66">
        <v>17.8</v>
      </c>
      <c r="Q270" s="66">
        <v>17.2</v>
      </c>
      <c r="R270" s="66">
        <v>19</v>
      </c>
      <c r="S270" s="66">
        <v>18.600000000000001</v>
      </c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9</v>
      </c>
      <c r="AQ270" s="68" t="str">
        <f t="shared" si="22"/>
        <v/>
      </c>
      <c r="AR270" s="68">
        <f>IFERROR(VLOOKUP(A270,Climatologia_TMAX!A:U,9+$E$2,FALSE),"")</f>
        <v>16.70976812790186</v>
      </c>
      <c r="AS270" s="68" t="str">
        <f t="shared" si="23"/>
        <v/>
      </c>
      <c r="AT270" s="74">
        <f t="shared" si="24"/>
        <v>19.8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24.6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44104</v>
      </c>
      <c r="AW270" s="69">
        <f t="shared" si="25"/>
        <v>-4.8000000000000007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19.2</v>
      </c>
      <c r="L271" s="66">
        <v>19.8</v>
      </c>
      <c r="M271" s="66">
        <v>16.8</v>
      </c>
      <c r="N271" s="66">
        <v>16.399999999999999</v>
      </c>
      <c r="O271" s="66">
        <v>15.4</v>
      </c>
      <c r="P271" s="66">
        <v>16.8</v>
      </c>
      <c r="Q271" s="66">
        <v>16.2</v>
      </c>
      <c r="R271" s="66">
        <v>17.399999999999999</v>
      </c>
      <c r="S271" s="66">
        <v>16.399999999999999</v>
      </c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9</v>
      </c>
      <c r="AQ271" s="68" t="str">
        <f t="shared" si="22"/>
        <v/>
      </c>
      <c r="AR271" s="68">
        <f>IFERROR(VLOOKUP(A271,Climatologia_TMAX!A:U,9+$E$2,FALSE),"")</f>
        <v>17.895683826932089</v>
      </c>
      <c r="AS271" s="68" t="str">
        <f t="shared" si="23"/>
        <v/>
      </c>
      <c r="AT271" s="74">
        <f t="shared" si="24"/>
        <v>19.8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22.8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271" s="69">
        <f t="shared" si="25"/>
        <v>-3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22</v>
      </c>
      <c r="L272" s="66">
        <v>21.2</v>
      </c>
      <c r="M272" s="66">
        <v>20</v>
      </c>
      <c r="N272" s="66">
        <v>20.399999999999999</v>
      </c>
      <c r="O272" s="66">
        <v>18.8</v>
      </c>
      <c r="P272" s="66">
        <v>21</v>
      </c>
      <c r="Q272" s="66">
        <v>21.4</v>
      </c>
      <c r="R272" s="66"/>
      <c r="S272" s="66" t="s">
        <v>1289</v>
      </c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7</v>
      </c>
      <c r="AQ272" s="68" t="str">
        <f t="shared" si="22"/>
        <v/>
      </c>
      <c r="AR272" s="68">
        <f>IFERROR(VLOOKUP(A272,Climatologia_TMAX!A:U,9+$E$2,FALSE),"")</f>
        <v>21.308765035858141</v>
      </c>
      <c r="AS272" s="68" t="str">
        <f t="shared" si="23"/>
        <v/>
      </c>
      <c r="AT272" s="74">
        <f t="shared" si="24"/>
        <v>22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25</v>
      </c>
      <c r="L273" s="66">
        <v>26</v>
      </c>
      <c r="M273" s="66">
        <v>27.2</v>
      </c>
      <c r="N273" s="66">
        <v>27</v>
      </c>
      <c r="O273" s="66">
        <v>28.8</v>
      </c>
      <c r="P273" s="66">
        <v>27.6</v>
      </c>
      <c r="Q273" s="66">
        <v>25.8</v>
      </c>
      <c r="R273" s="66">
        <v>28</v>
      </c>
      <c r="S273" s="66">
        <v>29.4</v>
      </c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9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29.4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32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273" s="69">
        <f t="shared" si="25"/>
        <v>-2.6000000000000014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 t="s">
        <v>1289</v>
      </c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25.4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42992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12.6</v>
      </c>
      <c r="L275" s="66">
        <v>11.4</v>
      </c>
      <c r="M275" s="66">
        <v>10</v>
      </c>
      <c r="N275" s="66">
        <v>10.199999999999999</v>
      </c>
      <c r="O275" s="66">
        <v>12.2</v>
      </c>
      <c r="P275" s="66">
        <v>12.2</v>
      </c>
      <c r="Q275" s="66">
        <v>11.2</v>
      </c>
      <c r="R275" s="66"/>
      <c r="S275" s="66">
        <v>10.8</v>
      </c>
      <c r="T275" s="66"/>
      <c r="U275" s="109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8</v>
      </c>
      <c r="AQ275" s="68" t="str">
        <f t="shared" si="22"/>
        <v/>
      </c>
      <c r="AR275" s="68">
        <f>IFERROR(VLOOKUP(A275,Climatologia_TMAX!A:U,9+$E$2,FALSE),"")</f>
        <v>12.157791724558971</v>
      </c>
      <c r="AS275" s="68" t="str">
        <f t="shared" si="23"/>
        <v/>
      </c>
      <c r="AT275" s="74">
        <f t="shared" si="24"/>
        <v>12.6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17.600000000000001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39355</v>
      </c>
      <c r="AW275" s="69">
        <f t="shared" si="25"/>
        <v>-5.0000000000000018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 t="s">
        <v>1289</v>
      </c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41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 t="s">
        <v>1289</v>
      </c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21.742385290599849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31.4</v>
      </c>
      <c r="L278" s="66">
        <v>33.200000000000003</v>
      </c>
      <c r="M278" s="66">
        <v>32.6</v>
      </c>
      <c r="N278" s="66">
        <v>33.6</v>
      </c>
      <c r="O278" s="66">
        <v>35.200000000000003</v>
      </c>
      <c r="P278" s="66">
        <v>33.799999999999997</v>
      </c>
      <c r="Q278" s="66">
        <v>33</v>
      </c>
      <c r="R278" s="66">
        <v>34.4</v>
      </c>
      <c r="S278" s="66">
        <v>34.6</v>
      </c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9</v>
      </c>
      <c r="AQ278" s="68" t="str">
        <f t="shared" si="22"/>
        <v/>
      </c>
      <c r="AR278" s="68">
        <f>IFERROR(VLOOKUP(A278,Climatologia_TMAX!A:U,9+$E$2,FALSE),"")</f>
        <v>31.68806366047745</v>
      </c>
      <c r="AS278" s="68" t="str">
        <f t="shared" si="23"/>
        <v/>
      </c>
      <c r="AT278" s="74">
        <f t="shared" si="24"/>
        <v>35.200000000000003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37.4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278" s="69">
        <f t="shared" si="25"/>
        <v>-2.1999999999999957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21.8</v>
      </c>
      <c r="L279" s="66">
        <v>22.6</v>
      </c>
      <c r="M279" s="66">
        <v>21.4</v>
      </c>
      <c r="N279" s="66">
        <v>20.8</v>
      </c>
      <c r="O279" s="66">
        <v>21.2</v>
      </c>
      <c r="P279" s="66">
        <v>20.8</v>
      </c>
      <c r="Q279" s="66">
        <v>18.8</v>
      </c>
      <c r="R279" s="66"/>
      <c r="S279" s="66">
        <v>21.8</v>
      </c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8</v>
      </c>
      <c r="AQ279" s="68" t="str">
        <f t="shared" si="22"/>
        <v/>
      </c>
      <c r="AR279" s="68">
        <f>IFERROR(VLOOKUP(A279,Climatologia_TMAX!A:U,9+$E$2,FALSE),"")</f>
        <v>20.848528735632179</v>
      </c>
      <c r="AS279" s="68" t="str">
        <f t="shared" si="23"/>
        <v/>
      </c>
      <c r="AT279" s="74">
        <f t="shared" si="24"/>
        <v>22.6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24.2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37519</v>
      </c>
      <c r="AW279" s="69">
        <f t="shared" si="25"/>
        <v>-1.5999999999999979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32.799999999999997</v>
      </c>
      <c r="L280" s="66">
        <v>32.200000000000003</v>
      </c>
      <c r="M280" s="66">
        <v>31.8</v>
      </c>
      <c r="N280" s="66">
        <v>32.6</v>
      </c>
      <c r="O280" s="66">
        <v>33.799999999999997</v>
      </c>
      <c r="P280" s="66">
        <v>33.4</v>
      </c>
      <c r="Q280" s="66">
        <v>31.2</v>
      </c>
      <c r="R280" s="66">
        <v>34.4</v>
      </c>
      <c r="S280" s="66">
        <v>33.4</v>
      </c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9</v>
      </c>
      <c r="AQ280" s="68" t="str">
        <f t="shared" si="22"/>
        <v/>
      </c>
      <c r="AR280" s="68">
        <f>IFERROR(VLOOKUP(A280,Climatologia_TMAX!A:U,9+$E$2,FALSE),"")</f>
        <v>30.025088149634769</v>
      </c>
      <c r="AS280" s="68" t="str">
        <f t="shared" si="23"/>
        <v/>
      </c>
      <c r="AT280" s="74">
        <f t="shared" si="24"/>
        <v>34.4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38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38988</v>
      </c>
      <c r="AW280" s="69">
        <f t="shared" si="25"/>
        <v>-3.6000000000000014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20</v>
      </c>
      <c r="L281" s="66">
        <v>21.4</v>
      </c>
      <c r="M281" s="66">
        <v>21.2</v>
      </c>
      <c r="N281" s="66">
        <v>21</v>
      </c>
      <c r="O281" s="66">
        <v>24.8</v>
      </c>
      <c r="P281" s="66">
        <v>21.4</v>
      </c>
      <c r="Q281" s="66">
        <v>21</v>
      </c>
      <c r="R281" s="66">
        <v>22</v>
      </c>
      <c r="S281" s="66">
        <v>22.6</v>
      </c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9</v>
      </c>
      <c r="AQ281" s="68" t="str">
        <f t="shared" si="22"/>
        <v/>
      </c>
      <c r="AR281" s="68">
        <f>IFERROR(VLOOKUP(A281,Climatologia_TMAX!A:U,9+$E$2,FALSE),"")</f>
        <v>20.187784893267651</v>
      </c>
      <c r="AS281" s="68" t="str">
        <f t="shared" si="23"/>
        <v/>
      </c>
      <c r="AT281" s="74">
        <f t="shared" si="24"/>
        <v>24.8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 t="s">
        <v>1289</v>
      </c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16.7495584045584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21.2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36428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/>
      <c r="L283" s="66"/>
      <c r="M283" s="66"/>
      <c r="N283" s="66"/>
      <c r="O283" s="66"/>
      <c r="P283" s="66"/>
      <c r="Q283" s="66"/>
      <c r="R283" s="66"/>
      <c r="S283" s="66" t="s">
        <v>1289</v>
      </c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0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 t="str">
        <f t="shared" si="24"/>
        <v/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24.4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41173</v>
      </c>
      <c r="AW283" s="69" t="str">
        <f t="shared" si="25"/>
        <v>NA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20.2</v>
      </c>
      <c r="L284" s="66">
        <v>18.8</v>
      </c>
      <c r="M284" s="66">
        <v>19.600000000000001</v>
      </c>
      <c r="N284" s="66">
        <v>18.600000000000001</v>
      </c>
      <c r="O284" s="66">
        <v>19.2</v>
      </c>
      <c r="P284" s="66">
        <v>19.8</v>
      </c>
      <c r="Q284" s="66">
        <v>19.399999999999999</v>
      </c>
      <c r="R284" s="66">
        <v>20.2</v>
      </c>
      <c r="S284" s="66">
        <v>19.8</v>
      </c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9</v>
      </c>
      <c r="AQ284" s="68" t="str">
        <f t="shared" si="22"/>
        <v/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20.2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23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44093</v>
      </c>
      <c r="AW284" s="69">
        <f t="shared" si="25"/>
        <v>-2.8000000000000007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20.2</v>
      </c>
      <c r="L285" s="66">
        <v>20</v>
      </c>
      <c r="M285" s="66">
        <v>20.2</v>
      </c>
      <c r="N285" s="66">
        <v>20.2</v>
      </c>
      <c r="O285" s="66">
        <v>21.6</v>
      </c>
      <c r="P285" s="66">
        <v>22</v>
      </c>
      <c r="Q285" s="66">
        <v>18.8</v>
      </c>
      <c r="R285" s="66">
        <v>20.6</v>
      </c>
      <c r="S285" s="66">
        <v>22.8</v>
      </c>
      <c r="T285" s="66"/>
      <c r="U285" s="109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9</v>
      </c>
      <c r="AQ285" s="68" t="str">
        <f t="shared" si="22"/>
        <v/>
      </c>
      <c r="AR285" s="68">
        <f>IFERROR(VLOOKUP(A285,Climatologia_TMAX!A:U,9+$E$2,FALSE),"")</f>
        <v>19.841617540739382</v>
      </c>
      <c r="AS285" s="68" t="str">
        <f t="shared" si="23"/>
        <v/>
      </c>
      <c r="AT285" s="74">
        <f t="shared" si="24"/>
        <v>22.8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24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36423</v>
      </c>
      <c r="AW285" s="69">
        <f t="shared" si="25"/>
        <v>-1.1999999999999993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 t="s">
        <v>1289</v>
      </c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30.746390032700379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38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40449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18.600000000000001</v>
      </c>
      <c r="L287" s="66">
        <v>19</v>
      </c>
      <c r="M287" s="66">
        <v>19</v>
      </c>
      <c r="N287" s="66">
        <v>19</v>
      </c>
      <c r="O287" s="66">
        <v>19.8</v>
      </c>
      <c r="P287" s="66">
        <v>18.399999999999999</v>
      </c>
      <c r="Q287" s="66">
        <v>17</v>
      </c>
      <c r="R287" s="66"/>
      <c r="S287" s="66">
        <v>20</v>
      </c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8</v>
      </c>
      <c r="AQ287" s="68" t="str">
        <f t="shared" si="22"/>
        <v/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20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23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287" s="69">
        <f t="shared" si="25"/>
        <v>-3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 t="s">
        <v>1289</v>
      </c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26.02180721435511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  <row r="290" spans="16:16" x14ac:dyDescent="0.25">
      <c r="P290" s="55"/>
    </row>
    <row r="291" spans="16:16" x14ac:dyDescent="0.25">
      <c r="P291" s="55"/>
    </row>
    <row r="292" spans="16:16" x14ac:dyDescent="0.25">
      <c r="P292" s="55"/>
    </row>
    <row r="293" spans="16:16" x14ac:dyDescent="0.25">
      <c r="P293" s="55"/>
    </row>
    <row r="294" spans="16:16" x14ac:dyDescent="0.25">
      <c r="P294" s="55"/>
    </row>
    <row r="295" spans="16:16" x14ac:dyDescent="0.25">
      <c r="P295" s="55"/>
    </row>
    <row r="296" spans="16:16" x14ac:dyDescent="0.25">
      <c r="P296" s="55"/>
    </row>
    <row r="297" spans="16:16" x14ac:dyDescent="0.25">
      <c r="P297" s="55"/>
    </row>
    <row r="298" spans="16:16" x14ac:dyDescent="0.25">
      <c r="P298" s="55"/>
    </row>
    <row r="299" spans="16:16" x14ac:dyDescent="0.25">
      <c r="P299" s="55"/>
    </row>
    <row r="300" spans="16:16" x14ac:dyDescent="0.25">
      <c r="P300" s="55"/>
    </row>
    <row r="301" spans="16:16" x14ac:dyDescent="0.25">
      <c r="P301" s="55"/>
    </row>
    <row r="302" spans="16:16" x14ac:dyDescent="0.25">
      <c r="P302" s="55"/>
    </row>
    <row r="303" spans="16:16" x14ac:dyDescent="0.25">
      <c r="P303" s="55"/>
    </row>
    <row r="304" spans="16:16" x14ac:dyDescent="0.25">
      <c r="P304" s="55"/>
    </row>
    <row r="305" spans="16:16" x14ac:dyDescent="0.25">
      <c r="P305" s="55"/>
    </row>
    <row r="306" spans="16:16" x14ac:dyDescent="0.25">
      <c r="P306" s="55"/>
    </row>
    <row r="307" spans="16:16" x14ac:dyDescent="0.25">
      <c r="P307" s="55"/>
    </row>
    <row r="308" spans="16:16" x14ac:dyDescent="0.25">
      <c r="P308" s="55"/>
    </row>
    <row r="309" spans="16:16" x14ac:dyDescent="0.25">
      <c r="P309" s="55"/>
    </row>
    <row r="310" spans="16:16" x14ac:dyDescent="0.25">
      <c r="P310" s="55"/>
    </row>
    <row r="311" spans="16:16" x14ac:dyDescent="0.25">
      <c r="P311" s="55"/>
    </row>
    <row r="312" spans="16:16" x14ac:dyDescent="0.25">
      <c r="P312" s="55"/>
    </row>
    <row r="313" spans="16:16" x14ac:dyDescent="0.25">
      <c r="P313" s="55"/>
    </row>
    <row r="314" spans="16:16" x14ac:dyDescent="0.25">
      <c r="P314" s="55"/>
    </row>
    <row r="315" spans="16:16" x14ac:dyDescent="0.25">
      <c r="P315" s="55"/>
    </row>
    <row r="316" spans="16:16" x14ac:dyDescent="0.25">
      <c r="P316" s="55"/>
    </row>
    <row r="317" spans="16:16" x14ac:dyDescent="0.25">
      <c r="P317" s="55"/>
    </row>
    <row r="318" spans="16:16" x14ac:dyDescent="0.25">
      <c r="P318" s="55"/>
    </row>
    <row r="319" spans="16:16" x14ac:dyDescent="0.25">
      <c r="P319" s="55"/>
    </row>
    <row r="320" spans="16:16" x14ac:dyDescent="0.25">
      <c r="P320" s="55"/>
    </row>
    <row r="321" spans="16:16" x14ac:dyDescent="0.25">
      <c r="P321" s="55"/>
    </row>
    <row r="322" spans="16:16" x14ac:dyDescent="0.25">
      <c r="P322" s="55"/>
    </row>
    <row r="323" spans="16:16" x14ac:dyDescent="0.25">
      <c r="P323" s="55"/>
    </row>
    <row r="324" spans="16:16" x14ac:dyDescent="0.25">
      <c r="P324" s="55"/>
    </row>
    <row r="325" spans="16:16" x14ac:dyDescent="0.25">
      <c r="P325" s="55"/>
    </row>
    <row r="326" spans="16:16" x14ac:dyDescent="0.25">
      <c r="P326" s="55"/>
    </row>
    <row r="327" spans="16:16" x14ac:dyDescent="0.25">
      <c r="P327" s="55"/>
    </row>
    <row r="328" spans="16:16" x14ac:dyDescent="0.25">
      <c r="P328" s="55"/>
    </row>
    <row r="329" spans="16:16" x14ac:dyDescent="0.25">
      <c r="P329" s="55"/>
    </row>
    <row r="330" spans="16:16" x14ac:dyDescent="0.25">
      <c r="P330" s="55"/>
    </row>
    <row r="331" spans="16:16" x14ac:dyDescent="0.25">
      <c r="P331" s="55"/>
    </row>
    <row r="332" spans="16:16" x14ac:dyDescent="0.25">
      <c r="P332" s="55"/>
    </row>
    <row r="333" spans="16:16" x14ac:dyDescent="0.25">
      <c r="P333" s="55"/>
    </row>
    <row r="334" spans="16:16" x14ac:dyDescent="0.25">
      <c r="P334" s="55"/>
    </row>
    <row r="335" spans="16:16" x14ac:dyDescent="0.25">
      <c r="P335" s="55"/>
    </row>
    <row r="336" spans="16:16" x14ac:dyDescent="0.25">
      <c r="P336" s="55"/>
    </row>
    <row r="337" spans="16:16" x14ac:dyDescent="0.25">
      <c r="P337" s="55"/>
    </row>
    <row r="338" spans="16:16" x14ac:dyDescent="0.25">
      <c r="P338" s="55"/>
    </row>
    <row r="339" spans="16:16" x14ac:dyDescent="0.25">
      <c r="P339" s="55"/>
    </row>
    <row r="340" spans="16:16" x14ac:dyDescent="0.25">
      <c r="P340" s="55"/>
    </row>
    <row r="341" spans="16:16" x14ac:dyDescent="0.25">
      <c r="P341" s="55"/>
    </row>
    <row r="342" spans="16:16" x14ac:dyDescent="0.25">
      <c r="P342" s="55"/>
    </row>
    <row r="343" spans="16:16" x14ac:dyDescent="0.25">
      <c r="P343" s="55"/>
    </row>
    <row r="344" spans="16:16" x14ac:dyDescent="0.25">
      <c r="P344" s="55"/>
    </row>
    <row r="345" spans="16:16" x14ac:dyDescent="0.25">
      <c r="P345" s="55"/>
    </row>
    <row r="346" spans="16:16" x14ac:dyDescent="0.25">
      <c r="P346" s="55"/>
    </row>
    <row r="347" spans="16:16" x14ac:dyDescent="0.25">
      <c r="P347" s="55"/>
    </row>
    <row r="348" spans="16:16" x14ac:dyDescent="0.25">
      <c r="P348" s="55"/>
    </row>
    <row r="349" spans="16:16" x14ac:dyDescent="0.25">
      <c r="P349" s="55"/>
    </row>
    <row r="350" spans="16:16" x14ac:dyDescent="0.25">
      <c r="P350" s="55"/>
    </row>
    <row r="351" spans="16:16" x14ac:dyDescent="0.25">
      <c r="P351" s="55"/>
    </row>
    <row r="352" spans="16:16" x14ac:dyDescent="0.25">
      <c r="P352" s="55"/>
    </row>
    <row r="353" spans="16:16" x14ac:dyDescent="0.25">
      <c r="P353" s="55"/>
    </row>
    <row r="354" spans="16:16" x14ac:dyDescent="0.25">
      <c r="P354" s="55"/>
    </row>
    <row r="355" spans="16:16" x14ac:dyDescent="0.25">
      <c r="P355" s="55"/>
    </row>
    <row r="356" spans="16:16" x14ac:dyDescent="0.25">
      <c r="P356" s="55"/>
    </row>
    <row r="357" spans="16:16" x14ac:dyDescent="0.25">
      <c r="P357" s="55"/>
    </row>
    <row r="358" spans="16:16" x14ac:dyDescent="0.25">
      <c r="P358" s="55"/>
    </row>
    <row r="359" spans="16:16" x14ac:dyDescent="0.25">
      <c r="P359" s="55"/>
    </row>
    <row r="360" spans="16:16" x14ac:dyDescent="0.25">
      <c r="P360" s="55"/>
    </row>
    <row r="361" spans="16:16" x14ac:dyDescent="0.25">
      <c r="P361" s="55"/>
    </row>
    <row r="362" spans="16:16" x14ac:dyDescent="0.25">
      <c r="P362" s="55"/>
    </row>
    <row r="363" spans="16:16" x14ac:dyDescent="0.25">
      <c r="P363" s="55"/>
    </row>
    <row r="364" spans="16:16" x14ac:dyDescent="0.25">
      <c r="P364" s="55"/>
    </row>
    <row r="365" spans="16:16" x14ac:dyDescent="0.25">
      <c r="P365" s="55"/>
    </row>
    <row r="366" spans="16:16" x14ac:dyDescent="0.25">
      <c r="P366" s="55"/>
    </row>
    <row r="367" spans="16:16" x14ac:dyDescent="0.25">
      <c r="P367" s="55"/>
    </row>
    <row r="368" spans="16:16" x14ac:dyDescent="0.25">
      <c r="P368" s="55"/>
    </row>
    <row r="369" spans="16:16" x14ac:dyDescent="0.25">
      <c r="P369" s="55"/>
    </row>
    <row r="370" spans="16:16" x14ac:dyDescent="0.25">
      <c r="P370" s="55"/>
    </row>
    <row r="371" spans="16:16" x14ac:dyDescent="0.25">
      <c r="P371" s="55"/>
    </row>
    <row r="372" spans="16:16" x14ac:dyDescent="0.25">
      <c r="P372" s="55"/>
    </row>
    <row r="373" spans="16:16" x14ac:dyDescent="0.25">
      <c r="P373" s="55"/>
    </row>
    <row r="374" spans="16:16" x14ac:dyDescent="0.25">
      <c r="P374" s="55"/>
    </row>
    <row r="375" spans="16:16" x14ac:dyDescent="0.25">
      <c r="P375" s="55"/>
    </row>
    <row r="376" spans="16:16" x14ac:dyDescent="0.25">
      <c r="P376" s="55"/>
    </row>
    <row r="377" spans="16:16" x14ac:dyDescent="0.25">
      <c r="P377" s="55"/>
    </row>
    <row r="378" spans="16:16" x14ac:dyDescent="0.25">
      <c r="P378" s="55"/>
    </row>
    <row r="379" spans="16:16" x14ac:dyDescent="0.25">
      <c r="P379" s="55"/>
    </row>
    <row r="380" spans="16:16" x14ac:dyDescent="0.25">
      <c r="P380" s="55"/>
    </row>
    <row r="381" spans="16:16" x14ac:dyDescent="0.25">
      <c r="P381" s="55"/>
    </row>
    <row r="382" spans="16:16" x14ac:dyDescent="0.25">
      <c r="P382" s="55"/>
    </row>
    <row r="383" spans="16:16" x14ac:dyDescent="0.25">
      <c r="P383" s="55"/>
    </row>
    <row r="384" spans="16:16" x14ac:dyDescent="0.25">
      <c r="P384" s="55"/>
    </row>
    <row r="385" spans="16:16" x14ac:dyDescent="0.25">
      <c r="P385" s="55"/>
    </row>
    <row r="386" spans="16:16" x14ac:dyDescent="0.25">
      <c r="P386" s="55"/>
    </row>
    <row r="387" spans="16:16" x14ac:dyDescent="0.25">
      <c r="P387" s="55"/>
    </row>
    <row r="388" spans="16:16" x14ac:dyDescent="0.25">
      <c r="P388" s="55"/>
    </row>
    <row r="389" spans="16:16" x14ac:dyDescent="0.25">
      <c r="P389" s="55"/>
    </row>
    <row r="390" spans="16:16" x14ac:dyDescent="0.25">
      <c r="P390" s="55"/>
    </row>
    <row r="391" spans="16:16" x14ac:dyDescent="0.25">
      <c r="P391" s="55"/>
    </row>
    <row r="392" spans="16:16" x14ac:dyDescent="0.25">
      <c r="P392" s="55"/>
    </row>
    <row r="393" spans="16:16" x14ac:dyDescent="0.25">
      <c r="P393" s="55"/>
    </row>
    <row r="394" spans="16:16" x14ac:dyDescent="0.25">
      <c r="P394" s="55"/>
    </row>
    <row r="395" spans="16:16" x14ac:dyDescent="0.25">
      <c r="P395" s="55"/>
    </row>
    <row r="396" spans="16:16" x14ac:dyDescent="0.25">
      <c r="P396" s="55"/>
    </row>
    <row r="397" spans="16:16" x14ac:dyDescent="0.25">
      <c r="P397" s="55"/>
    </row>
    <row r="398" spans="16:16" x14ac:dyDescent="0.25">
      <c r="P398" s="55"/>
    </row>
    <row r="399" spans="16:16" x14ac:dyDescent="0.25">
      <c r="P399" s="55"/>
    </row>
    <row r="400" spans="16:16" x14ac:dyDescent="0.25">
      <c r="P400" s="55"/>
    </row>
    <row r="401" spans="16:16" x14ac:dyDescent="0.25">
      <c r="P401" s="55"/>
    </row>
    <row r="402" spans="16:16" x14ac:dyDescent="0.25">
      <c r="P402" s="55"/>
    </row>
    <row r="403" spans="16:16" x14ac:dyDescent="0.25">
      <c r="P403" s="55"/>
    </row>
    <row r="404" spans="16:16" x14ac:dyDescent="0.25">
      <c r="P404" s="55"/>
    </row>
    <row r="405" spans="16:16" x14ac:dyDescent="0.25">
      <c r="P405" s="55"/>
    </row>
    <row r="406" spans="16:16" x14ac:dyDescent="0.25">
      <c r="P406" s="55"/>
    </row>
    <row r="407" spans="16:16" x14ac:dyDescent="0.25">
      <c r="P407" s="55"/>
    </row>
    <row r="408" spans="16:16" x14ac:dyDescent="0.25">
      <c r="P408" s="55"/>
    </row>
    <row r="409" spans="16:16" x14ac:dyDescent="0.25">
      <c r="P409" s="55"/>
    </row>
    <row r="410" spans="16:16" x14ac:dyDescent="0.25">
      <c r="P410" s="55"/>
    </row>
    <row r="411" spans="16:16" x14ac:dyDescent="0.25">
      <c r="P411" s="55"/>
    </row>
    <row r="412" spans="16:16" x14ac:dyDescent="0.25">
      <c r="P412" s="55"/>
    </row>
    <row r="413" spans="16:16" x14ac:dyDescent="0.25">
      <c r="P413" s="55"/>
    </row>
    <row r="414" spans="16:16" x14ac:dyDescent="0.25">
      <c r="P414" s="55"/>
    </row>
    <row r="415" spans="16:16" x14ac:dyDescent="0.25">
      <c r="P415" s="55"/>
    </row>
    <row r="416" spans="16:16" x14ac:dyDescent="0.25">
      <c r="P416" s="55"/>
    </row>
    <row r="417" spans="16:16" x14ac:dyDescent="0.25">
      <c r="P417" s="55"/>
    </row>
    <row r="418" spans="16:16" x14ac:dyDescent="0.25">
      <c r="P418" s="55"/>
    </row>
    <row r="419" spans="16:16" x14ac:dyDescent="0.25">
      <c r="P419" s="55"/>
    </row>
    <row r="420" spans="16:16" x14ac:dyDescent="0.25">
      <c r="P420" s="55"/>
    </row>
    <row r="421" spans="16:16" x14ac:dyDescent="0.25">
      <c r="P421" s="55"/>
    </row>
    <row r="422" spans="16:16" x14ac:dyDescent="0.25">
      <c r="P422" s="55"/>
    </row>
    <row r="423" spans="16:16" x14ac:dyDescent="0.25">
      <c r="P423" s="55"/>
    </row>
    <row r="424" spans="16:16" x14ac:dyDescent="0.25">
      <c r="P424" s="55"/>
    </row>
    <row r="425" spans="16:16" x14ac:dyDescent="0.25">
      <c r="P425" s="55"/>
    </row>
    <row r="426" spans="16:16" x14ac:dyDescent="0.25">
      <c r="P426" s="55"/>
    </row>
    <row r="427" spans="16:16" x14ac:dyDescent="0.25">
      <c r="P427" s="55"/>
    </row>
    <row r="428" spans="16:16" x14ac:dyDescent="0.25">
      <c r="P428" s="55"/>
    </row>
    <row r="429" spans="16:16" x14ac:dyDescent="0.25">
      <c r="P429" s="55"/>
    </row>
    <row r="430" spans="16:16" x14ac:dyDescent="0.25">
      <c r="P430" s="55"/>
    </row>
    <row r="431" spans="16:16" x14ac:dyDescent="0.25">
      <c r="P431" s="55"/>
    </row>
    <row r="432" spans="16:16" x14ac:dyDescent="0.25">
      <c r="P432" s="55"/>
    </row>
    <row r="433" spans="16:16" x14ac:dyDescent="0.25">
      <c r="P433" s="55"/>
    </row>
    <row r="434" spans="16:16" x14ac:dyDescent="0.25">
      <c r="P434" s="55"/>
    </row>
    <row r="435" spans="16:16" x14ac:dyDescent="0.25">
      <c r="P435" s="55"/>
    </row>
    <row r="436" spans="16:16" x14ac:dyDescent="0.25">
      <c r="P436" s="55"/>
    </row>
    <row r="437" spans="16:16" x14ac:dyDescent="0.25">
      <c r="P437" s="55"/>
    </row>
    <row r="438" spans="16:16" x14ac:dyDescent="0.25">
      <c r="P438" s="55"/>
    </row>
    <row r="439" spans="16:16" x14ac:dyDescent="0.25">
      <c r="P439" s="55"/>
    </row>
    <row r="440" spans="16:16" x14ac:dyDescent="0.25">
      <c r="P440" s="55"/>
    </row>
    <row r="441" spans="16:16" x14ac:dyDescent="0.25">
      <c r="P441" s="55"/>
    </row>
    <row r="442" spans="16:16" x14ac:dyDescent="0.25">
      <c r="P442" s="55"/>
    </row>
    <row r="443" spans="16:16" x14ac:dyDescent="0.25">
      <c r="P443" s="55"/>
    </row>
    <row r="444" spans="16:16" x14ac:dyDescent="0.25">
      <c r="P444" s="55"/>
    </row>
    <row r="445" spans="16:16" x14ac:dyDescent="0.25">
      <c r="P445" s="55"/>
    </row>
    <row r="446" spans="16:16" x14ac:dyDescent="0.25">
      <c r="P446" s="55"/>
    </row>
    <row r="447" spans="16:16" x14ac:dyDescent="0.25">
      <c r="P447" s="55"/>
    </row>
    <row r="448" spans="16:16" x14ac:dyDescent="0.25">
      <c r="P448" s="55"/>
    </row>
    <row r="449" spans="16:16" x14ac:dyDescent="0.25">
      <c r="P449" s="55"/>
    </row>
    <row r="450" spans="16:16" x14ac:dyDescent="0.25">
      <c r="P450" s="55"/>
    </row>
    <row r="451" spans="16:16" x14ac:dyDescent="0.25">
      <c r="P451" s="55"/>
    </row>
    <row r="452" spans="16:16" x14ac:dyDescent="0.25">
      <c r="P452" s="55"/>
    </row>
    <row r="453" spans="16:16" x14ac:dyDescent="0.25">
      <c r="P453" s="55"/>
    </row>
    <row r="454" spans="16:16" x14ac:dyDescent="0.25">
      <c r="P454" s="55"/>
    </row>
    <row r="455" spans="16:16" x14ac:dyDescent="0.25">
      <c r="P455" s="55"/>
    </row>
    <row r="456" spans="16:16" x14ac:dyDescent="0.25">
      <c r="P456" s="55"/>
    </row>
    <row r="457" spans="16:16" x14ac:dyDescent="0.25">
      <c r="P457" s="55"/>
    </row>
    <row r="458" spans="16:16" x14ac:dyDescent="0.25">
      <c r="P458" s="55"/>
    </row>
    <row r="459" spans="16:16" x14ac:dyDescent="0.25">
      <c r="P459" s="55"/>
    </row>
    <row r="460" spans="16:16" x14ac:dyDescent="0.25">
      <c r="P460" s="55"/>
    </row>
    <row r="461" spans="16:16" x14ac:dyDescent="0.25">
      <c r="P461" s="55"/>
    </row>
    <row r="462" spans="16:16" x14ac:dyDescent="0.25">
      <c r="P462" s="55"/>
    </row>
    <row r="463" spans="16:16" x14ac:dyDescent="0.25">
      <c r="P463" s="55"/>
    </row>
    <row r="464" spans="16:16" x14ac:dyDescent="0.25">
      <c r="P464" s="55"/>
    </row>
    <row r="465" spans="16:16" x14ac:dyDescent="0.25">
      <c r="P465" s="55"/>
    </row>
    <row r="466" spans="16:16" x14ac:dyDescent="0.25">
      <c r="P466" s="55"/>
    </row>
    <row r="467" spans="16:16" x14ac:dyDescent="0.25">
      <c r="P467" s="55"/>
    </row>
    <row r="468" spans="16:16" x14ac:dyDescent="0.25">
      <c r="P468" s="55"/>
    </row>
    <row r="469" spans="16:16" x14ac:dyDescent="0.25">
      <c r="P469" s="55"/>
    </row>
    <row r="470" spans="16:16" x14ac:dyDescent="0.25">
      <c r="P470" s="55"/>
    </row>
    <row r="471" spans="16:16" x14ac:dyDescent="0.25">
      <c r="P471" s="55"/>
    </row>
    <row r="472" spans="16:16" x14ac:dyDescent="0.25">
      <c r="P472" s="55"/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A23" workbookViewId="0">
      <selection activeCell="A43" sqref="A43:XFD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8" t="s">
        <v>540</v>
      </c>
      <c r="B1" s="119"/>
      <c r="C1" s="119"/>
      <c r="D1" s="119"/>
      <c r="E1" s="119"/>
      <c r="F1" s="119"/>
      <c r="G1" s="119"/>
      <c r="H1" s="119"/>
      <c r="I1" s="120"/>
      <c r="J1" s="121" t="s">
        <v>541</v>
      </c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122" t="s">
        <v>542</v>
      </c>
      <c r="X1" s="120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45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6" t="s">
        <v>869</v>
      </c>
      <c r="B1" s="126" t="s">
        <v>7</v>
      </c>
      <c r="C1" s="126" t="s">
        <v>10</v>
      </c>
      <c r="D1" s="126" t="s">
        <v>9</v>
      </c>
      <c r="E1" s="126" t="s">
        <v>11</v>
      </c>
      <c r="F1" s="126" t="s">
        <v>15</v>
      </c>
      <c r="G1" s="126" t="s">
        <v>870</v>
      </c>
      <c r="H1" s="123" t="s">
        <v>871</v>
      </c>
      <c r="I1" s="124"/>
      <c r="J1" s="125"/>
      <c r="K1" s="123" t="s">
        <v>872</v>
      </c>
      <c r="L1" s="124"/>
      <c r="M1" s="125"/>
      <c r="N1" s="123" t="s">
        <v>873</v>
      </c>
      <c r="O1" s="124"/>
      <c r="P1" s="125"/>
      <c r="Q1" s="123" t="s">
        <v>874</v>
      </c>
      <c r="R1" s="124"/>
      <c r="S1" s="125"/>
      <c r="T1" s="123" t="s">
        <v>875</v>
      </c>
      <c r="U1" s="124"/>
      <c r="V1" s="125"/>
      <c r="W1" s="123" t="s">
        <v>876</v>
      </c>
      <c r="X1" s="124"/>
      <c r="Y1" s="125"/>
      <c r="Z1" s="123" t="s">
        <v>877</v>
      </c>
      <c r="AA1" s="124"/>
      <c r="AB1" s="125"/>
      <c r="AC1" s="123" t="s">
        <v>878</v>
      </c>
      <c r="AD1" s="124"/>
      <c r="AE1" s="125"/>
      <c r="AF1" s="123" t="s">
        <v>879</v>
      </c>
      <c r="AG1" s="124"/>
      <c r="AH1" s="125"/>
      <c r="AI1" s="123" t="s">
        <v>880</v>
      </c>
      <c r="AJ1" s="124"/>
      <c r="AK1" s="125"/>
      <c r="AL1" s="123" t="s">
        <v>881</v>
      </c>
      <c r="AM1" s="124"/>
      <c r="AN1" s="125"/>
      <c r="AO1" s="123" t="s">
        <v>882</v>
      </c>
      <c r="AP1" s="124"/>
      <c r="AQ1" s="125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7"/>
      <c r="B2" s="127"/>
      <c r="C2" s="127"/>
      <c r="D2" s="127"/>
      <c r="E2" s="127"/>
      <c r="F2" s="127"/>
      <c r="G2" s="127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39" width="11.42578125" style="42" customWidth="1"/>
    <col min="140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2017-06-11T12:02:38Z</cp:lastPrinted>
  <dcterms:created xsi:type="dcterms:W3CDTF">2008-10-19T17:20:03Z</dcterms:created>
  <dcterms:modified xsi:type="dcterms:W3CDTF">2026-09-10T16:05:41Z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2026-09-10T15:30:03Z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38dc76b9-59a2-47cf-a4ae-5fbe7ba64a7d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