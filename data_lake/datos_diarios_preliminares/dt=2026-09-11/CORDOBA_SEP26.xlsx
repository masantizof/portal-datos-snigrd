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D0E155BB-0043-4A8E-8B5B-AFB09F3FD1A3}" xr6:coauthVersionLast="47" xr6:coauthVersionMax="47" xr10:uidLastSave="{00000000-0000-0000-0000-000000000000}"/>
  <bookViews>
    <workbookView xWindow="2868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<sst xmlns="http://schemas.openxmlformats.org/spreadsheetml/2006/main" count="247" uniqueCount="52">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</sst>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SEPTIEMBRE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114.5</c:v>
                </c:pt>
                <c:pt idx="1">
                  <c:v>5.7</c:v>
                </c:pt>
                <c:pt idx="2">
                  <c:v>18.8</c:v>
                </c:pt>
                <c:pt idx="3">
                  <c:v>28.5</c:v>
                </c:pt>
                <c:pt idx="4">
                  <c:v>17</c:v>
                </c:pt>
                <c:pt idx="5">
                  <c:v>53.399999999999991</c:v>
                </c:pt>
                <c:pt idx="6">
                  <c:v>18</c:v>
                </c:pt>
                <c:pt idx="7">
                  <c:v>1.6</c:v>
                </c:pt>
                <c:pt idx="8">
                  <c:v>107.3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4.25"/>
  <cols>
    <col min="2" max="2" width="16.25" customWidth="1"/>
    <col min="3" max="3" width="20.875" bestFit="1" customWidth="1"/>
    <col min="4" max="4" width="12.25" customWidth="1"/>
    <col min="5" max="35" width="5.875" customWidth="1"/>
    <col min="36" max="36" width="16" bestFit="1" customWidth="1"/>
    <col min="37" max="37" width="15.25" bestFit="1" customWidth="1"/>
  </cols>
  <sheetData>
    <row r="2" spans="1:37" ht="15.7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4.25"/>
  <cols>
    <col min="2" max="2" width="26.875" customWidth="1"/>
    <col min="3" max="4" width="20.875" bestFit="1" customWidth="1"/>
    <col min="5" max="21" width="5.875" style="27" customWidth="1"/>
    <col min="22" max="22" width="4.625" bestFit="1" customWidth="1"/>
    <col min="23" max="23" width="5.875" customWidth="1"/>
    <col min="24" max="26" width="4.625" customWidth="1"/>
    <col min="27" max="27" width="5.875" customWidth="1"/>
    <col min="28" max="28" width="5.75" bestFit="1" customWidth="1"/>
    <col min="29" max="35" width="4.625" customWidth="1"/>
    <col min="36" max="36" width="16" bestFit="1" customWidth="1"/>
    <col min="37" max="37" width="14.375" customWidth="1"/>
  </cols>
  <sheetData>
    <row r="2" spans="1:37" ht="15.7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4.25"/>
  <cols>
    <col min="2" max="2" width="26.875" customWidth="1"/>
    <col min="3" max="4" width="20.875" bestFit="1" customWidth="1"/>
    <col min="5" max="21" width="5.875" style="27" customWidth="1"/>
    <col min="22" max="22" width="4.625" bestFit="1" customWidth="1"/>
    <col min="23" max="23" width="5.875" customWidth="1"/>
    <col min="24" max="24" width="5.375" bestFit="1" customWidth="1"/>
    <col min="25" max="26" width="4.625" customWidth="1"/>
    <col min="27" max="30" width="5.75" customWidth="1"/>
    <col min="31" max="35" width="4.625" customWidth="1"/>
    <col min="36" max="36" width="16" bestFit="1" customWidth="1"/>
    <col min="37" max="37" width="14.375" hidden="1" customWidth="1"/>
  </cols>
  <sheetData>
    <row r="2" spans="1:37" ht="15.7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4.25"/>
  <cols>
    <col min="1" max="1" width="13.125" customWidth="1"/>
    <col min="2" max="2" width="26.875" customWidth="1"/>
    <col min="3" max="3" width="20.875" bestFit="1" customWidth="1"/>
    <col min="4" max="4" width="26.375" customWidth="1"/>
    <col min="5" max="21" width="5.875" style="27" customWidth="1"/>
    <col min="22" max="22" width="4.625" bestFit="1" customWidth="1"/>
    <col min="23" max="23" width="5.875" customWidth="1"/>
    <col min="24" max="24" width="5.375" bestFit="1" customWidth="1"/>
    <col min="25" max="26" width="4.625" customWidth="1"/>
    <col min="27" max="30" width="5.75" customWidth="1"/>
    <col min="31" max="35" width="4.625" customWidth="1"/>
    <col min="36" max="36" width="16" bestFit="1" customWidth="1"/>
    <col min="37" max="37" width="14.375" hidden="1" customWidth="1"/>
  </cols>
  <sheetData>
    <row r="2" spans="1:37" ht="15.7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M3" sqref="M3:M18"/>
    </sheetView>
  </sheetViews>
  <sheetFormatPr baseColWidth="10" defaultRowHeight="14.25"/>
  <cols>
    <col min="1" max="1" width="13.125" customWidth="1"/>
    <col min="2" max="2" width="26.875" customWidth="1"/>
    <col min="3" max="3" width="20.875" bestFit="1" customWidth="1"/>
    <col min="4" max="4" width="26.375" customWidth="1"/>
    <col min="5" max="21" width="5.875" style="27" customWidth="1"/>
    <col min="22" max="22" width="4.625" bestFit="1" customWidth="1"/>
    <col min="23" max="23" width="5.875" customWidth="1"/>
    <col min="24" max="24" width="5.375" bestFit="1" customWidth="1"/>
    <col min="25" max="25" width="4.625" customWidth="1"/>
    <col min="26" max="26" width="5.375" bestFit="1" customWidth="1"/>
    <col min="27" max="30" width="5.75" customWidth="1"/>
    <col min="31" max="33" width="4.625" customWidth="1"/>
    <col min="34" max="34" width="5.625" bestFit="1" customWidth="1"/>
    <col min="35" max="35" width="4.625" customWidth="1"/>
    <col min="36" max="36" width="16" bestFit="1" customWidth="1"/>
    <col min="37" max="37" width="14.375" hidden="1" customWidth="1"/>
  </cols>
  <sheetData>
    <row r="2" spans="1:37" ht="15.7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6.3</v>
      </c>
      <c r="J3" s="25">
        <v>1.4</v>
      </c>
      <c r="K3" s="25">
        <v>0</v>
      </c>
      <c r="L3" s="25">
        <v>0</v>
      </c>
      <c r="M3" s="25">
        <v>37.700000000000003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45.400000000000006</v>
      </c>
      <c r="AK3" s="30">
        <v>27.817857142857147</v>
      </c>
    </row>
    <row r="4" spans="1:37" ht="15.7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0</v>
      </c>
      <c r="AK4" s="30">
        <v>47.628571428571419</v>
      </c>
    </row>
    <row r="5" spans="1:37" ht="15.75">
      <c r="A5" s="1">
        <v>25025160</v>
      </c>
      <c r="B5" s="2" t="s">
        <v>37</v>
      </c>
      <c r="C5" s="3" t="s">
        <v>48</v>
      </c>
      <c r="D5" s="4" t="s">
        <v>50</v>
      </c>
      <c r="E5" s="24">
        <v>65.099999999999994</v>
      </c>
      <c r="F5" s="24">
        <v>0</v>
      </c>
      <c r="G5" s="25">
        <v>4.0999999999999996</v>
      </c>
      <c r="H5" s="25">
        <v>19.7</v>
      </c>
      <c r="I5" s="25">
        <v>0</v>
      </c>
      <c r="J5" s="25">
        <v>25.7</v>
      </c>
      <c r="K5" s="25">
        <v>0</v>
      </c>
      <c r="L5" s="25">
        <v>0</v>
      </c>
      <c r="M5" s="25">
        <v>30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144.6</v>
      </c>
      <c r="AK5" s="30">
        <v>40.986206896551728</v>
      </c>
    </row>
    <row r="6" spans="1:37" ht="15.75">
      <c r="A6" s="1">
        <v>13015040</v>
      </c>
      <c r="B6" s="2" t="s">
        <v>38</v>
      </c>
      <c r="C6" s="3" t="s">
        <v>48</v>
      </c>
      <c r="D6" s="4" t="s">
        <v>16</v>
      </c>
      <c r="E6" s="24">
        <v>38.700000000000003</v>
      </c>
      <c r="F6" s="24">
        <v>0</v>
      </c>
      <c r="G6" s="25">
        <v>13.4</v>
      </c>
      <c r="H6" s="25">
        <v>0</v>
      </c>
      <c r="I6" s="25">
        <v>0</v>
      </c>
      <c r="J6" s="25">
        <v>5.5</v>
      </c>
      <c r="K6" s="25">
        <v>18</v>
      </c>
      <c r="L6" s="25">
        <v>1.6</v>
      </c>
      <c r="M6" s="25">
        <v>4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81.199999999999989</v>
      </c>
      <c r="AK6" s="30">
        <v>88.719230769230762</v>
      </c>
    </row>
    <row r="7" spans="1:37" ht="15.7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0</v>
      </c>
      <c r="H9" s="25">
        <v>0</v>
      </c>
      <c r="I9" s="25">
        <v>0</v>
      </c>
      <c r="J9" s="25">
        <v>16</v>
      </c>
      <c r="K9" s="25">
        <v>0</v>
      </c>
      <c r="L9" s="25">
        <v>0</v>
      </c>
      <c r="M9" s="25">
        <v>8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25</v>
      </c>
      <c r="AK9" s="30">
        <v>65.482758620689651</v>
      </c>
    </row>
    <row r="10" spans="1:37" ht="15.7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0.2</v>
      </c>
      <c r="G11" s="25">
        <v>0.1</v>
      </c>
      <c r="H11" s="25">
        <v>1.8</v>
      </c>
      <c r="I11" s="25">
        <v>10.5</v>
      </c>
      <c r="J11" s="25">
        <v>0</v>
      </c>
      <c r="K11" s="25">
        <v>0</v>
      </c>
      <c r="L11" s="25">
        <v>0</v>
      </c>
      <c r="M11" s="25">
        <v>0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12.6</v>
      </c>
      <c r="AK11" s="30">
        <v>19.188461538461539</v>
      </c>
    </row>
    <row r="12" spans="1:37" ht="15.75">
      <c r="A12" s="1">
        <v>12045020</v>
      </c>
      <c r="B12" s="2" t="s">
        <v>43</v>
      </c>
      <c r="C12" s="3" t="s">
        <v>48</v>
      </c>
      <c r="D12" s="4" t="s">
        <v>22</v>
      </c>
      <c r="E12" s="24">
        <v>1.5</v>
      </c>
      <c r="F12" s="24">
        <v>0</v>
      </c>
      <c r="G12" s="25">
        <v>0</v>
      </c>
      <c r="H12" s="25">
        <v>0</v>
      </c>
      <c r="I12" s="25">
        <v>0.2</v>
      </c>
      <c r="J12" s="25">
        <v>4.8</v>
      </c>
      <c r="K12" s="25">
        <v>0</v>
      </c>
      <c r="L12" s="25">
        <v>0</v>
      </c>
      <c r="M12" s="25">
        <v>4.5999999999999996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11.1</v>
      </c>
      <c r="AK12" s="30">
        <v>34.724137931034484</v>
      </c>
    </row>
    <row r="13" spans="1:37" ht="15.75">
      <c r="A13" s="1">
        <v>25025170</v>
      </c>
      <c r="B13" s="2" t="s">
        <v>44</v>
      </c>
      <c r="C13" s="3" t="s">
        <v>48</v>
      </c>
      <c r="D13" s="4" t="s">
        <v>5</v>
      </c>
      <c r="E13" s="24">
        <v>8</v>
      </c>
      <c r="F13" s="24">
        <v>1</v>
      </c>
      <c r="G13" s="25">
        <v>0</v>
      </c>
      <c r="H13" s="25">
        <v>7</v>
      </c>
      <c r="I13" s="25">
        <v>0</v>
      </c>
      <c r="J13" s="25">
        <v>0</v>
      </c>
      <c r="K13" s="25">
        <v>0</v>
      </c>
      <c r="L13" s="25">
        <v>0</v>
      </c>
      <c r="M13" s="25">
        <v>23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39</v>
      </c>
      <c r="AK13" s="30"/>
    </row>
    <row r="14" spans="1:37" ht="15.7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3.5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3.5</v>
      </c>
      <c r="AK14" s="30">
        <v>36.1</v>
      </c>
    </row>
    <row r="15" spans="1:37" ht="15.75">
      <c r="A15" s="1">
        <v>25020140</v>
      </c>
      <c r="B15" s="2" t="s">
        <v>45</v>
      </c>
      <c r="C15" s="3" t="s">
        <v>48</v>
      </c>
      <c r="D15" s="4" t="s">
        <v>5</v>
      </c>
      <c r="E15" s="24">
        <v>0.2</v>
      </c>
      <c r="F15" s="24">
        <v>1</v>
      </c>
      <c r="G15" s="25">
        <v>1.2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2.4</v>
      </c>
      <c r="AK15" s="30">
        <v>60.46</v>
      </c>
    </row>
    <row r="16" spans="1:37" ht="15.7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>
      <c r="D19" s="33" t="s">
        <v>31</v>
      </c>
      <c r="E19" s="26">
        <f>IF(COUNT(E3:E17)&gt;0,SUM(E3:E17),-1)</f>
        <v>114.5</v>
      </c>
      <c r="F19" s="26">
        <f t="shared" ref="F19:AI19" si="1">IF(COUNT(F3:F17)&gt;0,SUM(F3:F17),-1)</f>
        <v>5.7</v>
      </c>
      <c r="G19" s="26">
        <f t="shared" si="1"/>
        <v>18.8</v>
      </c>
      <c r="H19" s="26">
        <f t="shared" si="1"/>
        <v>28.5</v>
      </c>
      <c r="I19" s="26">
        <f t="shared" si="1"/>
        <v>17</v>
      </c>
      <c r="J19" s="26">
        <f t="shared" si="1"/>
        <v>53.399999999999991</v>
      </c>
      <c r="K19" s="26">
        <f t="shared" si="1"/>
        <v>18</v>
      </c>
      <c r="L19" s="26">
        <f t="shared" si="1"/>
        <v>1.6</v>
      </c>
      <c r="M19" s="26">
        <f t="shared" si="1"/>
        <v>107.3</v>
      </c>
      <c r="N19" s="26">
        <f t="shared" si="1"/>
        <v>-1</v>
      </c>
      <c r="O19" s="26">
        <f t="shared" si="1"/>
        <v>-1</v>
      </c>
      <c r="P19" s="26">
        <f t="shared" si="1"/>
        <v>-1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Carlos Andres Rodriguez Munoz</cp:lastModifiedBy>
  <dcterms:created xsi:type="dcterms:W3CDTF">2026-02-07T12:28:54Z</dcterms:created>
  <dcterms:modified xsi:type="dcterms:W3CDTF">2026-09-10T16:37:29Z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