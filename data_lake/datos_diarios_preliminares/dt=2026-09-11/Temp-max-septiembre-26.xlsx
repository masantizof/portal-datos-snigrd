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155DDFFD-C428-43C1-A4E9-C9F1F033F478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5" i="1"/>
  <c r="AJ45" i="1" s="1"/>
  <c r="H44" i="1"/>
  <c r="AJ44" i="1" s="1"/>
  <c r="H43" i="1"/>
  <c r="AJ43" i="1" s="1"/>
  <c r="AK42" i="1"/>
  <c r="AM42" i="1" s="1"/>
  <c r="H41" i="1"/>
  <c r="AK41" i="1" s="1"/>
  <c r="AM41" i="1" s="1"/>
  <c r="H40" i="1"/>
  <c r="AJ40" i="1" s="1"/>
  <c r="H39" i="1"/>
  <c r="AK39" i="1" s="1"/>
  <c r="AM39" i="1" s="1"/>
  <c r="H38" i="1"/>
  <c r="AO38" i="1" s="1"/>
  <c r="H35" i="1"/>
  <c r="H33" i="1"/>
  <c r="H32" i="1"/>
  <c r="H31" i="1"/>
  <c r="H30" i="1"/>
  <c r="H28" i="1"/>
  <c r="H27" i="1"/>
  <c r="H26" i="1"/>
  <c r="H25" i="1"/>
  <c r="AJ25" i="1" s="1"/>
  <c r="H24" i="1"/>
  <c r="AJ24" i="1" s="1"/>
  <c r="H23" i="1"/>
  <c r="AJ23" i="1" s="1"/>
  <c r="AO22" i="1"/>
  <c r="H21" i="1"/>
  <c r="AO21" i="1" s="1"/>
  <c r="H20" i="1"/>
  <c r="AO20" i="1" s="1"/>
  <c r="H19" i="1"/>
  <c r="AO19" i="1" s="1"/>
  <c r="H18" i="1"/>
  <c r="AJ18" i="1" s="1"/>
  <c r="H17" i="1"/>
  <c r="AJ17" i="1" s="1"/>
  <c r="H15" i="1"/>
  <c r="AK15" i="1" s="1"/>
  <c r="AM15" i="1" s="1"/>
  <c r="H14" i="1"/>
  <c r="H13" i="1"/>
  <c r="H12" i="1"/>
  <c r="H11" i="1"/>
  <c r="H10" i="1"/>
  <c r="H9" i="1"/>
  <c r="AO9" i="1" s="1"/>
  <c r="H8" i="1"/>
  <c r="AO8" i="1" s="1"/>
  <c r="H7" i="1"/>
  <c r="H6" i="1"/>
  <c r="AO6" i="1" s="1"/>
  <c r="H5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O25" i="1"/>
  <c r="AO26" i="1"/>
  <c r="AO27" i="1"/>
  <c r="AO28" i="1"/>
  <c r="AO29" i="1"/>
  <c r="AO30" i="1"/>
  <c r="AO31" i="1"/>
  <c r="AO32" i="1"/>
  <c r="AO33" i="1"/>
  <c r="AO17" i="1"/>
  <c r="AO7" i="1"/>
  <c r="AO10" i="1"/>
  <c r="AO11" i="1"/>
  <c r="AO12" i="1"/>
  <c r="AO13" i="1"/>
  <c r="AO14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26" i="1"/>
  <c r="AJ27" i="1"/>
  <c r="AJ28" i="1"/>
  <c r="AJ30" i="1"/>
  <c r="AJ31" i="1"/>
  <c r="AJ32" i="1"/>
  <c r="AJ33" i="1"/>
  <c r="AJ35" i="1"/>
  <c r="AJ39" i="1"/>
  <c r="AJ48" i="1"/>
  <c r="AO41" i="1" l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<sst xmlns="http://schemas.openxmlformats.org/spreadsheetml/2006/main" count="603" uniqueCount="272">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</sst>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2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E28" activePane="bottomRight" state="frozen"/>
      <selection pane="topRight" activeCell="E1" sqref="E1"/>
      <selection pane="bottomLeft" activeCell="A4" sqref="A4"/>
      <selection pane="bottomRight" activeCell="L2" sqref="L1:N104857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0" t="s">
        <v>0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30.5</v>
      </c>
      <c r="F5" s="63">
        <v>32.4</v>
      </c>
      <c r="G5" s="63">
        <v>32.1</v>
      </c>
      <c r="H5" s="68">
        <f>IF(E5="X","sd",E5)</f>
        <v>30.5</v>
      </c>
      <c r="I5" s="63">
        <v>32.6</v>
      </c>
      <c r="J5" s="63">
        <v>32.4</v>
      </c>
      <c r="K5" s="63">
        <v>32</v>
      </c>
      <c r="L5" s="63">
        <v>32.200000000000003</v>
      </c>
      <c r="M5" s="63">
        <v>32.1</v>
      </c>
      <c r="N5" s="63">
        <v>32.200000000000003</v>
      </c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32.200000000000003</v>
      </c>
      <c r="AK5" s="21">
        <f>+MAX($E5:$AI5)</f>
        <v>32.6</v>
      </c>
      <c r="AL5" s="22">
        <v>33.4</v>
      </c>
      <c r="AM5" s="23">
        <f>IF(AK5&gt;0,$AK5-$AL5,"")</f>
        <v>-0.79999999999999716</v>
      </c>
      <c r="AN5" s="23">
        <v>30.837144120247562</v>
      </c>
      <c r="AO5" s="23" t="str">
        <f>IF(COUNTIF(E5:AI5,"&gt;0")&gt;=15,AVERAGE(E5:AI5),"")</f>
        <v/>
      </c>
      <c r="AP5" s="23" t="str">
        <f>IF(AN5&gt;0,IFERROR(AO5-AN5,""),"")</f>
        <v/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30.6</v>
      </c>
      <c r="F6" s="63">
        <v>32.1</v>
      </c>
      <c r="G6" s="63">
        <v>32.200000000000003</v>
      </c>
      <c r="H6" s="68">
        <f t="shared" ref="H6:H48" si="0">IF(E6="X","sd",E6)</f>
        <v>30.6</v>
      </c>
      <c r="I6" s="63">
        <v>32.200000000000003</v>
      </c>
      <c r="J6" s="63">
        <v>32.4</v>
      </c>
      <c r="K6" s="63">
        <v>32.4</v>
      </c>
      <c r="L6" s="63">
        <v>32.799999999999997</v>
      </c>
      <c r="M6" s="63">
        <v>32.6</v>
      </c>
      <c r="N6" s="63">
        <v>32.4</v>
      </c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1">+IF(SUM($E6:$AI6)&gt;0,LOOKUP(1000,$E6:$AI6),NA())</f>
        <v>32.4</v>
      </c>
      <c r="AK6" s="21">
        <f t="shared" ref="AK6:AK48" si="2">+MAX($E6:$AI6)</f>
        <v>32.799999999999997</v>
      </c>
      <c r="AL6" s="22">
        <v>33.200000000000003</v>
      </c>
      <c r="AM6" s="23">
        <f t="shared" ref="AM6:AM48" si="3">IF(AK6&gt;0,$AK6-$AL6,"")</f>
        <v>-0.40000000000000568</v>
      </c>
      <c r="AN6" s="23">
        <v>31.213724845269681</v>
      </c>
      <c r="AO6" s="23" t="str">
        <f t="shared" ref="AO6:AO15" si="4">IF(COUNTIF(E6:AI6,"&gt;0")&gt;=15,AVERAGE(E6:AI6),"")</f>
        <v/>
      </c>
      <c r="AP6" s="23" t="str">
        <f t="shared" ref="AP6:AP48" si="5">IF(AN6&gt;0,IFERROR(AO6-AN6,""),"")</f>
        <v/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32.4</v>
      </c>
      <c r="F7" s="63">
        <v>34.799999999999997</v>
      </c>
      <c r="G7" s="63">
        <v>35.200000000000003</v>
      </c>
      <c r="H7" s="68">
        <f t="shared" si="0"/>
        <v>32.4</v>
      </c>
      <c r="I7" s="63">
        <v>37</v>
      </c>
      <c r="J7" s="63">
        <v>35.200000000000003</v>
      </c>
      <c r="K7" s="63">
        <v>33.5</v>
      </c>
      <c r="L7" s="63">
        <v>35</v>
      </c>
      <c r="M7" s="63">
        <v>36.9</v>
      </c>
      <c r="N7" s="63">
        <v>34.4</v>
      </c>
      <c r="O7" s="63"/>
      <c r="P7" s="63"/>
      <c r="Q7" s="63"/>
      <c r="R7" s="63"/>
      <c r="S7" s="63"/>
      <c r="T7" s="63"/>
      <c r="U7" s="63"/>
      <c r="V7" s="63"/>
      <c r="W7" s="63"/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1"/>
        <v>34.4</v>
      </c>
      <c r="AK7" s="21">
        <f t="shared" si="2"/>
        <v>37</v>
      </c>
      <c r="AL7" s="22">
        <v>37.200000000000003</v>
      </c>
      <c r="AM7" s="23">
        <f t="shared" si="3"/>
        <v>-0.20000000000000284</v>
      </c>
      <c r="AN7" s="23">
        <v>32.888880131362889</v>
      </c>
      <c r="AO7" s="23" t="str">
        <f t="shared" si="4"/>
        <v/>
      </c>
      <c r="AP7" s="23" t="str">
        <f t="shared" si="5"/>
        <v/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33.9</v>
      </c>
      <c r="G8" s="63">
        <v>33.700000000000003</v>
      </c>
      <c r="H8" s="68">
        <f t="shared" si="0"/>
        <v>33.200000000000003</v>
      </c>
      <c r="I8" s="63">
        <v>34.200000000000003</v>
      </c>
      <c r="J8" s="63">
        <v>36.1</v>
      </c>
      <c r="K8" s="63">
        <v>33.9</v>
      </c>
      <c r="L8" s="63">
        <v>38.299999999999997</v>
      </c>
      <c r="M8" s="63">
        <v>35.5</v>
      </c>
      <c r="N8" s="63">
        <v>34.1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1"/>
        <v>34.1</v>
      </c>
      <c r="AK8" s="21">
        <f t="shared" si="2"/>
        <v>38.299999999999997</v>
      </c>
      <c r="AL8" s="22">
        <v>36.799999999999997</v>
      </c>
      <c r="AM8" s="23">
        <f t="shared" si="3"/>
        <v>1.5</v>
      </c>
      <c r="AN8" s="23">
        <v>32.066531113753463</v>
      </c>
      <c r="AO8" s="23" t="str">
        <f t="shared" si="4"/>
        <v/>
      </c>
      <c r="AP8" s="23" t="str">
        <f t="shared" si="5"/>
        <v/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35.1</v>
      </c>
      <c r="F9" s="63">
        <v>35.6</v>
      </c>
      <c r="G9" s="63">
        <v>36.700000000000003</v>
      </c>
      <c r="H9" s="68">
        <f t="shared" si="0"/>
        <v>35.1</v>
      </c>
      <c r="I9" s="63">
        <v>36.5</v>
      </c>
      <c r="J9" s="63">
        <v>38</v>
      </c>
      <c r="K9" s="63">
        <v>34.799999999999997</v>
      </c>
      <c r="L9" s="63">
        <v>35.6</v>
      </c>
      <c r="M9" s="63">
        <v>36.1</v>
      </c>
      <c r="N9" s="63">
        <v>35.700000000000003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1"/>
        <v>35.700000000000003</v>
      </c>
      <c r="AK9" s="21">
        <f t="shared" si="2"/>
        <v>38</v>
      </c>
      <c r="AL9" s="22">
        <v>38.4</v>
      </c>
      <c r="AM9" s="23">
        <f t="shared" si="3"/>
        <v>-0.39999999999999858</v>
      </c>
      <c r="AN9" s="23">
        <v>33.308997701149423</v>
      </c>
      <c r="AO9" s="23" t="str">
        <f t="shared" si="4"/>
        <v/>
      </c>
      <c r="AP9" s="23" t="str">
        <f t="shared" si="5"/>
        <v/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34.700000000000003</v>
      </c>
      <c r="F10" s="63">
        <v>34.299999999999997</v>
      </c>
      <c r="G10" s="63">
        <v>37.4</v>
      </c>
      <c r="H10" s="68">
        <f t="shared" si="0"/>
        <v>34.700000000000003</v>
      </c>
      <c r="I10" s="63">
        <v>38.5</v>
      </c>
      <c r="J10" s="63">
        <v>39.6</v>
      </c>
      <c r="K10" s="63">
        <v>37.799999999999997</v>
      </c>
      <c r="L10" s="63">
        <v>38.1</v>
      </c>
      <c r="M10" s="63">
        <v>37.9</v>
      </c>
      <c r="N10" s="63">
        <v>38.200000000000003</v>
      </c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1"/>
        <v>38.200000000000003</v>
      </c>
      <c r="AK10" s="21">
        <f t="shared" si="2"/>
        <v>39.6</v>
      </c>
      <c r="AL10" s="22">
        <v>39.6</v>
      </c>
      <c r="AM10" s="23">
        <f t="shared" si="3"/>
        <v>0</v>
      </c>
      <c r="AN10" s="23">
        <v>33.75991221422256</v>
      </c>
      <c r="AO10" s="23" t="str">
        <f t="shared" si="4"/>
        <v/>
      </c>
      <c r="AP10" s="23" t="str">
        <f t="shared" si="5"/>
        <v/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35.799999999999997</v>
      </c>
      <c r="F11" s="63">
        <v>37</v>
      </c>
      <c r="G11" s="63">
        <v>37.799999999999997</v>
      </c>
      <c r="H11" s="68">
        <f t="shared" si="0"/>
        <v>35.799999999999997</v>
      </c>
      <c r="I11" s="63">
        <v>38.9</v>
      </c>
      <c r="J11" s="63">
        <v>40.1</v>
      </c>
      <c r="K11" s="63">
        <v>35.9</v>
      </c>
      <c r="L11" s="63">
        <v>40</v>
      </c>
      <c r="M11" s="63">
        <v>39.799999999999997</v>
      </c>
      <c r="N11" s="63">
        <v>37.700000000000003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1"/>
        <v>37.700000000000003</v>
      </c>
      <c r="AK11" s="21">
        <f t="shared" si="2"/>
        <v>40.1</v>
      </c>
      <c r="AL11" s="22">
        <v>40.200000000000003</v>
      </c>
      <c r="AM11" s="23">
        <f t="shared" si="3"/>
        <v>-0.10000000000000142</v>
      </c>
      <c r="AN11" s="23">
        <v>34.012164961475307</v>
      </c>
      <c r="AO11" s="23" t="str">
        <f t="shared" si="4"/>
        <v/>
      </c>
      <c r="AP11" s="23" t="str">
        <f t="shared" si="5"/>
        <v/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33.200000000000003</v>
      </c>
      <c r="G12" s="63">
        <v>34.200000000000003</v>
      </c>
      <c r="H12" s="68">
        <f t="shared" si="0"/>
        <v>34</v>
      </c>
      <c r="I12" s="63">
        <v>35.4</v>
      </c>
      <c r="J12" s="63">
        <v>32.4</v>
      </c>
      <c r="K12" s="63">
        <v>32.799999999999997</v>
      </c>
      <c r="L12" s="63">
        <v>35.4</v>
      </c>
      <c r="M12" s="63">
        <v>36.6</v>
      </c>
      <c r="N12" s="63">
        <v>35.200000000000003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1"/>
        <v>35.200000000000003</v>
      </c>
      <c r="AK12" s="21">
        <f t="shared" si="2"/>
        <v>36.6</v>
      </c>
      <c r="AL12" s="22">
        <v>36</v>
      </c>
      <c r="AM12" s="23">
        <f t="shared" si="3"/>
        <v>0.60000000000000142</v>
      </c>
      <c r="AN12" s="23">
        <v>31.452593153972469</v>
      </c>
      <c r="AO12" s="23" t="str">
        <f t="shared" si="4"/>
        <v/>
      </c>
      <c r="AP12" s="23" t="str">
        <f t="shared" si="5"/>
        <v/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</v>
      </c>
      <c r="F13" s="63">
        <v>34.6</v>
      </c>
      <c r="G13" s="63">
        <v>34.799999999999997</v>
      </c>
      <c r="H13" s="68">
        <f t="shared" si="0"/>
        <v>33</v>
      </c>
      <c r="I13" s="63">
        <v>35.6</v>
      </c>
      <c r="J13" s="63">
        <v>33.6</v>
      </c>
      <c r="K13" s="63">
        <v>32.6</v>
      </c>
      <c r="L13" s="63">
        <v>36.200000000000003</v>
      </c>
      <c r="M13" s="63">
        <v>37.200000000000003</v>
      </c>
      <c r="N13" s="63">
        <v>36.799999999999997</v>
      </c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1"/>
        <v>36.799999999999997</v>
      </c>
      <c r="AK13" s="21">
        <f t="shared" si="2"/>
        <v>37.200000000000003</v>
      </c>
      <c r="AL13" s="22">
        <v>37.4</v>
      </c>
      <c r="AM13" s="23">
        <f t="shared" si="3"/>
        <v>-0.19999999999999574</v>
      </c>
      <c r="AN13" s="23">
        <v>32.199781609195398</v>
      </c>
      <c r="AO13" s="23" t="str">
        <f t="shared" si="4"/>
        <v/>
      </c>
      <c r="AP13" s="23" t="str">
        <f t="shared" si="5"/>
        <v/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34.6</v>
      </c>
      <c r="F14" s="63">
        <v>34.1</v>
      </c>
      <c r="G14" s="63">
        <v>36.1</v>
      </c>
      <c r="H14" s="68">
        <f t="shared" si="0"/>
        <v>34.6</v>
      </c>
      <c r="I14" s="63">
        <v>36.200000000000003</v>
      </c>
      <c r="J14" s="63">
        <v>30.6</v>
      </c>
      <c r="K14" s="63">
        <v>32.6</v>
      </c>
      <c r="L14" s="63">
        <v>37.4</v>
      </c>
      <c r="M14" s="63">
        <v>36.4</v>
      </c>
      <c r="N14" s="63">
        <v>33.4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1"/>
        <v>33.4</v>
      </c>
      <c r="AK14" s="21">
        <f t="shared" si="2"/>
        <v>37.4</v>
      </c>
      <c r="AL14" s="22">
        <v>37.5</v>
      </c>
      <c r="AM14" s="23">
        <f t="shared" si="3"/>
        <v>-0.10000000000000142</v>
      </c>
      <c r="AN14" s="23">
        <v>32.561237881007962</v>
      </c>
      <c r="AO14" s="23" t="str">
        <f t="shared" si="4"/>
        <v/>
      </c>
      <c r="AP14" s="23" t="str">
        <f t="shared" si="5"/>
        <v/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30.3</v>
      </c>
      <c r="F15" s="63">
        <v>31.9</v>
      </c>
      <c r="G15" s="63">
        <v>31.8</v>
      </c>
      <c r="H15" s="68">
        <f t="shared" si="0"/>
        <v>30.3</v>
      </c>
      <c r="I15" s="63">
        <v>30.8</v>
      </c>
      <c r="J15" s="63">
        <v>30.5</v>
      </c>
      <c r="K15" s="63">
        <v>31.8</v>
      </c>
      <c r="L15" s="63">
        <v>34.1</v>
      </c>
      <c r="M15" s="63">
        <v>32.299999999999997</v>
      </c>
      <c r="N15" s="63">
        <v>33.200000000000003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1"/>
        <v>33.200000000000003</v>
      </c>
      <c r="AK15" s="21">
        <f t="shared" si="2"/>
        <v>34.1</v>
      </c>
      <c r="AL15" s="22">
        <v>35.4</v>
      </c>
      <c r="AM15" s="23">
        <f t="shared" si="3"/>
        <v>-1.2999999999999972</v>
      </c>
      <c r="AN15" s="23">
        <v>31.91844417077176</v>
      </c>
      <c r="AO15" s="23" t="str">
        <f t="shared" si="4"/>
        <v/>
      </c>
      <c r="AP15" s="23" t="str">
        <f t="shared" si="5"/>
        <v/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35</v>
      </c>
      <c r="F17" s="63">
        <v>33.799999999999997</v>
      </c>
      <c r="G17" s="63">
        <v>35.4</v>
      </c>
      <c r="H17" s="68">
        <f t="shared" si="0"/>
        <v>35</v>
      </c>
      <c r="I17" s="63">
        <v>36.6</v>
      </c>
      <c r="J17" s="63">
        <v>32.200000000000003</v>
      </c>
      <c r="K17" s="63">
        <v>34</v>
      </c>
      <c r="L17" s="63">
        <v>36.4</v>
      </c>
      <c r="M17" s="63">
        <v>37.6</v>
      </c>
      <c r="N17" s="63">
        <v>35.799999999999997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1"/>
        <v>35.799999999999997</v>
      </c>
      <c r="AK17" s="21">
        <f t="shared" si="2"/>
        <v>37.6</v>
      </c>
      <c r="AL17" s="22">
        <v>36.6</v>
      </c>
      <c r="AM17" s="23">
        <f t="shared" si="3"/>
        <v>1</v>
      </c>
      <c r="AN17" s="23">
        <v>32.028002378121293</v>
      </c>
      <c r="AO17" s="23" t="str">
        <f>IF(COUNTIF(E17:AI17,"&gt;0")&gt;=15,AVERAGE(E17:AI17),"")</f>
        <v/>
      </c>
      <c r="AP17" s="23" t="str">
        <f>IF(AN17&gt;0,IFERROR(AO17-AN17,""),"")</f>
        <v/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28.6</v>
      </c>
      <c r="F18" s="63">
        <v>26.3</v>
      </c>
      <c r="G18" s="63">
        <v>29.2</v>
      </c>
      <c r="H18" s="68">
        <f t="shared" si="0"/>
        <v>28.6</v>
      </c>
      <c r="I18" s="63">
        <v>31.3</v>
      </c>
      <c r="J18" s="63">
        <v>26.7</v>
      </c>
      <c r="K18" s="63">
        <v>29.2</v>
      </c>
      <c r="L18" s="63">
        <v>29.4</v>
      </c>
      <c r="M18" s="63">
        <v>29.6</v>
      </c>
      <c r="N18" s="63">
        <v>30.2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1"/>
        <v>30.2</v>
      </c>
      <c r="AK18" s="21">
        <f t="shared" si="2"/>
        <v>31.3</v>
      </c>
      <c r="AL18" s="22">
        <v>31.8</v>
      </c>
      <c r="AM18" s="23">
        <f t="shared" si="3"/>
        <v>-0.5</v>
      </c>
      <c r="AN18" s="23">
        <v>26.245613553113561</v>
      </c>
      <c r="AO18" s="23" t="str">
        <f t="shared" ref="AO18:AO33" si="6">IF(COUNTIF(E18:AI18,"&gt;0")&gt;=15,AVERAGE(E18:AI18),"")</f>
        <v/>
      </c>
      <c r="AP18" s="23" t="str">
        <f t="shared" si="5"/>
        <v/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37.200000000000003</v>
      </c>
      <c r="F19" s="63">
        <v>36.6</v>
      </c>
      <c r="G19" s="63">
        <v>37</v>
      </c>
      <c r="H19" s="68">
        <f t="shared" si="0"/>
        <v>37.200000000000003</v>
      </c>
      <c r="I19" s="63">
        <v>36</v>
      </c>
      <c r="J19" s="63">
        <v>34.200000000000003</v>
      </c>
      <c r="K19" s="63">
        <v>36.200000000000003</v>
      </c>
      <c r="L19" s="63">
        <v>33.4</v>
      </c>
      <c r="M19" s="63">
        <v>35.4</v>
      </c>
      <c r="N19" s="63">
        <v>35.200000000000003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1"/>
        <v>35.200000000000003</v>
      </c>
      <c r="AK19" s="21">
        <f t="shared" si="2"/>
        <v>37.200000000000003</v>
      </c>
      <c r="AL19" s="22">
        <v>38.4</v>
      </c>
      <c r="AM19" s="23">
        <f t="shared" si="3"/>
        <v>-1.1999999999999957</v>
      </c>
      <c r="AN19" s="23">
        <v>34.362535919540242</v>
      </c>
      <c r="AO19" s="23" t="str">
        <f t="shared" si="6"/>
        <v/>
      </c>
      <c r="AP19" s="23" t="str">
        <f t="shared" si="5"/>
        <v/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29</v>
      </c>
      <c r="F20" s="63">
        <v>30.8</v>
      </c>
      <c r="G20" s="63">
        <v>31.9</v>
      </c>
      <c r="H20" s="68">
        <f t="shared" si="0"/>
        <v>29</v>
      </c>
      <c r="I20" s="63">
        <v>30.8</v>
      </c>
      <c r="J20" s="63">
        <v>30.1</v>
      </c>
      <c r="K20" s="63">
        <v>28.9</v>
      </c>
      <c r="L20" s="63">
        <v>31.2</v>
      </c>
      <c r="M20" s="63">
        <v>32.4</v>
      </c>
      <c r="N20" s="63">
        <v>32</v>
      </c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1"/>
        <v>32</v>
      </c>
      <c r="AK20" s="21">
        <f t="shared" si="2"/>
        <v>32.4</v>
      </c>
      <c r="AL20" s="22">
        <v>33.1</v>
      </c>
      <c r="AM20" s="23">
        <f t="shared" si="3"/>
        <v>-0.70000000000000284</v>
      </c>
      <c r="AN20" s="23">
        <v>28.140217569786529</v>
      </c>
      <c r="AO20" s="23" t="str">
        <f t="shared" si="6"/>
        <v/>
      </c>
      <c r="AP20" s="23" t="str">
        <f t="shared" si="5"/>
        <v/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24.2</v>
      </c>
      <c r="F21" s="63">
        <v>24</v>
      </c>
      <c r="G21" s="63">
        <v>24.8</v>
      </c>
      <c r="H21" s="68">
        <f t="shared" si="0"/>
        <v>24.2</v>
      </c>
      <c r="I21" s="63">
        <v>24</v>
      </c>
      <c r="J21" s="63">
        <v>23.2</v>
      </c>
      <c r="K21" s="63">
        <v>22.8</v>
      </c>
      <c r="L21" s="63">
        <v>24.9</v>
      </c>
      <c r="M21" s="63">
        <v>25</v>
      </c>
      <c r="N21" s="63">
        <v>25.3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1"/>
        <v>25.3</v>
      </c>
      <c r="AK21" s="21">
        <f t="shared" si="2"/>
        <v>25.3</v>
      </c>
      <c r="AL21" s="22">
        <v>26.9</v>
      </c>
      <c r="AM21" s="23">
        <f t="shared" si="3"/>
        <v>-1.5999999999999979</v>
      </c>
      <c r="AN21" s="23">
        <v>22.564435196194999</v>
      </c>
      <c r="AO21" s="23" t="str">
        <f t="shared" si="6"/>
        <v/>
      </c>
      <c r="AP21" s="23" t="str">
        <f t="shared" si="5"/>
        <v/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3"/>
        <v/>
      </c>
      <c r="AN22" s="23">
        <v>21.063776683087031</v>
      </c>
      <c r="AO22" s="23" t="str">
        <f t="shared" si="6"/>
        <v/>
      </c>
      <c r="AP22" s="23" t="str">
        <f t="shared" si="5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</v>
      </c>
      <c r="F23" s="63">
        <v>28</v>
      </c>
      <c r="G23" s="63">
        <v>30.2</v>
      </c>
      <c r="H23" s="68">
        <f t="shared" si="0"/>
        <v>28</v>
      </c>
      <c r="I23" s="63">
        <v>29.2</v>
      </c>
      <c r="J23" s="63">
        <v>28.2</v>
      </c>
      <c r="K23" s="63">
        <v>27.8</v>
      </c>
      <c r="L23" s="63">
        <v>32.799999999999997</v>
      </c>
      <c r="M23" s="63">
        <v>30.6</v>
      </c>
      <c r="N23" s="63">
        <v>30.8</v>
      </c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1"/>
        <v>30.8</v>
      </c>
      <c r="AK23" s="21">
        <f t="shared" si="2"/>
        <v>32.799999999999997</v>
      </c>
      <c r="AL23" s="22">
        <v>32.799999999999997</v>
      </c>
      <c r="AM23" s="23">
        <f t="shared" si="3"/>
        <v>0</v>
      </c>
      <c r="AN23" s="23">
        <v>27.03996905393457</v>
      </c>
      <c r="AO23" s="23" t="str">
        <f t="shared" si="6"/>
        <v/>
      </c>
      <c r="AP23" s="23" t="str">
        <f t="shared" si="5"/>
        <v/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29.6</v>
      </c>
      <c r="F24" s="63">
        <v>30.6</v>
      </c>
      <c r="G24" s="63">
        <v>32.200000000000003</v>
      </c>
      <c r="H24" s="68">
        <f t="shared" si="0"/>
        <v>29.6</v>
      </c>
      <c r="I24" s="63">
        <v>33.1</v>
      </c>
      <c r="J24" s="63">
        <v>32.299999999999997</v>
      </c>
      <c r="K24" s="63">
        <v>26.9</v>
      </c>
      <c r="L24" s="63">
        <v>34.6</v>
      </c>
      <c r="M24" s="63">
        <v>31.7</v>
      </c>
      <c r="N24" s="63">
        <v>31.7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1"/>
        <v>31.7</v>
      </c>
      <c r="AK24" s="21">
        <f t="shared" si="2"/>
        <v>34.6</v>
      </c>
      <c r="AL24" s="22">
        <v>35</v>
      </c>
      <c r="AM24" s="23">
        <f t="shared" si="3"/>
        <v>-0.39999999999999858</v>
      </c>
      <c r="AN24" s="23">
        <v>28.21960773581463</v>
      </c>
      <c r="AO24" s="23" t="str">
        <f t="shared" si="6"/>
        <v/>
      </c>
      <c r="AP24" s="23" t="str">
        <f t="shared" si="5"/>
        <v/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32.200000000000003</v>
      </c>
      <c r="F25" s="63">
        <v>32.1</v>
      </c>
      <c r="G25" s="63">
        <v>33.4</v>
      </c>
      <c r="H25" s="68">
        <f t="shared" si="0"/>
        <v>32.200000000000003</v>
      </c>
      <c r="I25" s="63">
        <v>33.9</v>
      </c>
      <c r="J25" s="63">
        <v>33.299999999999997</v>
      </c>
      <c r="K25" s="63">
        <v>32.799999999999997</v>
      </c>
      <c r="L25" s="63">
        <v>35.799999999999997</v>
      </c>
      <c r="M25" s="63">
        <v>35.4</v>
      </c>
      <c r="N25" s="63">
        <v>36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1"/>
        <v>36</v>
      </c>
      <c r="AK25" s="21">
        <f t="shared" si="2"/>
        <v>36</v>
      </c>
      <c r="AL25" s="22">
        <v>36.799999999999997</v>
      </c>
      <c r="AM25" s="23">
        <f t="shared" si="3"/>
        <v>-0.79999999999999716</v>
      </c>
      <c r="AN25" s="23">
        <v>30.83648877941982</v>
      </c>
      <c r="AO25" s="23" t="str">
        <f t="shared" si="6"/>
        <v/>
      </c>
      <c r="AP25" s="23" t="str">
        <f t="shared" si="5"/>
        <v/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20.8</v>
      </c>
      <c r="F26" s="63">
        <v>19.3</v>
      </c>
      <c r="G26" s="63">
        <v>18.5</v>
      </c>
      <c r="H26" s="68">
        <f t="shared" si="0"/>
        <v>20.8</v>
      </c>
      <c r="I26" s="63">
        <v>19.8</v>
      </c>
      <c r="J26" s="63">
        <v>19.7</v>
      </c>
      <c r="K26" s="63">
        <v>17.2</v>
      </c>
      <c r="L26" s="63">
        <v>19.8</v>
      </c>
      <c r="M26" s="63">
        <v>21.4</v>
      </c>
      <c r="N26" s="63">
        <v>21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1"/>
        <v>21</v>
      </c>
      <c r="AK26" s="21">
        <f t="shared" si="2"/>
        <v>21.4</v>
      </c>
      <c r="AL26" s="22">
        <v>23.3</v>
      </c>
      <c r="AM26" s="23">
        <f t="shared" si="3"/>
        <v>-1.9000000000000021</v>
      </c>
      <c r="AN26" s="23">
        <v>19.205027672249159</v>
      </c>
      <c r="AO26" s="23" t="str">
        <f t="shared" si="6"/>
        <v/>
      </c>
      <c r="AP26" s="23" t="str">
        <f t="shared" si="5"/>
        <v/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19.2</v>
      </c>
      <c r="F27" s="63">
        <v>19.600000000000001</v>
      </c>
      <c r="G27" s="63">
        <v>19.2</v>
      </c>
      <c r="H27" s="68">
        <f t="shared" si="0"/>
        <v>19.2</v>
      </c>
      <c r="I27" s="63">
        <v>19.600000000000001</v>
      </c>
      <c r="J27" s="63">
        <v>20.6</v>
      </c>
      <c r="K27" s="63">
        <v>19.8</v>
      </c>
      <c r="L27" s="63">
        <v>20.6</v>
      </c>
      <c r="M27" s="63">
        <v>21.8</v>
      </c>
      <c r="N27" s="63">
        <v>22</v>
      </c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1"/>
        <v>22</v>
      </c>
      <c r="AK27" s="21">
        <f t="shared" si="2"/>
        <v>22</v>
      </c>
      <c r="AL27" s="22">
        <v>23.4</v>
      </c>
      <c r="AM27" s="23">
        <f t="shared" si="3"/>
        <v>-1.3999999999999986</v>
      </c>
      <c r="AN27" s="23">
        <v>18.093990147783249</v>
      </c>
      <c r="AO27" s="23" t="str">
        <f t="shared" si="6"/>
        <v/>
      </c>
      <c r="AP27" s="23" t="str">
        <f t="shared" si="5"/>
        <v/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33.200000000000003</v>
      </c>
      <c r="F28" s="63">
        <v>33.5</v>
      </c>
      <c r="G28" s="63">
        <v>31.7</v>
      </c>
      <c r="H28" s="68">
        <f t="shared" si="0"/>
        <v>33.200000000000003</v>
      </c>
      <c r="I28" s="63">
        <v>32.700000000000003</v>
      </c>
      <c r="J28" s="63">
        <v>34</v>
      </c>
      <c r="K28" s="63">
        <v>32.799999999999997</v>
      </c>
      <c r="L28" s="63">
        <v>35</v>
      </c>
      <c r="M28" s="63">
        <v>34.799999999999997</v>
      </c>
      <c r="N28" s="63">
        <v>34.5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1"/>
        <v>34.5</v>
      </c>
      <c r="AK28" s="21">
        <f t="shared" si="2"/>
        <v>35</v>
      </c>
      <c r="AL28" s="22">
        <v>35.1</v>
      </c>
      <c r="AM28" s="23">
        <f t="shared" si="3"/>
        <v>-0.10000000000000142</v>
      </c>
      <c r="AN28" s="23">
        <v>30.640448440448441</v>
      </c>
      <c r="AO28" s="23" t="str">
        <f t="shared" si="6"/>
        <v/>
      </c>
      <c r="AP28" s="23" t="str">
        <f t="shared" si="5"/>
        <v/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3"/>
        <v/>
      </c>
      <c r="AN29" s="23">
        <v>26.19598660437816</v>
      </c>
      <c r="AO29" s="23" t="str">
        <f t="shared" si="6"/>
        <v/>
      </c>
      <c r="AP29" s="23" t="str">
        <f t="shared" si="5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</v>
      </c>
      <c r="F30" s="63">
        <v>36.200000000000003</v>
      </c>
      <c r="G30" s="63">
        <v>36.200000000000003</v>
      </c>
      <c r="H30" s="68">
        <f t="shared" si="0"/>
        <v>37</v>
      </c>
      <c r="I30" s="63">
        <v>35.799999999999997</v>
      </c>
      <c r="J30" s="63">
        <v>36.700000000000003</v>
      </c>
      <c r="K30" s="63">
        <v>36.4</v>
      </c>
      <c r="L30" s="63">
        <v>38.200000000000003</v>
      </c>
      <c r="M30" s="63">
        <v>38.200000000000003</v>
      </c>
      <c r="N30" s="63">
        <v>35.6</v>
      </c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1"/>
        <v>35.6</v>
      </c>
      <c r="AK30" s="21">
        <f t="shared" si="2"/>
        <v>38.200000000000003</v>
      </c>
      <c r="AL30" s="22">
        <v>40.5</v>
      </c>
      <c r="AM30" s="23">
        <f t="shared" si="3"/>
        <v>-2.2999999999999972</v>
      </c>
      <c r="AN30" s="23">
        <v>34.911888888888889</v>
      </c>
      <c r="AO30" s="23" t="str">
        <f t="shared" si="6"/>
        <v/>
      </c>
      <c r="AP30" s="23" t="str">
        <f t="shared" si="5"/>
        <v/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28.4</v>
      </c>
      <c r="F31" s="63">
        <v>28</v>
      </c>
      <c r="G31" s="63">
        <v>28.2</v>
      </c>
      <c r="H31" s="68">
        <f t="shared" si="0"/>
        <v>28.4</v>
      </c>
      <c r="I31" s="63">
        <v>27.4</v>
      </c>
      <c r="J31" s="63">
        <v>27.4</v>
      </c>
      <c r="K31" s="63">
        <v>26.8</v>
      </c>
      <c r="L31" s="63">
        <v>28.1</v>
      </c>
      <c r="M31" s="63">
        <v>27.8</v>
      </c>
      <c r="N31" s="63">
        <v>29.8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1"/>
        <v>29.8</v>
      </c>
      <c r="AK31" s="21">
        <f t="shared" si="2"/>
        <v>29.8</v>
      </c>
      <c r="AL31" s="22">
        <v>31.2</v>
      </c>
      <c r="AM31" s="23">
        <f t="shared" si="3"/>
        <v>-1.3999999999999986</v>
      </c>
      <c r="AN31" s="23">
        <v>25.982387369533619</v>
      </c>
      <c r="AO31" s="23" t="str">
        <f t="shared" si="6"/>
        <v/>
      </c>
      <c r="AP31" s="23" t="str">
        <f t="shared" si="5"/>
        <v/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21.2</v>
      </c>
      <c r="F32" s="63">
        <v>17.600000000000001</v>
      </c>
      <c r="G32" s="63">
        <v>16.2</v>
      </c>
      <c r="H32" s="68">
        <f t="shared" si="0"/>
        <v>21.2</v>
      </c>
      <c r="I32" s="63">
        <v>17.600000000000001</v>
      </c>
      <c r="J32" s="63">
        <v>18.8</v>
      </c>
      <c r="K32" s="63">
        <v>17</v>
      </c>
      <c r="L32" s="63">
        <v>18</v>
      </c>
      <c r="M32" s="63">
        <v>18.8</v>
      </c>
      <c r="N32" s="63">
        <v>21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1"/>
        <v>21</v>
      </c>
      <c r="AK32" s="21">
        <f t="shared" si="2"/>
        <v>21.2</v>
      </c>
      <c r="AL32" s="22">
        <v>23.4</v>
      </c>
      <c r="AM32" s="23">
        <f t="shared" si="3"/>
        <v>-2.1999999999999993</v>
      </c>
      <c r="AN32" s="27">
        <v>17.33622330219147</v>
      </c>
      <c r="AO32" s="23" t="str">
        <f t="shared" si="6"/>
        <v/>
      </c>
      <c r="AP32" s="23" t="str">
        <f t="shared" si="5"/>
        <v/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19.399999999999999</v>
      </c>
      <c r="F33" s="63">
        <v>16.2</v>
      </c>
      <c r="G33" s="63">
        <v>16.2</v>
      </c>
      <c r="H33" s="68">
        <f t="shared" si="0"/>
        <v>19.399999999999999</v>
      </c>
      <c r="I33" s="63">
        <v>14.2</v>
      </c>
      <c r="J33" s="63">
        <v>16.8</v>
      </c>
      <c r="K33" s="63">
        <v>16.2</v>
      </c>
      <c r="L33" s="63">
        <v>15.2</v>
      </c>
      <c r="M33" s="63">
        <v>16.399999999999999</v>
      </c>
      <c r="N33" s="63">
        <v>17.8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1"/>
        <v>17.8</v>
      </c>
      <c r="AK33" s="21">
        <f t="shared" si="2"/>
        <v>19.399999999999999</v>
      </c>
      <c r="AL33" s="22">
        <v>20.8</v>
      </c>
      <c r="AM33" s="23">
        <f t="shared" si="3"/>
        <v>-1.4000000000000021</v>
      </c>
      <c r="AN33" s="23">
        <v>15.930309706257979</v>
      </c>
      <c r="AO33" s="23" t="str">
        <f t="shared" si="6"/>
        <v/>
      </c>
      <c r="AP33" s="23" t="str">
        <f t="shared" si="5"/>
        <v/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32.4</v>
      </c>
      <c r="F35" s="63">
        <v>32.799999999999997</v>
      </c>
      <c r="G35" s="63">
        <v>32.4</v>
      </c>
      <c r="H35" s="68">
        <f t="shared" si="0"/>
        <v>32.4</v>
      </c>
      <c r="I35" s="63">
        <v>32.200000000000003</v>
      </c>
      <c r="J35" s="63">
        <v>31</v>
      </c>
      <c r="K35" s="63">
        <v>31.4</v>
      </c>
      <c r="L35" s="63">
        <v>33.6</v>
      </c>
      <c r="M35" s="63">
        <v>31</v>
      </c>
      <c r="N35" s="63">
        <v>33.4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1"/>
        <v>33.4</v>
      </c>
      <c r="AK35" s="21">
        <f t="shared" si="2"/>
        <v>33.6</v>
      </c>
      <c r="AL35" s="22">
        <v>35.200000000000003</v>
      </c>
      <c r="AM35" s="23">
        <f t="shared" si="3"/>
        <v>-1.6000000000000014</v>
      </c>
      <c r="AN35" s="23">
        <v>30.947113847837979</v>
      </c>
      <c r="AO35" s="23" t="str">
        <f>IF(COUNTIF(E35:AI35,"&gt;0")&gt;=15,AVERAGE(E35:AI35),"")</f>
        <v/>
      </c>
      <c r="AP35" s="23" t="str">
        <f t="shared" si="5"/>
        <v/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33.6</v>
      </c>
      <c r="AM36" s="23" t="str">
        <f t="shared" si="3"/>
        <v/>
      </c>
      <c r="AN36" s="23">
        <v>30.05767241379311</v>
      </c>
      <c r="AO36" s="23" t="str">
        <f>IF(COUNTIF(E36:AI36,"&gt;0")&gt;=15,AVERAGE(E36:AI36),"")</f>
        <v/>
      </c>
      <c r="AP36" s="23" t="str">
        <f t="shared" ref="AP36" si="7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34.1</v>
      </c>
      <c r="F38" s="63">
        <v>30.3</v>
      </c>
      <c r="G38" s="63">
        <v>33.299999999999997</v>
      </c>
      <c r="H38" s="68">
        <f t="shared" si="0"/>
        <v>34.1</v>
      </c>
      <c r="I38" s="63">
        <v>34.1</v>
      </c>
      <c r="J38" s="63">
        <v>33.1</v>
      </c>
      <c r="K38" s="63">
        <v>33.4</v>
      </c>
      <c r="L38" s="63">
        <v>32.299999999999997</v>
      </c>
      <c r="M38" s="63">
        <v>33.5</v>
      </c>
      <c r="N38" s="63">
        <v>32.4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1"/>
        <v>32.4</v>
      </c>
      <c r="AK38" s="21">
        <f t="shared" si="2"/>
        <v>34.1</v>
      </c>
      <c r="AL38" s="22">
        <v>35.6</v>
      </c>
      <c r="AM38" s="23">
        <f t="shared" si="3"/>
        <v>-1.5</v>
      </c>
      <c r="AN38" s="23">
        <v>31.67147144681628</v>
      </c>
      <c r="AO38" s="23" t="str">
        <f>IF(COUNTIF(E38:AI38,"&gt;0")&gt;=15,AVERAGE(E38:AI38),"")</f>
        <v/>
      </c>
      <c r="AP38" s="23" t="str">
        <f t="shared" si="5"/>
        <v/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35.200000000000003</v>
      </c>
      <c r="F39" s="63">
        <v>32.5</v>
      </c>
      <c r="G39" s="63">
        <v>33</v>
      </c>
      <c r="H39" s="68">
        <f t="shared" si="0"/>
        <v>35.200000000000003</v>
      </c>
      <c r="I39" s="63">
        <v>34.6</v>
      </c>
      <c r="J39" s="63">
        <v>32</v>
      </c>
      <c r="K39" s="63">
        <v>33</v>
      </c>
      <c r="L39" s="63">
        <v>34.200000000000003</v>
      </c>
      <c r="M39" s="63">
        <v>34.799999999999997</v>
      </c>
      <c r="N39" s="63">
        <v>32.4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1"/>
        <v>32.4</v>
      </c>
      <c r="AK39" s="21">
        <f t="shared" si="2"/>
        <v>35.200000000000003</v>
      </c>
      <c r="AL39" s="22">
        <v>36.4</v>
      </c>
      <c r="AM39" s="23">
        <f t="shared" si="3"/>
        <v>-1.1999999999999957</v>
      </c>
      <c r="AN39" s="23">
        <v>32.684863258026162</v>
      </c>
      <c r="AO39" s="23" t="str">
        <f t="shared" ref="AO39:AO48" si="8">IF(COUNTIF(E39:AI39,"&gt;0")&gt;=15,AVERAGE(E39:AI39),"")</f>
        <v/>
      </c>
      <c r="AP39" s="23" t="str">
        <f t="shared" si="5"/>
        <v/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31.8</v>
      </c>
      <c r="F40" s="63">
        <v>32</v>
      </c>
      <c r="G40" s="63">
        <v>33.200000000000003</v>
      </c>
      <c r="H40" s="68">
        <f t="shared" si="0"/>
        <v>31.8</v>
      </c>
      <c r="I40" s="63">
        <v>31.9</v>
      </c>
      <c r="J40" s="63">
        <v>33.200000000000003</v>
      </c>
      <c r="K40" s="63">
        <v>30.6</v>
      </c>
      <c r="L40" s="63">
        <v>30.4</v>
      </c>
      <c r="M40" s="63">
        <v>31.7</v>
      </c>
      <c r="N40" s="63">
        <v>31</v>
      </c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1"/>
        <v>31</v>
      </c>
      <c r="AK40" s="21">
        <f t="shared" si="2"/>
        <v>33.200000000000003</v>
      </c>
      <c r="AL40" s="22">
        <v>35</v>
      </c>
      <c r="AM40" s="23">
        <f t="shared" si="3"/>
        <v>-1.7999999999999972</v>
      </c>
      <c r="AN40" s="23">
        <v>30.79898193760263</v>
      </c>
      <c r="AO40" s="23" t="str">
        <f t="shared" si="8"/>
        <v/>
      </c>
      <c r="AP40" s="23" t="str">
        <f t="shared" si="5"/>
        <v/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31.6</v>
      </c>
      <c r="F41" s="63">
        <v>32.4</v>
      </c>
      <c r="G41" s="63">
        <v>33.200000000000003</v>
      </c>
      <c r="H41" s="68">
        <f t="shared" si="0"/>
        <v>31.6</v>
      </c>
      <c r="I41" s="63">
        <v>32</v>
      </c>
      <c r="J41" s="63">
        <v>30.8</v>
      </c>
      <c r="K41" s="63">
        <v>32.799999999999997</v>
      </c>
      <c r="L41" s="63">
        <v>31.4</v>
      </c>
      <c r="M41" s="63">
        <v>32.799999999999997</v>
      </c>
      <c r="N41" s="63">
        <v>29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1"/>
        <v>29</v>
      </c>
      <c r="AK41" s="21">
        <f t="shared" si="2"/>
        <v>33.200000000000003</v>
      </c>
      <c r="AL41" s="22">
        <v>35</v>
      </c>
      <c r="AM41" s="23">
        <f t="shared" si="3"/>
        <v>-1.7999999999999972</v>
      </c>
      <c r="AN41" s="23">
        <v>30.61551559934319</v>
      </c>
      <c r="AO41" s="23" t="str">
        <f t="shared" si="8"/>
        <v/>
      </c>
      <c r="AP41" s="23" t="str">
        <f t="shared" si="5"/>
        <v/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2"/>
        <v>0</v>
      </c>
      <c r="AL42" s="22"/>
      <c r="AM42" s="23" t="str">
        <f t="shared" si="3"/>
        <v/>
      </c>
      <c r="AN42" s="23">
        <v>31.463300492610841</v>
      </c>
      <c r="AO42" s="23" t="str">
        <f t="shared" si="8"/>
        <v/>
      </c>
      <c r="AP42" s="23" t="str">
        <f t="shared" si="5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33.6</v>
      </c>
      <c r="F43" s="63">
        <v>33.799999999999997</v>
      </c>
      <c r="G43" s="63">
        <v>33</v>
      </c>
      <c r="H43" s="68">
        <f t="shared" si="0"/>
        <v>33.6</v>
      </c>
      <c r="I43" s="63">
        <v>34</v>
      </c>
      <c r="J43" s="63">
        <v>29.4</v>
      </c>
      <c r="K43" s="63">
        <v>33.4</v>
      </c>
      <c r="L43" s="63">
        <v>32.200000000000003</v>
      </c>
      <c r="M43" s="63">
        <v>33.4</v>
      </c>
      <c r="N43" s="63">
        <v>30.6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1"/>
        <v>30.6</v>
      </c>
      <c r="AK43" s="21">
        <f t="shared" si="2"/>
        <v>34</v>
      </c>
      <c r="AL43" s="22">
        <v>35.6</v>
      </c>
      <c r="AM43" s="23">
        <f t="shared" si="3"/>
        <v>-1.6000000000000014</v>
      </c>
      <c r="AN43" s="23">
        <v>31.991304063769562</v>
      </c>
      <c r="AO43" s="23" t="str">
        <f t="shared" si="8"/>
        <v/>
      </c>
      <c r="AP43" s="23" t="str">
        <f t="shared" si="5"/>
        <v/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30.4</v>
      </c>
      <c r="F44" s="29">
        <v>32</v>
      </c>
      <c r="G44" s="29">
        <v>31</v>
      </c>
      <c r="H44" s="68">
        <f t="shared" si="0"/>
        <v>30.4</v>
      </c>
      <c r="I44" s="29">
        <v>30</v>
      </c>
      <c r="J44" s="29">
        <v>32.1</v>
      </c>
      <c r="K44" s="29">
        <v>33</v>
      </c>
      <c r="L44" s="29">
        <v>29.2</v>
      </c>
      <c r="M44" s="29">
        <v>33.1</v>
      </c>
      <c r="N44" s="29">
        <v>31.4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1"/>
        <v>31.4</v>
      </c>
      <c r="AK44" s="21">
        <f t="shared" si="2"/>
        <v>33.1</v>
      </c>
      <c r="AL44" s="22">
        <v>34.799999999999997</v>
      </c>
      <c r="AM44" s="23">
        <f t="shared" si="3"/>
        <v>-1.6999999999999957</v>
      </c>
      <c r="AN44" s="23">
        <v>31.099937562083159</v>
      </c>
      <c r="AO44" s="23" t="str">
        <f t="shared" si="8"/>
        <v/>
      </c>
      <c r="AP44" s="23" t="str">
        <f t="shared" si="5"/>
        <v/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33.799999999999997</v>
      </c>
      <c r="F45" s="63">
        <v>33.200000000000003</v>
      </c>
      <c r="G45" s="63">
        <v>32.799999999999997</v>
      </c>
      <c r="H45" s="68">
        <f t="shared" si="0"/>
        <v>33.799999999999997</v>
      </c>
      <c r="I45" s="63">
        <v>33.4</v>
      </c>
      <c r="J45" s="63">
        <v>31.8</v>
      </c>
      <c r="K45" s="63">
        <v>33.200000000000003</v>
      </c>
      <c r="L45" s="63">
        <v>31.2</v>
      </c>
      <c r="M45" s="63">
        <v>31.6</v>
      </c>
      <c r="N45" s="63">
        <v>27.4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1"/>
        <v>27.4</v>
      </c>
      <c r="AK45" s="21">
        <f t="shared" si="2"/>
        <v>33.799999999999997</v>
      </c>
      <c r="AL45" s="22">
        <v>35.6</v>
      </c>
      <c r="AM45" s="23">
        <f t="shared" si="3"/>
        <v>-1.8000000000000043</v>
      </c>
      <c r="AN45" s="23">
        <v>31.478230462470751</v>
      </c>
      <c r="AO45" s="23" t="str">
        <f t="shared" si="8"/>
        <v/>
      </c>
      <c r="AP45" s="23" t="str">
        <f t="shared" si="5"/>
        <v/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33.6</v>
      </c>
      <c r="AM46" s="23" t="str">
        <f t="shared" si="3"/>
        <v/>
      </c>
      <c r="AN46" s="23">
        <v>28.629253380364489</v>
      </c>
      <c r="AO46" s="23" t="str">
        <f t="shared" si="8"/>
        <v/>
      </c>
      <c r="AP46" s="23" t="str">
        <f t="shared" si="5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3"/>
        <v/>
      </c>
      <c r="AN47" s="23">
        <v>31.109325244785019</v>
      </c>
      <c r="AO47" s="23" t="str">
        <f t="shared" si="8"/>
        <v/>
      </c>
      <c r="AP47" s="23" t="str">
        <f t="shared" si="5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36.1</v>
      </c>
      <c r="F48" s="63">
        <v>34.6</v>
      </c>
      <c r="G48" s="63">
        <v>32.6</v>
      </c>
      <c r="H48" s="68">
        <f t="shared" si="0"/>
        <v>36.1</v>
      </c>
      <c r="I48" s="63">
        <v>32.6</v>
      </c>
      <c r="J48" s="63">
        <v>32.6</v>
      </c>
      <c r="K48" s="63">
        <v>30.3</v>
      </c>
      <c r="L48" s="63">
        <v>30.2</v>
      </c>
      <c r="M48" s="63">
        <v>32.9</v>
      </c>
      <c r="N48" s="63">
        <v>33.299999999999997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1"/>
        <v>33.299999999999997</v>
      </c>
      <c r="AK48" s="21">
        <f t="shared" si="2"/>
        <v>36.1</v>
      </c>
      <c r="AL48" s="22">
        <v>38.1</v>
      </c>
      <c r="AM48" s="23">
        <f t="shared" si="3"/>
        <v>-2</v>
      </c>
      <c r="AN48" s="23">
        <v>31.98844385499557</v>
      </c>
      <c r="AO48" s="23" t="str">
        <f t="shared" si="8"/>
        <v/>
      </c>
      <c r="AP48" s="23" t="str">
        <f t="shared" si="5"/>
        <v/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M15 I17:M24 E17:G33 O25 T25:W25 Y25:AD25 AF25 AI25 I26:M33 O29:AI29 E35:G36 I35:M36 I38:M42 E38:G46 I43:AI43 K44:AC44 AE44:AI44 I44:J46 K45:M46 E48:G48 I48:M48">
    <cfRule type="cellIs" dxfId="698" priority="2226" stopIfTrue="1" operator="equal">
      <formula>"SD"</formula>
    </cfRule>
    <cfRule type="cellIs" dxfId="697" priority="2225" stopIfTrue="1" operator="between">
      <formula>-9.9</formula>
      <formula>-10</formula>
    </cfRule>
    <cfRule type="cellIs" dxfId="696" priority="2224" stopIfTrue="1" operator="between">
      <formula>-9.9</formula>
      <formula>-10</formula>
    </cfRule>
    <cfRule type="cellIs" dxfId="695" priority="2223" stopIfTrue="1" operator="between">
      <formula>-8.1</formula>
      <formula>-10</formula>
    </cfRule>
    <cfRule type="cellIs" dxfId="694" priority="2222" stopIfTrue="1" operator="equal">
      <formula>"40.0"</formula>
    </cfRule>
  </conditionalFormatting>
  <conditionalFormatting sqref="E5:G15 I5:M15 I17:M24 E17:G33 Y25:AD25 I26:M33 O29:AI29 E35:G36 I35:M36 I38:M42 E38:G43 O41:AI41 I43:AI43 AE44:AI44 I45:M46 I48:M48">
    <cfRule type="cellIs" dxfId="693" priority="2211" stopIfTrue="1" operator="between">
      <formula>-9.9</formula>
      <formula>-10</formula>
    </cfRule>
    <cfRule type="cellIs" dxfId="692" priority="2209" stopIfTrue="1" operator="equal">
      <formula>"40.0"</formula>
    </cfRule>
    <cfRule type="cellIs" dxfId="691" priority="2213" stopIfTrue="1" operator="equal">
      <formula>"SD"</formula>
    </cfRule>
    <cfRule type="cellIs" dxfId="690" priority="2212" stopIfTrue="1" operator="between">
      <formula>-9.9</formula>
      <formula>-10</formula>
    </cfRule>
    <cfRule type="cellIs" dxfId="689" priority="2210" stopIfTrue="1" operator="between">
      <formula>-8.1</formula>
      <formula>-10</formula>
    </cfRule>
  </conditionalFormatting>
  <conditionalFormatting sqref="E17:G33 E35:G36 I35:M36 I38:M42 E38:G43 O41:AI41 AE44:AI44 I5:M15 I17:M24 I26:M33 I45:M46 I48:M48 Y25:AD25 O29:AI29 E5:G15 I43:AI43">
    <cfRule type="cellIs" dxfId="688" priority="2208" stopIfTrue="1" operator="between">
      <formula>45</formula>
      <formula>100</formula>
    </cfRule>
  </conditionalFormatting>
  <conditionalFormatting sqref="E17:G33 E35:G36 I35:M36 I38:M42 E38:G46 E5:G15 I5:M15 I17:M24 Y25:AD25 I26:M33 O29:AI29 I43:AI43 AE44:AI44 I44:J46 K45:M46 I48:M48 E48:G48 K44:AC44 O25 T25:W25 AF25 AI25">
    <cfRule type="cellIs" dxfId="687" priority="2221" stopIfTrue="1" operator="between">
      <formula>45</formula>
      <formula>100</formula>
    </cfRule>
  </conditionalFormatting>
  <conditionalFormatting sqref="E22:G22 I22: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M36 E42:G42 I42: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M36 E42:G42 I42: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M36 O36:AC36 AE36:AI36 E42:G42 I42:M42 O42:AC42 AE42:AI42">
    <cfRule type="containsText" dxfId="656" priority="3350" stopIfTrue="1" operator="containsText" text="sd">
      <formula>NOT(ISERROR(SEARCH("sd",E25)))</formula>
    </cfRule>
  </conditionalFormatting>
  <conditionalFormatting sqref="E29:G29 I29: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M36 AE36:AI36 O36:AC36">
    <cfRule type="containsText" dxfId="617" priority="1335" stopIfTrue="1" operator="containsText" text="sd">
      <formula>NOT(ISERROR(SEARCH("sd",E36)))</formula>
    </cfRule>
  </conditionalFormatting>
  <conditionalFormatting sqref="E36:G36 I36: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M42 AE42:AI42 O42:AC42">
    <cfRule type="containsText" dxfId="588" priority="1095" stopIfTrue="1" operator="containsText" text="sd">
      <formula>NOT(ISERROR(SEARCH("sd",E42)))</formula>
    </cfRule>
  </conditionalFormatting>
  <conditionalFormatting sqref="E42:G42 I42: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I47:M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M22 E22:G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M36 I42:M42 E36:G36 E42:G42 E25:G25">
    <cfRule type="containsText" dxfId="507" priority="2206" stopIfTrue="1" operator="containsText" text="sd">
      <formula>NOT(ISERROR(SEARCH("sd",E25)))</formula>
    </cfRule>
  </conditionalFormatting>
  <conditionalFormatting sqref="I22:R22 E22:G22">
    <cfRule type="cellIs" dxfId="506" priority="249" stopIfTrue="1" operator="between">
      <formula>45</formula>
      <formula>100</formula>
    </cfRule>
  </conditionalFormatting>
  <conditionalFormatting sqref="I44:AD44 E44:G44">
    <cfRule type="cellIs" dxfId="505" priority="389" stopIfTrue="1" operator="between">
      <formula>45</formula>
      <formula>100</formula>
    </cfRule>
  </conditionalFormatting>
  <conditionalFormatting sqref="I47:AI47 E47:G47">
    <cfRule type="cellIs" dxfId="504" priority="267" stopIfTrue="1" operator="between">
      <formula>45</formula>
      <formula>100</formula>
    </cfRule>
  </conditionalFormatting>
  <conditionalFormatting sqref="N5:N15 N17:N33 N35:N36 N38:N42 N45:N46 N48">
    <cfRule type="cellIs" dxfId="503" priority="350" stopIfTrue="1" operator="between">
      <formula>-9.9</formula>
      <formula>-10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47" stopIfTrue="1" operator="equal">
      <formula>"40.0"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I29:AI29 E29:G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M36 O35:AC36 AE35:AI36 I38:M42 O38:AC42 AE38:AI42 E38:G46 E5:G15 I5:M15 I17:M33 R17:R33 O29:Q33 S29:Y33 AC29:AG33 I43:AI43 K44:Q44 AC44 S44:AB45 AE44:AI45 I44:J46 R44:R46 K45:M46 E48:G48 I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M22">
    <cfRule type="cellIs" dxfId="412" priority="1457" stopIfTrue="1" operator="between">
      <formula>45</formula>
      <formula>100</formula>
    </cfRule>
  </conditionalFormatting>
  <conditionalFormatting sqref="O36:AC36 AE36:AI36 E36:G36 I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M15 O5:AB15 AD5:AI15 AC6:AC15 AC12:AG13 AJ16:AK16 AD17:AD21 P17:Q24 S17:T24 X17:X24 AE17:AE24 AG17:AG24 O17:O28 T17:W28 Y17:Y28 AC17:AC28 AF17:AF28 E17:G33 I17:M33 R17:R33 Z17:AB33 AH17:AI33 O22:Q22 S22:Y22 AE22:AG22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10" priority="3526" stopIfTrue="1" operator="equal">
      <formula>"SD"</formula>
    </cfRule>
  </conditionalFormatting>
  <conditionalFormatting sqref="AC5:AG13 E5:G15 I5:M15 O5:AB15 AD5:AI15 AC6:AC15 AJ16:AK16 AD17:AD21 O17:Q22 S17:Y22 AE17:AG22 P17:Q24 S17:T24 X17:X24 AE17:AE24 AG17:AG24 O17:O28 T17:W28 Y17:Y28 AC17:AC28 AF17:AF28 E17:G33 I17:M33 R17:R33 Z17:AB33 AH17:AI33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F3" sqref="AF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4" t="s">
        <v>122</v>
      </c>
      <c r="I1" s="75"/>
      <c r="J1" s="76"/>
      <c r="K1" s="71" t="s">
        <v>123</v>
      </c>
      <c r="L1" s="72"/>
      <c r="M1" s="73"/>
      <c r="N1" s="74" t="s">
        <v>124</v>
      </c>
      <c r="O1" s="75"/>
      <c r="P1" s="76"/>
      <c r="Q1" s="71" t="s">
        <v>125</v>
      </c>
      <c r="R1" s="72"/>
      <c r="S1" s="73"/>
      <c r="T1" s="74" t="s">
        <v>126</v>
      </c>
      <c r="U1" s="75"/>
      <c r="V1" s="76"/>
      <c r="W1" s="71" t="s">
        <v>127</v>
      </c>
      <c r="X1" s="72"/>
      <c r="Y1" s="73"/>
      <c r="Z1" s="74" t="s">
        <v>128</v>
      </c>
      <c r="AA1" s="75"/>
      <c r="AB1" s="76"/>
      <c r="AC1" s="71" t="s">
        <v>129</v>
      </c>
      <c r="AD1" s="72"/>
      <c r="AE1" s="73"/>
      <c r="AF1" s="74" t="s">
        <v>130</v>
      </c>
      <c r="AG1" s="75"/>
      <c r="AH1" s="76"/>
      <c r="AI1" s="71" t="s">
        <v>131</v>
      </c>
      <c r="AJ1" s="72"/>
      <c r="AK1" s="73"/>
      <c r="AL1" s="74" t="s">
        <v>132</v>
      </c>
      <c r="AM1" s="75"/>
      <c r="AN1" s="76"/>
      <c r="AO1" s="71" t="s">
        <v>133</v>
      </c>
      <c r="AP1" s="72"/>
      <c r="AQ1" s="73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Q2" sqref="Q2:Q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9" t="s">
        <v>1</v>
      </c>
      <c r="B1" s="81" t="s">
        <v>92</v>
      </c>
      <c r="C1" s="70" t="s">
        <v>93</v>
      </c>
      <c r="D1" s="77" t="s">
        <v>94</v>
      </c>
      <c r="E1" s="77" t="s">
        <v>95</v>
      </c>
      <c r="F1" s="77" t="s">
        <v>96</v>
      </c>
      <c r="G1" s="77" t="s">
        <v>97</v>
      </c>
      <c r="H1" s="77" t="s">
        <v>98</v>
      </c>
      <c r="I1" s="77" t="s">
        <v>99</v>
      </c>
      <c r="J1" s="77" t="s">
        <v>100</v>
      </c>
      <c r="K1" s="77" t="s">
        <v>101</v>
      </c>
      <c r="L1" s="77" t="s">
        <v>102</v>
      </c>
      <c r="M1" s="77" t="s">
        <v>103</v>
      </c>
      <c r="N1" s="77" t="s">
        <v>104</v>
      </c>
      <c r="O1" s="77" t="s">
        <v>105</v>
      </c>
    </row>
    <row r="2" spans="1:15" ht="12.75" customHeight="1" x14ac:dyDescent="0.2">
      <c r="A2" s="80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2026-09-11T13:29:30Z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