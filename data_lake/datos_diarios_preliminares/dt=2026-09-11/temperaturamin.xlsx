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ED14F60-0491-4DE6-B8E3-3801824C66DA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/>
  <c r="AT204" i="1"/>
  <c r="AW204" i="1" s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/>
  <c r="AT200" i="1"/>
  <c r="AW200" i="1" s="1"/>
  <c r="AR200" i="1"/>
  <c r="AP200" i="1"/>
  <c r="AQ200" i="1" s="1"/>
  <c r="AS200" i="1" s="1"/>
  <c r="AV199" i="1" a="1"/>
  <c r="AV199" i="1" s="1"/>
  <c r="AU199" i="1" a="1"/>
  <c r="AU199" i="1" s="1"/>
  <c r="AT199" i="1"/>
  <c r="AW199" i="1" s="1"/>
  <c r="AR199" i="1"/>
  <c r="AP199" i="1"/>
  <c r="AQ199" i="1" s="1"/>
  <c r="AS199" i="1" s="1"/>
  <c r="AV198" i="1" a="1"/>
  <c r="AV198" i="1" s="1"/>
  <c r="AU198" i="1" a="1"/>
  <c r="AU198" i="1"/>
  <c r="AT198" i="1"/>
  <c r="AW198" i="1" s="1"/>
  <c r="AR198" i="1"/>
  <c r="AP198" i="1"/>
  <c r="AQ198" i="1" s="1"/>
  <c r="AS198" i="1" s="1"/>
  <c r="AV197" i="1" a="1"/>
  <c r="AV197" i="1" s="1"/>
  <c r="AU197" i="1" a="1"/>
  <c r="AU197" i="1" s="1"/>
  <c r="AT197" i="1"/>
  <c r="AW197" i="1" s="1"/>
  <c r="AR197" i="1"/>
  <c r="AP197" i="1"/>
  <c r="AQ197" i="1" s="1"/>
  <c r="AS197" i="1" s="1"/>
  <c r="AV196" i="1" a="1"/>
  <c r="AV196" i="1"/>
  <c r="AU196" i="1" a="1"/>
  <c r="AU196" i="1"/>
  <c r="AT196" i="1"/>
  <c r="AW196" i="1" s="1"/>
  <c r="AR196" i="1"/>
  <c r="AP196" i="1"/>
  <c r="AQ196" i="1" s="1"/>
  <c r="AS196" i="1" s="1"/>
  <c r="AV195" i="1" a="1"/>
  <c r="AV195" i="1" s="1"/>
  <c r="AU195" i="1" a="1"/>
  <c r="AU195" i="1" s="1"/>
  <c r="AT195" i="1"/>
  <c r="AW195" i="1" s="1"/>
  <c r="AR195" i="1"/>
  <c r="AP195" i="1"/>
  <c r="AQ195" i="1" s="1"/>
  <c r="AS195" i="1" s="1"/>
  <c r="AV194" i="1" a="1"/>
  <c r="AV194" i="1" s="1"/>
  <c r="AU194" i="1" a="1"/>
  <c r="AU194" i="1"/>
  <c r="AT194" i="1"/>
  <c r="AW194" i="1" s="1"/>
  <c r="AR194" i="1"/>
  <c r="AP194" i="1"/>
  <c r="AQ194" i="1" s="1"/>
  <c r="AS194" i="1" s="1"/>
  <c r="AV193" i="1" a="1"/>
  <c r="AV193" i="1" s="1"/>
  <c r="AU193" i="1" a="1"/>
  <c r="AU193" i="1" s="1"/>
  <c r="AT193" i="1"/>
  <c r="AW193" i="1" s="1"/>
  <c r="AR193" i="1"/>
  <c r="AP193" i="1"/>
  <c r="AQ193" i="1" s="1"/>
  <c r="AS193" i="1" s="1"/>
  <c r="AV192" i="1" a="1"/>
  <c r="AV192" i="1"/>
  <c r="AU192" i="1" a="1"/>
  <c r="AU192" i="1"/>
  <c r="AT192" i="1"/>
  <c r="AW192" i="1" s="1"/>
  <c r="AR192" i="1"/>
  <c r="AP192" i="1"/>
  <c r="AQ192" i="1" s="1"/>
  <c r="AS192" i="1" s="1"/>
  <c r="AV191" i="1" a="1"/>
  <c r="AV191" i="1" s="1"/>
  <c r="AU191" i="1" a="1"/>
  <c r="AU191" i="1" s="1"/>
  <c r="AT191" i="1"/>
  <c r="AW191" i="1" s="1"/>
  <c r="AR191" i="1"/>
  <c r="AP191" i="1"/>
  <c r="AQ191" i="1" s="1"/>
  <c r="AS191" i="1" s="1"/>
  <c r="AV190" i="1" a="1"/>
  <c r="AV190" i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W189" i="1" s="1"/>
  <c r="AR189" i="1"/>
  <c r="AP189" i="1"/>
  <c r="AQ189" i="1" s="1"/>
  <c r="AS189" i="1" s="1"/>
  <c r="AV188" i="1" a="1"/>
  <c r="AV188" i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W187" i="1" s="1"/>
  <c r="AR187" i="1"/>
  <c r="AP187" i="1"/>
  <c r="AQ187" i="1" s="1"/>
  <c r="AV186" i="1" a="1"/>
  <c r="AV186" i="1"/>
  <c r="AU186" i="1" a="1"/>
  <c r="AU186" i="1"/>
  <c r="AT186" i="1"/>
  <c r="AW186" i="1" s="1"/>
  <c r="AR186" i="1"/>
  <c r="AP186" i="1"/>
  <c r="AQ186" i="1" s="1"/>
  <c r="AS186" i="1" s="1"/>
  <c r="AV185" i="1" a="1"/>
  <c r="AV185" i="1" s="1"/>
  <c r="AU185" i="1" a="1"/>
  <c r="AU185" i="1" s="1"/>
  <c r="AT185" i="1"/>
  <c r="AW185" i="1" s="1"/>
  <c r="AR185" i="1"/>
  <c r="AP185" i="1"/>
  <c r="AQ185" i="1" s="1"/>
  <c r="AS185" i="1" s="1"/>
  <c r="AV184" i="1" a="1"/>
  <c r="AV184" i="1" s="1"/>
  <c r="AU184" i="1" a="1"/>
  <c r="AU184" i="1"/>
  <c r="AT184" i="1"/>
  <c r="AW184" i="1" s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W179" i="1" s="1"/>
  <c r="AR179" i="1"/>
  <c r="AP179" i="1"/>
  <c r="AQ179" i="1" s="1"/>
  <c r="AS179" i="1" s="1"/>
  <c r="AV178" i="1" a="1"/>
  <c r="AV178" i="1" s="1"/>
  <c r="AU178" i="1" a="1"/>
  <c r="AU178" i="1"/>
  <c r="AT178" i="1"/>
  <c r="AW178" i="1" s="1"/>
  <c r="AR178" i="1"/>
  <c r="AP178" i="1"/>
  <c r="AQ178" i="1" s="1"/>
  <c r="AS178" i="1" s="1"/>
  <c r="AV177" i="1" a="1"/>
  <c r="AV177" i="1" s="1"/>
  <c r="AU177" i="1" a="1"/>
  <c r="AU177" i="1" s="1"/>
  <c r="AT177" i="1"/>
  <c r="AW177" i="1" s="1"/>
  <c r="AR177" i="1"/>
  <c r="AP177" i="1"/>
  <c r="AQ177" i="1" s="1"/>
  <c r="AS177" i="1" s="1"/>
  <c r="AV176" i="1" a="1"/>
  <c r="AV176" i="1" s="1"/>
  <c r="AU176" i="1" a="1"/>
  <c r="AU176" i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W175" i="1" s="1"/>
  <c r="AR175" i="1"/>
  <c r="AP175" i="1"/>
  <c r="AQ175" i="1" s="1"/>
  <c r="AS175" i="1" s="1"/>
  <c r="AV174" i="1" a="1"/>
  <c r="AV174" i="1"/>
  <c r="AU174" i="1" a="1"/>
  <c r="AU174" i="1"/>
  <c r="AW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W171" i="1" s="1"/>
  <c r="AR171" i="1"/>
  <c r="AP171" i="1"/>
  <c r="AQ171" i="1" s="1"/>
  <c r="AV170" i="1" a="1"/>
  <c r="AV170" i="1" s="1"/>
  <c r="AU170" i="1" a="1"/>
  <c r="AU170" i="1"/>
  <c r="AT170" i="1"/>
  <c r="AW170" i="1" s="1"/>
  <c r="AR170" i="1"/>
  <c r="AP170" i="1"/>
  <c r="AQ170" i="1" s="1"/>
  <c r="AS170" i="1" s="1"/>
  <c r="AV169" i="1" a="1"/>
  <c r="AV169" i="1" s="1"/>
  <c r="AU169" i="1" a="1"/>
  <c r="AU169" i="1" s="1"/>
  <c r="AT169" i="1"/>
  <c r="AW169" i="1" s="1"/>
  <c r="AR169" i="1"/>
  <c r="AP169" i="1"/>
  <c r="AQ169" i="1" s="1"/>
  <c r="AS169" i="1" s="1"/>
  <c r="AV168" i="1" a="1"/>
  <c r="AV168" i="1" s="1"/>
  <c r="AU168" i="1" a="1"/>
  <c r="AU168" i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W167" i="1" s="1"/>
  <c r="AR167" i="1"/>
  <c r="AP167" i="1"/>
  <c r="AQ167" i="1" s="1"/>
  <c r="AS167" i="1" s="1"/>
  <c r="AV166" i="1" a="1"/>
  <c r="AV166" i="1" s="1"/>
  <c r="AU166" i="1" a="1"/>
  <c r="AU166" i="1" s="1"/>
  <c r="AT166" i="1"/>
  <c r="AW166" i="1" s="1"/>
  <c r="AR166" i="1"/>
  <c r="AP166" i="1"/>
  <c r="AQ166" i="1" s="1"/>
  <c r="AS166" i="1" s="1"/>
  <c r="AV165" i="1" a="1"/>
  <c r="AV165" i="1" s="1"/>
  <c r="AU165" i="1" a="1"/>
  <c r="AU165" i="1" s="1"/>
  <c r="AT165" i="1"/>
  <c r="AW165" i="1" s="1"/>
  <c r="AR165" i="1"/>
  <c r="AP165" i="1"/>
  <c r="AQ165" i="1" s="1"/>
  <c r="AS165" i="1" s="1"/>
  <c r="AV164" i="1" a="1"/>
  <c r="AV164" i="1"/>
  <c r="AU164" i="1" a="1"/>
  <c r="AU164" i="1"/>
  <c r="AT164" i="1"/>
  <c r="AW164" i="1" s="1"/>
  <c r="AR164" i="1"/>
  <c r="AP164" i="1"/>
  <c r="AQ164" i="1" s="1"/>
  <c r="AS164" i="1" s="1"/>
  <c r="AV163" i="1" a="1"/>
  <c r="AV163" i="1" s="1"/>
  <c r="AU163" i="1" a="1"/>
  <c r="AU163" i="1" s="1"/>
  <c r="AT163" i="1"/>
  <c r="AW163" i="1" s="1"/>
  <c r="AR163" i="1"/>
  <c r="AP163" i="1"/>
  <c r="AQ163" i="1" s="1"/>
  <c r="AS163" i="1" s="1"/>
  <c r="AV162" i="1" a="1"/>
  <c r="AV162" i="1"/>
  <c r="AU162" i="1" a="1"/>
  <c r="AU162" i="1"/>
  <c r="AT162" i="1"/>
  <c r="AW162" i="1" s="1"/>
  <c r="AR162" i="1"/>
  <c r="AP162" i="1"/>
  <c r="AQ162" i="1" s="1"/>
  <c r="AS162" i="1" s="1"/>
  <c r="AV161" i="1" a="1"/>
  <c r="AV161" i="1" s="1"/>
  <c r="AU161" i="1" a="1"/>
  <c r="AU161" i="1" s="1"/>
  <c r="AT161" i="1"/>
  <c r="AW161" i="1" s="1"/>
  <c r="AR161" i="1"/>
  <c r="AP161" i="1"/>
  <c r="AQ161" i="1" s="1"/>
  <c r="AS161" i="1" s="1"/>
  <c r="AV160" i="1" a="1"/>
  <c r="AV160" i="1" s="1"/>
  <c r="AU160" i="1" a="1"/>
  <c r="AU160" i="1"/>
  <c r="AT160" i="1"/>
  <c r="AW160" i="1" s="1"/>
  <c r="AR160" i="1"/>
  <c r="AP160" i="1"/>
  <c r="AQ160" i="1" s="1"/>
  <c r="AS160" i="1" s="1"/>
  <c r="AV159" i="1" a="1"/>
  <c r="AV159" i="1" s="1"/>
  <c r="AU159" i="1" a="1"/>
  <c r="AU159" i="1" s="1"/>
  <c r="AT159" i="1"/>
  <c r="AW159" i="1" s="1"/>
  <c r="AR159" i="1"/>
  <c r="AP159" i="1"/>
  <c r="AQ159" i="1" s="1"/>
  <c r="AS159" i="1" s="1"/>
  <c r="AV158" i="1" a="1"/>
  <c r="AV158" i="1" s="1"/>
  <c r="AU158" i="1" a="1"/>
  <c r="AU158" i="1"/>
  <c r="AT158" i="1"/>
  <c r="AW158" i="1" s="1"/>
  <c r="AR158" i="1"/>
  <c r="AP158" i="1"/>
  <c r="AQ158" i="1" s="1"/>
  <c r="AS158" i="1" s="1"/>
  <c r="AV157" i="1" a="1"/>
  <c r="AV157" i="1" s="1"/>
  <c r="AU157" i="1" a="1"/>
  <c r="AU157" i="1" s="1"/>
  <c r="AT157" i="1"/>
  <c r="AW157" i="1" s="1"/>
  <c r="AR157" i="1"/>
  <c r="AQ157" i="1"/>
  <c r="AS157" i="1" s="1"/>
  <c r="AP157" i="1"/>
  <c r="AV156" i="1" a="1"/>
  <c r="AV156" i="1"/>
  <c r="AU156" i="1" a="1"/>
  <c r="AU156" i="1"/>
  <c r="AT156" i="1"/>
  <c r="AW156" i="1" s="1"/>
  <c r="AR156" i="1"/>
  <c r="AP156" i="1"/>
  <c r="AQ156" i="1" s="1"/>
  <c r="AS156" i="1" s="1"/>
  <c r="AV155" i="1" a="1"/>
  <c r="AV155" i="1" s="1"/>
  <c r="AU155" i="1" a="1"/>
  <c r="AU155" i="1" s="1"/>
  <c r="AT155" i="1"/>
  <c r="AW155" i="1" s="1"/>
  <c r="AR155" i="1"/>
  <c r="AP155" i="1"/>
  <c r="AQ155" i="1" s="1"/>
  <c r="AS155" i="1" s="1"/>
  <c r="AV154" i="1" a="1"/>
  <c r="AV154" i="1" s="1"/>
  <c r="AU154" i="1" a="1"/>
  <c r="AU154" i="1"/>
  <c r="AT154" i="1"/>
  <c r="AW154" i="1" s="1"/>
  <c r="AR154" i="1"/>
  <c r="AP154" i="1"/>
  <c r="AQ154" i="1" s="1"/>
  <c r="AS154" i="1" s="1"/>
  <c r="AV153" i="1" a="1"/>
  <c r="AV153" i="1" s="1"/>
  <c r="AU153" i="1" a="1"/>
  <c r="AU153" i="1" s="1"/>
  <c r="AT153" i="1"/>
  <c r="AW153" i="1" s="1"/>
  <c r="AR153" i="1"/>
  <c r="AP153" i="1"/>
  <c r="AQ153" i="1" s="1"/>
  <c r="AS153" i="1" s="1"/>
  <c r="AV152" i="1" a="1"/>
  <c r="AV152" i="1"/>
  <c r="AU152" i="1" a="1"/>
  <c r="AU152" i="1"/>
  <c r="AT152" i="1"/>
  <c r="AW152" i="1" s="1"/>
  <c r="AR152" i="1"/>
  <c r="AP152" i="1"/>
  <c r="AQ152" i="1" s="1"/>
  <c r="AS152" i="1" s="1"/>
  <c r="AV151" i="1" a="1"/>
  <c r="AV151" i="1" s="1"/>
  <c r="AU151" i="1" a="1"/>
  <c r="AU151" i="1" s="1"/>
  <c r="AT151" i="1"/>
  <c r="AW151" i="1" s="1"/>
  <c r="AR151" i="1"/>
  <c r="AP151" i="1"/>
  <c r="AQ151" i="1" s="1"/>
  <c r="AS151" i="1" s="1"/>
  <c r="AV150" i="1" a="1"/>
  <c r="AV150" i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W149" i="1" s="1"/>
  <c r="AR149" i="1"/>
  <c r="AP149" i="1"/>
  <c r="AQ149" i="1" s="1"/>
  <c r="AS149" i="1" s="1"/>
  <c r="AV148" i="1" a="1"/>
  <c r="AV148" i="1"/>
  <c r="AU148" i="1" a="1"/>
  <c r="AU148" i="1" s="1"/>
  <c r="AT148" i="1"/>
  <c r="AW148" i="1" s="1"/>
  <c r="AR148" i="1"/>
  <c r="AP148" i="1"/>
  <c r="AQ148" i="1" s="1"/>
  <c r="AS148" i="1" s="1"/>
  <c r="AV147" i="1" a="1"/>
  <c r="AV147" i="1" s="1"/>
  <c r="AU147" i="1" a="1"/>
  <c r="AU147" i="1" s="1"/>
  <c r="AT147" i="1"/>
  <c r="AW147" i="1" s="1"/>
  <c r="AR147" i="1"/>
  <c r="AP147" i="1"/>
  <c r="AQ147" i="1" s="1"/>
  <c r="AS147" i="1" s="1"/>
  <c r="AV146" i="1" a="1"/>
  <c r="AV146" i="1"/>
  <c r="AU146" i="1" a="1"/>
  <c r="AU146" i="1"/>
  <c r="AT146" i="1"/>
  <c r="AW146" i="1" s="1"/>
  <c r="AR146" i="1"/>
  <c r="AP146" i="1"/>
  <c r="AQ146" i="1" s="1"/>
  <c r="AS146" i="1" s="1"/>
  <c r="AV145" i="1" a="1"/>
  <c r="AV145" i="1" s="1"/>
  <c r="AU145" i="1" a="1"/>
  <c r="AU145" i="1" s="1"/>
  <c r="AT145" i="1"/>
  <c r="AW145" i="1" s="1"/>
  <c r="AR145" i="1"/>
  <c r="AP145" i="1"/>
  <c r="AQ145" i="1" s="1"/>
  <c r="AS145" i="1" s="1"/>
  <c r="AV144" i="1" a="1"/>
  <c r="AV144" i="1"/>
  <c r="AU144" i="1" a="1"/>
  <c r="AU144" i="1"/>
  <c r="AT144" i="1"/>
  <c r="AW144" i="1" s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/>
  <c r="AU140" i="1" a="1"/>
  <c r="AU140" i="1" s="1"/>
  <c r="AW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W139" i="1" s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W137" i="1" s="1"/>
  <c r="AR137" i="1"/>
  <c r="AP137" i="1"/>
  <c r="AQ137" i="1" s="1"/>
  <c r="AS137" i="1" s="1"/>
  <c r="AV136" i="1" a="1"/>
  <c r="AV136" i="1" s="1"/>
  <c r="AU136" i="1" a="1"/>
  <c r="AU136" i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W135" i="1" s="1"/>
  <c r="AR135" i="1"/>
  <c r="AP135" i="1"/>
  <c r="AQ135" i="1" s="1"/>
  <c r="AS135" i="1" s="1"/>
  <c r="AV134" i="1" a="1"/>
  <c r="AV134" i="1"/>
  <c r="AU134" i="1" a="1"/>
  <c r="AU134" i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/>
  <c r="AU132" i="1" a="1"/>
  <c r="AU132" i="1" s="1"/>
  <c r="AT132" i="1"/>
  <c r="AW132" i="1" s="1"/>
  <c r="AR132" i="1"/>
  <c r="AP132" i="1"/>
  <c r="AQ132" i="1" s="1"/>
  <c r="AS132" i="1" s="1"/>
  <c r="AV131" i="1" a="1"/>
  <c r="AV131" i="1" s="1"/>
  <c r="AU131" i="1" a="1"/>
  <c r="AU131" i="1" s="1"/>
  <c r="AT131" i="1"/>
  <c r="AW131" i="1" s="1"/>
  <c r="AR131" i="1"/>
  <c r="AP131" i="1"/>
  <c r="AQ131" i="1" s="1"/>
  <c r="AV130" i="1" a="1"/>
  <c r="AV130" i="1" s="1"/>
  <c r="AU130" i="1" a="1"/>
  <c r="AU130" i="1" s="1"/>
  <c r="AT130" i="1"/>
  <c r="AW130" i="1" s="1"/>
  <c r="AR130" i="1"/>
  <c r="AP130" i="1"/>
  <c r="AQ130" i="1" s="1"/>
  <c r="AS130" i="1" s="1"/>
  <c r="AV129" i="1" a="1"/>
  <c r="AV129" i="1" s="1"/>
  <c r="AU129" i="1" a="1"/>
  <c r="AU129" i="1" s="1"/>
  <c r="AT129" i="1"/>
  <c r="AW129" i="1" s="1"/>
  <c r="AR129" i="1"/>
  <c r="AP129" i="1"/>
  <c r="AQ129" i="1" s="1"/>
  <c r="AS129" i="1" s="1"/>
  <c r="AV128" i="1" a="1"/>
  <c r="AV128" i="1" s="1"/>
  <c r="AU128" i="1" a="1"/>
  <c r="AU128" i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W127" i="1" s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W125" i="1" s="1"/>
  <c r="AR125" i="1"/>
  <c r="AP125" i="1"/>
  <c r="AQ125" i="1" s="1"/>
  <c r="AS125" i="1" s="1"/>
  <c r="AV124" i="1" a="1"/>
  <c r="AV124" i="1"/>
  <c r="AU124" i="1" a="1"/>
  <c r="AU124" i="1"/>
  <c r="AT124" i="1"/>
  <c r="AW124" i="1" s="1"/>
  <c r="AR124" i="1"/>
  <c r="AP124" i="1"/>
  <c r="AQ124" i="1" s="1"/>
  <c r="AS124" i="1" s="1"/>
  <c r="AV123" i="1" a="1"/>
  <c r="AV123" i="1" s="1"/>
  <c r="AU123" i="1" a="1"/>
  <c r="AU123" i="1" s="1"/>
  <c r="AT123" i="1"/>
  <c r="AW123" i="1" s="1"/>
  <c r="AR123" i="1"/>
  <c r="AP123" i="1"/>
  <c r="AQ123" i="1" s="1"/>
  <c r="AS123" i="1" s="1"/>
  <c r="AV122" i="1" a="1"/>
  <c r="AV122" i="1"/>
  <c r="AU122" i="1" a="1"/>
  <c r="AU122" i="1"/>
  <c r="AT122" i="1"/>
  <c r="AW122" i="1" s="1"/>
  <c r="AR122" i="1"/>
  <c r="AP122" i="1"/>
  <c r="AQ122" i="1" s="1"/>
  <c r="AS122" i="1" s="1"/>
  <c r="AV121" i="1" a="1"/>
  <c r="AV121" i="1" s="1"/>
  <c r="AU121" i="1" a="1"/>
  <c r="AU121" i="1" s="1"/>
  <c r="AT121" i="1"/>
  <c r="AW121" i="1" s="1"/>
  <c r="AR121" i="1"/>
  <c r="AP121" i="1"/>
  <c r="AQ121" i="1" s="1"/>
  <c r="AS121" i="1" s="1"/>
  <c r="AV120" i="1" a="1"/>
  <c r="AV120" i="1" s="1"/>
  <c r="AU120" i="1" a="1"/>
  <c r="AU120" i="1"/>
  <c r="AT120" i="1"/>
  <c r="AW120" i="1" s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 s="1"/>
  <c r="AU118" i="1" a="1"/>
  <c r="AU118" i="1"/>
  <c r="AT118" i="1"/>
  <c r="AW118" i="1" s="1"/>
  <c r="AR118" i="1"/>
  <c r="AP118" i="1"/>
  <c r="AQ118" i="1" s="1"/>
  <c r="AS118" i="1" s="1"/>
  <c r="AV117" i="1" a="1"/>
  <c r="AV117" i="1" s="1"/>
  <c r="AU117" i="1" a="1"/>
  <c r="AU117" i="1" s="1"/>
  <c r="AT117" i="1"/>
  <c r="AW117" i="1" s="1"/>
  <c r="AR117" i="1"/>
  <c r="AP117" i="1"/>
  <c r="AQ117" i="1" s="1"/>
  <c r="AS117" i="1" s="1"/>
  <c r="AV116" i="1" a="1"/>
  <c r="AV116" i="1"/>
  <c r="AU116" i="1" a="1"/>
  <c r="AU116" i="1"/>
  <c r="AT116" i="1"/>
  <c r="AW116" i="1" s="1"/>
  <c r="AR116" i="1"/>
  <c r="AP116" i="1"/>
  <c r="AQ116" i="1" s="1"/>
  <c r="AS116" i="1" s="1"/>
  <c r="AV115" i="1" a="1"/>
  <c r="AV115" i="1" s="1"/>
  <c r="AU115" i="1" a="1"/>
  <c r="AU115" i="1" s="1"/>
  <c r="AT115" i="1"/>
  <c r="AW115" i="1" s="1"/>
  <c r="AR115" i="1"/>
  <c r="AP115" i="1"/>
  <c r="AQ115" i="1" s="1"/>
  <c r="AS115" i="1" s="1"/>
  <c r="AV114" i="1" a="1"/>
  <c r="AV114" i="1" s="1"/>
  <c r="AU114" i="1" a="1"/>
  <c r="AU114" i="1"/>
  <c r="AT114" i="1"/>
  <c r="AW114" i="1" s="1"/>
  <c r="AR114" i="1"/>
  <c r="AP114" i="1"/>
  <c r="AQ114" i="1" s="1"/>
  <c r="AS114" i="1" s="1"/>
  <c r="AV113" i="1" a="1"/>
  <c r="AV113" i="1" s="1"/>
  <c r="AU113" i="1" a="1"/>
  <c r="AU113" i="1" s="1"/>
  <c r="AT113" i="1"/>
  <c r="AW113" i="1" s="1"/>
  <c r="AR113" i="1"/>
  <c r="AP113" i="1"/>
  <c r="AQ113" i="1" s="1"/>
  <c r="AS113" i="1" s="1"/>
  <c r="AV112" i="1" a="1"/>
  <c r="AV112" i="1"/>
  <c r="AU112" i="1" a="1"/>
  <c r="AU112" i="1"/>
  <c r="AT112" i="1"/>
  <c r="AW112" i="1" s="1"/>
  <c r="AR112" i="1"/>
  <c r="AQ112" i="1"/>
  <c r="AS112" i="1" s="1"/>
  <c r="AP112" i="1"/>
  <c r="AV111" i="1" a="1"/>
  <c r="AV111" i="1" s="1"/>
  <c r="AU111" i="1" a="1"/>
  <c r="AU111" i="1" s="1"/>
  <c r="AT111" i="1"/>
  <c r="AW111" i="1" s="1"/>
  <c r="AR111" i="1"/>
  <c r="AP111" i="1"/>
  <c r="AQ111" i="1" s="1"/>
  <c r="AS111" i="1" s="1"/>
  <c r="AV110" i="1" a="1"/>
  <c r="AV110" i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W109" i="1" s="1"/>
  <c r="AR109" i="1"/>
  <c r="AP109" i="1"/>
  <c r="AQ109" i="1" s="1"/>
  <c r="AS109" i="1" s="1"/>
  <c r="AV108" i="1" a="1"/>
  <c r="AV108" i="1"/>
  <c r="AU108" i="1" a="1"/>
  <c r="AU108" i="1" s="1"/>
  <c r="AT108" i="1"/>
  <c r="AW108" i="1" s="1"/>
  <c r="AR108" i="1"/>
  <c r="AP108" i="1"/>
  <c r="AQ108" i="1" s="1"/>
  <c r="AS108" i="1" s="1"/>
  <c r="AV107" i="1" a="1"/>
  <c r="AV107" i="1" s="1"/>
  <c r="AU107" i="1" a="1"/>
  <c r="AU107" i="1" s="1"/>
  <c r="AT107" i="1"/>
  <c r="AW107" i="1" s="1"/>
  <c r="AR107" i="1"/>
  <c r="AP107" i="1"/>
  <c r="AQ107" i="1" s="1"/>
  <c r="AS107" i="1" s="1"/>
  <c r="AV106" i="1" a="1"/>
  <c r="AV106" i="1"/>
  <c r="AU106" i="1" a="1"/>
  <c r="AU106" i="1"/>
  <c r="AT106" i="1"/>
  <c r="AW106" i="1" s="1"/>
  <c r="AR106" i="1"/>
  <c r="AP106" i="1"/>
  <c r="AQ106" i="1" s="1"/>
  <c r="AS106" i="1" s="1"/>
  <c r="AV105" i="1" a="1"/>
  <c r="AV105" i="1" s="1"/>
  <c r="AU105" i="1" a="1"/>
  <c r="AU105" i="1" s="1"/>
  <c r="AT105" i="1"/>
  <c r="AW105" i="1" s="1"/>
  <c r="AR105" i="1"/>
  <c r="AP105" i="1"/>
  <c r="AQ105" i="1" s="1"/>
  <c r="AS105" i="1" s="1"/>
  <c r="AV104" i="1" a="1"/>
  <c r="AV104" i="1"/>
  <c r="AU104" i="1" a="1"/>
  <c r="AU104" i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T103" i="1"/>
  <c r="AW103" i="1" s="1"/>
  <c r="AR103" i="1"/>
  <c r="AP103" i="1"/>
  <c r="AQ103" i="1" s="1"/>
  <c r="AS103" i="1" s="1"/>
  <c r="AV102" i="1" a="1"/>
  <c r="AV102" i="1" s="1"/>
  <c r="AU102" i="1" a="1"/>
  <c r="AU102" i="1" s="1"/>
  <c r="AW102" i="1" s="1"/>
  <c r="AT102" i="1"/>
  <c r="AR102" i="1"/>
  <c r="AP102" i="1"/>
  <c r="AQ102" i="1" s="1"/>
  <c r="AS102" i="1" s="1"/>
  <c r="AV101" i="1" a="1"/>
  <c r="AV101" i="1" s="1"/>
  <c r="AU101" i="1" a="1"/>
  <c r="AU101" i="1" s="1"/>
  <c r="AW101" i="1" s="1"/>
  <c r="AT101" i="1"/>
  <c r="AR101" i="1"/>
  <c r="AP101" i="1"/>
  <c r="AQ101" i="1" s="1"/>
  <c r="AS101" i="1" s="1"/>
  <c r="AV100" i="1" a="1"/>
  <c r="AV100" i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W99" i="1" s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W97" i="1" s="1"/>
  <c r="AR97" i="1"/>
  <c r="AP97" i="1"/>
  <c r="AQ97" i="1" s="1"/>
  <c r="AS97" i="1" s="1"/>
  <c r="AV96" i="1" a="1"/>
  <c r="AV96" i="1" s="1"/>
  <c r="AU96" i="1" a="1"/>
  <c r="AU96" i="1"/>
  <c r="AT96" i="1"/>
  <c r="AR96" i="1"/>
  <c r="AP96" i="1"/>
  <c r="AQ96" i="1" s="1"/>
  <c r="AS96" i="1" s="1"/>
  <c r="AV95" i="1" a="1"/>
  <c r="AV95" i="1" s="1"/>
  <c r="AU95" i="1" a="1"/>
  <c r="AU95" i="1" s="1"/>
  <c r="AT95" i="1"/>
  <c r="AW95" i="1" s="1"/>
  <c r="AR95" i="1"/>
  <c r="AP95" i="1"/>
  <c r="AQ95" i="1" s="1"/>
  <c r="AS95" i="1" s="1"/>
  <c r="AV94" i="1" a="1"/>
  <c r="AV94" i="1"/>
  <c r="AU94" i="1" a="1"/>
  <c r="AU94" i="1"/>
  <c r="AW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/>
  <c r="AU92" i="1" a="1"/>
  <c r="AU92" i="1" s="1"/>
  <c r="AT92" i="1"/>
  <c r="AW92" i="1" s="1"/>
  <c r="AR92" i="1"/>
  <c r="AP92" i="1"/>
  <c r="AQ92" i="1" s="1"/>
  <c r="AS92" i="1" s="1"/>
  <c r="AW91" i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W90" i="1" s="1"/>
  <c r="AR90" i="1"/>
  <c r="AP90" i="1"/>
  <c r="AQ90" i="1" s="1"/>
  <c r="AS90" i="1" s="1"/>
  <c r="AV89" i="1" a="1"/>
  <c r="AV89" i="1" s="1"/>
  <c r="AU89" i="1" a="1"/>
  <c r="AU89" i="1" s="1"/>
  <c r="AT89" i="1"/>
  <c r="AW89" i="1" s="1"/>
  <c r="AR89" i="1"/>
  <c r="AP89" i="1"/>
  <c r="AQ89" i="1" s="1"/>
  <c r="AS89" i="1" s="1"/>
  <c r="AV88" i="1" a="1"/>
  <c r="AV88" i="1" s="1"/>
  <c r="AU88" i="1" a="1"/>
  <c r="AU88" i="1"/>
  <c r="AT88" i="1"/>
  <c r="AW88" i="1" s="1"/>
  <c r="AR88" i="1"/>
  <c r="AP88" i="1"/>
  <c r="AQ88" i="1" s="1"/>
  <c r="AS88" i="1" s="1"/>
  <c r="AV87" i="1" a="1"/>
  <c r="AV87" i="1" s="1"/>
  <c r="AU87" i="1" a="1"/>
  <c r="AU87" i="1" s="1"/>
  <c r="AT87" i="1"/>
  <c r="AW87" i="1" s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W85" i="1" s="1"/>
  <c r="AR85" i="1"/>
  <c r="AP85" i="1"/>
  <c r="AQ85" i="1" s="1"/>
  <c r="AS85" i="1" s="1"/>
  <c r="AV84" i="1" a="1"/>
  <c r="AV84" i="1"/>
  <c r="AU84" i="1" a="1"/>
  <c r="AU84" i="1"/>
  <c r="AT84" i="1"/>
  <c r="AW84" i="1" s="1"/>
  <c r="AR84" i="1"/>
  <c r="AP84" i="1"/>
  <c r="AQ84" i="1" s="1"/>
  <c r="AS84" i="1" s="1"/>
  <c r="AV83" i="1" a="1"/>
  <c r="AV83" i="1" s="1"/>
  <c r="AU83" i="1" a="1"/>
  <c r="AU83" i="1" s="1"/>
  <c r="AT83" i="1"/>
  <c r="AW83" i="1" s="1"/>
  <c r="AR83" i="1"/>
  <c r="AP83" i="1"/>
  <c r="AQ83" i="1" s="1"/>
  <c r="AS83" i="1" s="1"/>
  <c r="AV82" i="1" a="1"/>
  <c r="AV82" i="1"/>
  <c r="AU82" i="1" a="1"/>
  <c r="AU82" i="1"/>
  <c r="AT82" i="1"/>
  <c r="AW82" i="1" s="1"/>
  <c r="AR82" i="1"/>
  <c r="AP82" i="1"/>
  <c r="AQ82" i="1" s="1"/>
  <c r="AS82" i="1" s="1"/>
  <c r="AV81" i="1" a="1"/>
  <c r="AV81" i="1" s="1"/>
  <c r="AU81" i="1" a="1"/>
  <c r="AU81" i="1" s="1"/>
  <c r="AT81" i="1"/>
  <c r="AW81" i="1" s="1"/>
  <c r="AR81" i="1"/>
  <c r="AP81" i="1"/>
  <c r="AQ81" i="1" s="1"/>
  <c r="AS81" i="1" s="1"/>
  <c r="AV80" i="1" a="1"/>
  <c r="AV80" i="1" s="1"/>
  <c r="AU80" i="1" a="1"/>
  <c r="AU80" i="1"/>
  <c r="AT80" i="1"/>
  <c r="AW80" i="1" s="1"/>
  <c r="AR80" i="1"/>
  <c r="AP80" i="1"/>
  <c r="AQ80" i="1" s="1"/>
  <c r="AS80" i="1" s="1"/>
  <c r="AV79" i="1" a="1"/>
  <c r="AV79" i="1" s="1"/>
  <c r="AU79" i="1" a="1"/>
  <c r="AU79" i="1" s="1"/>
  <c r="AT79" i="1"/>
  <c r="AW79" i="1" s="1"/>
  <c r="AR79" i="1"/>
  <c r="AP79" i="1"/>
  <c r="AQ79" i="1" s="1"/>
  <c r="AS79" i="1" s="1"/>
  <c r="AV78" i="1" a="1"/>
  <c r="AV78" i="1" s="1"/>
  <c r="AU78" i="1" a="1"/>
  <c r="AU78" i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P77" i="1"/>
  <c r="AQ77" i="1" s="1"/>
  <c r="AS77" i="1" s="1"/>
  <c r="AV76" i="1" a="1"/>
  <c r="AV76" i="1"/>
  <c r="AU76" i="1" a="1"/>
  <c r="AU76" i="1"/>
  <c r="AT76" i="1"/>
  <c r="AW76" i="1" s="1"/>
  <c r="AR76" i="1"/>
  <c r="AP76" i="1"/>
  <c r="AQ76" i="1" s="1"/>
  <c r="AS76" i="1" s="1"/>
  <c r="AV75" i="1" a="1"/>
  <c r="AV75" i="1" s="1"/>
  <c r="AU75" i="1" a="1"/>
  <c r="AU75" i="1" s="1"/>
  <c r="AT75" i="1"/>
  <c r="AW75" i="1" s="1"/>
  <c r="AR75" i="1"/>
  <c r="AP75" i="1"/>
  <c r="AQ75" i="1" s="1"/>
  <c r="AS75" i="1" s="1"/>
  <c r="AV74" i="1" a="1"/>
  <c r="AV74" i="1" s="1"/>
  <c r="AU74" i="1" a="1"/>
  <c r="AU74" i="1"/>
  <c r="AT74" i="1"/>
  <c r="AW74" i="1" s="1"/>
  <c r="AR74" i="1"/>
  <c r="AP74" i="1"/>
  <c r="AQ74" i="1" s="1"/>
  <c r="AS74" i="1" s="1"/>
  <c r="AV73" i="1" a="1"/>
  <c r="AV73" i="1" s="1"/>
  <c r="AU73" i="1" a="1"/>
  <c r="AU73" i="1" s="1"/>
  <c r="AT73" i="1"/>
  <c r="AW73" i="1" s="1"/>
  <c r="AR73" i="1"/>
  <c r="AP73" i="1"/>
  <c r="AQ73" i="1" s="1"/>
  <c r="AS73" i="1" s="1"/>
  <c r="AW72" i="1"/>
  <c r="AV72" i="1" a="1"/>
  <c r="AV72" i="1"/>
  <c r="AU72" i="1" a="1"/>
  <c r="AU72" i="1"/>
  <c r="AT72" i="1"/>
  <c r="AR72" i="1"/>
  <c r="AP72" i="1"/>
  <c r="AQ72" i="1" s="1"/>
  <c r="AS72" i="1" s="1"/>
  <c r="AV71" i="1" a="1"/>
  <c r="AV71" i="1" s="1"/>
  <c r="AU71" i="1" a="1"/>
  <c r="AU71" i="1" s="1"/>
  <c r="AT71" i="1"/>
  <c r="AW71" i="1" s="1"/>
  <c r="AR71" i="1"/>
  <c r="AP71" i="1"/>
  <c r="AQ71" i="1" s="1"/>
  <c r="AS71" i="1" s="1"/>
  <c r="AV70" i="1" a="1"/>
  <c r="AV70" i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W69" i="1" s="1"/>
  <c r="AR69" i="1"/>
  <c r="AP69" i="1"/>
  <c r="AQ69" i="1" s="1"/>
  <c r="AS69" i="1" s="1"/>
  <c r="AV68" i="1" a="1"/>
  <c r="AV68" i="1"/>
  <c r="AU68" i="1" a="1"/>
  <c r="AU68" i="1" s="1"/>
  <c r="AT68" i="1"/>
  <c r="AW68" i="1" s="1"/>
  <c r="AR68" i="1"/>
  <c r="AP68" i="1"/>
  <c r="AQ68" i="1" s="1"/>
  <c r="AS68" i="1" s="1"/>
  <c r="AV67" i="1" a="1"/>
  <c r="AV67" i="1" s="1"/>
  <c r="AU67" i="1" a="1"/>
  <c r="AU67" i="1" s="1"/>
  <c r="AT67" i="1"/>
  <c r="AW67" i="1" s="1"/>
  <c r="AR67" i="1"/>
  <c r="AP67" i="1"/>
  <c r="AQ67" i="1" s="1"/>
  <c r="AS67" i="1" s="1"/>
  <c r="AV66" i="1" a="1"/>
  <c r="AV66" i="1" s="1"/>
  <c r="AU66" i="1" a="1"/>
  <c r="AU66" i="1"/>
  <c r="AT66" i="1"/>
  <c r="AW66" i="1" s="1"/>
  <c r="AR66" i="1"/>
  <c r="AP66" i="1"/>
  <c r="AQ66" i="1" s="1"/>
  <c r="AS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/>
  <c r="AU64" i="1" a="1"/>
  <c r="AU64" i="1"/>
  <c r="AT64" i="1"/>
  <c r="AW64" i="1" s="1"/>
  <c r="AR64" i="1"/>
  <c r="AP64" i="1"/>
  <c r="AQ64" i="1" s="1"/>
  <c r="AS64" i="1" s="1"/>
  <c r="AV63" i="1" a="1"/>
  <c r="AV63" i="1" s="1"/>
  <c r="AU63" i="1" a="1"/>
  <c r="AU63" i="1" s="1"/>
  <c r="AT63" i="1"/>
  <c r="AR63" i="1"/>
  <c r="AQ63" i="1"/>
  <c r="AS63" i="1" s="1"/>
  <c r="AP63" i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/>
  <c r="AT60" i="1"/>
  <c r="AR60" i="1"/>
  <c r="AQ60" i="1"/>
  <c r="AS60" i="1" s="1"/>
  <c r="AP60" i="1"/>
  <c r="AV59" i="1" a="1"/>
  <c r="AV59" i="1" s="1"/>
  <c r="AU59" i="1" a="1"/>
  <c r="AU59" i="1" s="1"/>
  <c r="AW59" i="1" s="1"/>
  <c r="AT59" i="1"/>
  <c r="AR59" i="1"/>
  <c r="AQ59" i="1"/>
  <c r="AS59" i="1" s="1"/>
  <c r="AP59" i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W57" i="1" s="1"/>
  <c r="AR57" i="1"/>
  <c r="AP57" i="1"/>
  <c r="AQ57" i="1" s="1"/>
  <c r="AS57" i="1" s="1"/>
  <c r="AV56" i="1" a="1"/>
  <c r="AV56" i="1" s="1"/>
  <c r="AU56" i="1" a="1"/>
  <c r="AU56" i="1"/>
  <c r="AT56" i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S55" i="1" s="1"/>
  <c r="AV54" i="1" a="1"/>
  <c r="AV54" i="1" s="1"/>
  <c r="AU54" i="1" a="1"/>
  <c r="AU54" i="1"/>
  <c r="AT54" i="1"/>
  <c r="AR54" i="1"/>
  <c r="AP54" i="1"/>
  <c r="AQ54" i="1" s="1"/>
  <c r="AS54" i="1" s="1"/>
  <c r="AV53" i="1" a="1"/>
  <c r="AV53" i="1" s="1"/>
  <c r="AU53" i="1" a="1"/>
  <c r="AU53" i="1" s="1"/>
  <c r="AT53" i="1"/>
  <c r="AW53" i="1" s="1"/>
  <c r="AR53" i="1"/>
  <c r="AP53" i="1"/>
  <c r="AQ53" i="1" s="1"/>
  <c r="AS53" i="1" s="1"/>
  <c r="AV52" i="1" a="1"/>
  <c r="AV52" i="1"/>
  <c r="AU52" i="1" a="1"/>
  <c r="AU52" i="1"/>
  <c r="AT52" i="1"/>
  <c r="AR52" i="1"/>
  <c r="AP52" i="1"/>
  <c r="AQ52" i="1" s="1"/>
  <c r="AS52" i="1" s="1"/>
  <c r="AV51" i="1" a="1"/>
  <c r="AV51" i="1" s="1"/>
  <c r="AU51" i="1" a="1"/>
  <c r="AU51" i="1" s="1"/>
  <c r="AT51" i="1"/>
  <c r="AW51" i="1" s="1"/>
  <c r="AR51" i="1"/>
  <c r="AP51" i="1"/>
  <c r="AQ51" i="1" s="1"/>
  <c r="AS51" i="1" s="1"/>
  <c r="AV50" i="1" a="1"/>
  <c r="AV50" i="1" s="1"/>
  <c r="AU50" i="1" a="1"/>
  <c r="AU50" i="1"/>
  <c r="AT50" i="1"/>
  <c r="AW50" i="1" s="1"/>
  <c r="AR50" i="1"/>
  <c r="AP50" i="1"/>
  <c r="AQ50" i="1" s="1"/>
  <c r="AS50" i="1" s="1"/>
  <c r="AV49" i="1" a="1"/>
  <c r="AV49" i="1" s="1"/>
  <c r="AU49" i="1" a="1"/>
  <c r="AU49" i="1" s="1"/>
  <c r="AW49" i="1" s="1"/>
  <c r="AT49" i="1"/>
  <c r="AR49" i="1"/>
  <c r="AP49" i="1"/>
  <c r="AQ49" i="1" s="1"/>
  <c r="AS49" i="1" s="1"/>
  <c r="AV48" i="1" a="1"/>
  <c r="AV48" i="1" s="1"/>
  <c r="AU48" i="1" a="1"/>
  <c r="AU48" i="1"/>
  <c r="AT48" i="1"/>
  <c r="AW48" i="1" s="1"/>
  <c r="AR48" i="1"/>
  <c r="AP48" i="1"/>
  <c r="AQ48" i="1" s="1"/>
  <c r="AS48" i="1" s="1"/>
  <c r="AV47" i="1" a="1"/>
  <c r="AV47" i="1" s="1"/>
  <c r="AU47" i="1" a="1"/>
  <c r="AU47" i="1" s="1"/>
  <c r="AT47" i="1"/>
  <c r="AW47" i="1" s="1"/>
  <c r="AR47" i="1"/>
  <c r="AP47" i="1"/>
  <c r="AQ47" i="1" s="1"/>
  <c r="AS47" i="1" s="1"/>
  <c r="AV46" i="1" a="1"/>
  <c r="AV46" i="1"/>
  <c r="AU46" i="1" a="1"/>
  <c r="AU46" i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W45" i="1" s="1"/>
  <c r="AR45" i="1"/>
  <c r="AP45" i="1"/>
  <c r="AQ45" i="1" s="1"/>
  <c r="AS45" i="1" s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 s="1"/>
  <c r="AU43" i="1" a="1"/>
  <c r="AU43" i="1" s="1"/>
  <c r="AT43" i="1"/>
  <c r="AW43" i="1" s="1"/>
  <c r="AR43" i="1"/>
  <c r="AP43" i="1"/>
  <c r="AQ43" i="1" s="1"/>
  <c r="AS43" i="1" s="1"/>
  <c r="AV42" i="1" a="1"/>
  <c r="AV42" i="1"/>
  <c r="AU42" i="1" a="1"/>
  <c r="AU42" i="1" s="1"/>
  <c r="AT42" i="1"/>
  <c r="AW42" i="1" s="1"/>
  <c r="AR42" i="1"/>
  <c r="AP42" i="1"/>
  <c r="AQ42" i="1" s="1"/>
  <c r="AS42" i="1" s="1"/>
  <c r="AV41" i="1" a="1"/>
  <c r="AV41" i="1" s="1"/>
  <c r="AU41" i="1" a="1"/>
  <c r="AU41" i="1" s="1"/>
  <c r="AT41" i="1"/>
  <c r="AW41" i="1" s="1"/>
  <c r="AR41" i="1"/>
  <c r="AP41" i="1"/>
  <c r="AQ41" i="1" s="1"/>
  <c r="AS41" i="1" s="1"/>
  <c r="AV40" i="1" a="1"/>
  <c r="AV40" i="1" s="1"/>
  <c r="AU40" i="1" a="1"/>
  <c r="AU40" i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W39" i="1" s="1"/>
  <c r="AR39" i="1"/>
  <c r="AP39" i="1"/>
  <c r="AQ39" i="1" s="1"/>
  <c r="AS39" i="1" s="1"/>
  <c r="AV38" i="1" a="1"/>
  <c r="AV38" i="1"/>
  <c r="AU38" i="1" a="1"/>
  <c r="AU38" i="1"/>
  <c r="AT38" i="1"/>
  <c r="AW38" i="1" s="1"/>
  <c r="AR38" i="1"/>
  <c r="AP38" i="1"/>
  <c r="AQ38" i="1" s="1"/>
  <c r="AS38" i="1" s="1"/>
  <c r="AV37" i="1" a="1"/>
  <c r="AV37" i="1"/>
  <c r="AU37" i="1" a="1"/>
  <c r="AU37" i="1"/>
  <c r="AT37" i="1"/>
  <c r="AW37" i="1" s="1"/>
  <c r="AR37" i="1"/>
  <c r="AP37" i="1"/>
  <c r="AQ37" i="1" s="1"/>
  <c r="AS37" i="1" s="1"/>
  <c r="AV36" i="1" a="1"/>
  <c r="AV36" i="1"/>
  <c r="AU36" i="1" a="1"/>
  <c r="AU36" i="1"/>
  <c r="AT36" i="1"/>
  <c r="AW36" i="1" s="1"/>
  <c r="AR36" i="1"/>
  <c r="AP36" i="1"/>
  <c r="AQ36" i="1" s="1"/>
  <c r="AS36" i="1" s="1"/>
  <c r="AV35" i="1" a="1"/>
  <c r="AV35" i="1"/>
  <c r="AU35" i="1" a="1"/>
  <c r="AU35" i="1"/>
  <c r="AT35" i="1"/>
  <c r="AW35" i="1" s="1"/>
  <c r="AR35" i="1"/>
  <c r="AP35" i="1"/>
  <c r="AQ35" i="1" s="1"/>
  <c r="AS35" i="1" s="1"/>
  <c r="AV34" i="1" a="1"/>
  <c r="AV34" i="1" s="1"/>
  <c r="AU34" i="1" a="1"/>
  <c r="AU34" i="1"/>
  <c r="AT34" i="1"/>
  <c r="AW34" i="1" s="1"/>
  <c r="AR34" i="1"/>
  <c r="AP34" i="1"/>
  <c r="AQ34" i="1" s="1"/>
  <c r="AS34" i="1" s="1"/>
  <c r="AV33" i="1" a="1"/>
  <c r="AV33" i="1"/>
  <c r="AU33" i="1" a="1"/>
  <c r="AU33" i="1"/>
  <c r="AT33" i="1"/>
  <c r="AW33" i="1" s="1"/>
  <c r="AR33" i="1"/>
  <c r="AP33" i="1"/>
  <c r="AQ33" i="1" s="1"/>
  <c r="AS33" i="1" s="1"/>
  <c r="AV32" i="1" a="1"/>
  <c r="AV32" i="1"/>
  <c r="AU32" i="1" a="1"/>
  <c r="AU32" i="1"/>
  <c r="AT32" i="1"/>
  <c r="AW32" i="1" s="1"/>
  <c r="AR32" i="1"/>
  <c r="AP32" i="1"/>
  <c r="AQ32" i="1" s="1"/>
  <c r="AS32" i="1" s="1"/>
  <c r="AV31" i="1" a="1"/>
  <c r="AV31" i="1"/>
  <c r="AU31" i="1" a="1"/>
  <c r="AU31" i="1"/>
  <c r="AT31" i="1"/>
  <c r="AW31" i="1" s="1"/>
  <c r="AR31" i="1"/>
  <c r="AP31" i="1"/>
  <c r="AQ31" i="1" s="1"/>
  <c r="AS31" i="1" s="1"/>
  <c r="AV30" i="1" a="1"/>
  <c r="AV30" i="1"/>
  <c r="AU30" i="1" a="1"/>
  <c r="AU30" i="1"/>
  <c r="AT30" i="1"/>
  <c r="AW30" i="1" s="1"/>
  <c r="AR30" i="1"/>
  <c r="AP30" i="1"/>
  <c r="AQ30" i="1" s="1"/>
  <c r="AS30" i="1" s="1"/>
  <c r="AV29" i="1" a="1"/>
  <c r="AV29" i="1"/>
  <c r="AU29" i="1" a="1"/>
  <c r="AU29" i="1"/>
  <c r="AT29" i="1"/>
  <c r="AW29" i="1" s="1"/>
  <c r="AR29" i="1"/>
  <c r="AP29" i="1"/>
  <c r="AQ29" i="1" s="1"/>
  <c r="AS29" i="1" s="1"/>
  <c r="AV28" i="1" a="1"/>
  <c r="AV28" i="1"/>
  <c r="AU28" i="1" a="1"/>
  <c r="AU28" i="1"/>
  <c r="AT28" i="1"/>
  <c r="AW28" i="1" s="1"/>
  <c r="AR28" i="1"/>
  <c r="AP28" i="1"/>
  <c r="AQ28" i="1" s="1"/>
  <c r="AS28" i="1" s="1"/>
  <c r="AV27" i="1" a="1"/>
  <c r="AV27" i="1"/>
  <c r="AU27" i="1" a="1"/>
  <c r="AU27" i="1"/>
  <c r="AT27" i="1"/>
  <c r="AW27" i="1" s="1"/>
  <c r="AR27" i="1"/>
  <c r="AP27" i="1"/>
  <c r="AQ27" i="1" s="1"/>
  <c r="AS27" i="1" s="1"/>
  <c r="AV26" i="1" a="1"/>
  <c r="AV26" i="1"/>
  <c r="AU26" i="1" a="1"/>
  <c r="AU26" i="1"/>
  <c r="AT26" i="1"/>
  <c r="AW26" i="1" s="1"/>
  <c r="AR26" i="1"/>
  <c r="AP26" i="1"/>
  <c r="AQ26" i="1" s="1"/>
  <c r="AS26" i="1" s="1"/>
  <c r="AV25" i="1" a="1"/>
  <c r="AV25" i="1"/>
  <c r="AU25" i="1" a="1"/>
  <c r="AU25" i="1"/>
  <c r="AT25" i="1"/>
  <c r="AW25" i="1" s="1"/>
  <c r="AR25" i="1"/>
  <c r="AP25" i="1"/>
  <c r="AQ25" i="1" s="1"/>
  <c r="AS25" i="1" s="1"/>
  <c r="AV24" i="1" a="1"/>
  <c r="AV24" i="1"/>
  <c r="AU24" i="1" a="1"/>
  <c r="AU24" i="1"/>
  <c r="AT24" i="1"/>
  <c r="AW24" i="1" s="1"/>
  <c r="AR24" i="1"/>
  <c r="AP24" i="1"/>
  <c r="AQ24" i="1" s="1"/>
  <c r="AS24" i="1" s="1"/>
  <c r="AV23" i="1" a="1"/>
  <c r="AV23" i="1"/>
  <c r="AU23" i="1" a="1"/>
  <c r="AU23" i="1"/>
  <c r="AT23" i="1"/>
  <c r="AW23" i="1" s="1"/>
  <c r="AR23" i="1"/>
  <c r="AP23" i="1"/>
  <c r="AQ23" i="1" s="1"/>
  <c r="AS23" i="1" s="1"/>
  <c r="AV22" i="1" a="1"/>
  <c r="AV22" i="1"/>
  <c r="AU22" i="1" a="1"/>
  <c r="AU22" i="1"/>
  <c r="AT22" i="1"/>
  <c r="AW22" i="1" s="1"/>
  <c r="AR22" i="1"/>
  <c r="AP22" i="1"/>
  <c r="AQ22" i="1" s="1"/>
  <c r="AS22" i="1" s="1"/>
  <c r="AV21" i="1" a="1"/>
  <c r="AV21" i="1"/>
  <c r="AU21" i="1" a="1"/>
  <c r="AU21" i="1"/>
  <c r="AT21" i="1"/>
  <c r="AW21" i="1" s="1"/>
  <c r="AR21" i="1"/>
  <c r="AP21" i="1"/>
  <c r="AQ21" i="1" s="1"/>
  <c r="AS21" i="1" s="1"/>
  <c r="AV20" i="1" a="1"/>
  <c r="AV20" i="1"/>
  <c r="AU20" i="1" a="1"/>
  <c r="AU20" i="1"/>
  <c r="AT20" i="1"/>
  <c r="AW20" i="1" s="1"/>
  <c r="AR20" i="1"/>
  <c r="AP20" i="1"/>
  <c r="AQ20" i="1" s="1"/>
  <c r="AS20" i="1" s="1"/>
  <c r="AV19" i="1" a="1"/>
  <c r="AV19" i="1"/>
  <c r="AU19" i="1" a="1"/>
  <c r="AU19" i="1"/>
  <c r="AT19" i="1"/>
  <c r="AW19" i="1" s="1"/>
  <c r="AR19" i="1"/>
  <c r="AP19" i="1"/>
  <c r="AQ19" i="1" s="1"/>
  <c r="AS19" i="1" s="1"/>
  <c r="AV18" i="1" a="1"/>
  <c r="AV18" i="1"/>
  <c r="AU18" i="1" a="1"/>
  <c r="AU18" i="1"/>
  <c r="AT18" i="1"/>
  <c r="AW18" i="1" s="1"/>
  <c r="AR18" i="1"/>
  <c r="AP18" i="1"/>
  <c r="AQ18" i="1" s="1"/>
  <c r="AS18" i="1" s="1"/>
  <c r="AV17" i="1" a="1"/>
  <c r="AV17" i="1"/>
  <c r="AU17" i="1" a="1"/>
  <c r="AU17" i="1"/>
  <c r="AT17" i="1"/>
  <c r="AW17" i="1" s="1"/>
  <c r="AR17" i="1"/>
  <c r="AP17" i="1"/>
  <c r="AQ17" i="1" s="1"/>
  <c r="AS17" i="1" s="1"/>
  <c r="AV16" i="1" a="1"/>
  <c r="AV16" i="1"/>
  <c r="AU16" i="1" a="1"/>
  <c r="AU16" i="1"/>
  <c r="AT16" i="1"/>
  <c r="AW16" i="1" s="1"/>
  <c r="AR16" i="1"/>
  <c r="AP16" i="1"/>
  <c r="AQ16" i="1" s="1"/>
  <c r="AS16" i="1" s="1"/>
  <c r="AV15" i="1" a="1"/>
  <c r="AV15" i="1"/>
  <c r="AU15" i="1" a="1"/>
  <c r="AU15" i="1"/>
  <c r="AT15" i="1"/>
  <c r="AW15" i="1" s="1"/>
  <c r="AR15" i="1"/>
  <c r="AP15" i="1"/>
  <c r="AQ15" i="1" s="1"/>
  <c r="AS15" i="1" s="1"/>
  <c r="AV14" i="1" a="1"/>
  <c r="AV14" i="1"/>
  <c r="AU14" i="1" a="1"/>
  <c r="AU14" i="1"/>
  <c r="AT14" i="1"/>
  <c r="AW14" i="1" s="1"/>
  <c r="AR14" i="1"/>
  <c r="AP14" i="1"/>
  <c r="AQ14" i="1" s="1"/>
  <c r="AS14" i="1" s="1"/>
  <c r="AV13" i="1" a="1"/>
  <c r="AV13" i="1"/>
  <c r="AU13" i="1" a="1"/>
  <c r="AU13" i="1"/>
  <c r="AT13" i="1"/>
  <c r="AW13" i="1" s="1"/>
  <c r="AR13" i="1"/>
  <c r="AP13" i="1"/>
  <c r="AQ13" i="1" s="1"/>
  <c r="AS13" i="1" s="1"/>
  <c r="AV12" i="1" a="1"/>
  <c r="AV12" i="1"/>
  <c r="AU12" i="1" a="1"/>
  <c r="AU12" i="1"/>
  <c r="AT12" i="1"/>
  <c r="AW12" i="1" s="1"/>
  <c r="AR12" i="1"/>
  <c r="AP12" i="1"/>
  <c r="AQ12" i="1" s="1"/>
  <c r="AS12" i="1" s="1"/>
  <c r="AV11" i="1" a="1"/>
  <c r="AV11" i="1"/>
  <c r="AU11" i="1" a="1"/>
  <c r="AU11" i="1"/>
  <c r="AT11" i="1"/>
  <c r="AW11" i="1" s="1"/>
  <c r="AR11" i="1"/>
  <c r="AP11" i="1"/>
  <c r="AQ11" i="1" s="1"/>
  <c r="AS11" i="1" s="1"/>
  <c r="AV10" i="1" a="1"/>
  <c r="AV10" i="1"/>
  <c r="AU10" i="1" a="1"/>
  <c r="AU10" i="1"/>
  <c r="AT10" i="1"/>
  <c r="AW10" i="1" s="1"/>
  <c r="AR10" i="1"/>
  <c r="AP10" i="1"/>
  <c r="AQ10" i="1" s="1"/>
  <c r="AS10" i="1" s="1"/>
  <c r="AV9" i="1" a="1"/>
  <c r="AV9" i="1"/>
  <c r="AU9" i="1" a="1"/>
  <c r="AU9" i="1"/>
  <c r="AT9" i="1"/>
  <c r="AW9" i="1" s="1"/>
  <c r="AR9" i="1"/>
  <c r="AP9" i="1"/>
  <c r="AQ9" i="1" s="1"/>
  <c r="AS9" i="1" s="1"/>
  <c r="AV8" i="1" a="1"/>
  <c r="AV8" i="1"/>
  <c r="AU8" i="1" a="1"/>
  <c r="AU8" i="1"/>
  <c r="AT8" i="1"/>
  <c r="AW8" i="1" s="1"/>
  <c r="AR8" i="1"/>
  <c r="AP8" i="1"/>
  <c r="AQ8" i="1" s="1"/>
  <c r="AS8" i="1" s="1"/>
  <c r="AV7" i="1" a="1"/>
  <c r="AV7" i="1"/>
  <c r="AU7" i="1" a="1"/>
  <c r="AU7" i="1"/>
  <c r="AT7" i="1"/>
  <c r="AW7" i="1" s="1"/>
  <c r="AR7" i="1"/>
  <c r="AP7" i="1"/>
  <c r="AQ7" i="1" s="1"/>
  <c r="AS7" i="1" s="1"/>
  <c r="AV6" i="1" a="1"/>
  <c r="AV6" i="1"/>
  <c r="AU6" i="1" a="1"/>
  <c r="AU6" i="1"/>
  <c r="AT6" i="1"/>
  <c r="AW6" i="1" s="1"/>
  <c r="AR6" i="1"/>
  <c r="AP6" i="1"/>
  <c r="AQ6" i="1" s="1"/>
  <c r="AS6" i="1" s="1"/>
  <c r="AV5" i="1" a="1"/>
  <c r="AV5" i="1"/>
  <c r="AU5" i="1" a="1"/>
  <c r="AU5" i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73" i="1" l="1"/>
  <c r="AW128" i="1"/>
  <c r="AW201" i="1"/>
  <c r="AW70" i="1"/>
  <c r="AW98" i="1"/>
  <c r="AW150" i="1"/>
  <c r="AW202" i="1"/>
  <c r="AW60" i="1"/>
  <c r="AW203" i="1"/>
  <c r="AW54" i="1"/>
  <c r="AW134" i="1"/>
  <c r="AW96" i="1"/>
  <c r="AW142" i="1"/>
  <c r="AW168" i="1"/>
  <c r="AW52" i="1"/>
  <c r="AW181" i="1"/>
  <c r="AW62" i="1"/>
  <c r="AW63" i="1"/>
  <c r="AW100" i="1"/>
  <c r="AW143" i="1"/>
  <c r="AW205" i="1"/>
  <c r="AW110" i="1"/>
  <c r="AW133" i="1"/>
  <c r="AW176" i="1"/>
  <c r="AW183" i="1"/>
  <c r="AW207" i="1"/>
  <c r="AW138" i="1"/>
  <c r="AW182" i="1"/>
  <c r="AW180" i="1"/>
  <c r="AW141" i="1"/>
  <c r="AW190" i="1"/>
  <c r="AW58" i="1"/>
  <c r="AW93" i="1"/>
  <c r="AW61" i="1"/>
  <c r="AW56" i="1"/>
  <c r="AW126" i="1"/>
  <c r="AW136" i="1"/>
  <c r="AP2" i="1"/>
  <c r="AW172" i="1"/>
  <c r="AW86" i="1"/>
  <c r="AW188" i="1"/>
  <c r="AS187" i="1"/>
  <c r="AW206" i="1"/>
  <c r="AS65" i="1"/>
  <c r="AS91" i="1"/>
  <c r="AS131" i="1"/>
  <c r="AS171" i="1"/>
</calcChain>
</file>

<file path=xl/sharedStrings.xml><?xml version="1.0" encoding="utf-8"?>
<sst xmlns="http://schemas.openxmlformats.org/spreadsheetml/2006/main" count="3589" uniqueCount="1272">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</sst>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H168" zoomScale="80" zoomScaleNormal="80" workbookViewId="0">
      <selection activeCell="AA211" sqref="AA211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79" width="32.42578125" style="74" customWidth="1"/>
    <col min="180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MIN(K5:K207)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2.4</v>
      </c>
      <c r="Q2" s="89">
        <f t="shared" si="0"/>
        <v>2.2000000000000002</v>
      </c>
      <c r="R2" s="89">
        <f t="shared" si="0"/>
        <v>3</v>
      </c>
      <c r="S2" s="89">
        <f t="shared" si="0"/>
        <v>3</v>
      </c>
      <c r="T2" s="89">
        <f t="shared" si="0"/>
        <v>2.4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>
        <v>27.4</v>
      </c>
      <c r="Q5" s="51">
        <v>27.4</v>
      </c>
      <c r="R5" s="51">
        <v>26.3</v>
      </c>
      <c r="S5" s="51">
        <v>28.2</v>
      </c>
      <c r="T5" s="51">
        <v>26.8</v>
      </c>
      <c r="U5" s="51"/>
      <c r="V5" s="51"/>
      <c r="W5" s="51"/>
      <c r="X5" s="51"/>
      <c r="Y5" s="51"/>
      <c r="Z5" s="111"/>
      <c r="AA5" s="51"/>
      <c r="AB5" s="51"/>
      <c r="AC5" s="116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10</v>
      </c>
      <c r="AQ5" s="89" t="str">
        <f t="shared" ref="AQ5:AQ68" si="2">IF(AP5&gt;14,AVERAGE(K5:AO5),"")</f>
        <v/>
      </c>
      <c r="AR5" s="89">
        <f>IFERROR(VLOOKUP(A5,Climatologia!A:U,9+$E$2,FALSE),"")</f>
        <v>26.01813723632689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26.3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5.1000000000000014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>
        <v>26.4</v>
      </c>
      <c r="Q6" s="51">
        <v>27.8</v>
      </c>
      <c r="R6" s="51">
        <v>28.4</v>
      </c>
      <c r="S6" s="51">
        <v>28.8</v>
      </c>
      <c r="T6" s="51">
        <v>28.6</v>
      </c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10</v>
      </c>
      <c r="AQ6" s="89" t="str">
        <f t="shared" si="2"/>
        <v/>
      </c>
      <c r="AR6" s="89">
        <f>IFERROR(VLOOKUP(A6,Climatologia!A:U,9+$E$2,FALSE),"")</f>
        <v>25.709567576944131</v>
      </c>
      <c r="AS6" s="89" t="str">
        <f t="shared" si="3"/>
        <v/>
      </c>
      <c r="AT6" s="90">
        <f t="shared" si="4"/>
        <v>26.1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4.1000000000000014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>
        <v>26.2</v>
      </c>
      <c r="Q7" s="51">
        <v>26.2</v>
      </c>
      <c r="R7" s="51">
        <v>26.9</v>
      </c>
      <c r="S7" s="51">
        <v>27</v>
      </c>
      <c r="T7" s="51">
        <v>27.8</v>
      </c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10</v>
      </c>
      <c r="AQ7" s="89" t="str">
        <f t="shared" si="2"/>
        <v/>
      </c>
      <c r="AR7" s="89">
        <f>IFERROR(VLOOKUP(A7,Climatologia!A:U,9+$E$2,FALSE),"")</f>
        <v>24.686654351395731</v>
      </c>
      <c r="AS7" s="89" t="str">
        <f t="shared" si="3"/>
        <v/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>
        <v>27.7</v>
      </c>
      <c r="Q8" s="51">
        <v>25.4</v>
      </c>
      <c r="R8" s="51">
        <v>28.3</v>
      </c>
      <c r="S8" s="51">
        <v>27.5</v>
      </c>
      <c r="T8" s="51">
        <v>28.1</v>
      </c>
      <c r="U8" s="51"/>
      <c r="V8" s="51"/>
      <c r="W8" s="51"/>
      <c r="X8" s="51"/>
      <c r="Y8" s="51"/>
      <c r="Z8" s="111"/>
      <c r="AA8" s="116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10</v>
      </c>
      <c r="AQ8" s="89" t="str">
        <f t="shared" si="2"/>
        <v/>
      </c>
      <c r="AR8" s="89">
        <f>IFERROR(VLOOKUP(A8,Climatologia!A:U,9+$E$2,FALSE),"")</f>
        <v>25.822663111099491</v>
      </c>
      <c r="AS8" s="89" t="str">
        <f t="shared" si="3"/>
        <v/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3.7999999999999972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>
        <v>26.3</v>
      </c>
      <c r="Q9" s="51">
        <v>25.7</v>
      </c>
      <c r="R9" s="51">
        <v>26.7</v>
      </c>
      <c r="S9" s="51">
        <v>27.9</v>
      </c>
      <c r="T9" s="51">
        <v>26.6</v>
      </c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10</v>
      </c>
      <c r="AQ9" s="89" t="str">
        <f t="shared" si="2"/>
        <v/>
      </c>
      <c r="AR9" s="89">
        <f>IFERROR(VLOOKUP(A9,Climatologia!A:U,9+$E$2,FALSE),"")</f>
        <v>24.328670251361899</v>
      </c>
      <c r="AS9" s="89" t="str">
        <f t="shared" si="3"/>
        <v/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>
        <v>28.9</v>
      </c>
      <c r="Q10" s="51">
        <v>29.3</v>
      </c>
      <c r="R10" s="51">
        <v>28.6</v>
      </c>
      <c r="S10" s="51">
        <v>28.4</v>
      </c>
      <c r="T10" s="51">
        <v>28.5</v>
      </c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10</v>
      </c>
      <c r="AQ10" s="89" t="str">
        <f t="shared" si="2"/>
        <v/>
      </c>
      <c r="AR10" s="89">
        <f>IFERROR(VLOOKUP(A10,Climatologia!A:U,9+$E$2,FALSE),"")</f>
        <v>24.807709685406738</v>
      </c>
      <c r="AS10" s="89" t="str">
        <f t="shared" si="3"/>
        <v/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6.5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>
        <v>26.6</v>
      </c>
      <c r="Q11" s="51">
        <v>26.6</v>
      </c>
      <c r="R11" s="51">
        <v>26.8</v>
      </c>
      <c r="S11" s="51">
        <v>29.2</v>
      </c>
      <c r="T11" s="51">
        <v>27</v>
      </c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10</v>
      </c>
      <c r="AQ11" s="89" t="str">
        <f t="shared" si="2"/>
        <v/>
      </c>
      <c r="AR11" s="89">
        <f>IFERROR(VLOOKUP(A11,Climatologia!A:U,9+$E$2,FALSE),"")</f>
        <v>23.800122349539521</v>
      </c>
      <c r="AS11" s="89" t="str">
        <f t="shared" si="3"/>
        <v/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>
        <v>26.3</v>
      </c>
      <c r="Q12" s="51">
        <v>24.4</v>
      </c>
      <c r="R12" s="51">
        <v>25.6</v>
      </c>
      <c r="S12" s="51">
        <v>26.8</v>
      </c>
      <c r="T12" s="51">
        <v>22.7</v>
      </c>
      <c r="U12" s="51"/>
      <c r="V12" s="51"/>
      <c r="W12" s="51"/>
      <c r="X12" s="51"/>
      <c r="Y12" s="51"/>
      <c r="Z12" s="111"/>
      <c r="AA12" s="116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10</v>
      </c>
      <c r="AQ12" s="89" t="str">
        <f t="shared" si="2"/>
        <v/>
      </c>
      <c r="AR12" s="89">
        <f>IFERROR(VLOOKUP(A12,Climatologia!A:U,9+$E$2,FALSE),"")</f>
        <v>23.168302150308641</v>
      </c>
      <c r="AS12" s="89" t="str">
        <f t="shared" si="3"/>
        <v/>
      </c>
      <c r="AT12" s="90">
        <f t="shared" si="4"/>
        <v>22.7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2.8999999999999986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>
        <v>26</v>
      </c>
      <c r="Q13" s="51">
        <v>26</v>
      </c>
      <c r="R13" s="51">
        <v>24.6</v>
      </c>
      <c r="S13" s="51">
        <v>25.8</v>
      </c>
      <c r="T13" s="51">
        <v>25.6</v>
      </c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10</v>
      </c>
      <c r="AQ13" s="89" t="str">
        <f t="shared" si="2"/>
        <v/>
      </c>
      <c r="AR13" s="89">
        <f>IFERROR(VLOOKUP(A13,Climatologia!A:U,9+$E$2,FALSE),"")</f>
        <v>23.052718375560229</v>
      </c>
      <c r="AS13" s="89" t="str">
        <f t="shared" si="3"/>
        <v/>
      </c>
      <c r="AT13" s="90">
        <f t="shared" si="4"/>
        <v>24.2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4.1999999999999993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>
        <v>20</v>
      </c>
      <c r="Q14" s="51">
        <v>20</v>
      </c>
      <c r="R14" s="51">
        <v>19.8</v>
      </c>
      <c r="S14" s="51">
        <v>20.5</v>
      </c>
      <c r="T14" s="51">
        <v>20.100000000000001</v>
      </c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10</v>
      </c>
      <c r="AQ14" s="89" t="str">
        <f t="shared" si="2"/>
        <v/>
      </c>
      <c r="AR14" s="89">
        <f>IFERROR(VLOOKUP(A14,Climatologia!A:U,9+$E$2,FALSE),"")</f>
        <v>18.375069904788941</v>
      </c>
      <c r="AS14" s="89" t="str">
        <f t="shared" si="3"/>
        <v/>
      </c>
      <c r="AT14" s="90">
        <f t="shared" si="4"/>
        <v>18.8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3.2000000000000011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>
        <v>27.8</v>
      </c>
      <c r="Q15" s="51">
        <v>24.6</v>
      </c>
      <c r="R15" s="51">
        <v>26.2</v>
      </c>
      <c r="S15" s="51">
        <v>27</v>
      </c>
      <c r="T15" s="51">
        <v>25.6</v>
      </c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10</v>
      </c>
      <c r="AQ15" s="89" t="str">
        <f t="shared" si="2"/>
        <v/>
      </c>
      <c r="AR15" s="89">
        <f>IFERROR(VLOOKUP(A15,Climatologia!A:U,9+$E$2,FALSE),"")</f>
        <v>23.532452107279699</v>
      </c>
      <c r="AS15" s="89" t="str">
        <f t="shared" si="3"/>
        <v/>
      </c>
      <c r="AT15" s="90">
        <f t="shared" si="4"/>
        <v>23.8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5.1999999999999993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>
        <v>24.7</v>
      </c>
      <c r="Q16" s="51">
        <v>25.5</v>
      </c>
      <c r="R16" s="51">
        <v>25.4</v>
      </c>
      <c r="S16" s="51">
        <v>26.2</v>
      </c>
      <c r="T16" s="51">
        <v>24.2</v>
      </c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10</v>
      </c>
      <c r="AQ16" s="89" t="str">
        <f t="shared" si="2"/>
        <v/>
      </c>
      <c r="AR16" s="89">
        <f>IFERROR(VLOOKUP(A16,Climatologia!A:U,9+$E$2,FALSE),"")</f>
        <v>23.20104269293925</v>
      </c>
      <c r="AS16" s="89" t="str">
        <f t="shared" si="3"/>
        <v/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>
        <v>18.7</v>
      </c>
      <c r="Q17" s="51">
        <v>18.7</v>
      </c>
      <c r="R17" s="51">
        <v>18.3</v>
      </c>
      <c r="S17" s="51">
        <v>19.2</v>
      </c>
      <c r="T17" s="51">
        <v>18.399999999999999</v>
      </c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10</v>
      </c>
      <c r="AQ17" s="89" t="str">
        <f t="shared" si="2"/>
        <v/>
      </c>
      <c r="AR17" s="89">
        <f>IFERROR(VLOOKUP(A17,Climatologia!A:U,9+$E$2,FALSE),"")</f>
        <v>17.481532567049811</v>
      </c>
      <c r="AS17" s="89" t="str">
        <f t="shared" si="3"/>
        <v/>
      </c>
      <c r="AT17" s="90">
        <f t="shared" si="4"/>
        <v>18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>
        <v>10.6</v>
      </c>
      <c r="Q18" s="51">
        <v>10.3</v>
      </c>
      <c r="R18" s="51">
        <v>13</v>
      </c>
      <c r="S18" s="51">
        <v>10.8</v>
      </c>
      <c r="T18" s="51">
        <v>13.2</v>
      </c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10</v>
      </c>
      <c r="AQ18" s="89" t="str">
        <f t="shared" si="2"/>
        <v/>
      </c>
      <c r="AR18" s="89">
        <f>IFERROR(VLOOKUP(A18,Climatologia!A:U,9+$E$2,FALSE),"")</f>
        <v>12.499881093935789</v>
      </c>
      <c r="AS18" s="89" t="str">
        <f t="shared" si="3"/>
        <v/>
      </c>
      <c r="AT18" s="90">
        <f t="shared" si="4"/>
        <v>10.3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2.9000000000000004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>
        <v>19.2</v>
      </c>
      <c r="Q19" s="51">
        <v>18</v>
      </c>
      <c r="R19" s="51">
        <v>17.5</v>
      </c>
      <c r="S19" s="51">
        <v>18.399999999999999</v>
      </c>
      <c r="T19" s="51">
        <v>19.100000000000001</v>
      </c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10</v>
      </c>
      <c r="AQ19" s="89" t="str">
        <f t="shared" si="2"/>
        <v/>
      </c>
      <c r="AR19" s="89">
        <f>IFERROR(VLOOKUP(A19,Climatologia!A:U,9+$E$2,FALSE),"")</f>
        <v>17.517363619777409</v>
      </c>
      <c r="AS19" s="89" t="str">
        <f t="shared" si="3"/>
        <v/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>
        <v>18.7</v>
      </c>
      <c r="Q20" s="51">
        <v>16.7</v>
      </c>
      <c r="R20" s="51">
        <v>15.4</v>
      </c>
      <c r="S20" s="51">
        <v>16.600000000000001</v>
      </c>
      <c r="T20" s="51">
        <v>17.3</v>
      </c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10</v>
      </c>
      <c r="AQ20" s="89" t="str">
        <f t="shared" si="2"/>
        <v/>
      </c>
      <c r="AR20" s="89">
        <f>IFERROR(VLOOKUP(A20,Climatologia!A:U,9+$E$2,FALSE),"")</f>
        <v>16.802106227106218</v>
      </c>
      <c r="AS20" s="89" t="str">
        <f t="shared" si="3"/>
        <v/>
      </c>
      <c r="AT20" s="90">
        <f t="shared" si="4"/>
        <v>15.4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2.8000000000000007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>
        <v>21.9</v>
      </c>
      <c r="Q21" s="51">
        <v>20.8</v>
      </c>
      <c r="R21" s="51">
        <v>21.4</v>
      </c>
      <c r="S21" s="51">
        <v>22</v>
      </c>
      <c r="T21" s="51">
        <v>21.7</v>
      </c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10</v>
      </c>
      <c r="AQ21" s="89" t="str">
        <f t="shared" si="2"/>
        <v/>
      </c>
      <c r="AR21" s="89">
        <f>IFERROR(VLOOKUP(A21,Climatologia!A:U,9+$E$2,FALSE),"")</f>
        <v>19.232081736909329</v>
      </c>
      <c r="AS21" s="89" t="str">
        <f t="shared" si="3"/>
        <v/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>
        <v>7.6</v>
      </c>
      <c r="Q22" s="51">
        <v>7.7</v>
      </c>
      <c r="R22" s="51">
        <v>7.4</v>
      </c>
      <c r="S22" s="51">
        <v>12.1</v>
      </c>
      <c r="T22" s="51">
        <v>7.8</v>
      </c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10</v>
      </c>
      <c r="AQ22" s="89" t="str">
        <f t="shared" si="2"/>
        <v/>
      </c>
      <c r="AR22" s="89">
        <f>IFERROR(VLOOKUP(A22,Climatologia!A:U,9+$E$2,FALSE),"")</f>
        <v>7.7788019451812538</v>
      </c>
      <c r="AS22" s="89" t="str">
        <f t="shared" si="3"/>
        <v/>
      </c>
      <c r="AT22" s="90">
        <f t="shared" si="4"/>
        <v>7.4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7.6000000000000005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>
        <v>19.3</v>
      </c>
      <c r="Q23" s="51">
        <v>20.399999999999999</v>
      </c>
      <c r="R23" s="51">
        <v>17.399999999999999</v>
      </c>
      <c r="S23" s="51">
        <v>18.3</v>
      </c>
      <c r="T23" s="51">
        <v>18.399999999999999</v>
      </c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10</v>
      </c>
      <c r="AQ23" s="89" t="str">
        <f t="shared" si="2"/>
        <v/>
      </c>
      <c r="AR23" s="89">
        <f>IFERROR(VLOOKUP(A23,Climatologia!A:U,9+$E$2,FALSE),"")</f>
        <v>18.648510848126229</v>
      </c>
      <c r="AS23" s="89" t="str">
        <f t="shared" si="3"/>
        <v/>
      </c>
      <c r="AT23" s="90">
        <f t="shared" si="4"/>
        <v>17.399999999999999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>
        <v>26.6</v>
      </c>
      <c r="Q24" s="51">
        <v>26.8</v>
      </c>
      <c r="R24" s="51">
        <v>23.2</v>
      </c>
      <c r="S24" s="51">
        <v>23</v>
      </c>
      <c r="T24" s="51">
        <v>25</v>
      </c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10</v>
      </c>
      <c r="AQ24" s="89" t="str">
        <f t="shared" si="2"/>
        <v/>
      </c>
      <c r="AR24" s="89">
        <f>IFERROR(VLOOKUP(A24,Climatologia!A:U,9+$E$2,FALSE),"")</f>
        <v>23.155076628352489</v>
      </c>
      <c r="AS24" s="89" t="str">
        <f t="shared" si="3"/>
        <v/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>
        <v>17</v>
      </c>
      <c r="Q25" s="51">
        <v>16.8</v>
      </c>
      <c r="R25" s="51">
        <v>16.5</v>
      </c>
      <c r="S25" s="51">
        <v>17.8</v>
      </c>
      <c r="T25" s="51">
        <v>14.4</v>
      </c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10</v>
      </c>
      <c r="AQ25" s="89" t="str">
        <f t="shared" si="2"/>
        <v/>
      </c>
      <c r="AR25" s="89">
        <f>IFERROR(VLOOKUP(A25,Climatologia!A:U,9+$E$2,FALSE),"")</f>
        <v>14.47676179151804</v>
      </c>
      <c r="AS25" s="89" t="str">
        <f t="shared" si="3"/>
        <v/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>
        <v>2.6</v>
      </c>
      <c r="Q26" s="51">
        <v>5</v>
      </c>
      <c r="R26" s="51">
        <v>4</v>
      </c>
      <c r="S26" s="51">
        <v>7.8</v>
      </c>
      <c r="T26" s="51">
        <v>7.2</v>
      </c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10</v>
      </c>
      <c r="AQ26" s="89" t="str">
        <f t="shared" si="2"/>
        <v/>
      </c>
      <c r="AR26" s="89">
        <f>IFERROR(VLOOKUP(A26,Climatologia!A:U,9+$E$2,FALSE),"")</f>
        <v>4.5924256837098687</v>
      </c>
      <c r="AS26" s="89" t="str">
        <f t="shared" si="3"/>
        <v/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>
        <v>23.6</v>
      </c>
      <c r="Q27" s="51">
        <v>24.1</v>
      </c>
      <c r="R27" s="51">
        <v>24.8</v>
      </c>
      <c r="S27" s="51">
        <v>25.7</v>
      </c>
      <c r="T27" s="51">
        <v>25.2</v>
      </c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10</v>
      </c>
      <c r="AQ27" s="89" t="str">
        <f t="shared" si="2"/>
        <v/>
      </c>
      <c r="AR27" s="89">
        <f>IFERROR(VLOOKUP(A27,Climatologia!A:U,9+$E$2,FALSE),"")</f>
        <v>23.200678160919541</v>
      </c>
      <c r="AS27" s="89" t="str">
        <f t="shared" si="3"/>
        <v/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3.4000000000000021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>
        <v>24.3</v>
      </c>
      <c r="Q28" s="51">
        <v>21.4</v>
      </c>
      <c r="R28" s="51">
        <v>22.8</v>
      </c>
      <c r="S28" s="51">
        <v>23.7</v>
      </c>
      <c r="T28" s="51">
        <v>24.5</v>
      </c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10</v>
      </c>
      <c r="AQ28" s="89" t="str">
        <f t="shared" si="2"/>
        <v/>
      </c>
      <c r="AR28" s="89">
        <f>IFERROR(VLOOKUP(A28,Climatologia!A:U,9+$E$2,FALSE),"")</f>
        <v>22.923426719914591</v>
      </c>
      <c r="AS28" s="89" t="str">
        <f t="shared" si="3"/>
        <v/>
      </c>
      <c r="AT28" s="90">
        <f t="shared" si="4"/>
        <v>21.4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2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>
        <v>24.8</v>
      </c>
      <c r="Q29" s="51">
        <v>25</v>
      </c>
      <c r="R29" s="51">
        <v>25.4</v>
      </c>
      <c r="S29" s="51">
        <v>25.2</v>
      </c>
      <c r="T29" s="51">
        <v>25.6</v>
      </c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10</v>
      </c>
      <c r="AQ29" s="89" t="str">
        <f t="shared" si="2"/>
        <v/>
      </c>
      <c r="AR29" s="89">
        <f>IFERROR(VLOOKUP(A29,Climatologia!A:U,9+$E$2,FALSE),"")</f>
        <v>23.916765755053511</v>
      </c>
      <c r="AS29" s="89" t="str">
        <f t="shared" si="3"/>
        <v/>
      </c>
      <c r="AT29" s="90">
        <f t="shared" si="4"/>
        <v>24.8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5.3000000000000007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>
        <v>21.8</v>
      </c>
      <c r="Q30" s="51">
        <v>21.4</v>
      </c>
      <c r="R30" s="51">
        <v>21.3</v>
      </c>
      <c r="S30" s="51">
        <v>22.8</v>
      </c>
      <c r="T30" s="51">
        <v>21.3</v>
      </c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10</v>
      </c>
      <c r="AQ30" s="89" t="str">
        <f t="shared" si="2"/>
        <v/>
      </c>
      <c r="AR30" s="89">
        <f>IFERROR(VLOOKUP(A30,Climatologia!A:U,9+$E$2,FALSE),"")</f>
        <v>20.68482758620689</v>
      </c>
      <c r="AS30" s="89" t="str">
        <f t="shared" si="3"/>
        <v/>
      </c>
      <c r="AT30" s="90">
        <f t="shared" si="4"/>
        <v>20.8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>
        <v>22.5</v>
      </c>
      <c r="Q31" s="108">
        <v>24</v>
      </c>
      <c r="R31" s="108">
        <v>21.6</v>
      </c>
      <c r="S31" s="108">
        <v>22.4</v>
      </c>
      <c r="T31" s="108">
        <v>23.2</v>
      </c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10</v>
      </c>
      <c r="AQ31" s="89" t="str">
        <f t="shared" si="2"/>
        <v/>
      </c>
      <c r="AR31" s="89">
        <f>IFERROR(VLOOKUP(A31,Climatologia!A:U,9+$E$2,FALSE),"")</f>
        <v>22.350396614879379</v>
      </c>
      <c r="AS31" s="89" t="str">
        <f t="shared" si="3"/>
        <v/>
      </c>
      <c r="AT31" s="90">
        <f t="shared" si="4"/>
        <v>21.6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5.2000000000000028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>
        <v>13.8</v>
      </c>
      <c r="Q32" s="51">
        <v>14</v>
      </c>
      <c r="R32" s="51">
        <v>14.2</v>
      </c>
      <c r="S32" s="51">
        <v>13</v>
      </c>
      <c r="T32" s="51">
        <v>13.4</v>
      </c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10</v>
      </c>
      <c r="AQ32" s="89" t="str">
        <f t="shared" si="2"/>
        <v/>
      </c>
      <c r="AR32" s="89">
        <f>IFERROR(VLOOKUP(A32,Climatologia!A:U,9+$E$2,FALSE),"")</f>
        <v>13.518105175598549</v>
      </c>
      <c r="AS32" s="89" t="str">
        <f t="shared" si="3"/>
        <v/>
      </c>
      <c r="AT32" s="90">
        <f t="shared" si="4"/>
        <v>13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4.1999999999999993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 t="s">
        <v>1271</v>
      </c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>
        <v>15</v>
      </c>
      <c r="Q34" s="51">
        <v>14.8</v>
      </c>
      <c r="R34" s="51">
        <v>15.8</v>
      </c>
      <c r="S34" s="51">
        <v>15.8</v>
      </c>
      <c r="T34" s="51">
        <v>15.6</v>
      </c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10</v>
      </c>
      <c r="AQ34" s="89" t="str">
        <f t="shared" si="2"/>
        <v/>
      </c>
      <c r="AR34" s="89">
        <f>IFERROR(VLOOKUP(A34,Climatologia!A:U,9+$E$2,FALSE),"")</f>
        <v>15.0297619047619</v>
      </c>
      <c r="AS34" s="89" t="str">
        <f t="shared" si="3"/>
        <v/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>
        <v>15.2</v>
      </c>
      <c r="Q35" s="51">
        <v>14.8</v>
      </c>
      <c r="R35" s="51">
        <v>15</v>
      </c>
      <c r="S35" s="51">
        <v>15.6</v>
      </c>
      <c r="T35" s="51">
        <v>14.8</v>
      </c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10</v>
      </c>
      <c r="AQ35" s="89" t="str">
        <f t="shared" si="2"/>
        <v/>
      </c>
      <c r="AR35" s="89">
        <f>IFERROR(VLOOKUP(A35,Climatologia!A:U,9+$E$2,FALSE),"")</f>
        <v>13.05107074438971</v>
      </c>
      <c r="AS35" s="89" t="str">
        <f t="shared" si="3"/>
        <v/>
      </c>
      <c r="AT35" s="90">
        <f t="shared" si="4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5.8000000000000007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>
        <v>17.399999999999999</v>
      </c>
      <c r="Q36" s="51">
        <v>17.399999999999999</v>
      </c>
      <c r="R36" s="120"/>
      <c r="S36" s="51">
        <v>17.2</v>
      </c>
      <c r="T36" s="51">
        <v>19.600000000000001</v>
      </c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9</v>
      </c>
      <c r="AQ36" s="89" t="str">
        <f t="shared" si="2"/>
        <v/>
      </c>
      <c r="AR36" s="89">
        <f>IFERROR(VLOOKUP(A36,Climatologia!A:U,9+$E$2,FALSE),"")</f>
        <v>19.576900580794259</v>
      </c>
      <c r="AS36" s="89" t="str">
        <f t="shared" si="3"/>
        <v/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>
        <v>10.199999999999999</v>
      </c>
      <c r="Q37" s="51">
        <v>8.4</v>
      </c>
      <c r="R37" s="51">
        <v>8.8000000000000007</v>
      </c>
      <c r="S37" s="51">
        <v>11.6</v>
      </c>
      <c r="T37" s="51">
        <v>8.4</v>
      </c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10</v>
      </c>
      <c r="AQ37" s="89" t="str">
        <f t="shared" si="2"/>
        <v/>
      </c>
      <c r="AR37" s="89">
        <f>IFERROR(VLOOKUP(A37,Climatologia!A:U,9+$E$2,FALSE),"")</f>
        <v>9.8631470471660734</v>
      </c>
      <c r="AS37" s="89" t="str">
        <f t="shared" si="3"/>
        <v/>
      </c>
      <c r="AT37" s="90">
        <f t="shared" si="4"/>
        <v>8.4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>
        <v>17.8</v>
      </c>
      <c r="Q38" s="51">
        <v>17.399999999999999</v>
      </c>
      <c r="R38" s="51">
        <v>17</v>
      </c>
      <c r="S38" s="51">
        <v>18</v>
      </c>
      <c r="T38" s="51">
        <v>17.600000000000001</v>
      </c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10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>
        <v>19.2</v>
      </c>
      <c r="Q39" s="51">
        <v>18.8</v>
      </c>
      <c r="R39" s="51">
        <v>19.399999999999999</v>
      </c>
      <c r="S39" s="51">
        <v>19.8</v>
      </c>
      <c r="T39" s="51">
        <v>18.600000000000001</v>
      </c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10</v>
      </c>
      <c r="AQ39" s="89" t="str">
        <f t="shared" si="2"/>
        <v/>
      </c>
      <c r="AR39" s="89">
        <f>IFERROR(VLOOKUP(A39,Climatologia!A:U,9+$E$2,FALSE),"")</f>
        <v>17.370087470001259</v>
      </c>
      <c r="AS39" s="89" t="str">
        <f t="shared" si="3"/>
        <v/>
      </c>
      <c r="AT39" s="90">
        <f t="shared" si="4"/>
        <v>18.2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5.1999999999999993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>
        <v>13</v>
      </c>
      <c r="Q40" s="51">
        <v>14</v>
      </c>
      <c r="R40" s="51">
        <v>13</v>
      </c>
      <c r="S40" s="51">
        <v>13.8</v>
      </c>
      <c r="T40" s="51">
        <v>14.2</v>
      </c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10</v>
      </c>
      <c r="AQ40" s="89" t="str">
        <f t="shared" si="2"/>
        <v/>
      </c>
      <c r="AR40" s="89">
        <f>IFERROR(VLOOKUP(A40,Climatologia!A:U,9+$E$2,FALSE),"")</f>
        <v>13.01098388839768</v>
      </c>
      <c r="AS40" s="89" t="str">
        <f t="shared" si="3"/>
        <v/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3.8000000000000007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>
        <v>25</v>
      </c>
      <c r="Q41" s="51">
        <v>22.4</v>
      </c>
      <c r="R41" s="51">
        <v>25.6</v>
      </c>
      <c r="S41" s="51">
        <v>26.8</v>
      </c>
      <c r="T41" s="51">
        <v>24.8</v>
      </c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10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4.7999999999999972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>
        <v>27.2</v>
      </c>
      <c r="Q42" s="51">
        <v>24.6</v>
      </c>
      <c r="R42" s="51">
        <v>26.6</v>
      </c>
      <c r="S42" s="51">
        <v>27</v>
      </c>
      <c r="T42" s="51">
        <v>24.2</v>
      </c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10</v>
      </c>
      <c r="AQ42" s="89" t="str">
        <f t="shared" si="2"/>
        <v/>
      </c>
      <c r="AR42" s="89">
        <f>IFERROR(VLOOKUP(A42,Climatologia!A:U,9+$E$2,FALSE),"")</f>
        <v>24.10281124033644</v>
      </c>
      <c r="AS42" s="89" t="str">
        <f t="shared" si="3"/>
        <v/>
      </c>
      <c r="AT42" s="90">
        <f t="shared" si="4"/>
        <v>24.2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>
        <v>26</v>
      </c>
      <c r="Q43" s="51">
        <v>24.6</v>
      </c>
      <c r="R43" s="51">
        <v>24.6</v>
      </c>
      <c r="S43" s="51">
        <v>26</v>
      </c>
      <c r="T43" s="51">
        <v>20</v>
      </c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10</v>
      </c>
      <c r="AQ43" s="89" t="str">
        <f t="shared" si="2"/>
        <v/>
      </c>
      <c r="AR43" s="89">
        <f>IFERROR(VLOOKUP(A43,Climatologia!A:U,9+$E$2,FALSE),"")</f>
        <v>23.744525938089151</v>
      </c>
      <c r="AS43" s="89" t="str">
        <f t="shared" si="3"/>
        <v/>
      </c>
      <c r="AT43" s="90">
        <f t="shared" si="4"/>
        <v>20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1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>
        <v>25.4</v>
      </c>
      <c r="Q44" s="51">
        <v>24.2</v>
      </c>
      <c r="R44" s="51">
        <v>25</v>
      </c>
      <c r="S44" s="51">
        <v>25.4</v>
      </c>
      <c r="T44" s="51">
        <v>23.8</v>
      </c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10</v>
      </c>
      <c r="AQ44" s="89" t="str">
        <f t="shared" si="2"/>
        <v/>
      </c>
      <c r="AR44" s="89">
        <f>IFERROR(VLOOKUP(A44,Climatologia!A:U,9+$E$2,FALSE),"")</f>
        <v>22.988656597627109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 t="s">
        <v>1271</v>
      </c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 t="s">
        <v>1271</v>
      </c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>
        <v>26.4</v>
      </c>
      <c r="Q47" s="51">
        <v>25.6</v>
      </c>
      <c r="R47" s="51">
        <v>25.4</v>
      </c>
      <c r="S47" s="51">
        <v>25.4</v>
      </c>
      <c r="T47" s="51">
        <v>26.8</v>
      </c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10</v>
      </c>
      <c r="AQ47" s="89" t="str">
        <f t="shared" si="2"/>
        <v/>
      </c>
      <c r="AR47" s="89">
        <f>IFERROR(VLOOKUP(A47,Climatologia!A:U,9+$E$2,FALSE),"")</f>
        <v>22.692015599343179</v>
      </c>
      <c r="AS47" s="89" t="str">
        <f t="shared" si="3"/>
        <v/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 t="s">
        <v>1271</v>
      </c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 t="s">
        <v>1271</v>
      </c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 t="s">
        <v>1271</v>
      </c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>
        <v>26.4</v>
      </c>
      <c r="Q51" s="51">
        <v>24.8</v>
      </c>
      <c r="R51" s="51">
        <v>25.8</v>
      </c>
      <c r="S51" s="51">
        <v>25.6</v>
      </c>
      <c r="T51" s="51">
        <v>24.8</v>
      </c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10</v>
      </c>
      <c r="AQ51" s="89" t="str">
        <f t="shared" si="2"/>
        <v/>
      </c>
      <c r="AR51" s="89">
        <f>IFERROR(VLOOKUP(A51,Climatologia!A:U,9+$E$2,FALSE),"")</f>
        <v>23.050863235049139</v>
      </c>
      <c r="AS51" s="89" t="str">
        <f t="shared" si="3"/>
        <v/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4.4000000000000021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>
        <v>23.8</v>
      </c>
      <c r="Q52" s="51">
        <v>24.6</v>
      </c>
      <c r="R52" s="51">
        <v>24.4</v>
      </c>
      <c r="S52" s="51">
        <v>24.6</v>
      </c>
      <c r="T52" s="51">
        <v>24.8</v>
      </c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10</v>
      </c>
      <c r="AQ52" s="89" t="str">
        <f t="shared" si="2"/>
        <v/>
      </c>
      <c r="AR52" s="89">
        <f>IFERROR(VLOOKUP(A52,Climatologia!A:U,9+$E$2,FALSE),"")</f>
        <v>22.452709359605912</v>
      </c>
      <c r="AS52" s="89" t="str">
        <f t="shared" si="3"/>
        <v/>
      </c>
      <c r="AT52" s="90">
        <f t="shared" si="4"/>
        <v>23.8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5.6000000000000014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>
        <v>25.4</v>
      </c>
      <c r="Q53" s="51">
        <v>23.2</v>
      </c>
      <c r="R53" s="51">
        <v>24.8</v>
      </c>
      <c r="S53" s="51">
        <v>25.4</v>
      </c>
      <c r="T53" s="51">
        <v>26</v>
      </c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10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 t="s">
        <v>1271</v>
      </c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 t="s">
        <v>1271</v>
      </c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 t="s">
        <v>1271</v>
      </c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>
        <v>25</v>
      </c>
      <c r="Q57" s="51">
        <v>24.6</v>
      </c>
      <c r="R57" s="51">
        <v>25.4</v>
      </c>
      <c r="S57" s="51">
        <v>25</v>
      </c>
      <c r="T57" s="51">
        <v>25.4</v>
      </c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10</v>
      </c>
      <c r="AQ57" s="89" t="str">
        <f t="shared" si="2"/>
        <v/>
      </c>
      <c r="AR57" s="89">
        <f>IFERROR(VLOOKUP(A57,Climatologia!A:U,9+$E$2,FALSE),"")</f>
        <v>23.7254865927842</v>
      </c>
      <c r="AS57" s="89" t="str">
        <f t="shared" si="3"/>
        <v/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>
        <v>22.2</v>
      </c>
      <c r="P58" s="51">
        <v>21.8</v>
      </c>
      <c r="Q58" s="51">
        <v>22.4</v>
      </c>
      <c r="R58" s="51">
        <v>23.4</v>
      </c>
      <c r="S58" s="51">
        <v>22.6</v>
      </c>
      <c r="T58" s="51" t="s">
        <v>1271</v>
      </c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8</v>
      </c>
      <c r="AQ58" s="89" t="str">
        <f t="shared" si="2"/>
        <v/>
      </c>
      <c r="AR58" s="89">
        <f>IFERROR(VLOOKUP(A58,Climatologia!A:U,9+$E$2,FALSE),"")</f>
        <v>21.37518499513471</v>
      </c>
      <c r="AS58" s="89" t="str">
        <f t="shared" si="3"/>
        <v/>
      </c>
      <c r="AT58" s="90">
        <f t="shared" si="4"/>
        <v>21.8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6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 t="s">
        <v>1271</v>
      </c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>
        <v>20.6</v>
      </c>
      <c r="Q60" s="51">
        <v>22.4</v>
      </c>
      <c r="R60" s="51">
        <v>22.6</v>
      </c>
      <c r="S60" s="51">
        <v>22</v>
      </c>
      <c r="T60" s="51">
        <v>22.8</v>
      </c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10</v>
      </c>
      <c r="AQ60" s="89" t="str">
        <f t="shared" si="2"/>
        <v/>
      </c>
      <c r="AR60" s="89">
        <f>IFERROR(VLOOKUP(A60,Climatologia!A:U,9+$E$2,FALSE),"")</f>
        <v>21.711950830140491</v>
      </c>
      <c r="AS60" s="89" t="str">
        <f t="shared" si="3"/>
        <v/>
      </c>
      <c r="AT60" s="90">
        <f t="shared" si="4"/>
        <v>20.6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3.5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 t="s">
        <v>1271</v>
      </c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 t="s">
        <v>1271</v>
      </c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>
        <v>20.399999999999999</v>
      </c>
      <c r="Q63" s="51">
        <v>21.6</v>
      </c>
      <c r="R63" s="51">
        <v>22</v>
      </c>
      <c r="S63" s="51">
        <v>23.8</v>
      </c>
      <c r="T63" s="51">
        <v>23.6</v>
      </c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10</v>
      </c>
      <c r="AQ63" s="89" t="str">
        <f t="shared" si="2"/>
        <v/>
      </c>
      <c r="AR63" s="89">
        <f>IFERROR(VLOOKUP(A63,Climatologia!A:U,9+$E$2,FALSE),"")</f>
        <v>22.363032714412022</v>
      </c>
      <c r="AS63" s="89" t="str">
        <f t="shared" si="3"/>
        <v/>
      </c>
      <c r="AT63" s="90">
        <f t="shared" si="4"/>
        <v>20.399999999999999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2.5999999999999979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>
        <v>21.8</v>
      </c>
      <c r="Q64" s="51">
        <v>22.8</v>
      </c>
      <c r="R64" s="51">
        <v>21.8</v>
      </c>
      <c r="S64" s="51">
        <v>23.4</v>
      </c>
      <c r="T64" s="51">
        <v>24</v>
      </c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10</v>
      </c>
      <c r="AQ64" s="89" t="str">
        <f t="shared" si="2"/>
        <v/>
      </c>
      <c r="AR64" s="89">
        <f>IFERROR(VLOOKUP(A64,Climatologia!A:U,9+$E$2,FALSE),"")</f>
        <v>22.055755336617409</v>
      </c>
      <c r="AS64" s="89" t="str">
        <f t="shared" si="3"/>
        <v/>
      </c>
      <c r="AT64" s="90">
        <f t="shared" si="4"/>
        <v>21.8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3.9000000000000021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>
        <v>22.4</v>
      </c>
      <c r="Q65" s="51">
        <v>23.2</v>
      </c>
      <c r="R65" s="51">
        <v>22</v>
      </c>
      <c r="S65" s="51">
        <v>24</v>
      </c>
      <c r="T65" s="51">
        <v>21.8</v>
      </c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10</v>
      </c>
      <c r="AQ65" s="89" t="str">
        <f t="shared" si="2"/>
        <v/>
      </c>
      <c r="AR65" s="89">
        <f>IFERROR(VLOOKUP(A65,Climatologia!A:U,9+$E$2,FALSE),"")</f>
        <v>21.68406544285855</v>
      </c>
      <c r="AS65" s="89" t="str">
        <f t="shared" si="3"/>
        <v/>
      </c>
      <c r="AT65" s="90">
        <f t="shared" si="4"/>
        <v>21.8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3.8000000000000007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21.4</v>
      </c>
      <c r="L66" s="51">
        <v>22</v>
      </c>
      <c r="M66" s="51">
        <v>20.8</v>
      </c>
      <c r="N66" s="51">
        <v>21.6</v>
      </c>
      <c r="O66" s="51">
        <v>21</v>
      </c>
      <c r="P66" s="51">
        <v>20.6</v>
      </c>
      <c r="Q66" s="51">
        <v>21.2</v>
      </c>
      <c r="R66" s="51">
        <v>20</v>
      </c>
      <c r="S66" s="51">
        <v>21</v>
      </c>
      <c r="T66" s="51">
        <v>19.2</v>
      </c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10</v>
      </c>
      <c r="AQ66" s="89" t="str">
        <f t="shared" si="2"/>
        <v/>
      </c>
      <c r="AR66" s="89">
        <f>IFERROR(VLOOKUP(A66,Climatologia!A:U,9+$E$2,FALSE),"")</f>
        <v>21.265392804773391</v>
      </c>
      <c r="AS66" s="89" t="str">
        <f t="shared" si="3"/>
        <v/>
      </c>
      <c r="AT66" s="90">
        <f t="shared" si="4"/>
        <v>19.2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18.2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6" s="92">
        <f t="shared" si="5"/>
        <v>1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20.2</v>
      </c>
      <c r="L67" s="51">
        <v>21.4</v>
      </c>
      <c r="M67" s="51">
        <v>21.6</v>
      </c>
      <c r="N67" s="51">
        <v>22</v>
      </c>
      <c r="O67" s="51">
        <v>21.8</v>
      </c>
      <c r="P67" s="51">
        <v>20</v>
      </c>
      <c r="Q67" s="51">
        <v>20.100000000000001</v>
      </c>
      <c r="R67" s="51">
        <v>21.1</v>
      </c>
      <c r="S67" s="51">
        <v>22.2</v>
      </c>
      <c r="T67" s="51">
        <v>20.2</v>
      </c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10</v>
      </c>
      <c r="AQ67" s="89" t="str">
        <f t="shared" si="2"/>
        <v/>
      </c>
      <c r="AR67" s="89">
        <f>IFERROR(VLOOKUP(A67,Climatologia!A:U,9+$E$2,FALSE),"")</f>
        <v>21.303087027914611</v>
      </c>
      <c r="AS67" s="89" t="str">
        <f t="shared" si="3"/>
        <v/>
      </c>
      <c r="AT67" s="90">
        <f t="shared" si="4"/>
        <v>20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>
        <v>23.6</v>
      </c>
      <c r="L68" s="51">
        <v>22.6</v>
      </c>
      <c r="M68" s="51">
        <v>22.4</v>
      </c>
      <c r="N68" s="51">
        <v>23.8</v>
      </c>
      <c r="O68" s="51">
        <v>22.8</v>
      </c>
      <c r="P68" s="51">
        <v>22.8</v>
      </c>
      <c r="Q68" s="51">
        <v>21.4</v>
      </c>
      <c r="R68" s="51">
        <v>22.8</v>
      </c>
      <c r="S68" s="51">
        <v>24.2</v>
      </c>
      <c r="T68" s="51" t="s">
        <v>1271</v>
      </c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9</v>
      </c>
      <c r="AQ68" s="89" t="str">
        <f t="shared" si="2"/>
        <v/>
      </c>
      <c r="AR68" s="89">
        <f>IFERROR(VLOOKUP(A68,Climatologia!A:U,9+$E$2,FALSE),"")</f>
        <v>21.233794084615539</v>
      </c>
      <c r="AS68" s="89" t="str">
        <f t="shared" si="3"/>
        <v/>
      </c>
      <c r="AT68" s="90">
        <f t="shared" si="4"/>
        <v>21.4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18.399999999999999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8" s="92">
        <f t="shared" si="5"/>
        <v>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24.2</v>
      </c>
      <c r="L69" s="51">
        <v>22.3</v>
      </c>
      <c r="M69" s="51">
        <v>24</v>
      </c>
      <c r="N69" s="51">
        <v>23.3</v>
      </c>
      <c r="O69" s="51">
        <v>24</v>
      </c>
      <c r="P69" s="51"/>
      <c r="Q69" s="51">
        <v>23</v>
      </c>
      <c r="R69" s="51">
        <v>23.4</v>
      </c>
      <c r="S69" s="51">
        <v>24.4</v>
      </c>
      <c r="T69" s="51">
        <v>24.3</v>
      </c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9</v>
      </c>
      <c r="AQ69" s="89" t="str">
        <f t="shared" ref="AQ69:AQ132" si="7">IF(AP69&gt;14,AVERAGE(K69:AO69),"")</f>
        <v/>
      </c>
      <c r="AR69" s="89">
        <f>IFERROR(VLOOKUP(A69,Climatologia!A:U,9+$E$2,FALSE),"")</f>
        <v>22.62335339263911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14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69" s="92">
        <f t="shared" ref="AW69:AW132" si="10">IF(OR(AT69="",AU69=""),"NA",IFERROR(AT69-AU69,"NA"))</f>
        <v>8.3000000000000007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23.3</v>
      </c>
      <c r="L70" s="51">
        <v>23.3</v>
      </c>
      <c r="M70" s="51">
        <v>22.3</v>
      </c>
      <c r="N70" s="51">
        <v>21.3</v>
      </c>
      <c r="O70" s="51">
        <v>21.3</v>
      </c>
      <c r="P70" s="51">
        <v>21.3</v>
      </c>
      <c r="Q70" s="51">
        <v>21.2</v>
      </c>
      <c r="R70" s="51">
        <v>21.1</v>
      </c>
      <c r="S70" s="51">
        <v>22</v>
      </c>
      <c r="T70" s="51">
        <v>22.2</v>
      </c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10</v>
      </c>
      <c r="AQ70" s="89" t="str">
        <f t="shared" si="7"/>
        <v/>
      </c>
      <c r="AR70" s="89">
        <f>IFERROR(VLOOKUP(A70,Climatologia!A:U,9+$E$2,FALSE),"")</f>
        <v>21.58913993796752</v>
      </c>
      <c r="AS70" s="89" t="str">
        <f t="shared" si="8"/>
        <v/>
      </c>
      <c r="AT70" s="90">
        <f t="shared" si="9"/>
        <v>21.1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17.2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0" s="92">
        <f t="shared" si="10"/>
        <v>3.9000000000000021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20.8</v>
      </c>
      <c r="L71" s="51">
        <v>21.8</v>
      </c>
      <c r="M71" s="51">
        <v>20.8</v>
      </c>
      <c r="N71" s="51">
        <v>20.8</v>
      </c>
      <c r="O71" s="51">
        <v>21</v>
      </c>
      <c r="P71" s="51">
        <v>20.8</v>
      </c>
      <c r="Q71" s="51"/>
      <c r="R71" s="51">
        <v>20.6</v>
      </c>
      <c r="S71" s="51">
        <v>22.6</v>
      </c>
      <c r="T71" s="51">
        <v>20.6</v>
      </c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9</v>
      </c>
      <c r="AQ71" s="89" t="str">
        <f t="shared" si="7"/>
        <v/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20.6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19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1" s="92">
        <f t="shared" si="10"/>
        <v>1.6000000000000014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18.2</v>
      </c>
      <c r="L72" s="51">
        <v>16.399999999999999</v>
      </c>
      <c r="M72" s="51">
        <v>17.2</v>
      </c>
      <c r="N72" s="51">
        <v>18.2</v>
      </c>
      <c r="O72" s="51">
        <v>17.2</v>
      </c>
      <c r="P72" s="51">
        <v>17.399999999999999</v>
      </c>
      <c r="Q72" s="51">
        <v>17</v>
      </c>
      <c r="R72" s="51">
        <v>17.2</v>
      </c>
      <c r="S72" s="51">
        <v>18.399999999999999</v>
      </c>
      <c r="T72" s="51">
        <v>17.399999999999999</v>
      </c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10</v>
      </c>
      <c r="AQ72" s="89" t="str">
        <f t="shared" si="7"/>
        <v/>
      </c>
      <c r="AR72" s="89">
        <f>IFERROR(VLOOKUP(A72,Climatologia!A:U,9+$E$2,FALSE),"")</f>
        <v>16.856863660477451</v>
      </c>
      <c r="AS72" s="89" t="str">
        <f t="shared" si="8"/>
        <v/>
      </c>
      <c r="AT72" s="90">
        <f t="shared" si="9"/>
        <v>16.399999999999999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14.2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2" s="92">
        <f t="shared" si="10"/>
        <v>2.1999999999999993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11.2</v>
      </c>
      <c r="L73" s="51">
        <v>11.2</v>
      </c>
      <c r="M73" s="51">
        <v>13</v>
      </c>
      <c r="N73" s="51">
        <v>12.2</v>
      </c>
      <c r="O73" s="51">
        <v>12.4</v>
      </c>
      <c r="P73" s="51">
        <v>12.2</v>
      </c>
      <c r="Q73" s="51">
        <v>12</v>
      </c>
      <c r="R73" s="51">
        <v>11.6</v>
      </c>
      <c r="S73" s="51"/>
      <c r="T73" s="51">
        <v>11.4</v>
      </c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9</v>
      </c>
      <c r="AQ73" s="89" t="str">
        <f t="shared" si="7"/>
        <v/>
      </c>
      <c r="AR73" s="89">
        <f>IFERROR(VLOOKUP(A73,Climatologia!A:U,9+$E$2,FALSE),"")</f>
        <v>11.565427904789971</v>
      </c>
      <c r="AS73" s="89" t="str">
        <f t="shared" si="8"/>
        <v/>
      </c>
      <c r="AT73" s="90">
        <f t="shared" si="9"/>
        <v>11.2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3" s="92">
        <f t="shared" si="10"/>
        <v>3.1999999999999993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14.2</v>
      </c>
      <c r="L74" s="51">
        <v>14</v>
      </c>
      <c r="M74" s="51">
        <v>17.2</v>
      </c>
      <c r="N74" s="51">
        <v>16.2</v>
      </c>
      <c r="O74" s="51">
        <v>17.2</v>
      </c>
      <c r="P74" s="51">
        <v>17</v>
      </c>
      <c r="Q74" s="51">
        <v>15.2</v>
      </c>
      <c r="R74" s="51">
        <v>14</v>
      </c>
      <c r="S74" s="51">
        <v>17.2</v>
      </c>
      <c r="T74" s="51">
        <v>14.8</v>
      </c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10</v>
      </c>
      <c r="AQ74" s="89" t="str">
        <f t="shared" si="7"/>
        <v/>
      </c>
      <c r="AR74" s="89">
        <f>IFERROR(VLOOKUP(A74,Climatologia!A:U,9+$E$2,FALSE),"")</f>
        <v>15.41515998624619</v>
      </c>
      <c r="AS74" s="89" t="str">
        <f t="shared" si="8"/>
        <v/>
      </c>
      <c r="AT74" s="90">
        <f t="shared" si="9"/>
        <v>14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11.4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4" s="92">
        <f t="shared" si="10"/>
        <v>2.5999999999999996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>
        <v>18</v>
      </c>
      <c r="L75" s="51">
        <v>16</v>
      </c>
      <c r="M75" s="51">
        <v>15.8</v>
      </c>
      <c r="N75" s="51">
        <v>18.2</v>
      </c>
      <c r="O75" s="51">
        <v>17.8</v>
      </c>
      <c r="P75" s="51">
        <v>18</v>
      </c>
      <c r="Q75" s="51">
        <v>17</v>
      </c>
      <c r="R75" s="51">
        <v>15.4</v>
      </c>
      <c r="S75" s="51">
        <v>18</v>
      </c>
      <c r="T75" s="51">
        <v>17.600000000000001</v>
      </c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10</v>
      </c>
      <c r="AQ75" s="89" t="str">
        <f t="shared" si="7"/>
        <v/>
      </c>
      <c r="AR75" s="89">
        <f>IFERROR(VLOOKUP(A75,Climatologia!A:U,9+$E$2,FALSE),"")</f>
        <v>18.656310283027459</v>
      </c>
      <c r="AS75" s="89" t="str">
        <f t="shared" si="8"/>
        <v/>
      </c>
      <c r="AT75" s="90">
        <f t="shared" si="9"/>
        <v>15.4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5" s="92">
        <f t="shared" si="10"/>
        <v>0.80000000000000071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26</v>
      </c>
      <c r="L76" s="51">
        <v>25.8</v>
      </c>
      <c r="M76" s="51">
        <v>24</v>
      </c>
      <c r="N76" s="51">
        <v>27.8</v>
      </c>
      <c r="O76" s="51">
        <v>28.8</v>
      </c>
      <c r="P76" s="51">
        <v>28.8</v>
      </c>
      <c r="Q76" s="51">
        <v>29</v>
      </c>
      <c r="R76" s="51">
        <v>24</v>
      </c>
      <c r="S76" s="51">
        <v>28.6</v>
      </c>
      <c r="T76" s="51" t="s">
        <v>1271</v>
      </c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9</v>
      </c>
      <c r="AQ76" s="89" t="str">
        <f t="shared" si="7"/>
        <v/>
      </c>
      <c r="AR76" s="89">
        <f>IFERROR(VLOOKUP(A76,Climatologia!A:U,9+$E$2,FALSE),"")</f>
        <v>24.258489020705198</v>
      </c>
      <c r="AS76" s="89" t="str">
        <f t="shared" si="8"/>
        <v/>
      </c>
      <c r="AT76" s="90">
        <f t="shared" si="9"/>
        <v>24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18.600000000000001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6" s="92">
        <f t="shared" si="10"/>
        <v>5.3999999999999986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24.6</v>
      </c>
      <c r="L77" s="51">
        <v>23.6</v>
      </c>
      <c r="M77" s="51">
        <v>22.6</v>
      </c>
      <c r="N77" s="51">
        <v>24.8</v>
      </c>
      <c r="O77" s="51">
        <v>24.8</v>
      </c>
      <c r="P77" s="51">
        <v>27.8</v>
      </c>
      <c r="Q77" s="51">
        <v>27.4</v>
      </c>
      <c r="R77" s="51">
        <v>24.6</v>
      </c>
      <c r="S77" s="51">
        <v>27.4</v>
      </c>
      <c r="T77" s="51">
        <v>25.4</v>
      </c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10</v>
      </c>
      <c r="AQ77" s="89" t="str">
        <f t="shared" si="7"/>
        <v/>
      </c>
      <c r="AR77" s="89">
        <f>IFERROR(VLOOKUP(A77,Climatologia!A:U,9+$E$2,FALSE),"")</f>
        <v>23.486005023711911</v>
      </c>
      <c r="AS77" s="89" t="str">
        <f t="shared" si="8"/>
        <v/>
      </c>
      <c r="AT77" s="90">
        <f t="shared" si="9"/>
        <v>22.6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7" s="92">
        <f t="shared" si="10"/>
        <v>4.6000000000000014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14.8</v>
      </c>
      <c r="L78" s="51">
        <v>15</v>
      </c>
      <c r="M78" s="51">
        <v>14.4</v>
      </c>
      <c r="N78" s="51">
        <v>14.2</v>
      </c>
      <c r="O78" s="51">
        <v>14.2</v>
      </c>
      <c r="P78" s="51">
        <v>15.2</v>
      </c>
      <c r="Q78" s="51">
        <v>14.4</v>
      </c>
      <c r="R78" s="51"/>
      <c r="S78" s="51"/>
      <c r="T78" s="51">
        <v>13.6</v>
      </c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8</v>
      </c>
      <c r="AQ78" s="89" t="str">
        <f t="shared" si="7"/>
        <v/>
      </c>
      <c r="AR78" s="89">
        <f>IFERROR(VLOOKUP(A78,Climatologia!A:U,9+$E$2,FALSE),"")</f>
        <v>15.67780219897565</v>
      </c>
      <c r="AS78" s="89" t="str">
        <f t="shared" si="8"/>
        <v/>
      </c>
      <c r="AT78" s="90">
        <f t="shared" si="9"/>
        <v>13.6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/>
      <c r="M79" s="51"/>
      <c r="N79" s="51"/>
      <c r="O79" s="51"/>
      <c r="P79" s="51"/>
      <c r="Q79" s="51"/>
      <c r="R79" s="51"/>
      <c r="S79" s="51"/>
      <c r="T79" s="51" t="s">
        <v>1271</v>
      </c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0</v>
      </c>
      <c r="AQ79" s="89" t="str">
        <f t="shared" si="7"/>
        <v/>
      </c>
      <c r="AR79" s="89">
        <f>IFERROR(VLOOKUP(A79,Climatologia!A:U,9+$E$2,FALSE),"")</f>
        <v>20.9214094475129</v>
      </c>
      <c r="AS79" s="89" t="str">
        <f t="shared" si="8"/>
        <v/>
      </c>
      <c r="AT79" s="90" t="str">
        <f t="shared" si="9"/>
        <v/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79" s="92" t="str">
        <f t="shared" si="10"/>
        <v>NA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23.6</v>
      </c>
      <c r="L80" s="51">
        <v>23.2</v>
      </c>
      <c r="M80" s="51">
        <v>23.2</v>
      </c>
      <c r="N80" s="51">
        <v>23.8</v>
      </c>
      <c r="O80" s="51">
        <v>23.6</v>
      </c>
      <c r="P80" s="51">
        <v>23.4</v>
      </c>
      <c r="Q80" s="51">
        <v>23</v>
      </c>
      <c r="R80" s="51">
        <v>23</v>
      </c>
      <c r="S80" s="51">
        <v>23.8</v>
      </c>
      <c r="T80" s="51">
        <v>22.4</v>
      </c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10</v>
      </c>
      <c r="AQ80" s="89" t="str">
        <f t="shared" si="7"/>
        <v/>
      </c>
      <c r="AR80" s="89">
        <f>IFERROR(VLOOKUP(A80,Climatologia!A:U,9+$E$2,FALSE),"")</f>
        <v>22.145798455144551</v>
      </c>
      <c r="AS80" s="89" t="str">
        <f t="shared" si="8"/>
        <v/>
      </c>
      <c r="AT80" s="90">
        <f t="shared" si="9"/>
        <v>22.4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17.600000000000001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>
        <f t="shared" si="10"/>
        <v>4.7999999999999972</v>
      </c>
    </row>
    <row r="81" spans="1:49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 t="s">
        <v>1271</v>
      </c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1" s="92" t="str">
        <f t="shared" si="10"/>
        <v>NA</v>
      </c>
    </row>
    <row r="82" spans="1:49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27.2</v>
      </c>
      <c r="L82" s="51">
        <v>26.8</v>
      </c>
      <c r="M82" s="51">
        <v>27</v>
      </c>
      <c r="N82" s="51">
        <v>27.4</v>
      </c>
      <c r="O82" s="51">
        <v>28</v>
      </c>
      <c r="P82" s="51">
        <v>28.8</v>
      </c>
      <c r="Q82" s="51">
        <v>29.4</v>
      </c>
      <c r="R82" s="51">
        <v>28.6</v>
      </c>
      <c r="S82" s="51">
        <v>27.4</v>
      </c>
      <c r="T82" s="51">
        <v>28.4</v>
      </c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10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26.8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2" s="92">
        <f t="shared" si="10"/>
        <v>9</v>
      </c>
    </row>
    <row r="83" spans="1:49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25.4</v>
      </c>
      <c r="L83" s="51">
        <v>26.8</v>
      </c>
      <c r="M83" s="51">
        <v>27.2</v>
      </c>
      <c r="N83" s="51">
        <v>26</v>
      </c>
      <c r="O83" s="51">
        <v>27.6</v>
      </c>
      <c r="P83" s="51">
        <v>27</v>
      </c>
      <c r="Q83" s="51">
        <v>27.8</v>
      </c>
      <c r="R83" s="51">
        <v>27.2</v>
      </c>
      <c r="S83" s="51">
        <v>27.8</v>
      </c>
      <c r="T83" s="51">
        <v>27.6</v>
      </c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10</v>
      </c>
      <c r="AQ83" s="89" t="str">
        <f t="shared" si="7"/>
        <v/>
      </c>
      <c r="AR83" s="89">
        <f>IFERROR(VLOOKUP(A83,Climatologia!A:U,9+$E$2,FALSE),"")</f>
        <v>23.18181172727245</v>
      </c>
      <c r="AS83" s="89" t="str">
        <f t="shared" si="8"/>
        <v/>
      </c>
      <c r="AT83" s="90">
        <f t="shared" si="9"/>
        <v>25.4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3" s="92">
        <f t="shared" si="10"/>
        <v>10.199999999999999</v>
      </c>
    </row>
    <row r="84" spans="1:49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>
        <v>23.6</v>
      </c>
      <c r="L84" s="51">
        <v>25.2</v>
      </c>
      <c r="M84" s="51">
        <v>23.6</v>
      </c>
      <c r="N84" s="51">
        <v>26.6</v>
      </c>
      <c r="O84" s="51">
        <v>24.8</v>
      </c>
      <c r="P84" s="51">
        <v>24.6</v>
      </c>
      <c r="Q84" s="51">
        <v>24.4</v>
      </c>
      <c r="R84" s="51">
        <v>24.7</v>
      </c>
      <c r="S84" s="51">
        <v>25.4</v>
      </c>
      <c r="T84" s="51">
        <v>26.2</v>
      </c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10</v>
      </c>
      <c r="AQ84" s="89" t="str">
        <f t="shared" si="7"/>
        <v/>
      </c>
      <c r="AR84" s="89">
        <f>IFERROR(VLOOKUP(A84,Climatologia!A:U,9+$E$2,FALSE),"")</f>
        <v>22.978702810599369</v>
      </c>
      <c r="AS84" s="89" t="str">
        <f t="shared" si="8"/>
        <v/>
      </c>
      <c r="AT84" s="90">
        <f t="shared" si="9"/>
        <v>23.6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18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4" s="92">
        <f t="shared" si="10"/>
        <v>5.6000000000000014</v>
      </c>
    </row>
    <row r="85" spans="1:49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</v>
      </c>
      <c r="L85" s="51">
        <v>19.8</v>
      </c>
      <c r="M85" s="51">
        <v>21.8</v>
      </c>
      <c r="N85" s="51">
        <v>20</v>
      </c>
      <c r="O85" s="51">
        <v>21.8</v>
      </c>
      <c r="P85" s="51">
        <v>21.6</v>
      </c>
      <c r="Q85" s="51">
        <v>20.6</v>
      </c>
      <c r="R85" s="51">
        <v>20.399999999999999</v>
      </c>
      <c r="S85" s="51">
        <v>22</v>
      </c>
      <c r="T85" s="51">
        <v>22.2</v>
      </c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10</v>
      </c>
      <c r="AQ85" s="89" t="str">
        <f t="shared" si="7"/>
        <v/>
      </c>
      <c r="AR85" s="89">
        <f>IFERROR(VLOOKUP(A85,Climatologia!A:U,9+$E$2,FALSE),"")</f>
        <v>22.3738564692013</v>
      </c>
      <c r="AS85" s="89" t="str">
        <f t="shared" si="8"/>
        <v/>
      </c>
      <c r="AT85" s="90">
        <f t="shared" si="9"/>
        <v>19.8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18.5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5" s="92">
        <f t="shared" si="10"/>
        <v>1.3000000000000007</v>
      </c>
    </row>
    <row r="86" spans="1:49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23.4</v>
      </c>
      <c r="L86" s="51"/>
      <c r="M86" s="51">
        <v>24.2</v>
      </c>
      <c r="N86" s="51">
        <v>24</v>
      </c>
      <c r="O86" s="51">
        <v>26.6</v>
      </c>
      <c r="P86" s="51">
        <v>25</v>
      </c>
      <c r="Q86" s="51">
        <v>24.2</v>
      </c>
      <c r="R86" s="51">
        <v>25.2</v>
      </c>
      <c r="S86" s="51">
        <v>27.2</v>
      </c>
      <c r="T86" s="51">
        <v>27.8</v>
      </c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9</v>
      </c>
      <c r="AQ86" s="89" t="str">
        <f t="shared" si="7"/>
        <v/>
      </c>
      <c r="AR86" s="89">
        <f>IFERROR(VLOOKUP(A86,Climatologia!A:U,9+$E$2,FALSE),"")</f>
        <v>23.309072933771219</v>
      </c>
      <c r="AS86" s="89" t="str">
        <f t="shared" si="8"/>
        <v/>
      </c>
      <c r="AT86" s="90">
        <f t="shared" si="9"/>
        <v>23.4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6" s="92">
        <f t="shared" si="10"/>
        <v>5.3999999999999986</v>
      </c>
    </row>
    <row r="87" spans="1:49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24</v>
      </c>
      <c r="L87" s="51">
        <v>24.2</v>
      </c>
      <c r="M87" s="51">
        <v>23.6</v>
      </c>
      <c r="N87" s="51">
        <v>22.8</v>
      </c>
      <c r="O87" s="51">
        <v>25.6</v>
      </c>
      <c r="P87" s="51">
        <v>25</v>
      </c>
      <c r="Q87" s="51">
        <v>23.4</v>
      </c>
      <c r="R87" s="51">
        <v>26.6</v>
      </c>
      <c r="S87" s="51">
        <v>28.4</v>
      </c>
      <c r="T87" s="51">
        <v>27.4</v>
      </c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10</v>
      </c>
      <c r="AQ87" s="89" t="str">
        <f t="shared" si="7"/>
        <v/>
      </c>
      <c r="AR87" s="89">
        <f>IFERROR(VLOOKUP(A87,Climatologia!A:U,9+$E$2,FALSE),"")</f>
        <v>22.641522648439089</v>
      </c>
      <c r="AS87" s="89" t="str">
        <f t="shared" si="8"/>
        <v/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7" s="92">
        <f t="shared" si="10"/>
        <v>5.8000000000000007</v>
      </c>
    </row>
    <row r="88" spans="1:49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24.8</v>
      </c>
      <c r="L88" s="116">
        <v>26.4</v>
      </c>
      <c r="M88" s="116">
        <v>24.2</v>
      </c>
      <c r="N88" s="116">
        <v>25.8</v>
      </c>
      <c r="O88" s="116">
        <v>25.6</v>
      </c>
      <c r="P88" s="116">
        <v>26.2</v>
      </c>
      <c r="Q88" s="116">
        <v>25.2</v>
      </c>
      <c r="R88" s="116">
        <v>26.2</v>
      </c>
      <c r="S88" s="116">
        <v>26.8</v>
      </c>
      <c r="T88" s="116">
        <v>27.4</v>
      </c>
      <c r="U88" s="116"/>
      <c r="V88" s="116"/>
      <c r="W88" s="116"/>
      <c r="X88" s="116"/>
      <c r="Y88" s="116"/>
      <c r="Z88" s="117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88">
        <f t="shared" si="6"/>
        <v>10</v>
      </c>
      <c r="AQ88" s="89" t="str">
        <f t="shared" si="7"/>
        <v/>
      </c>
      <c r="AR88" s="89">
        <f>IFERROR(VLOOKUP(A88,Climatologia!A:U,9+$E$2,FALSE),"")</f>
        <v>22.80732142857142</v>
      </c>
      <c r="AS88" s="89" t="str">
        <f t="shared" si="8"/>
        <v/>
      </c>
      <c r="AT88" s="90">
        <f t="shared" si="9"/>
        <v>24.2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14.2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8" s="92">
        <f t="shared" si="10"/>
        <v>10</v>
      </c>
    </row>
    <row r="89" spans="1:49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11.2</v>
      </c>
      <c r="L89" s="51">
        <v>10.199999999999999</v>
      </c>
      <c r="M89" s="51">
        <v>11</v>
      </c>
      <c r="N89" s="51">
        <v>11</v>
      </c>
      <c r="O89" s="51">
        <v>13.2</v>
      </c>
      <c r="P89" s="51">
        <v>11.6</v>
      </c>
      <c r="Q89" s="51">
        <v>11.8</v>
      </c>
      <c r="R89" s="51">
        <v>10.4</v>
      </c>
      <c r="S89" s="51">
        <v>12</v>
      </c>
      <c r="T89" s="51">
        <v>12.4</v>
      </c>
      <c r="U89" s="51"/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10</v>
      </c>
      <c r="AQ89" s="89" t="str">
        <f t="shared" si="7"/>
        <v/>
      </c>
      <c r="AR89" s="89">
        <f>IFERROR(VLOOKUP(A89,Climatologia!A:U,9+$E$2,FALSE),"")</f>
        <v>11.04377011494253</v>
      </c>
      <c r="AS89" s="89" t="str">
        <f t="shared" si="8"/>
        <v/>
      </c>
      <c r="AT89" s="90">
        <f t="shared" si="9"/>
        <v>10.199999999999999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89" s="92">
        <f t="shared" si="10"/>
        <v>5.9999999999999991</v>
      </c>
    </row>
    <row r="90" spans="1:49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19.2</v>
      </c>
      <c r="L90" s="51">
        <v>18.600000000000001</v>
      </c>
      <c r="M90" s="51">
        <v>19</v>
      </c>
      <c r="N90" s="51">
        <v>19.2</v>
      </c>
      <c r="O90" s="51">
        <v>19</v>
      </c>
      <c r="P90" s="51">
        <v>19.399999999999999</v>
      </c>
      <c r="Q90" s="51">
        <v>17.600000000000001</v>
      </c>
      <c r="R90" s="51">
        <v>18.399999999999999</v>
      </c>
      <c r="S90" s="51">
        <v>19.899999999999999</v>
      </c>
      <c r="T90" s="51">
        <v>18.399999999999999</v>
      </c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10</v>
      </c>
      <c r="AQ90" s="89" t="str">
        <f t="shared" si="7"/>
        <v/>
      </c>
      <c r="AR90" s="89">
        <f>IFERROR(VLOOKUP(A90,Climatologia!A:U,9+$E$2,FALSE),"")</f>
        <v>17.65629355956942</v>
      </c>
      <c r="AS90" s="89" t="str">
        <f t="shared" si="8"/>
        <v/>
      </c>
      <c r="AT90" s="90">
        <f t="shared" si="9"/>
        <v>17.600000000000001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0" s="92">
        <f t="shared" si="10"/>
        <v>3.4000000000000021</v>
      </c>
    </row>
    <row r="91" spans="1:49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12.2</v>
      </c>
      <c r="L91" s="51">
        <v>10.199999999999999</v>
      </c>
      <c r="M91" s="51">
        <v>10.199999999999999</v>
      </c>
      <c r="N91" s="51">
        <v>10.8</v>
      </c>
      <c r="O91" s="51"/>
      <c r="P91" s="51"/>
      <c r="Q91" s="51">
        <v>12</v>
      </c>
      <c r="R91" s="51">
        <v>9</v>
      </c>
      <c r="S91" s="51">
        <v>12.4</v>
      </c>
      <c r="T91" s="51">
        <v>12.4</v>
      </c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8</v>
      </c>
      <c r="AQ91" s="89" t="str">
        <f t="shared" si="7"/>
        <v/>
      </c>
      <c r="AR91" s="89">
        <f>IFERROR(VLOOKUP(A91,Climatologia!A:U,9+$E$2,FALSE),"")</f>
        <v>11.22937715871128</v>
      </c>
      <c r="AS91" s="89" t="str">
        <f t="shared" si="8"/>
        <v/>
      </c>
      <c r="AT91" s="90">
        <f t="shared" si="9"/>
        <v>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7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1" s="92">
        <f t="shared" si="10"/>
        <v>2</v>
      </c>
    </row>
    <row r="92" spans="1:49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9.4</v>
      </c>
      <c r="L92" s="51">
        <v>10.4</v>
      </c>
      <c r="M92" s="51">
        <v>9.6</v>
      </c>
      <c r="N92" s="51">
        <v>9.4</v>
      </c>
      <c r="O92" s="51">
        <v>10</v>
      </c>
      <c r="P92" s="51">
        <v>8.8000000000000007</v>
      </c>
      <c r="Q92" s="51">
        <v>8.1999999999999993</v>
      </c>
      <c r="R92" s="51">
        <v>6</v>
      </c>
      <c r="S92" s="51">
        <v>11.4</v>
      </c>
      <c r="T92" s="51">
        <v>10.4</v>
      </c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10</v>
      </c>
      <c r="AQ92" s="89" t="str">
        <f t="shared" si="7"/>
        <v/>
      </c>
      <c r="AR92" s="89">
        <f>IFERROR(VLOOKUP(A92,Climatologia!A:U,9+$E$2,FALSE),"")</f>
        <v>8.2655190007037298</v>
      </c>
      <c r="AS92" s="89" t="str">
        <f t="shared" si="8"/>
        <v/>
      </c>
      <c r="AT92" s="90">
        <f t="shared" si="9"/>
        <v>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5</v>
      </c>
    </row>
    <row r="93" spans="1:49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 t="s">
        <v>1271</v>
      </c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10.537256571653121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49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7.2</v>
      </c>
      <c r="L94" s="51">
        <v>6.2</v>
      </c>
      <c r="M94" s="51">
        <v>4.4000000000000004</v>
      </c>
      <c r="N94" s="51">
        <v>4.2</v>
      </c>
      <c r="O94" s="51">
        <v>7.2</v>
      </c>
      <c r="P94" s="51">
        <v>8.4</v>
      </c>
      <c r="Q94" s="51">
        <v>2.2000000000000002</v>
      </c>
      <c r="R94" s="51">
        <v>4.4000000000000004</v>
      </c>
      <c r="S94" s="51">
        <v>3.2</v>
      </c>
      <c r="T94" s="51">
        <v>7.4</v>
      </c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10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2.2000000000000002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4" s="92">
        <f t="shared" si="10"/>
        <v>2.2000000000000002</v>
      </c>
    </row>
    <row r="95" spans="1:49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3.2</v>
      </c>
      <c r="L95" s="51">
        <v>6.4</v>
      </c>
      <c r="M95" s="51">
        <v>5.6</v>
      </c>
      <c r="N95" s="51">
        <v>6.8</v>
      </c>
      <c r="O95" s="51">
        <v>4.4000000000000004</v>
      </c>
      <c r="P95" s="51">
        <v>6.2</v>
      </c>
      <c r="Q95" s="51">
        <v>5</v>
      </c>
      <c r="R95" s="51">
        <v>7</v>
      </c>
      <c r="S95" s="51">
        <v>6.8</v>
      </c>
      <c r="T95" s="51">
        <v>8</v>
      </c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10</v>
      </c>
      <c r="AQ95" s="89" t="str">
        <f t="shared" si="7"/>
        <v/>
      </c>
      <c r="AR95" s="89">
        <f>IFERROR(VLOOKUP(A95,Climatologia!A:U,9+$E$2,FALSE),"")</f>
        <v>6.9772719899777336</v>
      </c>
      <c r="AS95" s="89" t="str">
        <f t="shared" si="8"/>
        <v/>
      </c>
      <c r="AT95" s="90">
        <f t="shared" si="9"/>
        <v>3.2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0.4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5" s="92">
        <f t="shared" si="10"/>
        <v>2.8000000000000003</v>
      </c>
    </row>
    <row r="96" spans="1:49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7.9</v>
      </c>
      <c r="L96" s="51">
        <v>9</v>
      </c>
      <c r="M96" s="51">
        <v>9.6</v>
      </c>
      <c r="N96" s="51">
        <v>8</v>
      </c>
      <c r="O96" s="51">
        <v>7.6</v>
      </c>
      <c r="P96" s="51">
        <v>8</v>
      </c>
      <c r="Q96" s="51">
        <v>7</v>
      </c>
      <c r="R96" s="51">
        <v>7.4</v>
      </c>
      <c r="S96" s="51">
        <v>8</v>
      </c>
      <c r="T96" s="51">
        <v>8.8000000000000007</v>
      </c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10</v>
      </c>
      <c r="AQ96" s="89" t="str">
        <f t="shared" si="7"/>
        <v/>
      </c>
      <c r="AR96" s="89">
        <f>IFERROR(VLOOKUP(A96,Climatologia!A:U,9+$E$2,FALSE),"")</f>
        <v>8.3739754437240048</v>
      </c>
      <c r="AS96" s="89" t="str">
        <f t="shared" si="8"/>
        <v/>
      </c>
      <c r="AT96" s="90">
        <f t="shared" si="9"/>
        <v>7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6" s="92">
        <f t="shared" si="10"/>
        <v>3.4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4.8</v>
      </c>
      <c r="L97" s="51">
        <v>7</v>
      </c>
      <c r="M97" s="51">
        <v>4.8</v>
      </c>
      <c r="N97" s="51">
        <v>5.4</v>
      </c>
      <c r="O97" s="51">
        <v>3.8</v>
      </c>
      <c r="P97" s="51">
        <v>7.8</v>
      </c>
      <c r="Q97" s="51">
        <v>4.8</v>
      </c>
      <c r="R97" s="51">
        <v>3</v>
      </c>
      <c r="S97" s="51">
        <v>4.8</v>
      </c>
      <c r="T97" s="51">
        <v>9.1999999999999993</v>
      </c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10</v>
      </c>
      <c r="AQ97" s="89" t="str">
        <f t="shared" si="7"/>
        <v/>
      </c>
      <c r="AR97" s="89">
        <f>IFERROR(VLOOKUP(A97,Climatologia!A:U,9+$E$2,FALSE),"")</f>
        <v>6.2010253961478679</v>
      </c>
      <c r="AS97" s="89" t="str">
        <f t="shared" si="8"/>
        <v/>
      </c>
      <c r="AT97" s="90">
        <f t="shared" si="9"/>
        <v>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-0.2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7" s="92">
        <f t="shared" si="10"/>
        <v>3.2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7</v>
      </c>
      <c r="L98" s="51">
        <v>8.8000000000000007</v>
      </c>
      <c r="M98" s="51">
        <v>9.8000000000000007</v>
      </c>
      <c r="N98" s="51">
        <v>10.199999999999999</v>
      </c>
      <c r="O98" s="51">
        <v>9.6</v>
      </c>
      <c r="P98" s="51">
        <v>10.6</v>
      </c>
      <c r="Q98" s="51">
        <v>7.6</v>
      </c>
      <c r="R98" s="51">
        <v>5.4</v>
      </c>
      <c r="S98" s="51">
        <v>10</v>
      </c>
      <c r="T98" s="51">
        <v>10.8</v>
      </c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10</v>
      </c>
      <c r="AQ98" s="89" t="str">
        <f t="shared" si="7"/>
        <v/>
      </c>
      <c r="AR98" s="89">
        <f>IFERROR(VLOOKUP(A98,Climatologia!A:U,9+$E$2,FALSE),"")</f>
        <v>8.159618451306919</v>
      </c>
      <c r="AS98" s="89" t="str">
        <f t="shared" si="8"/>
        <v/>
      </c>
      <c r="AT98" s="90">
        <f t="shared" si="9"/>
        <v>5.4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2.9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8" s="92">
        <f t="shared" si="10"/>
        <v>2.5000000000000004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6.4</v>
      </c>
      <c r="L99" s="51"/>
      <c r="M99" s="51">
        <v>7</v>
      </c>
      <c r="N99" s="51">
        <v>7.2</v>
      </c>
      <c r="O99" s="51"/>
      <c r="P99" s="51">
        <v>7.8</v>
      </c>
      <c r="Q99" s="51"/>
      <c r="R99" s="51">
        <v>6.2</v>
      </c>
      <c r="S99" s="51">
        <v>8.8000000000000007</v>
      </c>
      <c r="T99" s="51">
        <v>9</v>
      </c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7</v>
      </c>
      <c r="AQ99" s="89" t="str">
        <f t="shared" si="7"/>
        <v/>
      </c>
      <c r="AR99" s="89">
        <f>IFERROR(VLOOKUP(A99,Climatologia!A:U,9+$E$2,FALSE),"")</f>
        <v>6.6991656023839923</v>
      </c>
      <c r="AS99" s="89" t="str">
        <f t="shared" si="8"/>
        <v/>
      </c>
      <c r="AT99" s="90">
        <f t="shared" si="9"/>
        <v>6.2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 t="s">
        <v>1271</v>
      </c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17.818800331214131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 t="s">
        <v>1271</v>
      </c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10.55201043605182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13</v>
      </c>
      <c r="M102" s="51">
        <v>12</v>
      </c>
      <c r="N102" s="51">
        <v>12.2</v>
      </c>
      <c r="O102" s="51">
        <v>10.199999999999999</v>
      </c>
      <c r="P102" s="51">
        <v>12</v>
      </c>
      <c r="Q102" s="51">
        <v>11</v>
      </c>
      <c r="R102" s="51">
        <v>11.2</v>
      </c>
      <c r="S102" s="51">
        <v>11</v>
      </c>
      <c r="T102" s="51">
        <v>13.8</v>
      </c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10</v>
      </c>
      <c r="AQ102" s="89" t="str">
        <f t="shared" si="7"/>
        <v/>
      </c>
      <c r="AR102" s="89">
        <f>IFERROR(VLOOKUP(A102,Climatologia!A:U,9+$E$2,FALSE),"")</f>
        <v>11.245521419341051</v>
      </c>
      <c r="AS102" s="89" t="str">
        <f t="shared" si="8"/>
        <v/>
      </c>
      <c r="AT102" s="90">
        <f t="shared" si="9"/>
        <v>10.199999999999999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2" s="92">
        <f t="shared" si="10"/>
        <v>3.5999999999999996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2.2000000000000002</v>
      </c>
      <c r="L103" s="109">
        <v>5.4</v>
      </c>
      <c r="M103" s="51"/>
      <c r="N103" s="51"/>
      <c r="O103" s="51"/>
      <c r="P103" s="51"/>
      <c r="Q103" s="51"/>
      <c r="R103" s="51"/>
      <c r="S103" s="51"/>
      <c r="T103" s="51" t="s">
        <v>1271</v>
      </c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2</v>
      </c>
      <c r="AQ103" s="89" t="str">
        <f t="shared" si="7"/>
        <v/>
      </c>
      <c r="AR103" s="89">
        <f>IFERROR(VLOOKUP(A103,Climatologia!A:U,9+$E$2,FALSE),"")</f>
        <v>5.5502937420178808</v>
      </c>
      <c r="AS103" s="89" t="str">
        <f t="shared" si="8"/>
        <v/>
      </c>
      <c r="AT103" s="90">
        <f t="shared" si="9"/>
        <v>2.2000000000000002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3" s="92">
        <f t="shared" si="10"/>
        <v>2.2000000000000002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4.5999999999999996</v>
      </c>
      <c r="L104" s="51">
        <v>8.4</v>
      </c>
      <c r="M104" s="51">
        <v>3.4</v>
      </c>
      <c r="N104" s="51">
        <v>3.8</v>
      </c>
      <c r="O104" s="51">
        <v>2.6</v>
      </c>
      <c r="P104" s="51">
        <v>2.4</v>
      </c>
      <c r="Q104" s="51">
        <v>3.6</v>
      </c>
      <c r="R104" s="51">
        <v>5.6</v>
      </c>
      <c r="S104" s="51">
        <v>3</v>
      </c>
      <c r="T104" s="51">
        <v>2.4</v>
      </c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10</v>
      </c>
      <c r="AQ104" s="89" t="str">
        <f t="shared" si="7"/>
        <v/>
      </c>
      <c r="AR104" s="89">
        <f>IFERROR(VLOOKUP(A104,Climatologia!A:U,9+$E$2,FALSE),"")</f>
        <v>6.577004617349445</v>
      </c>
      <c r="AS104" s="89" t="str">
        <f t="shared" si="8"/>
        <v/>
      </c>
      <c r="AT104" s="90">
        <f t="shared" si="9"/>
        <v>2.4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-0.4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4" s="92">
        <f t="shared" si="10"/>
        <v>2.8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10</v>
      </c>
      <c r="L105" s="51">
        <v>9.8000000000000007</v>
      </c>
      <c r="M105" s="51">
        <v>10.4</v>
      </c>
      <c r="N105" s="51">
        <v>10.4</v>
      </c>
      <c r="O105" s="51">
        <v>10.6</v>
      </c>
      <c r="P105" s="51">
        <v>9.4</v>
      </c>
      <c r="Q105" s="51">
        <v>9.8000000000000007</v>
      </c>
      <c r="R105" s="51">
        <v>9.6</v>
      </c>
      <c r="S105" s="51">
        <v>11.4</v>
      </c>
      <c r="T105" s="51">
        <v>12</v>
      </c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10</v>
      </c>
      <c r="AQ105" s="89" t="str">
        <f t="shared" si="7"/>
        <v/>
      </c>
      <c r="AR105" s="89">
        <f>IFERROR(VLOOKUP(A105,Climatologia!A:U,9+$E$2,FALSE),"")</f>
        <v>9.5729657311464695</v>
      </c>
      <c r="AS105" s="89" t="str">
        <f t="shared" si="8"/>
        <v/>
      </c>
      <c r="AT105" s="90">
        <f t="shared" si="9"/>
        <v>9.4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3.8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5" s="92">
        <f t="shared" si="10"/>
        <v>5.6000000000000005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/>
      <c r="L106" s="51">
        <v>13.6</v>
      </c>
      <c r="M106" s="51">
        <v>13.6</v>
      </c>
      <c r="N106" s="51">
        <v>14.4</v>
      </c>
      <c r="O106" s="51">
        <v>13.8</v>
      </c>
      <c r="P106" s="51">
        <v>13.6</v>
      </c>
      <c r="Q106" s="51"/>
      <c r="R106" s="51">
        <v>14</v>
      </c>
      <c r="S106" s="51">
        <v>14.8</v>
      </c>
      <c r="T106" s="51">
        <v>14.6</v>
      </c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8</v>
      </c>
      <c r="AQ106" s="89" t="str">
        <f t="shared" si="7"/>
        <v/>
      </c>
      <c r="AR106" s="89">
        <f>IFERROR(VLOOKUP(A106,Climatologia!A:U,9+$E$2,FALSE),"")</f>
        <v>13.60304714989444</v>
      </c>
      <c r="AS106" s="89" t="str">
        <f t="shared" si="8"/>
        <v/>
      </c>
      <c r="AT106" s="90">
        <f t="shared" si="9"/>
        <v>13.6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6" s="92">
        <f t="shared" si="10"/>
        <v>6.3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9.8000000000000007</v>
      </c>
      <c r="L107" s="51">
        <v>11.6</v>
      </c>
      <c r="M107" s="51">
        <v>12.8</v>
      </c>
      <c r="N107" s="51">
        <v>11</v>
      </c>
      <c r="O107" s="51">
        <v>11</v>
      </c>
      <c r="P107" s="51">
        <v>9.6</v>
      </c>
      <c r="Q107" s="51">
        <v>10.6</v>
      </c>
      <c r="R107" s="51">
        <v>9.1999999999999993</v>
      </c>
      <c r="S107" s="51">
        <v>12.6</v>
      </c>
      <c r="T107" s="51">
        <v>12.8</v>
      </c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10</v>
      </c>
      <c r="AQ107" s="89" t="str">
        <f t="shared" si="7"/>
        <v/>
      </c>
      <c r="AR107" s="89">
        <f>IFERROR(VLOOKUP(A107,Climatologia!A:U,9+$E$2,FALSE),"")</f>
        <v>11.188895457033389</v>
      </c>
      <c r="AS107" s="89" t="str">
        <f t="shared" si="8"/>
        <v/>
      </c>
      <c r="AT107" s="90">
        <f t="shared" si="9"/>
        <v>9.1999999999999993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7" s="92">
        <f t="shared" si="10"/>
        <v>7.9999999999999991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14.2</v>
      </c>
      <c r="L108" s="51">
        <v>15.4</v>
      </c>
      <c r="M108" s="51">
        <v>14</v>
      </c>
      <c r="N108" s="51">
        <v>15.4</v>
      </c>
      <c r="O108" s="51">
        <v>14</v>
      </c>
      <c r="P108" s="51">
        <v>14.2</v>
      </c>
      <c r="Q108" s="51">
        <v>14.2</v>
      </c>
      <c r="R108" s="51">
        <v>14.8</v>
      </c>
      <c r="S108" s="51">
        <v>15</v>
      </c>
      <c r="T108" s="51">
        <v>15.2</v>
      </c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10</v>
      </c>
      <c r="AQ108" s="89" t="str">
        <f t="shared" si="7"/>
        <v/>
      </c>
      <c r="AR108" s="89">
        <f>IFERROR(VLOOKUP(A108,Climatologia!A:U,9+$E$2,FALSE),"")</f>
        <v>13.358971566848149</v>
      </c>
      <c r="AS108" s="89" t="str">
        <f t="shared" si="8"/>
        <v/>
      </c>
      <c r="AT108" s="90">
        <f t="shared" si="9"/>
        <v>14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8" s="92">
        <f t="shared" si="10"/>
        <v>4.5999999999999996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15.4</v>
      </c>
      <c r="L109" s="51">
        <v>15.4</v>
      </c>
      <c r="M109" s="51">
        <v>15.2</v>
      </c>
      <c r="N109" s="51">
        <v>15.2</v>
      </c>
      <c r="O109" s="51">
        <v>14.8</v>
      </c>
      <c r="P109" s="51">
        <v>14.6</v>
      </c>
      <c r="Q109" s="51">
        <v>15.4</v>
      </c>
      <c r="R109" s="51">
        <v>15.2</v>
      </c>
      <c r="S109" s="51">
        <v>16</v>
      </c>
      <c r="T109" s="51">
        <v>15.8</v>
      </c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10</v>
      </c>
      <c r="AQ109" s="89" t="str">
        <f t="shared" si="7"/>
        <v/>
      </c>
      <c r="AR109" s="89">
        <f>IFERROR(VLOOKUP(A109,Climatologia!A:U,9+$E$2,FALSE),"")</f>
        <v>13.685588761174969</v>
      </c>
      <c r="AS109" s="89" t="str">
        <f t="shared" si="8"/>
        <v/>
      </c>
      <c r="AT109" s="90">
        <f t="shared" si="9"/>
        <v>14.6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09" s="92">
        <f t="shared" si="10"/>
        <v>6.6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17.600000000000001</v>
      </c>
      <c r="L110" s="51">
        <v>18.600000000000001</v>
      </c>
      <c r="M110" s="51">
        <v>17.8</v>
      </c>
      <c r="N110" s="51">
        <v>19.2</v>
      </c>
      <c r="O110" s="51"/>
      <c r="P110" s="51"/>
      <c r="Q110" s="51">
        <v>17.399999999999999</v>
      </c>
      <c r="R110" s="51">
        <v>19.2</v>
      </c>
      <c r="S110" s="51">
        <v>18.8</v>
      </c>
      <c r="T110" s="51">
        <v>18.399999999999999</v>
      </c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8</v>
      </c>
      <c r="AQ110" s="89" t="str">
        <f t="shared" si="7"/>
        <v/>
      </c>
      <c r="AR110" s="89">
        <f>IFERROR(VLOOKUP(A110,Climatologia!A:U,9+$E$2,FALSE),"")</f>
        <v>16.876051428203631</v>
      </c>
      <c r="AS110" s="89" t="str">
        <f t="shared" si="8"/>
        <v/>
      </c>
      <c r="AT110" s="90">
        <f t="shared" si="9"/>
        <v>17.399999999999999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0" s="92">
        <f t="shared" si="10"/>
        <v>3.9999999999999982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24.8</v>
      </c>
      <c r="L111" s="51">
        <v>21.6</v>
      </c>
      <c r="M111" s="51">
        <v>23.6</v>
      </c>
      <c r="N111" s="51">
        <v>24</v>
      </c>
      <c r="O111" s="51">
        <v>23.2</v>
      </c>
      <c r="P111" s="51">
        <v>21</v>
      </c>
      <c r="Q111" s="51">
        <v>23.2</v>
      </c>
      <c r="R111" s="51">
        <v>23.8</v>
      </c>
      <c r="S111" s="51">
        <v>24.8</v>
      </c>
      <c r="T111" s="51">
        <v>24</v>
      </c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10</v>
      </c>
      <c r="AQ111" s="89" t="str">
        <f t="shared" si="7"/>
        <v/>
      </c>
      <c r="AR111" s="89">
        <f>IFERROR(VLOOKUP(A111,Climatologia!A:U,9+$E$2,FALSE),"")</f>
        <v>22.868438849358391</v>
      </c>
      <c r="AS111" s="89" t="str">
        <f t="shared" si="8"/>
        <v/>
      </c>
      <c r="AT111" s="90">
        <f t="shared" si="9"/>
        <v>21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14.4</v>
      </c>
      <c r="L112" s="51">
        <v>14.6</v>
      </c>
      <c r="M112" s="51">
        <v>16.5</v>
      </c>
      <c r="N112" s="51">
        <v>14.2</v>
      </c>
      <c r="O112" s="51">
        <v>15.5</v>
      </c>
      <c r="P112" s="51">
        <v>14.2</v>
      </c>
      <c r="Q112" s="51">
        <v>16.5</v>
      </c>
      <c r="R112" s="51">
        <v>15.8</v>
      </c>
      <c r="S112" s="51">
        <v>14.4</v>
      </c>
      <c r="T112" s="51">
        <v>15.6</v>
      </c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10</v>
      </c>
      <c r="AQ112" s="89" t="str">
        <f t="shared" si="7"/>
        <v/>
      </c>
      <c r="AR112" s="89">
        <f>IFERROR(VLOOKUP(A112,Climatologia!A:U,9+$E$2,FALSE),"")</f>
        <v>15.184620689655169</v>
      </c>
      <c r="AS112" s="89" t="str">
        <f t="shared" si="8"/>
        <v/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8.4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2" s="92">
        <f t="shared" si="10"/>
        <v>5.7999999999999989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21.4</v>
      </c>
      <c r="L113" s="51">
        <v>18.399999999999999</v>
      </c>
      <c r="M113" s="51">
        <v>19.2</v>
      </c>
      <c r="N113" s="51">
        <v>19.399999999999999</v>
      </c>
      <c r="O113" s="51">
        <v>19</v>
      </c>
      <c r="P113" s="51">
        <v>17.600000000000001</v>
      </c>
      <c r="Q113" s="51">
        <v>19.399999999999999</v>
      </c>
      <c r="R113" s="51">
        <v>20</v>
      </c>
      <c r="S113" s="51">
        <v>20.2</v>
      </c>
      <c r="T113" s="51">
        <v>19.8</v>
      </c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10</v>
      </c>
      <c r="AQ113" s="89" t="str">
        <f t="shared" si="7"/>
        <v/>
      </c>
      <c r="AR113" s="89">
        <f>IFERROR(VLOOKUP(A113,Climatologia!A:U,9+$E$2,FALSE),"")</f>
        <v>22.39663970483894</v>
      </c>
      <c r="AS113" s="89" t="str">
        <f t="shared" si="8"/>
        <v/>
      </c>
      <c r="AT113" s="90">
        <f t="shared" si="9"/>
        <v>17.600000000000001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3" s="92">
        <f t="shared" si="10"/>
        <v>-0.39999999999999858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/>
      <c r="L114" s="51">
        <v>21.6</v>
      </c>
      <c r="M114" s="51"/>
      <c r="N114" s="51"/>
      <c r="O114" s="51"/>
      <c r="P114" s="51">
        <v>22</v>
      </c>
      <c r="Q114" s="51">
        <v>21.8</v>
      </c>
      <c r="R114" s="51">
        <v>22</v>
      </c>
      <c r="S114" s="51">
        <v>23</v>
      </c>
      <c r="T114" s="51">
        <v>23.2</v>
      </c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6</v>
      </c>
      <c r="AQ114" s="89" t="str">
        <f t="shared" si="7"/>
        <v/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21.6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>
        <v>20.2</v>
      </c>
      <c r="L115" s="51">
        <v>19.399999999999999</v>
      </c>
      <c r="M115" s="51">
        <v>20.2</v>
      </c>
      <c r="N115" s="51">
        <v>21.2</v>
      </c>
      <c r="O115" s="51">
        <v>22.4</v>
      </c>
      <c r="P115" s="51">
        <v>20.2</v>
      </c>
      <c r="Q115" s="51">
        <v>20.2</v>
      </c>
      <c r="R115" s="51">
        <v>21.2</v>
      </c>
      <c r="S115" s="51">
        <v>20.2</v>
      </c>
      <c r="T115" s="51">
        <v>20.2</v>
      </c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10</v>
      </c>
      <c r="AQ115" s="89" t="str">
        <f t="shared" si="7"/>
        <v/>
      </c>
      <c r="AR115" s="89">
        <f>IFERROR(VLOOKUP(A115,Climatologia!A:U,9+$E$2,FALSE),"")</f>
        <v>18.540485312899111</v>
      </c>
      <c r="AS115" s="89" t="str">
        <f t="shared" si="8"/>
        <v/>
      </c>
      <c r="AT115" s="90">
        <f t="shared" si="9"/>
        <v>19.399999999999999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14.5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5" s="92">
        <f t="shared" si="10"/>
        <v>4.8999999999999986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22.2</v>
      </c>
      <c r="L116" s="51"/>
      <c r="M116" s="51">
        <v>22.4</v>
      </c>
      <c r="N116" s="51">
        <v>22.2</v>
      </c>
      <c r="O116" s="51">
        <v>22</v>
      </c>
      <c r="P116" s="51">
        <v>22.2</v>
      </c>
      <c r="Q116" s="51"/>
      <c r="R116" s="51">
        <v>24.2</v>
      </c>
      <c r="S116" s="51">
        <v>22.6</v>
      </c>
      <c r="T116" s="51">
        <v>24</v>
      </c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8</v>
      </c>
      <c r="AQ116" s="89" t="str">
        <f t="shared" si="7"/>
        <v/>
      </c>
      <c r="AR116" s="89">
        <f>IFERROR(VLOOKUP(A116,Climatologia!A:U,9+$E$2,FALSE),"")</f>
        <v>22.374270023718299</v>
      </c>
      <c r="AS116" s="89" t="str">
        <f t="shared" si="8"/>
        <v/>
      </c>
      <c r="AT116" s="90">
        <f t="shared" si="9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6" s="92">
        <f t="shared" si="10"/>
        <v>4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 t="s">
        <v>1271</v>
      </c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21.63752371829958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4.5999999999999996</v>
      </c>
      <c r="L118" s="51">
        <v>7.4</v>
      </c>
      <c r="M118" s="51">
        <v>9.6</v>
      </c>
      <c r="N118" s="51">
        <v>8</v>
      </c>
      <c r="O118" s="51">
        <v>9.1999999999999993</v>
      </c>
      <c r="P118" s="51">
        <v>7.6</v>
      </c>
      <c r="Q118" s="51">
        <v>8.8000000000000007</v>
      </c>
      <c r="R118" s="51">
        <v>8.6</v>
      </c>
      <c r="S118" s="51">
        <v>10.199999999999999</v>
      </c>
      <c r="T118" s="51">
        <v>9.1999999999999993</v>
      </c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10</v>
      </c>
      <c r="AQ118" s="89" t="str">
        <f t="shared" si="7"/>
        <v/>
      </c>
      <c r="AR118" s="89">
        <f>IFERROR(VLOOKUP(A118,Climatologia!A:U,9+$E$2,FALSE),"")</f>
        <v>5.3443424510780826</v>
      </c>
      <c r="AS118" s="89" t="str">
        <f t="shared" si="8"/>
        <v/>
      </c>
      <c r="AT118" s="90">
        <f t="shared" si="9"/>
        <v>4.5999999999999996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8" s="92">
        <f t="shared" si="10"/>
        <v>6.1999999999999993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 t="s">
        <v>1271</v>
      </c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19.974118469865591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8.3000000000000007</v>
      </c>
      <c r="L120" s="51">
        <v>9.3000000000000007</v>
      </c>
      <c r="M120" s="51">
        <v>10.5</v>
      </c>
      <c r="N120" s="51">
        <v>12.9</v>
      </c>
      <c r="O120" s="51">
        <v>12.4</v>
      </c>
      <c r="P120" s="51">
        <v>12.7</v>
      </c>
      <c r="Q120" s="51">
        <v>10.4</v>
      </c>
      <c r="R120" s="51">
        <v>11.5</v>
      </c>
      <c r="S120" s="51">
        <v>10.7</v>
      </c>
      <c r="T120" s="51">
        <v>11.4</v>
      </c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10</v>
      </c>
      <c r="AQ120" s="89" t="str">
        <f t="shared" si="7"/>
        <v/>
      </c>
      <c r="AR120" s="89">
        <f>IFERROR(VLOOKUP(A120,Climatologia!A:U,9+$E$2,FALSE),"")</f>
        <v>10.619220882169749</v>
      </c>
      <c r="AS120" s="89" t="str">
        <f t="shared" si="8"/>
        <v/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3.4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0" s="92">
        <f t="shared" si="10"/>
        <v>4.9000000000000004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 t="s">
        <v>1271</v>
      </c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13.27264042872071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5.4</v>
      </c>
      <c r="L122" s="51">
        <v>6.8</v>
      </c>
      <c r="M122" s="51">
        <v>9.8000000000000007</v>
      </c>
      <c r="N122" s="51">
        <v>7.8</v>
      </c>
      <c r="O122" s="51">
        <v>9.1999999999999993</v>
      </c>
      <c r="P122" s="51">
        <v>7.2</v>
      </c>
      <c r="Q122" s="51">
        <v>7</v>
      </c>
      <c r="R122" s="51">
        <v>5.8</v>
      </c>
      <c r="S122" s="51">
        <v>8</v>
      </c>
      <c r="T122" s="51">
        <v>9</v>
      </c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10</v>
      </c>
      <c r="AQ122" s="89" t="str">
        <f t="shared" si="7"/>
        <v/>
      </c>
      <c r="AR122" s="89">
        <f>IFERROR(VLOOKUP(A122,Climatologia!A:U,9+$E$2,FALSE),"")</f>
        <v>7.3917414401264976</v>
      </c>
      <c r="AS122" s="89" t="str">
        <f t="shared" si="8"/>
        <v/>
      </c>
      <c r="AT122" s="90">
        <f t="shared" si="9"/>
        <v>5.4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1.2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2" s="92">
        <f t="shared" si="10"/>
        <v>4.2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 t="s">
        <v>1271</v>
      </c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20.95607142857143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17.399999999999999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 t="s">
        <v>1271</v>
      </c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23.01698412698412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11.4</v>
      </c>
      <c r="L125" s="51">
        <v>12.6</v>
      </c>
      <c r="M125" s="51">
        <v>13.9</v>
      </c>
      <c r="N125" s="51">
        <v>13.8</v>
      </c>
      <c r="O125" s="51">
        <v>13.7</v>
      </c>
      <c r="P125" s="51">
        <v>13.2</v>
      </c>
      <c r="Q125" s="51">
        <v>12.6</v>
      </c>
      <c r="R125" s="51">
        <v>12.8</v>
      </c>
      <c r="S125" s="51">
        <v>14.7</v>
      </c>
      <c r="T125" s="51">
        <v>12.8</v>
      </c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10</v>
      </c>
      <c r="AQ125" s="89" t="str">
        <f t="shared" si="7"/>
        <v/>
      </c>
      <c r="AR125" s="89">
        <f>IFERROR(VLOOKUP(A125,Climatologia!A:U,9+$E$2,FALSE),"")</f>
        <v>11.326784072249589</v>
      </c>
      <c r="AS125" s="89" t="str">
        <f t="shared" si="8"/>
        <v/>
      </c>
      <c r="AT125" s="90">
        <f t="shared" si="9"/>
        <v>11.4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4.7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5" s="92">
        <f t="shared" si="10"/>
        <v>6.7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13.4</v>
      </c>
      <c r="L126" s="51">
        <v>14.4</v>
      </c>
      <c r="M126" s="51">
        <v>15.8</v>
      </c>
      <c r="N126" s="51">
        <v>15.4</v>
      </c>
      <c r="O126" s="51">
        <v>15.2</v>
      </c>
      <c r="P126" s="51">
        <v>15.6</v>
      </c>
      <c r="Q126" s="51">
        <v>15.4</v>
      </c>
      <c r="R126" s="51">
        <v>15.6</v>
      </c>
      <c r="S126" s="51">
        <v>16.2</v>
      </c>
      <c r="T126" s="51">
        <v>14.4</v>
      </c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10</v>
      </c>
      <c r="AQ126" s="89" t="str">
        <f t="shared" si="7"/>
        <v/>
      </c>
      <c r="AR126" s="89">
        <f>IFERROR(VLOOKUP(A126,Climatologia!A:U,9+$E$2,FALSE),"")</f>
        <v>13.24615019157088</v>
      </c>
      <c r="AS126" s="89" t="str">
        <f t="shared" si="8"/>
        <v/>
      </c>
      <c r="AT126" s="90">
        <f t="shared" si="9"/>
        <v>13.4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6" s="92">
        <f t="shared" si="10"/>
        <v>5.2000000000000011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 t="s">
        <v>1271</v>
      </c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14.9793962585034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10.199999999999999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8.8000000000000007</v>
      </c>
      <c r="L128" s="51">
        <v>10.199999999999999</v>
      </c>
      <c r="M128" s="51">
        <v>10.8</v>
      </c>
      <c r="N128" s="51">
        <v>9.6</v>
      </c>
      <c r="O128" s="51">
        <v>11.4</v>
      </c>
      <c r="P128" s="51">
        <v>9.1999999999999993</v>
      </c>
      <c r="Q128" s="51">
        <v>8.8000000000000007</v>
      </c>
      <c r="R128" s="51">
        <v>9.8000000000000007</v>
      </c>
      <c r="S128" s="51">
        <v>10.8</v>
      </c>
      <c r="T128" s="51" t="s">
        <v>1271</v>
      </c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9</v>
      </c>
      <c r="AQ128" s="89" t="str">
        <f t="shared" si="7"/>
        <v/>
      </c>
      <c r="AR128" s="89">
        <f>IFERROR(VLOOKUP(A128,Climatologia!A:U,9+$E$2,FALSE),"")</f>
        <v>9.1450862068965524</v>
      </c>
      <c r="AS128" s="89" t="str">
        <f t="shared" si="8"/>
        <v/>
      </c>
      <c r="AT128" s="90">
        <f t="shared" si="9"/>
        <v>8.8000000000000007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8" s="92">
        <f t="shared" si="10"/>
        <v>4.8000000000000007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9.4</v>
      </c>
      <c r="L129" s="51">
        <v>13</v>
      </c>
      <c r="M129" s="51">
        <v>12.6</v>
      </c>
      <c r="N129" s="51">
        <v>13</v>
      </c>
      <c r="O129" s="51">
        <v>12.4</v>
      </c>
      <c r="P129" s="51">
        <v>11.8</v>
      </c>
      <c r="Q129" s="51">
        <v>12.2</v>
      </c>
      <c r="R129" s="51">
        <v>9.8000000000000007</v>
      </c>
      <c r="S129" s="51">
        <v>14.6</v>
      </c>
      <c r="T129" s="51" t="s">
        <v>1271</v>
      </c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9</v>
      </c>
      <c r="AQ129" s="89" t="str">
        <f t="shared" si="7"/>
        <v/>
      </c>
      <c r="AR129" s="89">
        <f>IFERROR(VLOOKUP(A129,Climatologia!A:U,9+$E$2,FALSE),"")</f>
        <v>10.51523938340441</v>
      </c>
      <c r="AS129" s="89" t="str">
        <f t="shared" si="8"/>
        <v/>
      </c>
      <c r="AT129" s="90">
        <f t="shared" si="9"/>
        <v>9.4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29" s="92">
        <f t="shared" si="10"/>
        <v>2.4000000000000004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14.6</v>
      </c>
      <c r="L130" s="51">
        <v>15.2</v>
      </c>
      <c r="M130" s="51">
        <v>14.8</v>
      </c>
      <c r="N130" s="51">
        <v>16</v>
      </c>
      <c r="O130" s="51">
        <v>15.6</v>
      </c>
      <c r="P130" s="51">
        <v>15.4</v>
      </c>
      <c r="Q130" s="51">
        <v>15.2</v>
      </c>
      <c r="R130" s="51">
        <v>15</v>
      </c>
      <c r="S130" s="51">
        <v>14</v>
      </c>
      <c r="T130" s="51">
        <v>15.6</v>
      </c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10</v>
      </c>
      <c r="AQ130" s="89" t="str">
        <f t="shared" si="7"/>
        <v/>
      </c>
      <c r="AR130" s="89">
        <f>IFERROR(VLOOKUP(A130,Climatologia!A:U,9+$E$2,FALSE),"")</f>
        <v>14.537346512473739</v>
      </c>
      <c r="AS130" s="89" t="str">
        <f t="shared" si="8"/>
        <v/>
      </c>
      <c r="AT130" s="90">
        <f t="shared" si="9"/>
        <v>14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2.2000000000000002</v>
      </c>
      <c r="L131" s="51">
        <v>3</v>
      </c>
      <c r="M131" s="51">
        <v>6.2</v>
      </c>
      <c r="N131" s="51">
        <v>6.4</v>
      </c>
      <c r="O131" s="51">
        <v>6</v>
      </c>
      <c r="P131" s="51">
        <v>6.4</v>
      </c>
      <c r="Q131" s="51">
        <v>6.2</v>
      </c>
      <c r="R131" s="51">
        <v>6.4</v>
      </c>
      <c r="S131" s="51">
        <v>5.2</v>
      </c>
      <c r="T131" s="51" t="s">
        <v>1271</v>
      </c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9</v>
      </c>
      <c r="AQ131" s="89" t="str">
        <f t="shared" si="7"/>
        <v/>
      </c>
      <c r="AR131" s="89">
        <f>IFERROR(VLOOKUP(A131,Climatologia!A:U,9+$E$2,FALSE),"")</f>
        <v>5.9172796934865914</v>
      </c>
      <c r="AS131" s="89" t="str">
        <f t="shared" si="8"/>
        <v/>
      </c>
      <c r="AT131" s="90">
        <f t="shared" si="9"/>
        <v>2.2000000000000002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1" s="92">
        <f t="shared" si="10"/>
        <v>1.0000000000000002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 t="s">
        <v>1271</v>
      </c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15.46328945133345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14.2</v>
      </c>
      <c r="L133" s="51">
        <v>16</v>
      </c>
      <c r="M133" s="51">
        <v>15.8</v>
      </c>
      <c r="N133" s="51">
        <v>16.2</v>
      </c>
      <c r="O133" s="51">
        <v>15.4</v>
      </c>
      <c r="P133" s="51">
        <v>17</v>
      </c>
      <c r="Q133" s="51">
        <v>15</v>
      </c>
      <c r="R133" s="51">
        <v>14.8</v>
      </c>
      <c r="S133" s="51">
        <v>16.600000000000001</v>
      </c>
      <c r="T133" s="51">
        <v>14.2</v>
      </c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10</v>
      </c>
      <c r="AQ133" s="89" t="str">
        <f t="shared" ref="AQ133:AQ196" si="12">IF(AP133&gt;14,AVERAGE(K133:AO133),"")</f>
        <v/>
      </c>
      <c r="AR133" s="89">
        <f>IFERROR(VLOOKUP(A133,Climatologia!A:U,9+$E$2,FALSE),"")</f>
        <v>13.931554654444071</v>
      </c>
      <c r="AS133" s="89" t="str">
        <f t="shared" ref="AS133:AS196" si="13">IF(OR(AQ133="",AR133=""),"",IFERROR(AQ133-AR133,""))</f>
        <v/>
      </c>
      <c r="AT133" s="90">
        <f t="shared" ref="AT133:AT196" si="14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3" s="92">
        <f t="shared" ref="AW133:AW196" si="15">IF(OR(AT133="",AU133=""),"NA",IFERROR(AT133-AU133,"NA"))</f>
        <v>4.1999999999999993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8.4</v>
      </c>
      <c r="L134" s="51">
        <v>9</v>
      </c>
      <c r="M134" s="51">
        <v>12</v>
      </c>
      <c r="N134" s="51">
        <v>12</v>
      </c>
      <c r="O134" s="51"/>
      <c r="P134" s="51"/>
      <c r="Q134" s="51">
        <v>10</v>
      </c>
      <c r="R134" s="51">
        <v>10.8</v>
      </c>
      <c r="S134" s="51">
        <v>11.8</v>
      </c>
      <c r="T134" s="51">
        <v>11</v>
      </c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8</v>
      </c>
      <c r="AQ134" s="89" t="str">
        <f t="shared" si="12"/>
        <v/>
      </c>
      <c r="AR134" s="89">
        <f>IFERROR(VLOOKUP(A134,Climatologia!A:U,9+$E$2,FALSE),"")</f>
        <v>9.2348212445501403</v>
      </c>
      <c r="AS134" s="89" t="str">
        <f t="shared" si="13"/>
        <v/>
      </c>
      <c r="AT134" s="90">
        <f t="shared" si="14"/>
        <v>8.4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4" s="92">
        <f t="shared" si="15"/>
        <v>3.4000000000000004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10.4</v>
      </c>
      <c r="L135" s="51">
        <v>12</v>
      </c>
      <c r="M135" s="51">
        <v>13.8</v>
      </c>
      <c r="N135" s="51">
        <v>9.1999999999999993</v>
      </c>
      <c r="O135" s="51">
        <v>16</v>
      </c>
      <c r="P135" s="51">
        <v>14.4</v>
      </c>
      <c r="Q135" s="51">
        <v>11.6</v>
      </c>
      <c r="R135" s="51">
        <v>12</v>
      </c>
      <c r="S135" s="51">
        <v>16.2</v>
      </c>
      <c r="T135" s="51">
        <v>11.8</v>
      </c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10</v>
      </c>
      <c r="AQ135" s="89" t="str">
        <f t="shared" si="12"/>
        <v/>
      </c>
      <c r="AR135" s="89">
        <f>IFERROR(VLOOKUP(A135,Climatologia!A:U,9+$E$2,FALSE),"")</f>
        <v>12.205965517241379</v>
      </c>
      <c r="AS135" s="89" t="str">
        <f t="shared" si="13"/>
        <v/>
      </c>
      <c r="AT135" s="90">
        <f t="shared" si="14"/>
        <v>9.1999999999999993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5" s="92">
        <f t="shared" si="15"/>
        <v>1.1999999999999993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6.4</v>
      </c>
      <c r="L136" s="51">
        <v>9.1999999999999993</v>
      </c>
      <c r="M136" s="51">
        <v>10.8</v>
      </c>
      <c r="N136" s="51">
        <v>9</v>
      </c>
      <c r="O136" s="51">
        <v>10.8</v>
      </c>
      <c r="P136" s="51">
        <v>8</v>
      </c>
      <c r="Q136" s="51">
        <v>7.2</v>
      </c>
      <c r="R136" s="51">
        <v>8.6</v>
      </c>
      <c r="S136" s="51">
        <v>10</v>
      </c>
      <c r="T136" s="51">
        <v>10.6</v>
      </c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10</v>
      </c>
      <c r="AQ136" s="89" t="str">
        <f t="shared" si="12"/>
        <v/>
      </c>
      <c r="AR136" s="89">
        <f>IFERROR(VLOOKUP(A136,Climatologia!A:U,9+$E$2,FALSE),"")</f>
        <v>8.3700583367250037</v>
      </c>
      <c r="AS136" s="89" t="str">
        <f t="shared" si="13"/>
        <v/>
      </c>
      <c r="AT136" s="90">
        <f t="shared" si="14"/>
        <v>6.4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6" s="92">
        <f t="shared" si="15"/>
        <v>3.6000000000000005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6</v>
      </c>
      <c r="L137" s="51">
        <v>6.2</v>
      </c>
      <c r="M137" s="51">
        <v>8.4</v>
      </c>
      <c r="N137" s="51">
        <v>8</v>
      </c>
      <c r="O137" s="51">
        <v>8.4</v>
      </c>
      <c r="P137" s="51">
        <v>5.6</v>
      </c>
      <c r="Q137" s="51">
        <v>6.2</v>
      </c>
      <c r="R137" s="51">
        <v>6</v>
      </c>
      <c r="S137" s="51">
        <v>6.4</v>
      </c>
      <c r="T137" s="51">
        <v>7.2</v>
      </c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10</v>
      </c>
      <c r="AQ137" s="89" t="str">
        <f t="shared" si="12"/>
        <v/>
      </c>
      <c r="AR137" s="89">
        <f>IFERROR(VLOOKUP(A137,Climatologia!A:U,9+$E$2,FALSE),"")</f>
        <v>6.6653428458184703</v>
      </c>
      <c r="AS137" s="89" t="str">
        <f t="shared" si="13"/>
        <v/>
      </c>
      <c r="AT137" s="90">
        <f t="shared" si="14"/>
        <v>5.6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2.2000000000000002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7" s="92">
        <f t="shared" si="15"/>
        <v>3.3999999999999995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23.8</v>
      </c>
      <c r="L138" s="51">
        <v>23.6</v>
      </c>
      <c r="M138" s="51">
        <v>24.2</v>
      </c>
      <c r="N138" s="51">
        <v>25.4</v>
      </c>
      <c r="O138" s="51">
        <v>24.6</v>
      </c>
      <c r="P138" s="51">
        <v>24.2</v>
      </c>
      <c r="Q138" s="51">
        <v>24</v>
      </c>
      <c r="R138" s="51">
        <v>24.2</v>
      </c>
      <c r="S138" s="51">
        <v>24.6</v>
      </c>
      <c r="T138" s="51">
        <v>24.4</v>
      </c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10</v>
      </c>
      <c r="AQ138" s="89" t="str">
        <f t="shared" si="12"/>
        <v/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11.8</v>
      </c>
      <c r="L139" s="51">
        <v>12</v>
      </c>
      <c r="M139" s="51">
        <v>12.2</v>
      </c>
      <c r="N139" s="51">
        <v>10.4</v>
      </c>
      <c r="O139" s="51">
        <v>12.2</v>
      </c>
      <c r="P139" s="51">
        <v>11.8</v>
      </c>
      <c r="Q139" s="51">
        <v>11.2</v>
      </c>
      <c r="R139" s="51">
        <v>12</v>
      </c>
      <c r="S139" s="51">
        <v>10.8</v>
      </c>
      <c r="T139" s="51">
        <v>11.8</v>
      </c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10</v>
      </c>
      <c r="AQ139" s="89" t="str">
        <f t="shared" si="12"/>
        <v/>
      </c>
      <c r="AR139" s="89">
        <f>IFERROR(VLOOKUP(A139,Climatologia!A:U,9+$E$2,FALSE),"")</f>
        <v>10.703855500821019</v>
      </c>
      <c r="AS139" s="89" t="str">
        <f t="shared" si="13"/>
        <v/>
      </c>
      <c r="AT139" s="90">
        <f t="shared" si="14"/>
        <v>10.4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39" s="92">
        <f t="shared" si="15"/>
        <v>5.4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16.2</v>
      </c>
      <c r="L140" s="51">
        <v>15.6</v>
      </c>
      <c r="M140" s="51">
        <v>15.4</v>
      </c>
      <c r="N140" s="51">
        <v>14.6</v>
      </c>
      <c r="O140" s="51">
        <v>14.8</v>
      </c>
      <c r="P140" s="51">
        <v>14.4</v>
      </c>
      <c r="Q140" s="51">
        <v>14.4</v>
      </c>
      <c r="R140" s="51">
        <v>14.2</v>
      </c>
      <c r="S140" s="51">
        <v>15</v>
      </c>
      <c r="T140" s="51">
        <v>14.8</v>
      </c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10</v>
      </c>
      <c r="AQ140" s="89" t="str">
        <f t="shared" si="12"/>
        <v/>
      </c>
      <c r="AR140" s="89">
        <f>IFERROR(VLOOKUP(A140,Climatologia!A:U,9+$E$2,FALSE),"")</f>
        <v>14.545254688445249</v>
      </c>
      <c r="AS140" s="89" t="str">
        <f t="shared" si="13"/>
        <v/>
      </c>
      <c r="AT140" s="90">
        <f t="shared" si="14"/>
        <v>14.2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0" s="92">
        <f t="shared" si="15"/>
        <v>2.3999999999999986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24.8</v>
      </c>
      <c r="L141" s="51">
        <v>24.4</v>
      </c>
      <c r="M141" s="51">
        <v>23.4</v>
      </c>
      <c r="N141" s="51">
        <v>24.2</v>
      </c>
      <c r="O141" s="51">
        <v>24.4</v>
      </c>
      <c r="P141" s="51">
        <v>24.8</v>
      </c>
      <c r="Q141" s="51">
        <v>24</v>
      </c>
      <c r="R141" s="51">
        <v>26</v>
      </c>
      <c r="S141" s="51">
        <v>27.2</v>
      </c>
      <c r="T141" s="51">
        <v>26.4</v>
      </c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10</v>
      </c>
      <c r="AQ141" s="89" t="str">
        <f t="shared" si="12"/>
        <v/>
      </c>
      <c r="AR141" s="89">
        <f>IFERROR(VLOOKUP(A141,Climatologia!A:U,9+$E$2,FALSE),"")</f>
        <v>22.455977862920388</v>
      </c>
      <c r="AS141" s="89" t="str">
        <f t="shared" si="13"/>
        <v/>
      </c>
      <c r="AT141" s="90">
        <f t="shared" si="14"/>
        <v>23.4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1" s="92">
        <f t="shared" si="15"/>
        <v>4.3999999999999986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20.399999999999999</v>
      </c>
      <c r="L142" s="51">
        <v>21</v>
      </c>
      <c r="M142" s="51">
        <v>21.2</v>
      </c>
      <c r="N142" s="51">
        <v>20.6</v>
      </c>
      <c r="O142" s="51">
        <v>20.399999999999999</v>
      </c>
      <c r="P142" s="51">
        <v>20.399999999999999</v>
      </c>
      <c r="Q142" s="51">
        <v>20.6</v>
      </c>
      <c r="R142" s="51">
        <v>22.2</v>
      </c>
      <c r="S142" s="51">
        <v>20.2</v>
      </c>
      <c r="T142" s="51">
        <v>21.2</v>
      </c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10</v>
      </c>
      <c r="AQ142" s="89" t="str">
        <f t="shared" si="12"/>
        <v/>
      </c>
      <c r="AR142" s="89">
        <f>IFERROR(VLOOKUP(A142,Climatologia!A:U,9+$E$2,FALSE),"")</f>
        <v>19.329999999999998</v>
      </c>
      <c r="AS142" s="89" t="str">
        <f t="shared" si="13"/>
        <v/>
      </c>
      <c r="AT142" s="90">
        <f t="shared" si="14"/>
        <v>20.2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15.2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2" s="92">
        <f t="shared" si="15"/>
        <v>5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25</v>
      </c>
      <c r="L143" s="51">
        <v>25.2</v>
      </c>
      <c r="M143" s="51">
        <v>24.8</v>
      </c>
      <c r="N143" s="51">
        <v>24.2</v>
      </c>
      <c r="O143" s="51">
        <v>25</v>
      </c>
      <c r="P143" s="51">
        <v>24.4</v>
      </c>
      <c r="Q143" s="51">
        <v>24</v>
      </c>
      <c r="R143" s="51">
        <v>26</v>
      </c>
      <c r="S143" s="51">
        <v>24.8</v>
      </c>
      <c r="T143" s="51">
        <v>25.8</v>
      </c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10</v>
      </c>
      <c r="AQ143" s="89" t="str">
        <f t="shared" si="12"/>
        <v/>
      </c>
      <c r="AR143" s="89">
        <f>IFERROR(VLOOKUP(A143,Climatologia!A:U,9+$E$2,FALSE),"")</f>
        <v>23.11510704812429</v>
      </c>
      <c r="AS143" s="89" t="str">
        <f t="shared" si="13"/>
        <v/>
      </c>
      <c r="AT143" s="90">
        <f t="shared" si="14"/>
        <v>24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3" s="92">
        <f t="shared" si="15"/>
        <v>7.8000000000000007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>
        <v>18.2</v>
      </c>
      <c r="L144" s="51">
        <v>18</v>
      </c>
      <c r="M144" s="51">
        <v>17.2</v>
      </c>
      <c r="N144" s="51">
        <v>17.600000000000001</v>
      </c>
      <c r="O144" s="51">
        <v>16.600000000000001</v>
      </c>
      <c r="P144" s="51">
        <v>15.2</v>
      </c>
      <c r="Q144" s="51">
        <v>14.6</v>
      </c>
      <c r="R144" s="51">
        <v>19.2</v>
      </c>
      <c r="S144" s="51">
        <v>15.6</v>
      </c>
      <c r="T144" s="51">
        <v>18</v>
      </c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10</v>
      </c>
      <c r="AQ144" s="89" t="str">
        <f t="shared" si="12"/>
        <v/>
      </c>
      <c r="AR144" s="89">
        <f>IFERROR(VLOOKUP(A144,Climatologia!A:U,9+$E$2,FALSE),"")</f>
        <v>16.00302197802198</v>
      </c>
      <c r="AS144" s="89" t="str">
        <f t="shared" si="13"/>
        <v/>
      </c>
      <c r="AT144" s="90">
        <f t="shared" si="14"/>
        <v>14.6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11.4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4" s="92">
        <f t="shared" si="15"/>
        <v>3.1999999999999993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</v>
      </c>
      <c r="L145" s="51">
        <v>14</v>
      </c>
      <c r="M145" s="51">
        <v>14</v>
      </c>
      <c r="N145" s="51">
        <v>13.6</v>
      </c>
      <c r="O145" s="51">
        <v>16.2</v>
      </c>
      <c r="P145" s="51">
        <v>11.4</v>
      </c>
      <c r="Q145" s="51">
        <v>11.2</v>
      </c>
      <c r="R145" s="51">
        <v>12.2</v>
      </c>
      <c r="S145" s="51">
        <v>12</v>
      </c>
      <c r="T145" s="51">
        <v>13.2</v>
      </c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10</v>
      </c>
      <c r="AQ145" s="89" t="str">
        <f t="shared" si="12"/>
        <v/>
      </c>
      <c r="AR145" s="89">
        <f>IFERROR(VLOOKUP(A145,Climatologia!A:U,9+$E$2,FALSE),"")</f>
        <v>14.45928882262166</v>
      </c>
      <c r="AS145" s="89" t="str">
        <f t="shared" si="13"/>
        <v/>
      </c>
      <c r="AT145" s="90">
        <f t="shared" si="14"/>
        <v>11.2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8.6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5" s="92">
        <f t="shared" si="15"/>
        <v>2.5999999999999996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17.2</v>
      </c>
      <c r="L146" s="51">
        <v>17</v>
      </c>
      <c r="M146" s="51">
        <v>16.2</v>
      </c>
      <c r="N146" s="51">
        <v>16.2</v>
      </c>
      <c r="O146" s="51">
        <v>16.600000000000001</v>
      </c>
      <c r="P146" s="51">
        <v>16.8</v>
      </c>
      <c r="Q146" s="51">
        <v>15.2</v>
      </c>
      <c r="R146" s="51">
        <v>16.2</v>
      </c>
      <c r="S146" s="51">
        <v>17</v>
      </c>
      <c r="T146" s="51">
        <v>16.8</v>
      </c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10</v>
      </c>
      <c r="AQ146" s="89" t="str">
        <f t="shared" si="12"/>
        <v/>
      </c>
      <c r="AR146" s="89">
        <f>IFERROR(VLOOKUP(A146,Climatologia!A:U,9+$E$2,FALSE),"")</f>
        <v>14.599499815025331</v>
      </c>
      <c r="AS146" s="89" t="str">
        <f t="shared" si="13"/>
        <v/>
      </c>
      <c r="AT146" s="90">
        <f t="shared" si="14"/>
        <v>15.2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11.2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6" s="92">
        <f t="shared" si="15"/>
        <v>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 t="s">
        <v>1271</v>
      </c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22.255609026988331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17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 t="s">
        <v>1271</v>
      </c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19.720218938149969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16.399999999999999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25.8</v>
      </c>
      <c r="L149" s="51">
        <v>25.2</v>
      </c>
      <c r="M149" s="51">
        <v>24.8</v>
      </c>
      <c r="N149" s="51">
        <v>24</v>
      </c>
      <c r="O149" s="51">
        <v>23.8</v>
      </c>
      <c r="P149" s="51">
        <v>24.8</v>
      </c>
      <c r="Q149" s="51">
        <v>24.6</v>
      </c>
      <c r="R149" s="51">
        <v>24.8</v>
      </c>
      <c r="S149" s="51">
        <v>24.8</v>
      </c>
      <c r="T149" s="51">
        <v>26.2</v>
      </c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10</v>
      </c>
      <c r="AQ149" s="89" t="str">
        <f t="shared" si="12"/>
        <v/>
      </c>
      <c r="AR149" s="89">
        <f>IFERROR(VLOOKUP(A149,Climatologia!A:U,9+$E$2,FALSE),"")</f>
        <v>22.212792092964509</v>
      </c>
      <c r="AS149" s="89" t="str">
        <f t="shared" si="13"/>
        <v/>
      </c>
      <c r="AT149" s="90">
        <f t="shared" si="14"/>
        <v>23.8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49" s="92">
        <f t="shared" si="15"/>
        <v>4.8000000000000007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24.4</v>
      </c>
      <c r="L150" s="51">
        <v>25</v>
      </c>
      <c r="M150" s="51">
        <v>24.4</v>
      </c>
      <c r="N150" s="51">
        <v>23.4</v>
      </c>
      <c r="O150" s="51">
        <v>24.8</v>
      </c>
      <c r="P150" s="51">
        <v>24.4</v>
      </c>
      <c r="Q150" s="51">
        <v>26</v>
      </c>
      <c r="R150" s="51">
        <v>24</v>
      </c>
      <c r="S150" s="51">
        <v>24</v>
      </c>
      <c r="T150" s="51">
        <v>25</v>
      </c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10</v>
      </c>
      <c r="AQ150" s="89" t="str">
        <f t="shared" si="12"/>
        <v/>
      </c>
      <c r="AR150" s="89">
        <f>IFERROR(VLOOKUP(A150,Climatologia!A:U,9+$E$2,FALSE),"")</f>
        <v>23.24969243701382</v>
      </c>
      <c r="AS150" s="89" t="str">
        <f t="shared" si="13"/>
        <v/>
      </c>
      <c r="AT150" s="90">
        <f t="shared" si="14"/>
        <v>23.4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0" s="92">
        <f t="shared" si="15"/>
        <v>6.3999999999999986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15.4</v>
      </c>
      <c r="L151" s="51">
        <v>15.4</v>
      </c>
      <c r="M151" s="51">
        <v>15</v>
      </c>
      <c r="N151" s="51">
        <v>14.8</v>
      </c>
      <c r="O151" s="51">
        <v>14.2</v>
      </c>
      <c r="P151" s="51">
        <v>14.8</v>
      </c>
      <c r="Q151" s="51">
        <v>14.2</v>
      </c>
      <c r="R151" s="51">
        <v>15.4</v>
      </c>
      <c r="S151" s="51">
        <v>15.8</v>
      </c>
      <c r="T151" s="51">
        <v>16.2</v>
      </c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10</v>
      </c>
      <c r="AQ151" s="89" t="str">
        <f t="shared" si="12"/>
        <v/>
      </c>
      <c r="AR151" s="89">
        <f>IFERROR(VLOOKUP(A151,Climatologia!A:U,9+$E$2,FALSE),"")</f>
        <v>14.218116214197231</v>
      </c>
      <c r="AS151" s="89" t="str">
        <f t="shared" si="13"/>
        <v/>
      </c>
      <c r="AT151" s="90">
        <f t="shared" si="14"/>
        <v>14.2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11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1" s="92">
        <f t="shared" si="15"/>
        <v>3.1999999999999993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21.2</v>
      </c>
      <c r="L152" s="51">
        <v>19.8</v>
      </c>
      <c r="M152" s="51">
        <v>20.399999999999999</v>
      </c>
      <c r="N152" s="51">
        <v>19.399999999999999</v>
      </c>
      <c r="O152" s="51">
        <v>20.399999999999999</v>
      </c>
      <c r="P152" s="51">
        <v>20</v>
      </c>
      <c r="Q152" s="51">
        <v>18.8</v>
      </c>
      <c r="R152" s="51">
        <v>19.600000000000001</v>
      </c>
      <c r="S152" s="51">
        <v>19.399999999999999</v>
      </c>
      <c r="T152" s="51">
        <v>20.6</v>
      </c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10</v>
      </c>
      <c r="AQ152" s="89" t="str">
        <f t="shared" si="12"/>
        <v/>
      </c>
      <c r="AR152" s="89">
        <f>IFERROR(VLOOKUP(A152,Climatologia!A:U,9+$E$2,FALSE),"")</f>
        <v>19.470720699479319</v>
      </c>
      <c r="AS152" s="89" t="str">
        <f t="shared" si="13"/>
        <v/>
      </c>
      <c r="AT152" s="90">
        <f t="shared" si="14"/>
        <v>18.8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2" s="92">
        <f t="shared" si="15"/>
        <v>4.8000000000000007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</v>
      </c>
      <c r="N153" s="51">
        <v>16</v>
      </c>
      <c r="O153" s="51">
        <v>16</v>
      </c>
      <c r="P153" s="51">
        <v>15.2</v>
      </c>
      <c r="Q153" s="51">
        <v>14.8</v>
      </c>
      <c r="R153" s="51">
        <v>15</v>
      </c>
      <c r="S153" s="51">
        <v>16</v>
      </c>
      <c r="T153" s="51">
        <v>14</v>
      </c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10</v>
      </c>
      <c r="AQ153" s="89" t="str">
        <f t="shared" si="12"/>
        <v/>
      </c>
      <c r="AR153" s="89">
        <f>IFERROR(VLOOKUP(A153,Climatologia!A:U,9+$E$2,FALSE),"")</f>
        <v>15.55247935291613</v>
      </c>
      <c r="AS153" s="89" t="str">
        <f t="shared" si="13"/>
        <v/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3" s="92">
        <f t="shared" si="15"/>
        <v>3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19.399999999999999</v>
      </c>
      <c r="L154" s="51">
        <v>19</v>
      </c>
      <c r="M154" s="51">
        <v>18.8</v>
      </c>
      <c r="N154" s="51">
        <v>19.2</v>
      </c>
      <c r="O154" s="51">
        <v>18.600000000000001</v>
      </c>
      <c r="P154" s="51">
        <v>19.600000000000001</v>
      </c>
      <c r="Q154" s="51">
        <v>18</v>
      </c>
      <c r="R154" s="51">
        <v>18.2</v>
      </c>
      <c r="S154" s="51">
        <v>19</v>
      </c>
      <c r="T154" s="51">
        <v>18.399999999999999</v>
      </c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10</v>
      </c>
      <c r="AQ154" s="89" t="str">
        <f t="shared" si="12"/>
        <v/>
      </c>
      <c r="AR154" s="89">
        <f>IFERROR(VLOOKUP(A154,Climatologia!A:U,9+$E$2,FALSE),"")</f>
        <v>17.95067323481117</v>
      </c>
      <c r="AS154" s="89" t="str">
        <f t="shared" si="13"/>
        <v/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4" s="92">
        <f t="shared" si="15"/>
        <v>7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 t="s">
        <v>1271</v>
      </c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13.359148505747131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</v>
      </c>
      <c r="L156" s="51">
        <v>10</v>
      </c>
      <c r="M156" s="51">
        <v>10</v>
      </c>
      <c r="N156" s="51">
        <v>9.1999999999999993</v>
      </c>
      <c r="O156" s="51">
        <v>9</v>
      </c>
      <c r="P156" s="51">
        <v>10.6</v>
      </c>
      <c r="Q156" s="51">
        <v>10.199999999999999</v>
      </c>
      <c r="R156" s="51">
        <v>11</v>
      </c>
      <c r="S156" s="51">
        <v>10.199999999999999</v>
      </c>
      <c r="T156" s="51">
        <v>9.8000000000000007</v>
      </c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10</v>
      </c>
      <c r="AQ156" s="89" t="str">
        <f t="shared" si="12"/>
        <v/>
      </c>
      <c r="AR156" s="89">
        <f>IFERROR(VLOOKUP(A156,Climatologia!A:U,9+$E$2,FALSE),"")</f>
        <v>8.9902791461412157</v>
      </c>
      <c r="AS156" s="89" t="str">
        <f t="shared" si="13"/>
        <v/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6" s="92">
        <f t="shared" si="15"/>
        <v>3.5999999999999996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13.8</v>
      </c>
      <c r="L157" s="51">
        <v>14.2</v>
      </c>
      <c r="M157" s="51">
        <v>14.4</v>
      </c>
      <c r="N157" s="51">
        <v>14</v>
      </c>
      <c r="O157" s="51">
        <v>12.8</v>
      </c>
      <c r="P157" s="51">
        <v>14</v>
      </c>
      <c r="Q157" s="51">
        <v>13.2</v>
      </c>
      <c r="R157" s="51">
        <v>13.2</v>
      </c>
      <c r="S157" s="51">
        <v>13.6</v>
      </c>
      <c r="T157" s="51">
        <v>13.8</v>
      </c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10</v>
      </c>
      <c r="AQ157" s="89" t="str">
        <f t="shared" si="12"/>
        <v/>
      </c>
      <c r="AR157" s="89">
        <f>IFERROR(VLOOKUP(A157,Climatologia!A:U,9+$E$2,FALSE),"")</f>
        <v>14.050960919540231</v>
      </c>
      <c r="AS157" s="89" t="str">
        <f t="shared" si="13"/>
        <v/>
      </c>
      <c r="AT157" s="90">
        <f t="shared" si="14"/>
        <v>12.8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7" s="92">
        <f t="shared" si="15"/>
        <v>1.8000000000000007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21.4</v>
      </c>
      <c r="L158" s="51">
        <v>21</v>
      </c>
      <c r="M158" s="51">
        <v>21.2</v>
      </c>
      <c r="N158" s="51">
        <v>21.6</v>
      </c>
      <c r="O158" s="51">
        <v>21</v>
      </c>
      <c r="P158" s="51">
        <v>19.2</v>
      </c>
      <c r="Q158" s="51">
        <v>19.8</v>
      </c>
      <c r="R158" s="51">
        <v>21</v>
      </c>
      <c r="S158" s="51">
        <v>21.2</v>
      </c>
      <c r="T158" s="51">
        <v>20.8</v>
      </c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10</v>
      </c>
      <c r="AQ158" s="89" t="str">
        <f t="shared" si="12"/>
        <v/>
      </c>
      <c r="AR158" s="89">
        <f>IFERROR(VLOOKUP(A158,Climatologia!A:U,9+$E$2,FALSE),"")</f>
        <v>19.856944177063081</v>
      </c>
      <c r="AS158" s="89" t="str">
        <f t="shared" si="13"/>
        <v/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16.2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8" s="92">
        <f t="shared" si="15"/>
        <v>3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5.4</v>
      </c>
      <c r="L159" s="51">
        <v>6.6</v>
      </c>
      <c r="M159" s="51">
        <v>7.2</v>
      </c>
      <c r="N159" s="51">
        <v>5.8</v>
      </c>
      <c r="O159" s="51">
        <v>6.2</v>
      </c>
      <c r="P159" s="51">
        <v>6.6</v>
      </c>
      <c r="Q159" s="51">
        <v>5.8</v>
      </c>
      <c r="R159" s="51">
        <v>6</v>
      </c>
      <c r="S159" s="51">
        <v>7.2</v>
      </c>
      <c r="T159" s="51">
        <v>7</v>
      </c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10</v>
      </c>
      <c r="AQ159" s="89" t="str">
        <f t="shared" si="12"/>
        <v/>
      </c>
      <c r="AR159" s="89">
        <f>IFERROR(VLOOKUP(A159,Climatologia!A:U,9+$E$2,FALSE),"")</f>
        <v>5.302976940353874</v>
      </c>
      <c r="AS159" s="89" t="str">
        <f t="shared" si="13"/>
        <v/>
      </c>
      <c r="AT159" s="90">
        <f t="shared" si="14"/>
        <v>5.4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-4.4000000000000004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9" s="92">
        <f t="shared" si="15"/>
        <v>9.8000000000000007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</v>
      </c>
      <c r="L160" s="51">
        <v>22.2</v>
      </c>
      <c r="M160" s="51">
        <v>20.2</v>
      </c>
      <c r="N160" s="51">
        <v>22</v>
      </c>
      <c r="O160" s="51">
        <v>20</v>
      </c>
      <c r="P160" s="51">
        <v>21</v>
      </c>
      <c r="Q160" s="51">
        <v>19.600000000000001</v>
      </c>
      <c r="R160" s="51">
        <v>21</v>
      </c>
      <c r="S160" s="51">
        <v>21</v>
      </c>
      <c r="T160" s="51">
        <v>21.6</v>
      </c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10</v>
      </c>
      <c r="AQ160" s="89" t="str">
        <f t="shared" si="12"/>
        <v/>
      </c>
      <c r="AR160" s="89">
        <f>IFERROR(VLOOKUP(A160,Climatologia!A:U,9+$E$2,FALSE),"")</f>
        <v>20.703538991340711</v>
      </c>
      <c r="AS160" s="89" t="str">
        <f t="shared" si="13"/>
        <v/>
      </c>
      <c r="AT160" s="90">
        <f t="shared" si="14"/>
        <v>19.600000000000001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16.399999999999999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0" s="92">
        <f t="shared" si="15"/>
        <v>3.2000000000000028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14.8</v>
      </c>
      <c r="L161" s="51">
        <v>15.8</v>
      </c>
      <c r="M161" s="51">
        <v>16</v>
      </c>
      <c r="N161" s="51"/>
      <c r="O161" s="51">
        <v>15</v>
      </c>
      <c r="P161" s="51"/>
      <c r="Q161" s="51"/>
      <c r="R161" s="51">
        <v>14.8</v>
      </c>
      <c r="S161" s="51">
        <v>15</v>
      </c>
      <c r="T161" s="51" t="s">
        <v>1271</v>
      </c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6</v>
      </c>
      <c r="AQ161" s="89" t="str">
        <f t="shared" si="12"/>
        <v/>
      </c>
      <c r="AR161" s="89">
        <f>IFERROR(VLOOKUP(A161,Climatologia!A:U,9+$E$2,FALSE),"")</f>
        <v>13.66748994960647</v>
      </c>
      <c r="AS161" s="89" t="str">
        <f t="shared" si="13"/>
        <v/>
      </c>
      <c r="AT161" s="90">
        <f t="shared" si="14"/>
        <v>14.8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1" s="92">
        <f t="shared" si="15"/>
        <v>4.8000000000000007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19</v>
      </c>
      <c r="L162" s="51">
        <v>19.600000000000001</v>
      </c>
      <c r="M162" s="51">
        <v>19</v>
      </c>
      <c r="N162" s="51">
        <v>18</v>
      </c>
      <c r="O162" s="51">
        <v>18.600000000000001</v>
      </c>
      <c r="P162" s="51">
        <v>18.399999999999999</v>
      </c>
      <c r="Q162" s="51">
        <v>18.8</v>
      </c>
      <c r="R162" s="51">
        <v>18</v>
      </c>
      <c r="S162" s="51">
        <v>18.600000000000001</v>
      </c>
      <c r="T162" s="51">
        <v>18</v>
      </c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10</v>
      </c>
      <c r="AQ162" s="89" t="str">
        <f t="shared" si="12"/>
        <v/>
      </c>
      <c r="AR162" s="89">
        <f>IFERROR(VLOOKUP(A162,Climatologia!A:U,9+$E$2,FALSE),"")</f>
        <v>18.073157894736841</v>
      </c>
      <c r="AS162" s="89" t="str">
        <f t="shared" si="13"/>
        <v/>
      </c>
      <c r="AT162" s="90">
        <f t="shared" si="14"/>
        <v>18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15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2" s="92">
        <f t="shared" si="15"/>
        <v>3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</v>
      </c>
      <c r="L163" s="51">
        <v>20.399999999999999</v>
      </c>
      <c r="M163" s="51">
        <v>19</v>
      </c>
      <c r="N163" s="51">
        <v>19.2</v>
      </c>
      <c r="O163" s="51">
        <v>18</v>
      </c>
      <c r="P163" s="51">
        <v>18.600000000000001</v>
      </c>
      <c r="Q163" s="51">
        <v>21.6</v>
      </c>
      <c r="R163" s="51">
        <v>18</v>
      </c>
      <c r="S163" s="51">
        <v>19.2</v>
      </c>
      <c r="T163" s="51">
        <v>20.2</v>
      </c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10</v>
      </c>
      <c r="AQ163" s="89" t="str">
        <f t="shared" si="12"/>
        <v/>
      </c>
      <c r="AR163" s="89">
        <f>IFERROR(VLOOKUP(A163,Climatologia!A:U,9+$E$2,FALSE),"")</f>
        <v>19.171552610996091</v>
      </c>
      <c r="AS163" s="89" t="str">
        <f t="shared" si="13"/>
        <v/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3" s="92">
        <f t="shared" si="15"/>
        <v>2.3000000000000007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>
        <v>11</v>
      </c>
      <c r="L164" s="51">
        <v>8</v>
      </c>
      <c r="M164" s="51">
        <v>9</v>
      </c>
      <c r="N164" s="51">
        <v>10.8</v>
      </c>
      <c r="O164" s="51">
        <v>9</v>
      </c>
      <c r="P164" s="51">
        <v>8</v>
      </c>
      <c r="Q164" s="51">
        <v>9.1999999999999993</v>
      </c>
      <c r="R164" s="51">
        <v>10</v>
      </c>
      <c r="S164" s="51"/>
      <c r="T164" s="51" t="s">
        <v>1271</v>
      </c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8.1571670780627432</v>
      </c>
      <c r="AS164" s="89" t="str">
        <f t="shared" si="13"/>
        <v/>
      </c>
      <c r="AT164" s="90">
        <f t="shared" si="14"/>
        <v>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3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4" s="92">
        <f t="shared" si="15"/>
        <v>5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19.600000000000001</v>
      </c>
      <c r="L165" s="51">
        <v>19</v>
      </c>
      <c r="M165" s="51">
        <v>19.600000000000001</v>
      </c>
      <c r="N165" s="51"/>
      <c r="O165" s="51">
        <v>19.600000000000001</v>
      </c>
      <c r="P165" s="51"/>
      <c r="Q165" s="51"/>
      <c r="R165" s="51"/>
      <c r="S165" s="51"/>
      <c r="T165" s="51" t="s">
        <v>1271</v>
      </c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4</v>
      </c>
      <c r="AQ165" s="89" t="str">
        <f t="shared" si="12"/>
        <v/>
      </c>
      <c r="AR165" s="89">
        <f>IFERROR(VLOOKUP(A165,Climatologia!A:U,9+$E$2,FALSE),"")</f>
        <v>17.38327387384858</v>
      </c>
      <c r="AS165" s="89" t="str">
        <f t="shared" si="13"/>
        <v/>
      </c>
      <c r="AT165" s="90">
        <f t="shared" si="14"/>
        <v>19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5" s="92">
        <f t="shared" si="15"/>
        <v>6.4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 t="s">
        <v>1271</v>
      </c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17.538792398415641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 t="s">
        <v>1271</v>
      </c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15.58295354982547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19.8</v>
      </c>
      <c r="L168" s="51">
        <v>20.2</v>
      </c>
      <c r="M168" s="51">
        <v>19.399999999999999</v>
      </c>
      <c r="N168" s="51">
        <v>19.8</v>
      </c>
      <c r="O168" s="51">
        <v>20.2</v>
      </c>
      <c r="P168" s="51">
        <v>19.600000000000001</v>
      </c>
      <c r="Q168" s="51">
        <v>19.2</v>
      </c>
      <c r="R168" s="51">
        <v>17.8</v>
      </c>
      <c r="S168" s="51">
        <v>18.399999999999999</v>
      </c>
      <c r="T168" s="51">
        <v>20.2</v>
      </c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10</v>
      </c>
      <c r="AQ168" s="89" t="str">
        <f t="shared" si="12"/>
        <v/>
      </c>
      <c r="AR168" s="89">
        <f>IFERROR(VLOOKUP(A168,Climatologia!A:U,9+$E$2,FALSE),"")</f>
        <v>19.095617658203871</v>
      </c>
      <c r="AS168" s="89" t="str">
        <f t="shared" si="13"/>
        <v/>
      </c>
      <c r="AT168" s="90">
        <f t="shared" si="14"/>
        <v>17.8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8" s="92">
        <f t="shared" si="15"/>
        <v>2.8000000000000007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15.2</v>
      </c>
      <c r="L169" s="51">
        <v>15.6</v>
      </c>
      <c r="M169" s="51">
        <v>14</v>
      </c>
      <c r="N169" s="51">
        <v>14.8</v>
      </c>
      <c r="O169" s="51">
        <v>13.6</v>
      </c>
      <c r="P169" s="51">
        <v>14.2</v>
      </c>
      <c r="Q169" s="51">
        <v>13.2</v>
      </c>
      <c r="R169" s="51">
        <v>14</v>
      </c>
      <c r="S169" s="51">
        <v>14.2</v>
      </c>
      <c r="T169" s="51">
        <v>15</v>
      </c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10</v>
      </c>
      <c r="AQ169" s="89" t="str">
        <f t="shared" si="12"/>
        <v/>
      </c>
      <c r="AR169" s="89">
        <f>IFERROR(VLOOKUP(A169,Climatologia!A:U,9+$E$2,FALSE),"")</f>
        <v>13.604003489326759</v>
      </c>
      <c r="AS169" s="89" t="str">
        <f t="shared" si="13"/>
        <v/>
      </c>
      <c r="AT169" s="90">
        <f t="shared" si="14"/>
        <v>13.2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6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69" s="92">
        <f t="shared" si="15"/>
        <v>7.1999999999999993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 t="s">
        <v>1271</v>
      </c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11.71973333333333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25</v>
      </c>
      <c r="L171" s="51">
        <v>20</v>
      </c>
      <c r="M171" s="51">
        <v>20.2</v>
      </c>
      <c r="N171" s="51">
        <v>20.399999999999999</v>
      </c>
      <c r="O171" s="51">
        <v>20.6</v>
      </c>
      <c r="P171" s="51">
        <v>21.2</v>
      </c>
      <c r="Q171" s="51">
        <v>21.8</v>
      </c>
      <c r="R171" s="51">
        <v>23.6</v>
      </c>
      <c r="S171" s="51">
        <v>24.2</v>
      </c>
      <c r="T171" s="51">
        <v>24.8</v>
      </c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10</v>
      </c>
      <c r="AQ171" s="89" t="str">
        <f t="shared" si="12"/>
        <v/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20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1" s="92">
        <f t="shared" si="15"/>
        <v>2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 t="s">
        <v>1271</v>
      </c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22.290641792860178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 t="s">
        <v>1271</v>
      </c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22.991182948434439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24.4</v>
      </c>
      <c r="L174" s="51">
        <v>21.6</v>
      </c>
      <c r="M174" s="51">
        <v>21.4</v>
      </c>
      <c r="N174" s="51">
        <v>21.8</v>
      </c>
      <c r="O174" s="51">
        <v>22.2</v>
      </c>
      <c r="P174" s="51">
        <v>20.6</v>
      </c>
      <c r="Q174" s="51">
        <v>23.8</v>
      </c>
      <c r="R174" s="51">
        <v>20.399999999999999</v>
      </c>
      <c r="S174" s="51">
        <v>20.6</v>
      </c>
      <c r="T174" s="51">
        <v>20.399999999999999</v>
      </c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10</v>
      </c>
      <c r="AQ174" s="89" t="str">
        <f t="shared" si="12"/>
        <v/>
      </c>
      <c r="AR174" s="89">
        <f>IFERROR(VLOOKUP(A174,Climatologia!A:U,9+$E$2,FALSE),"")</f>
        <v>20.74341280266896</v>
      </c>
      <c r="AS174" s="89" t="str">
        <f t="shared" si="13"/>
        <v/>
      </c>
      <c r="AT174" s="90">
        <f t="shared" si="14"/>
        <v>20.399999999999999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4" s="92">
        <f t="shared" si="15"/>
        <v>4.3999999999999986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24.4</v>
      </c>
      <c r="L175" s="51">
        <v>24.2</v>
      </c>
      <c r="M175" s="51">
        <v>23.4</v>
      </c>
      <c r="N175" s="51">
        <v>24.6</v>
      </c>
      <c r="O175" s="51">
        <v>25</v>
      </c>
      <c r="P175" s="51"/>
      <c r="Q175" s="51">
        <v>22.6</v>
      </c>
      <c r="R175" s="51">
        <v>25</v>
      </c>
      <c r="S175" s="51">
        <v>22.6</v>
      </c>
      <c r="T175" s="51">
        <v>22.8</v>
      </c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9</v>
      </c>
      <c r="AQ175" s="89" t="str">
        <f t="shared" si="12"/>
        <v/>
      </c>
      <c r="AR175" s="89">
        <f>IFERROR(VLOOKUP(A175,Climatologia!A:U,9+$E$2,FALSE),"")</f>
        <v>21.67335632183908</v>
      </c>
      <c r="AS175" s="89" t="str">
        <f t="shared" si="13"/>
        <v/>
      </c>
      <c r="AT175" s="90">
        <f t="shared" si="14"/>
        <v>22.6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5" s="92">
        <f t="shared" si="15"/>
        <v>6.6000000000000014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 t="s">
        <v>1271</v>
      </c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 t="s">
        <v>1271</v>
      </c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13.6</v>
      </c>
      <c r="L178" s="51">
        <v>12.4</v>
      </c>
      <c r="M178" s="51">
        <v>13.2</v>
      </c>
      <c r="N178" s="51">
        <v>12.6</v>
      </c>
      <c r="O178" s="51">
        <v>13.2</v>
      </c>
      <c r="P178" s="51">
        <v>13.8</v>
      </c>
      <c r="Q178" s="51">
        <v>13.8</v>
      </c>
      <c r="R178" s="51">
        <v>14</v>
      </c>
      <c r="S178" s="51">
        <v>14</v>
      </c>
      <c r="T178" s="51" t="s">
        <v>1271</v>
      </c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9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26.4</v>
      </c>
      <c r="L179" s="51">
        <v>22.8</v>
      </c>
      <c r="M179" s="51"/>
      <c r="N179" s="51">
        <v>22.6</v>
      </c>
      <c r="O179" s="51">
        <v>25.6</v>
      </c>
      <c r="P179" s="51">
        <v>25</v>
      </c>
      <c r="Q179" s="51"/>
      <c r="R179" s="51">
        <v>25.8</v>
      </c>
      <c r="S179" s="51">
        <v>25.2</v>
      </c>
      <c r="T179" s="51">
        <v>25.6</v>
      </c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8</v>
      </c>
      <c r="AQ179" s="89" t="str">
        <f t="shared" si="12"/>
        <v/>
      </c>
      <c r="AR179" s="89">
        <f>IFERROR(VLOOKUP(A179,Climatologia!A:U,9+$E$2,FALSE),"")</f>
        <v>22.952130860571948</v>
      </c>
      <c r="AS179" s="89" t="str">
        <f t="shared" si="13"/>
        <v/>
      </c>
      <c r="AT179" s="90">
        <f t="shared" si="14"/>
        <v>22.6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79" s="92">
        <f t="shared" si="15"/>
        <v>3.6000000000000014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21.8</v>
      </c>
      <c r="M180" s="51">
        <v>23.2</v>
      </c>
      <c r="N180" s="51">
        <v>23.8</v>
      </c>
      <c r="O180" s="51">
        <v>23.6</v>
      </c>
      <c r="P180" s="51">
        <v>22.2</v>
      </c>
      <c r="Q180" s="51">
        <v>23.4</v>
      </c>
      <c r="R180" s="51">
        <v>23.6</v>
      </c>
      <c r="S180" s="51">
        <v>22</v>
      </c>
      <c r="T180" s="51">
        <v>22.8</v>
      </c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10</v>
      </c>
      <c r="AQ180" s="89" t="str">
        <f t="shared" si="12"/>
        <v/>
      </c>
      <c r="AR180" s="89">
        <f>IFERROR(VLOOKUP(A180,Climatologia!A:U,9+$E$2,FALSE),"")</f>
        <v>21.663136479048831</v>
      </c>
      <c r="AS180" s="89" t="str">
        <f t="shared" si="13"/>
        <v/>
      </c>
      <c r="AT180" s="90">
        <f t="shared" si="14"/>
        <v>21.8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16.2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0" s="92">
        <f t="shared" si="15"/>
        <v>5.6000000000000014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12.6</v>
      </c>
      <c r="L181" s="51">
        <v>13.2</v>
      </c>
      <c r="M181" s="51">
        <v>13</v>
      </c>
      <c r="N181" s="51">
        <v>13.4</v>
      </c>
      <c r="O181" s="51">
        <v>13.2</v>
      </c>
      <c r="P181" s="51">
        <v>13</v>
      </c>
      <c r="Q181" s="51">
        <v>14.6</v>
      </c>
      <c r="R181" s="51">
        <v>13.8</v>
      </c>
      <c r="S181" s="51">
        <v>13</v>
      </c>
      <c r="T181" s="51">
        <v>13.8</v>
      </c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10</v>
      </c>
      <c r="AQ181" s="89" t="str">
        <f t="shared" si="12"/>
        <v/>
      </c>
      <c r="AR181" s="89">
        <f>IFERROR(VLOOKUP(A181,Climatologia!A:U,9+$E$2,FALSE),"")</f>
        <v>14.28702791461412</v>
      </c>
      <c r="AS181" s="89" t="str">
        <f t="shared" si="13"/>
        <v/>
      </c>
      <c r="AT181" s="90">
        <f t="shared" si="14"/>
        <v>12.6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1" s="92">
        <f t="shared" si="15"/>
        <v>1.5999999999999996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18.8</v>
      </c>
      <c r="L182" s="51">
        <v>19.600000000000001</v>
      </c>
      <c r="M182" s="51">
        <v>17.2</v>
      </c>
      <c r="N182" s="51">
        <v>19.2</v>
      </c>
      <c r="O182" s="51">
        <v>19.600000000000001</v>
      </c>
      <c r="P182" s="51">
        <v>19</v>
      </c>
      <c r="Q182" s="51">
        <v>18.600000000000001</v>
      </c>
      <c r="R182" s="51">
        <v>18.2</v>
      </c>
      <c r="S182" s="51">
        <v>18.2</v>
      </c>
      <c r="T182" s="51">
        <v>19.2</v>
      </c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10</v>
      </c>
      <c r="AQ182" s="89" t="str">
        <f t="shared" si="12"/>
        <v/>
      </c>
      <c r="AR182" s="89">
        <f>IFERROR(VLOOKUP(A182,Climatologia!A:U,9+$E$2,FALSE),"")</f>
        <v>19.90422009459251</v>
      </c>
      <c r="AS182" s="89" t="str">
        <f t="shared" si="13"/>
        <v/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2" s="92">
        <f t="shared" si="15"/>
        <v>0.39999999999999858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21.4</v>
      </c>
      <c r="L183" s="51">
        <v>22.6</v>
      </c>
      <c r="M183" s="51">
        <v>22.4</v>
      </c>
      <c r="N183" s="51">
        <v>22.8</v>
      </c>
      <c r="O183" s="51">
        <v>23.8</v>
      </c>
      <c r="P183" s="51">
        <v>23.4</v>
      </c>
      <c r="Q183" s="51">
        <v>23.8</v>
      </c>
      <c r="R183" s="51">
        <v>21.2</v>
      </c>
      <c r="S183" s="51"/>
      <c r="T183" s="51">
        <v>20.6</v>
      </c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9</v>
      </c>
      <c r="AQ183" s="89" t="str">
        <f t="shared" si="12"/>
        <v/>
      </c>
      <c r="AR183" s="89">
        <f>IFERROR(VLOOKUP(A183,Climatologia!A:U,9+$E$2,FALSE),"")</f>
        <v>20.13286316365626</v>
      </c>
      <c r="AS183" s="89" t="str">
        <f t="shared" si="13"/>
        <v/>
      </c>
      <c r="AT183" s="90">
        <f t="shared" si="14"/>
        <v>20.6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3" s="92">
        <f t="shared" si="15"/>
        <v>4.6000000000000014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17.2</v>
      </c>
      <c r="L184" s="51">
        <v>17</v>
      </c>
      <c r="M184" s="51">
        <v>16</v>
      </c>
      <c r="N184" s="51">
        <v>15.8</v>
      </c>
      <c r="O184" s="51">
        <v>17.600000000000001</v>
      </c>
      <c r="P184" s="51">
        <v>16.399999999999999</v>
      </c>
      <c r="Q184" s="51">
        <v>15.8</v>
      </c>
      <c r="R184" s="51">
        <v>15.2</v>
      </c>
      <c r="S184" s="51">
        <v>16.600000000000001</v>
      </c>
      <c r="T184" s="51">
        <v>15.4</v>
      </c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10</v>
      </c>
      <c r="AQ184" s="89" t="str">
        <f t="shared" si="12"/>
        <v/>
      </c>
      <c r="AR184" s="89">
        <f>IFERROR(VLOOKUP(A184,Climatologia!A:U,9+$E$2,FALSE),"")</f>
        <v>16.92344442575952</v>
      </c>
      <c r="AS184" s="89" t="str">
        <f t="shared" si="13"/>
        <v/>
      </c>
      <c r="AT184" s="90">
        <f t="shared" si="14"/>
        <v>15.2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4" s="92">
        <f t="shared" si="15"/>
        <v>3.1999999999999993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21.8</v>
      </c>
      <c r="L185" s="51">
        <v>20.6</v>
      </c>
      <c r="M185" s="51">
        <v>20.399999999999999</v>
      </c>
      <c r="N185" s="51">
        <v>21.6</v>
      </c>
      <c r="O185" s="51"/>
      <c r="P185" s="51">
        <v>23</v>
      </c>
      <c r="Q185" s="51">
        <v>21.6</v>
      </c>
      <c r="R185" s="51">
        <v>22</v>
      </c>
      <c r="S185" s="51">
        <v>22.8</v>
      </c>
      <c r="T185" s="51">
        <v>23.4</v>
      </c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9</v>
      </c>
      <c r="AQ185" s="89" t="str">
        <f t="shared" si="12"/>
        <v/>
      </c>
      <c r="AR185" s="89">
        <f>IFERROR(VLOOKUP(A185,Climatologia!A:U,9+$E$2,FALSE),"")</f>
        <v>20.23041991214405</v>
      </c>
      <c r="AS185" s="89" t="str">
        <f t="shared" si="13"/>
        <v/>
      </c>
      <c r="AT185" s="90">
        <f t="shared" si="14"/>
        <v>20.399999999999999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5" s="92">
        <f t="shared" si="15"/>
        <v>3.3999999999999986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17.399999999999999</v>
      </c>
      <c r="L186" s="51">
        <v>16.2</v>
      </c>
      <c r="M186" s="51">
        <v>16.2</v>
      </c>
      <c r="N186" s="51">
        <v>18</v>
      </c>
      <c r="O186" s="51">
        <v>18.2</v>
      </c>
      <c r="P186" s="51">
        <v>19.2</v>
      </c>
      <c r="Q186" s="51">
        <v>17.399999999999999</v>
      </c>
      <c r="R186" s="51">
        <v>18.399999999999999</v>
      </c>
      <c r="S186" s="51">
        <v>18</v>
      </c>
      <c r="T186" s="51">
        <v>19</v>
      </c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10</v>
      </c>
      <c r="AQ186" s="89" t="str">
        <f t="shared" si="12"/>
        <v/>
      </c>
      <c r="AR186" s="89">
        <f>IFERROR(VLOOKUP(A186,Climatologia!A:U,9+$E$2,FALSE),"")</f>
        <v>16.7940049395581</v>
      </c>
      <c r="AS186" s="89" t="str">
        <f t="shared" si="13"/>
        <v/>
      </c>
      <c r="AT186" s="90">
        <f t="shared" si="14"/>
        <v>16.2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6" s="92">
        <f t="shared" si="15"/>
        <v>2.1999999999999993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23.2</v>
      </c>
      <c r="L187" s="51">
        <v>20.8</v>
      </c>
      <c r="M187" s="51">
        <v>20.399999999999999</v>
      </c>
      <c r="N187" s="51">
        <v>20.8</v>
      </c>
      <c r="O187" s="51">
        <v>23.2</v>
      </c>
      <c r="P187" s="51">
        <v>22.6</v>
      </c>
      <c r="Q187" s="51">
        <v>22.8</v>
      </c>
      <c r="R187" s="51">
        <v>23.2</v>
      </c>
      <c r="S187" s="51">
        <v>22.8</v>
      </c>
      <c r="T187" s="51">
        <v>22.6</v>
      </c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10</v>
      </c>
      <c r="AQ187" s="89" t="str">
        <f t="shared" si="12"/>
        <v/>
      </c>
      <c r="AR187" s="89">
        <f>IFERROR(VLOOKUP(A187,Climatologia!A:U,9+$E$2,FALSE),"")</f>
        <v>20.381504495550061</v>
      </c>
      <c r="AS187" s="89" t="str">
        <f t="shared" si="13"/>
        <v/>
      </c>
      <c r="AT187" s="90">
        <f t="shared" si="14"/>
        <v>20.399999999999999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7" s="92">
        <f t="shared" si="15"/>
        <v>5.5999999999999979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19.399999999999999</v>
      </c>
      <c r="L188" s="51">
        <v>17.8</v>
      </c>
      <c r="M188" s="51">
        <v>18.399999999999999</v>
      </c>
      <c r="N188" s="51">
        <v>17.8</v>
      </c>
      <c r="O188" s="51">
        <v>18.8</v>
      </c>
      <c r="P188" s="51">
        <v>18.399999999999999</v>
      </c>
      <c r="Q188" s="51">
        <v>18.8</v>
      </c>
      <c r="R188" s="51">
        <v>19.399999999999999</v>
      </c>
      <c r="S188" s="51">
        <v>18.600000000000001</v>
      </c>
      <c r="T188" s="51">
        <v>19.2</v>
      </c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10</v>
      </c>
      <c r="AQ188" s="89" t="str">
        <f t="shared" si="12"/>
        <v/>
      </c>
      <c r="AR188" s="89">
        <f>IFERROR(VLOOKUP(A188,Climatologia!A:U,9+$E$2,FALSE),"")</f>
        <v>15.6368235879347</v>
      </c>
      <c r="AS188" s="89" t="str">
        <f t="shared" si="13"/>
        <v/>
      </c>
      <c r="AT188" s="90">
        <f t="shared" si="14"/>
        <v>17.8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8" s="92">
        <f t="shared" si="15"/>
        <v>6.6000000000000014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13.6</v>
      </c>
      <c r="L189" s="51">
        <v>13.8</v>
      </c>
      <c r="M189" s="51">
        <v>14.8</v>
      </c>
      <c r="N189" s="51">
        <v>13.4</v>
      </c>
      <c r="O189" s="51">
        <v>13.6</v>
      </c>
      <c r="P189" s="51">
        <v>14</v>
      </c>
      <c r="Q189" s="51">
        <v>13.2</v>
      </c>
      <c r="R189" s="51">
        <v>12.8</v>
      </c>
      <c r="S189" s="51">
        <v>14.2</v>
      </c>
      <c r="T189" s="51">
        <v>12.8</v>
      </c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10</v>
      </c>
      <c r="AQ189" s="89" t="str">
        <f t="shared" si="12"/>
        <v/>
      </c>
      <c r="AR189" s="89">
        <f>IFERROR(VLOOKUP(A189,Climatologia!A:U,9+$E$2,FALSE),"")</f>
        <v>11.04110301039956</v>
      </c>
      <c r="AS189" s="89" t="str">
        <f t="shared" si="13"/>
        <v/>
      </c>
      <c r="AT189" s="90">
        <f t="shared" si="14"/>
        <v>12.8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8.4</v>
      </c>
      <c r="L190" s="51">
        <v>8.6</v>
      </c>
      <c r="M190" s="51">
        <v>7.4</v>
      </c>
      <c r="N190" s="51">
        <v>8.8000000000000007</v>
      </c>
      <c r="O190" s="51">
        <v>7</v>
      </c>
      <c r="P190" s="51">
        <v>6.4</v>
      </c>
      <c r="Q190" s="51">
        <v>6.2</v>
      </c>
      <c r="R190" s="51">
        <v>4.5999999999999996</v>
      </c>
      <c r="S190" s="51">
        <v>9</v>
      </c>
      <c r="T190" s="51">
        <v>6.4</v>
      </c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10</v>
      </c>
      <c r="AQ190" s="89" t="str">
        <f t="shared" si="12"/>
        <v/>
      </c>
      <c r="AR190" s="89">
        <f>IFERROR(VLOOKUP(A190,Climatologia!A:U,9+$E$2,FALSE),"")</f>
        <v>6.3320712773816243</v>
      </c>
      <c r="AS190" s="89" t="str">
        <f t="shared" si="13"/>
        <v/>
      </c>
      <c r="AT190" s="90">
        <f t="shared" si="14"/>
        <v>4.5999999999999996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0" s="92">
        <f t="shared" si="15"/>
        <v>6.3999999999999995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24.2</v>
      </c>
      <c r="L191" s="51">
        <v>21.4</v>
      </c>
      <c r="M191" s="51">
        <v>21</v>
      </c>
      <c r="N191" s="51">
        <v>23.4</v>
      </c>
      <c r="O191" s="51">
        <v>23.6</v>
      </c>
      <c r="P191" s="51">
        <v>22.6</v>
      </c>
      <c r="Q191" s="51">
        <v>23</v>
      </c>
      <c r="R191" s="51">
        <v>23.2</v>
      </c>
      <c r="S191" s="51">
        <v>23</v>
      </c>
      <c r="T191" s="51">
        <v>23.4</v>
      </c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10</v>
      </c>
      <c r="AQ191" s="89" t="str">
        <f t="shared" si="12"/>
        <v/>
      </c>
      <c r="AR191" s="89">
        <f>IFERROR(VLOOKUP(A191,Climatologia!A:U,9+$E$2,FALSE),"")</f>
        <v>20.01407453289416</v>
      </c>
      <c r="AS191" s="89" t="str">
        <f t="shared" si="13"/>
        <v/>
      </c>
      <c r="AT191" s="90">
        <f t="shared" si="14"/>
        <v>21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10.199999999999999</v>
      </c>
      <c r="L192" s="51">
        <v>10.4</v>
      </c>
      <c r="M192" s="51">
        <v>10.199999999999999</v>
      </c>
      <c r="N192" s="51">
        <v>9.4</v>
      </c>
      <c r="O192" s="51">
        <v>9.6</v>
      </c>
      <c r="P192" s="51">
        <v>9.1999999999999993</v>
      </c>
      <c r="Q192" s="51">
        <v>10.4</v>
      </c>
      <c r="R192" s="51">
        <v>7.8</v>
      </c>
      <c r="S192" s="51">
        <v>10.8</v>
      </c>
      <c r="T192" s="51">
        <v>7.6</v>
      </c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10</v>
      </c>
      <c r="AQ192" s="89" t="str">
        <f t="shared" si="12"/>
        <v/>
      </c>
      <c r="AR192" s="89">
        <f>IFERROR(VLOOKUP(A192,Climatologia!A:U,9+$E$2,FALSE),"")</f>
        <v>7.2971740738735793</v>
      </c>
      <c r="AS192" s="89" t="str">
        <f t="shared" si="13"/>
        <v/>
      </c>
      <c r="AT192" s="90">
        <f t="shared" si="14"/>
        <v>7.6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2" s="92">
        <f t="shared" si="15"/>
        <v>5.6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8</v>
      </c>
      <c r="L193" s="51">
        <v>8.1999999999999993</v>
      </c>
      <c r="M193" s="51">
        <v>10.6</v>
      </c>
      <c r="N193" s="51">
        <v>8.1999999999999993</v>
      </c>
      <c r="O193" s="51">
        <v>10.6</v>
      </c>
      <c r="P193" s="51">
        <v>8.4</v>
      </c>
      <c r="Q193" s="51">
        <v>9.4</v>
      </c>
      <c r="R193" s="51">
        <v>6.2</v>
      </c>
      <c r="S193" s="51">
        <v>11.4</v>
      </c>
      <c r="T193" s="51">
        <v>7</v>
      </c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10</v>
      </c>
      <c r="AQ193" s="89" t="str">
        <f t="shared" si="12"/>
        <v/>
      </c>
      <c r="AR193" s="89">
        <f>IFERROR(VLOOKUP(A193,Climatologia!A:U,9+$E$2,FALSE),"")</f>
        <v>7.3102534256681198</v>
      </c>
      <c r="AS193" s="89" t="str">
        <f t="shared" si="13"/>
        <v/>
      </c>
      <c r="AT193" s="90">
        <f t="shared" si="14"/>
        <v>6.2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3" s="92">
        <f t="shared" si="15"/>
        <v>4.2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 t="s">
        <v>1271</v>
      </c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7.6942555167267797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5.8</v>
      </c>
      <c r="L195" s="51">
        <v>8.6</v>
      </c>
      <c r="M195" s="51">
        <v>7.2</v>
      </c>
      <c r="N195" s="51">
        <v>8.1999999999999993</v>
      </c>
      <c r="O195" s="51">
        <v>5.8</v>
      </c>
      <c r="P195" s="51">
        <v>5.4</v>
      </c>
      <c r="Q195" s="51">
        <v>6</v>
      </c>
      <c r="R195" s="51">
        <v>5.4</v>
      </c>
      <c r="S195" s="51">
        <v>5.2</v>
      </c>
      <c r="T195" s="51" t="s">
        <v>1271</v>
      </c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9</v>
      </c>
      <c r="AQ195" s="89" t="str">
        <f t="shared" si="12"/>
        <v/>
      </c>
      <c r="AR195" s="89">
        <f>IFERROR(VLOOKUP(A195,Climatologia!A:U,9+$E$2,FALSE),"")</f>
        <v>6.5871179225202194</v>
      </c>
      <c r="AS195" s="89" t="str">
        <f t="shared" si="13"/>
        <v/>
      </c>
      <c r="AT195" s="90">
        <f t="shared" si="14"/>
        <v>5.2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-1.6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>
        <f t="shared" si="15"/>
        <v>6.8000000000000007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8.8000000000000007</v>
      </c>
      <c r="L196" s="51">
        <v>10</v>
      </c>
      <c r="M196" s="51">
        <v>8</v>
      </c>
      <c r="N196" s="51">
        <v>9.4</v>
      </c>
      <c r="O196" s="51">
        <v>9</v>
      </c>
      <c r="P196" s="51">
        <v>8</v>
      </c>
      <c r="Q196" s="51">
        <v>6.8</v>
      </c>
      <c r="R196" s="51">
        <v>8.8000000000000007</v>
      </c>
      <c r="S196" s="51"/>
      <c r="T196" s="51">
        <v>7</v>
      </c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9</v>
      </c>
      <c r="AQ196" s="89" t="str">
        <f t="shared" si="12"/>
        <v/>
      </c>
      <c r="AR196" s="89">
        <f>IFERROR(VLOOKUP(A196,Climatologia!A:U,9+$E$2,FALSE),"")</f>
        <v>6.1188038398383222</v>
      </c>
      <c r="AS196" s="89" t="str">
        <f t="shared" si="13"/>
        <v/>
      </c>
      <c r="AT196" s="90">
        <f t="shared" si="14"/>
        <v>6.8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8.4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8.6</v>
      </c>
      <c r="L197" s="51">
        <v>9</v>
      </c>
      <c r="M197" s="51">
        <v>9.1999999999999993</v>
      </c>
      <c r="N197" s="51">
        <v>7.2</v>
      </c>
      <c r="O197" s="51">
        <v>10.4</v>
      </c>
      <c r="P197" s="51">
        <v>8.6</v>
      </c>
      <c r="Q197" s="51">
        <v>7.2</v>
      </c>
      <c r="R197" s="51">
        <v>5.2</v>
      </c>
      <c r="S197" s="51">
        <v>9.8000000000000007</v>
      </c>
      <c r="T197" s="51">
        <v>7</v>
      </c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07" si="16">COUNTIF(K197:AO197,"&gt;0")</f>
        <v>10</v>
      </c>
      <c r="AQ197" s="89" t="str">
        <f t="shared" ref="AQ197:AQ207" si="17">IF(AP197&gt;14,AVERAGE(K197:AO197),"")</f>
        <v/>
      </c>
      <c r="AR197" s="89">
        <f>IFERROR(VLOOKUP(A197,Climatologia!A:U,9+$E$2,FALSE),"")</f>
        <v>6.6913987808700464</v>
      </c>
      <c r="AS197" s="89" t="str">
        <f t="shared" ref="AS197:AS207" si="18">IF(OR(AQ197="",AR197=""),"",IFERROR(AQ197-AR197,""))</f>
        <v/>
      </c>
      <c r="AT197" s="90">
        <f t="shared" ref="AT197:AT207" si="19">IF(COUNT(K197:AO197)=0,"",MIN(K197:AO197))</f>
        <v>5.2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0.2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7" si="20">IF(OR(AT197="",AU197=""),"NA",IFERROR(AT197-AU197,"NA"))</f>
        <v>5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11</v>
      </c>
      <c r="L198" s="51">
        <v>9.1999999999999993</v>
      </c>
      <c r="M198" s="51">
        <v>10.199999999999999</v>
      </c>
      <c r="N198" s="51">
        <v>10</v>
      </c>
      <c r="O198" s="51">
        <v>10.6</v>
      </c>
      <c r="P198" s="51">
        <v>8.1999999999999993</v>
      </c>
      <c r="Q198" s="51">
        <v>8.6</v>
      </c>
      <c r="R198" s="51">
        <v>7</v>
      </c>
      <c r="S198" s="51">
        <v>11.2</v>
      </c>
      <c r="T198" s="51">
        <v>7.4</v>
      </c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10</v>
      </c>
      <c r="AQ198" s="89" t="str">
        <f t="shared" si="17"/>
        <v/>
      </c>
      <c r="AR198" s="89">
        <f>IFERROR(VLOOKUP(A198,Climatologia!A:U,9+$E$2,FALSE),"")</f>
        <v>6.8721572322812943</v>
      </c>
      <c r="AS198" s="89" t="str">
        <f t="shared" si="18"/>
        <v/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-1.8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8" s="92">
        <f t="shared" si="20"/>
        <v>8.8000000000000007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10</v>
      </c>
      <c r="L199" s="51">
        <v>11</v>
      </c>
      <c r="M199" s="51">
        <v>10</v>
      </c>
      <c r="N199" s="51">
        <v>9.1999999999999993</v>
      </c>
      <c r="O199" s="51">
        <v>6.6</v>
      </c>
      <c r="P199" s="51">
        <v>7</v>
      </c>
      <c r="Q199" s="51">
        <v>9</v>
      </c>
      <c r="R199" s="51"/>
      <c r="S199" s="51">
        <v>7</v>
      </c>
      <c r="T199" s="51" t="s">
        <v>1271</v>
      </c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8</v>
      </c>
      <c r="AQ199" s="89" t="str">
        <f t="shared" si="17"/>
        <v/>
      </c>
      <c r="AR199" s="89">
        <f>IFERROR(VLOOKUP(A199,Climatologia!A:U,9+$E$2,FALSE),"")</f>
        <v>6.8567518092805448</v>
      </c>
      <c r="AS199" s="89" t="str">
        <f t="shared" si="18"/>
        <v/>
      </c>
      <c r="AT199" s="90">
        <f t="shared" si="19"/>
        <v>6.6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-3.4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199" s="92">
        <f t="shared" si="20"/>
        <v>10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10.8</v>
      </c>
      <c r="L200" s="51">
        <v>8.4</v>
      </c>
      <c r="M200" s="51">
        <v>8.1999999999999993</v>
      </c>
      <c r="N200" s="51">
        <v>10.199999999999999</v>
      </c>
      <c r="O200" s="51">
        <v>8.8000000000000007</v>
      </c>
      <c r="P200" s="51">
        <v>7.8</v>
      </c>
      <c r="Q200" s="51">
        <v>6.4</v>
      </c>
      <c r="R200" s="51"/>
      <c r="S200" s="51">
        <v>10.8</v>
      </c>
      <c r="T200" s="51">
        <v>7.4</v>
      </c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9</v>
      </c>
      <c r="AQ200" s="89" t="str">
        <f t="shared" si="17"/>
        <v/>
      </c>
      <c r="AR200" s="89">
        <f>IFERROR(VLOOKUP(A200,Climatologia!A:U,9+$E$2,FALSE),"")</f>
        <v>6.3417884368241078</v>
      </c>
      <c r="AS200" s="89" t="str">
        <f t="shared" si="18"/>
        <v/>
      </c>
      <c r="AT200" s="90">
        <f t="shared" si="19"/>
        <v>6.4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7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10.6</v>
      </c>
      <c r="L201" s="51">
        <v>10</v>
      </c>
      <c r="M201" s="51">
        <v>9.6</v>
      </c>
      <c r="N201" s="51">
        <v>9.1999999999999993</v>
      </c>
      <c r="O201" s="51">
        <v>9.6</v>
      </c>
      <c r="P201" s="51">
        <v>9.6</v>
      </c>
      <c r="Q201" s="51">
        <v>8.4</v>
      </c>
      <c r="R201" s="51">
        <v>7</v>
      </c>
      <c r="S201" s="51">
        <v>9.8000000000000007</v>
      </c>
      <c r="T201" s="51">
        <v>8.4</v>
      </c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10</v>
      </c>
      <c r="AQ201" s="89" t="str">
        <f t="shared" si="17"/>
        <v/>
      </c>
      <c r="AR201" s="89">
        <f>IFERROR(VLOOKUP(A201,Climatologia!A:U,9+$E$2,FALSE),"")</f>
        <v>7.0236414292537948</v>
      </c>
      <c r="AS201" s="89" t="str">
        <f t="shared" si="18"/>
        <v/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0.2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1" s="92">
        <f t="shared" si="20"/>
        <v>6.8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9.8000000000000007</v>
      </c>
      <c r="L202" s="51">
        <v>8.6</v>
      </c>
      <c r="M202" s="51">
        <v>8.6</v>
      </c>
      <c r="N202" s="51">
        <v>9.8000000000000007</v>
      </c>
      <c r="O202" s="51">
        <v>9</v>
      </c>
      <c r="P202" s="51">
        <v>6.8</v>
      </c>
      <c r="Q202" s="51">
        <v>8.4</v>
      </c>
      <c r="R202" s="51">
        <v>6.2</v>
      </c>
      <c r="S202" s="51">
        <v>9.6</v>
      </c>
      <c r="T202" s="51">
        <v>8.1999999999999993</v>
      </c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10</v>
      </c>
      <c r="AQ202" s="89" t="str">
        <f t="shared" si="17"/>
        <v/>
      </c>
      <c r="AR202" s="89">
        <f>IFERROR(VLOOKUP(A202,Climatologia!A:U,9+$E$2,FALSE),"")</f>
        <v>8.052510832141536</v>
      </c>
      <c r="AS202" s="89" t="str">
        <f t="shared" si="18"/>
        <v/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2" s="92">
        <f t="shared" si="20"/>
        <v>5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6</v>
      </c>
      <c r="L203" s="51">
        <v>5.4</v>
      </c>
      <c r="M203" s="51">
        <v>5.6</v>
      </c>
      <c r="N203" s="51">
        <v>5.2</v>
      </c>
      <c r="O203" s="51">
        <v>6.2</v>
      </c>
      <c r="P203" s="51">
        <v>5.6</v>
      </c>
      <c r="Q203" s="51">
        <v>5.2</v>
      </c>
      <c r="R203" s="51">
        <v>4.8</v>
      </c>
      <c r="S203" s="51">
        <v>5</v>
      </c>
      <c r="T203" s="51">
        <v>5.4</v>
      </c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10</v>
      </c>
      <c r="AQ203" s="89" t="str">
        <f t="shared" si="17"/>
        <v/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4.8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3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3" s="92">
        <f t="shared" si="20"/>
        <v>1.7999999999999998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 t="s">
        <v>1271</v>
      </c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17.734083083854891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9.8000000000000007</v>
      </c>
      <c r="L205" s="51">
        <v>10.6</v>
      </c>
      <c r="M205" s="51">
        <v>11.6</v>
      </c>
      <c r="N205" s="51">
        <v>9.8000000000000007</v>
      </c>
      <c r="O205" s="51">
        <v>10.6</v>
      </c>
      <c r="P205" s="51">
        <v>11</v>
      </c>
      <c r="Q205" s="51">
        <v>10.4</v>
      </c>
      <c r="R205" s="51">
        <v>7.8</v>
      </c>
      <c r="S205" s="51"/>
      <c r="T205" s="51" t="s">
        <v>1271</v>
      </c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8</v>
      </c>
      <c r="AQ205" s="89" t="str">
        <f t="shared" si="17"/>
        <v/>
      </c>
      <c r="AR205" s="89">
        <f>IFERROR(VLOOKUP(A205,Climatologia!A:U,9+$E$2,FALSE),"")</f>
        <v>8.9660145437485337</v>
      </c>
      <c r="AS205" s="89" t="str">
        <f t="shared" si="18"/>
        <v/>
      </c>
      <c r="AT205" s="90">
        <f t="shared" si="19"/>
        <v>7.8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1.1000000000000001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5" s="92">
        <f t="shared" si="20"/>
        <v>6.6999999999999993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7</v>
      </c>
      <c r="L206" s="51">
        <v>5.8</v>
      </c>
      <c r="M206" s="51">
        <v>7</v>
      </c>
      <c r="N206" s="51">
        <v>6</v>
      </c>
      <c r="O206" s="51">
        <v>5.2</v>
      </c>
      <c r="P206" s="51">
        <v>5.4</v>
      </c>
      <c r="Q206" s="51">
        <v>5.4</v>
      </c>
      <c r="R206" s="51">
        <v>4.8</v>
      </c>
      <c r="S206" s="51"/>
      <c r="T206" s="51">
        <v>4.4000000000000004</v>
      </c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9</v>
      </c>
      <c r="AQ206" s="89" t="str">
        <f t="shared" si="17"/>
        <v/>
      </c>
      <c r="AR206" s="89">
        <f>IFERROR(VLOOKUP(A206,Climatologia!A:U,9+$E$2,FALSE),"")</f>
        <v>4.9011609803563827</v>
      </c>
      <c r="AS206" s="89" t="str">
        <f t="shared" si="18"/>
        <v/>
      </c>
      <c r="AT206" s="90">
        <f t="shared" si="19"/>
        <v>4.4000000000000004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6" s="92">
        <f t="shared" si="20"/>
        <v>4.2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23</v>
      </c>
      <c r="L207" s="51">
        <v>23.2</v>
      </c>
      <c r="M207" s="51">
        <v>23</v>
      </c>
      <c r="N207" s="51">
        <v>23.2</v>
      </c>
      <c r="O207" s="51">
        <v>23.6</v>
      </c>
      <c r="P207" s="51">
        <v>23.2</v>
      </c>
      <c r="Q207" s="51">
        <v>23.8</v>
      </c>
      <c r="R207" s="51">
        <v>23.4</v>
      </c>
      <c r="S207" s="51">
        <v>24</v>
      </c>
      <c r="T207" s="51">
        <v>24.2</v>
      </c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10</v>
      </c>
      <c r="AQ207" s="89" t="str">
        <f t="shared" si="17"/>
        <v/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23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18.2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7" s="92">
        <f t="shared" si="20"/>
        <v>4.8000000000000007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6" t="s">
        <v>847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848</v>
      </c>
      <c r="H1" s="123" t="s">
        <v>849</v>
      </c>
      <c r="I1" s="124"/>
      <c r="J1" s="125"/>
      <c r="K1" s="123" t="s">
        <v>850</v>
      </c>
      <c r="L1" s="124"/>
      <c r="M1" s="125"/>
      <c r="N1" s="123" t="s">
        <v>851</v>
      </c>
      <c r="O1" s="124"/>
      <c r="P1" s="125"/>
      <c r="Q1" s="123" t="s">
        <v>852</v>
      </c>
      <c r="R1" s="124"/>
      <c r="S1" s="125"/>
      <c r="T1" s="123" t="s">
        <v>853</v>
      </c>
      <c r="U1" s="124"/>
      <c r="V1" s="125"/>
      <c r="W1" s="123" t="s">
        <v>854</v>
      </c>
      <c r="X1" s="124"/>
      <c r="Y1" s="125"/>
      <c r="Z1" s="123" t="s">
        <v>855</v>
      </c>
      <c r="AA1" s="124"/>
      <c r="AB1" s="125"/>
      <c r="AC1" s="123" t="s">
        <v>856</v>
      </c>
      <c r="AD1" s="124"/>
      <c r="AE1" s="125"/>
      <c r="AF1" s="123" t="s">
        <v>857</v>
      </c>
      <c r="AG1" s="124"/>
      <c r="AH1" s="125"/>
      <c r="AI1" s="123" t="s">
        <v>858</v>
      </c>
      <c r="AJ1" s="124"/>
      <c r="AK1" s="125"/>
      <c r="AL1" s="123" t="s">
        <v>859</v>
      </c>
      <c r="AM1" s="124"/>
      <c r="AN1" s="125"/>
      <c r="AO1" s="123" t="s">
        <v>860</v>
      </c>
      <c r="AP1" s="124"/>
      <c r="AQ1" s="125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2026-09-10T15:52:21Z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2026-09-10T15:30:41Z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a70ce7ee-a494-479d-8c11-b0181a96929b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