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51FBD85-5237-4FE0-850E-5DA0E190A6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Temperatura!$AB$1:$AB$287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S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W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W242" i="1" s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W238" i="1" s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S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S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S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W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2" i="1" l="1"/>
  <c r="AS20" i="1"/>
  <c r="AS24" i="1"/>
  <c r="AS181" i="1"/>
  <c r="AS40" i="1"/>
  <c r="AS90" i="1"/>
  <c r="AS166" i="1"/>
  <c r="AS33" i="1"/>
  <c r="AS64" i="1"/>
  <c r="AW226" i="1"/>
  <c r="AW230" i="1"/>
  <c r="AW266" i="1"/>
  <c r="AW270" i="1"/>
  <c r="AS119" i="1"/>
  <c r="AS131" i="1"/>
  <c r="AS38" i="1"/>
  <c r="AW123" i="1"/>
  <c r="AW127" i="1"/>
  <c r="AW135" i="1"/>
  <c r="AW147" i="1"/>
  <c r="AW159" i="1"/>
  <c r="AS124" i="1"/>
  <c r="AS62" i="1"/>
  <c r="AW152" i="1"/>
  <c r="AS256" i="1"/>
  <c r="AS260" i="1"/>
  <c r="AW232" i="1"/>
  <c r="AW181" i="1"/>
  <c r="AS110" i="1"/>
  <c r="AS72" i="1"/>
  <c r="AS76" i="1"/>
  <c r="AS95" i="1"/>
  <c r="AS190" i="1"/>
  <c r="AS218" i="1"/>
  <c r="AS226" i="1"/>
  <c r="AS274" i="1"/>
  <c r="AS171" i="1"/>
  <c r="AW282" i="1"/>
  <c r="AS32" i="1"/>
  <c r="AS112" i="1"/>
  <c r="AS115" i="1"/>
  <c r="AS21" i="1"/>
  <c r="AS93" i="1"/>
  <c r="AS196" i="1"/>
  <c r="AS216" i="1"/>
  <c r="AS48" i="1"/>
  <c r="AS86" i="1"/>
  <c r="AW144" i="1"/>
  <c r="AW208" i="1"/>
  <c r="AS45" i="1"/>
  <c r="AS98" i="1"/>
  <c r="AS106" i="1"/>
  <c r="AS16" i="1"/>
  <c r="AS35" i="1"/>
  <c r="AS71" i="1"/>
  <c r="AS75" i="1"/>
  <c r="AW253" i="1"/>
  <c r="AW198" i="1"/>
  <c r="AS43" i="1"/>
  <c r="AS61" i="1"/>
  <c r="AS68" i="1"/>
  <c r="AS83" i="1"/>
  <c r="AS105" i="1"/>
  <c r="AS242" i="1"/>
  <c r="AS9" i="1"/>
  <c r="AS50" i="1"/>
  <c r="AW167" i="1"/>
  <c r="AW171" i="1"/>
  <c r="AS199" i="1"/>
  <c r="AW218" i="1"/>
  <c r="AS250" i="1"/>
  <c r="AS156" i="1"/>
  <c r="AS164" i="1"/>
  <c r="AW258" i="1"/>
  <c r="AS262" i="1"/>
  <c r="AW124" i="1"/>
  <c r="AW132" i="1"/>
  <c r="AW262" i="1"/>
  <c r="AS282" i="1"/>
  <c r="AW160" i="1"/>
  <c r="AW168" i="1"/>
  <c r="AS200" i="1"/>
  <c r="AS66" i="1"/>
  <c r="AS14" i="1"/>
  <c r="AW95" i="1"/>
  <c r="AW196" i="1"/>
  <c r="AW200" i="1"/>
  <c r="AW204" i="1"/>
  <c r="AW255" i="1"/>
  <c r="AW286" i="1"/>
  <c r="AS99" i="1"/>
  <c r="AS103" i="1"/>
  <c r="AS107" i="1"/>
  <c r="AS63" i="1"/>
  <c r="AW228" i="1"/>
  <c r="AW236" i="1"/>
  <c r="AS240" i="1"/>
  <c r="AS248" i="1"/>
  <c r="AS102" i="1"/>
  <c r="AS113" i="1"/>
  <c r="AS34" i="1"/>
  <c r="AS56" i="1"/>
  <c r="AS67" i="1"/>
  <c r="AS70" i="1"/>
  <c r="AS74" i="1"/>
  <c r="AS89" i="1"/>
  <c r="AS96" i="1"/>
  <c r="AW118" i="1"/>
  <c r="AS142" i="1"/>
  <c r="AS154" i="1"/>
  <c r="AS158" i="1"/>
  <c r="AS162" i="1"/>
  <c r="AS264" i="1"/>
  <c r="AW213" i="1"/>
  <c r="AW264" i="1"/>
  <c r="AS276" i="1"/>
  <c r="AS60" i="1"/>
  <c r="AS210" i="1"/>
  <c r="AW284" i="1"/>
  <c r="AW120" i="1"/>
  <c r="AW128" i="1"/>
  <c r="AW88" i="1"/>
  <c r="AS11" i="1"/>
  <c r="AS22" i="1"/>
  <c r="AW25" i="1"/>
  <c r="AS92" i="1"/>
  <c r="AW140" i="1"/>
  <c r="AW175" i="1"/>
  <c r="AS221" i="1"/>
  <c r="AS232" i="1"/>
  <c r="AS236" i="1"/>
  <c r="AW250" i="1"/>
  <c r="AW254" i="1"/>
  <c r="AS266" i="1"/>
  <c r="AW277" i="1"/>
  <c r="AS15" i="1"/>
  <c r="AS26" i="1"/>
  <c r="AS54" i="1"/>
  <c r="AS78" i="1"/>
  <c r="AW85" i="1"/>
  <c r="AW92" i="1"/>
  <c r="AS114" i="1"/>
  <c r="AS125" i="1"/>
  <c r="AW202" i="1"/>
  <c r="AS214" i="1"/>
  <c r="AS255" i="1"/>
  <c r="AS259" i="1"/>
  <c r="AS270" i="1"/>
  <c r="AS172" i="1"/>
  <c r="AS278" i="1"/>
  <c r="AS19" i="1"/>
  <c r="AS30" i="1"/>
  <c r="AW33" i="1"/>
  <c r="AS41" i="1"/>
  <c r="AW172" i="1"/>
  <c r="AW176" i="1"/>
  <c r="AW195" i="1"/>
  <c r="AS244" i="1"/>
  <c r="AW278" i="1"/>
  <c r="AS286" i="1"/>
  <c r="AS51" i="1"/>
  <c r="AW41" i="1"/>
  <c r="AS5" i="1"/>
  <c r="AW48" i="1"/>
  <c r="AW68" i="1"/>
  <c r="AW75" i="1"/>
  <c r="AS79" i="1"/>
  <c r="AS126" i="1"/>
  <c r="AS130" i="1"/>
  <c r="AS134" i="1"/>
  <c r="AS184" i="1"/>
  <c r="AS188" i="1"/>
  <c r="AS192" i="1"/>
  <c r="AW222" i="1"/>
  <c r="AW233" i="1"/>
  <c r="AW244" i="1"/>
  <c r="AS252" i="1"/>
  <c r="AS27" i="1"/>
  <c r="AS173" i="1"/>
  <c r="AW248" i="1"/>
  <c r="AS279" i="1"/>
  <c r="AW55" i="1"/>
  <c r="AW126" i="1"/>
  <c r="AW134" i="1"/>
  <c r="AW188" i="1"/>
  <c r="AS230" i="1"/>
  <c r="AS241" i="1"/>
  <c r="AW256" i="1"/>
  <c r="AS283" i="1"/>
  <c r="AS31" i="1"/>
  <c r="AS42" i="1"/>
  <c r="AW62" i="1"/>
  <c r="AS101" i="1"/>
  <c r="AS49" i="1"/>
  <c r="AW146" i="1"/>
  <c r="AS212" i="1"/>
  <c r="AS223" i="1"/>
  <c r="AW260" i="1"/>
  <c r="AS268" i="1"/>
  <c r="AS17" i="1"/>
  <c r="AS28" i="1"/>
  <c r="AS46" i="1"/>
  <c r="AW49" i="1"/>
  <c r="AW69" i="1"/>
  <c r="AS73" i="1"/>
  <c r="AW76" i="1"/>
  <c r="AS80" i="1"/>
  <c r="AS109" i="1"/>
  <c r="AS116" i="1"/>
  <c r="AS178" i="1"/>
  <c r="AW268" i="1"/>
  <c r="AS280" i="1"/>
  <c r="AS6" i="1"/>
  <c r="AW197" i="1"/>
  <c r="AW216" i="1"/>
  <c r="AS235" i="1"/>
  <c r="AW276" i="1"/>
  <c r="AS284" i="1"/>
  <c r="AW6" i="1"/>
  <c r="AW35" i="1"/>
  <c r="AS25" i="1"/>
  <c r="AS36" i="1"/>
  <c r="AS77" i="1"/>
  <c r="AS140" i="1"/>
  <c r="AS144" i="1"/>
  <c r="AS175" i="1"/>
  <c r="AS179" i="1"/>
  <c r="AW182" i="1"/>
  <c r="AS194" i="1"/>
  <c r="AS198" i="1"/>
  <c r="AW224" i="1"/>
  <c r="AW246" i="1"/>
  <c r="AW269" i="1"/>
  <c r="AS261" i="1"/>
  <c r="AW26" i="1"/>
  <c r="AW8" i="1"/>
  <c r="AW19" i="1"/>
  <c r="AW30" i="1"/>
  <c r="AS254" i="1"/>
  <c r="AS44" i="1"/>
  <c r="AW82" i="1"/>
  <c r="AW101" i="1"/>
  <c r="AW23" i="1"/>
  <c r="AW34" i="1"/>
  <c r="AS57" i="1"/>
  <c r="AS174" i="1"/>
  <c r="AW240" i="1"/>
  <c r="AS258" i="1"/>
  <c r="AS275" i="1"/>
  <c r="AS47" i="1"/>
  <c r="AS94" i="1"/>
  <c r="AW15" i="1"/>
  <c r="AW37" i="1"/>
  <c r="AS117" i="1"/>
  <c r="AS149" i="1"/>
  <c r="AW156" i="1"/>
  <c r="AW192" i="1"/>
  <c r="AS138" i="1"/>
  <c r="AW206" i="1"/>
  <c r="AW220" i="1"/>
  <c r="AS234" i="1"/>
  <c r="AW237" i="1"/>
  <c r="AW12" i="1"/>
  <c r="AW27" i="1"/>
  <c r="AW38" i="1"/>
  <c r="AS120" i="1"/>
  <c r="AW9" i="1"/>
  <c r="AW20" i="1"/>
  <c r="AW178" i="1"/>
  <c r="AW234" i="1"/>
  <c r="AW31" i="1"/>
  <c r="AW45" i="1"/>
  <c r="AW61" i="1"/>
  <c r="AW105" i="1"/>
  <c r="AS10" i="1"/>
  <c r="AW13" i="1"/>
  <c r="AW24" i="1"/>
  <c r="AS39" i="1"/>
  <c r="AW42" i="1"/>
  <c r="AS55" i="1"/>
  <c r="AS58" i="1"/>
  <c r="AW67" i="1"/>
  <c r="AW102" i="1"/>
  <c r="AW114" i="1"/>
  <c r="AW131" i="1"/>
  <c r="AS157" i="1"/>
  <c r="AS168" i="1"/>
  <c r="AS182" i="1"/>
  <c r="AS238" i="1"/>
  <c r="AW5" i="1"/>
  <c r="AW16" i="1"/>
  <c r="AS135" i="1"/>
  <c r="AS146" i="1"/>
  <c r="AS150" i="1"/>
  <c r="AW164" i="1"/>
  <c r="AS121" i="1"/>
  <c r="AS128" i="1"/>
  <c r="AS139" i="1"/>
  <c r="AW272" i="1"/>
  <c r="AW17" i="1"/>
  <c r="AW28" i="1"/>
  <c r="AW10" i="1"/>
  <c r="AW39" i="1"/>
  <c r="AS118" i="1"/>
  <c r="AW186" i="1"/>
  <c r="AS204" i="1"/>
  <c r="AW214" i="1"/>
  <c r="AW108" i="1"/>
  <c r="AP2" i="1"/>
  <c r="AS176" i="1"/>
  <c r="AS183" i="1"/>
  <c r="AW235" i="1"/>
  <c r="AW14" i="1"/>
  <c r="AS29" i="1"/>
  <c r="AW52" i="1"/>
  <c r="AS87" i="1"/>
  <c r="AW36" i="1"/>
  <c r="AS59" i="1"/>
  <c r="AS65" i="1"/>
  <c r="AW74" i="1"/>
  <c r="AS84" i="1"/>
  <c r="AW112" i="1"/>
  <c r="AW115" i="1"/>
  <c r="AS136" i="1"/>
  <c r="AS147" i="1"/>
  <c r="AW183" i="1"/>
  <c r="AS201" i="1"/>
  <c r="AS208" i="1"/>
  <c r="AS222" i="1"/>
  <c r="AS239" i="1"/>
  <c r="AW249" i="1"/>
  <c r="AW273" i="1"/>
  <c r="AW280" i="1"/>
  <c r="AW7" i="1"/>
  <c r="AW18" i="1"/>
  <c r="AW109" i="1"/>
  <c r="AS122" i="1"/>
  <c r="AS215" i="1"/>
  <c r="AS246" i="1"/>
  <c r="AS7" i="1"/>
  <c r="AW21" i="1"/>
  <c r="AW32" i="1"/>
  <c r="AS129" i="1"/>
  <c r="AW136" i="1"/>
  <c r="AS81" i="1"/>
  <c r="AW29" i="1"/>
  <c r="AW81" i="1"/>
  <c r="AS8" i="1"/>
  <c r="AW11" i="1"/>
  <c r="AW22" i="1"/>
  <c r="AS37" i="1"/>
  <c r="AS53" i="1"/>
  <c r="AW56" i="1"/>
  <c r="AW122" i="1"/>
  <c r="AS155" i="1"/>
  <c r="AW215" i="1"/>
  <c r="AS219" i="1"/>
  <c r="AW229" i="1"/>
  <c r="AS281" i="1"/>
  <c r="AS85" i="1"/>
  <c r="AS91" i="1"/>
  <c r="AS82" i="1"/>
  <c r="AS88" i="1"/>
  <c r="AW107" i="1"/>
  <c r="AW116" i="1"/>
  <c r="AW133" i="1"/>
  <c r="AW166" i="1"/>
  <c r="AS170" i="1"/>
  <c r="AW212" i="1"/>
  <c r="AW274" i="1"/>
  <c r="AW40" i="1"/>
  <c r="AW73" i="1"/>
  <c r="AW80" i="1"/>
  <c r="AW113" i="1"/>
  <c r="AW47" i="1"/>
  <c r="AW54" i="1"/>
  <c r="AW87" i="1"/>
  <c r="AW94" i="1"/>
  <c r="AW59" i="1"/>
  <c r="AW66" i="1"/>
  <c r="AW99" i="1"/>
  <c r="AW106" i="1"/>
  <c r="AS127" i="1"/>
  <c r="AS133" i="1"/>
  <c r="AW139" i="1"/>
  <c r="AW142" i="1"/>
  <c r="AS163" i="1"/>
  <c r="AS180" i="1"/>
  <c r="AW193" i="1"/>
  <c r="AW210" i="1"/>
  <c r="AW71" i="1"/>
  <c r="AW78" i="1"/>
  <c r="AW111" i="1"/>
  <c r="AW97" i="1"/>
  <c r="AW104" i="1"/>
  <c r="AW130" i="1"/>
  <c r="AS143" i="1"/>
  <c r="AS153" i="1"/>
  <c r="AS160" i="1"/>
  <c r="AW163" i="1"/>
  <c r="AW180" i="1"/>
  <c r="AW190" i="1"/>
  <c r="AW217" i="1"/>
  <c r="AW57" i="1"/>
  <c r="AW64" i="1"/>
  <c r="AW43" i="1"/>
  <c r="AW50" i="1"/>
  <c r="AW83" i="1"/>
  <c r="AW90" i="1"/>
  <c r="AW143" i="1"/>
  <c r="AS167" i="1"/>
  <c r="AW170" i="1"/>
  <c r="AW194" i="1"/>
  <c r="AW150" i="1"/>
  <c r="AW174" i="1"/>
  <c r="AW53" i="1"/>
  <c r="AW60" i="1"/>
  <c r="AW93" i="1"/>
  <c r="AW100" i="1"/>
  <c r="AW46" i="1"/>
  <c r="AW79" i="1"/>
  <c r="AW86" i="1"/>
  <c r="AW119" i="1"/>
  <c r="AW125" i="1"/>
  <c r="AS137" i="1"/>
  <c r="AS141" i="1"/>
  <c r="AS151" i="1"/>
  <c r="AW154" i="1"/>
  <c r="AS202" i="1"/>
  <c r="AS263" i="1"/>
  <c r="AW65" i="1"/>
  <c r="AW72" i="1"/>
  <c r="AW51" i="1"/>
  <c r="AW58" i="1"/>
  <c r="AW91" i="1"/>
  <c r="AW98" i="1"/>
  <c r="AW77" i="1"/>
  <c r="AW84" i="1"/>
  <c r="AW117" i="1"/>
  <c r="AS132" i="1"/>
  <c r="AS148" i="1"/>
  <c r="AW151" i="1"/>
  <c r="AS165" i="1"/>
  <c r="AW44" i="1"/>
  <c r="AW63" i="1"/>
  <c r="AW70" i="1"/>
  <c r="AW103" i="1"/>
  <c r="AW110" i="1"/>
  <c r="AW89" i="1"/>
  <c r="AW96" i="1"/>
  <c r="AS123" i="1"/>
  <c r="AW138" i="1"/>
  <c r="AW148" i="1"/>
  <c r="AW158" i="1"/>
  <c r="AS206" i="1"/>
  <c r="AS243" i="1"/>
  <c r="AS145" i="1"/>
  <c r="AS152" i="1"/>
  <c r="AW155" i="1"/>
  <c r="AW179" i="1"/>
  <c r="AS186" i="1"/>
  <c r="AS159" i="1"/>
  <c r="AW162" i="1"/>
  <c r="AS203" i="1"/>
  <c r="AW257" i="1"/>
  <c r="AW191" i="1"/>
  <c r="AS197" i="1"/>
  <c r="AW211" i="1"/>
  <c r="AS217" i="1"/>
  <c r="AW231" i="1"/>
  <c r="AS237" i="1"/>
  <c r="AW251" i="1"/>
  <c r="AS257" i="1"/>
  <c r="AW271" i="1"/>
  <c r="AS277" i="1"/>
  <c r="AS189" i="1"/>
  <c r="AW203" i="1"/>
  <c r="AS209" i="1"/>
  <c r="AW223" i="1"/>
  <c r="AS229" i="1"/>
  <c r="AW243" i="1"/>
  <c r="AS249" i="1"/>
  <c r="AW263" i="1"/>
  <c r="AS269" i="1"/>
  <c r="AW283" i="1"/>
  <c r="AW189" i="1"/>
  <c r="AS195" i="1"/>
  <c r="AW209" i="1"/>
  <c r="AW141" i="1"/>
  <c r="AW149" i="1"/>
  <c r="AW157" i="1"/>
  <c r="AW165" i="1"/>
  <c r="AW173" i="1"/>
  <c r="AW275" i="1"/>
  <c r="AS187" i="1"/>
  <c r="AW201" i="1"/>
  <c r="AS207" i="1"/>
  <c r="AW221" i="1"/>
  <c r="AS227" i="1"/>
  <c r="AW241" i="1"/>
  <c r="AS247" i="1"/>
  <c r="AW261" i="1"/>
  <c r="AS267" i="1"/>
  <c r="AW281" i="1"/>
  <c r="AS287" i="1"/>
  <c r="AW187" i="1"/>
  <c r="AS193" i="1"/>
  <c r="AW207" i="1"/>
  <c r="AS213" i="1"/>
  <c r="AW227" i="1"/>
  <c r="AS233" i="1"/>
  <c r="AW247" i="1"/>
  <c r="AS253" i="1"/>
  <c r="AW267" i="1"/>
  <c r="AS273" i="1"/>
  <c r="AW287" i="1"/>
  <c r="AS161" i="1"/>
  <c r="AS169" i="1"/>
  <c r="AS177" i="1"/>
  <c r="AS185" i="1"/>
  <c r="AW199" i="1"/>
  <c r="AS205" i="1"/>
  <c r="AW219" i="1"/>
  <c r="AS225" i="1"/>
  <c r="AW239" i="1"/>
  <c r="AS245" i="1"/>
  <c r="AW259" i="1"/>
  <c r="AS265" i="1"/>
  <c r="AW279" i="1"/>
  <c r="AS285" i="1"/>
  <c r="AW121" i="1"/>
  <c r="AW129" i="1"/>
  <c r="AW137" i="1"/>
  <c r="AW145" i="1"/>
  <c r="AW153" i="1"/>
  <c r="AW161" i="1"/>
  <c r="AW169" i="1"/>
  <c r="AW177" i="1"/>
  <c r="AW185" i="1"/>
  <c r="AS191" i="1"/>
  <c r="AW205" i="1"/>
  <c r="AS211" i="1"/>
  <c r="AW225" i="1"/>
  <c r="AS231" i="1"/>
  <c r="AW245" i="1"/>
  <c r="AS251" i="1"/>
  <c r="AW265" i="1"/>
  <c r="AS271" i="1"/>
  <c r="AW285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<sst xmlns="http://schemas.openxmlformats.org/spreadsheetml/2006/main" count="3697" uniqueCount="1288">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</sst>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topLeftCell="I1" zoomScale="71" zoomScaleNormal="71" workbookViewId="0">
      <selection activeCell="AA1" sqref="AA1:AB104857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38" width="32.42578125" style="51" customWidth="1"/>
    <col min="139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40.6</v>
      </c>
      <c r="S2" s="92">
        <f t="shared" si="0"/>
        <v>37.5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41.2</v>
      </c>
      <c r="Z2" s="92">
        <f t="shared" si="0"/>
        <v>41.2</v>
      </c>
      <c r="AA2" s="92">
        <f t="shared" si="0"/>
        <v>42</v>
      </c>
      <c r="AB2" s="92">
        <f t="shared" si="0"/>
        <v>40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18</v>
      </c>
      <c r="AQ5" s="68">
        <f t="shared" ref="AQ5:AQ68" si="2">IF(AP5&gt;14,AVERAGE(K5:AO5),"")</f>
        <v>31.205555555555559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1.0081837795473305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18</v>
      </c>
      <c r="AQ6" s="68">
        <f t="shared" si="2"/>
        <v>30.655555555555551</v>
      </c>
      <c r="AR6" s="68">
        <f>IFERROR(VLOOKUP(A6,Climatologia_TMAX!A:U,9+$E$2,FALSE),"")</f>
        <v>30.65428039702234</v>
      </c>
      <c r="AS6" s="68">
        <f t="shared" si="3"/>
        <v>1.2751585332111404E-3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18</v>
      </c>
      <c r="AQ7" s="68">
        <f t="shared" si="2"/>
        <v>36.18333333333333</v>
      </c>
      <c r="AR7" s="68">
        <f>IFERROR(VLOOKUP(A7,Climatologia_TMAX!A:U,9+$E$2,FALSE),"")</f>
        <v>33.366016007569073</v>
      </c>
      <c r="AS7" s="68">
        <f t="shared" si="3"/>
        <v>2.8173173257642574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18</v>
      </c>
      <c r="AQ8" s="68">
        <f t="shared" si="2"/>
        <v>33.466666666666669</v>
      </c>
      <c r="AR8" s="68">
        <f>IFERROR(VLOOKUP(A8,Climatologia_TMAX!A:U,9+$E$2,FALSE),"")</f>
        <v>32.249043010752693</v>
      </c>
      <c r="AS8" s="68">
        <f t="shared" si="3"/>
        <v>1.2176236559139753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18</v>
      </c>
      <c r="AQ9" s="68">
        <f t="shared" si="2"/>
        <v>33.99444444444444</v>
      </c>
      <c r="AR9" s="68">
        <f>IFERROR(VLOOKUP(A9,Climatologia_TMAX!A:U,9+$E$2,FALSE),"")</f>
        <v>33.091246137683846</v>
      </c>
      <c r="AS9" s="68">
        <f t="shared" si="3"/>
        <v>0.90319830676059354</v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18</v>
      </c>
      <c r="AQ10" s="68">
        <f t="shared" si="2"/>
        <v>35.822222222222223</v>
      </c>
      <c r="AR10" s="68">
        <f>IFERROR(VLOOKUP(A10,Climatologia_TMAX!A:U,9+$E$2,FALSE),"")</f>
        <v>35.380238227660357</v>
      </c>
      <c r="AS10" s="68">
        <f t="shared" si="3"/>
        <v>0.44198399456186621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18</v>
      </c>
      <c r="AQ11" s="68">
        <f t="shared" si="2"/>
        <v>38.349999999999994</v>
      </c>
      <c r="AR11" s="68">
        <f>IFERROR(VLOOKUP(A11,Climatologia_TMAX!A:U,9+$E$2,FALSE),"")</f>
        <v>35.537284092848601</v>
      </c>
      <c r="AS11" s="68">
        <f t="shared" si="3"/>
        <v>2.812715907151393</v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18</v>
      </c>
      <c r="AQ12" s="68">
        <f t="shared" si="2"/>
        <v>35.383333333333333</v>
      </c>
      <c r="AR12" s="68">
        <f>IFERROR(VLOOKUP(A12,Climatologia_TMAX!A:U,9+$E$2,FALSE),"")</f>
        <v>33.224936599214232</v>
      </c>
      <c r="AS12" s="68">
        <f t="shared" si="3"/>
        <v>2.1583967341191013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18</v>
      </c>
      <c r="AQ13" s="68">
        <f t="shared" si="2"/>
        <v>34.74444444444444</v>
      </c>
      <c r="AR13" s="68">
        <f>IFERROR(VLOOKUP(A13,Climatologia_TMAX!A:U,9+$E$2,FALSE),"")</f>
        <v>32.673982202447156</v>
      </c>
      <c r="AS13" s="68">
        <f t="shared" si="3"/>
        <v>2.0704622419972836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18</v>
      </c>
      <c r="AQ14" s="68">
        <f t="shared" si="2"/>
        <v>28.205555555555563</v>
      </c>
      <c r="AR14" s="68">
        <f>IFERROR(VLOOKUP(A14,Climatologia_TMAX!A:U,9+$E$2,FALSE),"")</f>
        <v>26.05987085395687</v>
      </c>
      <c r="AS14" s="68">
        <f t="shared" si="3"/>
        <v>2.1456847015986931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18</v>
      </c>
      <c r="AQ15" s="68">
        <f t="shared" si="2"/>
        <v>33.766666666666666</v>
      </c>
      <c r="AR15" s="68">
        <f>IFERROR(VLOOKUP(A15,Climatologia_TMAX!A:U,9+$E$2,FALSE),"")</f>
        <v>33.250962402669643</v>
      </c>
      <c r="AS15" s="68">
        <f t="shared" si="3"/>
        <v>0.51570426399702285</v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18</v>
      </c>
      <c r="AQ16" s="68">
        <f t="shared" si="2"/>
        <v>31.966666666666665</v>
      </c>
      <c r="AR16" s="68">
        <f>IFERROR(VLOOKUP(A16,Climatologia_TMAX!A:U,9+$E$2,FALSE),"")</f>
        <v>31.73533745607995</v>
      </c>
      <c r="AS16" s="68">
        <f t="shared" si="3"/>
        <v>0.23132921058671485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18</v>
      </c>
      <c r="AQ17" s="68">
        <f t="shared" si="2"/>
        <v>30.677777777777781</v>
      </c>
      <c r="AR17" s="68">
        <f>IFERROR(VLOOKUP(A17,Climatologia_TMAX!A:U,9+$E$2,FALSE),"")</f>
        <v>28.640804597701148</v>
      </c>
      <c r="AS17" s="68">
        <f t="shared" si="3"/>
        <v>2.0369731800766324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18</v>
      </c>
      <c r="AQ18" s="68">
        <f t="shared" si="2"/>
        <v>24.455555555555552</v>
      </c>
      <c r="AR18" s="68">
        <f>IFERROR(VLOOKUP(A18,Climatologia_TMAX!A:U,9+$E$2,FALSE),"")</f>
        <v>22.609503151649971</v>
      </c>
      <c r="AS18" s="68">
        <f t="shared" si="3"/>
        <v>1.8460524039055812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18</v>
      </c>
      <c r="AQ19" s="68">
        <f t="shared" si="2"/>
        <v>28.983333333333334</v>
      </c>
      <c r="AR19" s="68">
        <f>IFERROR(VLOOKUP(A19,Climatologia_TMAX!A:U,9+$E$2,FALSE),"")</f>
        <v>26.8683870967742</v>
      </c>
      <c r="AS19" s="68">
        <f t="shared" si="3"/>
        <v>2.1149462365591347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18</v>
      </c>
      <c r="AQ20" s="68">
        <f t="shared" si="2"/>
        <v>30.061111111111114</v>
      </c>
      <c r="AR20" s="68">
        <f>IFERROR(VLOOKUP(A20,Climatologia_TMAX!A:U,9+$E$2,FALSE),"")</f>
        <v>28.251824116743482</v>
      </c>
      <c r="AS20" s="68">
        <f t="shared" si="3"/>
        <v>1.809286994367632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18</v>
      </c>
      <c r="AQ21" s="68">
        <f t="shared" si="2"/>
        <v>32.305555555555564</v>
      </c>
      <c r="AR21" s="68">
        <f>IFERROR(VLOOKUP(A21,Climatologia_TMAX!A:U,9+$E$2,FALSE),"")</f>
        <v>30.375865393221069</v>
      </c>
      <c r="AS21" s="68">
        <f t="shared" si="3"/>
        <v>1.9296901623344951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18</v>
      </c>
      <c r="AQ22" s="68">
        <f t="shared" si="2"/>
        <v>19.683333333333337</v>
      </c>
      <c r="AR22" s="68">
        <f>IFERROR(VLOOKUP(A22,Climatologia_TMAX!A:U,9+$E$2,FALSE),"")</f>
        <v>18.542871607443359</v>
      </c>
      <c r="AS22" s="68">
        <f t="shared" si="3"/>
        <v>1.1404617258899776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18</v>
      </c>
      <c r="AQ23" s="68">
        <f t="shared" si="2"/>
        <v>32.12777777777778</v>
      </c>
      <c r="AR23" s="68">
        <f>IFERROR(VLOOKUP(A23,Climatologia_TMAX!A:U,9+$E$2,FALSE),"")</f>
        <v>30.528452601656159</v>
      </c>
      <c r="AS23" s="68">
        <f t="shared" si="3"/>
        <v>1.5993251761216207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18</v>
      </c>
      <c r="AQ24" s="68">
        <f t="shared" si="2"/>
        <v>34.572222222222223</v>
      </c>
      <c r="AR24" s="68">
        <f>IFERROR(VLOOKUP(A24,Climatologia_TMAX!A:U,9+$E$2,FALSE),"")</f>
        <v>33.74225089605735</v>
      </c>
      <c r="AS24" s="68">
        <f t="shared" si="3"/>
        <v>0.82997132616487335</v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18</v>
      </c>
      <c r="AQ25" s="68">
        <f t="shared" si="2"/>
        <v>27.75</v>
      </c>
      <c r="AR25" s="68">
        <f>IFERROR(VLOOKUP(A25,Climatologia_TMAX!A:U,9+$E$2,FALSE),"")</f>
        <v>25.387424837120619</v>
      </c>
      <c r="AS25" s="68">
        <f t="shared" si="3"/>
        <v>2.3625751628793807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18</v>
      </c>
      <c r="AQ26" s="68">
        <f t="shared" si="2"/>
        <v>15.638888888888889</v>
      </c>
      <c r="AR26" s="68">
        <f>IFERROR(VLOOKUP(A26,Climatologia_TMAX!A:U,9+$E$2,FALSE),"")</f>
        <v>14.744612532443449</v>
      </c>
      <c r="AS26" s="68">
        <f t="shared" si="3"/>
        <v>0.8942763564454399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18</v>
      </c>
      <c r="AQ27" s="68">
        <f t="shared" si="2"/>
        <v>32.24444444444444</v>
      </c>
      <c r="AR27" s="68">
        <f>IFERROR(VLOOKUP(A27,Climatologia_TMAX!A:U,9+$E$2,FALSE),"")</f>
        <v>31.072695852534562</v>
      </c>
      <c r="AS27" s="68">
        <f t="shared" si="3"/>
        <v>1.1717485919098785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18</v>
      </c>
      <c r="AQ28" s="68">
        <f t="shared" si="2"/>
        <v>30.166666666666661</v>
      </c>
      <c r="AR28" s="68">
        <f>IFERROR(VLOOKUP(A28,Climatologia_TMAX!A:U,9+$E$2,FALSE),"")</f>
        <v>30.029026223392581</v>
      </c>
      <c r="AS28" s="68">
        <f t="shared" si="3"/>
        <v>0.13764044327407987</v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18</v>
      </c>
      <c r="AQ29" s="68">
        <f t="shared" si="2"/>
        <v>31.333333333333332</v>
      </c>
      <c r="AR29" s="68">
        <f>IFERROR(VLOOKUP(A29,Climatologia_TMAX!A:U,9+$E$2,FALSE),"")</f>
        <v>30.843133110863921</v>
      </c>
      <c r="AS29" s="68">
        <f t="shared" si="3"/>
        <v>0.49020022246941153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18</v>
      </c>
      <c r="AQ30" s="68">
        <f t="shared" si="2"/>
        <v>29.433333333333337</v>
      </c>
      <c r="AR30" s="68">
        <f>IFERROR(VLOOKUP(A30,Climatologia_TMAX!A:U,9+$E$2,FALSE),"")</f>
        <v>28.947548387096781</v>
      </c>
      <c r="AS30" s="68">
        <f t="shared" si="3"/>
        <v>0.48578494623655644</v>
      </c>
      <c r="AT30" s="74">
        <f t="shared" si="4"/>
        <v>31.7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18</v>
      </c>
      <c r="AQ31" s="68">
        <f t="shared" si="2"/>
        <v>30.261111111111113</v>
      </c>
      <c r="AR31" s="68">
        <f>IFERROR(VLOOKUP(A31,Climatologia_TMAX!A:U,9+$E$2,FALSE),"")</f>
        <v>30.34253285543608</v>
      </c>
      <c r="AS31" s="68">
        <f t="shared" si="3"/>
        <v>-8.1421744324966738E-2</v>
      </c>
      <c r="AT31" s="74">
        <f t="shared" si="4"/>
        <v>32.9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-2.3000000000000043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18</v>
      </c>
      <c r="AQ33" s="68">
        <f t="shared" si="2"/>
        <v>26.3</v>
      </c>
      <c r="AR33" s="68">
        <f>IFERROR(VLOOKUP(A33,Climatologia_TMAX!A:U,9+$E$2,FALSE),"")</f>
        <v>24.63366101619717</v>
      </c>
      <c r="AS33" s="68">
        <f t="shared" si="3"/>
        <v>1.6663389838028309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18</v>
      </c>
      <c r="AQ36" s="68">
        <f t="shared" si="2"/>
        <v>36.200000000000003</v>
      </c>
      <c r="AR36" s="68">
        <f>IFERROR(VLOOKUP(A36,Climatologia_TMAX!A:U,9+$E$2,FALSE),"")</f>
        <v>33.669529909436747</v>
      </c>
      <c r="AS36" s="68">
        <f t="shared" si="3"/>
        <v>2.5304700905632558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18</v>
      </c>
      <c r="AQ38" s="68">
        <f t="shared" si="2"/>
        <v>28.2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18</v>
      </c>
      <c r="AQ39" s="68">
        <f t="shared" si="2"/>
        <v>26.777777777777775</v>
      </c>
      <c r="AR39" s="68">
        <f>IFERROR(VLOOKUP(A39,Climatologia_TMAX!A:U,9+$E$2,FALSE),"")</f>
        <v>23.752466703156351</v>
      </c>
      <c r="AS39" s="68">
        <f t="shared" si="3"/>
        <v>3.025311074621424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18</v>
      </c>
      <c r="AQ40" s="68">
        <f t="shared" si="2"/>
        <v>21.555555555555557</v>
      </c>
      <c r="AR40" s="68">
        <f>IFERROR(VLOOKUP(A40,Climatologia_TMAX!A:U,9+$E$2,FALSE),"")</f>
        <v>20.412982326041281</v>
      </c>
      <c r="AS40" s="68">
        <f t="shared" si="3"/>
        <v>1.1425732295142765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18</v>
      </c>
      <c r="AQ42" s="68">
        <f t="shared" si="2"/>
        <v>32.411111111111104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18</v>
      </c>
      <c r="AQ43" s="68">
        <f t="shared" si="2"/>
        <v>32.533333333333331</v>
      </c>
      <c r="AR43" s="68">
        <f>IFERROR(VLOOKUP(A43,Climatologia_TMAX!A:U,9+$E$2,FALSE),"")</f>
        <v>31.60886672633503</v>
      </c>
      <c r="AS43" s="68">
        <f t="shared" si="3"/>
        <v>0.92446660699830119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18</v>
      </c>
      <c r="AQ44" s="68">
        <f t="shared" si="2"/>
        <v>27.411111111111111</v>
      </c>
      <c r="AR44" s="68">
        <f>IFERROR(VLOOKUP(A44,Climatologia_TMAX!A:U,9+$E$2,FALSE),"")</f>
        <v>22.96179749103943</v>
      </c>
      <c r="AS44" s="68">
        <f t="shared" si="3"/>
        <v>4.4493136200716812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18</v>
      </c>
      <c r="AQ45" s="68">
        <f t="shared" si="2"/>
        <v>36.299999999999997</v>
      </c>
      <c r="AR45" s="68">
        <f>IFERROR(VLOOKUP(A45,Climatologia_TMAX!A:U,9+$E$2,FALSE),"")</f>
        <v>33.381792114695337</v>
      </c>
      <c r="AS45" s="68">
        <f t="shared" si="3"/>
        <v>2.9182078853046605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18</v>
      </c>
      <c r="AQ46" s="68">
        <f t="shared" si="2"/>
        <v>31.944444444444443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18</v>
      </c>
      <c r="AQ49" s="68">
        <f t="shared" si="2"/>
        <v>35.333333333333336</v>
      </c>
      <c r="AR49" s="68">
        <f>IFERROR(VLOOKUP(A49,Climatologia_TMAX!A:U,9+$E$2,FALSE),"")</f>
        <v>32.8234456183622</v>
      </c>
      <c r="AS49" s="68">
        <f t="shared" si="3"/>
        <v>2.5098877149711356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17</v>
      </c>
      <c r="AQ52" s="68">
        <f t="shared" si="2"/>
        <v>32.27058823529412</v>
      </c>
      <c r="AR52" s="68">
        <f>IFERROR(VLOOKUP(A52,Climatologia_TMAX!A:U,9+$E$2,FALSE),"")</f>
        <v>31.351722385882571</v>
      </c>
      <c r="AS52" s="68">
        <f t="shared" si="3"/>
        <v>0.91886584941154936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18</v>
      </c>
      <c r="AQ53" s="68">
        <f t="shared" si="2"/>
        <v>34.566666666666663</v>
      </c>
      <c r="AR53" s="68">
        <f>IFERROR(VLOOKUP(A53,Climatologia_TMAX!A:U,9+$E$2,FALSE),"")</f>
        <v>32.406928995179832</v>
      </c>
      <c r="AS53" s="68">
        <f t="shared" si="3"/>
        <v>2.1597376714868304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14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17</v>
      </c>
      <c r="AQ55" s="68">
        <f t="shared" si="2"/>
        <v>35.923529411764711</v>
      </c>
      <c r="AR55" s="68">
        <f>IFERROR(VLOOKUP(A55,Climatologia_TMAX!A:U,9+$E$2,FALSE),"")</f>
        <v>33.028858295246998</v>
      </c>
      <c r="AS55" s="68">
        <f t="shared" si="3"/>
        <v>2.8946711165177135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18</v>
      </c>
      <c r="AQ67" s="68">
        <f t="shared" si="2"/>
        <v>33.894444444444446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18</v>
      </c>
      <c r="AQ74" s="68">
        <f t="shared" si="7"/>
        <v>36.305555555555557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18</v>
      </c>
      <c r="AQ76" s="68">
        <f t="shared" si="7"/>
        <v>35.088888888888889</v>
      </c>
      <c r="AR76" s="68">
        <f>IFERROR(VLOOKUP(A76,Climatologia_TMAX!A:U,9+$E$2,FALSE),"")</f>
        <v>32.188624146173737</v>
      </c>
      <c r="AS76" s="68">
        <f t="shared" si="8"/>
        <v>2.9002647427151516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/>
      <c r="AB77" s="66">
        <v>30.8</v>
      </c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10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18</v>
      </c>
      <c r="AQ79" s="68">
        <f t="shared" si="7"/>
        <v>30.588888888888896</v>
      </c>
      <c r="AR79" s="68">
        <f>IFERROR(VLOOKUP(A79,Climatologia_TMAX!A:U,9+$E$2,FALSE),"")</f>
        <v>29.544674995207899</v>
      </c>
      <c r="AS79" s="68">
        <f t="shared" si="8"/>
        <v>1.0442138936809968</v>
      </c>
      <c r="AT79" s="74">
        <f t="shared" si="9"/>
        <v>31.6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-4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13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18</v>
      </c>
      <c r="AQ81" s="68">
        <f t="shared" si="7"/>
        <v>30.033333333333328</v>
      </c>
      <c r="AR81" s="68">
        <f>IFERROR(VLOOKUP(A81,Climatologia_TMAX!A:U,9+$E$2,FALSE),"")</f>
        <v>29.131406078560449</v>
      </c>
      <c r="AS81" s="68">
        <f t="shared" si="8"/>
        <v>0.90192725477287894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16</v>
      </c>
      <c r="AQ83" s="68">
        <f t="shared" si="7"/>
        <v>30.287500000000001</v>
      </c>
      <c r="AR83" s="68">
        <f>IFERROR(VLOOKUP(A83,Climatologia_TMAX!A:U,9+$E$2,FALSE),"")</f>
        <v>29.283968683114491</v>
      </c>
      <c r="AS83" s="68">
        <f t="shared" si="8"/>
        <v>1.0035313168855104</v>
      </c>
      <c r="AT83" s="74">
        <f t="shared" si="9"/>
        <v>33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18</v>
      </c>
      <c r="AQ85" s="68">
        <f t="shared" si="7"/>
        <v>29.977777777777778</v>
      </c>
      <c r="AR85" s="68">
        <f>IFERROR(VLOOKUP(A85,Climatologia_TMAX!A:U,9+$E$2,FALSE),"")</f>
        <v>29.391449466603099</v>
      </c>
      <c r="AS85" s="68">
        <f t="shared" si="8"/>
        <v>0.58632831117467887</v>
      </c>
      <c r="AT85" s="74">
        <f t="shared" si="9"/>
        <v>32.200000000000003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-2.5999999999999943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18</v>
      </c>
      <c r="AQ86" s="68">
        <f t="shared" si="7"/>
        <v>29.93333333333333</v>
      </c>
      <c r="AR86" s="68">
        <f>IFERROR(VLOOKUP(A86,Climatologia_TMAX!A:U,9+$E$2,FALSE),"")</f>
        <v>29.45927642223533</v>
      </c>
      <c r="AS86" s="68">
        <f t="shared" si="8"/>
        <v>0.47405691109799974</v>
      </c>
      <c r="AT86" s="74">
        <f t="shared" si="9"/>
        <v>31.4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-1.8000000000000043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18</v>
      </c>
      <c r="AQ87" s="68">
        <f t="shared" si="7"/>
        <v>30.411111111111115</v>
      </c>
      <c r="AR87" s="68">
        <f>IFERROR(VLOOKUP(A87,Climatologia_TMAX!A:U,9+$E$2,FALSE),"")</f>
        <v>29.54581639287883</v>
      </c>
      <c r="AS87" s="68">
        <f t="shared" si="8"/>
        <v>0.86529471823228477</v>
      </c>
      <c r="AT87" s="74">
        <f t="shared" si="9"/>
        <v>32.799999999999997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-1.4000000000000057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18</v>
      </c>
      <c r="AQ90" s="68">
        <f t="shared" si="7"/>
        <v>31.277777777777779</v>
      </c>
      <c r="AR90" s="68">
        <f>IFERROR(VLOOKUP(A90,Climatologia_TMAX!A:U,9+$E$2,FALSE),"")</f>
        <v>29.043187205360461</v>
      </c>
      <c r="AS90" s="68">
        <f t="shared" si="8"/>
        <v>2.2345905724173178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18</v>
      </c>
      <c r="AQ91" s="68">
        <f t="shared" si="7"/>
        <v>30.355555555555561</v>
      </c>
      <c r="AR91" s="68">
        <f>IFERROR(VLOOKUP(A91,Climatologia_TMAX!A:U,9+$E$2,FALSE),"")</f>
        <v>30.168933517456878</v>
      </c>
      <c r="AS91" s="68">
        <f t="shared" si="8"/>
        <v>0.18662203809868316</v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14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18</v>
      </c>
      <c r="AQ94" s="68">
        <f t="shared" si="7"/>
        <v>31.011111111111113</v>
      </c>
      <c r="AR94" s="68">
        <f>IFERROR(VLOOKUP(A94,Climatologia_TMAX!A:U,9+$E$2,FALSE),"")</f>
        <v>30.061061827956991</v>
      </c>
      <c r="AS94" s="68">
        <f t="shared" si="8"/>
        <v>0.95004928315412229</v>
      </c>
      <c r="AT94" s="74">
        <f t="shared" si="9"/>
        <v>33.200000000000003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-1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16</v>
      </c>
      <c r="AQ99" s="68">
        <f t="shared" si="7"/>
        <v>24.424999999999997</v>
      </c>
      <c r="AR99" s="68">
        <f>IFERROR(VLOOKUP(A99,Climatologia_TMAX!A:U,9+$E$2,FALSE),"")</f>
        <v>24.239088972462049</v>
      </c>
      <c r="AS99" s="68">
        <f t="shared" si="8"/>
        <v>0.18591102753794786</v>
      </c>
      <c r="AT99" s="74">
        <f t="shared" si="9"/>
        <v>27.2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-2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18</v>
      </c>
      <c r="AQ100" s="68">
        <f t="shared" si="7"/>
        <v>37.099999999999994</v>
      </c>
      <c r="AR100" s="68">
        <f>IFERROR(VLOOKUP(A100,Climatologia_TMAX!A:U,9+$E$2,FALSE),"")</f>
        <v>35.854842588404878</v>
      </c>
      <c r="AS100" s="68">
        <f t="shared" si="8"/>
        <v>1.2451574115951161</v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18</v>
      </c>
      <c r="AQ102" s="68">
        <f t="shared" si="7"/>
        <v>28.37777777777778</v>
      </c>
      <c r="AR102" s="68">
        <f>IFERROR(VLOOKUP(A102,Climatologia_TMAX!A:U,9+$E$2,FALSE),"")</f>
        <v>27.486459028550239</v>
      </c>
      <c r="AS102" s="68">
        <f t="shared" si="8"/>
        <v>0.89131874922754051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/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15</v>
      </c>
      <c r="AQ104" s="68">
        <f t="shared" si="7"/>
        <v>36.973333333333336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18</v>
      </c>
      <c r="AQ105" s="68">
        <f t="shared" si="7"/>
        <v>27.811111111111117</v>
      </c>
      <c r="AR105" s="68">
        <f>IFERROR(VLOOKUP(A105,Climatologia_TMAX!A:U,9+$E$2,FALSE),"")</f>
        <v>28.80830593663741</v>
      </c>
      <c r="AS105" s="68">
        <f t="shared" si="8"/>
        <v>-0.99719482552629302</v>
      </c>
      <c r="AT105" s="74">
        <f t="shared" si="9"/>
        <v>31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-3.3999999999999986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12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>
        <f t="shared" si="9"/>
        <v>26.8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17</v>
      </c>
      <c r="AQ108" s="68">
        <f t="shared" si="7"/>
        <v>29.047058823529408</v>
      </c>
      <c r="AR108" s="68">
        <f>IFERROR(VLOOKUP(A108,Climatologia_TMAX!A:U,9+$E$2,FALSE),"")</f>
        <v>29.378447243270202</v>
      </c>
      <c r="AS108" s="68">
        <f t="shared" si="8"/>
        <v>-0.33138841974079369</v>
      </c>
      <c r="AT108" s="74">
        <f t="shared" si="9"/>
        <v>31.8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-4.8000000000000007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18</v>
      </c>
      <c r="AQ109" s="68">
        <f t="shared" si="7"/>
        <v>25.844444444444449</v>
      </c>
      <c r="AR109" s="68">
        <f>IFERROR(VLOOKUP(A109,Climatologia_TMAX!A:U,9+$E$2,FALSE),"")</f>
        <v>25.24188769414576</v>
      </c>
      <c r="AS109" s="68">
        <f t="shared" si="8"/>
        <v>0.60255675029868883</v>
      </c>
      <c r="AT109" s="74">
        <f t="shared" si="9"/>
        <v>29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-1.1999999999999993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18</v>
      </c>
      <c r="AQ111" s="68">
        <f t="shared" si="7"/>
        <v>37.977777777777774</v>
      </c>
      <c r="AR111" s="68">
        <f>IFERROR(VLOOKUP(A111,Climatologia_TMAX!A:U,9+$E$2,FALSE),"")</f>
        <v>35.374911033986344</v>
      </c>
      <c r="AS111" s="68">
        <f t="shared" si="8"/>
        <v>2.6028667437914308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18</v>
      </c>
      <c r="AQ112" s="68">
        <f t="shared" si="7"/>
        <v>35.311111111111103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18</v>
      </c>
      <c r="AQ114" s="68">
        <f t="shared" si="7"/>
        <v>38.94444444444445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12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18</v>
      </c>
      <c r="AQ118" s="68">
        <f t="shared" si="7"/>
        <v>38.077777777777776</v>
      </c>
      <c r="AR118" s="68">
        <f>IFERROR(VLOOKUP(A118,Climatologia_TMAX!A:U,9+$E$2,FALSE),"")</f>
        <v>34.902965072302557</v>
      </c>
      <c r="AS118" s="68">
        <f t="shared" si="8"/>
        <v>3.1748127054752189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18</v>
      </c>
      <c r="AQ119" s="68">
        <f t="shared" si="7"/>
        <v>39.244444444444447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>
        <v>28.4</v>
      </c>
      <c r="N121" s="66">
        <v>26.8</v>
      </c>
      <c r="O121" s="66">
        <v>27.8</v>
      </c>
      <c r="P121" s="66">
        <v>30.4</v>
      </c>
      <c r="Q121" s="66">
        <v>29.8</v>
      </c>
      <c r="R121" s="66">
        <v>31.8</v>
      </c>
      <c r="S121" s="66">
        <v>25.2</v>
      </c>
      <c r="T121" s="66">
        <v>30.4</v>
      </c>
      <c r="U121" s="66">
        <v>29.2</v>
      </c>
      <c r="V121" s="66">
        <v>27.4</v>
      </c>
      <c r="W121" s="66">
        <v>28.8</v>
      </c>
      <c r="X121" s="66">
        <v>29.4</v>
      </c>
      <c r="Y121" s="66">
        <v>30.4</v>
      </c>
      <c r="Z121" s="66">
        <v>31.8</v>
      </c>
      <c r="AA121" s="66">
        <v>30.2</v>
      </c>
      <c r="AB121" s="66">
        <v>28.4</v>
      </c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18</v>
      </c>
      <c r="AQ121" s="68">
        <f t="shared" si="7"/>
        <v>29.077777777777776</v>
      </c>
      <c r="AR121" s="68">
        <f>IFERROR(VLOOKUP(A121,Climatologia_TMAX!A:U,9+$E$2,FALSE),"")</f>
        <v>27.695483870967738</v>
      </c>
      <c r="AS121" s="68">
        <f t="shared" si="8"/>
        <v>1.3822939068100375</v>
      </c>
      <c r="AT121" s="74">
        <f t="shared" si="9"/>
        <v>31.8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-1.9999999999999964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>
        <v>28</v>
      </c>
      <c r="N122" s="66">
        <v>26.6</v>
      </c>
      <c r="O122" s="66">
        <v>28.2</v>
      </c>
      <c r="P122" s="66">
        <v>31</v>
      </c>
      <c r="Q122" s="66">
        <v>28.8</v>
      </c>
      <c r="R122" s="66">
        <v>31.6</v>
      </c>
      <c r="S122" s="66">
        <v>28.4</v>
      </c>
      <c r="T122" s="66">
        <v>32</v>
      </c>
      <c r="U122" s="66">
        <v>31.6</v>
      </c>
      <c r="V122" s="66">
        <v>29.6</v>
      </c>
      <c r="W122" s="66">
        <v>31.4</v>
      </c>
      <c r="X122" s="66">
        <v>32.6</v>
      </c>
      <c r="Y122" s="66">
        <v>33.4</v>
      </c>
      <c r="Z122" s="66">
        <v>33.200000000000003</v>
      </c>
      <c r="AA122" s="66">
        <v>33.799999999999997</v>
      </c>
      <c r="AB122" s="66">
        <v>29.6</v>
      </c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18</v>
      </c>
      <c r="AQ122" s="68">
        <f t="shared" si="7"/>
        <v>30.455555555555559</v>
      </c>
      <c r="AR122" s="68">
        <f>IFERROR(VLOOKUP(A122,Climatologia_TMAX!A:U,9+$E$2,FALSE),"")</f>
        <v>29.366308243727591</v>
      </c>
      <c r="AS122" s="68">
        <f t="shared" si="8"/>
        <v>1.0892473118279682</v>
      </c>
      <c r="AT122" s="74">
        <f t="shared" si="9"/>
        <v>33.799999999999997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-0.60000000000000142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>
        <v>29.2</v>
      </c>
      <c r="N123" s="66">
        <v>26.2</v>
      </c>
      <c r="O123" s="66">
        <v>29.6</v>
      </c>
      <c r="P123" s="66">
        <v>30.4</v>
      </c>
      <c r="Q123" s="66">
        <v>29.4</v>
      </c>
      <c r="R123" s="66">
        <v>31.2</v>
      </c>
      <c r="S123" s="66">
        <v>26</v>
      </c>
      <c r="T123" s="66">
        <v>32</v>
      </c>
      <c r="U123" s="66">
        <v>31.9</v>
      </c>
      <c r="V123" s="66">
        <v>31</v>
      </c>
      <c r="W123" s="66">
        <v>32</v>
      </c>
      <c r="X123" s="66">
        <v>32.6</v>
      </c>
      <c r="Y123" s="66">
        <v>32.799999999999997</v>
      </c>
      <c r="Z123" s="66">
        <v>33</v>
      </c>
      <c r="AA123" s="66">
        <v>34.200000000000003</v>
      </c>
      <c r="AB123" s="66">
        <v>29.6</v>
      </c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18</v>
      </c>
      <c r="AQ123" s="68">
        <f t="shared" si="7"/>
        <v>30.527777777777779</v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34.200000000000003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-2.7999999999999972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>
        <v>25.6</v>
      </c>
      <c r="N126" s="66">
        <v>22</v>
      </c>
      <c r="O126" s="66">
        <v>24</v>
      </c>
      <c r="P126" s="66"/>
      <c r="Q126" s="66"/>
      <c r="R126" s="66">
        <v>23</v>
      </c>
      <c r="S126" s="66">
        <v>19.2</v>
      </c>
      <c r="T126" s="66">
        <v>23.8</v>
      </c>
      <c r="U126" s="66">
        <v>24</v>
      </c>
      <c r="V126" s="66">
        <v>24.6</v>
      </c>
      <c r="W126" s="66">
        <v>24</v>
      </c>
      <c r="X126" s="66">
        <v>25</v>
      </c>
      <c r="Y126" s="66">
        <v>26.6</v>
      </c>
      <c r="Z126" s="66">
        <v>26.6</v>
      </c>
      <c r="AA126" s="66">
        <v>27</v>
      </c>
      <c r="AB126" s="66">
        <v>26.8</v>
      </c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16</v>
      </c>
      <c r="AQ126" s="68">
        <f t="shared" si="7"/>
        <v>24.350000000000005</v>
      </c>
      <c r="AR126" s="68">
        <f>IFERROR(VLOOKUP(A126,Climatologia_TMAX!A:U,9+$E$2,FALSE),"")</f>
        <v>23.534082478068139</v>
      </c>
      <c r="AS126" s="68">
        <f t="shared" si="8"/>
        <v>0.81591752193186551</v>
      </c>
      <c r="AT126" s="74">
        <f t="shared" si="9"/>
        <v>27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>
        <v>22.4</v>
      </c>
      <c r="N127" s="66">
        <v>20.2</v>
      </c>
      <c r="O127" s="66">
        <v>21.2</v>
      </c>
      <c r="P127" s="66">
        <v>24</v>
      </c>
      <c r="Q127" s="66">
        <v>24</v>
      </c>
      <c r="R127" s="66">
        <v>25</v>
      </c>
      <c r="S127" s="66">
        <v>19.399999999999999</v>
      </c>
      <c r="T127" s="66">
        <v>22</v>
      </c>
      <c r="U127" s="66">
        <v>23</v>
      </c>
      <c r="V127" s="66">
        <v>21.4</v>
      </c>
      <c r="W127" s="66">
        <v>22.8</v>
      </c>
      <c r="X127" s="66">
        <v>23</v>
      </c>
      <c r="Y127" s="66">
        <v>22.4</v>
      </c>
      <c r="Z127" s="66">
        <v>24.8</v>
      </c>
      <c r="AA127" s="66">
        <v>25.2</v>
      </c>
      <c r="AB127" s="66">
        <v>20.399999999999999</v>
      </c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18</v>
      </c>
      <c r="AQ127" s="68">
        <f t="shared" si="7"/>
        <v>22.499999999999996</v>
      </c>
      <c r="AR127" s="68">
        <f>IFERROR(VLOOKUP(A127,Climatologia_TMAX!A:U,9+$E$2,FALSE),"")</f>
        <v>19.631024170572559</v>
      </c>
      <c r="AS127" s="68">
        <f t="shared" si="8"/>
        <v>2.8689758294274377</v>
      </c>
      <c r="AT127" s="74">
        <f t="shared" si="9"/>
        <v>25.2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1.1999999999999993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>
        <v>22.2</v>
      </c>
      <c r="N128" s="66"/>
      <c r="O128" s="66"/>
      <c r="P128" s="66">
        <v>26.6</v>
      </c>
      <c r="Q128" s="66">
        <v>21.8</v>
      </c>
      <c r="R128" s="66">
        <v>27.6</v>
      </c>
      <c r="S128" s="66">
        <v>21.2</v>
      </c>
      <c r="T128" s="66">
        <v>27.4</v>
      </c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8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27.6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-6.1999999999999957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>
        <v>19.600000000000001</v>
      </c>
      <c r="M130" s="66">
        <v>18.2</v>
      </c>
      <c r="N130" s="66"/>
      <c r="O130" s="66">
        <v>21.4</v>
      </c>
      <c r="P130" s="66">
        <v>22.8</v>
      </c>
      <c r="Q130" s="66">
        <v>20.8</v>
      </c>
      <c r="R130" s="66"/>
      <c r="S130" s="66"/>
      <c r="T130" s="66"/>
      <c r="U130" s="66"/>
      <c r="V130" s="66"/>
      <c r="W130" s="66"/>
      <c r="X130" s="66">
        <v>20.399999999999999</v>
      </c>
      <c r="Y130" s="66">
        <v>21.2</v>
      </c>
      <c r="Z130" s="66">
        <v>20.399999999999999</v>
      </c>
      <c r="AA130" s="66">
        <v>22.2</v>
      </c>
      <c r="AB130" s="66">
        <v>20.8</v>
      </c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11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22.8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17.2</v>
      </c>
      <c r="L132" s="66">
        <v>17.399999999999999</v>
      </c>
      <c r="M132" s="66">
        <v>17.2</v>
      </c>
      <c r="N132" s="66">
        <v>18.600000000000001</v>
      </c>
      <c r="O132" s="66"/>
      <c r="P132" s="66">
        <v>17.8</v>
      </c>
      <c r="Q132" s="66">
        <v>17.8</v>
      </c>
      <c r="R132" s="66">
        <v>18</v>
      </c>
      <c r="S132" s="66">
        <v>14.2</v>
      </c>
      <c r="T132" s="66">
        <v>16.8</v>
      </c>
      <c r="U132" s="66">
        <v>16.8</v>
      </c>
      <c r="V132" s="66">
        <v>18.8</v>
      </c>
      <c r="W132" s="66">
        <v>18</v>
      </c>
      <c r="X132" s="66">
        <v>16.2</v>
      </c>
      <c r="Y132" s="66">
        <v>19.399999999999999</v>
      </c>
      <c r="Z132" s="66">
        <v>17.8</v>
      </c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15</v>
      </c>
      <c r="AQ132" s="68">
        <f t="shared" si="7"/>
        <v>17.466666666666665</v>
      </c>
      <c r="AR132" s="68">
        <f>IFERROR(VLOOKUP(A132,Climatologia_TMAX!A:U,9+$E$2,FALSE),"")</f>
        <v>15.83566774324839</v>
      </c>
      <c r="AS132" s="68">
        <f t="shared" si="8"/>
        <v>1.6309989234182751</v>
      </c>
      <c r="AT132" s="74">
        <f t="shared" si="9"/>
        <v>19.399999999999999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>
        <v>23</v>
      </c>
      <c r="N134" s="66">
        <v>20.6</v>
      </c>
      <c r="O134" s="66">
        <v>23</v>
      </c>
      <c r="P134" s="66">
        <v>24</v>
      </c>
      <c r="Q134" s="66">
        <v>22.8</v>
      </c>
      <c r="R134" s="66">
        <v>23.6</v>
      </c>
      <c r="S134" s="66">
        <v>19.2</v>
      </c>
      <c r="T134" s="66">
        <v>24.2</v>
      </c>
      <c r="U134" s="66">
        <v>23.4</v>
      </c>
      <c r="V134" s="66">
        <v>24</v>
      </c>
      <c r="W134" s="66">
        <v>24.2</v>
      </c>
      <c r="X134" s="66">
        <v>20</v>
      </c>
      <c r="Y134" s="66">
        <v>23.8</v>
      </c>
      <c r="Z134" s="66">
        <v>23.6</v>
      </c>
      <c r="AA134" s="66">
        <v>24.2</v>
      </c>
      <c r="AB134" s="66">
        <v>23</v>
      </c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18</v>
      </c>
      <c r="AQ134" s="68">
        <f t="shared" si="12"/>
        <v>22.81111111111111</v>
      </c>
      <c r="AR134" s="68">
        <f>IFERROR(VLOOKUP(A134,Climatologia_TMAX!A:U,9+$E$2,FALSE),"")</f>
        <v>23.062270114942532</v>
      </c>
      <c r="AS134" s="68">
        <f t="shared" si="13"/>
        <v>-0.25115900383142176</v>
      </c>
      <c r="AT134" s="74">
        <f t="shared" si="14"/>
        <v>24.2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-2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>
        <v>20</v>
      </c>
      <c r="N137" s="66">
        <v>16.2</v>
      </c>
      <c r="O137" s="66">
        <v>20.5</v>
      </c>
      <c r="P137" s="66">
        <v>21</v>
      </c>
      <c r="Q137" s="66">
        <v>22</v>
      </c>
      <c r="R137" s="66"/>
      <c r="S137" s="66"/>
      <c r="T137" s="66">
        <v>18.2</v>
      </c>
      <c r="U137" s="66">
        <v>20.2</v>
      </c>
      <c r="V137" s="66">
        <v>20</v>
      </c>
      <c r="W137" s="66">
        <v>20.2</v>
      </c>
      <c r="X137" s="66">
        <v>21.2</v>
      </c>
      <c r="Y137" s="66">
        <v>21.4</v>
      </c>
      <c r="Z137" s="66">
        <v>22</v>
      </c>
      <c r="AA137" s="66">
        <v>23</v>
      </c>
      <c r="AB137" s="66">
        <v>22</v>
      </c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16</v>
      </c>
      <c r="AQ137" s="68">
        <f t="shared" si="12"/>
        <v>20.368749999999995</v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23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0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>
        <v>18</v>
      </c>
      <c r="N138" s="66">
        <v>17.8</v>
      </c>
      <c r="O138" s="66">
        <v>20</v>
      </c>
      <c r="P138" s="66">
        <v>21</v>
      </c>
      <c r="Q138" s="66">
        <v>18</v>
      </c>
      <c r="R138" s="66">
        <v>22.2</v>
      </c>
      <c r="S138" s="66">
        <v>17.399999999999999</v>
      </c>
      <c r="T138" s="66">
        <v>21.8</v>
      </c>
      <c r="U138" s="66">
        <v>22.2</v>
      </c>
      <c r="V138" s="66">
        <v>21</v>
      </c>
      <c r="W138" s="66">
        <v>22</v>
      </c>
      <c r="X138" s="66">
        <v>20.399999999999999</v>
      </c>
      <c r="Y138" s="66">
        <v>21</v>
      </c>
      <c r="Z138" s="66">
        <v>22.6</v>
      </c>
      <c r="AA138" s="66">
        <v>23.4</v>
      </c>
      <c r="AB138" s="66">
        <v>20.399999999999999</v>
      </c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18</v>
      </c>
      <c r="AQ138" s="68">
        <f t="shared" si="12"/>
        <v>20.477777777777774</v>
      </c>
      <c r="AR138" s="68">
        <f>IFERROR(VLOOKUP(A138,Climatologia_TMAX!A:U,9+$E$2,FALSE),"")</f>
        <v>20.14919071873231</v>
      </c>
      <c r="AS138" s="68">
        <f t="shared" si="13"/>
        <v>0.32858705904546426</v>
      </c>
      <c r="AT138" s="74">
        <f t="shared" si="14"/>
        <v>23.4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-5.2000000000000028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>
        <v>22.8</v>
      </c>
      <c r="N139" s="66">
        <v>24</v>
      </c>
      <c r="O139" s="66">
        <v>22.2</v>
      </c>
      <c r="P139" s="66">
        <v>24.2</v>
      </c>
      <c r="Q139" s="66">
        <v>24.4</v>
      </c>
      <c r="R139" s="66">
        <v>23.8</v>
      </c>
      <c r="S139" s="66">
        <v>22.2</v>
      </c>
      <c r="T139" s="66">
        <v>22.8</v>
      </c>
      <c r="U139" s="66">
        <v>24.2</v>
      </c>
      <c r="V139" s="66">
        <v>22</v>
      </c>
      <c r="W139" s="66">
        <v>22.8</v>
      </c>
      <c r="X139" s="66">
        <v>22.4</v>
      </c>
      <c r="Y139" s="66">
        <v>23.4</v>
      </c>
      <c r="Z139" s="66">
        <v>22.6</v>
      </c>
      <c r="AA139" s="66">
        <v>25</v>
      </c>
      <c r="AB139" s="66">
        <v>26</v>
      </c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18</v>
      </c>
      <c r="AQ139" s="68">
        <f t="shared" si="12"/>
        <v>23.322222222222223</v>
      </c>
      <c r="AR139" s="68">
        <f>IFERROR(VLOOKUP(A139,Climatologia_TMAX!A:U,9+$E$2,FALSE),"")</f>
        <v>21.34563346802684</v>
      </c>
      <c r="AS139" s="68">
        <f t="shared" si="13"/>
        <v>1.976588754195383</v>
      </c>
      <c r="AT139" s="74">
        <f t="shared" si="14"/>
        <v>26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-1.8000000000000007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>
        <v>18.600000000000001</v>
      </c>
      <c r="N140" s="66">
        <v>16</v>
      </c>
      <c r="O140" s="66">
        <v>20.399999999999999</v>
      </c>
      <c r="P140" s="66">
        <v>20.399999999999999</v>
      </c>
      <c r="Q140" s="66">
        <v>19.600000000000001</v>
      </c>
      <c r="R140" s="66">
        <v>21</v>
      </c>
      <c r="S140" s="66">
        <v>14.8</v>
      </c>
      <c r="T140" s="66">
        <v>18.2</v>
      </c>
      <c r="U140" s="66">
        <v>19.8</v>
      </c>
      <c r="V140" s="66">
        <v>17.2</v>
      </c>
      <c r="W140" s="66">
        <v>16.8</v>
      </c>
      <c r="X140" s="66">
        <v>18.600000000000001</v>
      </c>
      <c r="Y140" s="66">
        <v>20.2</v>
      </c>
      <c r="Z140" s="66">
        <v>19.399999999999999</v>
      </c>
      <c r="AA140" s="66">
        <v>20.8</v>
      </c>
      <c r="AB140" s="66">
        <v>21.6</v>
      </c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18</v>
      </c>
      <c r="AQ140" s="68">
        <f t="shared" si="12"/>
        <v>19.011111111111113</v>
      </c>
      <c r="AR140" s="68">
        <f>IFERROR(VLOOKUP(A140,Climatologia_TMAX!A:U,9+$E$2,FALSE),"")</f>
        <v>17.924274193548381</v>
      </c>
      <c r="AS140" s="68">
        <f t="shared" si="13"/>
        <v>1.0868369175627315</v>
      </c>
      <c r="AT140" s="74">
        <f t="shared" si="14"/>
        <v>21.6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0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>
        <v>15.2</v>
      </c>
      <c r="N141" s="66">
        <v>16.399999999999999</v>
      </c>
      <c r="O141" s="66">
        <v>18.2</v>
      </c>
      <c r="P141" s="66">
        <v>20</v>
      </c>
      <c r="Q141" s="66">
        <v>17.2</v>
      </c>
      <c r="R141" s="66">
        <v>19</v>
      </c>
      <c r="S141" s="66">
        <v>17</v>
      </c>
      <c r="T141" s="66">
        <v>17.399999999999999</v>
      </c>
      <c r="U141" s="66">
        <v>19.399999999999999</v>
      </c>
      <c r="V141" s="66">
        <v>16.399999999999999</v>
      </c>
      <c r="W141" s="66">
        <v>17.399999999999999</v>
      </c>
      <c r="X141" s="66">
        <v>17.2</v>
      </c>
      <c r="Y141" s="66">
        <v>18.2</v>
      </c>
      <c r="Z141" s="66">
        <v>19</v>
      </c>
      <c r="AA141" s="66">
        <v>20.399999999999999</v>
      </c>
      <c r="AB141" s="66">
        <v>20</v>
      </c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18</v>
      </c>
      <c r="AQ141" s="68">
        <f t="shared" si="12"/>
        <v>17.87777777777778</v>
      </c>
      <c r="AR141" s="68">
        <f>IFERROR(VLOOKUP(A141,Climatologia_TMAX!A:U,9+$E$2,FALSE),"")</f>
        <v>17.294555679149671</v>
      </c>
      <c r="AS141" s="68">
        <f t="shared" si="13"/>
        <v>0.58322209862810936</v>
      </c>
      <c r="AT141" s="74">
        <f t="shared" si="14"/>
        <v>20.399999999999999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-2.2000000000000028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>
        <v>27.8</v>
      </c>
      <c r="N142" s="66">
        <v>29.2</v>
      </c>
      <c r="O142" s="66">
        <v>30.2</v>
      </c>
      <c r="P142" s="66"/>
      <c r="Q142" s="66"/>
      <c r="R142" s="66"/>
      <c r="S142" s="66">
        <v>32.4</v>
      </c>
      <c r="T142" s="66">
        <v>32.6</v>
      </c>
      <c r="U142" s="66">
        <v>30</v>
      </c>
      <c r="V142" s="66">
        <v>30</v>
      </c>
      <c r="W142" s="66">
        <v>31</v>
      </c>
      <c r="X142" s="66">
        <v>29.4</v>
      </c>
      <c r="Y142" s="66">
        <v>33.200000000000003</v>
      </c>
      <c r="Z142" s="66">
        <v>33.200000000000003</v>
      </c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13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33.200000000000003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-4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>
        <v>21.8</v>
      </c>
      <c r="N145" s="66">
        <v>19.399999999999999</v>
      </c>
      <c r="O145" s="66">
        <v>23</v>
      </c>
      <c r="P145" s="66">
        <v>23.8</v>
      </c>
      <c r="Q145" s="66">
        <v>22.8</v>
      </c>
      <c r="R145" s="66">
        <v>22.4</v>
      </c>
      <c r="S145" s="66">
        <v>19</v>
      </c>
      <c r="T145" s="66">
        <v>20.2</v>
      </c>
      <c r="U145" s="66">
        <v>22.4</v>
      </c>
      <c r="V145" s="66">
        <v>20.2</v>
      </c>
      <c r="W145" s="66">
        <v>22.6</v>
      </c>
      <c r="X145" s="66">
        <v>22.4</v>
      </c>
      <c r="Y145" s="66">
        <v>21.6</v>
      </c>
      <c r="Z145" s="66">
        <v>21.6</v>
      </c>
      <c r="AA145" s="66">
        <v>22.2</v>
      </c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15</v>
      </c>
      <c r="AQ145" s="68">
        <f t="shared" si="12"/>
        <v>21.693333333333332</v>
      </c>
      <c r="AR145" s="68">
        <f>IFERROR(VLOOKUP(A145,Climatologia_TMAX!A:U,9+$E$2,FALSE),"")</f>
        <v>20.927355094854001</v>
      </c>
      <c r="AS145" s="68">
        <f t="shared" si="13"/>
        <v>0.765978238479331</v>
      </c>
      <c r="AT145" s="74">
        <f t="shared" si="14"/>
        <v>23.8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>
        <f t="shared" si="15"/>
        <v>-0.59999999999999787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>
        <v>20.8</v>
      </c>
      <c r="N146" s="66">
        <v>17.8</v>
      </c>
      <c r="O146" s="66">
        <v>21.6</v>
      </c>
      <c r="P146" s="66">
        <v>22.6</v>
      </c>
      <c r="Q146" s="66">
        <v>19.2</v>
      </c>
      <c r="R146" s="66">
        <v>23.4</v>
      </c>
      <c r="S146" s="66">
        <v>22.4</v>
      </c>
      <c r="T146" s="66">
        <v>21.6</v>
      </c>
      <c r="U146" s="66">
        <v>23</v>
      </c>
      <c r="V146" s="66">
        <v>20</v>
      </c>
      <c r="W146" s="66">
        <v>21.8</v>
      </c>
      <c r="X146" s="66">
        <v>21</v>
      </c>
      <c r="Y146" s="66">
        <v>21.8</v>
      </c>
      <c r="Z146" s="66">
        <v>22</v>
      </c>
      <c r="AA146" s="66">
        <v>23</v>
      </c>
      <c r="AB146" s="66">
        <v>21.4</v>
      </c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18</v>
      </c>
      <c r="AQ146" s="68">
        <f t="shared" si="12"/>
        <v>21.255555555555553</v>
      </c>
      <c r="AR146" s="68">
        <f>IFERROR(VLOOKUP(A146,Climatologia_TMAX!A:U,9+$E$2,FALSE),"")</f>
        <v>21.257146953405019</v>
      </c>
      <c r="AS146" s="68">
        <f t="shared" si="13"/>
        <v>-1.5913978494666026E-3</v>
      </c>
      <c r="AT146" s="74">
        <f t="shared" si="14"/>
        <v>23.4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-1.8000000000000007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>
        <v>25.2</v>
      </c>
      <c r="N147" s="66">
        <v>24.6</v>
      </c>
      <c r="O147" s="66">
        <v>25.2</v>
      </c>
      <c r="P147" s="66">
        <v>26.2</v>
      </c>
      <c r="Q147" s="66">
        <v>25.6</v>
      </c>
      <c r="R147" s="66">
        <v>26.4</v>
      </c>
      <c r="S147" s="66">
        <v>24.2</v>
      </c>
      <c r="T147" s="66">
        <v>27.2</v>
      </c>
      <c r="U147" s="66">
        <v>25.4</v>
      </c>
      <c r="V147" s="66">
        <v>24.2</v>
      </c>
      <c r="W147" s="66">
        <v>25.4</v>
      </c>
      <c r="X147" s="66">
        <v>27.2</v>
      </c>
      <c r="Y147" s="66">
        <v>26.6</v>
      </c>
      <c r="Z147" s="66">
        <v>27.2</v>
      </c>
      <c r="AA147" s="66">
        <v>26.2</v>
      </c>
      <c r="AB147" s="66">
        <v>25.4</v>
      </c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18</v>
      </c>
      <c r="AQ147" s="68">
        <f t="shared" si="12"/>
        <v>25.711111111111105</v>
      </c>
      <c r="AR147" s="68">
        <f>IFERROR(VLOOKUP(A147,Climatologia_TMAX!A:U,9+$E$2,FALSE),"")</f>
        <v>24.958892473118279</v>
      </c>
      <c r="AS147" s="68">
        <f t="shared" si="13"/>
        <v>0.75221863799282573</v>
      </c>
      <c r="AT147" s="74">
        <f t="shared" si="14"/>
        <v>27.2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-4.8000000000000007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>
        <v>32.6</v>
      </c>
      <c r="M150" s="66">
        <v>31.4</v>
      </c>
      <c r="N150" s="66">
        <v>32.200000000000003</v>
      </c>
      <c r="O150" s="66">
        <v>32</v>
      </c>
      <c r="P150" s="66">
        <v>33</v>
      </c>
      <c r="Q150" s="66">
        <v>31</v>
      </c>
      <c r="R150" s="66">
        <v>32</v>
      </c>
      <c r="S150" s="66">
        <v>30.2</v>
      </c>
      <c r="T150" s="66">
        <v>32.200000000000003</v>
      </c>
      <c r="U150" s="66">
        <v>31</v>
      </c>
      <c r="V150" s="66">
        <v>30</v>
      </c>
      <c r="W150" s="66">
        <v>32.200000000000003</v>
      </c>
      <c r="X150" s="66">
        <v>31.4</v>
      </c>
      <c r="Y150" s="66">
        <v>33.799999999999997</v>
      </c>
      <c r="Z150" s="107">
        <v>33</v>
      </c>
      <c r="AA150" s="66">
        <v>34.200000000000003</v>
      </c>
      <c r="AB150" s="66">
        <v>32.4</v>
      </c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18</v>
      </c>
      <c r="AQ150" s="68">
        <f t="shared" si="12"/>
        <v>32.066666666666663</v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34.200000000000003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>
        <v>23.4</v>
      </c>
      <c r="N151" s="66">
        <v>20.399999999999999</v>
      </c>
      <c r="O151" s="66">
        <v>25</v>
      </c>
      <c r="P151" s="66">
        <v>24.4</v>
      </c>
      <c r="Q151" s="66">
        <v>23.6</v>
      </c>
      <c r="R151" s="66">
        <v>24.2</v>
      </c>
      <c r="S151" s="66">
        <v>16.8</v>
      </c>
      <c r="T151" s="66">
        <v>22</v>
      </c>
      <c r="U151" s="66">
        <v>24</v>
      </c>
      <c r="V151" s="66">
        <v>20.399999999999999</v>
      </c>
      <c r="W151" s="66">
        <v>22</v>
      </c>
      <c r="X151" s="66">
        <v>22.6</v>
      </c>
      <c r="Y151" s="66">
        <v>24.2</v>
      </c>
      <c r="Z151" s="66">
        <v>24</v>
      </c>
      <c r="AA151" s="66">
        <v>25</v>
      </c>
      <c r="AB151" s="66">
        <v>24</v>
      </c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18</v>
      </c>
      <c r="AQ151" s="68">
        <f t="shared" si="12"/>
        <v>22.711111111111112</v>
      </c>
      <c r="AR151" s="68">
        <f>IFERROR(VLOOKUP(A151,Climatologia_TMAX!A:U,9+$E$2,FALSE),"")</f>
        <v>20.826350237314909</v>
      </c>
      <c r="AS151" s="68">
        <f t="shared" si="13"/>
        <v>1.8847608737962034</v>
      </c>
      <c r="AT151" s="74">
        <f t="shared" si="14"/>
        <v>25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>
        <v>17.2</v>
      </c>
      <c r="O152" s="66">
        <v>20.6</v>
      </c>
      <c r="P152" s="66">
        <v>20.399999999999999</v>
      </c>
      <c r="Q152" s="66">
        <v>20.2</v>
      </c>
      <c r="R152" s="66">
        <v>21</v>
      </c>
      <c r="S152" s="66">
        <v>16.600000000000001</v>
      </c>
      <c r="T152" s="109"/>
      <c r="U152" s="66"/>
      <c r="V152" s="66"/>
      <c r="W152" s="66">
        <v>21.4</v>
      </c>
      <c r="X152" s="110">
        <v>20.399999999999999</v>
      </c>
      <c r="Y152" s="114">
        <v>21.6</v>
      </c>
      <c r="Z152" s="66">
        <v>19.399999999999999</v>
      </c>
      <c r="AA152" s="66">
        <v>21</v>
      </c>
      <c r="AB152" s="66">
        <v>21.8</v>
      </c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14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21.8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0.40000000000000213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>
        <v>17.8</v>
      </c>
      <c r="N153" s="66">
        <v>17</v>
      </c>
      <c r="O153" s="66">
        <v>19.2</v>
      </c>
      <c r="P153" s="66">
        <v>20.399999999999999</v>
      </c>
      <c r="Q153" s="66">
        <v>18.2</v>
      </c>
      <c r="R153" s="66">
        <v>19.8</v>
      </c>
      <c r="S153" s="66">
        <v>15.4</v>
      </c>
      <c r="T153" s="66">
        <v>18</v>
      </c>
      <c r="U153" s="66">
        <v>20</v>
      </c>
      <c r="V153" s="66">
        <v>17</v>
      </c>
      <c r="W153" s="66">
        <v>18.399999999999999</v>
      </c>
      <c r="X153" s="66">
        <v>18</v>
      </c>
      <c r="Y153" s="66">
        <v>18.399999999999999</v>
      </c>
      <c r="Z153" s="66">
        <v>18</v>
      </c>
      <c r="AA153" s="66">
        <v>20.399999999999999</v>
      </c>
      <c r="AB153" s="66">
        <v>20.6</v>
      </c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18</v>
      </c>
      <c r="AQ153" s="68">
        <f t="shared" si="12"/>
        <v>18.433333333333334</v>
      </c>
      <c r="AR153" s="68">
        <f>IFERROR(VLOOKUP(A153,Climatologia_TMAX!A:U,9+$E$2,FALSE),"")</f>
        <v>17.74207636891661</v>
      </c>
      <c r="AS153" s="68">
        <f t="shared" si="13"/>
        <v>0.69125696441672346</v>
      </c>
      <c r="AT153" s="74">
        <f t="shared" si="14"/>
        <v>20.6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-2.1999999999999993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>
        <v>18.8</v>
      </c>
      <c r="N155" s="66">
        <v>18</v>
      </c>
      <c r="O155" s="66">
        <v>20.2</v>
      </c>
      <c r="P155" s="66">
        <v>22.8</v>
      </c>
      <c r="Q155" s="66">
        <v>19</v>
      </c>
      <c r="R155" s="66">
        <v>23.6</v>
      </c>
      <c r="S155" s="66">
        <v>17.2</v>
      </c>
      <c r="T155" s="66">
        <v>20.8</v>
      </c>
      <c r="U155" s="66">
        <v>22.6</v>
      </c>
      <c r="V155" s="66">
        <v>19.8</v>
      </c>
      <c r="W155" s="66">
        <v>20.6</v>
      </c>
      <c r="X155" s="110">
        <v>20.8</v>
      </c>
      <c r="Y155" s="66">
        <v>22.4</v>
      </c>
      <c r="Z155" s="66">
        <v>23.2</v>
      </c>
      <c r="AA155" s="66">
        <v>23.6</v>
      </c>
      <c r="AB155" s="66">
        <v>22.2</v>
      </c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18</v>
      </c>
      <c r="AQ155" s="68">
        <f t="shared" si="12"/>
        <v>20.833333333333332</v>
      </c>
      <c r="AR155" s="68">
        <f>IFERROR(VLOOKUP(A155,Climatologia_TMAX!A:U,9+$E$2,FALSE),"")</f>
        <v>19.979731688407991</v>
      </c>
      <c r="AS155" s="68">
        <f t="shared" si="13"/>
        <v>0.85360164492534096</v>
      </c>
      <c r="AT155" s="74">
        <f t="shared" si="14"/>
        <v>23.6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-1.7999999999999972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>
        <v>19.600000000000001</v>
      </c>
      <c r="N157" s="66">
        <v>18.600000000000001</v>
      </c>
      <c r="O157" s="66">
        <v>22.6</v>
      </c>
      <c r="P157" s="66">
        <v>23.2</v>
      </c>
      <c r="Q157" s="66">
        <v>21</v>
      </c>
      <c r="R157" s="66">
        <v>24</v>
      </c>
      <c r="S157" s="66">
        <v>19.2</v>
      </c>
      <c r="T157" s="66">
        <v>24.4</v>
      </c>
      <c r="U157" s="66">
        <v>23.8</v>
      </c>
      <c r="V157" s="66">
        <v>22.4</v>
      </c>
      <c r="W157" s="66">
        <v>22.8</v>
      </c>
      <c r="X157" s="66">
        <v>23.8</v>
      </c>
      <c r="Y157" s="66">
        <v>23.4</v>
      </c>
      <c r="Z157" s="66">
        <v>24.2</v>
      </c>
      <c r="AA157" s="66">
        <v>25.6</v>
      </c>
      <c r="AB157" s="66">
        <v>23.8</v>
      </c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18</v>
      </c>
      <c r="AQ157" s="68">
        <f t="shared" si="12"/>
        <v>22.477777777777778</v>
      </c>
      <c r="AR157" s="68">
        <f>IFERROR(VLOOKUP(A157,Climatologia_TMAX!A:U,9+$E$2,FALSE),"")</f>
        <v>22.235245771655119</v>
      </c>
      <c r="AS157" s="68">
        <f t="shared" si="13"/>
        <v>0.24253200612265857</v>
      </c>
      <c r="AT157" s="74">
        <f t="shared" si="14"/>
        <v>25.6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-4.1999999999999993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>
        <v>31.4</v>
      </c>
      <c r="N159" s="66">
        <v>31.2</v>
      </c>
      <c r="O159" s="66">
        <v>31.6</v>
      </c>
      <c r="P159" s="66">
        <v>32</v>
      </c>
      <c r="Q159" s="66">
        <v>31.8</v>
      </c>
      <c r="R159" s="66">
        <v>31.8</v>
      </c>
      <c r="S159" s="66">
        <v>29.4</v>
      </c>
      <c r="T159" s="66">
        <v>32</v>
      </c>
      <c r="U159" s="66">
        <v>32.200000000000003</v>
      </c>
      <c r="V159" s="66">
        <v>30.6</v>
      </c>
      <c r="W159" s="66">
        <v>31</v>
      </c>
      <c r="X159" s="66">
        <v>31.8</v>
      </c>
      <c r="Y159" s="66">
        <v>32</v>
      </c>
      <c r="Z159" s="66">
        <v>32.799999999999997</v>
      </c>
      <c r="AA159" s="66">
        <v>33</v>
      </c>
      <c r="AB159" s="66">
        <v>31.2</v>
      </c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18</v>
      </c>
      <c r="AQ159" s="68">
        <f t="shared" si="12"/>
        <v>31.522222222222226</v>
      </c>
      <c r="AR159" s="68">
        <f>IFERROR(VLOOKUP(A159,Climatologia_TMAX!A:U,9+$E$2,FALSE),"")</f>
        <v>29.869247988652891</v>
      </c>
      <c r="AS159" s="68">
        <f t="shared" si="13"/>
        <v>1.6529742335693349</v>
      </c>
      <c r="AT159" s="74">
        <f t="shared" si="14"/>
        <v>33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>
        <v>15.8</v>
      </c>
      <c r="N163" s="66">
        <v>18.399999999999999</v>
      </c>
      <c r="O163" s="66">
        <v>17.399999999999999</v>
      </c>
      <c r="P163" s="66">
        <v>17.600000000000001</v>
      </c>
      <c r="Q163" s="66">
        <v>18.8</v>
      </c>
      <c r="R163" s="66">
        <v>19.2</v>
      </c>
      <c r="S163" s="66">
        <v>20.2</v>
      </c>
      <c r="T163" s="66">
        <v>17.2</v>
      </c>
      <c r="U163" s="109">
        <v>17.8</v>
      </c>
      <c r="V163" s="66">
        <v>15.4</v>
      </c>
      <c r="W163" s="66">
        <v>17.399999999999999</v>
      </c>
      <c r="X163" s="66">
        <v>17.8</v>
      </c>
      <c r="Y163" s="66">
        <v>18.2</v>
      </c>
      <c r="Z163" s="66">
        <v>18</v>
      </c>
      <c r="AA163" s="66">
        <v>17.8</v>
      </c>
      <c r="AB163" s="66">
        <v>18.2</v>
      </c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18</v>
      </c>
      <c r="AQ163" s="68">
        <f t="shared" si="12"/>
        <v>17.87777777777778</v>
      </c>
      <c r="AR163" s="68">
        <f>IFERROR(VLOOKUP(A163,Climatologia_TMAX!A:U,9+$E$2,FALSE),"")</f>
        <v>16.329537773261251</v>
      </c>
      <c r="AS163" s="68">
        <f t="shared" si="13"/>
        <v>1.5482400045165292</v>
      </c>
      <c r="AT163" s="74">
        <f t="shared" si="14"/>
        <v>20.2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-1.6000000000000014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>
        <v>12</v>
      </c>
      <c r="N164" s="66">
        <v>12.2</v>
      </c>
      <c r="O164" s="66">
        <v>12</v>
      </c>
      <c r="P164" s="66">
        <v>12.2</v>
      </c>
      <c r="Q164" s="66">
        <v>12.8</v>
      </c>
      <c r="R164" s="66">
        <v>12.8</v>
      </c>
      <c r="S164" s="66">
        <v>14</v>
      </c>
      <c r="T164" s="66">
        <v>14.8</v>
      </c>
      <c r="U164" s="66">
        <v>15.2</v>
      </c>
      <c r="V164" s="66">
        <v>13</v>
      </c>
      <c r="W164" s="66">
        <v>13.2</v>
      </c>
      <c r="X164" s="66">
        <v>13.8</v>
      </c>
      <c r="Y164" s="66">
        <v>13.6</v>
      </c>
      <c r="Z164" s="66">
        <v>13.8</v>
      </c>
      <c r="AA164" s="66">
        <v>13.6</v>
      </c>
      <c r="AB164" s="66">
        <v>14.2</v>
      </c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18</v>
      </c>
      <c r="AQ164" s="68">
        <f t="shared" si="12"/>
        <v>13.31111111111111</v>
      </c>
      <c r="AR164" s="68">
        <f>IFERROR(VLOOKUP(A164,Climatologia_TMAX!A:U,9+$E$2,FALSE),"")</f>
        <v>12.99240860215054</v>
      </c>
      <c r="AS164" s="68">
        <f t="shared" si="13"/>
        <v>0.31870250896056973</v>
      </c>
      <c r="AT164" s="74">
        <f t="shared" si="14"/>
        <v>15.2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-2.1999999999999993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>
        <v>12.6</v>
      </c>
      <c r="N165" s="66">
        <v>14</v>
      </c>
      <c r="O165" s="66">
        <v>15.8</v>
      </c>
      <c r="P165" s="66">
        <v>16</v>
      </c>
      <c r="Q165" s="66">
        <v>16.2</v>
      </c>
      <c r="R165" s="66">
        <v>14.2</v>
      </c>
      <c r="S165" s="66">
        <v>14.4</v>
      </c>
      <c r="T165" s="66">
        <v>14.6</v>
      </c>
      <c r="U165" s="66">
        <v>15.2</v>
      </c>
      <c r="V165" s="66">
        <v>13.4</v>
      </c>
      <c r="W165" s="66">
        <v>13.2</v>
      </c>
      <c r="X165" s="66">
        <v>14.8</v>
      </c>
      <c r="Y165" s="66">
        <v>15.4</v>
      </c>
      <c r="Z165" s="66">
        <v>16</v>
      </c>
      <c r="AA165" s="66">
        <v>15.6</v>
      </c>
      <c r="AB165" s="66">
        <v>13.6</v>
      </c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18</v>
      </c>
      <c r="AQ165" s="68">
        <f t="shared" si="12"/>
        <v>14.666666666666666</v>
      </c>
      <c r="AR165" s="68">
        <f>IFERROR(VLOOKUP(A165,Climatologia_TMAX!A:U,9+$E$2,FALSE),"")</f>
        <v>14.233020730924361</v>
      </c>
      <c r="AS165" s="68">
        <f t="shared" si="13"/>
        <v>0.43364593574230526</v>
      </c>
      <c r="AT165" s="74">
        <f t="shared" si="14"/>
        <v>16.2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-5.8000000000000007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>
        <v>14.4</v>
      </c>
      <c r="N166" s="66">
        <v>16</v>
      </c>
      <c r="O166" s="66">
        <v>17.2</v>
      </c>
      <c r="P166" s="66">
        <v>18</v>
      </c>
      <c r="Q166" s="66">
        <v>18.600000000000001</v>
      </c>
      <c r="R166" s="66">
        <v>16.600000000000001</v>
      </c>
      <c r="S166" s="66">
        <v>18.8</v>
      </c>
      <c r="T166" s="66">
        <v>17</v>
      </c>
      <c r="U166" s="109">
        <v>17.8</v>
      </c>
      <c r="V166" s="66">
        <v>15.2</v>
      </c>
      <c r="W166" s="66">
        <v>15</v>
      </c>
      <c r="X166" s="66">
        <v>15.8</v>
      </c>
      <c r="Y166" s="66">
        <v>17.8</v>
      </c>
      <c r="Z166" s="66">
        <v>17.399999999999999</v>
      </c>
      <c r="AA166" s="66">
        <v>17.8</v>
      </c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17</v>
      </c>
      <c r="AQ166" s="68">
        <f t="shared" si="12"/>
        <v>16.752941176470589</v>
      </c>
      <c r="AR166" s="68">
        <f>IFERROR(VLOOKUP(A166,Climatologia_TMAX!A:U,9+$E$2,FALSE),"")</f>
        <v>15.20642771804062</v>
      </c>
      <c r="AS166" s="68">
        <f t="shared" si="13"/>
        <v>1.5465134584299687</v>
      </c>
      <c r="AT166" s="74">
        <f t="shared" si="14"/>
        <v>18.8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-0.59999999999999787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>
        <v>21.6</v>
      </c>
      <c r="N167" s="66">
        <v>22.8</v>
      </c>
      <c r="O167" s="66">
        <v>24.6</v>
      </c>
      <c r="P167" s="66">
        <v>23.8</v>
      </c>
      <c r="Q167" s="66">
        <v>24.6</v>
      </c>
      <c r="R167" s="66">
        <v>23.8</v>
      </c>
      <c r="S167" s="66">
        <v>24.6</v>
      </c>
      <c r="T167" s="66">
        <v>22.6</v>
      </c>
      <c r="U167" s="109">
        <v>23.2</v>
      </c>
      <c r="V167" s="66">
        <v>22</v>
      </c>
      <c r="W167" s="66">
        <v>21.8</v>
      </c>
      <c r="X167" s="66">
        <v>22.8</v>
      </c>
      <c r="Y167" s="66">
        <v>21.8</v>
      </c>
      <c r="Z167" s="66">
        <v>23.2</v>
      </c>
      <c r="AA167" s="66">
        <v>23.2</v>
      </c>
      <c r="AB167" s="66">
        <v>22.6</v>
      </c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18</v>
      </c>
      <c r="AQ167" s="68">
        <f t="shared" si="12"/>
        <v>23.022222222222226</v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24.6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-0.39999999999999858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>
        <v>21.8</v>
      </c>
      <c r="N171" s="66">
        <v>23.6</v>
      </c>
      <c r="O171" s="66">
        <v>24.6</v>
      </c>
      <c r="P171" s="66">
        <v>25.8</v>
      </c>
      <c r="Q171" s="66">
        <v>26</v>
      </c>
      <c r="R171" s="66">
        <v>26.2</v>
      </c>
      <c r="S171" s="66">
        <v>25.6</v>
      </c>
      <c r="T171" s="66">
        <v>25.4</v>
      </c>
      <c r="U171" s="66">
        <v>23.4</v>
      </c>
      <c r="V171" s="66">
        <v>23.2</v>
      </c>
      <c r="W171" s="66">
        <v>22.6</v>
      </c>
      <c r="X171" s="66">
        <v>24</v>
      </c>
      <c r="Y171" s="66">
        <v>23.6</v>
      </c>
      <c r="Z171" s="66">
        <v>25.4</v>
      </c>
      <c r="AA171" s="66">
        <v>23.6</v>
      </c>
      <c r="AB171" s="66">
        <v>23.2</v>
      </c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18</v>
      </c>
      <c r="AQ171" s="68">
        <f t="shared" si="12"/>
        <v>24.233333333333334</v>
      </c>
      <c r="AR171" s="68">
        <f>IFERROR(VLOOKUP(A171,Climatologia_TMAX!A:U,9+$E$2,FALSE),"")</f>
        <v>21.37397849462366</v>
      </c>
      <c r="AS171" s="68">
        <f t="shared" si="13"/>
        <v>2.8593548387096739</v>
      </c>
      <c r="AT171" s="74">
        <f t="shared" si="14"/>
        <v>26.2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-0.19999999999999929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>
        <v>18.5</v>
      </c>
      <c r="N172" s="66">
        <v>17.600000000000001</v>
      </c>
      <c r="O172" s="66">
        <v>18.600000000000001</v>
      </c>
      <c r="P172" s="66">
        <v>18.2</v>
      </c>
      <c r="Q172" s="66">
        <v>18.8</v>
      </c>
      <c r="R172" s="66">
        <v>18.600000000000001</v>
      </c>
      <c r="S172" s="66">
        <v>18.2</v>
      </c>
      <c r="T172" s="66">
        <v>17.399999999999999</v>
      </c>
      <c r="U172" s="66">
        <v>18.600000000000001</v>
      </c>
      <c r="V172" s="66"/>
      <c r="W172" s="66">
        <v>16.600000000000001</v>
      </c>
      <c r="X172" s="66">
        <v>17.8</v>
      </c>
      <c r="Y172" s="66">
        <v>18.600000000000001</v>
      </c>
      <c r="Z172" s="66">
        <v>19.2</v>
      </c>
      <c r="AA172" s="66">
        <v>21.2</v>
      </c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16</v>
      </c>
      <c r="AQ172" s="68">
        <f t="shared" si="12"/>
        <v>18.331249999999997</v>
      </c>
      <c r="AR172" s="68">
        <f>IFERROR(VLOOKUP(A172,Climatologia_TMAX!A:U,9+$E$2,FALSE),"")</f>
        <v>18.960986089776409</v>
      </c>
      <c r="AS172" s="68">
        <f t="shared" si="13"/>
        <v>-0.62973608977641149</v>
      </c>
      <c r="AT172" s="74">
        <f t="shared" si="14"/>
        <v>21.2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-3.8000000000000007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>
        <v>14.9</v>
      </c>
      <c r="N174" s="66">
        <v>17.8</v>
      </c>
      <c r="O174" s="66">
        <v>18</v>
      </c>
      <c r="P174" s="66">
        <v>16.600000000000001</v>
      </c>
      <c r="Q174" s="66">
        <v>18.8</v>
      </c>
      <c r="R174" s="66">
        <v>20.399999999999999</v>
      </c>
      <c r="S174" s="66">
        <v>20</v>
      </c>
      <c r="T174" s="66">
        <v>16.399999999999999</v>
      </c>
      <c r="U174" s="109">
        <v>18.600000000000001</v>
      </c>
      <c r="V174" s="66">
        <v>14.8</v>
      </c>
      <c r="W174" s="66">
        <v>16.8</v>
      </c>
      <c r="X174" s="66">
        <v>17.2</v>
      </c>
      <c r="Y174" s="66">
        <v>18.399999999999999</v>
      </c>
      <c r="Z174" s="66">
        <v>20.399999999999999</v>
      </c>
      <c r="AA174" s="66">
        <v>18</v>
      </c>
      <c r="AB174" s="66">
        <v>17.399999999999999</v>
      </c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18</v>
      </c>
      <c r="AQ174" s="68">
        <f t="shared" si="12"/>
        <v>17.816666666666663</v>
      </c>
      <c r="AR174" s="68">
        <f>IFERROR(VLOOKUP(A174,Climatologia_TMAX!A:U,9+$E$2,FALSE),"")</f>
        <v>16.556385496150121</v>
      </c>
      <c r="AS174" s="68">
        <f t="shared" si="13"/>
        <v>1.2602811705165422</v>
      </c>
      <c r="AT174" s="74">
        <f t="shared" si="14"/>
        <v>20.399999999999999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-1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>
        <v>18.3</v>
      </c>
      <c r="N175" s="66">
        <v>19.8</v>
      </c>
      <c r="O175" s="66">
        <v>21.3</v>
      </c>
      <c r="P175" s="66">
        <v>21.9</v>
      </c>
      <c r="Q175" s="66">
        <v>21.2</v>
      </c>
      <c r="R175" s="66">
        <v>21.7</v>
      </c>
      <c r="S175" s="66">
        <v>20.9</v>
      </c>
      <c r="T175" s="66">
        <v>19.899999999999999</v>
      </c>
      <c r="U175" s="109">
        <v>19.7</v>
      </c>
      <c r="V175" s="109">
        <v>18.399999999999999</v>
      </c>
      <c r="W175" s="66">
        <v>19.5</v>
      </c>
      <c r="X175" s="66">
        <v>20.399999999999999</v>
      </c>
      <c r="Y175" s="66">
        <v>19.600000000000001</v>
      </c>
      <c r="Z175" s="66">
        <v>22.2</v>
      </c>
      <c r="AA175" s="66">
        <v>20.3</v>
      </c>
      <c r="AB175" s="66">
        <v>20.399999999999999</v>
      </c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18</v>
      </c>
      <c r="AQ175" s="68">
        <f t="shared" si="12"/>
        <v>20.422222222222221</v>
      </c>
      <c r="AR175" s="68">
        <f>IFERROR(VLOOKUP(A175,Climatologia_TMAX!A:U,9+$E$2,FALSE),"")</f>
        <v>18.845440860215049</v>
      </c>
      <c r="AS175" s="68">
        <f t="shared" si="13"/>
        <v>1.5767813620071713</v>
      </c>
      <c r="AT175" s="74">
        <f t="shared" si="14"/>
        <v>22.2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-0.30000000000000071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>
        <v>23.8</v>
      </c>
      <c r="O179" s="66">
        <v>24.4</v>
      </c>
      <c r="P179" s="66">
        <v>26.4</v>
      </c>
      <c r="Q179" s="66">
        <v>26.6</v>
      </c>
      <c r="R179" s="66">
        <v>24.2</v>
      </c>
      <c r="S179" s="66">
        <v>25.4</v>
      </c>
      <c r="T179" s="66">
        <v>24.2</v>
      </c>
      <c r="U179" s="109">
        <v>23.8</v>
      </c>
      <c r="V179" s="66">
        <v>23.4</v>
      </c>
      <c r="W179" s="66">
        <v>22</v>
      </c>
      <c r="X179" s="66">
        <v>24.8</v>
      </c>
      <c r="Y179" s="66">
        <v>25.4</v>
      </c>
      <c r="Z179" s="66">
        <v>25</v>
      </c>
      <c r="AA179" s="66">
        <v>24.4</v>
      </c>
      <c r="AB179" s="66">
        <v>23.8</v>
      </c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16</v>
      </c>
      <c r="AQ179" s="68">
        <f t="shared" si="12"/>
        <v>24.537499999999998</v>
      </c>
      <c r="AR179" s="68">
        <f>IFERROR(VLOOKUP(A179,Climatologia_TMAX!A:U,9+$E$2,FALSE),"")</f>
        <v>21.704538720271199</v>
      </c>
      <c r="AS179" s="68">
        <f t="shared" si="13"/>
        <v>2.8329612797287993</v>
      </c>
      <c r="AT179" s="74">
        <f t="shared" si="14"/>
        <v>26.6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0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>
        <v>17.100000000000001</v>
      </c>
      <c r="N180" s="66">
        <v>18</v>
      </c>
      <c r="O180" s="66">
        <v>19</v>
      </c>
      <c r="P180" s="66">
        <v>19.399999999999999</v>
      </c>
      <c r="Q180" s="66">
        <v>20</v>
      </c>
      <c r="R180" s="66">
        <v>20.6</v>
      </c>
      <c r="S180" s="66">
        <v>20</v>
      </c>
      <c r="T180" s="66">
        <v>18.8</v>
      </c>
      <c r="U180" s="109">
        <v>17.8</v>
      </c>
      <c r="V180" s="66">
        <v>17.899999999999999</v>
      </c>
      <c r="W180" s="66">
        <v>19</v>
      </c>
      <c r="X180" s="66">
        <v>19.399999999999999</v>
      </c>
      <c r="Y180" s="66">
        <v>20.399999999999999</v>
      </c>
      <c r="Z180" s="66">
        <v>19.399999999999999</v>
      </c>
      <c r="AA180" s="66">
        <v>18.100000000000001</v>
      </c>
      <c r="AB180" s="66">
        <v>19</v>
      </c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18</v>
      </c>
      <c r="AQ180" s="68">
        <f t="shared" si="12"/>
        <v>18.972222222222221</v>
      </c>
      <c r="AR180" s="68">
        <f>IFERROR(VLOOKUP(A180,Climatologia_TMAX!A:U,9+$E$2,FALSE),"")</f>
        <v>17.347963765614409</v>
      </c>
      <c r="AS180" s="68">
        <f t="shared" si="13"/>
        <v>1.6242584566078122</v>
      </c>
      <c r="AT180" s="74">
        <f t="shared" si="14"/>
        <v>20.6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-0.59999999999999787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>
        <v>24.6</v>
      </c>
      <c r="N181" s="66">
        <v>25.4</v>
      </c>
      <c r="O181" s="66">
        <v>26.6</v>
      </c>
      <c r="P181" s="66">
        <v>28.2</v>
      </c>
      <c r="Q181" s="66">
        <v>28.8</v>
      </c>
      <c r="R181" s="66">
        <v>25.8</v>
      </c>
      <c r="S181" s="66">
        <v>28.4</v>
      </c>
      <c r="T181" s="66">
        <v>27.6</v>
      </c>
      <c r="U181" s="66">
        <v>26.6</v>
      </c>
      <c r="V181" s="66">
        <v>25</v>
      </c>
      <c r="W181" s="66">
        <v>24.8</v>
      </c>
      <c r="X181" s="66">
        <v>27.2</v>
      </c>
      <c r="Y181" s="66">
        <v>28.6</v>
      </c>
      <c r="Z181" s="66">
        <v>28.4</v>
      </c>
      <c r="AA181" s="66">
        <v>28</v>
      </c>
      <c r="AB181" s="66">
        <v>25.2</v>
      </c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18</v>
      </c>
      <c r="AQ181" s="68">
        <f t="shared" si="12"/>
        <v>26.733333333333334</v>
      </c>
      <c r="AR181" s="68">
        <f>IFERROR(VLOOKUP(A181,Climatologia_TMAX!A:U,9+$E$2,FALSE),"")</f>
        <v>24.30997741990134</v>
      </c>
      <c r="AS181" s="68">
        <f t="shared" si="13"/>
        <v>2.423355913431994</v>
      </c>
      <c r="AT181" s="74">
        <f t="shared" si="14"/>
        <v>28.8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0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>
        <v>26.2</v>
      </c>
      <c r="N182" s="66">
        <v>27.4</v>
      </c>
      <c r="O182" s="66">
        <v>30</v>
      </c>
      <c r="P182" s="66">
        <v>31.6</v>
      </c>
      <c r="Q182" s="66">
        <v>32.4</v>
      </c>
      <c r="R182" s="66">
        <v>28.8</v>
      </c>
      <c r="S182" s="66">
        <v>28</v>
      </c>
      <c r="T182" s="66">
        <v>30.2</v>
      </c>
      <c r="U182" s="66">
        <v>29.4</v>
      </c>
      <c r="V182" s="66">
        <v>28.2</v>
      </c>
      <c r="W182" s="66">
        <v>27</v>
      </c>
      <c r="X182" s="66">
        <v>31.2</v>
      </c>
      <c r="Y182" s="66">
        <v>31.6</v>
      </c>
      <c r="Z182" s="66">
        <v>30</v>
      </c>
      <c r="AA182" s="66">
        <v>30.6</v>
      </c>
      <c r="AB182" s="66">
        <v>29</v>
      </c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18</v>
      </c>
      <c r="AQ182" s="68">
        <f t="shared" si="12"/>
        <v>29.300000000000004</v>
      </c>
      <c r="AR182" s="68">
        <f>IFERROR(VLOOKUP(A182,Climatologia_TMAX!A:U,9+$E$2,FALSE),"")</f>
        <v>26.548927953153569</v>
      </c>
      <c r="AS182" s="68">
        <f t="shared" si="13"/>
        <v>2.7510720468464349</v>
      </c>
      <c r="AT182" s="74">
        <f t="shared" si="14"/>
        <v>32.4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1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>
        <v>13.8</v>
      </c>
      <c r="N183" s="66">
        <v>15.6</v>
      </c>
      <c r="O183" s="66">
        <v>14.6</v>
      </c>
      <c r="P183" s="66">
        <v>17.8</v>
      </c>
      <c r="Q183" s="66">
        <v>17.399999999999999</v>
      </c>
      <c r="R183" s="66">
        <v>17.600000000000001</v>
      </c>
      <c r="S183" s="66">
        <v>13.8</v>
      </c>
      <c r="T183" s="66">
        <v>17.2</v>
      </c>
      <c r="U183" s="109">
        <v>17</v>
      </c>
      <c r="V183" s="66">
        <v>14.6</v>
      </c>
      <c r="W183" s="66">
        <v>15.8</v>
      </c>
      <c r="X183" s="66">
        <v>17.8</v>
      </c>
      <c r="Y183" s="66">
        <v>16.8</v>
      </c>
      <c r="Z183" s="66">
        <v>15.6</v>
      </c>
      <c r="AA183" s="66">
        <v>17.2</v>
      </c>
      <c r="AB183" s="66">
        <v>15.4</v>
      </c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18</v>
      </c>
      <c r="AQ183" s="68">
        <f t="shared" si="12"/>
        <v>16.033333333333335</v>
      </c>
      <c r="AR183" s="68">
        <f>IFERROR(VLOOKUP(A183,Climatologia_TMAX!A:U,9+$E$2,FALSE),"")</f>
        <v>14.413290322580639</v>
      </c>
      <c r="AS183" s="68">
        <f t="shared" si="13"/>
        <v>1.6200430107526955</v>
      </c>
      <c r="AT183" s="74">
        <f t="shared" si="14"/>
        <v>17.8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-4.3999999999999986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>
        <v>31.2</v>
      </c>
      <c r="N184" s="66">
        <v>30.4</v>
      </c>
      <c r="O184" s="66">
        <v>31.4</v>
      </c>
      <c r="P184" s="66">
        <v>30</v>
      </c>
      <c r="Q184" s="66">
        <v>33.4</v>
      </c>
      <c r="R184" s="66">
        <v>33</v>
      </c>
      <c r="S184" s="66">
        <v>27.2</v>
      </c>
      <c r="T184" s="66">
        <v>28.4</v>
      </c>
      <c r="U184" s="66">
        <v>29</v>
      </c>
      <c r="V184" s="66">
        <v>30.2</v>
      </c>
      <c r="W184" s="66">
        <v>31.6</v>
      </c>
      <c r="X184" s="66">
        <v>30.4</v>
      </c>
      <c r="Y184" s="66">
        <v>30.8</v>
      </c>
      <c r="Z184" s="66">
        <v>30.6</v>
      </c>
      <c r="AA184" s="66">
        <v>32.200000000000003</v>
      </c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17</v>
      </c>
      <c r="AQ184" s="68">
        <f t="shared" si="12"/>
        <v>30.741176470588236</v>
      </c>
      <c r="AR184" s="68">
        <f>IFERROR(VLOOKUP(A184,Climatologia_TMAX!A:U,9+$E$2,FALSE),"")</f>
        <v>28.305306586427651</v>
      </c>
      <c r="AS184" s="68">
        <f t="shared" si="13"/>
        <v>2.435869884160585</v>
      </c>
      <c r="AT184" s="74">
        <f t="shared" si="14"/>
        <v>33.4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0.79999999999999716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>
        <v>28.8</v>
      </c>
      <c r="N185" s="66">
        <v>28.8</v>
      </c>
      <c r="O185" s="66">
        <v>30.2</v>
      </c>
      <c r="P185" s="66">
        <v>29</v>
      </c>
      <c r="Q185" s="66">
        <v>30.4</v>
      </c>
      <c r="R185" s="66">
        <v>29.8</v>
      </c>
      <c r="S185" s="66">
        <v>25.8</v>
      </c>
      <c r="T185" s="66">
        <v>29.6</v>
      </c>
      <c r="U185" s="66">
        <v>29.6</v>
      </c>
      <c r="V185" s="66">
        <v>29.2</v>
      </c>
      <c r="W185" s="66">
        <v>29</v>
      </c>
      <c r="X185" s="66">
        <v>30</v>
      </c>
      <c r="Y185" s="66">
        <v>31</v>
      </c>
      <c r="Z185" s="66">
        <v>31</v>
      </c>
      <c r="AA185" s="66">
        <v>32.4</v>
      </c>
      <c r="AB185" s="66">
        <v>27.8</v>
      </c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18</v>
      </c>
      <c r="AQ185" s="68">
        <f t="shared" si="12"/>
        <v>29.733333333333334</v>
      </c>
      <c r="AR185" s="68">
        <f>IFERROR(VLOOKUP(A185,Climatologia_TMAX!A:U,9+$E$2,FALSE),"")</f>
        <v>28.17490975422427</v>
      </c>
      <c r="AS185" s="68">
        <f t="shared" si="13"/>
        <v>1.5584235791090641</v>
      </c>
      <c r="AT185" s="74">
        <f t="shared" si="14"/>
        <v>32.4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0.19999999999999574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>
        <v>26.2</v>
      </c>
      <c r="N186" s="66">
        <v>24.6</v>
      </c>
      <c r="O186" s="66">
        <v>25.2</v>
      </c>
      <c r="P186" s="66">
        <v>26.8</v>
      </c>
      <c r="Q186" s="66">
        <v>29</v>
      </c>
      <c r="R186" s="66">
        <v>28.2</v>
      </c>
      <c r="S186" s="66">
        <v>22.6</v>
      </c>
      <c r="T186" s="66">
        <v>26.4</v>
      </c>
      <c r="U186" s="66">
        <v>26.2</v>
      </c>
      <c r="V186" s="66">
        <v>25</v>
      </c>
      <c r="W186" s="66">
        <v>26.8</v>
      </c>
      <c r="X186" s="66">
        <v>26.8</v>
      </c>
      <c r="Y186" s="66">
        <v>26.6</v>
      </c>
      <c r="Z186" s="66">
        <v>28</v>
      </c>
      <c r="AA186" s="66">
        <v>28.4</v>
      </c>
      <c r="AB186" s="66">
        <v>24.6</v>
      </c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18</v>
      </c>
      <c r="AQ186" s="68">
        <f t="shared" si="12"/>
        <v>26.3</v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29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-0.19999999999999929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>
        <v>12.2</v>
      </c>
      <c r="N187" s="66">
        <v>9.8000000000000007</v>
      </c>
      <c r="O187" s="66">
        <v>11.8</v>
      </c>
      <c r="P187" s="66">
        <v>14.4</v>
      </c>
      <c r="Q187" s="66">
        <v>13.6</v>
      </c>
      <c r="R187" s="66">
        <v>14.4</v>
      </c>
      <c r="S187" s="66">
        <v>10.4</v>
      </c>
      <c r="T187" s="66">
        <v>10.199999999999999</v>
      </c>
      <c r="U187" s="66">
        <v>10.199999999999999</v>
      </c>
      <c r="V187" s="66">
        <v>10.4</v>
      </c>
      <c r="W187" s="66">
        <v>10.4</v>
      </c>
      <c r="X187" s="66">
        <v>12</v>
      </c>
      <c r="Y187" s="66">
        <v>12.2</v>
      </c>
      <c r="Z187" s="66">
        <v>12.6</v>
      </c>
      <c r="AA187" s="66">
        <v>14</v>
      </c>
      <c r="AB187" s="66">
        <v>13.2</v>
      </c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18</v>
      </c>
      <c r="AQ187" s="68">
        <f t="shared" si="12"/>
        <v>11.988888888888887</v>
      </c>
      <c r="AR187" s="68">
        <f>IFERROR(VLOOKUP(A187,Climatologia_TMAX!A:U,9+$E$2,FALSE),"")</f>
        <v>12.467666540959829</v>
      </c>
      <c r="AS187" s="68">
        <f t="shared" si="13"/>
        <v>-0.47877765207094214</v>
      </c>
      <c r="AT187" s="74">
        <f t="shared" si="14"/>
        <v>14.4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-2.4000000000000004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>
        <v>32.799999999999997</v>
      </c>
      <c r="M190" s="66">
        <v>34</v>
      </c>
      <c r="N190" s="66">
        <v>31.2</v>
      </c>
      <c r="O190" s="66">
        <v>38</v>
      </c>
      <c r="P190" s="66">
        <v>36</v>
      </c>
      <c r="Q190" s="66">
        <v>36.200000000000003</v>
      </c>
      <c r="R190" s="66">
        <v>37.200000000000003</v>
      </c>
      <c r="S190" s="66">
        <v>31.6</v>
      </c>
      <c r="T190" s="66">
        <v>35.4</v>
      </c>
      <c r="U190" s="66">
        <v>36.4</v>
      </c>
      <c r="V190" s="66">
        <v>32.6</v>
      </c>
      <c r="W190" s="66">
        <v>37</v>
      </c>
      <c r="X190" s="66">
        <v>34</v>
      </c>
      <c r="Y190" s="66">
        <v>36</v>
      </c>
      <c r="Z190" s="66">
        <v>35.799999999999997</v>
      </c>
      <c r="AA190" s="66">
        <v>36.799999999999997</v>
      </c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17</v>
      </c>
      <c r="AQ190" s="68">
        <f t="shared" si="12"/>
        <v>35.117647058823522</v>
      </c>
      <c r="AR190" s="68">
        <f>IFERROR(VLOOKUP(A190,Climatologia_TMAX!A:U,9+$E$2,FALSE),"")</f>
        <v>33.566923401480572</v>
      </c>
      <c r="AS190" s="68">
        <f t="shared" si="13"/>
        <v>1.5507236573429495</v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-1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>
        <v>30.6</v>
      </c>
      <c r="N191" s="66">
        <v>28.6</v>
      </c>
      <c r="O191" s="66">
        <v>32.799999999999997</v>
      </c>
      <c r="P191" s="66">
        <v>32.4</v>
      </c>
      <c r="Q191" s="66">
        <v>34.200000000000003</v>
      </c>
      <c r="R191" s="66">
        <v>33</v>
      </c>
      <c r="S191" s="66">
        <v>27</v>
      </c>
      <c r="T191" s="66">
        <v>30.4</v>
      </c>
      <c r="U191" s="66">
        <v>29.8</v>
      </c>
      <c r="V191" s="66">
        <v>28.8</v>
      </c>
      <c r="W191" s="66">
        <v>31.2</v>
      </c>
      <c r="X191" s="66">
        <v>32.4</v>
      </c>
      <c r="Y191" s="66">
        <v>32.6</v>
      </c>
      <c r="Z191" s="66">
        <v>32</v>
      </c>
      <c r="AA191" s="66">
        <v>33</v>
      </c>
      <c r="AB191" s="66">
        <v>32.799999999999997</v>
      </c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18</v>
      </c>
      <c r="AQ191" s="68">
        <f t="shared" si="12"/>
        <v>31.400000000000002</v>
      </c>
      <c r="AR191" s="68">
        <f>IFERROR(VLOOKUP(A191,Climatologia_TMAX!A:U,9+$E$2,FALSE),"")</f>
        <v>30.282678784775559</v>
      </c>
      <c r="AS191" s="68">
        <f t="shared" si="13"/>
        <v>1.1173212152244432</v>
      </c>
      <c r="AT191" s="74">
        <f t="shared" si="14"/>
        <v>34.200000000000003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0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66">
        <v>31.8</v>
      </c>
      <c r="M192" s="66">
        <v>34.4</v>
      </c>
      <c r="N192" s="66">
        <v>30.2</v>
      </c>
      <c r="O192" s="66">
        <v>33.4</v>
      </c>
      <c r="P192" s="66">
        <v>35</v>
      </c>
      <c r="Q192" s="66">
        <v>36.4</v>
      </c>
      <c r="R192" s="66">
        <v>35.6</v>
      </c>
      <c r="S192" s="66">
        <v>28.6</v>
      </c>
      <c r="T192" s="66">
        <v>34.4</v>
      </c>
      <c r="U192" s="66">
        <v>35.799999999999997</v>
      </c>
      <c r="V192" s="66">
        <v>33.4</v>
      </c>
      <c r="W192" s="66">
        <v>34</v>
      </c>
      <c r="X192" s="66">
        <v>35.799999999999997</v>
      </c>
      <c r="Y192" s="66">
        <v>36.4</v>
      </c>
      <c r="Z192" s="66">
        <v>37.200000000000003</v>
      </c>
      <c r="AA192" s="66">
        <v>38</v>
      </c>
      <c r="AB192" s="66">
        <v>35</v>
      </c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18</v>
      </c>
      <c r="AQ192" s="68">
        <f t="shared" si="12"/>
        <v>34.444444444444443</v>
      </c>
      <c r="AR192" s="68">
        <f>IFERROR(VLOOKUP(A192,Climatologia_TMAX!A:U,9+$E$2,FALSE),"")</f>
        <v>32.385684601765163</v>
      </c>
      <c r="AS192" s="68">
        <f t="shared" si="13"/>
        <v>2.0587598426792795</v>
      </c>
      <c r="AT192" s="74">
        <f t="shared" si="14"/>
        <v>38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0.20000000000000284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>
        <v>33.200000000000003</v>
      </c>
      <c r="N193" s="66">
        <v>34</v>
      </c>
      <c r="O193" s="66">
        <v>36.200000000000003</v>
      </c>
      <c r="P193" s="66">
        <v>35.200000000000003</v>
      </c>
      <c r="Q193" s="66">
        <v>36.4</v>
      </c>
      <c r="R193" s="66">
        <v>37</v>
      </c>
      <c r="S193" s="66">
        <v>31</v>
      </c>
      <c r="T193" s="66">
        <v>34.4</v>
      </c>
      <c r="U193" s="66">
        <v>33</v>
      </c>
      <c r="V193" s="66">
        <v>35</v>
      </c>
      <c r="W193" s="66">
        <v>35.4</v>
      </c>
      <c r="X193" s="66">
        <v>37.200000000000003</v>
      </c>
      <c r="Y193" s="66">
        <v>36</v>
      </c>
      <c r="Z193" s="66">
        <v>36.4</v>
      </c>
      <c r="AA193" s="66">
        <v>37</v>
      </c>
      <c r="AB193" s="66">
        <v>32.4</v>
      </c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18</v>
      </c>
      <c r="AQ193" s="68">
        <f t="shared" si="12"/>
        <v>35.077777777777769</v>
      </c>
      <c r="AR193" s="68">
        <f>IFERROR(VLOOKUP(A193,Climatologia_TMAX!A:U,9+$E$2,FALSE),"")</f>
        <v>33.2712702861986</v>
      </c>
      <c r="AS193" s="68">
        <f t="shared" si="13"/>
        <v>1.8065074915791683</v>
      </c>
      <c r="AT193" s="74">
        <f t="shared" si="14"/>
        <v>37.200000000000003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-1.3999999999999986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>
        <v>35.6</v>
      </c>
      <c r="N196" s="66">
        <v>32.200000000000003</v>
      </c>
      <c r="O196" s="66">
        <v>35.6</v>
      </c>
      <c r="P196" s="66">
        <v>36.799999999999997</v>
      </c>
      <c r="Q196" s="66">
        <v>36.799999999999997</v>
      </c>
      <c r="R196" s="66">
        <v>37.799999999999997</v>
      </c>
      <c r="S196" s="66">
        <v>32.4</v>
      </c>
      <c r="T196" s="66">
        <v>34.200000000000003</v>
      </c>
      <c r="U196" s="66">
        <v>36.799999999999997</v>
      </c>
      <c r="V196" s="66">
        <v>33.4</v>
      </c>
      <c r="W196" s="66">
        <v>34.799999999999997</v>
      </c>
      <c r="X196" s="66">
        <v>35.200000000000003</v>
      </c>
      <c r="Y196" s="66">
        <v>37.4</v>
      </c>
      <c r="Z196" s="66">
        <v>37.799999999999997</v>
      </c>
      <c r="AA196" s="66">
        <v>38</v>
      </c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17</v>
      </c>
      <c r="AQ196" s="68">
        <f t="shared" si="12"/>
        <v>35.423529411764704</v>
      </c>
      <c r="AR196" s="68">
        <f>IFERROR(VLOOKUP(A196,Climatologia_TMAX!A:U,9+$E$2,FALSE),"")</f>
        <v>33.366042996244893</v>
      </c>
      <c r="AS196" s="68">
        <f t="shared" si="13"/>
        <v>2.0574864155198114</v>
      </c>
      <c r="AT196" s="74">
        <f t="shared" si="14"/>
        <v>38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0.20000000000000284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>
        <v>34.6</v>
      </c>
      <c r="N198" s="66">
        <v>29</v>
      </c>
      <c r="O198" s="66">
        <v>35.200000000000003</v>
      </c>
      <c r="P198" s="66">
        <v>35.6</v>
      </c>
      <c r="Q198" s="66">
        <v>37</v>
      </c>
      <c r="R198" s="66">
        <v>37.4</v>
      </c>
      <c r="S198" s="66">
        <v>30</v>
      </c>
      <c r="T198" s="66">
        <v>35</v>
      </c>
      <c r="U198" s="66">
        <v>36</v>
      </c>
      <c r="V198" s="66">
        <v>35</v>
      </c>
      <c r="W198" s="66">
        <v>35.6</v>
      </c>
      <c r="X198" s="66">
        <v>37.200000000000003</v>
      </c>
      <c r="Y198" s="66">
        <v>37</v>
      </c>
      <c r="Z198" s="66">
        <v>37.6</v>
      </c>
      <c r="AA198" s="66"/>
      <c r="AB198" s="66">
        <v>36.799999999999997</v>
      </c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17</v>
      </c>
      <c r="AQ198" s="68">
        <f t="shared" si="17"/>
        <v>35.294117647058826</v>
      </c>
      <c r="AR198" s="68">
        <f>IFERROR(VLOOKUP(A198,Climatologia_TMAX!A:U,9+$E$2,FALSE),"")</f>
        <v>32.247721945302388</v>
      </c>
      <c r="AS198" s="68">
        <f t="shared" si="18"/>
        <v>3.0463957017564383</v>
      </c>
      <c r="AT198" s="74">
        <f t="shared" si="19"/>
        <v>37.6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0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>
        <v>17.8</v>
      </c>
      <c r="N199" s="66">
        <v>17.600000000000001</v>
      </c>
      <c r="O199" s="66">
        <v>18.2</v>
      </c>
      <c r="P199" s="66">
        <v>21</v>
      </c>
      <c r="Q199" s="66">
        <v>20</v>
      </c>
      <c r="R199" s="66">
        <v>20</v>
      </c>
      <c r="S199" s="66">
        <v>18.2</v>
      </c>
      <c r="T199" s="66">
        <v>18.2</v>
      </c>
      <c r="U199" s="66">
        <v>17.600000000000001</v>
      </c>
      <c r="V199" s="66">
        <v>18</v>
      </c>
      <c r="W199" s="66">
        <v>18.399999999999999</v>
      </c>
      <c r="X199" s="66">
        <v>18.8</v>
      </c>
      <c r="Y199" s="66">
        <v>19.2</v>
      </c>
      <c r="Z199" s="66"/>
      <c r="AA199" s="66">
        <v>20</v>
      </c>
      <c r="AB199" s="66">
        <v>19</v>
      </c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17</v>
      </c>
      <c r="AQ199" s="68">
        <f t="shared" si="17"/>
        <v>18.71764705882353</v>
      </c>
      <c r="AR199" s="68">
        <f>IFERROR(VLOOKUP(A199,Climatologia_TMAX!A:U,9+$E$2,FALSE),"")</f>
        <v>17.595698924731181</v>
      </c>
      <c r="AS199" s="68">
        <f t="shared" si="18"/>
        <v>1.1219481340923494</v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0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>
        <v>25.2</v>
      </c>
      <c r="M200" s="66">
        <v>23.2</v>
      </c>
      <c r="N200" s="66">
        <v>19.8</v>
      </c>
      <c r="O200" s="66">
        <v>22.2</v>
      </c>
      <c r="P200" s="66">
        <v>23.6</v>
      </c>
      <c r="Q200" s="66">
        <v>26</v>
      </c>
      <c r="R200" s="66"/>
      <c r="S200" s="66">
        <v>20.2</v>
      </c>
      <c r="T200" s="66"/>
      <c r="U200" s="66">
        <v>20.6</v>
      </c>
      <c r="V200" s="66">
        <v>21.2</v>
      </c>
      <c r="W200" s="66">
        <v>24.6</v>
      </c>
      <c r="X200" s="66">
        <v>25.5</v>
      </c>
      <c r="Y200" s="66">
        <v>24.8</v>
      </c>
      <c r="Z200" s="66">
        <v>25.4</v>
      </c>
      <c r="AA200" s="66">
        <v>25</v>
      </c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14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>
        <f t="shared" si="20"/>
        <v>-1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>
        <v>19</v>
      </c>
      <c r="N202" s="66">
        <v>19.2</v>
      </c>
      <c r="O202" s="66">
        <v>20</v>
      </c>
      <c r="P202" s="66">
        <v>20.6</v>
      </c>
      <c r="Q202" s="66">
        <v>21.8</v>
      </c>
      <c r="R202" s="66">
        <v>21.6</v>
      </c>
      <c r="S202" s="66">
        <v>17</v>
      </c>
      <c r="T202" s="66">
        <v>18.8</v>
      </c>
      <c r="U202" s="66">
        <v>18</v>
      </c>
      <c r="V202" s="66">
        <v>19</v>
      </c>
      <c r="W202" s="66">
        <v>20.2</v>
      </c>
      <c r="X202" s="66">
        <v>18.399999999999999</v>
      </c>
      <c r="Y202" s="66">
        <v>19.399999999999999</v>
      </c>
      <c r="Z202" s="66">
        <v>18</v>
      </c>
      <c r="AA202" s="66">
        <v>19.399999999999999</v>
      </c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17</v>
      </c>
      <c r="AQ202" s="68">
        <f t="shared" si="17"/>
        <v>19.317647058823528</v>
      </c>
      <c r="AR202" s="68">
        <f>IFERROR(VLOOKUP(A202,Climatologia_TMAX!A:U,9+$E$2,FALSE),"")</f>
        <v>19.408677967961381</v>
      </c>
      <c r="AS202" s="68">
        <f t="shared" si="18"/>
        <v>-9.1030909137852944E-2</v>
      </c>
      <c r="AT202" s="74">
        <f t="shared" si="19"/>
        <v>21.8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-1.1999999999999993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>
        <v>27.6</v>
      </c>
      <c r="N204" s="66">
        <v>26</v>
      </c>
      <c r="O204" s="66">
        <v>27.4</v>
      </c>
      <c r="P204" s="66">
        <v>28.8</v>
      </c>
      <c r="Q204" s="66">
        <v>29.8</v>
      </c>
      <c r="R204" s="66">
        <v>29</v>
      </c>
      <c r="S204" s="66">
        <v>21</v>
      </c>
      <c r="T204" s="66">
        <v>28</v>
      </c>
      <c r="U204" s="66">
        <v>27.8</v>
      </c>
      <c r="V204" s="66">
        <v>26</v>
      </c>
      <c r="W204" s="66">
        <v>28.2</v>
      </c>
      <c r="X204" s="66">
        <v>28.6</v>
      </c>
      <c r="Y204" s="66">
        <v>28.8</v>
      </c>
      <c r="Z204" s="66">
        <v>29.2</v>
      </c>
      <c r="AA204" s="66">
        <v>29</v>
      </c>
      <c r="AB204" s="66">
        <v>27.8</v>
      </c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18</v>
      </c>
      <c r="AQ204" s="68">
        <f t="shared" si="17"/>
        <v>27.888888888888893</v>
      </c>
      <c r="AR204" s="68">
        <f>IFERROR(VLOOKUP(A204,Climatologia_TMAX!A:U,9+$E$2,FALSE),"")</f>
        <v>26.493225806451608</v>
      </c>
      <c r="AS204" s="68">
        <f t="shared" si="18"/>
        <v>1.3956630824372844</v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>
        <v>33.200000000000003</v>
      </c>
      <c r="N207" s="66">
        <v>30.8</v>
      </c>
      <c r="O207" s="66">
        <v>33.200000000000003</v>
      </c>
      <c r="P207" s="66">
        <v>34.799999999999997</v>
      </c>
      <c r="Q207" s="66">
        <v>35</v>
      </c>
      <c r="R207" s="66">
        <v>35.200000000000003</v>
      </c>
      <c r="S207" s="66">
        <v>27.4</v>
      </c>
      <c r="T207" s="66">
        <v>33</v>
      </c>
      <c r="U207" s="66">
        <v>32.6</v>
      </c>
      <c r="V207" s="66">
        <v>30.6</v>
      </c>
      <c r="W207" s="66">
        <v>33.799999999999997</v>
      </c>
      <c r="X207" s="66">
        <v>34</v>
      </c>
      <c r="Y207" s="113">
        <v>35.4</v>
      </c>
      <c r="Z207" s="66">
        <v>35.200000000000003</v>
      </c>
      <c r="AA207" s="66">
        <v>35.6</v>
      </c>
      <c r="AB207" s="66">
        <v>34.6</v>
      </c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18</v>
      </c>
      <c r="AQ207" s="68">
        <f t="shared" si="17"/>
        <v>33.300000000000004</v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35.6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0.60000000000000142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>
        <v>21.8</v>
      </c>
      <c r="N208" s="66">
        <v>22</v>
      </c>
      <c r="O208" s="66">
        <v>25.6</v>
      </c>
      <c r="P208" s="66">
        <v>23.6</v>
      </c>
      <c r="Q208" s="66">
        <v>26.6</v>
      </c>
      <c r="R208" s="66">
        <v>25.6</v>
      </c>
      <c r="S208" s="66">
        <v>20.2</v>
      </c>
      <c r="T208" s="66">
        <v>23.2</v>
      </c>
      <c r="U208" s="66">
        <v>24.2</v>
      </c>
      <c r="V208" s="66">
        <v>20.399999999999999</v>
      </c>
      <c r="W208" s="66">
        <v>23.8</v>
      </c>
      <c r="X208" s="66">
        <v>21.2</v>
      </c>
      <c r="Y208" s="66">
        <v>24.6</v>
      </c>
      <c r="Z208" s="66">
        <v>25.6</v>
      </c>
      <c r="AA208" s="66">
        <v>24.6</v>
      </c>
      <c r="AB208" s="66">
        <v>23.6</v>
      </c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18</v>
      </c>
      <c r="AQ208" s="68">
        <f t="shared" si="17"/>
        <v>23.511111111111113</v>
      </c>
      <c r="AR208" s="68">
        <f>IFERROR(VLOOKUP(A208,Climatologia_TMAX!A:U,9+$E$2,FALSE),"")</f>
        <v>23.463917315535781</v>
      </c>
      <c r="AS208" s="68">
        <f t="shared" si="18"/>
        <v>4.7193795575331876E-2</v>
      </c>
      <c r="AT208" s="74">
        <f t="shared" si="19"/>
        <v>26.6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-0.39999999999999858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>
        <v>28.4</v>
      </c>
      <c r="N209" s="66">
        <v>27.8</v>
      </c>
      <c r="O209" s="66">
        <v>31.4</v>
      </c>
      <c r="P209" s="66">
        <v>31.2</v>
      </c>
      <c r="Q209" s="66">
        <v>30.6</v>
      </c>
      <c r="R209" s="66">
        <v>31.8</v>
      </c>
      <c r="S209" s="66">
        <v>26</v>
      </c>
      <c r="T209" s="66">
        <v>28.6</v>
      </c>
      <c r="U209" s="66">
        <v>29.6</v>
      </c>
      <c r="V209" s="66">
        <v>26.6</v>
      </c>
      <c r="W209" s="66">
        <v>30.8</v>
      </c>
      <c r="X209" s="66">
        <v>28.4</v>
      </c>
      <c r="Y209" s="66">
        <v>30.2</v>
      </c>
      <c r="Z209" s="66">
        <v>30</v>
      </c>
      <c r="AA209" s="66">
        <v>31.4</v>
      </c>
      <c r="AB209" s="66">
        <v>28.8</v>
      </c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18</v>
      </c>
      <c r="AQ209" s="68">
        <f t="shared" si="17"/>
        <v>29.43333333333333</v>
      </c>
      <c r="AR209" s="68">
        <f>IFERROR(VLOOKUP(A209,Climatologia_TMAX!A:U,9+$E$2,FALSE),"")</f>
        <v>28.857991979167998</v>
      </c>
      <c r="AS209" s="68">
        <f t="shared" si="18"/>
        <v>0.57534135416533161</v>
      </c>
      <c r="AT209" s="74">
        <f t="shared" si="19"/>
        <v>31.8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-0.80000000000000071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>
        <v>29.8</v>
      </c>
      <c r="N213" s="66">
        <v>28</v>
      </c>
      <c r="O213" s="66">
        <v>30.6</v>
      </c>
      <c r="P213" s="66"/>
      <c r="Q213" s="66">
        <v>28.2</v>
      </c>
      <c r="R213" s="66">
        <v>32</v>
      </c>
      <c r="S213" s="66"/>
      <c r="T213" s="109">
        <v>28.4</v>
      </c>
      <c r="U213" s="66"/>
      <c r="V213" s="66">
        <v>29</v>
      </c>
      <c r="W213" s="66">
        <v>29.4</v>
      </c>
      <c r="X213" s="66">
        <v>28</v>
      </c>
      <c r="Y213" s="66">
        <v>31</v>
      </c>
      <c r="Z213" s="66">
        <v>30.8</v>
      </c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11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>
        <f t="shared" si="19"/>
        <v>32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>
        <f t="shared" si="20"/>
        <v>-3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>
        <v>24.8</v>
      </c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>
        <f t="shared" si="19"/>
        <v>24.8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>
        <f t="shared" si="20"/>
        <v>-13.999999999999996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>
        <v>25.4</v>
      </c>
      <c r="N215" s="66">
        <v>25.4</v>
      </c>
      <c r="O215" s="66">
        <v>26.2</v>
      </c>
      <c r="P215" s="66">
        <v>26.4</v>
      </c>
      <c r="Q215" s="66">
        <v>28.2</v>
      </c>
      <c r="R215" s="66">
        <v>27.8</v>
      </c>
      <c r="S215" s="66">
        <v>26.2</v>
      </c>
      <c r="T215" s="66">
        <v>25.8</v>
      </c>
      <c r="U215" s="66">
        <v>25</v>
      </c>
      <c r="V215" s="66">
        <v>25</v>
      </c>
      <c r="W215" s="66">
        <v>25.8</v>
      </c>
      <c r="X215" s="66">
        <v>26.2</v>
      </c>
      <c r="Y215" s="66">
        <v>28</v>
      </c>
      <c r="Z215" s="66">
        <v>27.8</v>
      </c>
      <c r="AA215" s="66">
        <v>29.8</v>
      </c>
      <c r="AB215" s="66">
        <v>26.6</v>
      </c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17</v>
      </c>
      <c r="AQ215" s="68">
        <f t="shared" si="17"/>
        <v>26.470588235294116</v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29.8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-0.19999999999999929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>
        <v>25</v>
      </c>
      <c r="N216" s="66">
        <v>21.6</v>
      </c>
      <c r="O216" s="66">
        <v>25.6</v>
      </c>
      <c r="P216" s="66">
        <v>26</v>
      </c>
      <c r="Q216" s="66">
        <v>27.8</v>
      </c>
      <c r="R216" s="66"/>
      <c r="S216" s="66">
        <v>23.6</v>
      </c>
      <c r="T216" s="66">
        <v>24.5</v>
      </c>
      <c r="U216" s="66">
        <v>25.6</v>
      </c>
      <c r="V216" s="66">
        <v>25.6</v>
      </c>
      <c r="W216" s="66">
        <v>25.6</v>
      </c>
      <c r="X216" s="66">
        <v>24.8</v>
      </c>
      <c r="Y216" s="66">
        <v>26.8</v>
      </c>
      <c r="Z216" s="66">
        <v>26.8</v>
      </c>
      <c r="AA216" s="66">
        <v>27</v>
      </c>
      <c r="AB216" s="66">
        <v>26.2</v>
      </c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17</v>
      </c>
      <c r="AQ216" s="68">
        <f t="shared" si="17"/>
        <v>25.558823529411768</v>
      </c>
      <c r="AR216" s="68">
        <f>IFERROR(VLOOKUP(A216,Climatologia_TMAX!A:U,9+$E$2,FALSE),"")</f>
        <v>23.708222693998628</v>
      </c>
      <c r="AS216" s="68">
        <f t="shared" si="18"/>
        <v>1.8506008354131396</v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>
        <v>15.4</v>
      </c>
      <c r="N220" s="66">
        <v>16.2</v>
      </c>
      <c r="O220" s="66">
        <v>18</v>
      </c>
      <c r="P220" s="66">
        <v>20.2</v>
      </c>
      <c r="Q220" s="66">
        <v>18.600000000000001</v>
      </c>
      <c r="R220" s="66"/>
      <c r="S220" s="66">
        <v>17.600000000000001</v>
      </c>
      <c r="T220" s="66">
        <v>19.2</v>
      </c>
      <c r="U220" s="66">
        <v>20</v>
      </c>
      <c r="V220" s="66">
        <v>16.600000000000001</v>
      </c>
      <c r="W220" s="66">
        <v>18.600000000000001</v>
      </c>
      <c r="X220" s="66">
        <v>19.8</v>
      </c>
      <c r="Y220" s="66">
        <v>20</v>
      </c>
      <c r="Z220" s="66">
        <v>18.600000000000001</v>
      </c>
      <c r="AA220" s="66">
        <v>16.600000000000001</v>
      </c>
      <c r="AB220" s="66">
        <v>18.8</v>
      </c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17</v>
      </c>
      <c r="AQ220" s="68">
        <f t="shared" si="17"/>
        <v>17.988235294117647</v>
      </c>
      <c r="AR220" s="68">
        <f>IFERROR(VLOOKUP(A220,Climatologia_TMAX!A:U,9+$E$2,FALSE),"")</f>
        <v>15.77183842348882</v>
      </c>
      <c r="AS220" s="68">
        <f t="shared" si="18"/>
        <v>2.2163968706288273</v>
      </c>
      <c r="AT220" s="74">
        <f t="shared" si="19"/>
        <v>20.2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0.19999999999999929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>
        <v>23.4</v>
      </c>
      <c r="N221" s="66">
        <v>21.8</v>
      </c>
      <c r="O221" s="66">
        <v>25</v>
      </c>
      <c r="P221" s="66"/>
      <c r="Q221" s="66">
        <v>26</v>
      </c>
      <c r="R221" s="66">
        <v>23.8</v>
      </c>
      <c r="S221" s="66"/>
      <c r="T221" s="66">
        <v>25</v>
      </c>
      <c r="U221" s="66">
        <v>22.4</v>
      </c>
      <c r="V221" s="66">
        <v>20.8</v>
      </c>
      <c r="W221" s="66">
        <v>25.2</v>
      </c>
      <c r="X221" s="66">
        <v>26</v>
      </c>
      <c r="Y221" s="66">
        <v>25.8</v>
      </c>
      <c r="Z221" s="66">
        <v>26</v>
      </c>
      <c r="AA221" s="66">
        <v>27.2</v>
      </c>
      <c r="AB221" s="66">
        <v>24.2</v>
      </c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16</v>
      </c>
      <c r="AQ221" s="68">
        <f t="shared" si="17"/>
        <v>24.412500000000001</v>
      </c>
      <c r="AR221" s="68">
        <f>IFERROR(VLOOKUP(A221,Climatologia_TMAX!A:U,9+$E$2,FALSE),"")</f>
        <v>22.577401658408331</v>
      </c>
      <c r="AS221" s="68">
        <f t="shared" si="18"/>
        <v>1.8350983415916708</v>
      </c>
      <c r="AT221" s="74">
        <f t="shared" si="19"/>
        <v>27.2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-1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>
        <v>32.1</v>
      </c>
      <c r="N223" s="66">
        <v>32.299999999999997</v>
      </c>
      <c r="O223" s="66">
        <v>32</v>
      </c>
      <c r="P223" s="66">
        <v>33.4</v>
      </c>
      <c r="Q223" s="66">
        <v>34.200000000000003</v>
      </c>
      <c r="R223" s="66">
        <v>35.200000000000003</v>
      </c>
      <c r="S223" s="66">
        <v>30.6</v>
      </c>
      <c r="T223" s="66"/>
      <c r="U223" s="66"/>
      <c r="V223" s="66"/>
      <c r="W223" s="66"/>
      <c r="X223" s="66">
        <v>33.799999999999997</v>
      </c>
      <c r="Y223" s="66">
        <v>34.200000000000003</v>
      </c>
      <c r="Z223" s="66">
        <v>32</v>
      </c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12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35.200000000000003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-0.39999999999999858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>
        <v>30.2</v>
      </c>
      <c r="N230" s="66">
        <v>29</v>
      </c>
      <c r="O230" s="66">
        <v>31.2</v>
      </c>
      <c r="P230" s="66">
        <v>32.6</v>
      </c>
      <c r="Q230" s="66">
        <v>33.6</v>
      </c>
      <c r="R230" s="66"/>
      <c r="S230" s="66">
        <v>30.4</v>
      </c>
      <c r="T230" s="66">
        <v>32.6</v>
      </c>
      <c r="U230" s="66">
        <v>30</v>
      </c>
      <c r="V230" s="66">
        <v>29.6</v>
      </c>
      <c r="W230" s="66">
        <v>31.4</v>
      </c>
      <c r="X230" s="66">
        <v>33.799999999999997</v>
      </c>
      <c r="Y230" s="114">
        <v>34.200000000000003</v>
      </c>
      <c r="Z230" s="66">
        <v>32.6</v>
      </c>
      <c r="AA230" s="66">
        <v>30.6</v>
      </c>
      <c r="AB230" s="66">
        <v>29.6</v>
      </c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17</v>
      </c>
      <c r="AQ230" s="68">
        <f t="shared" si="17"/>
        <v>31.305882352941179</v>
      </c>
      <c r="AR230" s="68">
        <f>IFERROR(VLOOKUP(A230,Climatologia_TMAX!A:U,9+$E$2,FALSE),"")</f>
        <v>30.05920303605313</v>
      </c>
      <c r="AS230" s="68">
        <f t="shared" si="18"/>
        <v>1.2466793168880486</v>
      </c>
      <c r="AT230" s="74">
        <f t="shared" si="19"/>
        <v>34.200000000000003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0.20000000000000284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>
        <v>31.4</v>
      </c>
      <c r="N234" s="66">
        <v>31</v>
      </c>
      <c r="O234" s="66">
        <v>32</v>
      </c>
      <c r="P234" s="66">
        <v>33.5</v>
      </c>
      <c r="Q234" s="66">
        <v>35.1</v>
      </c>
      <c r="R234" s="66">
        <v>32.700000000000003</v>
      </c>
      <c r="S234" s="66">
        <v>30.1</v>
      </c>
      <c r="T234" s="66">
        <v>32.1</v>
      </c>
      <c r="U234" s="66">
        <v>30.4</v>
      </c>
      <c r="V234" s="66">
        <v>28.8</v>
      </c>
      <c r="W234" s="66">
        <v>32</v>
      </c>
      <c r="X234" s="66">
        <v>33.200000000000003</v>
      </c>
      <c r="Y234" s="66">
        <v>34.200000000000003</v>
      </c>
      <c r="Z234" s="66">
        <v>32</v>
      </c>
      <c r="AA234" s="66">
        <v>31.6</v>
      </c>
      <c r="AB234" s="66">
        <v>30.4</v>
      </c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18</v>
      </c>
      <c r="AQ234" s="68">
        <f t="shared" si="17"/>
        <v>31.87222222222222</v>
      </c>
      <c r="AR234" s="68">
        <f>IFERROR(VLOOKUP(A234,Climatologia_TMAX!A:U,9+$E$2,FALSE),"")</f>
        <v>30.007526881720441</v>
      </c>
      <c r="AS234" s="68">
        <f t="shared" si="18"/>
        <v>1.864695340501779</v>
      </c>
      <c r="AT234" s="74">
        <f t="shared" si="19"/>
        <v>35.1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-0.79999999999999716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>
        <v>30.4</v>
      </c>
      <c r="N237" s="66">
        <v>30.2</v>
      </c>
      <c r="O237" s="66"/>
      <c r="P237" s="66">
        <v>33.200000000000003</v>
      </c>
      <c r="Q237" s="66">
        <v>34.200000000000003</v>
      </c>
      <c r="R237" s="66">
        <v>33.200000000000003</v>
      </c>
      <c r="S237" s="66">
        <v>29.2</v>
      </c>
      <c r="T237" s="66">
        <v>31.6</v>
      </c>
      <c r="U237" s="66">
        <v>30.2</v>
      </c>
      <c r="V237" s="66">
        <v>28.4</v>
      </c>
      <c r="W237" s="66"/>
      <c r="X237" s="66">
        <v>32.4</v>
      </c>
      <c r="Y237" s="66"/>
      <c r="Z237" s="66">
        <v>32</v>
      </c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13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34.200000000000003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-1.3999999999999986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>
        <v>26.4</v>
      </c>
      <c r="N243" s="66">
        <v>25.4</v>
      </c>
      <c r="O243" s="66">
        <v>28</v>
      </c>
      <c r="P243" s="66">
        <v>30.2</v>
      </c>
      <c r="Q243" s="66">
        <v>29.8</v>
      </c>
      <c r="R243" s="66">
        <v>29.4</v>
      </c>
      <c r="S243" s="66">
        <v>26.4</v>
      </c>
      <c r="T243" s="66">
        <v>28</v>
      </c>
      <c r="U243" s="66">
        <v>26.8</v>
      </c>
      <c r="V243" s="66">
        <v>26.4</v>
      </c>
      <c r="W243" s="66">
        <v>27</v>
      </c>
      <c r="X243" s="66"/>
      <c r="Y243" s="66">
        <v>28.2</v>
      </c>
      <c r="Z243" s="66">
        <v>28.4</v>
      </c>
      <c r="AA243" s="66">
        <v>27.4</v>
      </c>
      <c r="AB243" s="66">
        <v>24.6</v>
      </c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17</v>
      </c>
      <c r="AQ243" s="68">
        <f t="shared" si="17"/>
        <v>27.223529411764702</v>
      </c>
      <c r="AR243" s="68">
        <f>IFERROR(VLOOKUP(A243,Climatologia_TMAX!A:U,9+$E$2,FALSE),"")</f>
        <v>25.185936967000369</v>
      </c>
      <c r="AS243" s="68">
        <f t="shared" si="18"/>
        <v>2.0375924447643321</v>
      </c>
      <c r="AT243" s="74">
        <f t="shared" si="19"/>
        <v>30.2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0.39999999999999858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>
        <v>30.2</v>
      </c>
      <c r="N245" s="66">
        <v>29.2</v>
      </c>
      <c r="O245" s="66">
        <v>32.6</v>
      </c>
      <c r="P245" s="66">
        <v>33.6</v>
      </c>
      <c r="Q245" s="66">
        <v>34.200000000000003</v>
      </c>
      <c r="R245" s="66">
        <v>32</v>
      </c>
      <c r="S245" s="66">
        <v>29.2</v>
      </c>
      <c r="T245" s="66">
        <v>32.6</v>
      </c>
      <c r="U245" s="66">
        <v>32.200000000000003</v>
      </c>
      <c r="V245" s="66">
        <v>28.4</v>
      </c>
      <c r="W245" s="66">
        <v>33.6</v>
      </c>
      <c r="X245" s="66">
        <v>32.799999999999997</v>
      </c>
      <c r="Y245" s="66">
        <v>33.4</v>
      </c>
      <c r="Z245" s="66">
        <v>34.200000000000003</v>
      </c>
      <c r="AA245" s="66">
        <v>34.6</v>
      </c>
      <c r="AB245" s="66">
        <v>33</v>
      </c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18</v>
      </c>
      <c r="AQ245" s="68">
        <f t="shared" si="17"/>
        <v>32.166666666666664</v>
      </c>
      <c r="AR245" s="68">
        <f>IFERROR(VLOOKUP(A245,Climatologia_TMAX!A:U,9+$E$2,FALSE),"")</f>
        <v>29.837016579267971</v>
      </c>
      <c r="AS245" s="68">
        <f t="shared" si="18"/>
        <v>2.3296500873986936</v>
      </c>
      <c r="AT245" s="74">
        <f t="shared" si="19"/>
        <v>34.6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-0.39999999999999858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>
        <v>34.6</v>
      </c>
      <c r="N246" s="66">
        <v>32.200000000000003</v>
      </c>
      <c r="O246" s="66">
        <v>37.200000000000003</v>
      </c>
      <c r="P246" s="66">
        <v>38.4</v>
      </c>
      <c r="Q246" s="66">
        <v>38.6</v>
      </c>
      <c r="R246" s="66">
        <v>38.200000000000003</v>
      </c>
      <c r="S246" s="66">
        <v>35.200000000000003</v>
      </c>
      <c r="T246" s="66">
        <v>37.200000000000003</v>
      </c>
      <c r="U246" s="66">
        <v>37.799999999999997</v>
      </c>
      <c r="V246" s="66">
        <v>32.6</v>
      </c>
      <c r="W246" s="66">
        <v>38.200000000000003</v>
      </c>
      <c r="X246" s="66">
        <v>37.799999999999997</v>
      </c>
      <c r="Y246" s="66">
        <v>38.4</v>
      </c>
      <c r="Z246" s="66">
        <v>39.799999999999997</v>
      </c>
      <c r="AA246" s="66">
        <v>39</v>
      </c>
      <c r="AB246" s="66">
        <v>37</v>
      </c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18</v>
      </c>
      <c r="AQ246" s="68">
        <f t="shared" si="17"/>
        <v>36.822222222222223</v>
      </c>
      <c r="AR246" s="68">
        <f>IFERROR(VLOOKUP(A246,Climatologia_TMAX!A:U,9+$E$2,FALSE),"")</f>
        <v>34.589235433370753</v>
      </c>
      <c r="AS246" s="68">
        <f t="shared" si="18"/>
        <v>2.2329867888514698</v>
      </c>
      <c r="AT246" s="74">
        <f t="shared" si="19"/>
        <v>39.799999999999997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0.19999999999999574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>
        <v>31.6</v>
      </c>
      <c r="N247" s="66">
        <v>31.8</v>
      </c>
      <c r="O247" s="66">
        <v>33.799999999999997</v>
      </c>
      <c r="P247" s="66">
        <v>36.200000000000003</v>
      </c>
      <c r="Q247" s="66">
        <v>36.6</v>
      </c>
      <c r="R247" s="66">
        <v>36.4</v>
      </c>
      <c r="S247" s="66">
        <v>33.799999999999997</v>
      </c>
      <c r="T247" s="66">
        <v>33</v>
      </c>
      <c r="U247" s="66"/>
      <c r="V247" s="66"/>
      <c r="W247" s="66"/>
      <c r="X247" s="66"/>
      <c r="Y247" s="66">
        <v>37.4</v>
      </c>
      <c r="Z247" s="66">
        <v>37</v>
      </c>
      <c r="AA247" s="66">
        <v>35.200000000000003</v>
      </c>
      <c r="AB247" s="66">
        <v>33.200000000000003</v>
      </c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14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37.4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-1.2000000000000028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>
        <v>30</v>
      </c>
      <c r="N248" s="66">
        <v>31.8</v>
      </c>
      <c r="O248" s="66">
        <v>32</v>
      </c>
      <c r="P248" s="66">
        <v>31.8</v>
      </c>
      <c r="Q248" s="66">
        <v>32.799999999999997</v>
      </c>
      <c r="R248" s="66">
        <v>31.8</v>
      </c>
      <c r="S248" s="66">
        <v>32</v>
      </c>
      <c r="T248" s="66">
        <v>31.8</v>
      </c>
      <c r="U248" s="66">
        <v>32</v>
      </c>
      <c r="V248" s="66">
        <v>31.8</v>
      </c>
      <c r="W248" s="106">
        <v>32.6</v>
      </c>
      <c r="X248" s="66">
        <v>30.8</v>
      </c>
      <c r="Y248" s="106">
        <v>32.4</v>
      </c>
      <c r="Z248" s="66">
        <v>30</v>
      </c>
      <c r="AA248" s="66">
        <v>29.8</v>
      </c>
      <c r="AB248" s="66">
        <v>30.4</v>
      </c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18</v>
      </c>
      <c r="AQ248" s="68">
        <f t="shared" si="17"/>
        <v>31.411111111111111</v>
      </c>
      <c r="AR248" s="68">
        <f>IFERROR(VLOOKUP(A248,Climatologia_TMAX!A:U,9+$E$2,FALSE),"")</f>
        <v>30.878774770320931</v>
      </c>
      <c r="AS248" s="68">
        <f t="shared" si="18"/>
        <v>0.53233634079018088</v>
      </c>
      <c r="AT248" s="74">
        <f t="shared" si="19"/>
        <v>32.799999999999997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>
        <v>35.4</v>
      </c>
      <c r="N249" s="66">
        <v>35.6</v>
      </c>
      <c r="O249" s="66">
        <v>38</v>
      </c>
      <c r="P249" s="66">
        <v>38</v>
      </c>
      <c r="Q249" s="66">
        <v>38.200000000000003</v>
      </c>
      <c r="R249" s="66">
        <v>38.799999999999997</v>
      </c>
      <c r="S249" s="66"/>
      <c r="T249" s="66">
        <v>35.6</v>
      </c>
      <c r="U249" s="66">
        <v>38.4</v>
      </c>
      <c r="V249" s="66">
        <v>35</v>
      </c>
      <c r="W249" s="66">
        <v>37.6</v>
      </c>
      <c r="X249" s="66">
        <v>37.4</v>
      </c>
      <c r="Y249" s="66">
        <v>38.4</v>
      </c>
      <c r="Z249" s="66">
        <v>38.200000000000003</v>
      </c>
      <c r="AA249" s="66">
        <v>38.6</v>
      </c>
      <c r="AB249" s="66">
        <v>36.200000000000003</v>
      </c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17</v>
      </c>
      <c r="AQ249" s="68">
        <f t="shared" si="17"/>
        <v>37.294117647058833</v>
      </c>
      <c r="AR249" s="68">
        <f>IFERROR(VLOOKUP(A249,Climatologia_TMAX!A:U,9+$E$2,FALSE),"")</f>
        <v>35.594967029941238</v>
      </c>
      <c r="AS249" s="68">
        <f t="shared" si="18"/>
        <v>1.6991506171175956</v>
      </c>
      <c r="AT249" s="74">
        <f t="shared" si="19"/>
        <v>38.799999999999997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-2.2000000000000028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>
        <v>33.6</v>
      </c>
      <c r="N251" s="66">
        <v>35.6</v>
      </c>
      <c r="O251" s="66">
        <v>36.6</v>
      </c>
      <c r="P251" s="66">
        <v>38.4</v>
      </c>
      <c r="Q251" s="66">
        <v>38.6</v>
      </c>
      <c r="R251" s="66">
        <v>38</v>
      </c>
      <c r="S251" s="66">
        <v>36.200000000000003</v>
      </c>
      <c r="T251" s="66">
        <v>36.799999999999997</v>
      </c>
      <c r="U251" s="66">
        <v>37.4</v>
      </c>
      <c r="V251" s="66">
        <v>33.200000000000003</v>
      </c>
      <c r="W251" s="66">
        <v>38</v>
      </c>
      <c r="X251" s="66">
        <v>35.799999999999997</v>
      </c>
      <c r="Y251" s="66">
        <v>38.6</v>
      </c>
      <c r="Z251" s="66">
        <v>38.6</v>
      </c>
      <c r="AA251" s="66">
        <v>37.4</v>
      </c>
      <c r="AB251" s="66">
        <v>33</v>
      </c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18</v>
      </c>
      <c r="AQ251" s="68">
        <f t="shared" si="17"/>
        <v>36.533333333333331</v>
      </c>
      <c r="AR251" s="68">
        <f>IFERROR(VLOOKUP(A251,Climatologia_TMAX!A:U,9+$E$2,FALSE),"")</f>
        <v>34.166488485337432</v>
      </c>
      <c r="AS251" s="68">
        <f t="shared" si="18"/>
        <v>2.3668448479958997</v>
      </c>
      <c r="AT251" s="74">
        <f t="shared" si="19"/>
        <v>38.6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</v>
      </c>
      <c r="L254" s="66">
        <v>32.6</v>
      </c>
      <c r="M254" s="66">
        <v>28.2</v>
      </c>
      <c r="N254" s="66">
        <v>30.2</v>
      </c>
      <c r="O254" s="66">
        <v>33.4</v>
      </c>
      <c r="P254" s="66">
        <v>35</v>
      </c>
      <c r="Q254" s="66">
        <v>35.6</v>
      </c>
      <c r="R254" s="66">
        <v>35.4</v>
      </c>
      <c r="S254" s="66">
        <v>32.799999999999997</v>
      </c>
      <c r="T254" s="66">
        <v>33.4</v>
      </c>
      <c r="U254" s="66">
        <v>36.200000000000003</v>
      </c>
      <c r="V254" s="66">
        <v>30</v>
      </c>
      <c r="W254" s="66">
        <v>35</v>
      </c>
      <c r="X254" s="66">
        <v>31.8</v>
      </c>
      <c r="Y254" s="114">
        <v>36.799999999999997</v>
      </c>
      <c r="Z254" s="66">
        <v>33.799999999999997</v>
      </c>
      <c r="AA254" s="66">
        <v>33.4</v>
      </c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17</v>
      </c>
      <c r="AQ254" s="68">
        <f t="shared" si="17"/>
        <v>33.388235294117642</v>
      </c>
      <c r="AR254" s="68">
        <f>IFERROR(VLOOKUP(A254,Climatologia_TMAX!A:U,9+$E$2,FALSE),"")</f>
        <v>32.101564904411298</v>
      </c>
      <c r="AS254" s="68">
        <f t="shared" si="18"/>
        <v>1.2866703897063445</v>
      </c>
      <c r="AT254" s="74">
        <f t="shared" si="19"/>
        <v>36.799999999999997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>
        <f t="shared" si="20"/>
        <v>0.59999999999999432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>
        <v>25.2</v>
      </c>
      <c r="N257" s="66">
        <v>22.4</v>
      </c>
      <c r="O257" s="66">
        <v>24.4</v>
      </c>
      <c r="P257" s="66">
        <v>26.2</v>
      </c>
      <c r="Q257" s="66">
        <v>27.2</v>
      </c>
      <c r="R257" s="66">
        <v>27.2</v>
      </c>
      <c r="S257" s="66">
        <v>24.2</v>
      </c>
      <c r="T257" s="66">
        <v>26.2</v>
      </c>
      <c r="U257" s="66">
        <v>25.6</v>
      </c>
      <c r="V257" s="66">
        <v>23.6</v>
      </c>
      <c r="W257" s="66">
        <v>26.6</v>
      </c>
      <c r="X257" s="66">
        <v>25.8</v>
      </c>
      <c r="Y257" s="66">
        <v>26.2</v>
      </c>
      <c r="Z257" s="66">
        <v>27.2</v>
      </c>
      <c r="AA257" s="66">
        <v>27.6</v>
      </c>
      <c r="AB257" s="66">
        <v>26.6</v>
      </c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18</v>
      </c>
      <c r="AQ257" s="68">
        <f t="shared" si="17"/>
        <v>25.833333333333336</v>
      </c>
      <c r="AR257" s="68">
        <f>IFERROR(VLOOKUP(A257,Climatologia_TMAX!A:U,9+$E$2,FALSE),"")</f>
        <v>23.031672231617851</v>
      </c>
      <c r="AS257" s="68">
        <f t="shared" si="18"/>
        <v>2.8016611017154851</v>
      </c>
      <c r="AT257" s="74">
        <f t="shared" si="19"/>
        <v>27.6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-1.5999999999999979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>
        <v>22.4</v>
      </c>
      <c r="N258" s="66">
        <v>25</v>
      </c>
      <c r="O258" s="66">
        <v>25.2</v>
      </c>
      <c r="P258" s="66">
        <v>27.2</v>
      </c>
      <c r="Q258" s="66">
        <v>27.8</v>
      </c>
      <c r="R258" s="66">
        <v>27.2</v>
      </c>
      <c r="S258" s="66">
        <v>24.8</v>
      </c>
      <c r="T258" s="66">
        <v>24.2</v>
      </c>
      <c r="U258" s="66">
        <v>26.6</v>
      </c>
      <c r="V258" s="66">
        <v>24.4</v>
      </c>
      <c r="W258" s="66">
        <v>26.4</v>
      </c>
      <c r="X258" s="66">
        <v>25</v>
      </c>
      <c r="Y258" s="66">
        <v>27.2</v>
      </c>
      <c r="Z258" s="66">
        <v>26.2</v>
      </c>
      <c r="AA258" s="66">
        <v>25.2</v>
      </c>
      <c r="AB258" s="66">
        <v>24.6</v>
      </c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18</v>
      </c>
      <c r="AQ258" s="68">
        <f t="shared" si="17"/>
        <v>25.522222222222222</v>
      </c>
      <c r="AR258" s="68">
        <f>IFERROR(VLOOKUP(A258,Climatologia_TMAX!A:U,9+$E$2,FALSE),"")</f>
        <v>26.17729236188358</v>
      </c>
      <c r="AS258" s="68">
        <f t="shared" si="18"/>
        <v>-0.6550701396613583</v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-2.5999999999999979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>
        <v>20</v>
      </c>
      <c r="N259" s="66">
        <v>16.2</v>
      </c>
      <c r="O259" s="66">
        <v>21</v>
      </c>
      <c r="P259" s="66">
        <v>20.2</v>
      </c>
      <c r="Q259" s="66">
        <v>22</v>
      </c>
      <c r="R259" s="66">
        <v>21.6</v>
      </c>
      <c r="S259" s="66">
        <v>18.399999999999999</v>
      </c>
      <c r="T259" s="66">
        <v>21.6</v>
      </c>
      <c r="U259" s="66">
        <v>21.4</v>
      </c>
      <c r="V259" s="66">
        <v>18.399999999999999</v>
      </c>
      <c r="W259" s="109">
        <v>21</v>
      </c>
      <c r="X259" s="66">
        <v>21</v>
      </c>
      <c r="Y259" s="66">
        <v>20.8</v>
      </c>
      <c r="Z259" s="66">
        <v>22.2</v>
      </c>
      <c r="AA259" s="66">
        <v>22.8</v>
      </c>
      <c r="AB259" s="66">
        <v>21</v>
      </c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18</v>
      </c>
      <c r="AQ259" s="68">
        <f t="shared" si="17"/>
        <v>20.666666666666671</v>
      </c>
      <c r="AR259" s="68">
        <f>IFERROR(VLOOKUP(A259,Climatologia_TMAX!A:U,9+$E$2,FALSE),"")</f>
        <v>18.964877782721398</v>
      </c>
      <c r="AS259" s="68">
        <f t="shared" si="18"/>
        <v>1.7017888839452731</v>
      </c>
      <c r="AT259" s="74">
        <f t="shared" si="19"/>
        <v>22.8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-0.39999999999999858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>
        <v>31.6</v>
      </c>
      <c r="N260" s="66">
        <v>32.200000000000003</v>
      </c>
      <c r="O260" s="66">
        <v>34.799999999999997</v>
      </c>
      <c r="P260" s="66">
        <v>36</v>
      </c>
      <c r="Q260" s="66">
        <v>35.799999999999997</v>
      </c>
      <c r="R260" s="66">
        <v>36</v>
      </c>
      <c r="S260" s="66">
        <v>34.4</v>
      </c>
      <c r="T260" s="66">
        <v>33.6</v>
      </c>
      <c r="U260" s="66">
        <v>35.6</v>
      </c>
      <c r="V260" s="66">
        <v>32.4</v>
      </c>
      <c r="W260" s="66">
        <v>35.200000000000003</v>
      </c>
      <c r="X260" s="66">
        <v>35.6</v>
      </c>
      <c r="Y260" s="66">
        <v>36.200000000000003</v>
      </c>
      <c r="Z260" s="66">
        <v>35.4</v>
      </c>
      <c r="AA260" s="66">
        <v>35.200000000000003</v>
      </c>
      <c r="AB260" s="66">
        <v>31.8</v>
      </c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18</v>
      </c>
      <c r="AQ260" s="68">
        <f t="shared" si="17"/>
        <v>34.522222222222219</v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36.200000000000003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-1.3999999999999986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>
        <v>22</v>
      </c>
      <c r="N261" s="66">
        <v>20.399999999999999</v>
      </c>
      <c r="O261" s="66">
        <v>21.8</v>
      </c>
      <c r="P261" s="66">
        <v>23.6</v>
      </c>
      <c r="Q261" s="66">
        <v>22.8</v>
      </c>
      <c r="R261" s="66">
        <v>23</v>
      </c>
      <c r="S261" s="66">
        <v>20</v>
      </c>
      <c r="T261" s="66">
        <v>23</v>
      </c>
      <c r="U261" s="66">
        <v>22.8</v>
      </c>
      <c r="V261" s="66">
        <v>21.2</v>
      </c>
      <c r="W261" s="66">
        <v>22.2</v>
      </c>
      <c r="X261" s="66">
        <v>22.4</v>
      </c>
      <c r="Y261" s="66">
        <v>22.4</v>
      </c>
      <c r="Z261" s="66">
        <v>23.2</v>
      </c>
      <c r="AA261" s="66">
        <v>23.6</v>
      </c>
      <c r="AB261" s="66">
        <v>23.4</v>
      </c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18</v>
      </c>
      <c r="AQ261" s="68">
        <f t="shared" ref="AQ261:AQ324" si="22">IF(AP261&gt;14,AVERAGE(K261:AO261),"")</f>
        <v>22.444444444444443</v>
      </c>
      <c r="AR261" s="68">
        <f>IFERROR(VLOOKUP(A261,Climatologia_TMAX!A:U,9+$E$2,FALSE),"")</f>
        <v>20.885706399035701</v>
      </c>
      <c r="AS261" s="68">
        <f t="shared" ref="AS261:AS324" si="23">IF(OR(AQ261="",AR261=""),"",IFERROR(AQ261-AR261,""))</f>
        <v>1.5587380454087416</v>
      </c>
      <c r="AT261" s="74">
        <f t="shared" ref="AT261:AT287" si="24">IF(COUNT(K261:AO261)=0,"",MAX(K261:AO261))</f>
        <v>23.6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>
        <v>17.600000000000001</v>
      </c>
      <c r="N265" s="66"/>
      <c r="O265" s="66"/>
      <c r="P265" s="66">
        <v>20.399999999999999</v>
      </c>
      <c r="Q265" s="66">
        <v>19.2</v>
      </c>
      <c r="R265" s="66">
        <v>19.399999999999999</v>
      </c>
      <c r="S265" s="66">
        <v>19</v>
      </c>
      <c r="T265" s="66">
        <v>17.600000000000001</v>
      </c>
      <c r="U265" s="66"/>
      <c r="V265" s="66"/>
      <c r="W265" s="66">
        <v>20.2</v>
      </c>
      <c r="X265" s="66">
        <v>19.399999999999999</v>
      </c>
      <c r="Y265" s="66">
        <v>19.8</v>
      </c>
      <c r="Z265" s="66">
        <v>20</v>
      </c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12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>
        <v>15.4</v>
      </c>
      <c r="N267" s="66">
        <v>15.6</v>
      </c>
      <c r="O267" s="66">
        <v>15.2</v>
      </c>
      <c r="P267" s="66">
        <v>14.6</v>
      </c>
      <c r="Q267" s="66">
        <v>14.4</v>
      </c>
      <c r="R267" s="66">
        <v>15</v>
      </c>
      <c r="S267" s="66">
        <v>14.8</v>
      </c>
      <c r="T267" s="66">
        <v>15.4</v>
      </c>
      <c r="U267" s="66">
        <v>15.8</v>
      </c>
      <c r="V267" s="66">
        <v>15.4</v>
      </c>
      <c r="W267" s="66">
        <v>15.4</v>
      </c>
      <c r="X267" s="66">
        <v>15.8</v>
      </c>
      <c r="Y267" s="66">
        <v>15.2</v>
      </c>
      <c r="Z267" s="66">
        <v>15.6</v>
      </c>
      <c r="AA267" s="66">
        <v>15.2</v>
      </c>
      <c r="AB267" s="66">
        <v>14.8</v>
      </c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18</v>
      </c>
      <c r="AQ267" s="68">
        <f t="shared" si="22"/>
        <v>15.288888888888891</v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>
        <v>18</v>
      </c>
      <c r="N268" s="66">
        <v>20</v>
      </c>
      <c r="O268" s="66">
        <v>21.8</v>
      </c>
      <c r="P268" s="66">
        <v>22.4</v>
      </c>
      <c r="Q268" s="66">
        <v>21</v>
      </c>
      <c r="R268" s="66">
        <v>20.6</v>
      </c>
      <c r="S268" s="66">
        <v>19.2</v>
      </c>
      <c r="T268" s="66">
        <v>19.2</v>
      </c>
      <c r="U268" s="109">
        <v>19.399999999999999</v>
      </c>
      <c r="V268" s="66">
        <v>18.399999999999999</v>
      </c>
      <c r="W268" s="66">
        <v>20.399999999999999</v>
      </c>
      <c r="X268" s="66">
        <v>20</v>
      </c>
      <c r="Y268" s="66">
        <v>20.399999999999999</v>
      </c>
      <c r="Z268" s="66">
        <v>21.6</v>
      </c>
      <c r="AA268" s="66">
        <v>21.2</v>
      </c>
      <c r="AB268" s="66">
        <v>21.2</v>
      </c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18</v>
      </c>
      <c r="AQ268" s="68">
        <f t="shared" si="22"/>
        <v>20.277777777777775</v>
      </c>
      <c r="AR268" s="68">
        <f>IFERROR(VLOOKUP(A268,Climatologia_TMAX!A:U,9+$E$2,FALSE),"")</f>
        <v>18.914438253180371</v>
      </c>
      <c r="AS268" s="68">
        <f t="shared" si="23"/>
        <v>1.3633395245974036</v>
      </c>
      <c r="AT268" s="74">
        <f t="shared" si="24"/>
        <v>22.4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>
        <v>16.399999999999999</v>
      </c>
      <c r="N269" s="66">
        <v>18.600000000000001</v>
      </c>
      <c r="O269" s="66">
        <v>19.399999999999999</v>
      </c>
      <c r="P269" s="66">
        <v>20</v>
      </c>
      <c r="Q269" s="66">
        <v>18</v>
      </c>
      <c r="R269" s="66">
        <v>18</v>
      </c>
      <c r="S269" s="66"/>
      <c r="T269" s="66">
        <v>19</v>
      </c>
      <c r="U269" s="66">
        <v>18</v>
      </c>
      <c r="V269" s="66">
        <v>16.8</v>
      </c>
      <c r="W269" s="66">
        <v>17</v>
      </c>
      <c r="X269" s="66">
        <v>18</v>
      </c>
      <c r="Y269" s="66">
        <v>19.399999999999999</v>
      </c>
      <c r="Z269" s="66">
        <v>15.6</v>
      </c>
      <c r="AA269" s="66">
        <v>18.600000000000001</v>
      </c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16</v>
      </c>
      <c r="AQ269" s="68">
        <f t="shared" si="22"/>
        <v>17.937500000000004</v>
      </c>
      <c r="AR269" s="68">
        <f>IFERROR(VLOOKUP(A269,Climatologia_TMAX!A:U,9+$E$2,FALSE),"")</f>
        <v>16.09168553853759</v>
      </c>
      <c r="AS269" s="68">
        <f t="shared" si="23"/>
        <v>1.8458144614624139</v>
      </c>
      <c r="AT269" s="74">
        <f t="shared" si="24"/>
        <v>20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-1.3999999999999986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21.2</v>
      </c>
      <c r="L270" s="66">
        <v>16.8</v>
      </c>
      <c r="M270" s="66">
        <v>17.2</v>
      </c>
      <c r="N270" s="66">
        <v>20.2</v>
      </c>
      <c r="O270" s="66">
        <v>17.600000000000001</v>
      </c>
      <c r="P270" s="66">
        <v>18</v>
      </c>
      <c r="Q270" s="66">
        <v>16.8</v>
      </c>
      <c r="R270" s="66">
        <v>18.399999999999999</v>
      </c>
      <c r="S270" s="66">
        <v>18.399999999999999</v>
      </c>
      <c r="T270" s="66">
        <v>16.600000000000001</v>
      </c>
      <c r="U270" s="66">
        <v>17.2</v>
      </c>
      <c r="V270" s="66">
        <v>17.399999999999999</v>
      </c>
      <c r="W270" s="66">
        <v>18.399999999999999</v>
      </c>
      <c r="X270" s="66">
        <v>19.600000000000001</v>
      </c>
      <c r="Y270" s="66">
        <v>15.8</v>
      </c>
      <c r="Z270" s="66">
        <v>17.399999999999999</v>
      </c>
      <c r="AA270" s="66">
        <v>17.399999999999999</v>
      </c>
      <c r="AB270" s="66">
        <v>16.600000000000001</v>
      </c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18</v>
      </c>
      <c r="AQ270" s="68">
        <f t="shared" si="22"/>
        <v>17.833333333333329</v>
      </c>
      <c r="AR270" s="68">
        <f>IFERROR(VLOOKUP(A270,Climatologia_TMAX!A:U,9+$E$2,FALSE),"")</f>
        <v>17.216948903833771</v>
      </c>
      <c r="AS270" s="68">
        <f t="shared" si="23"/>
        <v>0.61638442949955774</v>
      </c>
      <c r="AT270" s="74">
        <f t="shared" si="24"/>
        <v>21.2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>
        <f t="shared" si="25"/>
        <v>-3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>
        <v>22.6</v>
      </c>
      <c r="N271" s="66">
        <v>20.8</v>
      </c>
      <c r="O271" s="66">
        <v>23</v>
      </c>
      <c r="P271" s="66">
        <v>22.8</v>
      </c>
      <c r="Q271" s="66">
        <v>22</v>
      </c>
      <c r="R271" s="66">
        <v>23</v>
      </c>
      <c r="S271" s="66">
        <v>18.399999999999999</v>
      </c>
      <c r="T271" s="66">
        <v>18.399999999999999</v>
      </c>
      <c r="U271" s="66">
        <v>24.4</v>
      </c>
      <c r="V271" s="66">
        <v>21</v>
      </c>
      <c r="W271" s="66">
        <v>20</v>
      </c>
      <c r="X271" s="66">
        <v>22.2</v>
      </c>
      <c r="Y271" s="66"/>
      <c r="Z271" s="66"/>
      <c r="AA271" s="66">
        <v>23.4</v>
      </c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15</v>
      </c>
      <c r="AQ271" s="68">
        <f t="shared" si="22"/>
        <v>21.666666666666664</v>
      </c>
      <c r="AR271" s="68">
        <f>IFERROR(VLOOKUP(A271,Climatologia_TMAX!A:U,9+$E$2,FALSE),"")</f>
        <v>20.066417437381329</v>
      </c>
      <c r="AS271" s="68">
        <f t="shared" si="23"/>
        <v>1.6002492292853354</v>
      </c>
      <c r="AT271" s="74">
        <f t="shared" si="24"/>
        <v>24.4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>
        <v>24</v>
      </c>
      <c r="N272" s="66">
        <v>25</v>
      </c>
      <c r="O272" s="66">
        <v>27.2</v>
      </c>
      <c r="P272" s="66">
        <v>28</v>
      </c>
      <c r="Q272" s="66">
        <v>27.4</v>
      </c>
      <c r="R272" s="66">
        <v>27.2</v>
      </c>
      <c r="S272" s="66">
        <v>25.6</v>
      </c>
      <c r="T272" s="66">
        <v>26</v>
      </c>
      <c r="U272" s="66">
        <v>26.8</v>
      </c>
      <c r="V272" s="66">
        <v>23.6</v>
      </c>
      <c r="W272" s="66">
        <v>26.6</v>
      </c>
      <c r="X272" s="66">
        <v>26</v>
      </c>
      <c r="Y272" s="66">
        <v>27.6</v>
      </c>
      <c r="Z272" s="66">
        <v>27.2</v>
      </c>
      <c r="AA272" s="66">
        <v>26.8</v>
      </c>
      <c r="AB272" s="66">
        <v>25.2</v>
      </c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18</v>
      </c>
      <c r="AQ272" s="68">
        <f t="shared" si="22"/>
        <v>26.244444444444451</v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-2.1999999999999993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>
        <v>10</v>
      </c>
      <c r="N274" s="66">
        <v>10.4</v>
      </c>
      <c r="O274" s="66">
        <v>11.2</v>
      </c>
      <c r="P274" s="66">
        <v>13.8</v>
      </c>
      <c r="Q274" s="66">
        <v>13.6</v>
      </c>
      <c r="R274" s="66">
        <v>13.6</v>
      </c>
      <c r="S274" s="66">
        <v>11</v>
      </c>
      <c r="T274" s="66">
        <v>12.4</v>
      </c>
      <c r="U274" s="109">
        <v>11.6</v>
      </c>
      <c r="V274" s="66">
        <v>12</v>
      </c>
      <c r="W274" s="66">
        <v>11.8</v>
      </c>
      <c r="X274" s="66">
        <v>13.4</v>
      </c>
      <c r="Y274" s="66">
        <v>12.4</v>
      </c>
      <c r="Z274" s="66">
        <v>13.2</v>
      </c>
      <c r="AA274" s="66">
        <v>14</v>
      </c>
      <c r="AB274" s="66">
        <v>11</v>
      </c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18</v>
      </c>
      <c r="AQ274" s="68">
        <f t="shared" si="22"/>
        <v>12.155555555555557</v>
      </c>
      <c r="AR274" s="68">
        <f>IFERROR(VLOOKUP(A274,Climatologia_TMAX!A:U,9+$E$2,FALSE),"")</f>
        <v>11.30910159979682</v>
      </c>
      <c r="AS274" s="68">
        <f t="shared" si="23"/>
        <v>0.8464539557587365</v>
      </c>
      <c r="AT274" s="74">
        <f t="shared" si="24"/>
        <v>14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-2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>
        <v>27.8</v>
      </c>
      <c r="N277" s="66">
        <v>30.4</v>
      </c>
      <c r="O277" s="66">
        <v>32.799999999999997</v>
      </c>
      <c r="P277" s="66">
        <v>34.200000000000003</v>
      </c>
      <c r="Q277" s="66">
        <v>33.200000000000003</v>
      </c>
      <c r="R277" s="66">
        <v>32.799999999999997</v>
      </c>
      <c r="S277" s="66">
        <v>30.4</v>
      </c>
      <c r="T277" s="66">
        <v>31.8</v>
      </c>
      <c r="U277" s="66">
        <v>31.6</v>
      </c>
      <c r="V277" s="66">
        <v>27.6</v>
      </c>
      <c r="W277" s="66">
        <v>33.799999999999997</v>
      </c>
      <c r="X277" s="66">
        <v>32.4</v>
      </c>
      <c r="Y277" s="66">
        <v>34</v>
      </c>
      <c r="Z277" s="66">
        <v>33.799999999999997</v>
      </c>
      <c r="AA277" s="66">
        <v>33</v>
      </c>
      <c r="AB277" s="66">
        <v>31</v>
      </c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18</v>
      </c>
      <c r="AQ277" s="68">
        <f t="shared" si="22"/>
        <v>31.855555555555561</v>
      </c>
      <c r="AR277" s="68">
        <f>IFERROR(VLOOKUP(A277,Climatologia_TMAX!A:U,9+$E$2,FALSE),"")</f>
        <v>30.558898924731189</v>
      </c>
      <c r="AS277" s="68">
        <f t="shared" si="23"/>
        <v>1.2966566308243728</v>
      </c>
      <c r="AT277" s="74">
        <f t="shared" si="24"/>
        <v>34.200000000000003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-1.5999999999999943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>
        <v>21.2</v>
      </c>
      <c r="N278" s="66">
        <v>22.2</v>
      </c>
      <c r="O278" s="66">
        <v>23.5</v>
      </c>
      <c r="P278" s="66">
        <v>22</v>
      </c>
      <c r="Q278" s="66">
        <v>20.8</v>
      </c>
      <c r="R278" s="66"/>
      <c r="S278" s="66">
        <v>21</v>
      </c>
      <c r="T278" s="66">
        <v>20</v>
      </c>
      <c r="U278" s="66">
        <v>21</v>
      </c>
      <c r="V278" s="66">
        <v>18.600000000000001</v>
      </c>
      <c r="W278" s="66">
        <v>19.399999999999999</v>
      </c>
      <c r="X278" s="66">
        <v>19.8</v>
      </c>
      <c r="Y278" s="66">
        <v>20.2</v>
      </c>
      <c r="Z278" s="66">
        <v>22.4</v>
      </c>
      <c r="AA278" s="66">
        <v>22</v>
      </c>
      <c r="AB278" s="66">
        <v>21.4</v>
      </c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17</v>
      </c>
      <c r="AQ278" s="68">
        <f t="shared" si="22"/>
        <v>21.052941176470586</v>
      </c>
      <c r="AR278" s="68">
        <f>IFERROR(VLOOKUP(A278,Climatologia_TMAX!A:U,9+$E$2,FALSE),"")</f>
        <v>19.979224744457721</v>
      </c>
      <c r="AS278" s="68">
        <f t="shared" si="23"/>
        <v>1.0737164320128656</v>
      </c>
      <c r="AT278" s="74">
        <f t="shared" si="24"/>
        <v>23.5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0.10000000000000142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>
        <v>27.2</v>
      </c>
      <c r="N279" s="66">
        <v>27.8</v>
      </c>
      <c r="O279" s="66">
        <v>31.8</v>
      </c>
      <c r="P279" s="66">
        <v>33.4</v>
      </c>
      <c r="Q279" s="66">
        <v>31.4</v>
      </c>
      <c r="R279" s="66">
        <v>31.8</v>
      </c>
      <c r="S279" s="66">
        <v>29.2</v>
      </c>
      <c r="T279" s="66">
        <v>31.8</v>
      </c>
      <c r="U279" s="66">
        <v>32.799999999999997</v>
      </c>
      <c r="V279" s="66">
        <v>28.8</v>
      </c>
      <c r="W279" s="66">
        <v>31.6</v>
      </c>
      <c r="X279" s="66">
        <v>30.8</v>
      </c>
      <c r="Y279" s="66">
        <v>32.799999999999997</v>
      </c>
      <c r="Z279" s="66">
        <v>33.200000000000003</v>
      </c>
      <c r="AA279" s="66">
        <v>32.6</v>
      </c>
      <c r="AB279" s="66">
        <v>29.4</v>
      </c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18</v>
      </c>
      <c r="AQ279" s="68">
        <f t="shared" si="22"/>
        <v>31.077777777777783</v>
      </c>
      <c r="AR279" s="68">
        <f>IFERROR(VLOOKUP(A279,Climatologia_TMAX!A:U,9+$E$2,FALSE),"")</f>
        <v>29.080095604803059</v>
      </c>
      <c r="AS279" s="68">
        <f t="shared" si="23"/>
        <v>1.9976821729747236</v>
      </c>
      <c r="AT279" s="74">
        <f t="shared" si="24"/>
        <v>33.4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-1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>
        <v>19.2</v>
      </c>
      <c r="N280" s="66">
        <v>18.8</v>
      </c>
      <c r="O280" s="66">
        <v>21.4</v>
      </c>
      <c r="P280" s="66">
        <v>23.4</v>
      </c>
      <c r="Q280" s="66">
        <v>21.6</v>
      </c>
      <c r="R280" s="66">
        <v>21.2</v>
      </c>
      <c r="S280" s="66">
        <v>20.2</v>
      </c>
      <c r="T280" s="66">
        <v>22</v>
      </c>
      <c r="U280" s="66">
        <v>21.8</v>
      </c>
      <c r="V280" s="66">
        <v>20.399999999999999</v>
      </c>
      <c r="W280" s="66">
        <v>21</v>
      </c>
      <c r="X280" s="66">
        <v>20.2</v>
      </c>
      <c r="Y280" s="66">
        <v>22.2</v>
      </c>
      <c r="Z280" s="66">
        <v>22.4</v>
      </c>
      <c r="AA280" s="66">
        <v>22.2</v>
      </c>
      <c r="AB280" s="66">
        <v>19.399999999999999</v>
      </c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18</v>
      </c>
      <c r="AQ280" s="68">
        <f t="shared" si="22"/>
        <v>21.111111111111107</v>
      </c>
      <c r="AR280" s="68">
        <f>IFERROR(VLOOKUP(A280,Climatologia_TMAX!A:U,9+$E$2,FALSE),"")</f>
        <v>19.480961768219831</v>
      </c>
      <c r="AS280" s="68">
        <f t="shared" si="23"/>
        <v>1.6301493428912757</v>
      </c>
      <c r="AT280" s="74">
        <f t="shared" si="24"/>
        <v>23.4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>
        <v>14.2</v>
      </c>
      <c r="N281" s="66">
        <v>14.6</v>
      </c>
      <c r="O281" s="66">
        <v>15</v>
      </c>
      <c r="P281" s="66">
        <v>15.6</v>
      </c>
      <c r="Q281" s="66">
        <v>13.4</v>
      </c>
      <c r="R281" s="66">
        <v>14</v>
      </c>
      <c r="S281" s="66">
        <v>14.6</v>
      </c>
      <c r="T281" s="66">
        <v>16.8</v>
      </c>
      <c r="U281" s="66">
        <v>17</v>
      </c>
      <c r="V281" s="66">
        <v>13.2</v>
      </c>
      <c r="W281" s="66">
        <v>15</v>
      </c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13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17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-2.3999999999999986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18.600000000000001</v>
      </c>
      <c r="N282" s="66">
        <v>19.600000000000001</v>
      </c>
      <c r="O282" s="66">
        <v>19.399999999999999</v>
      </c>
      <c r="P282" s="66">
        <v>19.600000000000001</v>
      </c>
      <c r="Q282" s="66">
        <v>19.600000000000001</v>
      </c>
      <c r="R282" s="66">
        <v>18</v>
      </c>
      <c r="S282" s="66">
        <v>18</v>
      </c>
      <c r="T282" s="66">
        <v>18</v>
      </c>
      <c r="U282" s="66">
        <v>19.2</v>
      </c>
      <c r="V282" s="66">
        <v>18.8</v>
      </c>
      <c r="W282" s="66">
        <v>19</v>
      </c>
      <c r="X282" s="66">
        <v>19.399999999999999</v>
      </c>
      <c r="Y282" s="66">
        <v>19.2</v>
      </c>
      <c r="Z282" s="66">
        <v>19.399999999999999</v>
      </c>
      <c r="AA282" s="66">
        <v>19.2</v>
      </c>
      <c r="AB282" s="66">
        <v>19.2</v>
      </c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18</v>
      </c>
      <c r="AQ282" s="68">
        <f t="shared" si="22"/>
        <v>18.93333333333333</v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19.600000000000001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-2.1999999999999993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>
        <v>17.399999999999999</v>
      </c>
      <c r="N283" s="66">
        <v>19.399999999999999</v>
      </c>
      <c r="O283" s="66">
        <v>21.6</v>
      </c>
      <c r="P283" s="66">
        <v>21.4</v>
      </c>
      <c r="Q283" s="66">
        <v>21.2</v>
      </c>
      <c r="R283" s="66">
        <v>21.6</v>
      </c>
      <c r="S283" s="66">
        <v>19</v>
      </c>
      <c r="T283" s="66">
        <v>19.399999999999999</v>
      </c>
      <c r="U283" s="66">
        <v>20</v>
      </c>
      <c r="V283" s="66">
        <v>17.600000000000001</v>
      </c>
      <c r="W283" s="66">
        <v>19.2</v>
      </c>
      <c r="X283" s="66">
        <v>20.2</v>
      </c>
      <c r="Y283" s="66">
        <v>18.600000000000001</v>
      </c>
      <c r="Z283" s="66">
        <v>19.399999999999999</v>
      </c>
      <c r="AA283" s="66">
        <v>19.2</v>
      </c>
      <c r="AB283" s="66">
        <v>20.6</v>
      </c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18</v>
      </c>
      <c r="AQ283" s="68">
        <f t="shared" si="22"/>
        <v>19.7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>
        <v>19.399999999999999</v>
      </c>
      <c r="N284" s="66">
        <v>20</v>
      </c>
      <c r="O284" s="66">
        <v>21</v>
      </c>
      <c r="P284" s="66">
        <v>22.4</v>
      </c>
      <c r="Q284" s="66">
        <v>22</v>
      </c>
      <c r="R284" s="66">
        <v>21</v>
      </c>
      <c r="S284" s="66">
        <v>19.600000000000001</v>
      </c>
      <c r="T284" s="66">
        <v>20</v>
      </c>
      <c r="U284" s="109">
        <v>19.399999999999999</v>
      </c>
      <c r="V284" s="66">
        <v>18.399999999999999</v>
      </c>
      <c r="W284" s="66">
        <v>19.8</v>
      </c>
      <c r="X284" s="66">
        <v>21</v>
      </c>
      <c r="Y284" s="66">
        <v>21</v>
      </c>
      <c r="Z284" s="66">
        <v>22</v>
      </c>
      <c r="AA284" s="66">
        <v>22.6</v>
      </c>
      <c r="AB284" s="66">
        <v>21.8</v>
      </c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18</v>
      </c>
      <c r="AQ284" s="68">
        <f t="shared" si="22"/>
        <v>20.633333333333336</v>
      </c>
      <c r="AR284" s="68">
        <f>IFERROR(VLOOKUP(A284,Climatologia_TMAX!A:U,9+$E$2,FALSE),"")</f>
        <v>19.031953400468261</v>
      </c>
      <c r="AS284" s="68">
        <f t="shared" si="23"/>
        <v>1.6013799328650755</v>
      </c>
      <c r="AT284" s="74">
        <f t="shared" si="24"/>
        <v>22.6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-2.3999999999999986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>
        <v>18</v>
      </c>
      <c r="N286" s="66">
        <v>17.8</v>
      </c>
      <c r="O286" s="66">
        <v>18.600000000000001</v>
      </c>
      <c r="P286" s="66">
        <v>20.2</v>
      </c>
      <c r="Q286" s="66">
        <v>22.4</v>
      </c>
      <c r="R286" s="66">
        <v>20.2</v>
      </c>
      <c r="S286" s="66">
        <v>18.399999999999999</v>
      </c>
      <c r="T286" s="66">
        <v>18.600000000000001</v>
      </c>
      <c r="U286" s="66">
        <v>17.399999999999999</v>
      </c>
      <c r="V286" s="66">
        <v>18</v>
      </c>
      <c r="W286" s="66">
        <v>18.399999999999999</v>
      </c>
      <c r="X286" s="66">
        <v>18.2</v>
      </c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14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22.4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-1.6000000000000014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538</v>
      </c>
      <c r="B1" s="116"/>
      <c r="C1" s="116"/>
      <c r="D1" s="116"/>
      <c r="E1" s="116"/>
      <c r="F1" s="116"/>
      <c r="G1" s="116"/>
      <c r="H1" s="116"/>
      <c r="I1" s="117"/>
      <c r="J1" s="118" t="s">
        <v>539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540</v>
      </c>
      <c r="X1" s="117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867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868</v>
      </c>
      <c r="H1" s="122" t="s">
        <v>869</v>
      </c>
      <c r="I1" s="123"/>
      <c r="J1" s="124"/>
      <c r="K1" s="122" t="s">
        <v>870</v>
      </c>
      <c r="L1" s="123"/>
      <c r="M1" s="124"/>
      <c r="N1" s="122" t="s">
        <v>871</v>
      </c>
      <c r="O1" s="123"/>
      <c r="P1" s="124"/>
      <c r="Q1" s="122" t="s">
        <v>872</v>
      </c>
      <c r="R1" s="123"/>
      <c r="S1" s="124"/>
      <c r="T1" s="122" t="s">
        <v>873</v>
      </c>
      <c r="U1" s="123"/>
      <c r="V1" s="124"/>
      <c r="W1" s="122" t="s">
        <v>874</v>
      </c>
      <c r="X1" s="123"/>
      <c r="Y1" s="124"/>
      <c r="Z1" s="122" t="s">
        <v>875</v>
      </c>
      <c r="AA1" s="123"/>
      <c r="AB1" s="124"/>
      <c r="AC1" s="122" t="s">
        <v>876</v>
      </c>
      <c r="AD1" s="123"/>
      <c r="AE1" s="124"/>
      <c r="AF1" s="122" t="s">
        <v>877</v>
      </c>
      <c r="AG1" s="123"/>
      <c r="AH1" s="124"/>
      <c r="AI1" s="122" t="s">
        <v>878</v>
      </c>
      <c r="AJ1" s="123"/>
      <c r="AK1" s="124"/>
      <c r="AL1" s="122" t="s">
        <v>879</v>
      </c>
      <c r="AM1" s="123"/>
      <c r="AN1" s="124"/>
      <c r="AO1" s="122" t="s">
        <v>880</v>
      </c>
      <c r="AP1" s="123"/>
      <c r="AQ1" s="124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86" width="11.42578125" style="42" customWidth="1"/>
    <col min="87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2026-07-19T15:10:15Z</dcterms:modified>
</cp:coreProperties>
</file>