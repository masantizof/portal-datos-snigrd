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3421B9B2-1B39-42AA-ABE7-7BC49FBC53DF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Temperatura!$AC$1:$AC$208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3" i="1" l="1"/>
  <c r="AS17" i="1"/>
  <c r="AS93" i="1"/>
  <c r="AS121" i="1"/>
  <c r="AS125" i="1"/>
  <c r="AS173" i="1"/>
  <c r="AS185" i="1"/>
  <c r="AS193" i="1"/>
  <c r="AS201" i="1"/>
  <c r="AW22" i="1"/>
  <c r="AS114" i="1"/>
  <c r="AS49" i="1"/>
  <c r="AS61" i="1"/>
  <c r="AS58" i="1"/>
  <c r="AS70" i="1"/>
  <c r="AS51" i="1"/>
  <c r="AS183" i="1"/>
  <c r="AW5" i="1"/>
  <c r="AS104" i="1"/>
  <c r="AS7" i="1"/>
  <c r="AW28" i="1"/>
  <c r="AS102" i="1"/>
  <c r="AS76" i="1"/>
  <c r="AS154" i="1"/>
  <c r="AS158" i="1"/>
  <c r="AS162" i="1"/>
  <c r="AS166" i="1"/>
  <c r="AW115" i="1"/>
  <c r="AS147" i="1"/>
  <c r="AS167" i="1"/>
  <c r="AS35" i="1"/>
  <c r="AW171" i="1"/>
  <c r="AS168" i="1"/>
  <c r="AW17" i="1"/>
  <c r="AS118" i="1"/>
  <c r="AS59" i="1"/>
  <c r="AS134" i="1"/>
  <c r="AS146" i="1"/>
  <c r="AW25" i="1"/>
  <c r="AW29" i="1"/>
  <c r="AS33" i="1"/>
  <c r="AS108" i="1"/>
  <c r="AS143" i="1"/>
  <c r="AS15" i="1"/>
  <c r="AS90" i="1"/>
  <c r="AS112" i="1"/>
  <c r="AW135" i="1"/>
  <c r="AS182" i="1"/>
  <c r="AS194" i="1"/>
  <c r="AS202" i="1"/>
  <c r="AS94" i="1"/>
  <c r="AS98" i="1"/>
  <c r="AW155" i="1"/>
  <c r="AW34" i="1"/>
  <c r="AW73" i="1"/>
  <c r="AS88" i="1"/>
  <c r="AS176" i="1"/>
  <c r="AS180" i="1"/>
  <c r="AS54" i="1"/>
  <c r="AW136" i="1"/>
  <c r="AS144" i="1"/>
  <c r="AS159" i="1"/>
  <c r="AS163" i="1"/>
  <c r="AW177" i="1"/>
  <c r="AS78" i="1"/>
  <c r="AS103" i="1"/>
  <c r="AS174" i="1"/>
  <c r="AW26" i="1"/>
  <c r="AS44" i="1"/>
  <c r="AS86" i="1"/>
  <c r="AS100" i="1"/>
  <c r="AS137" i="1"/>
  <c r="AS141" i="1"/>
  <c r="AS156" i="1"/>
  <c r="AW197" i="1"/>
  <c r="AW201" i="1"/>
  <c r="AS83" i="1"/>
  <c r="AS111" i="1"/>
  <c r="AS130" i="1"/>
  <c r="AS11" i="1"/>
  <c r="AS24" i="1"/>
  <c r="AS31" i="1"/>
  <c r="AS101" i="1"/>
  <c r="AS142" i="1"/>
  <c r="AS153" i="1"/>
  <c r="AS172" i="1"/>
  <c r="AS206" i="1"/>
  <c r="AW16" i="1"/>
  <c r="AW179" i="1"/>
  <c r="AS187" i="1"/>
  <c r="AW36" i="1"/>
  <c r="AW14" i="1"/>
  <c r="AW27" i="1"/>
  <c r="AW21" i="1"/>
  <c r="AS56" i="1"/>
  <c r="AS66" i="1"/>
  <c r="AS80" i="1"/>
  <c r="AW10" i="1"/>
  <c r="AW30" i="1"/>
  <c r="AS119" i="1"/>
  <c r="AS123" i="1"/>
  <c r="AW161" i="1"/>
  <c r="AS169" i="1"/>
  <c r="AW23" i="1"/>
  <c r="AS28" i="1"/>
  <c r="AW176" i="1"/>
  <c r="AW191" i="1"/>
  <c r="AW195" i="1"/>
  <c r="AS207" i="1"/>
  <c r="AS39" i="1"/>
  <c r="AS46" i="1"/>
  <c r="AS84" i="1"/>
  <c r="AS120" i="1"/>
  <c r="AS124" i="1"/>
  <c r="AW188" i="1"/>
  <c r="AS192" i="1"/>
  <c r="AW12" i="1"/>
  <c r="AS9" i="1"/>
  <c r="AS29" i="1"/>
  <c r="AW32" i="1"/>
  <c r="AS92" i="1"/>
  <c r="AS113" i="1"/>
  <c r="AS136" i="1"/>
  <c r="AS170" i="1"/>
  <c r="AS177" i="1"/>
  <c r="AS181" i="1"/>
  <c r="AS200" i="1"/>
  <c r="AW18" i="1"/>
  <c r="AW24" i="1"/>
  <c r="AS10" i="1"/>
  <c r="AW132" i="1"/>
  <c r="AS30" i="1"/>
  <c r="AS82" i="1"/>
  <c r="AW7" i="1"/>
  <c r="AW33" i="1"/>
  <c r="AS36" i="1"/>
  <c r="AS95" i="1"/>
  <c r="AW121" i="1"/>
  <c r="AS129" i="1"/>
  <c r="AS140" i="1"/>
  <c r="AS205" i="1"/>
  <c r="AS32" i="1"/>
  <c r="AW6" i="1"/>
  <c r="AW9" i="1"/>
  <c r="AS12" i="1"/>
  <c r="AP2" i="1"/>
  <c r="AW13" i="1"/>
  <c r="AS16" i="1"/>
  <c r="AS42" i="1"/>
  <c r="AS48" i="1"/>
  <c r="AS22" i="1"/>
  <c r="AS25" i="1"/>
  <c r="AS60" i="1"/>
  <c r="AS20" i="1"/>
  <c r="AS26" i="1"/>
  <c r="AS6" i="1"/>
  <c r="AW20" i="1"/>
  <c r="AS5" i="1"/>
  <c r="AW19" i="1"/>
  <c r="AS105" i="1"/>
  <c r="AS122" i="1"/>
  <c r="AS126" i="1"/>
  <c r="AS133" i="1"/>
  <c r="AS148" i="1"/>
  <c r="AW151" i="1"/>
  <c r="AS155" i="1"/>
  <c r="AS184" i="1"/>
  <c r="AS198" i="1"/>
  <c r="AW83" i="1"/>
  <c r="AW148" i="1"/>
  <c r="AW31" i="1"/>
  <c r="AS34" i="1"/>
  <c r="AS37" i="1"/>
  <c r="AS96" i="1"/>
  <c r="AS115" i="1"/>
  <c r="AS145" i="1"/>
  <c r="AS152" i="1"/>
  <c r="AW159" i="1"/>
  <c r="AS8" i="1"/>
  <c r="AW8" i="1"/>
  <c r="AW11" i="1"/>
  <c r="AS14" i="1"/>
  <c r="AS23" i="1"/>
  <c r="AW37" i="1"/>
  <c r="AS40" i="1"/>
  <c r="AS52" i="1"/>
  <c r="AS64" i="1"/>
  <c r="AW152" i="1"/>
  <c r="AW206" i="1"/>
  <c r="AS71" i="1"/>
  <c r="AS106" i="1"/>
  <c r="AS149" i="1"/>
  <c r="AS160" i="1"/>
  <c r="AW181" i="1"/>
  <c r="AS199" i="1"/>
  <c r="AW87" i="1"/>
  <c r="AW109" i="1"/>
  <c r="AW119" i="1"/>
  <c r="AS138" i="1"/>
  <c r="AW156" i="1"/>
  <c r="AS164" i="1"/>
  <c r="AW192" i="1"/>
  <c r="AS203" i="1"/>
  <c r="AS74" i="1"/>
  <c r="AS81" i="1"/>
  <c r="AS116" i="1"/>
  <c r="AS189" i="1"/>
  <c r="AS196" i="1"/>
  <c r="AW199" i="1"/>
  <c r="AS68" i="1"/>
  <c r="AS178" i="1"/>
  <c r="AW116" i="1"/>
  <c r="AW196" i="1"/>
  <c r="AW35" i="1"/>
  <c r="AS38" i="1"/>
  <c r="AS91" i="1"/>
  <c r="AS107" i="1"/>
  <c r="AS128" i="1"/>
  <c r="AW131" i="1"/>
  <c r="AS135" i="1"/>
  <c r="AS157" i="1"/>
  <c r="AS161" i="1"/>
  <c r="AW168" i="1"/>
  <c r="AS186" i="1"/>
  <c r="AW15" i="1"/>
  <c r="AS18" i="1"/>
  <c r="AS21" i="1"/>
  <c r="AS50" i="1"/>
  <c r="AS62" i="1"/>
  <c r="AS75" i="1"/>
  <c r="AS110" i="1"/>
  <c r="AS139" i="1"/>
  <c r="AS150" i="1"/>
  <c r="AS165" i="1"/>
  <c r="AS204" i="1"/>
  <c r="AW128" i="1"/>
  <c r="AW175" i="1"/>
  <c r="AS72" i="1"/>
  <c r="AS85" i="1"/>
  <c r="AS117" i="1"/>
  <c r="AS132" i="1"/>
  <c r="AW139" i="1"/>
  <c r="AW172" i="1"/>
  <c r="AS179" i="1"/>
  <c r="AS190" i="1"/>
  <c r="AS197" i="1"/>
  <c r="AW41" i="1"/>
  <c r="AW71" i="1"/>
  <c r="AW51" i="1"/>
  <c r="AW61" i="1"/>
  <c r="AW81" i="1"/>
  <c r="AW91" i="1"/>
  <c r="AW101" i="1"/>
  <c r="AW111" i="1"/>
  <c r="AW46" i="1"/>
  <c r="AW56" i="1"/>
  <c r="AW66" i="1"/>
  <c r="AW76" i="1"/>
  <c r="AW86" i="1"/>
  <c r="AW96" i="1"/>
  <c r="AW106" i="1"/>
  <c r="AW122" i="1"/>
  <c r="AW142" i="1"/>
  <c r="AW162" i="1"/>
  <c r="AW182" i="1"/>
  <c r="AW202" i="1"/>
  <c r="AS69" i="1"/>
  <c r="AS79" i="1"/>
  <c r="AS89" i="1"/>
  <c r="AS99" i="1"/>
  <c r="AS109" i="1"/>
  <c r="AW125" i="1"/>
  <c r="AS131" i="1"/>
  <c r="AW145" i="1"/>
  <c r="AS151" i="1"/>
  <c r="AW165" i="1"/>
  <c r="AS171" i="1"/>
  <c r="AW185" i="1"/>
  <c r="AS191" i="1"/>
  <c r="AW205" i="1"/>
  <c r="AW89" i="1"/>
  <c r="AW99" i="1"/>
  <c r="AW44" i="1"/>
  <c r="AW54" i="1"/>
  <c r="AW64" i="1"/>
  <c r="AW74" i="1"/>
  <c r="AW84" i="1"/>
  <c r="AW94" i="1"/>
  <c r="AW104" i="1"/>
  <c r="AW114" i="1"/>
  <c r="AW134" i="1"/>
  <c r="AW154" i="1"/>
  <c r="AW174" i="1"/>
  <c r="AW194" i="1"/>
  <c r="AW43" i="1"/>
  <c r="AW49" i="1"/>
  <c r="AW59" i="1"/>
  <c r="AW69" i="1"/>
  <c r="AW79" i="1"/>
  <c r="AS47" i="1"/>
  <c r="AS57" i="1"/>
  <c r="AS67" i="1"/>
  <c r="AS77" i="1"/>
  <c r="AS87" i="1"/>
  <c r="AS97" i="1"/>
  <c r="AW117" i="1"/>
  <c r="AW137" i="1"/>
  <c r="AW157" i="1"/>
  <c r="AW120" i="1"/>
  <c r="AW140" i="1"/>
  <c r="AW160" i="1"/>
  <c r="AW180" i="1"/>
  <c r="AW200" i="1"/>
  <c r="AW97" i="1"/>
  <c r="AW107" i="1"/>
  <c r="AW123" i="1"/>
  <c r="AW143" i="1"/>
  <c r="AW163" i="1"/>
  <c r="AW183" i="1"/>
  <c r="AW203" i="1"/>
  <c r="AW42" i="1"/>
  <c r="AW52" i="1"/>
  <c r="AW62" i="1"/>
  <c r="AW72" i="1"/>
  <c r="AW82" i="1"/>
  <c r="AW92" i="1"/>
  <c r="AW102" i="1"/>
  <c r="AW112" i="1"/>
  <c r="AW126" i="1"/>
  <c r="AW146" i="1"/>
  <c r="AW166" i="1"/>
  <c r="AW186" i="1"/>
  <c r="AS45" i="1"/>
  <c r="AS55" i="1"/>
  <c r="AS65" i="1"/>
  <c r="AW129" i="1"/>
  <c r="AW149" i="1"/>
  <c r="AW169" i="1"/>
  <c r="AS175" i="1"/>
  <c r="AW189" i="1"/>
  <c r="AS195" i="1"/>
  <c r="AS41" i="1"/>
  <c r="AW39" i="1"/>
  <c r="AW47" i="1"/>
  <c r="AW57" i="1"/>
  <c r="AW67" i="1"/>
  <c r="AW77" i="1"/>
  <c r="AW55" i="1"/>
  <c r="AW45" i="1"/>
  <c r="AW65" i="1"/>
  <c r="AW75" i="1"/>
  <c r="AW85" i="1"/>
  <c r="AW95" i="1"/>
  <c r="AW105" i="1"/>
  <c r="AW40" i="1"/>
  <c r="AW50" i="1"/>
  <c r="AW60" i="1"/>
  <c r="AW70" i="1"/>
  <c r="AW80" i="1"/>
  <c r="AW90" i="1"/>
  <c r="AW100" i="1"/>
  <c r="AW110" i="1"/>
  <c r="AW118" i="1"/>
  <c r="AW138" i="1"/>
  <c r="AW158" i="1"/>
  <c r="AW178" i="1"/>
  <c r="AW198" i="1"/>
  <c r="AS43" i="1"/>
  <c r="AS53" i="1"/>
  <c r="AS63" i="1"/>
  <c r="AS73" i="1"/>
  <c r="AS127" i="1"/>
  <c r="AW141" i="1"/>
  <c r="AW124" i="1"/>
  <c r="AW144" i="1"/>
  <c r="AW164" i="1"/>
  <c r="AW184" i="1"/>
  <c r="AW204" i="1"/>
  <c r="AW93" i="1"/>
  <c r="AW103" i="1"/>
  <c r="AW113" i="1"/>
  <c r="AW127" i="1"/>
  <c r="AW147" i="1"/>
  <c r="AW167" i="1"/>
  <c r="AW187" i="1"/>
  <c r="AW207" i="1"/>
  <c r="AW53" i="1"/>
  <c r="AW63" i="1"/>
  <c r="AW38" i="1"/>
  <c r="AW48" i="1"/>
  <c r="AW58" i="1"/>
  <c r="AW68" i="1"/>
  <c r="AW78" i="1"/>
  <c r="AW88" i="1"/>
  <c r="AW98" i="1"/>
  <c r="AW108" i="1"/>
  <c r="AW130" i="1"/>
  <c r="AW150" i="1"/>
  <c r="AW170" i="1"/>
  <c r="AW190" i="1"/>
  <c r="AW133" i="1"/>
  <c r="AW153" i="1"/>
  <c r="AW173" i="1"/>
  <c r="AW193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<sst xmlns="http://schemas.openxmlformats.org/spreadsheetml/2006/main" count="3540" uniqueCount="1272">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</sst>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3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topLeftCell="L1" zoomScale="80" zoomScaleNormal="80" workbookViewId="0">
      <selection activeCell="AB1" sqref="AB1:AC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24" width="32.42578125" style="74" customWidth="1"/>
    <col min="125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>
        <v>27.3</v>
      </c>
      <c r="AB5" s="51">
        <v>26.8</v>
      </c>
      <c r="AC5" s="51">
        <v>26.6</v>
      </c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19</v>
      </c>
      <c r="AQ5" s="89">
        <f t="shared" ref="AQ5:AQ68" si="2">IF(AP5&gt;14,AVERAGE(K5:AO5),"")</f>
        <v>26.61578947368421</v>
      </c>
      <c r="AR5" s="89">
        <f>IFERROR(VLOOKUP(A5,Climatologia!A:U,9+$E$2,FALSE),"")</f>
        <v>26.312994914330961</v>
      </c>
      <c r="AS5" s="89">
        <f t="shared" ref="AS5:AS68" si="3">IF(OR(AQ5="",AR5=""),"",IFERROR(AQ5-AR5,""))</f>
        <v>0.30279455935324862</v>
      </c>
      <c r="AT5" s="90">
        <f t="shared" ref="AT5:AT68" si="4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5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>
        <v>27.5</v>
      </c>
      <c r="AB6" s="51">
        <v>27.2</v>
      </c>
      <c r="AC6" s="51">
        <v>27.8</v>
      </c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19</v>
      </c>
      <c r="AQ6" s="89">
        <f t="shared" si="2"/>
        <v>26.831578947368417</v>
      </c>
      <c r="AR6" s="89">
        <f>IFERROR(VLOOKUP(A6,Climatologia!A:U,9+$E$2,FALSE),"")</f>
        <v>26.40894902444402</v>
      </c>
      <c r="AS6" s="89">
        <f t="shared" si="3"/>
        <v>0.42262992292439705</v>
      </c>
      <c r="AT6" s="90">
        <f t="shared" si="4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5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>
        <v>27.6</v>
      </c>
      <c r="AB7" s="51">
        <v>27.6</v>
      </c>
      <c r="AC7" s="51">
        <v>28.3</v>
      </c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19</v>
      </c>
      <c r="AQ7" s="89">
        <f t="shared" si="2"/>
        <v>27.515789473684215</v>
      </c>
      <c r="AR7" s="89">
        <f>IFERROR(VLOOKUP(A7,Climatologia!A:U,9+$E$2,FALSE),"")</f>
        <v>24.967211716722289</v>
      </c>
      <c r="AS7" s="89">
        <f t="shared" si="3"/>
        <v>2.5485777569619259</v>
      </c>
      <c r="AT7" s="90">
        <f t="shared" si="4"/>
        <v>26.3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5"/>
        <v>5.6999999999999993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>
        <v>26.2</v>
      </c>
      <c r="AB8" s="51">
        <v>27</v>
      </c>
      <c r="AC8" s="51">
        <v>26.8</v>
      </c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19</v>
      </c>
      <c r="AQ8" s="89">
        <f t="shared" si="2"/>
        <v>26.368421052631579</v>
      </c>
      <c r="AR8" s="89">
        <f>IFERROR(VLOOKUP(A8,Climatologia!A:U,9+$E$2,FALSE),"")</f>
        <v>25.731714029697901</v>
      </c>
      <c r="AS8" s="89">
        <f t="shared" si="3"/>
        <v>0.63670702293367754</v>
      </c>
      <c r="AT8" s="90">
        <f t="shared" si="4"/>
        <v>25.6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5"/>
        <v>5.2000000000000028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>
        <v>26.5</v>
      </c>
      <c r="AB9" s="51">
        <v>26.5</v>
      </c>
      <c r="AC9" s="51">
        <v>25.7</v>
      </c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19</v>
      </c>
      <c r="AQ9" s="89">
        <f t="shared" si="2"/>
        <v>26.2</v>
      </c>
      <c r="AR9" s="89">
        <f>IFERROR(VLOOKUP(A9,Climatologia!A:U,9+$E$2,FALSE),"")</f>
        <v>24.84616941928422</v>
      </c>
      <c r="AS9" s="89">
        <f t="shared" si="3"/>
        <v>1.3538305807157798</v>
      </c>
      <c r="AT9" s="90">
        <f t="shared" si="4"/>
        <v>25.5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5"/>
        <v>4.5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>
        <v>27.5</v>
      </c>
      <c r="AB10" s="51">
        <v>27.7</v>
      </c>
      <c r="AC10" s="51">
        <v>27.7</v>
      </c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19</v>
      </c>
      <c r="AQ10" s="89">
        <f t="shared" si="2"/>
        <v>27.778947368421051</v>
      </c>
      <c r="AR10" s="89">
        <f>IFERROR(VLOOKUP(A10,Climatologia!A:U,9+$E$2,FALSE),"")</f>
        <v>25.91025682931615</v>
      </c>
      <c r="AS10" s="89">
        <f t="shared" si="3"/>
        <v>1.8686905391049002</v>
      </c>
      <c r="AT10" s="90">
        <f t="shared" si="4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5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>
        <v>27.4</v>
      </c>
      <c r="AB11" s="51">
        <v>27.2</v>
      </c>
      <c r="AC11" s="51">
        <v>28</v>
      </c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19</v>
      </c>
      <c r="AQ11" s="89">
        <f t="shared" si="2"/>
        <v>27.384210526315787</v>
      </c>
      <c r="AR11" s="89">
        <f>IFERROR(VLOOKUP(A11,Climatologia!A:U,9+$E$2,FALSE),"")</f>
        <v>24.65002483348788</v>
      </c>
      <c r="AS11" s="89">
        <f t="shared" si="3"/>
        <v>2.7341856928279071</v>
      </c>
      <c r="AT11" s="90">
        <f t="shared" si="4"/>
        <v>26.3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5"/>
        <v>5.5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>
        <v>26.9</v>
      </c>
      <c r="AB12" s="51">
        <v>27.1</v>
      </c>
      <c r="AC12" s="51">
        <v>22.9</v>
      </c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19</v>
      </c>
      <c r="AQ12" s="89">
        <f t="shared" si="2"/>
        <v>25.626315789473683</v>
      </c>
      <c r="AR12" s="89">
        <f>IFERROR(VLOOKUP(A12,Climatologia!A:U,9+$E$2,FALSE),"")</f>
        <v>23.380527878729861</v>
      </c>
      <c r="AS12" s="89">
        <f t="shared" si="3"/>
        <v>2.2457879107438217</v>
      </c>
      <c r="AT12" s="90">
        <f t="shared" si="4"/>
        <v>22.9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5"/>
        <v>3.0999999999999979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>
        <v>27.2</v>
      </c>
      <c r="AB13" s="51">
        <v>24.8</v>
      </c>
      <c r="AC13" s="51">
        <v>25</v>
      </c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19</v>
      </c>
      <c r="AQ13" s="89">
        <f t="shared" si="2"/>
        <v>24.947368421052634</v>
      </c>
      <c r="AR13" s="89">
        <f>IFERROR(VLOOKUP(A13,Climatologia!A:U,9+$E$2,FALSE),"")</f>
        <v>23.41727263096562</v>
      </c>
      <c r="AS13" s="89">
        <f t="shared" si="3"/>
        <v>1.5300957900870138</v>
      </c>
      <c r="AT13" s="90">
        <f t="shared" si="4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5"/>
        <v>3.2999999999999972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>
        <v>21.4</v>
      </c>
      <c r="AB14" s="51">
        <v>20.9</v>
      </c>
      <c r="AC14" s="51">
        <v>20</v>
      </c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19</v>
      </c>
      <c r="AQ14" s="89">
        <f t="shared" si="2"/>
        <v>20.084210526315786</v>
      </c>
      <c r="AR14" s="89">
        <f>IFERROR(VLOOKUP(A14,Climatologia!A:U,9+$E$2,FALSE),"")</f>
        <v>18.607906136078171</v>
      </c>
      <c r="AS14" s="89">
        <f t="shared" si="3"/>
        <v>1.4763043902376154</v>
      </c>
      <c r="AT14" s="90">
        <f t="shared" si="4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5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>
        <v>24.4</v>
      </c>
      <c r="AB15" s="51">
        <v>25</v>
      </c>
      <c r="AC15" s="51">
        <v>22.8</v>
      </c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19</v>
      </c>
      <c r="AQ15" s="89">
        <f t="shared" si="2"/>
        <v>24.97894736842105</v>
      </c>
      <c r="AR15" s="89">
        <f>IFERROR(VLOOKUP(A15,Climatologia!A:U,9+$E$2,FALSE),"")</f>
        <v>23.779123470522801</v>
      </c>
      <c r="AS15" s="89">
        <f t="shared" si="3"/>
        <v>1.1998238978982485</v>
      </c>
      <c r="AT15" s="90">
        <f t="shared" si="4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5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>
        <v>25.6</v>
      </c>
      <c r="AB16" s="51">
        <v>23.2</v>
      </c>
      <c r="AC16" s="51">
        <v>24</v>
      </c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19</v>
      </c>
      <c r="AQ16" s="89">
        <f t="shared" si="2"/>
        <v>25.268421052631581</v>
      </c>
      <c r="AR16" s="89">
        <f>IFERROR(VLOOKUP(A16,Climatologia!A:U,9+$E$2,FALSE),"")</f>
        <v>23.317825682382139</v>
      </c>
      <c r="AS16" s="89">
        <f t="shared" si="3"/>
        <v>1.9505953702494416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>
        <v>17.2</v>
      </c>
      <c r="AB17" s="51">
        <v>19.7</v>
      </c>
      <c r="AC17" s="51">
        <v>20.6</v>
      </c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19</v>
      </c>
      <c r="AQ17" s="89">
        <f t="shared" si="2"/>
        <v>18.731578947368416</v>
      </c>
      <c r="AR17" s="89">
        <f>IFERROR(VLOOKUP(A17,Climatologia!A:U,9+$E$2,FALSE),"")</f>
        <v>17.48384501297738</v>
      </c>
      <c r="AS17" s="89">
        <f t="shared" si="3"/>
        <v>1.2477339343910359</v>
      </c>
      <c r="AT17" s="90">
        <f t="shared" si="4"/>
        <v>17.2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>
        <v>9.4</v>
      </c>
      <c r="AB18" s="51">
        <v>11.8</v>
      </c>
      <c r="AC18" s="51">
        <v>13.3</v>
      </c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19</v>
      </c>
      <c r="AQ18" s="89">
        <f t="shared" si="2"/>
        <v>11.678947368421055</v>
      </c>
      <c r="AR18" s="89">
        <f>IFERROR(VLOOKUP(A18,Climatologia!A:U,9+$E$2,FALSE),"")</f>
        <v>12.078935483870969</v>
      </c>
      <c r="AS18" s="89">
        <f t="shared" si="3"/>
        <v>-0.39998811544991497</v>
      </c>
      <c r="AT18" s="90">
        <f t="shared" si="4"/>
        <v>9.4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5"/>
        <v>3.8000000000000007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>
        <v>19</v>
      </c>
      <c r="AB19" s="51">
        <v>19.899999999999999</v>
      </c>
      <c r="AC19" s="51">
        <v>19.899999999999999</v>
      </c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19</v>
      </c>
      <c r="AQ19" s="89">
        <f t="shared" si="2"/>
        <v>19.189473684210526</v>
      </c>
      <c r="AR19" s="89">
        <f>IFERROR(VLOOKUP(A19,Climatologia!A:U,9+$E$2,FALSE),"")</f>
        <v>17.615136476426802</v>
      </c>
      <c r="AS19" s="89">
        <f t="shared" si="3"/>
        <v>1.5743372077837243</v>
      </c>
      <c r="AT19" s="90">
        <f t="shared" si="4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5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>
        <v>16.8</v>
      </c>
      <c r="AB20" s="51">
        <v>17.8</v>
      </c>
      <c r="AC20" s="51">
        <v>18.600000000000001</v>
      </c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19</v>
      </c>
      <c r="AQ20" s="89">
        <f t="shared" si="2"/>
        <v>17.889473684210529</v>
      </c>
      <c r="AR20" s="89">
        <f>IFERROR(VLOOKUP(A20,Climatologia!A:U,9+$E$2,FALSE),"")</f>
        <v>16.97514080901178</v>
      </c>
      <c r="AS20" s="89">
        <f t="shared" si="3"/>
        <v>0.91433287519874895</v>
      </c>
      <c r="AT20" s="90">
        <f t="shared" si="4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5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>
        <v>21.1</v>
      </c>
      <c r="AB21" s="51">
        <v>21.2</v>
      </c>
      <c r="AC21" s="51">
        <v>22</v>
      </c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19</v>
      </c>
      <c r="AQ21" s="89">
        <f t="shared" si="2"/>
        <v>20.810526315789474</v>
      </c>
      <c r="AR21" s="89">
        <f>IFERROR(VLOOKUP(A21,Climatologia!A:U,9+$E$2,FALSE),"")</f>
        <v>19.23867916144334</v>
      </c>
      <c r="AS21" s="89">
        <f t="shared" si="3"/>
        <v>1.5718471543461341</v>
      </c>
      <c r="AT21" s="90">
        <f t="shared" si="4"/>
        <v>19.899999999999999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5"/>
        <v>4.6999999999999993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>
        <v>11.3</v>
      </c>
      <c r="AB22" s="51">
        <v>11.9</v>
      </c>
      <c r="AC22" s="51">
        <v>10.199999999999999</v>
      </c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19</v>
      </c>
      <c r="AQ22" s="89">
        <f t="shared" si="2"/>
        <v>9.6421052631578945</v>
      </c>
      <c r="AR22" s="89">
        <f>IFERROR(VLOOKUP(A22,Climatologia!A:U,9+$E$2,FALSE),"")</f>
        <v>8.5669829725335838</v>
      </c>
      <c r="AS22" s="89">
        <f t="shared" si="3"/>
        <v>1.0751222906243108</v>
      </c>
      <c r="AT22" s="90">
        <f t="shared" si="4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5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>
        <v>20.3</v>
      </c>
      <c r="AB23" s="51">
        <v>20.8</v>
      </c>
      <c r="AC23" s="51">
        <v>19.5</v>
      </c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19</v>
      </c>
      <c r="AQ23" s="89">
        <f t="shared" si="2"/>
        <v>19.457894736842103</v>
      </c>
      <c r="AR23" s="89">
        <f>IFERROR(VLOOKUP(A23,Climatologia!A:U,9+$E$2,FALSE),"")</f>
        <v>18.632546225180629</v>
      </c>
      <c r="AS23" s="89">
        <f t="shared" si="3"/>
        <v>0.82534851166147405</v>
      </c>
      <c r="AT23" s="90">
        <f t="shared" si="4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5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>
        <v>24.8</v>
      </c>
      <c r="AB24" s="51">
        <v>23</v>
      </c>
      <c r="AC24" s="51">
        <v>22.6</v>
      </c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19</v>
      </c>
      <c r="AQ24" s="89">
        <f t="shared" si="2"/>
        <v>23.873684210526317</v>
      </c>
      <c r="AR24" s="89">
        <f>IFERROR(VLOOKUP(A24,Climatologia!A:U,9+$E$2,FALSE),"")</f>
        <v>22.755698924731181</v>
      </c>
      <c r="AS24" s="89">
        <f t="shared" si="3"/>
        <v>1.117985285795136</v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5"/>
        <v>4.2000000000000028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>
        <v>17.8</v>
      </c>
      <c r="AB25" s="51">
        <v>17</v>
      </c>
      <c r="AC25" s="51">
        <v>13.2</v>
      </c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19</v>
      </c>
      <c r="AQ25" s="89">
        <f t="shared" si="2"/>
        <v>15.126315789473683</v>
      </c>
      <c r="AR25" s="89">
        <f>IFERROR(VLOOKUP(A25,Climatologia!A:U,9+$E$2,FALSE),"")</f>
        <v>14.458778519342481</v>
      </c>
      <c r="AS25" s="89">
        <f t="shared" si="3"/>
        <v>0.66753727013120212</v>
      </c>
      <c r="AT25" s="90">
        <f t="shared" si="4"/>
        <v>13.2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5"/>
        <v>3.1999999999999993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>
        <v>9.4</v>
      </c>
      <c r="AB26" s="51">
        <v>8</v>
      </c>
      <c r="AC26" s="51">
        <v>6.4</v>
      </c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19</v>
      </c>
      <c r="AQ26" s="89">
        <f t="shared" si="2"/>
        <v>7.6000000000000005</v>
      </c>
      <c r="AR26" s="89">
        <f>IFERROR(VLOOKUP(A26,Climatologia!A:U,9+$E$2,FALSE),"")</f>
        <v>5.5482835334279477</v>
      </c>
      <c r="AS26" s="89">
        <f t="shared" si="3"/>
        <v>2.0517164665720529</v>
      </c>
      <c r="AT26" s="90">
        <f t="shared" si="4"/>
        <v>5.6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5"/>
        <v>6.6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>
        <v>26.2</v>
      </c>
      <c r="AB27" s="51">
        <v>25.6</v>
      </c>
      <c r="AC27" s="51">
        <v>23.6</v>
      </c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19</v>
      </c>
      <c r="AQ27" s="89">
        <f t="shared" si="2"/>
        <v>24.757894736842108</v>
      </c>
      <c r="AR27" s="89">
        <f>IFERROR(VLOOKUP(A27,Climatologia!A:U,9+$E$2,FALSE),"")</f>
        <v>23.205806451612911</v>
      </c>
      <c r="AS27" s="89">
        <f t="shared" si="3"/>
        <v>1.5520882852291962</v>
      </c>
      <c r="AT27" s="90">
        <f t="shared" si="4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5"/>
        <v>3.5999999999999979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>
        <v>24.9</v>
      </c>
      <c r="AB28" s="51">
        <v>25.3</v>
      </c>
      <c r="AC28" s="51">
        <v>23.9</v>
      </c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19</v>
      </c>
      <c r="AQ28" s="89">
        <f t="shared" si="2"/>
        <v>23.489473684210523</v>
      </c>
      <c r="AR28" s="89">
        <f>IFERROR(VLOOKUP(A28,Climatologia!A:U,9+$E$2,FALSE),"")</f>
        <v>22.637933865990991</v>
      </c>
      <c r="AS28" s="89">
        <f t="shared" si="3"/>
        <v>0.85153981821953195</v>
      </c>
      <c r="AT28" s="90">
        <f t="shared" si="4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5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>
        <v>25.8</v>
      </c>
      <c r="AB29" s="51">
        <v>25.4</v>
      </c>
      <c r="AC29" s="51">
        <v>24.4</v>
      </c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19</v>
      </c>
      <c r="AQ29" s="89">
        <f t="shared" si="2"/>
        <v>24.268421052631574</v>
      </c>
      <c r="AR29" s="89">
        <f>IFERROR(VLOOKUP(A29,Climatologia!A:U,9+$E$2,FALSE),"")</f>
        <v>23.3590368608799</v>
      </c>
      <c r="AS29" s="89">
        <f t="shared" si="3"/>
        <v>0.9093841917516734</v>
      </c>
      <c r="AT29" s="90">
        <f t="shared" si="4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5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>
        <v>22.2</v>
      </c>
      <c r="AB30" s="51">
        <v>21.7</v>
      </c>
      <c r="AC30" s="51">
        <v>20.8</v>
      </c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19</v>
      </c>
      <c r="AQ30" s="89">
        <f t="shared" si="2"/>
        <v>21.194736842105261</v>
      </c>
      <c r="AR30" s="89">
        <f>IFERROR(VLOOKUP(A30,Climatologia!A:U,9+$E$2,FALSE),"")</f>
        <v>20.397956989247309</v>
      </c>
      <c r="AS30" s="89">
        <f t="shared" si="3"/>
        <v>0.79677985285795216</v>
      </c>
      <c r="AT30" s="90">
        <f t="shared" si="4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5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>
        <v>23.1</v>
      </c>
      <c r="AB31" s="108">
        <v>22.7</v>
      </c>
      <c r="AC31" s="108">
        <v>23.2</v>
      </c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19</v>
      </c>
      <c r="AQ31" s="89">
        <f t="shared" si="2"/>
        <v>23.047368421052632</v>
      </c>
      <c r="AR31" s="89">
        <f>IFERROR(VLOOKUP(A31,Climatologia!A:U,9+$E$2,FALSE),"")</f>
        <v>21.59281959378734</v>
      </c>
      <c r="AS31" s="89">
        <f t="shared" si="3"/>
        <v>1.4545488272652918</v>
      </c>
      <c r="AT31" s="90">
        <f t="shared" si="4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5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>
        <v>13</v>
      </c>
      <c r="AB32" s="51">
        <v>14.6</v>
      </c>
      <c r="AC32" s="51">
        <v>15</v>
      </c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19</v>
      </c>
      <c r="AQ32" s="89">
        <f t="shared" si="2"/>
        <v>14.105263157894736</v>
      </c>
      <c r="AR32" s="89">
        <f>IFERROR(VLOOKUP(A32,Climatologia!A:U,9+$E$2,FALSE),"")</f>
        <v>13.441294802867381</v>
      </c>
      <c r="AS32" s="89">
        <f t="shared" si="3"/>
        <v>0.66396835502735563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23.317238592830801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>
        <v>14.4</v>
      </c>
      <c r="AB34" s="51">
        <v>16</v>
      </c>
      <c r="AC34" s="51">
        <v>16.8</v>
      </c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19</v>
      </c>
      <c r="AQ34" s="89">
        <f t="shared" si="2"/>
        <v>15.45263157894737</v>
      </c>
      <c r="AR34" s="89">
        <f>IFERROR(VLOOKUP(A34,Climatologia!A:U,9+$E$2,FALSE),"")</f>
        <v>14.773956247682611</v>
      </c>
      <c r="AS34" s="89">
        <f t="shared" si="3"/>
        <v>0.67867533126475976</v>
      </c>
      <c r="AT34" s="90">
        <f t="shared" si="4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>
        <v>15</v>
      </c>
      <c r="AB35" s="51">
        <v>14.8</v>
      </c>
      <c r="AC35" s="51">
        <v>14.6</v>
      </c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19</v>
      </c>
      <c r="AQ35" s="89">
        <f t="shared" si="2"/>
        <v>14.926315789473689</v>
      </c>
      <c r="AR35" s="89">
        <f>IFERROR(VLOOKUP(A35,Climatologia!A:U,9+$E$2,FALSE),"")</f>
        <v>13.253440860215051</v>
      </c>
      <c r="AS35" s="89">
        <f t="shared" si="3"/>
        <v>1.6728749292586382</v>
      </c>
      <c r="AT35" s="90">
        <f t="shared" si="4"/>
        <v>13.8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5"/>
        <v>4.6000000000000014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>
        <v>17</v>
      </c>
      <c r="AB36" s="51">
        <v>18</v>
      </c>
      <c r="AC36" s="51">
        <v>19.399999999999999</v>
      </c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19</v>
      </c>
      <c r="AQ36" s="89">
        <f t="shared" si="2"/>
        <v>19.031578947368423</v>
      </c>
      <c r="AR36" s="89">
        <f>IFERROR(VLOOKUP(A36,Climatologia!A:U,9+$E$2,FALSE),"")</f>
        <v>19.581162337847541</v>
      </c>
      <c r="AS36" s="89">
        <f t="shared" si="3"/>
        <v>-0.54958339047911764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>
        <v>12</v>
      </c>
      <c r="AB37" s="51">
        <v>7.8</v>
      </c>
      <c r="AC37" s="51">
        <v>9.4</v>
      </c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19</v>
      </c>
      <c r="AQ37" s="89">
        <f t="shared" si="2"/>
        <v>9.4526315789473685</v>
      </c>
      <c r="AR37" s="89">
        <f>IFERROR(VLOOKUP(A37,Climatologia!A:U,9+$E$2,FALSE),"")</f>
        <v>9.3349769585253455</v>
      </c>
      <c r="AS37" s="89">
        <f t="shared" si="3"/>
        <v>0.11765462042202302</v>
      </c>
      <c r="AT37" s="90">
        <f t="shared" si="4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>
        <v>17.8</v>
      </c>
      <c r="AB38" s="51">
        <v>18</v>
      </c>
      <c r="AC38" s="51">
        <v>18.2</v>
      </c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19</v>
      </c>
      <c r="AQ38" s="89">
        <f t="shared" si="2"/>
        <v>17.252631578947369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>
        <v>18.399999999999999</v>
      </c>
      <c r="AB39" s="51">
        <v>20.6</v>
      </c>
      <c r="AC39" s="51">
        <v>20.6</v>
      </c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19</v>
      </c>
      <c r="AQ39" s="89">
        <f t="shared" si="2"/>
        <v>19.294736842105266</v>
      </c>
      <c r="AR39" s="89">
        <f>IFERROR(VLOOKUP(A39,Climatologia!A:U,9+$E$2,FALSE),"")</f>
        <v>17.20506668314588</v>
      </c>
      <c r="AS39" s="89">
        <f t="shared" si="3"/>
        <v>2.089670158959386</v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5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>
        <v>14</v>
      </c>
      <c r="AB40" s="51">
        <v>14.9</v>
      </c>
      <c r="AC40" s="51">
        <v>14.6</v>
      </c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19</v>
      </c>
      <c r="AQ40" s="89">
        <f t="shared" si="2"/>
        <v>14.394736842105264</v>
      </c>
      <c r="AR40" s="89">
        <f>IFERROR(VLOOKUP(A40,Climatologia!A:U,9+$E$2,FALSE),"")</f>
        <v>12.94546489563567</v>
      </c>
      <c r="AS40" s="89">
        <f t="shared" si="3"/>
        <v>1.4492719464695938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5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>
        <v>26.8</v>
      </c>
      <c r="AB41" s="51">
        <v>26.8</v>
      </c>
      <c r="AC41" s="51">
        <v>25</v>
      </c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19</v>
      </c>
      <c r="AQ41" s="89">
        <f t="shared" si="2"/>
        <v>25.031578947368427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>
        <v>26.8</v>
      </c>
      <c r="AB42" s="51">
        <v>27.2</v>
      </c>
      <c r="AC42" s="51">
        <v>25</v>
      </c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18</v>
      </c>
      <c r="AQ42" s="89">
        <f t="shared" si="2"/>
        <v>25.922222222222224</v>
      </c>
      <c r="AR42" s="89">
        <f>IFERROR(VLOOKUP(A42,Climatologia!A:U,9+$E$2,FALSE),"")</f>
        <v>24.432895496420521</v>
      </c>
      <c r="AS42" s="89">
        <f t="shared" si="3"/>
        <v>1.4893267258017033</v>
      </c>
      <c r="AT42" s="90">
        <f t="shared" si="4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>
        <v>26.4</v>
      </c>
      <c r="AB43" s="51">
        <v>22.2</v>
      </c>
      <c r="AC43" s="51">
        <v>23.3</v>
      </c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19</v>
      </c>
      <c r="AQ43" s="89">
        <f t="shared" si="2"/>
        <v>24.410526315789472</v>
      </c>
      <c r="AR43" s="89">
        <f>IFERROR(VLOOKUP(A43,Climatologia!A:U,9+$E$2,FALSE),"")</f>
        <v>23.70475716371773</v>
      </c>
      <c r="AS43" s="89">
        <f t="shared" si="3"/>
        <v>0.70576915207174196</v>
      </c>
      <c r="AT43" s="90">
        <f t="shared" si="4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5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>
        <v>25.8</v>
      </c>
      <c r="AB44" s="51">
        <v>25.4</v>
      </c>
      <c r="AC44" s="51">
        <v>24.2</v>
      </c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19</v>
      </c>
      <c r="AQ44" s="89">
        <f t="shared" si="2"/>
        <v>24.715789473684207</v>
      </c>
      <c r="AR44" s="89">
        <f>IFERROR(VLOOKUP(A44,Climatologia!A:U,9+$E$2,FALSE),"")</f>
        <v>23.278211411491501</v>
      </c>
      <c r="AS44" s="89">
        <f t="shared" si="3"/>
        <v>1.4375780621927063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23.564830290111161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22.25813524492235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>
        <v>25.2</v>
      </c>
      <c r="AB47" s="51">
        <v>27</v>
      </c>
      <c r="AC47" s="51">
        <v>23.2</v>
      </c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19</v>
      </c>
      <c r="AQ47" s="89">
        <f t="shared" si="2"/>
        <v>25.378947368421048</v>
      </c>
      <c r="AR47" s="89">
        <f>IFERROR(VLOOKUP(A47,Climatologia!A:U,9+$E$2,FALSE),"")</f>
        <v>23.077912101041139</v>
      </c>
      <c r="AS47" s="89">
        <f t="shared" si="3"/>
        <v>2.301035267379909</v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22.959666935925281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15</v>
      </c>
      <c r="AQ49" s="89">
        <f t="shared" si="2"/>
        <v>24.346666666666668</v>
      </c>
      <c r="AR49" s="89">
        <f>IFERROR(VLOOKUP(A49,Climatologia!A:U,9+$E$2,FALSE),"")</f>
        <v>23.449985001525519</v>
      </c>
      <c r="AS49" s="89">
        <f t="shared" si="3"/>
        <v>0.89668166514114844</v>
      </c>
      <c r="AT49" s="90">
        <f t="shared" si="4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5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>
        <v>26.2</v>
      </c>
      <c r="AB51" s="51">
        <v>26.6</v>
      </c>
      <c r="AC51" s="51">
        <v>23</v>
      </c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19</v>
      </c>
      <c r="AQ51" s="89">
        <f t="shared" si="2"/>
        <v>25.231578947368419</v>
      </c>
      <c r="AR51" s="89">
        <f>IFERROR(VLOOKUP(A51,Climatologia!A:U,9+$E$2,FALSE),"")</f>
        <v>23.209114934289129</v>
      </c>
      <c r="AS51" s="89">
        <f t="shared" si="3"/>
        <v>2.0224640130792899</v>
      </c>
      <c r="AT51" s="90">
        <f t="shared" si="4"/>
        <v>22.8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5"/>
        <v>5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>
        <v>26.4</v>
      </c>
      <c r="AB52" s="51">
        <v>27.4</v>
      </c>
      <c r="AC52" s="51">
        <v>23.2</v>
      </c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19</v>
      </c>
      <c r="AQ52" s="89">
        <f t="shared" si="2"/>
        <v>25.347368421052629</v>
      </c>
      <c r="AR52" s="89">
        <f>IFERROR(VLOOKUP(A52,Climatologia!A:U,9+$E$2,FALSE),"")</f>
        <v>22.730537765699061</v>
      </c>
      <c r="AS52" s="89">
        <f t="shared" si="3"/>
        <v>2.6168306553535672</v>
      </c>
      <c r="AT52" s="90">
        <f t="shared" si="4"/>
        <v>23.2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5"/>
        <v>4.8000000000000007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>
        <v>24.2</v>
      </c>
      <c r="AB53" s="51">
        <v>24.8</v>
      </c>
      <c r="AC53" s="51">
        <v>26.2</v>
      </c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14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24.2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5"/>
        <v>4.8000000000000007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>
        <v>24</v>
      </c>
      <c r="AA54" s="51">
        <v>23.6</v>
      </c>
      <c r="AB54" s="51">
        <v>23.4</v>
      </c>
      <c r="AC54" s="51">
        <v>24.2</v>
      </c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19</v>
      </c>
      <c r="AQ54" s="89">
        <f t="shared" si="2"/>
        <v>23.373684210526314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5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24.29282246073495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>
        <v>24.6</v>
      </c>
      <c r="AB57" s="51">
        <v>24.4</v>
      </c>
      <c r="AC57" s="51">
        <v>24.6</v>
      </c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19</v>
      </c>
      <c r="AQ57" s="89">
        <f t="shared" si="2"/>
        <v>24.98947368421053</v>
      </c>
      <c r="AR57" s="89">
        <f>IFERROR(VLOOKUP(A57,Climatologia!A:U,9+$E$2,FALSE),"")</f>
        <v>23.929337221065921</v>
      </c>
      <c r="AS57" s="89">
        <f t="shared" si="3"/>
        <v>1.0601364631446089</v>
      </c>
      <c r="AT57" s="90">
        <f t="shared" si="4"/>
        <v>24.4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5"/>
        <v>6.3999999999999986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>
        <v>23.4</v>
      </c>
      <c r="V58" s="51">
        <v>23.2</v>
      </c>
      <c r="W58" s="51">
        <v>22.8</v>
      </c>
      <c r="X58" s="51">
        <v>23.6</v>
      </c>
      <c r="Y58" s="51">
        <v>23.4</v>
      </c>
      <c r="Z58" s="111">
        <v>24.8</v>
      </c>
      <c r="AA58" s="51">
        <v>23.4</v>
      </c>
      <c r="AB58" s="51">
        <v>20.6</v>
      </c>
      <c r="AC58" s="51">
        <v>22.4</v>
      </c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19</v>
      </c>
      <c r="AQ58" s="89">
        <f t="shared" si="2"/>
        <v>22.778947368421054</v>
      </c>
      <c r="AR58" s="89">
        <f>IFERROR(VLOOKUP(A58,Climatologia!A:U,9+$E$2,FALSE),"")</f>
        <v>21.121835024190759</v>
      </c>
      <c r="AS58" s="89">
        <f t="shared" si="3"/>
        <v>1.6571123442302955</v>
      </c>
      <c r="AT58" s="90">
        <f t="shared" si="4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5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22.316915376058869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>
        <v>23</v>
      </c>
      <c r="AB60" s="51">
        <v>21.6</v>
      </c>
      <c r="AC60" s="51">
        <v>22.6</v>
      </c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19</v>
      </c>
      <c r="AQ60" s="89">
        <f t="shared" si="2"/>
        <v>22.273684210526316</v>
      </c>
      <c r="AR60" s="89">
        <f>IFERROR(VLOOKUP(A60,Climatologia!A:U,9+$E$2,FALSE),"")</f>
        <v>21.335368281215381</v>
      </c>
      <c r="AS60" s="89">
        <f t="shared" si="3"/>
        <v>0.9383159293109351</v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19.17653476427855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21.93480657520702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>
        <v>23</v>
      </c>
      <c r="AB63" s="51"/>
      <c r="AC63" s="51">
        <v>22.6</v>
      </c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10</v>
      </c>
      <c r="AQ63" s="89" t="str">
        <f t="shared" si="2"/>
        <v/>
      </c>
      <c r="AR63" s="89">
        <f>IFERROR(VLOOKUP(A63,Climatologia!A:U,9+$E$2,FALSE),"")</f>
        <v>22.124788357434191</v>
      </c>
      <c r="AS63" s="89" t="str">
        <f t="shared" si="3"/>
        <v/>
      </c>
      <c r="AT63" s="90">
        <f t="shared" si="4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5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>
        <v>24</v>
      </c>
      <c r="AB64" s="51">
        <v>22.2</v>
      </c>
      <c r="AC64" s="51">
        <v>23</v>
      </c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19</v>
      </c>
      <c r="AQ64" s="89">
        <f t="shared" si="2"/>
        <v>22.684210526315791</v>
      </c>
      <c r="AR64" s="89">
        <f>IFERROR(VLOOKUP(A64,Climatologia!A:U,9+$E$2,FALSE),"")</f>
        <v>21.690749245193071</v>
      </c>
      <c r="AS64" s="89">
        <f t="shared" si="3"/>
        <v>0.9934612811227197</v>
      </c>
      <c r="AT64" s="90">
        <f t="shared" si="4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5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>
        <v>22.2</v>
      </c>
      <c r="S65" s="51">
        <v>22.6</v>
      </c>
      <c r="T65" s="51">
        <v>21.8</v>
      </c>
      <c r="U65" s="51">
        <v>23</v>
      </c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>
        <v>23</v>
      </c>
      <c r="AB65" s="51">
        <v>22.2</v>
      </c>
      <c r="AC65" s="51">
        <v>22</v>
      </c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19</v>
      </c>
      <c r="AQ65" s="89">
        <f t="shared" si="2"/>
        <v>22.326315789473682</v>
      </c>
      <c r="AR65" s="89">
        <f>IFERROR(VLOOKUP(A65,Climatologia!A:U,9+$E$2,FALSE),"")</f>
        <v>21.403540366427119</v>
      </c>
      <c r="AS65" s="89">
        <f t="shared" si="3"/>
        <v>0.92277542304656279</v>
      </c>
      <c r="AT65" s="90">
        <f t="shared" si="4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5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20.397956989247309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>
        <v>21.2</v>
      </c>
      <c r="AB67" s="51">
        <v>20.2</v>
      </c>
      <c r="AC67" s="51">
        <v>20</v>
      </c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19</v>
      </c>
      <c r="AQ67" s="89">
        <f t="shared" si="2"/>
        <v>20.247368421052631</v>
      </c>
      <c r="AR67" s="89">
        <f>IFERROR(VLOOKUP(A67,Climatologia!A:U,9+$E$2,FALSE),"")</f>
        <v>21.093190044711658</v>
      </c>
      <c r="AS67" s="89">
        <f t="shared" si="3"/>
        <v>-0.84582162365902747</v>
      </c>
      <c r="AT67" s="90">
        <f t="shared" si="4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5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>
        <v>20.3</v>
      </c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>
        <v>22.4</v>
      </c>
      <c r="AB68" s="51">
        <v>22</v>
      </c>
      <c r="AC68" s="51">
        <v>21</v>
      </c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19</v>
      </c>
      <c r="AQ68" s="89">
        <f t="shared" si="2"/>
        <v>20.910526315789475</v>
      </c>
      <c r="AR68" s="89">
        <f>IFERROR(VLOOKUP(A68,Climatologia!A:U,9+$E$2,FALSE),"")</f>
        <v>20.820880569459899</v>
      </c>
      <c r="AS68" s="89">
        <f t="shared" si="3"/>
        <v>8.9645746329576781E-2</v>
      </c>
      <c r="AT68" s="90">
        <f t="shared" si="4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>
        <v>23.4</v>
      </c>
      <c r="AB69" s="51">
        <v>22.4</v>
      </c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16</v>
      </c>
      <c r="AQ69" s="89">
        <f t="shared" ref="AQ69:AQ132" si="7">IF(AP69&gt;14,AVERAGE(K69:AO69),"")</f>
        <v>22.675000000000001</v>
      </c>
      <c r="AR69" s="89">
        <f>IFERROR(VLOOKUP(A69,Climatologia!A:U,9+$E$2,FALSE),"")</f>
        <v>20.779327975046829</v>
      </c>
      <c r="AS69" s="89">
        <f t="shared" ref="AS69:AS132" si="8">IF(OR(AQ69="",AR69=""),"",IFERROR(AQ69-AR69,""))</f>
        <v>1.8956720249531713</v>
      </c>
      <c r="AT69" s="90">
        <f t="shared" ref="AT69:AT132" si="9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0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>
        <v>23.3</v>
      </c>
      <c r="AB70" s="51">
        <v>23.3</v>
      </c>
      <c r="AC70" s="51">
        <v>23.2</v>
      </c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19</v>
      </c>
      <c r="AQ70" s="89">
        <f t="shared" si="7"/>
        <v>23.057894736842105</v>
      </c>
      <c r="AR70" s="89">
        <f>IFERROR(VLOOKUP(A70,Climatologia!A:U,9+$E$2,FALSE),"")</f>
        <v>22.364932118308101</v>
      </c>
      <c r="AS70" s="89">
        <f t="shared" si="8"/>
        <v>0.69296261853400409</v>
      </c>
      <c r="AT70" s="90">
        <f t="shared" si="9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0"/>
        <v>6.3999999999999986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>
        <v>23</v>
      </c>
      <c r="W71" s="51">
        <v>23.1</v>
      </c>
      <c r="X71" s="51">
        <v>23</v>
      </c>
      <c r="Y71" s="51">
        <v>23</v>
      </c>
      <c r="Z71" s="111">
        <v>23.3</v>
      </c>
      <c r="AA71" s="51">
        <v>22.3</v>
      </c>
      <c r="AB71" s="51">
        <v>23.1</v>
      </c>
      <c r="AC71" s="51">
        <v>22.2</v>
      </c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19</v>
      </c>
      <c r="AQ71" s="89">
        <f t="shared" si="7"/>
        <v>22.884210526315798</v>
      </c>
      <c r="AR71" s="89">
        <f>IFERROR(VLOOKUP(A71,Climatologia!A:U,9+$E$2,FALSE),"")</f>
        <v>21.655481553578049</v>
      </c>
      <c r="AS71" s="89">
        <f t="shared" si="8"/>
        <v>1.2287289727377484</v>
      </c>
      <c r="AT71" s="90">
        <f t="shared" si="9"/>
        <v>22.2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>
        <v>21.3</v>
      </c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>
        <v>20.399999999999999</v>
      </c>
      <c r="Y72" s="51">
        <v>21.8</v>
      </c>
      <c r="Z72" s="111">
        <v>22.2</v>
      </c>
      <c r="AA72" s="51">
        <v>21.6</v>
      </c>
      <c r="AB72" s="51">
        <v>21.8</v>
      </c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16</v>
      </c>
      <c r="AQ72" s="89">
        <f t="shared" si="7"/>
        <v>21.506250000000001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0"/>
        <v>1.1999999999999993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>
        <v>18</v>
      </c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16</v>
      </c>
      <c r="AQ73" s="89">
        <f t="shared" si="7"/>
        <v>17.2</v>
      </c>
      <c r="AR73" s="89">
        <f>IFERROR(VLOOKUP(A73,Climatologia!A:U,9+$E$2,FALSE),"")</f>
        <v>16.31980835849356</v>
      </c>
      <c r="AS73" s="89">
        <f t="shared" si="8"/>
        <v>0.88019164150643903</v>
      </c>
      <c r="AT73" s="90">
        <f t="shared" si="9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0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>
        <v>12.2</v>
      </c>
      <c r="AB74" s="51">
        <v>12.8</v>
      </c>
      <c r="AC74" s="51">
        <v>13</v>
      </c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19</v>
      </c>
      <c r="AQ74" s="89">
        <f t="shared" si="7"/>
        <v>12.43157894736842</v>
      </c>
      <c r="AR74" s="89">
        <f>IFERROR(VLOOKUP(A74,Climatologia!A:U,9+$E$2,FALSE),"")</f>
        <v>11.80563736724846</v>
      </c>
      <c r="AS74" s="89">
        <f t="shared" si="8"/>
        <v>0.62594158011996015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>
        <v>16.2</v>
      </c>
      <c r="AB75" s="51">
        <v>16</v>
      </c>
      <c r="AC75" s="51">
        <v>15.2</v>
      </c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19</v>
      </c>
      <c r="AQ75" s="89">
        <f t="shared" si="7"/>
        <v>16.599999999999998</v>
      </c>
      <c r="AR75" s="89">
        <f>IFERROR(VLOOKUP(A75,Climatologia!A:U,9+$E$2,FALSE),"")</f>
        <v>15.64745715221115</v>
      </c>
      <c r="AS75" s="89">
        <f t="shared" si="8"/>
        <v>0.95254284778884823</v>
      </c>
      <c r="AT75" s="90">
        <f t="shared" si="9"/>
        <v>14.8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0"/>
        <v>4.4000000000000004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>
        <v>18.2</v>
      </c>
      <c r="AB76" s="51">
        <v>15.4</v>
      </c>
      <c r="AC76" s="51">
        <v>16.8</v>
      </c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19</v>
      </c>
      <c r="AQ76" s="89">
        <f t="shared" si="7"/>
        <v>16.778947368421051</v>
      </c>
      <c r="AR76" s="89">
        <f>IFERROR(VLOOKUP(A76,Climatologia!A:U,9+$E$2,FALSE),"")</f>
        <v>18.21514905534578</v>
      </c>
      <c r="AS76" s="89">
        <f t="shared" si="8"/>
        <v>-1.4362016869247292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0"/>
        <v>0.80000000000000071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>
        <v>27.2</v>
      </c>
      <c r="AB77" s="51">
        <v>23.8</v>
      </c>
      <c r="AC77" s="51">
        <v>24</v>
      </c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19</v>
      </c>
      <c r="AQ77" s="89">
        <f t="shared" si="7"/>
        <v>25.863157894736844</v>
      </c>
      <c r="AR77" s="89">
        <f>IFERROR(VLOOKUP(A77,Climatologia!A:U,9+$E$2,FALSE),"")</f>
        <v>23.98594554377442</v>
      </c>
      <c r="AS77" s="89">
        <f t="shared" si="8"/>
        <v>1.8772123509624237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0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/>
      <c r="X78" s="51">
        <v>25.2</v>
      </c>
      <c r="Y78" s="51">
        <v>25</v>
      </c>
      <c r="Z78" s="111">
        <v>25.2</v>
      </c>
      <c r="AA78" s="51">
        <v>25</v>
      </c>
      <c r="AB78" s="51">
        <v>23.6</v>
      </c>
      <c r="AC78" s="51">
        <v>23.6</v>
      </c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17</v>
      </c>
      <c r="AQ78" s="89">
        <f t="shared" si="7"/>
        <v>24.388235294117649</v>
      </c>
      <c r="AR78" s="89">
        <f>IFERROR(VLOOKUP(A78,Climatologia!A:U,9+$E$2,FALSE),"")</f>
        <v>23.030800614819611</v>
      </c>
      <c r="AS78" s="89">
        <f t="shared" si="8"/>
        <v>1.3574346792980378</v>
      </c>
      <c r="AT78" s="90">
        <f t="shared" si="9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0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13</v>
      </c>
      <c r="AQ79" s="89" t="str">
        <f t="shared" si="7"/>
        <v/>
      </c>
      <c r="AR79" s="89">
        <f>IFERROR(VLOOKUP(A79,Climatologia!A:U,9+$E$2,FALSE),"")</f>
        <v>15.20904351496088</v>
      </c>
      <c r="AS79" s="89" t="str">
        <f t="shared" si="8"/>
        <v/>
      </c>
      <c r="AT79" s="90">
        <f t="shared" si="9"/>
        <v>13.6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20.420246040574181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>
        <v>23</v>
      </c>
      <c r="AB81" s="51">
        <v>22.2</v>
      </c>
      <c r="AC81" s="51">
        <v>22.8</v>
      </c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17</v>
      </c>
      <c r="AQ81" s="89">
        <f t="shared" si="7"/>
        <v>22.741176470588233</v>
      </c>
      <c r="AR81" s="89">
        <f>IFERROR(VLOOKUP(A81,Climatologia!A:U,9+$E$2,FALSE),"")</f>
        <v>21.607376978198339</v>
      </c>
      <c r="AS81" s="89">
        <f t="shared" si="8"/>
        <v>1.133799492389894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0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>
        <v>27.4</v>
      </c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13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0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>
        <v>26.2</v>
      </c>
      <c r="AA84" s="51">
        <v>26</v>
      </c>
      <c r="AB84" s="51">
        <v>26.6</v>
      </c>
      <c r="AC84" s="51">
        <v>25.8</v>
      </c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19</v>
      </c>
      <c r="AQ84" s="89">
        <f t="shared" si="7"/>
        <v>26.147368421052629</v>
      </c>
      <c r="AR84" s="89">
        <f>IFERROR(VLOOKUP(A84,Climatologia!A:U,9+$E$2,FALSE),"")</f>
        <v>23.66046866958937</v>
      </c>
      <c r="AS84" s="89">
        <f t="shared" si="8"/>
        <v>2.4868997514632589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>
        <v>24</v>
      </c>
      <c r="AB85" s="51">
        <v>25</v>
      </c>
      <c r="AC85" s="51">
        <v>25.2</v>
      </c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19</v>
      </c>
      <c r="AQ85" s="89">
        <f t="shared" si="7"/>
        <v>25.157894736842106</v>
      </c>
      <c r="AR85" s="89">
        <f>IFERROR(VLOOKUP(A85,Climatologia!A:U,9+$E$2,FALSE),"")</f>
        <v>23.305497603590929</v>
      </c>
      <c r="AS85" s="89">
        <f t="shared" si="8"/>
        <v>1.8523971332511771</v>
      </c>
      <c r="AT85" s="90">
        <f t="shared" si="9"/>
        <v>24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0"/>
        <v>5.1999999999999993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>
        <v>22.2</v>
      </c>
      <c r="AA86" s="51">
        <v>20.8</v>
      </c>
      <c r="AB86" s="51">
        <v>20.399999999999999</v>
      </c>
      <c r="AC86" s="51">
        <v>22.6</v>
      </c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19</v>
      </c>
      <c r="AQ86" s="89">
        <f t="shared" si="7"/>
        <v>21.663157894736845</v>
      </c>
      <c r="AR86" s="89">
        <f>IFERROR(VLOOKUP(A86,Climatologia!A:U,9+$E$2,FALSE),"")</f>
        <v>22.830460829493081</v>
      </c>
      <c r="AS86" s="89">
        <f t="shared" si="8"/>
        <v>-1.1673029347562363</v>
      </c>
      <c r="AT86" s="90">
        <f t="shared" si="9"/>
        <v>20.399999999999999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0"/>
        <v>4.3999999999999986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>
        <v>27.8</v>
      </c>
      <c r="AB87" s="51">
        <v>29</v>
      </c>
      <c r="AC87" s="51">
        <v>28.8</v>
      </c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17</v>
      </c>
      <c r="AQ87" s="89">
        <f t="shared" si="7"/>
        <v>27.129411764705885</v>
      </c>
      <c r="AR87" s="89">
        <f>IFERROR(VLOOKUP(A87,Climatologia!A:U,9+$E$2,FALSE),"")</f>
        <v>23.82157476757439</v>
      </c>
      <c r="AS87" s="89">
        <f t="shared" si="8"/>
        <v>3.3078369971314956</v>
      </c>
      <c r="AT87" s="90">
        <f t="shared" si="9"/>
        <v>24.4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0"/>
        <v>6.1999999999999993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>
        <v>27.6</v>
      </c>
      <c r="AB88" s="51">
        <v>27.8</v>
      </c>
      <c r="AC88" s="51">
        <v>28.4</v>
      </c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19</v>
      </c>
      <c r="AQ88" s="89">
        <f t="shared" si="7"/>
        <v>27.326315789473693</v>
      </c>
      <c r="AR88" s="89">
        <f>IFERROR(VLOOKUP(A88,Climatologia!A:U,9+$E$2,FALSE),"")</f>
        <v>23.447051220933311</v>
      </c>
      <c r="AS88" s="89">
        <f t="shared" si="8"/>
        <v>3.8792645685403819</v>
      </c>
      <c r="AT88" s="90">
        <f t="shared" si="9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0"/>
        <v>9.6000000000000014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>
        <v>12.2</v>
      </c>
      <c r="Q89" s="51">
        <v>11.2</v>
      </c>
      <c r="R89" s="51">
        <v>14</v>
      </c>
      <c r="S89" s="51">
        <v>13</v>
      </c>
      <c r="T89" s="51">
        <v>14.2</v>
      </c>
      <c r="U89" s="51">
        <v>13.2</v>
      </c>
      <c r="V89" s="51">
        <v>11.4</v>
      </c>
      <c r="W89" s="51">
        <v>14</v>
      </c>
      <c r="X89" s="51">
        <v>12.4</v>
      </c>
      <c r="Y89" s="51">
        <v>12.4</v>
      </c>
      <c r="Z89" s="111">
        <v>13</v>
      </c>
      <c r="AA89" s="51"/>
      <c r="AB89" s="51">
        <v>13</v>
      </c>
      <c r="AC89" s="51">
        <v>12.8</v>
      </c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18</v>
      </c>
      <c r="AQ89" s="89">
        <f t="shared" si="7"/>
        <v>12.633333333333335</v>
      </c>
      <c r="AR89" s="89">
        <f>IFERROR(VLOOKUP(A89,Climatologia!A:U,9+$E$2,FALSE),"")</f>
        <v>11.21</v>
      </c>
      <c r="AS89" s="89">
        <f t="shared" si="8"/>
        <v>1.4233333333333338</v>
      </c>
      <c r="AT89" s="90">
        <f t="shared" si="9"/>
        <v>11.2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0"/>
        <v>6.7999999999999989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>
        <v>17.399999999999999</v>
      </c>
      <c r="Q90" s="51">
        <v>18</v>
      </c>
      <c r="R90" s="51">
        <v>18.399999999999999</v>
      </c>
      <c r="S90" s="51">
        <v>19</v>
      </c>
      <c r="T90" s="51">
        <v>17</v>
      </c>
      <c r="U90" s="51">
        <v>18.399999999999999</v>
      </c>
      <c r="V90" s="51">
        <v>17.399999999999999</v>
      </c>
      <c r="W90" s="51">
        <v>17.2</v>
      </c>
      <c r="X90" s="51">
        <v>18</v>
      </c>
      <c r="Y90" s="51">
        <v>18.2</v>
      </c>
      <c r="Z90" s="111">
        <v>18.399999999999999</v>
      </c>
      <c r="AA90" s="51">
        <v>18.600000000000001</v>
      </c>
      <c r="AB90" s="51">
        <v>19</v>
      </c>
      <c r="AC90" s="51">
        <v>18</v>
      </c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19</v>
      </c>
      <c r="AQ90" s="89">
        <f t="shared" si="7"/>
        <v>17.926315789473687</v>
      </c>
      <c r="AR90" s="89">
        <f>IFERROR(VLOOKUP(A90,Climatologia!A:U,9+$E$2,FALSE),"")</f>
        <v>17.613159782779519</v>
      </c>
      <c r="AS90" s="89">
        <f t="shared" si="8"/>
        <v>0.3131560066941681</v>
      </c>
      <c r="AT90" s="90">
        <f t="shared" si="9"/>
        <v>17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0"/>
        <v>2.8000000000000007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>
        <v>11.6</v>
      </c>
      <c r="Q91" s="51">
        <v>11.6</v>
      </c>
      <c r="R91" s="51">
        <v>11.6</v>
      </c>
      <c r="S91" s="51">
        <v>11.4</v>
      </c>
      <c r="T91" s="51">
        <v>11.6</v>
      </c>
      <c r="U91" s="51">
        <v>11.4</v>
      </c>
      <c r="V91" s="51">
        <v>12.4</v>
      </c>
      <c r="W91" s="51">
        <v>10.4</v>
      </c>
      <c r="X91" s="51">
        <v>10.4</v>
      </c>
      <c r="Y91" s="51">
        <v>10.8</v>
      </c>
      <c r="Z91" s="111">
        <v>10.199999999999999</v>
      </c>
      <c r="AA91" s="51">
        <v>10.4</v>
      </c>
      <c r="AB91" s="51">
        <v>9.6</v>
      </c>
      <c r="AC91" s="51">
        <v>9.8000000000000007</v>
      </c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19</v>
      </c>
      <c r="AQ91" s="89">
        <f t="shared" si="7"/>
        <v>11.021052631578948</v>
      </c>
      <c r="AR91" s="89">
        <f>IFERROR(VLOOKUP(A91,Climatologia!A:U,9+$E$2,FALSE),"")</f>
        <v>11.47881802826185</v>
      </c>
      <c r="AS91" s="89">
        <f t="shared" si="8"/>
        <v>-0.45776539668290184</v>
      </c>
      <c r="AT91" s="90">
        <f t="shared" si="9"/>
        <v>9.6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0"/>
        <v>4.5999999999999996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>
        <v>11</v>
      </c>
      <c r="Q92" s="51">
        <v>11.2</v>
      </c>
      <c r="R92" s="51">
        <v>11</v>
      </c>
      <c r="S92" s="51">
        <v>11.2</v>
      </c>
      <c r="T92" s="51">
        <v>10.199999999999999</v>
      </c>
      <c r="U92" s="51">
        <v>9.6</v>
      </c>
      <c r="V92" s="51">
        <v>9.8000000000000007</v>
      </c>
      <c r="W92" s="51">
        <v>9</v>
      </c>
      <c r="X92" s="51">
        <v>9.6</v>
      </c>
      <c r="Y92" s="51">
        <v>11.6</v>
      </c>
      <c r="Z92" s="111">
        <v>10.8</v>
      </c>
      <c r="AA92" s="51">
        <v>10.199999999999999</v>
      </c>
      <c r="AB92" s="51">
        <v>8.1999999999999993</v>
      </c>
      <c r="AC92" s="51">
        <v>10.6</v>
      </c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19</v>
      </c>
      <c r="AQ92" s="89">
        <f t="shared" si="7"/>
        <v>10.284210526315789</v>
      </c>
      <c r="AR92" s="89">
        <f>IFERROR(VLOOKUP(A92,Climatologia!A:U,9+$E$2,FALSE),"")</f>
        <v>8.9015099398191726</v>
      </c>
      <c r="AS92" s="89">
        <f t="shared" si="8"/>
        <v>1.3827005864966164</v>
      </c>
      <c r="AT92" s="90">
        <f t="shared" si="9"/>
        <v>8.1999999999999993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0"/>
        <v>9.6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10.516628421304731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 t="str">
        <f>IFERROR(VLOOKUP(A94,Climatologia!A:U,9+$E$2,FALSE),"")</f>
        <v/>
      </c>
      <c r="AS94" s="89" t="str">
        <f t="shared" si="8"/>
        <v/>
      </c>
      <c r="AT94" s="90" t="str">
        <f t="shared" si="9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0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>
        <v>9</v>
      </c>
      <c r="Q95" s="51">
        <v>7.8</v>
      </c>
      <c r="R95" s="51">
        <v>8.8000000000000007</v>
      </c>
      <c r="S95" s="51">
        <v>9.1999999999999993</v>
      </c>
      <c r="T95" s="51">
        <v>8.1999999999999993</v>
      </c>
      <c r="U95" s="51">
        <v>6</v>
      </c>
      <c r="V95" s="51">
        <v>10.199999999999999</v>
      </c>
      <c r="W95" s="51">
        <v>6.8</v>
      </c>
      <c r="X95" s="51">
        <v>6</v>
      </c>
      <c r="Y95" s="51">
        <v>10.8</v>
      </c>
      <c r="Z95" s="111">
        <v>5</v>
      </c>
      <c r="AA95" s="51">
        <v>6.4</v>
      </c>
      <c r="AB95" s="51">
        <v>6</v>
      </c>
      <c r="AC95" s="51">
        <v>10.8</v>
      </c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19</v>
      </c>
      <c r="AQ95" s="89">
        <f t="shared" si="7"/>
        <v>7.9368421052631586</v>
      </c>
      <c r="AR95" s="89">
        <f>IFERROR(VLOOKUP(A95,Climatologia!A:U,9+$E$2,FALSE),"")</f>
        <v>7.2926861266282854</v>
      </c>
      <c r="AS95" s="89">
        <f t="shared" si="8"/>
        <v>0.64415597863487317</v>
      </c>
      <c r="AT95" s="90">
        <f t="shared" si="9"/>
        <v>5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0"/>
        <v>3.8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>
        <v>8.4</v>
      </c>
      <c r="Q96" s="51">
        <v>8</v>
      </c>
      <c r="R96" s="51">
        <v>7.8</v>
      </c>
      <c r="S96" s="51"/>
      <c r="T96" s="51">
        <v>8.6</v>
      </c>
      <c r="U96" s="51">
        <v>9.1999999999999993</v>
      </c>
      <c r="V96" s="51">
        <v>11.4</v>
      </c>
      <c r="W96" s="51">
        <v>7.2</v>
      </c>
      <c r="X96" s="51">
        <v>6.3</v>
      </c>
      <c r="Y96" s="51">
        <v>8.8000000000000007</v>
      </c>
      <c r="Z96" s="111">
        <v>7</v>
      </c>
      <c r="AA96" s="51">
        <v>8.4</v>
      </c>
      <c r="AB96" s="51">
        <v>9</v>
      </c>
      <c r="AC96" s="51">
        <v>8</v>
      </c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18</v>
      </c>
      <c r="AQ96" s="89">
        <f t="shared" si="7"/>
        <v>8.4666666666666668</v>
      </c>
      <c r="AR96" s="89">
        <f>IFERROR(VLOOKUP(A96,Climatologia!A:U,9+$E$2,FALSE),"")</f>
        <v>8.3150202936469455</v>
      </c>
      <c r="AS96" s="89">
        <f t="shared" si="8"/>
        <v>0.15164637301972128</v>
      </c>
      <c r="AT96" s="90">
        <f t="shared" si="9"/>
        <v>6.3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0"/>
        <v>2.6999999999999997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>
        <v>12.8</v>
      </c>
      <c r="Q97" s="51">
        <v>9.4</v>
      </c>
      <c r="R97" s="51">
        <v>9.6</v>
      </c>
      <c r="S97" s="51">
        <v>10.199999999999999</v>
      </c>
      <c r="T97" s="51">
        <v>8.6</v>
      </c>
      <c r="U97" s="51">
        <v>5.2</v>
      </c>
      <c r="V97" s="51">
        <v>9.4</v>
      </c>
      <c r="W97" s="51">
        <v>5.2</v>
      </c>
      <c r="X97" s="51">
        <v>8.6</v>
      </c>
      <c r="Y97" s="51">
        <v>12.8</v>
      </c>
      <c r="Z97" s="111">
        <v>4.2</v>
      </c>
      <c r="AA97" s="51">
        <v>5.8</v>
      </c>
      <c r="AB97" s="51">
        <v>5.4</v>
      </c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15</v>
      </c>
      <c r="AQ97" s="89">
        <f t="shared" si="7"/>
        <v>8.1999999999999993</v>
      </c>
      <c r="AR97" s="89">
        <f>IFERROR(VLOOKUP(A97,Climatologia!A:U,9+$E$2,FALSE),"")</f>
        <v>6.6085478664622164</v>
      </c>
      <c r="AS97" s="89">
        <f t="shared" si="8"/>
        <v>1.5914521335377829</v>
      </c>
      <c r="AT97" s="90">
        <f t="shared" si="9"/>
        <v>4.2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0"/>
        <v>5.6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>
        <v>10</v>
      </c>
      <c r="Q98" s="51">
        <v>10.199999999999999</v>
      </c>
      <c r="R98" s="51">
        <v>10.199999999999999</v>
      </c>
      <c r="S98" s="51">
        <v>9.8000000000000007</v>
      </c>
      <c r="T98" s="51">
        <v>8.8000000000000007</v>
      </c>
      <c r="U98" s="51"/>
      <c r="V98" s="51"/>
      <c r="W98" s="51"/>
      <c r="X98" s="51">
        <v>6.4</v>
      </c>
      <c r="Y98" s="51">
        <v>10.4</v>
      </c>
      <c r="Z98" s="111">
        <v>7.8</v>
      </c>
      <c r="AA98" s="51">
        <v>8.6</v>
      </c>
      <c r="AB98" s="51">
        <v>6.4</v>
      </c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14</v>
      </c>
      <c r="AQ98" s="89" t="str">
        <f t="shared" si="7"/>
        <v/>
      </c>
      <c r="AR98" s="89">
        <f>IFERROR(VLOOKUP(A98,Climatologia!A:U,9+$E$2,FALSE),"")</f>
        <v>8.6035988588983976</v>
      </c>
      <c r="AS98" s="89" t="str">
        <f t="shared" si="8"/>
        <v/>
      </c>
      <c r="AT98" s="90">
        <f t="shared" si="9"/>
        <v>6.4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0"/>
        <v>4.6000000000000005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>
        <v>9</v>
      </c>
      <c r="R99" s="51">
        <v>9.1999999999999993</v>
      </c>
      <c r="S99" s="51">
        <v>8.8000000000000007</v>
      </c>
      <c r="T99" s="51">
        <v>9.4</v>
      </c>
      <c r="U99" s="51">
        <v>8</v>
      </c>
      <c r="V99" s="51">
        <v>8.8000000000000007</v>
      </c>
      <c r="W99" s="51">
        <v>5.2</v>
      </c>
      <c r="X99" s="51">
        <v>5.2</v>
      </c>
      <c r="Y99" s="51">
        <v>10.199999999999999</v>
      </c>
      <c r="Z99" s="111">
        <v>7.2</v>
      </c>
      <c r="AA99" s="51">
        <v>8.1999999999999993</v>
      </c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16</v>
      </c>
      <c r="AQ99" s="89">
        <f t="shared" si="7"/>
        <v>8.2375000000000007</v>
      </c>
      <c r="AR99" s="89">
        <f>IFERROR(VLOOKUP(A99,Climatologia!A:U,9+$E$2,FALSE),"")</f>
        <v>7.1380787981158749</v>
      </c>
      <c r="AS99" s="89">
        <f t="shared" si="8"/>
        <v>1.0994212018841258</v>
      </c>
      <c r="AT99" s="90">
        <f t="shared" si="9"/>
        <v>5.2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17.58747112704102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10.726671292953201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>
        <v>12</v>
      </c>
      <c r="Q102" s="51"/>
      <c r="R102" s="51"/>
      <c r="S102" s="51">
        <v>12</v>
      </c>
      <c r="T102" s="51">
        <v>12.6</v>
      </c>
      <c r="U102" s="51">
        <v>10.8</v>
      </c>
      <c r="V102" s="51">
        <v>12</v>
      </c>
      <c r="W102" s="51">
        <v>11</v>
      </c>
      <c r="X102" s="51">
        <v>11.2</v>
      </c>
      <c r="Y102" s="51">
        <v>12</v>
      </c>
      <c r="Z102" s="111">
        <v>11</v>
      </c>
      <c r="AA102" s="51">
        <v>11.2</v>
      </c>
      <c r="AB102" s="51">
        <v>11</v>
      </c>
      <c r="AC102" s="51">
        <v>14</v>
      </c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17</v>
      </c>
      <c r="AQ102" s="89">
        <f t="shared" si="7"/>
        <v>11.847058823529411</v>
      </c>
      <c r="AR102" s="89">
        <f>IFERROR(VLOOKUP(A102,Climatologia!A:U,9+$E$2,FALSE),"")</f>
        <v>11.27595769595214</v>
      </c>
      <c r="AS102" s="89">
        <f t="shared" si="8"/>
        <v>0.57110112757727016</v>
      </c>
      <c r="AT102" s="90">
        <f t="shared" si="9"/>
        <v>10.8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0"/>
        <v>4.2000000000000011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>
        <v>7.2</v>
      </c>
      <c r="Q103" s="51">
        <v>6.8</v>
      </c>
      <c r="R103" s="51">
        <v>7.4</v>
      </c>
      <c r="S103" s="51"/>
      <c r="T103" s="51"/>
      <c r="U103" s="51">
        <v>3.2</v>
      </c>
      <c r="V103" s="51"/>
      <c r="W103" s="51"/>
      <c r="X103" s="51">
        <v>4.2</v>
      </c>
      <c r="Y103" s="51">
        <v>7.2</v>
      </c>
      <c r="Z103" s="111">
        <v>1.4</v>
      </c>
      <c r="AA103" s="51">
        <v>2</v>
      </c>
      <c r="AB103" s="51">
        <v>3</v>
      </c>
      <c r="AC103" s="51">
        <v>7.8</v>
      </c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13</v>
      </c>
      <c r="AQ103" s="89" t="str">
        <f t="shared" si="7"/>
        <v/>
      </c>
      <c r="AR103" s="89">
        <f>IFERROR(VLOOKUP(A103,Climatologia!A:U,9+$E$2,FALSE),"")</f>
        <v>5.4140939864595783</v>
      </c>
      <c r="AS103" s="89" t="str">
        <f t="shared" si="8"/>
        <v/>
      </c>
      <c r="AT103" s="90">
        <f t="shared" si="9"/>
        <v>1.4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0"/>
        <v>2.4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>
        <v>8</v>
      </c>
      <c r="Q104" s="51">
        <v>7.6</v>
      </c>
      <c r="R104" s="51">
        <v>9.1999999999999993</v>
      </c>
      <c r="S104" s="51">
        <v>9</v>
      </c>
      <c r="T104" s="51">
        <v>6.4</v>
      </c>
      <c r="U104" s="51">
        <v>4.4000000000000004</v>
      </c>
      <c r="V104" s="51">
        <v>4.2</v>
      </c>
      <c r="W104" s="51">
        <v>4.2</v>
      </c>
      <c r="X104" s="51">
        <v>4.8</v>
      </c>
      <c r="Y104" s="51">
        <v>10</v>
      </c>
      <c r="Z104" s="111">
        <v>5.2</v>
      </c>
      <c r="AA104" s="51">
        <v>5.2</v>
      </c>
      <c r="AB104" s="51">
        <v>4.2</v>
      </c>
      <c r="AC104" s="51">
        <v>8.4</v>
      </c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19</v>
      </c>
      <c r="AQ104" s="89">
        <f t="shared" si="7"/>
        <v>6.4421052631578961</v>
      </c>
      <c r="AR104" s="89">
        <f>IFERROR(VLOOKUP(A104,Climatologia!A:U,9+$E$2,FALSE),"")</f>
        <v>6.7483058935476308</v>
      </c>
      <c r="AS104" s="89">
        <f t="shared" si="8"/>
        <v>-0.30620063038973466</v>
      </c>
      <c r="AT104" s="90">
        <f t="shared" si="9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0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>
        <v>11.2</v>
      </c>
      <c r="Q105" s="51">
        <v>11</v>
      </c>
      <c r="R105" s="51">
        <v>11.8</v>
      </c>
      <c r="S105" s="51">
        <v>12.6</v>
      </c>
      <c r="T105" s="51">
        <v>11.2</v>
      </c>
      <c r="U105" s="51">
        <v>10.4</v>
      </c>
      <c r="V105" s="51">
        <v>11.4</v>
      </c>
      <c r="W105" s="51">
        <v>9.8000000000000007</v>
      </c>
      <c r="X105" s="51">
        <v>11.4</v>
      </c>
      <c r="Y105" s="51">
        <v>11.4</v>
      </c>
      <c r="Z105" s="111">
        <v>10.6</v>
      </c>
      <c r="AA105" s="51">
        <v>10.6</v>
      </c>
      <c r="AB105" s="51">
        <v>10.4</v>
      </c>
      <c r="AC105" s="51">
        <v>10.6</v>
      </c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19</v>
      </c>
      <c r="AQ105" s="89">
        <f t="shared" si="7"/>
        <v>11.073684210526316</v>
      </c>
      <c r="AR105" s="89">
        <f>IFERROR(VLOOKUP(A105,Climatologia!A:U,9+$E$2,FALSE),"")</f>
        <v>10.11868743047831</v>
      </c>
      <c r="AS105" s="89">
        <f t="shared" si="8"/>
        <v>0.95499678004800614</v>
      </c>
      <c r="AT105" s="90">
        <f t="shared" si="9"/>
        <v>9.8000000000000007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0"/>
        <v>5.6000000000000005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>
        <v>13.2</v>
      </c>
      <c r="Q106" s="51">
        <v>14.8</v>
      </c>
      <c r="R106" s="51">
        <v>14.8</v>
      </c>
      <c r="S106" s="51">
        <v>15.6</v>
      </c>
      <c r="T106" s="51">
        <v>13</v>
      </c>
      <c r="U106" s="51">
        <v>13.6</v>
      </c>
      <c r="V106" s="51">
        <v>13.2</v>
      </c>
      <c r="W106" s="51">
        <v>12.8</v>
      </c>
      <c r="X106" s="51">
        <v>14</v>
      </c>
      <c r="Y106" s="51">
        <v>14.4</v>
      </c>
      <c r="Z106" s="111">
        <v>14.8</v>
      </c>
      <c r="AA106" s="51">
        <v>15</v>
      </c>
      <c r="AB106" s="51">
        <v>15.2</v>
      </c>
      <c r="AC106" s="51">
        <v>14</v>
      </c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19</v>
      </c>
      <c r="AQ106" s="89">
        <f t="shared" si="7"/>
        <v>14.189473684210528</v>
      </c>
      <c r="AR106" s="89">
        <f>IFERROR(VLOOKUP(A106,Climatologia!A:U,9+$E$2,FALSE),"")</f>
        <v>13.701938132316331</v>
      </c>
      <c r="AS106" s="89">
        <f t="shared" si="8"/>
        <v>0.48753555189419728</v>
      </c>
      <c r="AT106" s="90">
        <f t="shared" si="9"/>
        <v>12.8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0"/>
        <v>5.5000000000000009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>
        <v>13.2</v>
      </c>
      <c r="Q107" s="51">
        <v>14.1</v>
      </c>
      <c r="R107" s="51">
        <v>12.6</v>
      </c>
      <c r="S107" s="51">
        <v>13.8</v>
      </c>
      <c r="T107" s="51">
        <v>11.8</v>
      </c>
      <c r="U107" s="51">
        <v>11.4</v>
      </c>
      <c r="V107" s="51">
        <v>12.6</v>
      </c>
      <c r="W107" s="51">
        <v>12</v>
      </c>
      <c r="X107" s="51">
        <v>10.8</v>
      </c>
      <c r="Y107" s="51">
        <v>13.2</v>
      </c>
      <c r="Z107" s="111">
        <v>13.8</v>
      </c>
      <c r="AA107" s="51">
        <v>11.4</v>
      </c>
      <c r="AB107" s="51">
        <v>9.8000000000000007</v>
      </c>
      <c r="AC107" s="51">
        <v>12</v>
      </c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19</v>
      </c>
      <c r="AQ107" s="89">
        <f t="shared" si="7"/>
        <v>12.405263157894737</v>
      </c>
      <c r="AR107" s="89">
        <f>IFERROR(VLOOKUP(A107,Climatologia!A:U,9+$E$2,FALSE),"")</f>
        <v>11.932798761909369</v>
      </c>
      <c r="AS107" s="89">
        <f t="shared" si="8"/>
        <v>0.4724643959853676</v>
      </c>
      <c r="AT107" s="90">
        <f t="shared" si="9"/>
        <v>9.8000000000000007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0"/>
        <v>3.6000000000000005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>
        <v>13.2</v>
      </c>
      <c r="Q108" s="51">
        <v>15</v>
      </c>
      <c r="R108" s="51">
        <v>14.4</v>
      </c>
      <c r="S108" s="51">
        <v>16.399999999999999</v>
      </c>
      <c r="T108" s="51">
        <v>13</v>
      </c>
      <c r="U108" s="51">
        <v>14</v>
      </c>
      <c r="V108" s="51">
        <v>15.4</v>
      </c>
      <c r="W108" s="51">
        <v>13.4</v>
      </c>
      <c r="X108" s="51">
        <v>14</v>
      </c>
      <c r="Y108" s="51">
        <v>15.2</v>
      </c>
      <c r="Z108" s="111">
        <v>15.4</v>
      </c>
      <c r="AA108" s="51">
        <v>15.8</v>
      </c>
      <c r="AB108" s="51">
        <v>16</v>
      </c>
      <c r="AC108" s="51">
        <v>14.6</v>
      </c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19</v>
      </c>
      <c r="AQ108" s="89">
        <f t="shared" si="7"/>
        <v>14.642105263157896</v>
      </c>
      <c r="AR108" s="89">
        <f>IFERROR(VLOOKUP(A108,Climatologia!A:U,9+$E$2,FALSE),"")</f>
        <v>13.551301836348379</v>
      </c>
      <c r="AS108" s="89">
        <f t="shared" si="8"/>
        <v>1.0908034268095168</v>
      </c>
      <c r="AT108" s="90">
        <f t="shared" si="9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0"/>
        <v>3.5999999999999996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>
        <v>15.4</v>
      </c>
      <c r="Q109" s="51">
        <v>15.4</v>
      </c>
      <c r="R109" s="51">
        <v>15.6</v>
      </c>
      <c r="S109" s="51">
        <v>16.600000000000001</v>
      </c>
      <c r="T109" s="51">
        <v>14.6</v>
      </c>
      <c r="U109" s="51">
        <v>14.6</v>
      </c>
      <c r="V109" s="51">
        <v>16.2</v>
      </c>
      <c r="W109" s="51">
        <v>14.2</v>
      </c>
      <c r="X109" s="51">
        <v>15.2</v>
      </c>
      <c r="Y109" s="51">
        <v>15.2</v>
      </c>
      <c r="Z109" s="111">
        <v>16.8</v>
      </c>
      <c r="AA109" s="51">
        <v>16.8</v>
      </c>
      <c r="AB109" s="51">
        <v>16.399999999999999</v>
      </c>
      <c r="AC109" s="51">
        <v>15.6</v>
      </c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19</v>
      </c>
      <c r="AQ109" s="89">
        <f t="shared" si="7"/>
        <v>15.6</v>
      </c>
      <c r="AR109" s="89">
        <f>IFERROR(VLOOKUP(A109,Climatologia!A:U,9+$E$2,FALSE),"")</f>
        <v>13.61231765453679</v>
      </c>
      <c r="AS109" s="89">
        <f t="shared" si="8"/>
        <v>1.9876823454632095</v>
      </c>
      <c r="AT109" s="90">
        <f t="shared" si="9"/>
        <v>14.2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0"/>
        <v>6.1999999999999993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>
        <v>19.2</v>
      </c>
      <c r="R110" s="51">
        <v>17.8</v>
      </c>
      <c r="S110" s="51">
        <v>19.600000000000001</v>
      </c>
      <c r="T110" s="51">
        <v>16.600000000000001</v>
      </c>
      <c r="U110" s="51">
        <v>18</v>
      </c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9</v>
      </c>
      <c r="AQ110" s="89" t="str">
        <f t="shared" si="7"/>
        <v/>
      </c>
      <c r="AR110" s="89">
        <f>IFERROR(VLOOKUP(A110,Climatologia!A:U,9+$E$2,FALSE),"")</f>
        <v>16.896189639584598</v>
      </c>
      <c r="AS110" s="89" t="str">
        <f t="shared" si="8"/>
        <v/>
      </c>
      <c r="AT110" s="90">
        <f t="shared" si="9"/>
        <v>16.600000000000001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0"/>
        <v>5.6000000000000014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>
        <v>22.8</v>
      </c>
      <c r="Q111" s="51">
        <v>22.8</v>
      </c>
      <c r="R111" s="51">
        <v>23.4</v>
      </c>
      <c r="S111" s="51">
        <v>23.8</v>
      </c>
      <c r="T111" s="51">
        <v>21.8</v>
      </c>
      <c r="U111" s="51">
        <v>22</v>
      </c>
      <c r="V111" s="51">
        <v>22.4</v>
      </c>
      <c r="W111" s="51">
        <v>22.2</v>
      </c>
      <c r="X111" s="51">
        <v>24.2</v>
      </c>
      <c r="Y111" s="51">
        <v>24</v>
      </c>
      <c r="Z111" s="111">
        <v>24</v>
      </c>
      <c r="AA111" s="51">
        <v>24.4</v>
      </c>
      <c r="AB111" s="51">
        <v>24.4</v>
      </c>
      <c r="AC111" s="51">
        <v>22.6</v>
      </c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19</v>
      </c>
      <c r="AQ111" s="89">
        <f t="shared" si="7"/>
        <v>23.057894736842105</v>
      </c>
      <c r="AR111" s="89">
        <f>IFERROR(VLOOKUP(A111,Climatologia!A:U,9+$E$2,FALSE),"")</f>
        <v>22.231405456385989</v>
      </c>
      <c r="AS111" s="89">
        <f t="shared" si="8"/>
        <v>0.82648928045611569</v>
      </c>
      <c r="AT111" s="90">
        <f t="shared" si="9"/>
        <v>21.8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>
        <v>14.6</v>
      </c>
      <c r="Q112" s="51">
        <v>14.4</v>
      </c>
      <c r="R112" s="51">
        <v>14.8</v>
      </c>
      <c r="S112" s="51">
        <v>14.6</v>
      </c>
      <c r="T112" s="51"/>
      <c r="U112" s="51">
        <v>15.8</v>
      </c>
      <c r="V112" s="51">
        <v>14.6</v>
      </c>
      <c r="W112" s="51">
        <v>14.4</v>
      </c>
      <c r="X112" s="51">
        <v>14.2</v>
      </c>
      <c r="Y112" s="51">
        <v>14.2</v>
      </c>
      <c r="Z112" s="111">
        <v>15.4</v>
      </c>
      <c r="AA112" s="51">
        <v>14.6</v>
      </c>
      <c r="AB112" s="51">
        <v>14.4</v>
      </c>
      <c r="AC112" s="51">
        <v>14.6</v>
      </c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18</v>
      </c>
      <c r="AQ112" s="89">
        <f t="shared" si="7"/>
        <v>14.961111111111112</v>
      </c>
      <c r="AR112" s="89">
        <f>IFERROR(VLOOKUP(A112,Climatologia!A:U,9+$E$2,FALSE),"")</f>
        <v>15.22725499231951</v>
      </c>
      <c r="AS112" s="89">
        <f t="shared" si="8"/>
        <v>-0.26614388120839827</v>
      </c>
      <c r="AT112" s="90">
        <f t="shared" si="9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0"/>
        <v>4.3999999999999986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>
        <v>19.2</v>
      </c>
      <c r="Q113" s="51">
        <v>20.8</v>
      </c>
      <c r="R113" s="51">
        <v>19.600000000000001</v>
      </c>
      <c r="S113" s="51">
        <v>19</v>
      </c>
      <c r="T113" s="51">
        <v>18.600000000000001</v>
      </c>
      <c r="U113" s="51">
        <v>19</v>
      </c>
      <c r="V113" s="51">
        <v>19.600000000000001</v>
      </c>
      <c r="W113" s="51">
        <v>18.8</v>
      </c>
      <c r="X113" s="51">
        <v>20.6</v>
      </c>
      <c r="Y113" s="51">
        <v>20.399999999999999</v>
      </c>
      <c r="Z113" s="111">
        <v>20.6</v>
      </c>
      <c r="AA113" s="51">
        <v>21.2</v>
      </c>
      <c r="AB113" s="51">
        <v>21</v>
      </c>
      <c r="AC113" s="51">
        <v>18.600000000000001</v>
      </c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19</v>
      </c>
      <c r="AQ113" s="89">
        <f t="shared" si="7"/>
        <v>19.631578947368421</v>
      </c>
      <c r="AR113" s="89">
        <f>IFERROR(VLOOKUP(A113,Climatologia!A:U,9+$E$2,FALSE),"")</f>
        <v>21.8744421098889</v>
      </c>
      <c r="AS113" s="89">
        <f t="shared" si="8"/>
        <v>-2.2428631625204787</v>
      </c>
      <c r="AT113" s="90">
        <f t="shared" si="9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0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>
        <v>22.4</v>
      </c>
      <c r="Q114" s="51">
        <v>23.8</v>
      </c>
      <c r="R114" s="51">
        <v>23.4</v>
      </c>
      <c r="S114" s="51">
        <v>22.8</v>
      </c>
      <c r="T114" s="51">
        <v>23</v>
      </c>
      <c r="U114" s="51">
        <v>23.4</v>
      </c>
      <c r="V114" s="51">
        <v>23.2</v>
      </c>
      <c r="W114" s="51">
        <v>22.8</v>
      </c>
      <c r="X114" s="51">
        <v>24</v>
      </c>
      <c r="Y114" s="51">
        <v>23.6</v>
      </c>
      <c r="Z114" s="111">
        <v>22.8</v>
      </c>
      <c r="AA114" s="51">
        <v>23.8</v>
      </c>
      <c r="AB114" s="51">
        <v>25</v>
      </c>
      <c r="AC114" s="51">
        <v>22.4</v>
      </c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19</v>
      </c>
      <c r="AQ114" s="89">
        <f t="shared" si="7"/>
        <v>23.094736842105267</v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>
        <v>21.4</v>
      </c>
      <c r="Q115" s="51">
        <v>20.2</v>
      </c>
      <c r="R115" s="51">
        <v>19.399999999999999</v>
      </c>
      <c r="S115" s="51">
        <v>20.2</v>
      </c>
      <c r="T115" s="51">
        <v>20.2</v>
      </c>
      <c r="U115" s="51">
        <v>21.6</v>
      </c>
      <c r="V115" s="51">
        <v>19.2</v>
      </c>
      <c r="W115" s="51">
        <v>20.399999999999999</v>
      </c>
      <c r="X115" s="51">
        <v>19.2</v>
      </c>
      <c r="Y115" s="51">
        <v>20.2</v>
      </c>
      <c r="Z115" s="111">
        <v>21.4</v>
      </c>
      <c r="AA115" s="51">
        <v>22.4</v>
      </c>
      <c r="AB115" s="51">
        <v>20.2</v>
      </c>
      <c r="AC115" s="51">
        <v>21.2</v>
      </c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19</v>
      </c>
      <c r="AQ115" s="89">
        <f t="shared" si="7"/>
        <v>20.315789473684205</v>
      </c>
      <c r="AR115" s="89">
        <f>IFERROR(VLOOKUP(A115,Climatologia!A:U,9+$E$2,FALSE),"")</f>
        <v>18.265873654442618</v>
      </c>
      <c r="AS115" s="89">
        <f t="shared" si="8"/>
        <v>2.0499158192415869</v>
      </c>
      <c r="AT115" s="90">
        <f t="shared" si="9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0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>
        <v>20.8</v>
      </c>
      <c r="P116" s="51">
        <v>23</v>
      </c>
      <c r="Q116" s="51"/>
      <c r="R116" s="51"/>
      <c r="S116" s="51">
        <v>20</v>
      </c>
      <c r="T116" s="51">
        <v>20</v>
      </c>
      <c r="U116" s="51">
        <v>23.2</v>
      </c>
      <c r="V116" s="51">
        <v>23.2</v>
      </c>
      <c r="W116" s="51">
        <v>22</v>
      </c>
      <c r="X116" s="51">
        <v>22.4</v>
      </c>
      <c r="Y116" s="51">
        <v>24.4</v>
      </c>
      <c r="Z116" s="111">
        <v>24.4</v>
      </c>
      <c r="AA116" s="51">
        <v>24.2</v>
      </c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14</v>
      </c>
      <c r="AQ116" s="89" t="str">
        <f t="shared" si="7"/>
        <v/>
      </c>
      <c r="AR116" s="89">
        <f>IFERROR(VLOOKUP(A116,Climatologia!A:U,9+$E$2,FALSE),"")</f>
        <v>22.029592386602399</v>
      </c>
      <c r="AS116" s="89" t="str">
        <f t="shared" si="8"/>
        <v/>
      </c>
      <c r="AT116" s="90">
        <f t="shared" si="9"/>
        <v>20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0"/>
        <v>1.1999999999999993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21.674986479595521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>
        <v>6.2</v>
      </c>
      <c r="Q118" s="51">
        <v>7.6</v>
      </c>
      <c r="R118" s="51">
        <v>10</v>
      </c>
      <c r="S118" s="51">
        <v>8.4</v>
      </c>
      <c r="T118" s="51">
        <v>9.6</v>
      </c>
      <c r="U118" s="51">
        <v>9</v>
      </c>
      <c r="V118" s="51">
        <v>7.6</v>
      </c>
      <c r="W118" s="51">
        <v>9.4</v>
      </c>
      <c r="X118" s="51">
        <v>8.1999999999999993</v>
      </c>
      <c r="Y118" s="51">
        <v>7</v>
      </c>
      <c r="Z118" s="111">
        <v>10</v>
      </c>
      <c r="AA118" s="51">
        <v>10.6</v>
      </c>
      <c r="AB118" s="51">
        <v>9.1999999999999993</v>
      </c>
      <c r="AC118" s="51">
        <v>5.8</v>
      </c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19</v>
      </c>
      <c r="AQ118" s="89">
        <f t="shared" si="7"/>
        <v>8.6</v>
      </c>
      <c r="AR118" s="89">
        <f>IFERROR(VLOOKUP(A118,Climatologia!A:U,9+$E$2,FALSE),"")</f>
        <v>6.6382228524164031</v>
      </c>
      <c r="AS118" s="89">
        <f t="shared" si="8"/>
        <v>1.9617771475835966</v>
      </c>
      <c r="AT118" s="90">
        <f t="shared" si="9"/>
        <v>5.8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0"/>
        <v>7.6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19.276408602150539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>
        <v>12.8</v>
      </c>
      <c r="Q120" s="51">
        <v>13.5</v>
      </c>
      <c r="R120" s="51">
        <v>12.9</v>
      </c>
      <c r="S120" s="51">
        <v>13.2</v>
      </c>
      <c r="T120" s="51">
        <v>11.5</v>
      </c>
      <c r="U120" s="51">
        <v>12.3</v>
      </c>
      <c r="V120" s="51"/>
      <c r="W120" s="51">
        <v>11.7</v>
      </c>
      <c r="X120" s="51">
        <v>12.3</v>
      </c>
      <c r="Y120" s="51">
        <v>11.5</v>
      </c>
      <c r="Z120" s="111">
        <v>12.7</v>
      </c>
      <c r="AA120" s="51">
        <v>13.7</v>
      </c>
      <c r="AB120" s="51">
        <v>13</v>
      </c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17</v>
      </c>
      <c r="AQ120" s="89">
        <f t="shared" si="7"/>
        <v>12.494117647058822</v>
      </c>
      <c r="AR120" s="89">
        <f>IFERROR(VLOOKUP(A120,Climatologia!A:U,9+$E$2,FALSE),"")</f>
        <v>11.282109879431809</v>
      </c>
      <c r="AS120" s="89">
        <f t="shared" si="8"/>
        <v>1.2120077676270125</v>
      </c>
      <c r="AT120" s="90">
        <f t="shared" si="9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0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13.328919783739719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>
        <v>10</v>
      </c>
      <c r="Q122" s="51">
        <v>10.199999999999999</v>
      </c>
      <c r="R122" s="51">
        <v>9.6</v>
      </c>
      <c r="S122" s="51">
        <v>10.4</v>
      </c>
      <c r="T122" s="51">
        <v>10.199999999999999</v>
      </c>
      <c r="U122" s="51">
        <v>9.4</v>
      </c>
      <c r="V122" s="51">
        <v>8.6</v>
      </c>
      <c r="W122" s="51">
        <v>6</v>
      </c>
      <c r="X122" s="51">
        <v>9</v>
      </c>
      <c r="Y122" s="51">
        <v>9.4</v>
      </c>
      <c r="Z122" s="111">
        <v>10</v>
      </c>
      <c r="AA122" s="51">
        <v>10</v>
      </c>
      <c r="AB122" s="51">
        <v>9.6</v>
      </c>
      <c r="AC122" s="51">
        <v>9.1999999999999993</v>
      </c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19</v>
      </c>
      <c r="AQ122" s="89">
        <f t="shared" si="7"/>
        <v>9.5157894736842117</v>
      </c>
      <c r="AR122" s="89">
        <f>IFERROR(VLOOKUP(A122,Climatologia!A:U,9+$E$2,FALSE),"")</f>
        <v>8.088075663695717</v>
      </c>
      <c r="AS122" s="89">
        <f t="shared" si="8"/>
        <v>1.4277138099884947</v>
      </c>
      <c r="AT122" s="90">
        <f t="shared" si="9"/>
        <v>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0"/>
        <v>5.2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0</v>
      </c>
      <c r="AQ123" s="89" t="str">
        <f t="shared" si="7"/>
        <v/>
      </c>
      <c r="AR123" s="89">
        <f>IFERROR(VLOOKUP(A123,Climatologia!A:U,9+$E$2,FALSE),"")</f>
        <v>20.704813297844161</v>
      </c>
      <c r="AS123" s="89" t="str">
        <f t="shared" si="8"/>
        <v/>
      </c>
      <c r="AT123" s="90" t="str">
        <f t="shared" si="9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0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23.186679533131141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>
        <v>12.8</v>
      </c>
      <c r="Q125" s="51">
        <v>13.4</v>
      </c>
      <c r="R125" s="51">
        <v>13.9</v>
      </c>
      <c r="S125" s="51">
        <v>12.4</v>
      </c>
      <c r="T125" s="51">
        <v>14.2</v>
      </c>
      <c r="U125" s="51">
        <v>14.2</v>
      </c>
      <c r="V125" s="51">
        <v>12.6</v>
      </c>
      <c r="W125" s="51">
        <v>12.5</v>
      </c>
      <c r="X125" s="51">
        <v>12.3</v>
      </c>
      <c r="Y125" s="51">
        <v>13.2</v>
      </c>
      <c r="Z125" s="111">
        <v>14.3</v>
      </c>
      <c r="AA125" s="51">
        <v>14.2</v>
      </c>
      <c r="AB125" s="51">
        <v>13.3</v>
      </c>
      <c r="AC125" s="51">
        <v>11.4</v>
      </c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19</v>
      </c>
      <c r="AQ125" s="89">
        <f t="shared" si="7"/>
        <v>13.047368421052632</v>
      </c>
      <c r="AR125" s="89">
        <f>IFERROR(VLOOKUP(A125,Climatologia!A:U,9+$E$2,FALSE),"")</f>
        <v>11.599107526881721</v>
      </c>
      <c r="AS125" s="89">
        <f t="shared" si="8"/>
        <v>1.448260894170911</v>
      </c>
      <c r="AT125" s="90">
        <f t="shared" si="9"/>
        <v>11.2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0"/>
        <v>5.7999999999999989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>
        <v>15.4</v>
      </c>
      <c r="Q126" s="51">
        <v>15</v>
      </c>
      <c r="R126" s="51">
        <v>15.2</v>
      </c>
      <c r="S126" s="51">
        <v>14.4</v>
      </c>
      <c r="T126" s="51">
        <v>15.6</v>
      </c>
      <c r="U126" s="51">
        <v>15.4</v>
      </c>
      <c r="V126" s="51">
        <v>13.6</v>
      </c>
      <c r="W126" s="51">
        <v>14.4</v>
      </c>
      <c r="X126" s="51">
        <v>13.8</v>
      </c>
      <c r="Y126" s="51">
        <v>14.2</v>
      </c>
      <c r="Z126" s="111">
        <v>15.2</v>
      </c>
      <c r="AA126" s="51">
        <v>15.6</v>
      </c>
      <c r="AB126" s="51">
        <v>16</v>
      </c>
      <c r="AC126" s="51">
        <v>13.4</v>
      </c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19</v>
      </c>
      <c r="AQ126" s="89">
        <f t="shared" si="7"/>
        <v>14.578947368421053</v>
      </c>
      <c r="AR126" s="89">
        <f>IFERROR(VLOOKUP(A126,Climatologia!A:U,9+$E$2,FALSE),"")</f>
        <v>13.19300778642936</v>
      </c>
      <c r="AS126" s="89">
        <f t="shared" si="8"/>
        <v>1.3859395819916926</v>
      </c>
      <c r="AT126" s="90">
        <f t="shared" si="9"/>
        <v>13.2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0"/>
        <v>5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15.06265897802605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>
        <v>12.4</v>
      </c>
      <c r="Q128" s="51">
        <v>11.8</v>
      </c>
      <c r="R128" s="51">
        <v>12.2</v>
      </c>
      <c r="S128" s="51">
        <v>11.6</v>
      </c>
      <c r="T128" s="51">
        <v>11.4</v>
      </c>
      <c r="U128" s="51">
        <v>11.6</v>
      </c>
      <c r="V128" s="51">
        <v>9.8000000000000007</v>
      </c>
      <c r="W128" s="51">
        <v>10.9</v>
      </c>
      <c r="X128" s="51">
        <v>10</v>
      </c>
      <c r="Y128" s="51">
        <v>11.8</v>
      </c>
      <c r="Z128" s="111">
        <v>12.1</v>
      </c>
      <c r="AA128" s="51">
        <v>11.1</v>
      </c>
      <c r="AB128" s="51">
        <v>10</v>
      </c>
      <c r="AC128" s="51">
        <v>9</v>
      </c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19</v>
      </c>
      <c r="AQ128" s="89">
        <f t="shared" si="7"/>
        <v>11.184210526315789</v>
      </c>
      <c r="AR128" s="89">
        <f>IFERROR(VLOOKUP(A128,Climatologia!A:U,9+$E$2,FALSE),"")</f>
        <v>9.339817613927293</v>
      </c>
      <c r="AS128" s="89">
        <f t="shared" si="8"/>
        <v>1.8443929123884963</v>
      </c>
      <c r="AT128" s="90">
        <f t="shared" si="9"/>
        <v>9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0"/>
        <v>4.4000000000000004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>
        <v>10.199999999999999</v>
      </c>
      <c r="Q129" s="51">
        <v>10</v>
      </c>
      <c r="R129" s="51">
        <v>10.4</v>
      </c>
      <c r="S129" s="51">
        <v>11</v>
      </c>
      <c r="T129" s="51">
        <v>13.4</v>
      </c>
      <c r="U129" s="51">
        <v>13.8</v>
      </c>
      <c r="V129" s="51">
        <v>12.8</v>
      </c>
      <c r="W129" s="51">
        <v>12.4</v>
      </c>
      <c r="X129" s="51">
        <v>10.4</v>
      </c>
      <c r="Y129" s="51">
        <v>11</v>
      </c>
      <c r="Z129" s="111">
        <v>10.199999999999999</v>
      </c>
      <c r="AA129" s="51">
        <v>11.8</v>
      </c>
      <c r="AB129" s="51">
        <v>12.2</v>
      </c>
      <c r="AC129" s="51">
        <v>11.6</v>
      </c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18</v>
      </c>
      <c r="AQ129" s="89">
        <f t="shared" si="7"/>
        <v>11.477777777777778</v>
      </c>
      <c r="AR129" s="89">
        <f>IFERROR(VLOOKUP(A129,Climatologia!A:U,9+$E$2,FALSE),"")</f>
        <v>10.61877774246517</v>
      </c>
      <c r="AS129" s="89">
        <f t="shared" si="8"/>
        <v>0.85900003531260793</v>
      </c>
      <c r="AT129" s="90">
        <f t="shared" si="9"/>
        <v>10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0"/>
        <v>4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>
        <v>16.399999999999999</v>
      </c>
      <c r="Q130" s="51">
        <v>17</v>
      </c>
      <c r="R130" s="51">
        <v>16.8</v>
      </c>
      <c r="S130" s="51">
        <v>16</v>
      </c>
      <c r="T130" s="51">
        <v>17.2</v>
      </c>
      <c r="U130" s="51">
        <v>16</v>
      </c>
      <c r="V130" s="51">
        <v>15</v>
      </c>
      <c r="W130" s="51">
        <v>15.2</v>
      </c>
      <c r="X130" s="51">
        <v>16.399999999999999</v>
      </c>
      <c r="Y130" s="51">
        <v>17</v>
      </c>
      <c r="Z130" s="111">
        <v>17.8</v>
      </c>
      <c r="AA130" s="51">
        <v>17</v>
      </c>
      <c r="AB130" s="51">
        <v>16.399999999999999</v>
      </c>
      <c r="AC130" s="51">
        <v>15.2</v>
      </c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19</v>
      </c>
      <c r="AQ130" s="89">
        <f t="shared" si="7"/>
        <v>16.315789473684209</v>
      </c>
      <c r="AR130" s="89">
        <f>IFERROR(VLOOKUP(A130,Climatologia!A:U,9+$E$2,FALSE),"")</f>
        <v>14.704271801089879</v>
      </c>
      <c r="AS130" s="89">
        <f t="shared" si="8"/>
        <v>1.6115176725943297</v>
      </c>
      <c r="AT130" s="90">
        <f t="shared" si="9"/>
        <v>15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0"/>
        <v>4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0</v>
      </c>
      <c r="AQ131" s="89" t="str">
        <f t="shared" si="7"/>
        <v/>
      </c>
      <c r="AR131" s="89">
        <f>IFERROR(VLOOKUP(A131,Climatologia!A:U,9+$E$2,FALSE),"")</f>
        <v>6.2159888004715604</v>
      </c>
      <c r="AS131" s="89" t="str">
        <f t="shared" si="8"/>
        <v/>
      </c>
      <c r="AT131" s="90" t="str">
        <f t="shared" si="9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0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15.45201870390969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>
        <v>14.2</v>
      </c>
      <c r="Q133" s="51">
        <v>15.8</v>
      </c>
      <c r="R133" s="51">
        <v>16</v>
      </c>
      <c r="S133" s="51">
        <v>15.6</v>
      </c>
      <c r="T133" s="51">
        <v>16.2</v>
      </c>
      <c r="U133" s="51">
        <v>15.8</v>
      </c>
      <c r="V133" s="51">
        <v>14.8</v>
      </c>
      <c r="W133" s="51">
        <v>15.2</v>
      </c>
      <c r="X133" s="51">
        <v>14.4</v>
      </c>
      <c r="Y133" s="51">
        <v>15</v>
      </c>
      <c r="Z133" s="111">
        <v>15.4</v>
      </c>
      <c r="AA133" s="51">
        <v>16.2</v>
      </c>
      <c r="AB133" s="51">
        <v>15.8</v>
      </c>
      <c r="AC133" s="51">
        <v>15.2</v>
      </c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19</v>
      </c>
      <c r="AQ133" s="89">
        <f t="shared" ref="AQ133:AQ196" si="12">IF(AP133&gt;14,AVERAGE(K133:AO133),"")</f>
        <v>15.378947368421056</v>
      </c>
      <c r="AR133" s="89">
        <f>IFERROR(VLOOKUP(A133,Climatologia!A:U,9+$E$2,FALSE),"")</f>
        <v>13.71360869121677</v>
      </c>
      <c r="AS133" s="89">
        <f t="shared" ref="AS133:AS196" si="13">IF(OR(AQ133="",AR133=""),"",IFERROR(AQ133-AR133,""))</f>
        <v>1.6653386772042857</v>
      </c>
      <c r="AT133" s="90">
        <f t="shared" ref="AT133:AT196" si="14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5">IF(OR(AT133="",AU133=""),"NA",IFERROR(AT133-AU133,"NA"))</f>
        <v>7.3999999999999995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>
        <v>12</v>
      </c>
      <c r="Q134" s="51">
        <v>10.199999999999999</v>
      </c>
      <c r="R134" s="51">
        <v>10</v>
      </c>
      <c r="S134" s="51">
        <v>10.199999999999999</v>
      </c>
      <c r="T134" s="51">
        <v>11.2</v>
      </c>
      <c r="U134" s="51">
        <v>11.2</v>
      </c>
      <c r="V134" s="51">
        <v>10.4</v>
      </c>
      <c r="W134" s="51">
        <v>10.1</v>
      </c>
      <c r="X134" s="51">
        <v>11.4</v>
      </c>
      <c r="Y134" s="51">
        <v>8.8000000000000007</v>
      </c>
      <c r="Z134" s="111">
        <v>12</v>
      </c>
      <c r="AA134" s="51">
        <v>12.2</v>
      </c>
      <c r="AB134" s="51">
        <v>11.4</v>
      </c>
      <c r="AC134" s="51">
        <v>10.1</v>
      </c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19</v>
      </c>
      <c r="AQ134" s="89">
        <f t="shared" si="12"/>
        <v>10.742105263157896</v>
      </c>
      <c r="AR134" s="89">
        <f>IFERROR(VLOOKUP(A134,Climatologia!A:U,9+$E$2,FALSE),"")</f>
        <v>9.1551700301922789</v>
      </c>
      <c r="AS134" s="89">
        <f t="shared" si="13"/>
        <v>1.586935232965617</v>
      </c>
      <c r="AT134" s="90">
        <f t="shared" si="14"/>
        <v>8.8000000000000007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5"/>
        <v>3.8000000000000007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3</v>
      </c>
      <c r="AQ135" s="89" t="str">
        <f t="shared" si="12"/>
        <v/>
      </c>
      <c r="AR135" s="89">
        <f>IFERROR(VLOOKUP(A135,Climatologia!A:U,9+$E$2,FALSE),"")</f>
        <v>12.553464872786339</v>
      </c>
      <c r="AS135" s="89" t="str">
        <f t="shared" si="13"/>
        <v/>
      </c>
      <c r="AT135" s="90">
        <f t="shared" si="14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5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>
        <v>11.8</v>
      </c>
      <c r="Q136" s="51">
        <v>11.6</v>
      </c>
      <c r="R136" s="51">
        <v>11.4</v>
      </c>
      <c r="S136" s="51">
        <v>9.6</v>
      </c>
      <c r="T136" s="51">
        <v>11.6</v>
      </c>
      <c r="U136" s="51">
        <v>10.199999999999999</v>
      </c>
      <c r="V136" s="51">
        <v>9.6</v>
      </c>
      <c r="W136" s="51">
        <v>8</v>
      </c>
      <c r="X136" s="51">
        <v>10.4</v>
      </c>
      <c r="Y136" s="51">
        <v>11.6</v>
      </c>
      <c r="Z136" s="111">
        <v>11.8</v>
      </c>
      <c r="AA136" s="51">
        <v>11.4</v>
      </c>
      <c r="AB136" s="51">
        <v>10.199999999999999</v>
      </c>
      <c r="AC136" s="51">
        <v>9.1999999999999993</v>
      </c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19</v>
      </c>
      <c r="AQ136" s="89">
        <f t="shared" si="12"/>
        <v>10.705263157894736</v>
      </c>
      <c r="AR136" s="89">
        <f>IFERROR(VLOOKUP(A136,Climatologia!A:U,9+$E$2,FALSE),"")</f>
        <v>8.9132299851098509</v>
      </c>
      <c r="AS136" s="89">
        <f t="shared" si="13"/>
        <v>1.7920331727848851</v>
      </c>
      <c r="AT136" s="90">
        <f t="shared" si="14"/>
        <v>8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5"/>
        <v>4.9000000000000004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>
        <v>9.1999999999999993</v>
      </c>
      <c r="Q137" s="51">
        <v>8</v>
      </c>
      <c r="R137" s="51">
        <v>8.4</v>
      </c>
      <c r="S137" s="51">
        <v>9</v>
      </c>
      <c r="T137" s="51">
        <v>9.8000000000000007</v>
      </c>
      <c r="U137" s="51">
        <v>7.8</v>
      </c>
      <c r="V137" s="51">
        <v>8</v>
      </c>
      <c r="W137" s="51">
        <v>7.6</v>
      </c>
      <c r="X137" s="51">
        <v>7.2</v>
      </c>
      <c r="Y137" s="51">
        <v>8.6</v>
      </c>
      <c r="Z137" s="111">
        <v>7.8</v>
      </c>
      <c r="AA137" s="51">
        <v>9</v>
      </c>
      <c r="AB137" s="51">
        <v>8.4</v>
      </c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18</v>
      </c>
      <c r="AQ137" s="89">
        <f t="shared" si="12"/>
        <v>8.4777777777777779</v>
      </c>
      <c r="AR137" s="89">
        <f>IFERROR(VLOOKUP(A137,Climatologia!A:U,9+$E$2,FALSE),"")</f>
        <v>6.7529781105990789</v>
      </c>
      <c r="AS137" s="89">
        <f t="shared" si="13"/>
        <v>1.7247996671786989</v>
      </c>
      <c r="AT137" s="90">
        <f t="shared" si="14"/>
        <v>7.2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5"/>
        <v>5.6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>
        <v>25</v>
      </c>
      <c r="Q138" s="51">
        <v>25.8</v>
      </c>
      <c r="R138" s="51">
        <v>25.6</v>
      </c>
      <c r="S138" s="51">
        <v>25.6</v>
      </c>
      <c r="T138" s="51">
        <v>24.2</v>
      </c>
      <c r="U138" s="51">
        <v>24</v>
      </c>
      <c r="V138" s="51">
        <v>23.8</v>
      </c>
      <c r="W138" s="51">
        <v>23.6</v>
      </c>
      <c r="X138" s="51">
        <v>24.2</v>
      </c>
      <c r="Y138" s="51">
        <v>24.4</v>
      </c>
      <c r="Z138" s="111">
        <v>24.2</v>
      </c>
      <c r="AA138" s="51">
        <v>25.8</v>
      </c>
      <c r="AB138" s="51">
        <v>25</v>
      </c>
      <c r="AC138" s="51">
        <v>23.6</v>
      </c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19</v>
      </c>
      <c r="AQ138" s="89">
        <f t="shared" si="12"/>
        <v>24.568421052631578</v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23.6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>
        <v>11.8</v>
      </c>
      <c r="Q139" s="51">
        <v>12</v>
      </c>
      <c r="R139" s="51">
        <v>12.6</v>
      </c>
      <c r="S139" s="51">
        <v>11.2</v>
      </c>
      <c r="T139" s="51">
        <v>10.8</v>
      </c>
      <c r="U139" s="51">
        <v>10</v>
      </c>
      <c r="V139" s="51">
        <v>11.6</v>
      </c>
      <c r="W139" s="51">
        <v>11.2</v>
      </c>
      <c r="X139" s="51">
        <v>10.4</v>
      </c>
      <c r="Y139" s="51">
        <v>11</v>
      </c>
      <c r="Z139" s="111">
        <v>9.8000000000000007</v>
      </c>
      <c r="AA139" s="51">
        <v>11.2</v>
      </c>
      <c r="AB139" s="51">
        <v>10.8</v>
      </c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18</v>
      </c>
      <c r="AQ139" s="89">
        <f t="shared" si="12"/>
        <v>11.211111111111112</v>
      </c>
      <c r="AR139" s="89">
        <f>IFERROR(VLOOKUP(A139,Climatologia!A:U,9+$E$2,FALSE),"")</f>
        <v>11.20513978494624</v>
      </c>
      <c r="AS139" s="89">
        <f t="shared" si="13"/>
        <v>5.9713261648717264E-3</v>
      </c>
      <c r="AT139" s="90">
        <f t="shared" si="14"/>
        <v>9.8000000000000007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5"/>
        <v>7.2000000000000011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>
        <v>14.8</v>
      </c>
      <c r="Q140" s="51">
        <v>15</v>
      </c>
      <c r="R140" s="51">
        <v>16.2</v>
      </c>
      <c r="S140" s="51">
        <v>17</v>
      </c>
      <c r="T140" s="51">
        <v>14.4</v>
      </c>
      <c r="U140" s="51">
        <v>13</v>
      </c>
      <c r="V140" s="51">
        <v>15.8</v>
      </c>
      <c r="W140" s="51">
        <v>14.2</v>
      </c>
      <c r="X140" s="51">
        <v>14.2</v>
      </c>
      <c r="Y140" s="51">
        <v>15.8</v>
      </c>
      <c r="Z140" s="111">
        <v>14.6</v>
      </c>
      <c r="AA140" s="51">
        <v>14.2</v>
      </c>
      <c r="AB140" s="51">
        <v>14.4</v>
      </c>
      <c r="AC140" s="51">
        <v>16</v>
      </c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19</v>
      </c>
      <c r="AQ140" s="89">
        <f t="shared" si="12"/>
        <v>15.052631578947365</v>
      </c>
      <c r="AR140" s="89">
        <f>IFERROR(VLOOKUP(A140,Climatologia!A:U,9+$E$2,FALSE),"")</f>
        <v>14.402137736815151</v>
      </c>
      <c r="AS140" s="89">
        <f t="shared" si="13"/>
        <v>0.65049384213221373</v>
      </c>
      <c r="AT140" s="90">
        <f t="shared" si="14"/>
        <v>13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5"/>
        <v>1.1999999999999993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>
        <v>24.6</v>
      </c>
      <c r="Q141" s="51">
        <v>25.4</v>
      </c>
      <c r="R141" s="51">
        <v>24.6</v>
      </c>
      <c r="S141" s="51">
        <v>24.8</v>
      </c>
      <c r="T141" s="51">
        <v>27.2</v>
      </c>
      <c r="U141" s="51">
        <v>23</v>
      </c>
      <c r="V141" s="51">
        <v>24.8</v>
      </c>
      <c r="W141" s="51">
        <v>25</v>
      </c>
      <c r="X141" s="51">
        <v>25.8</v>
      </c>
      <c r="Y141" s="51">
        <v>27.2</v>
      </c>
      <c r="Z141" s="111">
        <v>27</v>
      </c>
      <c r="AA141" s="51">
        <v>25.2</v>
      </c>
      <c r="AB141" s="51">
        <v>25</v>
      </c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18</v>
      </c>
      <c r="AQ141" s="89">
        <f t="shared" si="12"/>
        <v>25.055555555555557</v>
      </c>
      <c r="AR141" s="89">
        <f>IFERROR(VLOOKUP(A141,Climatologia!A:U,9+$E$2,FALSE),"")</f>
        <v>22.245834878259799</v>
      </c>
      <c r="AS141" s="89">
        <f t="shared" si="13"/>
        <v>2.8097206772957577</v>
      </c>
      <c r="AT141" s="90">
        <f t="shared" si="14"/>
        <v>22.4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5"/>
        <v>5.3999999999999986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>
        <v>19.8</v>
      </c>
      <c r="Q142" s="51">
        <v>19.2</v>
      </c>
      <c r="R142" s="51">
        <v>20.399999999999999</v>
      </c>
      <c r="S142" s="51">
        <v>20.6</v>
      </c>
      <c r="T142" s="51">
        <v>18.600000000000001</v>
      </c>
      <c r="U142" s="51">
        <v>19.8</v>
      </c>
      <c r="V142" s="51">
        <v>20.8</v>
      </c>
      <c r="W142" s="51">
        <v>19.2</v>
      </c>
      <c r="X142" s="51">
        <v>19.600000000000001</v>
      </c>
      <c r="Y142" s="51">
        <v>20.399999999999999</v>
      </c>
      <c r="Z142" s="111">
        <v>20</v>
      </c>
      <c r="AA142" s="51">
        <v>19.8</v>
      </c>
      <c r="AB142" s="51">
        <v>20.2</v>
      </c>
      <c r="AC142" s="51">
        <v>21.2</v>
      </c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19</v>
      </c>
      <c r="AQ142" s="89">
        <f t="shared" si="12"/>
        <v>19.96842105263158</v>
      </c>
      <c r="AR142" s="89">
        <f>IFERROR(VLOOKUP(A142,Climatologia!A:U,9+$E$2,FALSE),"")</f>
        <v>19.025806451612901</v>
      </c>
      <c r="AS142" s="89">
        <f t="shared" si="13"/>
        <v>0.94261460101867911</v>
      </c>
      <c r="AT142" s="90">
        <f t="shared" si="14"/>
        <v>18.600000000000001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5"/>
        <v>5.6000000000000014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>
        <v>23.4</v>
      </c>
      <c r="Q143" s="51">
        <v>25.2</v>
      </c>
      <c r="R143" s="51">
        <v>25</v>
      </c>
      <c r="S143" s="51">
        <v>26</v>
      </c>
      <c r="T143" s="51">
        <v>23.2</v>
      </c>
      <c r="U143" s="51">
        <v>22.6</v>
      </c>
      <c r="V143" s="51">
        <v>23.4</v>
      </c>
      <c r="W143" s="51">
        <v>22.6</v>
      </c>
      <c r="X143" s="51">
        <v>23.6</v>
      </c>
      <c r="Y143" s="51">
        <v>25.2</v>
      </c>
      <c r="Z143" s="111">
        <v>24.6</v>
      </c>
      <c r="AA143" s="51">
        <v>24.2</v>
      </c>
      <c r="AB143" s="51">
        <v>25.2</v>
      </c>
      <c r="AC143" s="51">
        <v>24</v>
      </c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19</v>
      </c>
      <c r="AQ143" s="89">
        <f t="shared" si="12"/>
        <v>24.252631578947369</v>
      </c>
      <c r="AR143" s="89">
        <f>IFERROR(VLOOKUP(A143,Climatologia!A:U,9+$E$2,FALSE),"")</f>
        <v>23.058077373350361</v>
      </c>
      <c r="AS143" s="89">
        <f t="shared" si="13"/>
        <v>1.194554205597008</v>
      </c>
      <c r="AT143" s="90">
        <f t="shared" si="14"/>
        <v>22.6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5"/>
        <v>6.6000000000000014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>
        <v>16.399999999999999</v>
      </c>
      <c r="Q144" s="51">
        <v>17.600000000000001</v>
      </c>
      <c r="R144" s="51">
        <v>15.8</v>
      </c>
      <c r="S144" s="51">
        <v>19</v>
      </c>
      <c r="T144" s="51">
        <v>14.8</v>
      </c>
      <c r="U144" s="51">
        <v>16.2</v>
      </c>
      <c r="V144" s="51">
        <v>19</v>
      </c>
      <c r="W144" s="51">
        <v>16.8</v>
      </c>
      <c r="X144" s="51">
        <v>16.600000000000001</v>
      </c>
      <c r="Y144" s="51">
        <v>15.6</v>
      </c>
      <c r="Z144" s="111">
        <v>16.2</v>
      </c>
      <c r="AA144" s="51">
        <v>16.2</v>
      </c>
      <c r="AB144" s="51">
        <v>19.2</v>
      </c>
      <c r="AC144" s="51">
        <v>17.600000000000001</v>
      </c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19</v>
      </c>
      <c r="AQ144" s="89">
        <f t="shared" si="12"/>
        <v>16.957894736842103</v>
      </c>
      <c r="AR144" s="89">
        <f>IFERROR(VLOOKUP(A144,Climatologia!A:U,9+$E$2,FALSE),"")</f>
        <v>15.740161290322581</v>
      </c>
      <c r="AS144" s="89">
        <f t="shared" si="13"/>
        <v>1.2177334465195226</v>
      </c>
      <c r="AT144" s="90">
        <f t="shared" si="14"/>
        <v>14.8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5"/>
        <v>4.8000000000000007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>
        <v>14</v>
      </c>
      <c r="P145" s="51">
        <v>12</v>
      </c>
      <c r="Q145" s="51">
        <v>13.2</v>
      </c>
      <c r="R145" s="51">
        <v>13.2</v>
      </c>
      <c r="S145" s="51">
        <v>14.8</v>
      </c>
      <c r="T145" s="51">
        <v>12.4</v>
      </c>
      <c r="U145" s="51">
        <v>11.4</v>
      </c>
      <c r="V145" s="51">
        <v>13.2</v>
      </c>
      <c r="W145" s="51">
        <v>13.4</v>
      </c>
      <c r="X145" s="51">
        <v>13.2</v>
      </c>
      <c r="Y145" s="51">
        <v>13.2</v>
      </c>
      <c r="Z145" s="111">
        <v>11.4</v>
      </c>
      <c r="AA145" s="51">
        <v>12.2</v>
      </c>
      <c r="AB145" s="51">
        <v>11.4</v>
      </c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18</v>
      </c>
      <c r="AQ145" s="89">
        <f t="shared" si="12"/>
        <v>13.033333333333331</v>
      </c>
      <c r="AR145" s="89">
        <f>IFERROR(VLOOKUP(A145,Climatologia!A:U,9+$E$2,FALSE),"")</f>
        <v>13.803722366927129</v>
      </c>
      <c r="AS145" s="89">
        <f t="shared" si="13"/>
        <v>-0.77038903359379773</v>
      </c>
      <c r="AT145" s="90">
        <f t="shared" si="14"/>
        <v>11.4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5"/>
        <v>3.2000000000000011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>
        <v>16.399999999999999</v>
      </c>
      <c r="Q146" s="51">
        <v>17.399999999999999</v>
      </c>
      <c r="R146" s="51">
        <v>17</v>
      </c>
      <c r="S146" s="51">
        <v>17.2</v>
      </c>
      <c r="T146" s="51">
        <v>15.4</v>
      </c>
      <c r="U146" s="51">
        <v>16.600000000000001</v>
      </c>
      <c r="V146" s="51">
        <v>16.399999999999999</v>
      </c>
      <c r="W146" s="51">
        <v>15</v>
      </c>
      <c r="X146" s="51">
        <v>16</v>
      </c>
      <c r="Y146" s="51">
        <v>17</v>
      </c>
      <c r="Z146" s="111">
        <v>14.6</v>
      </c>
      <c r="AA146" s="51">
        <v>16.399999999999999</v>
      </c>
      <c r="AB146" s="51">
        <v>17.2</v>
      </c>
      <c r="AC146" s="51">
        <v>16.2</v>
      </c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19</v>
      </c>
      <c r="AQ146" s="89">
        <f t="shared" si="12"/>
        <v>16.336842105263155</v>
      </c>
      <c r="AR146" s="89">
        <f>IFERROR(VLOOKUP(A146,Climatologia!A:U,9+$E$2,FALSE),"")</f>
        <v>14.51408071669195</v>
      </c>
      <c r="AS146" s="89">
        <f t="shared" si="13"/>
        <v>1.8227613885712053</v>
      </c>
      <c r="AT146" s="90">
        <f t="shared" si="14"/>
        <v>14.6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5"/>
        <v>4.1999999999999993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>
        <v>35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</v>
      </c>
      <c r="AQ147" s="89" t="str">
        <f t="shared" si="12"/>
        <v/>
      </c>
      <c r="AR147" s="89">
        <f>IFERROR(VLOOKUP(A147,Climatologia!A:U,9+$E$2,FALSE),"")</f>
        <v>22.195180230256881</v>
      </c>
      <c r="AS147" s="89" t="str">
        <f t="shared" si="13"/>
        <v/>
      </c>
      <c r="AT147" s="90">
        <f t="shared" si="14"/>
        <v>35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>
        <f t="shared" si="15"/>
        <v>19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19.655086355667251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>
        <v>23.8</v>
      </c>
      <c r="P149" s="51">
        <v>25</v>
      </c>
      <c r="Q149" s="51">
        <v>25.6</v>
      </c>
      <c r="R149" s="51">
        <v>26.7</v>
      </c>
      <c r="S149" s="51">
        <v>24.2</v>
      </c>
      <c r="T149" s="51">
        <v>24</v>
      </c>
      <c r="U149" s="51">
        <v>25.8</v>
      </c>
      <c r="V149" s="51">
        <v>24.6</v>
      </c>
      <c r="W149" s="51">
        <v>23.4</v>
      </c>
      <c r="X149" s="51">
        <v>25.8</v>
      </c>
      <c r="Y149" s="51">
        <v>25.8</v>
      </c>
      <c r="Z149" s="111">
        <v>26.4</v>
      </c>
      <c r="AA149" s="51">
        <v>26.8</v>
      </c>
      <c r="AB149" s="51">
        <v>24.8</v>
      </c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18</v>
      </c>
      <c r="AQ149" s="89">
        <f t="shared" si="12"/>
        <v>25.005555555555553</v>
      </c>
      <c r="AR149" s="89">
        <f>IFERROR(VLOOKUP(A149,Climatologia!A:U,9+$E$2,FALSE),"")</f>
        <v>22.18387110738724</v>
      </c>
      <c r="AS149" s="89">
        <f t="shared" si="13"/>
        <v>2.8216844481683125</v>
      </c>
      <c r="AT149" s="90">
        <f t="shared" si="14"/>
        <v>23.4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5"/>
        <v>4.1999999999999993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>
        <v>25.4</v>
      </c>
      <c r="Q150" s="51">
        <v>24.8</v>
      </c>
      <c r="R150" s="51">
        <v>25.6</v>
      </c>
      <c r="S150" s="51">
        <v>23.6</v>
      </c>
      <c r="T150" s="51">
        <v>23.6</v>
      </c>
      <c r="U150" s="51"/>
      <c r="V150" s="51">
        <v>24.4</v>
      </c>
      <c r="W150" s="51">
        <v>24</v>
      </c>
      <c r="X150" s="51">
        <v>24</v>
      </c>
      <c r="Y150" s="51">
        <v>24</v>
      </c>
      <c r="Z150" s="111">
        <v>25.6</v>
      </c>
      <c r="AA150" s="51">
        <v>25.8</v>
      </c>
      <c r="AB150" s="51">
        <v>24</v>
      </c>
      <c r="AC150" s="51">
        <v>25</v>
      </c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17</v>
      </c>
      <c r="AQ150" s="89">
        <f t="shared" si="12"/>
        <v>24.576470588235296</v>
      </c>
      <c r="AR150" s="89">
        <f>IFERROR(VLOOKUP(A150,Climatologia!A:U,9+$E$2,FALSE),"")</f>
        <v>23.43347279820177</v>
      </c>
      <c r="AS150" s="89">
        <f t="shared" si="13"/>
        <v>1.142997790033526</v>
      </c>
      <c r="AT150" s="90">
        <f t="shared" si="14"/>
        <v>23.6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5"/>
        <v>6.2000000000000028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>
        <v>14.4</v>
      </c>
      <c r="Q151" s="51">
        <v>15.8</v>
      </c>
      <c r="R151" s="51">
        <v>16</v>
      </c>
      <c r="S151" s="51">
        <v>16.8</v>
      </c>
      <c r="T151" s="51">
        <v>14.6</v>
      </c>
      <c r="U151" s="51">
        <v>15.6</v>
      </c>
      <c r="V151" s="51">
        <v>16.2</v>
      </c>
      <c r="W151" s="51">
        <v>14.8</v>
      </c>
      <c r="X151" s="51">
        <v>15</v>
      </c>
      <c r="Y151" s="51">
        <v>14.8</v>
      </c>
      <c r="Z151" s="111">
        <v>15.2</v>
      </c>
      <c r="AA151" s="51">
        <v>15.2</v>
      </c>
      <c r="AB151" s="51">
        <v>16</v>
      </c>
      <c r="AC151" s="51">
        <v>16.8</v>
      </c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18</v>
      </c>
      <c r="AQ151" s="89">
        <f t="shared" si="12"/>
        <v>15.5</v>
      </c>
      <c r="AR151" s="89">
        <f>IFERROR(VLOOKUP(A151,Climatologia!A:U,9+$E$2,FALSE),"")</f>
        <v>14.297625170572489</v>
      </c>
      <c r="AS151" s="89">
        <f t="shared" si="13"/>
        <v>1.2023748294275105</v>
      </c>
      <c r="AT151" s="90">
        <f t="shared" si="14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5"/>
        <v>5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>
        <v>21.4</v>
      </c>
      <c r="Q152" s="51">
        <v>21.2</v>
      </c>
      <c r="R152" s="51">
        <v>20.399999999999999</v>
      </c>
      <c r="S152" s="51">
        <v>22</v>
      </c>
      <c r="T152" s="51">
        <v>18.399999999999999</v>
      </c>
      <c r="U152" s="51">
        <v>18.8</v>
      </c>
      <c r="V152" s="51">
        <v>20.8</v>
      </c>
      <c r="W152" s="51">
        <v>19.399999999999999</v>
      </c>
      <c r="X152" s="51">
        <v>19.2</v>
      </c>
      <c r="Y152" s="51">
        <v>19.2</v>
      </c>
      <c r="Z152" s="111">
        <v>19.399999999999999</v>
      </c>
      <c r="AA152" s="51">
        <v>21.2</v>
      </c>
      <c r="AB152" s="51">
        <v>21.2</v>
      </c>
      <c r="AC152" s="51">
        <v>21.8</v>
      </c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19</v>
      </c>
      <c r="AQ152" s="89">
        <f t="shared" si="12"/>
        <v>20.389473684210525</v>
      </c>
      <c r="AR152" s="89">
        <f>IFERROR(VLOOKUP(A152,Climatologia!A:U,9+$E$2,FALSE),"")</f>
        <v>19.338408533503909</v>
      </c>
      <c r="AS152" s="89">
        <f t="shared" si="13"/>
        <v>1.0510651507066164</v>
      </c>
      <c r="AT152" s="90">
        <f t="shared" si="14"/>
        <v>18.399999999999999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5"/>
        <v>4.3999999999999986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>
        <v>15.2</v>
      </c>
      <c r="Q153" s="51">
        <v>17</v>
      </c>
      <c r="R153" s="51">
        <v>17.2</v>
      </c>
      <c r="S153" s="51">
        <v>17</v>
      </c>
      <c r="T153" s="51">
        <v>15</v>
      </c>
      <c r="U153" s="51">
        <v>14.8</v>
      </c>
      <c r="V153" s="51">
        <v>16.8</v>
      </c>
      <c r="W153" s="51">
        <v>15</v>
      </c>
      <c r="X153" s="51">
        <v>13.2</v>
      </c>
      <c r="Y153" s="51">
        <v>16.600000000000001</v>
      </c>
      <c r="Z153" s="111">
        <v>15.2</v>
      </c>
      <c r="AA153" s="51">
        <v>16</v>
      </c>
      <c r="AB153" s="51">
        <v>16.399999999999999</v>
      </c>
      <c r="AC153" s="51">
        <v>16.8</v>
      </c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19</v>
      </c>
      <c r="AQ153" s="89">
        <f t="shared" si="12"/>
        <v>16.157894736842106</v>
      </c>
      <c r="AR153" s="89">
        <f>IFERROR(VLOOKUP(A153,Climatologia!A:U,9+$E$2,FALSE),"")</f>
        <v>15.46093670134405</v>
      </c>
      <c r="AS153" s="89">
        <f t="shared" si="13"/>
        <v>0.69695803549805646</v>
      </c>
      <c r="AT153" s="90">
        <f t="shared" si="14"/>
        <v>13.2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5"/>
        <v>2.1999999999999993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>
        <v>18.2</v>
      </c>
      <c r="Q154" s="51">
        <v>19</v>
      </c>
      <c r="R154" s="51">
        <v>19.399999999999999</v>
      </c>
      <c r="S154" s="51">
        <v>18.8</v>
      </c>
      <c r="T154" s="51">
        <v>18</v>
      </c>
      <c r="U154" s="51">
        <v>19</v>
      </c>
      <c r="V154" s="51">
        <v>18.600000000000001</v>
      </c>
      <c r="W154" s="51">
        <v>18.2</v>
      </c>
      <c r="X154" s="51">
        <v>19</v>
      </c>
      <c r="Y154" s="51">
        <v>18.399999999999999</v>
      </c>
      <c r="Z154" s="111">
        <v>18.8</v>
      </c>
      <c r="AA154" s="51">
        <v>18.600000000000001</v>
      </c>
      <c r="AB154" s="51">
        <v>19</v>
      </c>
      <c r="AC154" s="51">
        <v>19.2</v>
      </c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19</v>
      </c>
      <c r="AQ154" s="89">
        <f t="shared" si="12"/>
        <v>18.694736842105264</v>
      </c>
      <c r="AR154" s="89">
        <f>IFERROR(VLOOKUP(A154,Climatologia!A:U,9+$E$2,FALSE),"")</f>
        <v>17.87864592645921</v>
      </c>
      <c r="AS154" s="89">
        <f t="shared" si="13"/>
        <v>0.81609091564605407</v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5"/>
        <v>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13.12444319775596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>
        <v>10.6</v>
      </c>
      <c r="Q156" s="51">
        <v>10</v>
      </c>
      <c r="R156" s="51">
        <v>13.8</v>
      </c>
      <c r="S156" s="51">
        <v>10</v>
      </c>
      <c r="T156" s="51">
        <v>10.4</v>
      </c>
      <c r="U156" s="51">
        <v>11</v>
      </c>
      <c r="V156" s="51">
        <v>10.8</v>
      </c>
      <c r="W156" s="51">
        <v>9</v>
      </c>
      <c r="X156" s="51">
        <v>9.4</v>
      </c>
      <c r="Y156" s="51">
        <v>9.1999999999999993</v>
      </c>
      <c r="Z156" s="111">
        <v>9.6</v>
      </c>
      <c r="AA156" s="51"/>
      <c r="AB156" s="51">
        <v>10</v>
      </c>
      <c r="AC156" s="51">
        <v>10</v>
      </c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18</v>
      </c>
      <c r="AQ156" s="89">
        <f t="shared" si="12"/>
        <v>10.355555555555554</v>
      </c>
      <c r="AR156" s="89">
        <f>IFERROR(VLOOKUP(A156,Climatologia!A:U,9+$E$2,FALSE),"")</f>
        <v>9.5855913978494645</v>
      </c>
      <c r="AS156" s="89">
        <f t="shared" si="13"/>
        <v>0.76996415770608984</v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5"/>
        <v>2.8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>
        <v>13.8</v>
      </c>
      <c r="Q157" s="51">
        <v>15</v>
      </c>
      <c r="R157" s="51">
        <v>14.4</v>
      </c>
      <c r="S157" s="51"/>
      <c r="T157" s="51">
        <v>11.2</v>
      </c>
      <c r="U157" s="51">
        <v>13.2</v>
      </c>
      <c r="V157" s="51">
        <v>14.4</v>
      </c>
      <c r="W157" s="51">
        <v>13.2</v>
      </c>
      <c r="X157" s="51">
        <v>13.2</v>
      </c>
      <c r="Y157" s="51">
        <v>13.6</v>
      </c>
      <c r="Z157" s="111">
        <v>15</v>
      </c>
      <c r="AA157" s="51">
        <v>13</v>
      </c>
      <c r="AB157" s="51">
        <v>14.2</v>
      </c>
      <c r="AC157" s="51">
        <v>14.8</v>
      </c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18</v>
      </c>
      <c r="AQ157" s="89">
        <f t="shared" si="12"/>
        <v>13.844444444444443</v>
      </c>
      <c r="AR157" s="89">
        <f>IFERROR(VLOOKUP(A157,Climatologia!A:U,9+$E$2,FALSE),"")</f>
        <v>13.943843654075909</v>
      </c>
      <c r="AS157" s="89">
        <f t="shared" si="13"/>
        <v>-9.9399209631465979E-2</v>
      </c>
      <c r="AT157" s="90">
        <f t="shared" si="14"/>
        <v>11.2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5"/>
        <v>0.19999999999999929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>
        <v>20</v>
      </c>
      <c r="Q158" s="51">
        <v>21</v>
      </c>
      <c r="R158" s="51">
        <v>21.8</v>
      </c>
      <c r="S158" s="51">
        <v>20.8</v>
      </c>
      <c r="T158" s="51">
        <v>19.2</v>
      </c>
      <c r="U158" s="51">
        <v>20.399999999999999</v>
      </c>
      <c r="V158" s="51">
        <v>21.2</v>
      </c>
      <c r="W158" s="51">
        <v>21.6</v>
      </c>
      <c r="X158" s="51">
        <v>21.2</v>
      </c>
      <c r="Y158" s="51">
        <v>20.8</v>
      </c>
      <c r="Z158" s="111">
        <v>20.6</v>
      </c>
      <c r="AA158" s="51"/>
      <c r="AB158" s="51"/>
      <c r="AC158" s="51">
        <v>21.2</v>
      </c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17</v>
      </c>
      <c r="AQ158" s="89">
        <f t="shared" si="12"/>
        <v>20.929411764705883</v>
      </c>
      <c r="AR158" s="89">
        <f>IFERROR(VLOOKUP(A158,Climatologia!A:U,9+$E$2,FALSE),"")</f>
        <v>19.834386821064239</v>
      </c>
      <c r="AS158" s="89">
        <f t="shared" si="13"/>
        <v>1.0950249436416435</v>
      </c>
      <c r="AT158" s="90">
        <f t="shared" si="14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5"/>
        <v>3.5999999999999996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>
        <v>3.8</v>
      </c>
      <c r="Q159" s="51">
        <v>7.8</v>
      </c>
      <c r="R159" s="51">
        <v>7.4</v>
      </c>
      <c r="S159" s="51">
        <v>8.1999999999999993</v>
      </c>
      <c r="T159" s="51">
        <v>6</v>
      </c>
      <c r="U159" s="51">
        <v>6.4</v>
      </c>
      <c r="V159" s="51">
        <v>6.4</v>
      </c>
      <c r="W159" s="51">
        <v>5.4</v>
      </c>
      <c r="X159" s="51">
        <v>6.6</v>
      </c>
      <c r="Y159" s="51">
        <v>6.2</v>
      </c>
      <c r="Z159" s="111">
        <v>6.6</v>
      </c>
      <c r="AA159" s="51">
        <v>6.2</v>
      </c>
      <c r="AB159" s="51">
        <v>6.4</v>
      </c>
      <c r="AC159" s="51">
        <v>7.4</v>
      </c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19</v>
      </c>
      <c r="AQ159" s="89">
        <f t="shared" si="12"/>
        <v>6.6315789473684221</v>
      </c>
      <c r="AR159" s="89">
        <f>IFERROR(VLOOKUP(A159,Climatologia!A:U,9+$E$2,FALSE),"")</f>
        <v>5.6003137960461657</v>
      </c>
      <c r="AS159" s="89">
        <f t="shared" si="13"/>
        <v>1.0312651513222564</v>
      </c>
      <c r="AT159" s="90">
        <f t="shared" si="14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5"/>
        <v>6.8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>
        <v>21</v>
      </c>
      <c r="Q160" s="51">
        <v>20.6</v>
      </c>
      <c r="R160" s="51">
        <v>20.8</v>
      </c>
      <c r="S160" s="51">
        <v>21</v>
      </c>
      <c r="T160" s="51">
        <v>20.2</v>
      </c>
      <c r="U160" s="51">
        <v>20.2</v>
      </c>
      <c r="V160" s="51"/>
      <c r="W160" s="51">
        <v>20</v>
      </c>
      <c r="X160" s="51">
        <v>20.2</v>
      </c>
      <c r="Y160" s="51">
        <v>20</v>
      </c>
      <c r="Z160" s="111">
        <v>20.2</v>
      </c>
      <c r="AA160" s="51">
        <v>20.2</v>
      </c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14</v>
      </c>
      <c r="AQ160" s="89" t="str">
        <f t="shared" si="12"/>
        <v/>
      </c>
      <c r="AR160" s="89">
        <f>IFERROR(VLOOKUP(A160,Climatologia!A:U,9+$E$2,FALSE),"")</f>
        <v>20.495547320475019</v>
      </c>
      <c r="AS160" s="89" t="str">
        <f t="shared" si="13"/>
        <v/>
      </c>
      <c r="AT160" s="90">
        <f t="shared" si="14"/>
        <v>20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5"/>
        <v>4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>
        <v>14.6</v>
      </c>
      <c r="Q161" s="51">
        <v>14.8</v>
      </c>
      <c r="R161" s="51">
        <v>14.8</v>
      </c>
      <c r="S161" s="51">
        <v>15</v>
      </c>
      <c r="T161" s="51">
        <v>15</v>
      </c>
      <c r="U161" s="51">
        <v>15</v>
      </c>
      <c r="V161" s="51">
        <v>16</v>
      </c>
      <c r="W161" s="51">
        <v>15</v>
      </c>
      <c r="X161" s="51">
        <v>14.8</v>
      </c>
      <c r="Y161" s="51">
        <v>15</v>
      </c>
      <c r="Z161" s="111">
        <v>15</v>
      </c>
      <c r="AA161" s="51">
        <v>14.2</v>
      </c>
      <c r="AB161" s="51">
        <v>14.8</v>
      </c>
      <c r="AC161" s="51">
        <v>14.4</v>
      </c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19</v>
      </c>
      <c r="AQ161" s="89">
        <f t="shared" si="12"/>
        <v>14.915789473684208</v>
      </c>
      <c r="AR161" s="89">
        <f>IFERROR(VLOOKUP(A161,Climatologia!A:U,9+$E$2,FALSE),"")</f>
        <v>13.818785782119109</v>
      </c>
      <c r="AS161" s="89">
        <f t="shared" si="13"/>
        <v>1.0970036915650994</v>
      </c>
      <c r="AT161" s="90">
        <f t="shared" si="14"/>
        <v>14.2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5"/>
        <v>4.1999999999999993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>
        <v>19</v>
      </c>
      <c r="Q162" s="51">
        <v>17.600000000000001</v>
      </c>
      <c r="R162" s="51">
        <v>19.600000000000001</v>
      </c>
      <c r="S162" s="51"/>
      <c r="T162" s="51">
        <v>18</v>
      </c>
      <c r="U162" s="51">
        <v>20</v>
      </c>
      <c r="V162" s="51">
        <v>18.600000000000001</v>
      </c>
      <c r="W162" s="51">
        <v>18</v>
      </c>
      <c r="X162" s="51">
        <v>18.600000000000001</v>
      </c>
      <c r="Y162" s="51">
        <v>18</v>
      </c>
      <c r="Z162" s="111">
        <v>19</v>
      </c>
      <c r="AA162" s="51">
        <v>18.600000000000001</v>
      </c>
      <c r="AB162" s="51">
        <v>18</v>
      </c>
      <c r="AC162" s="51">
        <v>18.600000000000001</v>
      </c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18</v>
      </c>
      <c r="AQ162" s="89">
        <f t="shared" si="12"/>
        <v>18.544444444444444</v>
      </c>
      <c r="AR162" s="89">
        <f>IFERROR(VLOOKUP(A162,Climatologia!A:U,9+$E$2,FALSE),"")</f>
        <v>18.04587813620072</v>
      </c>
      <c r="AS162" s="89">
        <f t="shared" si="13"/>
        <v>0.49856630824372417</v>
      </c>
      <c r="AT162" s="90">
        <f t="shared" si="14"/>
        <v>17.600000000000001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5"/>
        <v>3.4000000000000021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>
        <v>19.3</v>
      </c>
      <c r="Q163" s="51">
        <v>19.2</v>
      </c>
      <c r="R163" s="51">
        <v>19</v>
      </c>
      <c r="S163" s="51">
        <v>20.6</v>
      </c>
      <c r="T163" s="51">
        <v>20.6</v>
      </c>
      <c r="U163" s="51">
        <v>19.7</v>
      </c>
      <c r="V163" s="51">
        <v>20.5</v>
      </c>
      <c r="W163" s="51">
        <v>21.1</v>
      </c>
      <c r="X163" s="51">
        <v>16.8</v>
      </c>
      <c r="Y163" s="51">
        <v>19</v>
      </c>
      <c r="Z163" s="111">
        <v>18.8</v>
      </c>
      <c r="AA163" s="51">
        <v>18.399999999999999</v>
      </c>
      <c r="AB163" s="51">
        <v>21.8</v>
      </c>
      <c r="AC163" s="51">
        <v>19.8</v>
      </c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19</v>
      </c>
      <c r="AQ163" s="89">
        <f t="shared" si="12"/>
        <v>19.810526315789474</v>
      </c>
      <c r="AR163" s="89">
        <f>IFERROR(VLOOKUP(A163,Climatologia!A:U,9+$E$2,FALSE),"")</f>
        <v>19.115674945265461</v>
      </c>
      <c r="AS163" s="89">
        <f t="shared" si="13"/>
        <v>0.69485137052401313</v>
      </c>
      <c r="AT163" s="90">
        <f t="shared" si="14"/>
        <v>16.8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5"/>
        <v>2.1000000000000014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>
        <v>11.4</v>
      </c>
      <c r="Q164" s="51">
        <v>10.8</v>
      </c>
      <c r="R164" s="51">
        <v>11.2</v>
      </c>
      <c r="S164" s="51">
        <v>10.6</v>
      </c>
      <c r="T164" s="51">
        <v>10.199999999999999</v>
      </c>
      <c r="U164" s="51">
        <v>9</v>
      </c>
      <c r="V164" s="51">
        <v>8.6</v>
      </c>
      <c r="W164" s="51">
        <v>10</v>
      </c>
      <c r="X164" s="51">
        <v>11</v>
      </c>
      <c r="Y164" s="51">
        <v>10.8</v>
      </c>
      <c r="Z164" s="111">
        <v>9</v>
      </c>
      <c r="AA164" s="51">
        <v>10</v>
      </c>
      <c r="AB164" s="51">
        <v>10.8</v>
      </c>
      <c r="AC164" s="51">
        <v>11.8</v>
      </c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19</v>
      </c>
      <c r="AQ164" s="89">
        <f t="shared" si="12"/>
        <v>10.421052631578949</v>
      </c>
      <c r="AR164" s="89">
        <f>IFERROR(VLOOKUP(A164,Climatologia!A:U,9+$E$2,FALSE),"")</f>
        <v>8.3170988717622762</v>
      </c>
      <c r="AS164" s="89">
        <f t="shared" si="13"/>
        <v>2.1039537598166724</v>
      </c>
      <c r="AT164" s="90">
        <f t="shared" si="14"/>
        <v>8.6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5"/>
        <v>6.6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>
        <v>19</v>
      </c>
      <c r="R165" s="51">
        <v>18.2</v>
      </c>
      <c r="S165" s="51">
        <v>20.2</v>
      </c>
      <c r="T165" s="51">
        <v>18</v>
      </c>
      <c r="U165" s="51">
        <v>19</v>
      </c>
      <c r="V165" s="51">
        <v>19.600000000000001</v>
      </c>
      <c r="W165" s="51">
        <v>20</v>
      </c>
      <c r="X165" s="51"/>
      <c r="Y165" s="51">
        <v>19</v>
      </c>
      <c r="Z165" s="111"/>
      <c r="AA165" s="51">
        <v>19.2</v>
      </c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14</v>
      </c>
      <c r="AQ165" s="89" t="str">
        <f t="shared" si="12"/>
        <v/>
      </c>
      <c r="AR165" s="89">
        <f>IFERROR(VLOOKUP(A165,Climatologia!A:U,9+$E$2,FALSE),"")</f>
        <v>17.28229674415218</v>
      </c>
      <c r="AS165" s="89" t="str">
        <f t="shared" si="13"/>
        <v/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5"/>
        <v>5.8000000000000007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17.38684419195932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15.704746922128139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>
        <v>19.2</v>
      </c>
      <c r="P168" s="51"/>
      <c r="Q168" s="51">
        <v>20.2</v>
      </c>
      <c r="R168" s="51">
        <v>20.6</v>
      </c>
      <c r="S168" s="51">
        <v>20.8</v>
      </c>
      <c r="T168" s="51">
        <v>20.399999999999999</v>
      </c>
      <c r="U168" s="51">
        <v>20.2</v>
      </c>
      <c r="V168" s="51">
        <v>20.399999999999999</v>
      </c>
      <c r="W168" s="51">
        <v>19.8</v>
      </c>
      <c r="X168" s="51">
        <v>18.600000000000001</v>
      </c>
      <c r="Y168" s="51">
        <v>18.8</v>
      </c>
      <c r="Z168" s="111"/>
      <c r="AA168" s="51">
        <v>19.600000000000001</v>
      </c>
      <c r="AB168" s="51">
        <v>19.8</v>
      </c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16</v>
      </c>
      <c r="AQ168" s="89">
        <f t="shared" si="12"/>
        <v>19.912500000000005</v>
      </c>
      <c r="AR168" s="89">
        <f>IFERROR(VLOOKUP(A168,Climatologia!A:U,9+$E$2,FALSE),"")</f>
        <v>19.124532286510789</v>
      </c>
      <c r="AS168" s="89">
        <f t="shared" si="13"/>
        <v>0.78796771348921624</v>
      </c>
      <c r="AT168" s="90">
        <f t="shared" si="14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5"/>
        <v>3.6000000000000014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>
        <v>15.2</v>
      </c>
      <c r="Q169" s="51"/>
      <c r="R169" s="51">
        <v>15.4</v>
      </c>
      <c r="S169" s="51">
        <v>16</v>
      </c>
      <c r="T169" s="51"/>
      <c r="U169" s="51">
        <v>14.2</v>
      </c>
      <c r="V169" s="51">
        <v>15.8</v>
      </c>
      <c r="W169" s="51">
        <v>14.8</v>
      </c>
      <c r="X169" s="51">
        <v>13</v>
      </c>
      <c r="Y169" s="51">
        <v>15.4</v>
      </c>
      <c r="Z169" s="111">
        <v>13.8</v>
      </c>
      <c r="AA169" s="51">
        <v>15.4</v>
      </c>
      <c r="AB169" s="51">
        <v>15</v>
      </c>
      <c r="AC169" s="51">
        <v>15</v>
      </c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17</v>
      </c>
      <c r="AQ169" s="89">
        <f t="shared" si="12"/>
        <v>14.858823529411767</v>
      </c>
      <c r="AR169" s="89">
        <f>IFERROR(VLOOKUP(A169,Climatologia!A:U,9+$E$2,FALSE),"")</f>
        <v>13.62930109243467</v>
      </c>
      <c r="AS169" s="89">
        <f t="shared" si="13"/>
        <v>1.2295224369770974</v>
      </c>
      <c r="AT169" s="90">
        <f t="shared" si="14"/>
        <v>13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5"/>
        <v>5.8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11.72508648901356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>
        <v>24</v>
      </c>
      <c r="Q171" s="51">
        <v>24.2</v>
      </c>
      <c r="R171" s="51">
        <v>24.6</v>
      </c>
      <c r="S171" s="51">
        <v>25.6</v>
      </c>
      <c r="T171" s="51">
        <v>25.6</v>
      </c>
      <c r="U171" s="51">
        <v>23.6</v>
      </c>
      <c r="V171" s="51">
        <v>24.4</v>
      </c>
      <c r="W171" s="51">
        <v>24.8</v>
      </c>
      <c r="X171" s="51">
        <v>23.6</v>
      </c>
      <c r="Y171" s="51">
        <v>24</v>
      </c>
      <c r="Z171" s="111">
        <v>24.2</v>
      </c>
      <c r="AA171" s="51">
        <v>24.8</v>
      </c>
      <c r="AB171" s="51">
        <v>24.6</v>
      </c>
      <c r="AC171" s="51">
        <v>23.6</v>
      </c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19</v>
      </c>
      <c r="AQ171" s="89">
        <f t="shared" si="12"/>
        <v>24.126315789473686</v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5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21.613415216113999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22.329466444879628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>
        <v>20.8</v>
      </c>
      <c r="Q174" s="51">
        <v>22</v>
      </c>
      <c r="R174" s="51">
        <v>23.8</v>
      </c>
      <c r="S174" s="51">
        <v>22</v>
      </c>
      <c r="T174" s="51">
        <v>21</v>
      </c>
      <c r="U174" s="51">
        <v>19.399999999999999</v>
      </c>
      <c r="V174" s="51">
        <v>22</v>
      </c>
      <c r="W174" s="51">
        <v>21</v>
      </c>
      <c r="X174" s="51">
        <v>19.2</v>
      </c>
      <c r="Y174" s="51">
        <v>21.2</v>
      </c>
      <c r="Z174" s="111">
        <v>21.4</v>
      </c>
      <c r="AA174" s="51">
        <v>21.6</v>
      </c>
      <c r="AB174" s="51">
        <v>21.8</v>
      </c>
      <c r="AC174" s="51">
        <v>21</v>
      </c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19</v>
      </c>
      <c r="AQ174" s="89">
        <f t="shared" si="12"/>
        <v>21.136842105263156</v>
      </c>
      <c r="AR174" s="89">
        <f>IFERROR(VLOOKUP(A174,Climatologia!A:U,9+$E$2,FALSE),"")</f>
        <v>20.105130783418979</v>
      </c>
      <c r="AS174" s="89">
        <f t="shared" si="13"/>
        <v>1.0317113218441776</v>
      </c>
      <c r="AT174" s="90">
        <f t="shared" si="14"/>
        <v>19.2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5"/>
        <v>3.1999999999999993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>
        <v>22.8</v>
      </c>
      <c r="Q175" s="51">
        <v>22</v>
      </c>
      <c r="R175" s="51">
        <v>22.4</v>
      </c>
      <c r="S175" s="51">
        <v>22.6</v>
      </c>
      <c r="T175" s="51">
        <v>23.4</v>
      </c>
      <c r="U175" s="51">
        <v>20.6</v>
      </c>
      <c r="V175" s="51"/>
      <c r="W175" s="51"/>
      <c r="X175" s="51"/>
      <c r="Y175" s="51">
        <v>23</v>
      </c>
      <c r="Z175" s="111">
        <v>22.8</v>
      </c>
      <c r="AA175" s="51">
        <v>22.2</v>
      </c>
      <c r="AB175" s="51">
        <v>24</v>
      </c>
      <c r="AC175" s="51">
        <v>22.2</v>
      </c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16</v>
      </c>
      <c r="AQ175" s="89">
        <f t="shared" si="12"/>
        <v>22.3125</v>
      </c>
      <c r="AR175" s="89">
        <f>IFERROR(VLOOKUP(A175,Climatologia!A:U,9+$E$2,FALSE),"")</f>
        <v>21.16664011681932</v>
      </c>
      <c r="AS175" s="89">
        <f t="shared" si="13"/>
        <v>1.1458598831806803</v>
      </c>
      <c r="AT175" s="90">
        <f t="shared" si="14"/>
        <v>20.6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5"/>
        <v>4.6000000000000014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>
        <v>13.8</v>
      </c>
      <c r="Q178" s="51">
        <v>13.4</v>
      </c>
      <c r="R178" s="51">
        <v>13.8</v>
      </c>
      <c r="S178" s="51">
        <v>14</v>
      </c>
      <c r="T178" s="51">
        <v>14</v>
      </c>
      <c r="U178" s="51">
        <v>14.2</v>
      </c>
      <c r="V178" s="51">
        <v>13.6</v>
      </c>
      <c r="W178" s="51">
        <v>12.4</v>
      </c>
      <c r="X178" s="51">
        <v>12</v>
      </c>
      <c r="Y178" s="51">
        <v>14.4</v>
      </c>
      <c r="Z178" s="111">
        <v>14.6</v>
      </c>
      <c r="AA178" s="51">
        <v>15.2</v>
      </c>
      <c r="AB178" s="51">
        <v>16.600000000000001</v>
      </c>
      <c r="AC178" s="51">
        <v>14.2</v>
      </c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19</v>
      </c>
      <c r="AQ178" s="89">
        <f t="shared" si="12"/>
        <v>13.936842105263155</v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5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>
        <v>24.2</v>
      </c>
      <c r="Q179" s="51">
        <v>24.8</v>
      </c>
      <c r="R179" s="51">
        <v>24.6</v>
      </c>
      <c r="S179" s="51"/>
      <c r="T179" s="51">
        <v>25.6</v>
      </c>
      <c r="U179" s="51">
        <v>24.2</v>
      </c>
      <c r="V179" s="51">
        <v>25.6</v>
      </c>
      <c r="W179" s="51">
        <v>24.2</v>
      </c>
      <c r="X179" s="51">
        <v>23.2</v>
      </c>
      <c r="Y179" s="51">
        <v>23.8</v>
      </c>
      <c r="Z179" s="111">
        <v>25.8</v>
      </c>
      <c r="AA179" s="51"/>
      <c r="AB179" s="51"/>
      <c r="AC179" s="51">
        <v>25.4</v>
      </c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16</v>
      </c>
      <c r="AQ179" s="89">
        <f t="shared" si="12"/>
        <v>24.499999999999996</v>
      </c>
      <c r="AR179" s="89">
        <f>IFERROR(VLOOKUP(A179,Climatologia!A:U,9+$E$2,FALSE),"")</f>
        <v>22.996377049496669</v>
      </c>
      <c r="AS179" s="89">
        <f t="shared" si="13"/>
        <v>1.5036229505033276</v>
      </c>
      <c r="AT179" s="90">
        <f t="shared" si="14"/>
        <v>23.2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5"/>
        <v>4.1999999999999993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>
        <v>23.4</v>
      </c>
      <c r="Q180" s="51">
        <v>22.4</v>
      </c>
      <c r="R180" s="51">
        <v>25.4</v>
      </c>
      <c r="S180" s="51">
        <v>22.8</v>
      </c>
      <c r="T180" s="51">
        <v>26.4</v>
      </c>
      <c r="U180" s="51">
        <v>21.2</v>
      </c>
      <c r="V180" s="51">
        <v>24.6</v>
      </c>
      <c r="W180" s="51">
        <v>21.8</v>
      </c>
      <c r="X180" s="51">
        <v>22.2</v>
      </c>
      <c r="Y180" s="51">
        <v>24.6</v>
      </c>
      <c r="Z180" s="111">
        <v>22.8</v>
      </c>
      <c r="AA180" s="51">
        <v>25.4</v>
      </c>
      <c r="AB180" s="51">
        <v>25.2</v>
      </c>
      <c r="AC180" s="51">
        <v>23.2</v>
      </c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19</v>
      </c>
      <c r="AQ180" s="89">
        <f t="shared" si="12"/>
        <v>23.526315789473689</v>
      </c>
      <c r="AR180" s="89">
        <f>IFERROR(VLOOKUP(A180,Climatologia!A:U,9+$E$2,FALSE),"")</f>
        <v>21.595820289739919</v>
      </c>
      <c r="AS180" s="89">
        <f t="shared" si="13"/>
        <v>1.9304954997337695</v>
      </c>
      <c r="AT180" s="90">
        <f t="shared" si="14"/>
        <v>21.2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5"/>
        <v>4.3999999999999986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>
        <v>14.4</v>
      </c>
      <c r="Q181" s="51">
        <v>13</v>
      </c>
      <c r="R181" s="51">
        <v>14.4</v>
      </c>
      <c r="S181" s="51">
        <v>14</v>
      </c>
      <c r="T181" s="51">
        <v>14.4</v>
      </c>
      <c r="U181" s="51">
        <v>13</v>
      </c>
      <c r="V181" s="51">
        <v>14.6</v>
      </c>
      <c r="W181" s="51">
        <v>12.8</v>
      </c>
      <c r="X181" s="51"/>
      <c r="Y181" s="51">
        <v>13.6</v>
      </c>
      <c r="Z181" s="111">
        <v>13.6</v>
      </c>
      <c r="AA181" s="51">
        <v>14.6</v>
      </c>
      <c r="AB181" s="51">
        <v>16.399999999999999</v>
      </c>
      <c r="AC181" s="51">
        <v>14.4</v>
      </c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18</v>
      </c>
      <c r="AQ181" s="89">
        <f t="shared" si="12"/>
        <v>13.955555555555556</v>
      </c>
      <c r="AR181" s="89">
        <f>IFERROR(VLOOKUP(A181,Climatologia!A:U,9+$E$2,FALSE),"")</f>
        <v>14.26104885770514</v>
      </c>
      <c r="AS181" s="89">
        <f t="shared" si="13"/>
        <v>-0.30549330214958381</v>
      </c>
      <c r="AT181" s="90">
        <f t="shared" si="14"/>
        <v>12.8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5"/>
        <v>1.8000000000000007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>
        <v>19.600000000000001</v>
      </c>
      <c r="Q182" s="51">
        <v>19</v>
      </c>
      <c r="R182" s="51">
        <v>18.8</v>
      </c>
      <c r="S182" s="51">
        <v>19.399999999999999</v>
      </c>
      <c r="T182" s="51">
        <v>18.8</v>
      </c>
      <c r="U182" s="51">
        <v>17.8</v>
      </c>
      <c r="V182" s="51">
        <v>19.2</v>
      </c>
      <c r="W182" s="51">
        <v>18.8</v>
      </c>
      <c r="X182" s="51">
        <v>19.2</v>
      </c>
      <c r="Y182" s="51">
        <v>18.2</v>
      </c>
      <c r="Z182" s="111">
        <v>19.2</v>
      </c>
      <c r="AA182" s="51">
        <v>19.2</v>
      </c>
      <c r="AB182" s="51">
        <v>19.600000000000001</v>
      </c>
      <c r="AC182" s="51">
        <v>18.8</v>
      </c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19</v>
      </c>
      <c r="AQ182" s="89">
        <f t="shared" si="12"/>
        <v>18.936842105263157</v>
      </c>
      <c r="AR182" s="89">
        <f>IFERROR(VLOOKUP(A182,Climatologia!A:U,9+$E$2,FALSE),"")</f>
        <v>19.96734366044257</v>
      </c>
      <c r="AS182" s="89">
        <f t="shared" si="13"/>
        <v>-1.0305015551794128</v>
      </c>
      <c r="AT182" s="90">
        <f t="shared" si="14"/>
        <v>17.8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5"/>
        <v>1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>
        <v>22</v>
      </c>
      <c r="M183" s="51">
        <v>21</v>
      </c>
      <c r="N183" s="51">
        <v>21.2</v>
      </c>
      <c r="O183" s="51">
        <v>21.4</v>
      </c>
      <c r="P183" s="51">
        <v>21.6</v>
      </c>
      <c r="Q183" s="51">
        <v>21</v>
      </c>
      <c r="R183" s="51">
        <v>21.8</v>
      </c>
      <c r="S183" s="51">
        <v>22.2</v>
      </c>
      <c r="T183" s="51">
        <v>22</v>
      </c>
      <c r="U183" s="51">
        <v>20.2</v>
      </c>
      <c r="V183" s="51">
        <v>20.8</v>
      </c>
      <c r="W183" s="51">
        <v>21.4</v>
      </c>
      <c r="X183" s="51">
        <v>19</v>
      </c>
      <c r="Y183" s="51">
        <v>20.399999999999999</v>
      </c>
      <c r="Z183" s="111">
        <v>21</v>
      </c>
      <c r="AA183" s="51">
        <v>20.8</v>
      </c>
      <c r="AB183" s="51">
        <v>21</v>
      </c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17</v>
      </c>
      <c r="AQ183" s="89">
        <f t="shared" si="12"/>
        <v>21.105882352941173</v>
      </c>
      <c r="AR183" s="89">
        <f>IFERROR(VLOOKUP(A183,Climatologia!A:U,9+$E$2,FALSE),"")</f>
        <v>20.017642373556349</v>
      </c>
      <c r="AS183" s="89">
        <f t="shared" si="13"/>
        <v>1.0882399793848236</v>
      </c>
      <c r="AT183" s="90">
        <f t="shared" si="14"/>
        <v>19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>
        <f t="shared" si="15"/>
        <v>2.6000000000000014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>
        <v>17.399999999999999</v>
      </c>
      <c r="Q184" s="51">
        <v>16.399999999999999</v>
      </c>
      <c r="R184" s="51">
        <v>18.399999999999999</v>
      </c>
      <c r="S184" s="51">
        <v>18</v>
      </c>
      <c r="T184" s="51">
        <v>17</v>
      </c>
      <c r="U184" s="51">
        <v>15.6</v>
      </c>
      <c r="V184" s="51">
        <v>15.8</v>
      </c>
      <c r="W184" s="51">
        <v>16.2</v>
      </c>
      <c r="X184" s="51">
        <v>15.4</v>
      </c>
      <c r="Y184" s="51">
        <v>16.399999999999999</v>
      </c>
      <c r="Z184" s="111">
        <v>16.399999999999999</v>
      </c>
      <c r="AA184" s="51">
        <v>16.399999999999999</v>
      </c>
      <c r="AB184" s="51">
        <v>16.2</v>
      </c>
      <c r="AC184" s="51">
        <v>16.2</v>
      </c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19</v>
      </c>
      <c r="AQ184" s="89">
        <f t="shared" si="12"/>
        <v>16.484210526315785</v>
      </c>
      <c r="AR184" s="89">
        <f>IFERROR(VLOOKUP(A184,Climatologia!A:U,9+$E$2,FALSE),"")</f>
        <v>16.78927904074477</v>
      </c>
      <c r="AS184" s="89">
        <f t="shared" si="13"/>
        <v>-0.30506851442898508</v>
      </c>
      <c r="AT184" s="90">
        <f t="shared" si="14"/>
        <v>15.4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5"/>
        <v>3.4000000000000004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>
        <v>24</v>
      </c>
      <c r="Q185" s="51">
        <v>22.6</v>
      </c>
      <c r="R185" s="51">
        <v>24</v>
      </c>
      <c r="S185" s="51">
        <v>23.4</v>
      </c>
      <c r="T185" s="51">
        <v>22.6</v>
      </c>
      <c r="U185" s="51">
        <v>21.2</v>
      </c>
      <c r="V185" s="51">
        <v>22.8</v>
      </c>
      <c r="W185" s="51">
        <v>20.8</v>
      </c>
      <c r="X185" s="51">
        <v>21.6</v>
      </c>
      <c r="Y185" s="51">
        <v>22</v>
      </c>
      <c r="Z185" s="111">
        <v>24</v>
      </c>
      <c r="AA185" s="51">
        <v>25.6</v>
      </c>
      <c r="AB185" s="51">
        <v>25.6</v>
      </c>
      <c r="AC185" s="51">
        <v>21.6</v>
      </c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19</v>
      </c>
      <c r="AQ185" s="89">
        <f t="shared" si="12"/>
        <v>22.842105263157897</v>
      </c>
      <c r="AR185" s="89">
        <f>IFERROR(VLOOKUP(A185,Climatologia!A:U,9+$E$2,FALSE),"")</f>
        <v>20.659011266682761</v>
      </c>
      <c r="AS185" s="89">
        <f t="shared" si="13"/>
        <v>2.1830939964751366</v>
      </c>
      <c r="AT185" s="90">
        <f t="shared" si="14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5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>
        <v>17.8</v>
      </c>
      <c r="Q186" s="51">
        <v>18</v>
      </c>
      <c r="R186" s="51">
        <v>15.4</v>
      </c>
      <c r="S186" s="51">
        <v>18.2</v>
      </c>
      <c r="T186" s="51">
        <v>19.2</v>
      </c>
      <c r="U186" s="51">
        <v>19.2</v>
      </c>
      <c r="V186" s="51">
        <v>17.8</v>
      </c>
      <c r="W186" s="51">
        <v>18.2</v>
      </c>
      <c r="X186" s="51">
        <v>17</v>
      </c>
      <c r="Y186" s="51">
        <v>19.399999999999999</v>
      </c>
      <c r="Z186" s="111">
        <v>19.8</v>
      </c>
      <c r="AA186" s="51"/>
      <c r="AB186" s="51">
        <v>19.8</v>
      </c>
      <c r="AC186" s="51">
        <v>18</v>
      </c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18</v>
      </c>
      <c r="AQ186" s="89">
        <f t="shared" si="12"/>
        <v>18.211111111111109</v>
      </c>
      <c r="AR186" s="89">
        <f>IFERROR(VLOOKUP(A186,Climatologia!A:U,9+$E$2,FALSE),"")</f>
        <v>16.78852483149106</v>
      </c>
      <c r="AS186" s="89">
        <f t="shared" si="13"/>
        <v>1.4225862796200488</v>
      </c>
      <c r="AT186" s="90">
        <f t="shared" si="14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5"/>
        <v>1.4000000000000004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>
        <v>20.399999999999999</v>
      </c>
      <c r="P187" s="51">
        <v>21.4</v>
      </c>
      <c r="Q187" s="51">
        <v>21.6</v>
      </c>
      <c r="R187" s="51">
        <v>22.8</v>
      </c>
      <c r="S187" s="51">
        <v>21.4</v>
      </c>
      <c r="T187" s="51">
        <v>20.8</v>
      </c>
      <c r="U187" s="51">
        <v>21.2</v>
      </c>
      <c r="V187" s="51">
        <v>22.6</v>
      </c>
      <c r="W187" s="51">
        <v>20.2</v>
      </c>
      <c r="X187" s="51">
        <v>21.2</v>
      </c>
      <c r="Y187" s="51">
        <v>21.8</v>
      </c>
      <c r="Z187" s="111">
        <v>22.6</v>
      </c>
      <c r="AA187" s="51">
        <v>22.2</v>
      </c>
      <c r="AB187" s="51">
        <v>21.8</v>
      </c>
      <c r="AC187" s="51">
        <v>22.2</v>
      </c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19</v>
      </c>
      <c r="AQ187" s="89">
        <f t="shared" si="12"/>
        <v>21.463157894736842</v>
      </c>
      <c r="AR187" s="89">
        <f>IFERROR(VLOOKUP(A187,Climatologia!A:U,9+$E$2,FALSE),"")</f>
        <v>20.02675378177625</v>
      </c>
      <c r="AS187" s="89">
        <f t="shared" si="13"/>
        <v>1.4364041129605916</v>
      </c>
      <c r="AT187" s="90">
        <f t="shared" si="14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5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>
        <v>18.399999999999999</v>
      </c>
      <c r="Q188" s="51">
        <v>17.8</v>
      </c>
      <c r="R188" s="51">
        <v>19</v>
      </c>
      <c r="S188" s="51">
        <v>17.600000000000001</v>
      </c>
      <c r="T188" s="51">
        <v>18</v>
      </c>
      <c r="U188" s="51">
        <v>17.8</v>
      </c>
      <c r="V188" s="51">
        <v>18.8</v>
      </c>
      <c r="W188" s="51">
        <v>16.8</v>
      </c>
      <c r="X188" s="51">
        <v>18</v>
      </c>
      <c r="Y188" s="51">
        <v>18.2</v>
      </c>
      <c r="Z188" s="111">
        <v>19.2</v>
      </c>
      <c r="AA188" s="51">
        <v>19</v>
      </c>
      <c r="AB188" s="51">
        <v>18.600000000000001</v>
      </c>
      <c r="AC188" s="51">
        <v>18.399999999999999</v>
      </c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19</v>
      </c>
      <c r="AQ188" s="89">
        <f t="shared" si="12"/>
        <v>18.189473684210526</v>
      </c>
      <c r="AR188" s="89">
        <f>IFERROR(VLOOKUP(A188,Climatologia!A:U,9+$E$2,FALSE),"")</f>
        <v>15.545325140809011</v>
      </c>
      <c r="AS188" s="89">
        <f t="shared" si="13"/>
        <v>2.6441485434015153</v>
      </c>
      <c r="AT188" s="90">
        <f t="shared" si="14"/>
        <v>16.8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5"/>
        <v>5.6000000000000014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>
        <v>13.8</v>
      </c>
      <c r="Q189" s="51">
        <v>12.2</v>
      </c>
      <c r="R189" s="51">
        <v>14.2</v>
      </c>
      <c r="S189" s="51">
        <v>12.8</v>
      </c>
      <c r="T189" s="51">
        <v>14.4</v>
      </c>
      <c r="U189" s="51">
        <v>13.2</v>
      </c>
      <c r="V189" s="51">
        <v>13.4</v>
      </c>
      <c r="W189" s="51">
        <v>12.8</v>
      </c>
      <c r="X189" s="51">
        <v>12.2</v>
      </c>
      <c r="Y189" s="51">
        <v>14</v>
      </c>
      <c r="Z189" s="111">
        <v>14.4</v>
      </c>
      <c r="AA189" s="51">
        <v>13.8</v>
      </c>
      <c r="AB189" s="51">
        <v>13.6</v>
      </c>
      <c r="AC189" s="51">
        <v>14</v>
      </c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19</v>
      </c>
      <c r="AQ189" s="89">
        <f t="shared" si="12"/>
        <v>13.505263157894738</v>
      </c>
      <c r="AR189" s="89">
        <f>IFERROR(VLOOKUP(A189,Climatologia!A:U,9+$E$2,FALSE),"")</f>
        <v>11.488216794380589</v>
      </c>
      <c r="AS189" s="89">
        <f t="shared" si="13"/>
        <v>2.0170463635141491</v>
      </c>
      <c r="AT189" s="90">
        <f t="shared" si="14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>
        <v>8</v>
      </c>
      <c r="P190" s="51">
        <v>9.1999999999999993</v>
      </c>
      <c r="Q190" s="51">
        <v>8.6</v>
      </c>
      <c r="R190" s="51">
        <v>9.8000000000000007</v>
      </c>
      <c r="S190" s="51">
        <v>8</v>
      </c>
      <c r="T190" s="51">
        <v>10.6</v>
      </c>
      <c r="U190" s="51">
        <v>4</v>
      </c>
      <c r="V190" s="51">
        <v>8.8000000000000007</v>
      </c>
      <c r="W190" s="51">
        <v>8</v>
      </c>
      <c r="X190" s="51">
        <v>4</v>
      </c>
      <c r="Y190" s="51">
        <v>8.8000000000000007</v>
      </c>
      <c r="Z190" s="111">
        <v>9</v>
      </c>
      <c r="AA190" s="51">
        <v>8</v>
      </c>
      <c r="AB190" s="51">
        <v>9</v>
      </c>
      <c r="AC190" s="51">
        <v>11.6</v>
      </c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19</v>
      </c>
      <c r="AQ190" s="89">
        <f t="shared" si="12"/>
        <v>8.1263157894736846</v>
      </c>
      <c r="AR190" s="89">
        <f>IFERROR(VLOOKUP(A190,Climatologia!A:U,9+$E$2,FALSE),"")</f>
        <v>7.3708373411860384</v>
      </c>
      <c r="AS190" s="89">
        <f t="shared" si="13"/>
        <v>0.75547844828764621</v>
      </c>
      <c r="AT190" s="90">
        <f t="shared" si="14"/>
        <v>4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5"/>
        <v>5.8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>
        <v>21.2</v>
      </c>
      <c r="Q191" s="51">
        <v>22.2</v>
      </c>
      <c r="R191" s="51">
        <v>22.4</v>
      </c>
      <c r="S191" s="51">
        <v>21.8</v>
      </c>
      <c r="T191" s="51">
        <v>22.6</v>
      </c>
      <c r="U191" s="51">
        <v>20.6</v>
      </c>
      <c r="V191" s="51">
        <v>22.8</v>
      </c>
      <c r="W191" s="51">
        <v>21.2</v>
      </c>
      <c r="X191" s="51">
        <v>20.8</v>
      </c>
      <c r="Y191" s="51">
        <v>22</v>
      </c>
      <c r="Z191" s="111">
        <v>22.8</v>
      </c>
      <c r="AA191" s="51">
        <v>22</v>
      </c>
      <c r="AB191" s="51">
        <v>22.6</v>
      </c>
      <c r="AC191" s="51">
        <v>21</v>
      </c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19</v>
      </c>
      <c r="AQ191" s="89">
        <f t="shared" si="12"/>
        <v>21.652631578947371</v>
      </c>
      <c r="AR191" s="89">
        <f>IFERROR(VLOOKUP(A191,Climatologia!A:U,9+$E$2,FALSE),"")</f>
        <v>19.76640571428571</v>
      </c>
      <c r="AS191" s="89">
        <f t="shared" si="13"/>
        <v>1.886225864661661</v>
      </c>
      <c r="AT191" s="90">
        <f t="shared" si="14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>
        <v>9.6</v>
      </c>
      <c r="Q192" s="51">
        <v>10.4</v>
      </c>
      <c r="R192" s="51">
        <v>10.8</v>
      </c>
      <c r="S192" s="51">
        <v>10.199999999999999</v>
      </c>
      <c r="T192" s="51">
        <v>11.6</v>
      </c>
      <c r="U192" s="51">
        <v>9.6</v>
      </c>
      <c r="V192" s="51">
        <v>10.4</v>
      </c>
      <c r="W192" s="51">
        <v>9.4</v>
      </c>
      <c r="X192" s="51">
        <v>8.1999999999999993</v>
      </c>
      <c r="Y192" s="51">
        <v>10.4</v>
      </c>
      <c r="Z192" s="111">
        <v>10.4</v>
      </c>
      <c r="AA192" s="51">
        <v>10.199999999999999</v>
      </c>
      <c r="AB192" s="51">
        <v>10.199999999999999</v>
      </c>
      <c r="AC192" s="51">
        <v>10.199999999999999</v>
      </c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19</v>
      </c>
      <c r="AQ192" s="89">
        <f t="shared" si="12"/>
        <v>10.115789473684208</v>
      </c>
      <c r="AR192" s="89">
        <f>IFERROR(VLOOKUP(A192,Climatologia!A:U,9+$E$2,FALSE),"")</f>
        <v>8.3038288971873495</v>
      </c>
      <c r="AS192" s="89">
        <f t="shared" si="13"/>
        <v>1.8119605764968583</v>
      </c>
      <c r="AT192" s="90">
        <f t="shared" si="14"/>
        <v>8.1999999999999993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5"/>
        <v>5.7999999999999989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>
        <v>11</v>
      </c>
      <c r="Q193" s="51">
        <v>9.8000000000000007</v>
      </c>
      <c r="R193" s="51">
        <v>11.2</v>
      </c>
      <c r="S193" s="51">
        <v>9</v>
      </c>
      <c r="T193" s="51"/>
      <c r="U193" s="51">
        <v>7.4</v>
      </c>
      <c r="V193" s="51">
        <v>9.6</v>
      </c>
      <c r="W193" s="51">
        <v>9.4</v>
      </c>
      <c r="X193" s="51">
        <v>5.6</v>
      </c>
      <c r="Y193" s="51">
        <v>11</v>
      </c>
      <c r="Z193" s="111">
        <v>10.199999999999999</v>
      </c>
      <c r="AA193" s="51">
        <v>10.4</v>
      </c>
      <c r="AB193" s="51">
        <v>9.4</v>
      </c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17</v>
      </c>
      <c r="AQ193" s="89">
        <f t="shared" si="12"/>
        <v>9.5882352941176467</v>
      </c>
      <c r="AR193" s="89">
        <f>IFERROR(VLOOKUP(A193,Climatologia!A:U,9+$E$2,FALSE),"")</f>
        <v>7.7278206554291087</v>
      </c>
      <c r="AS193" s="89">
        <f t="shared" si="13"/>
        <v>1.8604146386885381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5"/>
        <v>4.3999999999999995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>
        <v>10.4</v>
      </c>
      <c r="Q194" s="51">
        <v>10.6</v>
      </c>
      <c r="R194" s="51">
        <v>11</v>
      </c>
      <c r="S194" s="51">
        <v>11.2</v>
      </c>
      <c r="T194" s="51">
        <v>11.6</v>
      </c>
      <c r="U194" s="51">
        <v>6.4</v>
      </c>
      <c r="V194" s="51">
        <v>7.2</v>
      </c>
      <c r="W194" s="51">
        <v>7.4</v>
      </c>
      <c r="X194" s="51">
        <v>7.8</v>
      </c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14</v>
      </c>
      <c r="AQ194" s="89" t="str">
        <f t="shared" si="12"/>
        <v/>
      </c>
      <c r="AR194" s="89">
        <f>IFERROR(VLOOKUP(A194,Climatologia!A:U,9+$E$2,FALSE),"")</f>
        <v>8.1093100992191847</v>
      </c>
      <c r="AS194" s="89" t="str">
        <f t="shared" si="13"/>
        <v/>
      </c>
      <c r="AT194" s="90">
        <f t="shared" si="14"/>
        <v>6.4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5"/>
        <v>6.4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>
        <v>4.8</v>
      </c>
      <c r="Q195" s="51">
        <v>5.2</v>
      </c>
      <c r="R195" s="51">
        <v>5.8</v>
      </c>
      <c r="S195" s="51">
        <v>5.2</v>
      </c>
      <c r="T195" s="51">
        <v>7.2</v>
      </c>
      <c r="U195" s="51">
        <v>4.2</v>
      </c>
      <c r="V195" s="51">
        <v>6.2</v>
      </c>
      <c r="W195" s="51">
        <v>6</v>
      </c>
      <c r="X195" s="51">
        <v>3.8</v>
      </c>
      <c r="Y195" s="51">
        <v>7.1</v>
      </c>
      <c r="Z195" s="111">
        <v>4.8</v>
      </c>
      <c r="AA195" s="51">
        <v>8.1999999999999993</v>
      </c>
      <c r="AB195" s="51">
        <v>10.199999999999999</v>
      </c>
      <c r="AC195" s="51">
        <v>8.4</v>
      </c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19</v>
      </c>
      <c r="AQ195" s="89">
        <f t="shared" si="12"/>
        <v>5.7842105263157899</v>
      </c>
      <c r="AR195" s="89">
        <f>IFERROR(VLOOKUP(A195,Climatologia!A:U,9+$E$2,FALSE),"")</f>
        <v>7.7848444585694851</v>
      </c>
      <c r="AS195" s="89">
        <f t="shared" si="13"/>
        <v>-2.0006339322536952</v>
      </c>
      <c r="AT195" s="90">
        <f t="shared" si="14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5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>
        <v>10</v>
      </c>
      <c r="Q196" s="51">
        <v>10</v>
      </c>
      <c r="R196" s="51">
        <v>10.4</v>
      </c>
      <c r="S196" s="51">
        <v>9.8000000000000007</v>
      </c>
      <c r="T196" s="51">
        <v>9.8000000000000007</v>
      </c>
      <c r="U196" s="51">
        <v>3.4</v>
      </c>
      <c r="V196" s="51">
        <v>9.6</v>
      </c>
      <c r="W196" s="51">
        <v>8</v>
      </c>
      <c r="X196" s="51">
        <v>6</v>
      </c>
      <c r="Y196" s="51">
        <v>10</v>
      </c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15</v>
      </c>
      <c r="AQ196" s="89">
        <f t="shared" si="12"/>
        <v>8.6666666666666661</v>
      </c>
      <c r="AR196" s="89">
        <f>IFERROR(VLOOKUP(A196,Climatologia!A:U,9+$E$2,FALSE),"")</f>
        <v>6.8173462365591373</v>
      </c>
      <c r="AS196" s="89">
        <f t="shared" si="13"/>
        <v>1.8493204301075288</v>
      </c>
      <c r="AT196" s="90">
        <f t="shared" si="14"/>
        <v>3.4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5"/>
        <v>3.8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>
        <v>6.8</v>
      </c>
      <c r="P197" s="51">
        <v>7.6</v>
      </c>
      <c r="Q197" s="51">
        <v>8.8000000000000007</v>
      </c>
      <c r="R197" s="51">
        <v>11.2</v>
      </c>
      <c r="S197" s="51">
        <v>8</v>
      </c>
      <c r="T197" s="51">
        <v>9.1999999999999993</v>
      </c>
      <c r="U197" s="51">
        <v>7.8</v>
      </c>
      <c r="V197" s="51">
        <v>9.6</v>
      </c>
      <c r="W197" s="51">
        <v>9.1999999999999993</v>
      </c>
      <c r="X197" s="51">
        <v>4</v>
      </c>
      <c r="Y197" s="51">
        <v>10.4</v>
      </c>
      <c r="Z197" s="111">
        <v>7.6</v>
      </c>
      <c r="AA197" s="51">
        <v>11.2</v>
      </c>
      <c r="AB197" s="51">
        <v>8.6</v>
      </c>
      <c r="AC197" s="51">
        <v>8.8000000000000007</v>
      </c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19</v>
      </c>
      <c r="AQ197" s="89">
        <f t="shared" ref="AQ197:AQ260" si="17">IF(AP197&gt;14,AVERAGE(K197:AO197),"")</f>
        <v>8.6526315789473678</v>
      </c>
      <c r="AR197" s="89">
        <f>IFERROR(VLOOKUP(A197,Climatologia!A:U,9+$E$2,FALSE),"")</f>
        <v>7.8933666539450718</v>
      </c>
      <c r="AS197" s="89">
        <f t="shared" ref="AS197:AS260" si="18">IF(OR(AQ197="",AR197=""),"",IFERROR(AQ197-AR197,""))</f>
        <v>0.75926492500229603</v>
      </c>
      <c r="AT197" s="90">
        <f t="shared" ref="AT197:AT207" si="19">IF(COUNT(K197:AO197)=0,"",MIN(K197:AO197))</f>
        <v>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0">IF(OR(AT197="",AU197=""),"NA",IFERROR(AT197-AU197,"NA"))</f>
        <v>4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>
        <v>10</v>
      </c>
      <c r="Q198" s="51">
        <v>11</v>
      </c>
      <c r="R198" s="51">
        <v>10.8</v>
      </c>
      <c r="S198" s="51">
        <v>10.4</v>
      </c>
      <c r="T198" s="51">
        <v>11.4</v>
      </c>
      <c r="U198" s="51">
        <v>4.2</v>
      </c>
      <c r="V198" s="51">
        <v>10.6</v>
      </c>
      <c r="W198" s="51">
        <v>9.1999999999999993</v>
      </c>
      <c r="X198" s="51">
        <v>6.4</v>
      </c>
      <c r="Y198" s="51">
        <v>10</v>
      </c>
      <c r="Z198" s="111">
        <v>10.199999999999999</v>
      </c>
      <c r="AA198" s="51">
        <v>9.4</v>
      </c>
      <c r="AB198" s="51">
        <v>11</v>
      </c>
      <c r="AC198" s="51">
        <v>11.6</v>
      </c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19</v>
      </c>
      <c r="AQ198" s="89">
        <f t="shared" si="17"/>
        <v>9.6736842105263143</v>
      </c>
      <c r="AR198" s="89">
        <f>IFERROR(VLOOKUP(A198,Climatologia!A:U,9+$E$2,FALSE),"")</f>
        <v>7.7598125606935424</v>
      </c>
      <c r="AS198" s="89">
        <f t="shared" si="18"/>
        <v>1.9138716498327719</v>
      </c>
      <c r="AT198" s="90">
        <f t="shared" si="19"/>
        <v>4.2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0"/>
        <v>5.2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>
        <v>9.6</v>
      </c>
      <c r="P199" s="51">
        <v>9</v>
      </c>
      <c r="Q199" s="51">
        <v>10</v>
      </c>
      <c r="R199" s="51">
        <v>11</v>
      </c>
      <c r="S199" s="51">
        <v>10</v>
      </c>
      <c r="T199" s="51">
        <v>10.8</v>
      </c>
      <c r="U199" s="51">
        <v>7</v>
      </c>
      <c r="V199" s="51">
        <v>11</v>
      </c>
      <c r="W199" s="51">
        <v>9.8000000000000007</v>
      </c>
      <c r="X199" s="51">
        <v>6.8</v>
      </c>
      <c r="Y199" s="51">
        <v>12</v>
      </c>
      <c r="Z199" s="111">
        <v>9</v>
      </c>
      <c r="AA199" s="51">
        <v>9.8000000000000007</v>
      </c>
      <c r="AB199" s="51">
        <v>11</v>
      </c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18</v>
      </c>
      <c r="AQ199" s="89">
        <f t="shared" si="17"/>
        <v>9.6222222222222236</v>
      </c>
      <c r="AR199" s="89">
        <f>IFERROR(VLOOKUP(A199,Climatologia!A:U,9+$E$2,FALSE),"")</f>
        <v>7.4125279631689516</v>
      </c>
      <c r="AS199" s="89">
        <f t="shared" si="18"/>
        <v>2.209694259053272</v>
      </c>
      <c r="AT199" s="90">
        <f t="shared" si="19"/>
        <v>6.8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0"/>
        <v>6.3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>
        <v>10</v>
      </c>
      <c r="P200" s="51">
        <v>8</v>
      </c>
      <c r="Q200" s="51">
        <v>9.4</v>
      </c>
      <c r="R200" s="51">
        <v>10.199999999999999</v>
      </c>
      <c r="S200" s="51">
        <v>9</v>
      </c>
      <c r="T200" s="51">
        <v>11</v>
      </c>
      <c r="U200" s="51">
        <v>4</v>
      </c>
      <c r="V200" s="51">
        <v>9</v>
      </c>
      <c r="W200" s="51">
        <v>8.6</v>
      </c>
      <c r="X200" s="51">
        <v>4.4000000000000004</v>
      </c>
      <c r="Y200" s="51">
        <v>9.1999999999999993</v>
      </c>
      <c r="Z200" s="111">
        <v>9</v>
      </c>
      <c r="AA200" s="51">
        <v>7.2</v>
      </c>
      <c r="AB200" s="51">
        <v>10</v>
      </c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18</v>
      </c>
      <c r="AQ200" s="89">
        <f t="shared" si="17"/>
        <v>8.5666666666666664</v>
      </c>
      <c r="AR200" s="89">
        <f>IFERROR(VLOOKUP(A200,Climatologia!A:U,9+$E$2,FALSE),"")</f>
        <v>6.7196341375857118</v>
      </c>
      <c r="AS200" s="89">
        <f t="shared" si="18"/>
        <v>1.8470325290809546</v>
      </c>
      <c r="AT200" s="90">
        <f t="shared" si="19"/>
        <v>4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0"/>
        <v>4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>
        <v>10</v>
      </c>
      <c r="R201" s="51">
        <v>9.4</v>
      </c>
      <c r="S201" s="51">
        <v>10.4</v>
      </c>
      <c r="T201" s="51">
        <v>10.199999999999999</v>
      </c>
      <c r="U201" s="51">
        <v>6.4</v>
      </c>
      <c r="V201" s="51"/>
      <c r="W201" s="51"/>
      <c r="X201" s="51">
        <v>6.4</v>
      </c>
      <c r="Y201" s="51">
        <v>10</v>
      </c>
      <c r="Z201" s="111">
        <v>10.6</v>
      </c>
      <c r="AA201" s="51">
        <v>10.4</v>
      </c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13</v>
      </c>
      <c r="AQ201" s="89" t="str">
        <f t="shared" si="17"/>
        <v/>
      </c>
      <c r="AR201" s="89">
        <f>IFERROR(VLOOKUP(A201,Climatologia!A:U,9+$E$2,FALSE),"")</f>
        <v>7.737258054422024</v>
      </c>
      <c r="AS201" s="89" t="str">
        <f t="shared" si="18"/>
        <v/>
      </c>
      <c r="AT201" s="90">
        <f t="shared" si="19"/>
        <v>6.4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0"/>
        <v>6.3000000000000007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>
        <v>4.5</v>
      </c>
      <c r="Q202" s="51">
        <v>4.2</v>
      </c>
      <c r="R202" s="51">
        <v>10.4</v>
      </c>
      <c r="S202" s="51">
        <v>10</v>
      </c>
      <c r="T202" s="51">
        <v>10.8</v>
      </c>
      <c r="U202" s="51">
        <v>9</v>
      </c>
      <c r="V202" s="51">
        <v>9.1999999999999993</v>
      </c>
      <c r="W202" s="51">
        <v>9.1999999999999993</v>
      </c>
      <c r="X202" s="51">
        <v>7.4</v>
      </c>
      <c r="Y202" s="51">
        <v>10.4</v>
      </c>
      <c r="Z202" s="111">
        <v>10.199999999999999</v>
      </c>
      <c r="AA202" s="51">
        <v>8.4</v>
      </c>
      <c r="AB202" s="51">
        <v>10.4</v>
      </c>
      <c r="AC202" s="51">
        <v>11</v>
      </c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19</v>
      </c>
      <c r="AQ202" s="89">
        <f t="shared" si="17"/>
        <v>7.8736842105263172</v>
      </c>
      <c r="AR202" s="89">
        <f>IFERROR(VLOOKUP(A202,Climatologia!A:U,9+$E$2,FALSE),"")</f>
        <v>8.0131665360709121</v>
      </c>
      <c r="AS202" s="89">
        <f t="shared" si="18"/>
        <v>-0.13948232554459494</v>
      </c>
      <c r="AT202" s="90">
        <f t="shared" si="19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0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>
        <v>5</v>
      </c>
      <c r="Q203" s="51">
        <v>4.8</v>
      </c>
      <c r="R203" s="51">
        <v>4.4000000000000004</v>
      </c>
      <c r="S203" s="51">
        <v>4.8</v>
      </c>
      <c r="T203" s="51">
        <v>4.4000000000000004</v>
      </c>
      <c r="U203" s="51">
        <v>5.2</v>
      </c>
      <c r="V203" s="51">
        <v>5.6</v>
      </c>
      <c r="W203" s="51">
        <v>5.2</v>
      </c>
      <c r="X203" s="51">
        <v>5.4</v>
      </c>
      <c r="Y203" s="51">
        <v>5.8</v>
      </c>
      <c r="Z203" s="111">
        <v>5</v>
      </c>
      <c r="AA203" s="51">
        <v>5.2</v>
      </c>
      <c r="AB203" s="51">
        <v>5</v>
      </c>
      <c r="AC203" s="51">
        <v>4.5999999999999996</v>
      </c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19</v>
      </c>
      <c r="AQ203" s="89">
        <f t="shared" si="17"/>
        <v>5.1263157894736837</v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0"/>
        <v>2.4000000000000004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17.563073923478811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>
        <v>11.6</v>
      </c>
      <c r="Q205" s="51">
        <v>12</v>
      </c>
      <c r="R205" s="51">
        <v>11.6</v>
      </c>
      <c r="S205" s="51">
        <v>11.8</v>
      </c>
      <c r="T205" s="51">
        <v>12.2</v>
      </c>
      <c r="U205" s="51">
        <v>10.199999999999999</v>
      </c>
      <c r="V205" s="51">
        <v>12</v>
      </c>
      <c r="W205" s="51">
        <v>10.199999999999999</v>
      </c>
      <c r="X205" s="51">
        <v>10.199999999999999</v>
      </c>
      <c r="Y205" s="51">
        <v>11.8</v>
      </c>
      <c r="Z205" s="111"/>
      <c r="AA205" s="51"/>
      <c r="AB205" s="51">
        <v>10.199999999999999</v>
      </c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16</v>
      </c>
      <c r="AQ205" s="89">
        <f t="shared" si="17"/>
        <v>11.199999999999998</v>
      </c>
      <c r="AR205" s="89">
        <f>IFERROR(VLOOKUP(A205,Climatologia!A:U,9+$E$2,FALSE),"")</f>
        <v>9.4398271387109567</v>
      </c>
      <c r="AS205" s="89">
        <f t="shared" si="18"/>
        <v>1.7601728612890408</v>
      </c>
      <c r="AT205" s="90">
        <f t="shared" si="19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0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>
        <v>6.6</v>
      </c>
      <c r="Q206" s="51">
        <v>7.4</v>
      </c>
      <c r="R206" s="51">
        <v>7</v>
      </c>
      <c r="S206" s="51">
        <v>7.6</v>
      </c>
      <c r="T206" s="51">
        <v>6</v>
      </c>
      <c r="U206" s="51">
        <v>6</v>
      </c>
      <c r="V206" s="51">
        <v>6.6</v>
      </c>
      <c r="W206" s="51">
        <v>4.5999999999999996</v>
      </c>
      <c r="X206" s="51">
        <v>5.2</v>
      </c>
      <c r="Y206" s="51">
        <v>7</v>
      </c>
      <c r="Z206" s="111">
        <v>6.8</v>
      </c>
      <c r="AA206" s="51">
        <v>6.4</v>
      </c>
      <c r="AB206" s="51">
        <v>7.4</v>
      </c>
      <c r="AC206" s="51">
        <v>6.4</v>
      </c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19</v>
      </c>
      <c r="AQ206" s="89">
        <f t="shared" si="17"/>
        <v>6.5263157894736841</v>
      </c>
      <c r="AR206" s="89">
        <f>IFERROR(VLOOKUP(A206,Climatologia!A:U,9+$E$2,FALSE),"")</f>
        <v>5.2432824793440451</v>
      </c>
      <c r="AS206" s="89">
        <f t="shared" si="18"/>
        <v>1.2830333101296389</v>
      </c>
      <c r="AT206" s="90">
        <f t="shared" si="19"/>
        <v>4.5999999999999996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0"/>
        <v>3.3999999999999995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>
        <v>20.6</v>
      </c>
      <c r="Q207" s="51">
        <v>20.399999999999999</v>
      </c>
      <c r="R207" s="51">
        <v>20</v>
      </c>
      <c r="S207" s="51">
        <v>20.8</v>
      </c>
      <c r="T207" s="51">
        <v>21</v>
      </c>
      <c r="U207" s="51">
        <v>21.2</v>
      </c>
      <c r="V207" s="51">
        <v>21</v>
      </c>
      <c r="W207" s="51">
        <v>20</v>
      </c>
      <c r="X207" s="51">
        <v>19</v>
      </c>
      <c r="Y207" s="51">
        <v>20</v>
      </c>
      <c r="Z207" s="111">
        <v>20.399999999999999</v>
      </c>
      <c r="AA207" s="51">
        <v>20.8</v>
      </c>
      <c r="AB207" s="51">
        <v>20.2</v>
      </c>
      <c r="AC207" s="51">
        <v>20.8</v>
      </c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19</v>
      </c>
      <c r="AQ207" s="89">
        <f t="shared" si="17"/>
        <v>20.336842105263159</v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19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0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6" t="s">
        <v>420</v>
      </c>
      <c r="X1" s="117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18" t="s">
        <v>850</v>
      </c>
      <c r="I1" s="119"/>
      <c r="J1" s="120"/>
      <c r="K1" s="118" t="s">
        <v>851</v>
      </c>
      <c r="L1" s="119"/>
      <c r="M1" s="120"/>
      <c r="N1" s="118" t="s">
        <v>852</v>
      </c>
      <c r="O1" s="119"/>
      <c r="P1" s="120"/>
      <c r="Q1" s="118" t="s">
        <v>853</v>
      </c>
      <c r="R1" s="119"/>
      <c r="S1" s="120"/>
      <c r="T1" s="118" t="s">
        <v>854</v>
      </c>
      <c r="U1" s="119"/>
      <c r="V1" s="120"/>
      <c r="W1" s="118" t="s">
        <v>855</v>
      </c>
      <c r="X1" s="119"/>
      <c r="Y1" s="120"/>
      <c r="Z1" s="118" t="s">
        <v>856</v>
      </c>
      <c r="AA1" s="119"/>
      <c r="AB1" s="120"/>
      <c r="AC1" s="118" t="s">
        <v>857</v>
      </c>
      <c r="AD1" s="119"/>
      <c r="AE1" s="120"/>
      <c r="AF1" s="118" t="s">
        <v>858</v>
      </c>
      <c r="AG1" s="119"/>
      <c r="AH1" s="120"/>
      <c r="AI1" s="118" t="s">
        <v>859</v>
      </c>
      <c r="AJ1" s="119"/>
      <c r="AK1" s="120"/>
      <c r="AL1" s="118" t="s">
        <v>860</v>
      </c>
      <c r="AM1" s="119"/>
      <c r="AN1" s="120"/>
      <c r="AO1" s="118" t="s">
        <v>861</v>
      </c>
      <c r="AP1" s="119"/>
      <c r="AQ1" s="120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2026-07-19T15:03:34Z</dcterms:modified>
</cp:coreProperties>
</file>