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ita\SERVICIO\05. Datos Hidrometeorologicos\01. Productos\02.Tablas\temporales\"/>
    </mc:Choice>
  </mc:AlternateContent>
  <xr:revisionPtr revIDLastSave="0" documentId="13_ncr:1_{067D3073-94E5-4E06-985C-4DC9B0E22186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Temperatura!$AC$1:$AC$209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W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W180" i="1" s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W169" i="1" s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W162" i="1" s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W156" i="1" s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S151" i="1" s="1"/>
  <c r="AV150" i="1" a="1"/>
  <c r="AV150" i="1" s="1"/>
  <c r="AU150" i="1" a="1"/>
  <c r="AU150" i="1" s="1"/>
  <c r="AT150" i="1"/>
  <c r="AW150" i="1" s="1"/>
  <c r="AR150" i="1"/>
  <c r="AP150" i="1"/>
  <c r="AQ150" i="1" s="1"/>
  <c r="AS150" i="1" s="1"/>
  <c r="AV149" i="1" a="1"/>
  <c r="AV149" i="1" s="1"/>
  <c r="AU149" i="1" a="1"/>
  <c r="AU149" i="1" s="1"/>
  <c r="AT149" i="1"/>
  <c r="AW149" i="1" s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W144" i="1" s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W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W124" i="1" s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W119" i="1" s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W116" i="1" s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W104" i="1" s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W99" i="1" s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W92" i="1" s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W80" i="1" s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W73" i="1" s="1"/>
  <c r="AR73" i="1"/>
  <c r="AP73" i="1"/>
  <c r="AQ73" i="1" s="1"/>
  <c r="AS73" i="1" s="1"/>
  <c r="AV72" i="1" a="1"/>
  <c r="AV72" i="1" s="1"/>
  <c r="AU72" i="1" a="1"/>
  <c r="AU72" i="1" s="1"/>
  <c r="AT72" i="1"/>
  <c r="AW72" i="1" s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W65" i="1" s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W60" i="1" s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W53" i="1" s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W48" i="1" s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W45" i="1" s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W40" i="1" s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W35" i="1" s="1"/>
  <c r="AR35" i="1"/>
  <c r="AP35" i="1"/>
  <c r="AQ35" i="1" s="1"/>
  <c r="AS35" i="1" s="1"/>
  <c r="AV34" i="1" a="1"/>
  <c r="AV34" i="1" s="1"/>
  <c r="AU34" i="1" a="1"/>
  <c r="AU34" i="1" s="1"/>
  <c r="AT34" i="1"/>
  <c r="AW34" i="1" s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W28" i="1" s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W9" i="1" s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33" i="1" l="1"/>
  <c r="AW159" i="1"/>
  <c r="AS45" i="1"/>
  <c r="AS96" i="1"/>
  <c r="AS20" i="1"/>
  <c r="AW71" i="1"/>
  <c r="AS48" i="1"/>
  <c r="AS99" i="1"/>
  <c r="AW137" i="1"/>
  <c r="AS163" i="1"/>
  <c r="AW189" i="1"/>
  <c r="AW131" i="1"/>
  <c r="AW17" i="1"/>
  <c r="AS43" i="1"/>
  <c r="AW81" i="1"/>
  <c r="AS94" i="1"/>
  <c r="AW132" i="1"/>
  <c r="AS158" i="1"/>
  <c r="AW30" i="1"/>
  <c r="AS56" i="1"/>
  <c r="AS107" i="1"/>
  <c r="AW120" i="1"/>
  <c r="AS146" i="1"/>
  <c r="AS198" i="1"/>
  <c r="AW121" i="1"/>
  <c r="AS148" i="1"/>
  <c r="AW148" i="1"/>
  <c r="AS174" i="1"/>
  <c r="AW110" i="1"/>
  <c r="AS136" i="1"/>
  <c r="AS149" i="1"/>
  <c r="AW21" i="1"/>
  <c r="AS201" i="1"/>
  <c r="AW19" i="1"/>
  <c r="AW70" i="1"/>
  <c r="AW86" i="1"/>
  <c r="AW201" i="1"/>
  <c r="AS85" i="1"/>
  <c r="AW46" i="1"/>
  <c r="AS23" i="1"/>
  <c r="AS71" i="1"/>
  <c r="AW22" i="1"/>
  <c r="AW5" i="1"/>
  <c r="AS5" i="1"/>
  <c r="AW47" i="1"/>
  <c r="AW98" i="1"/>
  <c r="AS11" i="1"/>
  <c r="AW49" i="1"/>
  <c r="AW100" i="1"/>
  <c r="AS126" i="1"/>
  <c r="AW164" i="1"/>
  <c r="AW140" i="1"/>
  <c r="AS166" i="1"/>
  <c r="AS205" i="1"/>
  <c r="AS168" i="1"/>
  <c r="AW130" i="1"/>
  <c r="AS156" i="1"/>
  <c r="AW194" i="1"/>
  <c r="AW143" i="1"/>
  <c r="AS169" i="1"/>
  <c r="AW207" i="1"/>
  <c r="AS16" i="1"/>
  <c r="AW54" i="1"/>
  <c r="AS80" i="1"/>
  <c r="AS29" i="1"/>
  <c r="AW67" i="1"/>
  <c r="AW118" i="1"/>
  <c r="AS144" i="1"/>
  <c r="AW182" i="1"/>
  <c r="AS208" i="1"/>
  <c r="AW79" i="1"/>
  <c r="AS55" i="1"/>
  <c r="AS51" i="1"/>
  <c r="AS28" i="1"/>
  <c r="AS17" i="1"/>
  <c r="AS184" i="1"/>
  <c r="AS197" i="1"/>
  <c r="AW107" i="1"/>
  <c r="AS160" i="1"/>
  <c r="AW198" i="1"/>
  <c r="AW25" i="1"/>
  <c r="AW147" i="1"/>
  <c r="AS173" i="1"/>
  <c r="AW160" i="1"/>
  <c r="AS199" i="1"/>
  <c r="AS82" i="1"/>
  <c r="AW64" i="1"/>
  <c r="AS187" i="1"/>
  <c r="AW39" i="1"/>
  <c r="AW69" i="1"/>
  <c r="AW174" i="1"/>
  <c r="AW18" i="1"/>
  <c r="AW38" i="1"/>
  <c r="AW96" i="1"/>
  <c r="AS122" i="1"/>
  <c r="AW12" i="1"/>
  <c r="AW32" i="1"/>
  <c r="AS36" i="1"/>
  <c r="AS87" i="1"/>
  <c r="AW112" i="1"/>
  <c r="AW176" i="1"/>
  <c r="AW56" i="1"/>
  <c r="AW83" i="1"/>
  <c r="AS58" i="1"/>
  <c r="AW23" i="1"/>
  <c r="AS49" i="1"/>
  <c r="AW36" i="1"/>
  <c r="AW87" i="1"/>
  <c r="AS100" i="1"/>
  <c r="AS46" i="1"/>
  <c r="AW122" i="1"/>
  <c r="AS7" i="1"/>
  <c r="AS75" i="1"/>
  <c r="AW24" i="1"/>
  <c r="AS50" i="1"/>
  <c r="AW75" i="1"/>
  <c r="AS88" i="1"/>
  <c r="AW126" i="1"/>
  <c r="AS152" i="1"/>
  <c r="AS38" i="1"/>
  <c r="AW63" i="1"/>
  <c r="AW114" i="1"/>
  <c r="AS140" i="1"/>
  <c r="AW178" i="1"/>
  <c r="AS204" i="1"/>
  <c r="AS153" i="1"/>
  <c r="AW191" i="1"/>
  <c r="AW192" i="1"/>
  <c r="AW141" i="1"/>
  <c r="AS167" i="1"/>
  <c r="AS193" i="1"/>
  <c r="AW27" i="1"/>
  <c r="AS53" i="1"/>
  <c r="AS155" i="1"/>
  <c r="AS25" i="1"/>
  <c r="AS207" i="1"/>
  <c r="AW195" i="1"/>
  <c r="AW76" i="1"/>
  <c r="AW55" i="1"/>
  <c r="AS119" i="1"/>
  <c r="AW91" i="1"/>
  <c r="AW168" i="1"/>
  <c r="AS30" i="1"/>
  <c r="AS81" i="1"/>
  <c r="AS132" i="1"/>
  <c r="AS196" i="1"/>
  <c r="AW41" i="1"/>
  <c r="AS52" i="1"/>
  <c r="AW31" i="1"/>
  <c r="AW82" i="1"/>
  <c r="AS95" i="1"/>
  <c r="AW133" i="1"/>
  <c r="AS159" i="1"/>
  <c r="AW184" i="1"/>
  <c r="AS108" i="1"/>
  <c r="AW146" i="1"/>
  <c r="AS172" i="1"/>
  <c r="AW197" i="1"/>
  <c r="AS70" i="1"/>
  <c r="AW95" i="1"/>
  <c r="AS121" i="1"/>
  <c r="AW172" i="1"/>
  <c r="AW185" i="1"/>
  <c r="AS83" i="1"/>
  <c r="AW7" i="1"/>
  <c r="AS33" i="1"/>
  <c r="AW58" i="1"/>
  <c r="AS84" i="1"/>
  <c r="AW109" i="1"/>
  <c r="AS135" i="1"/>
  <c r="AW173" i="1"/>
  <c r="AS186" i="1"/>
  <c r="AW26" i="1"/>
  <c r="AW57" i="1"/>
  <c r="AW84" i="1"/>
  <c r="AS97" i="1"/>
  <c r="AW135" i="1"/>
  <c r="AS161" i="1"/>
  <c r="AW186" i="1"/>
  <c r="AW20" i="1"/>
  <c r="AW199" i="1"/>
  <c r="AS14" i="1"/>
  <c r="AS19" i="1"/>
  <c r="AS72" i="1"/>
  <c r="AW97" i="1"/>
  <c r="AS123" i="1"/>
  <c r="AW161" i="1"/>
  <c r="AW123" i="1"/>
  <c r="AS200" i="1"/>
  <c r="AW33" i="1"/>
  <c r="AW136" i="1"/>
  <c r="AS162" i="1"/>
  <c r="AW187" i="1"/>
  <c r="AW77" i="1"/>
  <c r="AS21" i="1"/>
  <c r="AW200" i="1"/>
  <c r="AW10" i="1"/>
  <c r="AW74" i="1"/>
  <c r="AW125" i="1"/>
  <c r="AS164" i="1"/>
  <c r="AW111" i="1"/>
  <c r="AW61" i="1"/>
  <c r="AW151" i="1"/>
  <c r="AS177" i="1"/>
  <c r="AW85" i="1"/>
  <c r="AS37" i="1"/>
  <c r="AS139" i="1"/>
  <c r="AW177" i="1"/>
  <c r="AS190" i="1"/>
  <c r="AS8" i="1"/>
  <c r="AW8" i="1"/>
  <c r="AW59" i="1"/>
  <c r="AW175" i="1"/>
  <c r="AP2" i="1"/>
  <c r="AS101" i="1"/>
  <c r="AW139" i="1"/>
  <c r="AS165" i="1"/>
  <c r="AW190" i="1"/>
  <c r="AS203" i="1"/>
  <c r="AS12" i="1"/>
  <c r="AS63" i="1"/>
  <c r="AS114" i="1"/>
  <c r="AS178" i="1"/>
  <c r="AS40" i="1"/>
  <c r="AW6" i="1"/>
  <c r="AS76" i="1"/>
  <c r="AW101" i="1"/>
  <c r="AS127" i="1"/>
  <c r="AW13" i="1"/>
  <c r="AW44" i="1"/>
  <c r="AS13" i="1"/>
  <c r="AS64" i="1"/>
  <c r="AW89" i="1"/>
  <c r="AS115" i="1"/>
  <c r="AS179" i="1"/>
  <c r="AS26" i="1"/>
  <c r="AS77" i="1"/>
  <c r="AW102" i="1"/>
  <c r="AS128" i="1"/>
  <c r="AW166" i="1"/>
  <c r="AW204" i="1"/>
  <c r="AS141" i="1"/>
  <c r="AS192" i="1"/>
  <c r="AS90" i="1"/>
  <c r="AW128" i="1"/>
  <c r="AS154" i="1"/>
  <c r="AW52" i="1"/>
  <c r="AS65" i="1"/>
  <c r="AW90" i="1"/>
  <c r="AS116" i="1"/>
  <c r="AW154" i="1"/>
  <c r="AS180" i="1"/>
  <c r="AS78" i="1"/>
  <c r="AW103" i="1"/>
  <c r="AS129" i="1"/>
  <c r="AW167" i="1"/>
  <c r="AW205" i="1"/>
  <c r="AW78" i="1"/>
  <c r="AS91" i="1"/>
  <c r="AW129" i="1"/>
  <c r="AW155" i="1"/>
  <c r="AW15" i="1"/>
  <c r="AS41" i="1"/>
  <c r="AW66" i="1"/>
  <c r="AW117" i="1"/>
  <c r="AS143" i="1"/>
  <c r="AW181" i="1"/>
  <c r="AS194" i="1"/>
  <c r="AW206" i="1"/>
  <c r="AW157" i="1"/>
  <c r="AW106" i="1"/>
  <c r="AW170" i="1"/>
  <c r="AW183" i="1"/>
  <c r="AW29" i="1"/>
  <c r="AW93" i="1"/>
  <c r="AW208" i="1"/>
  <c r="AW42" i="1"/>
  <c r="AW43" i="1"/>
  <c r="AW145" i="1"/>
  <c r="AS171" i="1"/>
  <c r="AW196" i="1"/>
  <c r="AW14" i="1"/>
  <c r="AS92" i="1"/>
  <c r="AW16" i="1"/>
  <c r="AS18" i="1"/>
  <c r="AS69" i="1"/>
  <c r="AS120" i="1"/>
  <c r="AW188" i="1"/>
  <c r="AW163" i="1"/>
  <c r="AW11" i="1"/>
  <c r="AW62" i="1"/>
  <c r="AW113" i="1"/>
  <c r="AW37" i="1"/>
  <c r="AW50" i="1"/>
  <c r="AW88" i="1"/>
  <c r="AW152" i="1"/>
  <c r="AW165" i="1"/>
  <c r="AW203" i="1"/>
  <c r="AW127" i="1"/>
  <c r="AW153" i="1"/>
  <c r="AW115" i="1"/>
  <c r="AW179" i="1"/>
  <c r="AW171" i="1"/>
  <c r="AW142" i="1"/>
  <c r="AW193" i="1"/>
  <c r="AW108" i="1"/>
  <c r="AW134" i="1"/>
  <c r="AW51" i="1"/>
  <c r="AW68" i="1"/>
  <c r="AW105" i="1"/>
  <c r="AW94" i="1"/>
  <c r="AW158" i="1"/>
</calcChain>
</file>

<file path=xl/sharedStrings.xml><?xml version="1.0" encoding="utf-8"?>
<sst xmlns="http://schemas.openxmlformats.org/spreadsheetml/2006/main" count="3544" uniqueCount="1272">
  <si>
    <t/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</si>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</sst>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I1" zoomScale="80" zoomScaleNormal="80" workbookViewId="0">
      <selection activeCell="AB1" sqref="AB1:AC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58" width="32.42578125" style="74" customWidth="1"/>
    <col min="159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3.4</v>
      </c>
      <c r="Y2" s="89">
        <f t="shared" si="0"/>
        <v>4</v>
      </c>
      <c r="Z2" s="89">
        <f t="shared" si="0"/>
        <v>4.2</v>
      </c>
      <c r="AA2" s="89">
        <f t="shared" si="0"/>
        <v>4.5999999999999996</v>
      </c>
      <c r="AB2" s="89">
        <f t="shared" si="0"/>
        <v>4.2</v>
      </c>
      <c r="AC2" s="89">
        <f t="shared" si="0"/>
        <v>3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>
        <v>27.2</v>
      </c>
      <c r="Y5" s="51">
        <v>27.8</v>
      </c>
      <c r="Z5" s="111">
        <v>28.2</v>
      </c>
      <c r="AA5" s="51">
        <v>25.4</v>
      </c>
      <c r="AB5" s="51">
        <v>25.4</v>
      </c>
      <c r="AC5" s="51">
        <v>25.7</v>
      </c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19</v>
      </c>
      <c r="AQ5" s="89">
        <f t="shared" ref="AQ5:AQ68" si="2">IF(AP5&gt;14,AVERAGE(K5:AO5),"")</f>
        <v>26.768421052631577</v>
      </c>
      <c r="AR5" s="89">
        <f>IFERROR(VLOOKUP(A5,Climatologia!A:U,9+$E$2,FALSE),"")</f>
        <v>26.259288578530331</v>
      </c>
      <c r="AS5" s="89">
        <f t="shared" ref="AS5:AS68" si="3">IF(OR(AQ5="",AR5=""),"",IFERROR(AQ5-AR5,""))</f>
        <v>0.5091324741012464</v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>
        <v>27.7</v>
      </c>
      <c r="Y6" s="51">
        <v>26</v>
      </c>
      <c r="Z6" s="111">
        <v>27.7</v>
      </c>
      <c r="AA6" s="51">
        <v>26.4</v>
      </c>
      <c r="AB6" s="51">
        <v>26.7</v>
      </c>
      <c r="AC6" s="51">
        <v>26.4</v>
      </c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19</v>
      </c>
      <c r="AQ6" s="89">
        <f t="shared" si="2"/>
        <v>27.105263157894736</v>
      </c>
      <c r="AR6" s="89">
        <f>IFERROR(VLOOKUP(A6,Climatologia!A:U,9+$E$2,FALSE),"")</f>
        <v>26.228813072776621</v>
      </c>
      <c r="AS6" s="89">
        <f t="shared" si="3"/>
        <v>0.8764500851181154</v>
      </c>
      <c r="AT6" s="90">
        <f t="shared" si="4"/>
        <v>26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5.6000000000000014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>
        <v>26.2</v>
      </c>
      <c r="Y7" s="51">
        <v>26.8</v>
      </c>
      <c r="Z7" s="111">
        <v>27</v>
      </c>
      <c r="AA7" s="51">
        <v>25.8</v>
      </c>
      <c r="AB7" s="51">
        <v>25.4</v>
      </c>
      <c r="AC7" s="51">
        <v>26</v>
      </c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19</v>
      </c>
      <c r="AQ7" s="89">
        <f t="shared" si="2"/>
        <v>26.536842105263158</v>
      </c>
      <c r="AR7" s="89">
        <f>IFERROR(VLOOKUP(A7,Climatologia!A:U,9+$E$2,FALSE),"")</f>
        <v>24.806006674082301</v>
      </c>
      <c r="AS7" s="89">
        <f t="shared" si="3"/>
        <v>1.7308354311808571</v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>
        <v>27.4</v>
      </c>
      <c r="Y8" s="51">
        <v>27.2</v>
      </c>
      <c r="Z8" s="111">
        <v>27.4</v>
      </c>
      <c r="AA8" s="116">
        <v>22.8</v>
      </c>
      <c r="AB8" s="51">
        <v>26.5</v>
      </c>
      <c r="AC8" s="51">
        <v>25.5</v>
      </c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19</v>
      </c>
      <c r="AQ8" s="89">
        <f t="shared" si="2"/>
        <v>26.410526315789472</v>
      </c>
      <c r="AR8" s="89">
        <f>IFERROR(VLOOKUP(A8,Climatologia!A:U,9+$E$2,FALSE),"")</f>
        <v>25.86230323116423</v>
      </c>
      <c r="AS8" s="89">
        <f t="shared" si="3"/>
        <v>0.54822308462524205</v>
      </c>
      <c r="AT8" s="90">
        <f t="shared" si="4"/>
        <v>22.8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2.6000000000000014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>
        <v>25.6</v>
      </c>
      <c r="Y9" s="51">
        <v>27.2</v>
      </c>
      <c r="Z9" s="111">
        <v>27.1</v>
      </c>
      <c r="AA9" s="51">
        <v>26.8</v>
      </c>
      <c r="AB9" s="51">
        <v>25.1</v>
      </c>
      <c r="AC9" s="51">
        <v>26.2</v>
      </c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19</v>
      </c>
      <c r="AQ9" s="89">
        <f t="shared" si="2"/>
        <v>26.068421052631582</v>
      </c>
      <c r="AR9" s="89">
        <f>IFERROR(VLOOKUP(A9,Climatologia!A:U,9+$E$2,FALSE),"")</f>
        <v>24.75295901904628</v>
      </c>
      <c r="AS9" s="89">
        <f t="shared" si="3"/>
        <v>1.3154620335853018</v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>
        <v>28.6</v>
      </c>
      <c r="Y10" s="51">
        <v>28</v>
      </c>
      <c r="Z10" s="111">
        <v>27.1</v>
      </c>
      <c r="AA10" s="51">
        <v>28.6</v>
      </c>
      <c r="AB10" s="51">
        <v>27.9</v>
      </c>
      <c r="AC10" s="51">
        <v>28.3</v>
      </c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19</v>
      </c>
      <c r="AQ10" s="89">
        <f t="shared" si="2"/>
        <v>27.968421052631577</v>
      </c>
      <c r="AR10" s="89">
        <f>IFERROR(VLOOKUP(A10,Climatologia!A:U,9+$E$2,FALSE),"")</f>
        <v>25.518421261719372</v>
      </c>
      <c r="AS10" s="89">
        <f t="shared" si="3"/>
        <v>2.4499997909122051</v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>
        <v>27.8</v>
      </c>
      <c r="Y11" s="51">
        <v>29</v>
      </c>
      <c r="Z11" s="111">
        <v>26.8</v>
      </c>
      <c r="AA11" s="51">
        <v>26.8</v>
      </c>
      <c r="AB11" s="51">
        <v>24.2</v>
      </c>
      <c r="AC11" s="51">
        <v>24</v>
      </c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19</v>
      </c>
      <c r="AQ11" s="89">
        <f t="shared" si="2"/>
        <v>26.684210526315791</v>
      </c>
      <c r="AR11" s="89">
        <f>IFERROR(VLOOKUP(A11,Climatologia!A:U,9+$E$2,FALSE),"")</f>
        <v>24.333982334869429</v>
      </c>
      <c r="AS11" s="89">
        <f t="shared" si="3"/>
        <v>2.3502281914463623</v>
      </c>
      <c r="AT11" s="90">
        <f t="shared" si="4"/>
        <v>24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>
        <v>24.9</v>
      </c>
      <c r="Y12" s="51">
        <v>27</v>
      </c>
      <c r="Z12" s="111">
        <v>27.4</v>
      </c>
      <c r="AA12" s="116">
        <v>23.1</v>
      </c>
      <c r="AB12" s="51">
        <v>23.6</v>
      </c>
      <c r="AC12" s="51">
        <v>25.6</v>
      </c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19</v>
      </c>
      <c r="AQ12" s="89">
        <f t="shared" si="2"/>
        <v>25.789473684210527</v>
      </c>
      <c r="AR12" s="89">
        <f>IFERROR(VLOOKUP(A12,Climatologia!A:U,9+$E$2,FALSE),"")</f>
        <v>23.252867103531361</v>
      </c>
      <c r="AS12" s="89">
        <f t="shared" si="3"/>
        <v>2.536606580679166</v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>
        <v>24.1</v>
      </c>
      <c r="Y13" s="51">
        <v>24.8</v>
      </c>
      <c r="Z13" s="111">
        <v>24</v>
      </c>
      <c r="AA13" s="51">
        <v>23.4</v>
      </c>
      <c r="AB13" s="51">
        <v>24</v>
      </c>
      <c r="AC13" s="51">
        <v>24.6</v>
      </c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19</v>
      </c>
      <c r="AQ13" s="89">
        <f t="shared" si="2"/>
        <v>25.057894736842105</v>
      </c>
      <c r="AR13" s="89">
        <f>IFERROR(VLOOKUP(A13,Climatologia!A:U,9+$E$2,FALSE),"")</f>
        <v>23.256381449473771</v>
      </c>
      <c r="AS13" s="89">
        <f t="shared" si="3"/>
        <v>1.8015132873683335</v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>
        <v>20.8</v>
      </c>
      <c r="Y14" s="51">
        <v>20.399999999999999</v>
      </c>
      <c r="Z14" s="111">
        <v>20.3</v>
      </c>
      <c r="AA14" s="51">
        <v>19.3</v>
      </c>
      <c r="AB14" s="51">
        <v>19.399999999999999</v>
      </c>
      <c r="AC14" s="51">
        <v>19.5</v>
      </c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19</v>
      </c>
      <c r="AQ14" s="89">
        <f t="shared" si="2"/>
        <v>20.142105263157898</v>
      </c>
      <c r="AR14" s="89">
        <f>IFERROR(VLOOKUP(A14,Climatologia!A:U,9+$E$2,FALSE),"")</f>
        <v>18.604610712863401</v>
      </c>
      <c r="AS14" s="89">
        <f t="shared" si="3"/>
        <v>1.5374945502944968</v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>
        <v>25</v>
      </c>
      <c r="Y15" s="51">
        <v>23.5</v>
      </c>
      <c r="Z15" s="111">
        <v>24.5</v>
      </c>
      <c r="AA15" s="51">
        <v>23.9</v>
      </c>
      <c r="AB15" s="51">
        <v>24.4</v>
      </c>
      <c r="AC15" s="51">
        <v>25.4</v>
      </c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19</v>
      </c>
      <c r="AQ15" s="89">
        <f t="shared" si="2"/>
        <v>25.605263157894733</v>
      </c>
      <c r="AR15" s="89">
        <f>IFERROR(VLOOKUP(A15,Climatologia!A:U,9+$E$2,FALSE),"")</f>
        <v>23.891303077493511</v>
      </c>
      <c r="AS15" s="89">
        <f t="shared" si="3"/>
        <v>1.7139600804012218</v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>
        <v>26.7</v>
      </c>
      <c r="Y16" s="51">
        <v>25.9</v>
      </c>
      <c r="Z16" s="111">
        <v>25.4</v>
      </c>
      <c r="AA16" s="51">
        <v>23.4</v>
      </c>
      <c r="AB16" s="51">
        <v>23.8</v>
      </c>
      <c r="AC16" s="51">
        <v>24.5</v>
      </c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19</v>
      </c>
      <c r="AQ16" s="89">
        <f t="shared" si="2"/>
        <v>24.889473684210522</v>
      </c>
      <c r="AR16" s="89">
        <f>IFERROR(VLOOKUP(A16,Climatologia!A:U,9+$E$2,FALSE),"")</f>
        <v>23.404404619673439</v>
      </c>
      <c r="AS16" s="89">
        <f t="shared" si="3"/>
        <v>1.4850690645370825</v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>
        <v>19.7</v>
      </c>
      <c r="Y17" s="51">
        <v>21.6</v>
      </c>
      <c r="Z17" s="111">
        <v>19.2</v>
      </c>
      <c r="AA17" s="51">
        <v>18.100000000000001</v>
      </c>
      <c r="AB17" s="51">
        <v>18.5</v>
      </c>
      <c r="AC17" s="51">
        <v>17.3</v>
      </c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19</v>
      </c>
      <c r="AQ17" s="89">
        <f t="shared" si="2"/>
        <v>19.352631578947371</v>
      </c>
      <c r="AR17" s="89">
        <f>IFERROR(VLOOKUP(A17,Climatologia!A:U,9+$E$2,FALSE),"")</f>
        <v>17.58853046594982</v>
      </c>
      <c r="AS17" s="89">
        <f t="shared" si="3"/>
        <v>1.764101112997551</v>
      </c>
      <c r="AT17" s="90">
        <f t="shared" si="4"/>
        <v>17.3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5.9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>
        <v>13.9</v>
      </c>
      <c r="Y18" s="51">
        <v>13.8</v>
      </c>
      <c r="Z18" s="111">
        <v>14.8</v>
      </c>
      <c r="AA18" s="51">
        <v>13.8</v>
      </c>
      <c r="AB18" s="51">
        <v>13.9</v>
      </c>
      <c r="AC18" s="51">
        <v>10.3</v>
      </c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19</v>
      </c>
      <c r="AQ18" s="89">
        <f t="shared" si="2"/>
        <v>12.700000000000005</v>
      </c>
      <c r="AR18" s="89">
        <f>IFERROR(VLOOKUP(A18,Climatologia!A:U,9+$E$2,FALSE),"")</f>
        <v>12.112884686688909</v>
      </c>
      <c r="AS18" s="89">
        <f t="shared" si="3"/>
        <v>0.58711531331109512</v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>
        <v>18.399999999999999</v>
      </c>
      <c r="Y19" s="51">
        <v>19.600000000000001</v>
      </c>
      <c r="Z19" s="111">
        <v>19.899999999999999</v>
      </c>
      <c r="AA19" s="51">
        <v>18.399999999999999</v>
      </c>
      <c r="AB19" s="51">
        <v>17.399999999999999</v>
      </c>
      <c r="AC19" s="51">
        <v>17.399999999999999</v>
      </c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19</v>
      </c>
      <c r="AQ19" s="89">
        <f t="shared" si="2"/>
        <v>18.589473684210521</v>
      </c>
      <c r="AR19" s="89">
        <f>IFERROR(VLOOKUP(A19,Climatologia!A:U,9+$E$2,FALSE),"")</f>
        <v>17.60198511166254</v>
      </c>
      <c r="AS19" s="89">
        <f t="shared" si="3"/>
        <v>0.98748857254798139</v>
      </c>
      <c r="AT19" s="90">
        <f t="shared" si="4"/>
        <v>17.399999999999999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4.1999999999999993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>
        <v>17.100000000000001</v>
      </c>
      <c r="Y20" s="51">
        <v>17.3</v>
      </c>
      <c r="Z20" s="111">
        <v>18.399999999999999</v>
      </c>
      <c r="AA20" s="51">
        <v>19.2</v>
      </c>
      <c r="AB20" s="51">
        <v>18.3</v>
      </c>
      <c r="AC20" s="51">
        <v>16.8</v>
      </c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19</v>
      </c>
      <c r="AQ20" s="89">
        <f t="shared" si="2"/>
        <v>17.55263157894737</v>
      </c>
      <c r="AR20" s="89">
        <f>IFERROR(VLOOKUP(A20,Climatologia!A:U,9+$E$2,FALSE),"")</f>
        <v>16.759506289039098</v>
      </c>
      <c r="AS20" s="89">
        <f t="shared" si="3"/>
        <v>0.79312528990827147</v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>
        <v>22.4</v>
      </c>
      <c r="Y21" s="51">
        <v>21</v>
      </c>
      <c r="Z21" s="111">
        <v>22.8</v>
      </c>
      <c r="AA21" s="51">
        <v>20</v>
      </c>
      <c r="AB21" s="51">
        <v>19.600000000000001</v>
      </c>
      <c r="AC21" s="51">
        <v>21</v>
      </c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19</v>
      </c>
      <c r="AQ21" s="89">
        <f t="shared" si="2"/>
        <v>21.389473684210525</v>
      </c>
      <c r="AR21" s="89">
        <f>IFERROR(VLOOKUP(A21,Climatologia!A:U,9+$E$2,FALSE),"")</f>
        <v>19.456815855631209</v>
      </c>
      <c r="AS21" s="89">
        <f t="shared" si="3"/>
        <v>1.9326578285793161</v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3.8000000000000007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>
        <v>9</v>
      </c>
      <c r="Y22" s="51">
        <v>10.1</v>
      </c>
      <c r="Z22" s="111">
        <v>10.4</v>
      </c>
      <c r="AA22" s="51">
        <v>10.8</v>
      </c>
      <c r="AB22" s="51">
        <v>10.3</v>
      </c>
      <c r="AC22" s="51">
        <v>11.5</v>
      </c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19</v>
      </c>
      <c r="AQ22" s="89">
        <f t="shared" si="2"/>
        <v>9.5894736842105264</v>
      </c>
      <c r="AR22" s="89">
        <f>IFERROR(VLOOKUP(A22,Climatologia!A:U,9+$E$2,FALSE),"")</f>
        <v>8.3796136733122264</v>
      </c>
      <c r="AS22" s="89">
        <f t="shared" si="3"/>
        <v>1.2098600108983</v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>
        <v>19</v>
      </c>
      <c r="Y23" s="51">
        <v>17.899999999999999</v>
      </c>
      <c r="Z23" s="111">
        <v>21.7</v>
      </c>
      <c r="AA23" s="51">
        <v>20.399999999999999</v>
      </c>
      <c r="AB23" s="51">
        <v>19.600000000000001</v>
      </c>
      <c r="AC23" s="51">
        <v>18.2</v>
      </c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19</v>
      </c>
      <c r="AQ23" s="89">
        <f t="shared" si="2"/>
        <v>18.984210526315785</v>
      </c>
      <c r="AR23" s="89">
        <f>IFERROR(VLOOKUP(A23,Climatologia!A:U,9+$E$2,FALSE),"")</f>
        <v>18.46166778427882</v>
      </c>
      <c r="AS23" s="89">
        <f t="shared" si="3"/>
        <v>0.52254274203696482</v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>
        <v>26</v>
      </c>
      <c r="Y24" s="51">
        <v>26.4</v>
      </c>
      <c r="Z24" s="111">
        <v>26.4</v>
      </c>
      <c r="AA24" s="51">
        <v>22.7</v>
      </c>
      <c r="AB24" s="51">
        <v>22.7</v>
      </c>
      <c r="AC24" s="51">
        <v>24.9</v>
      </c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19</v>
      </c>
      <c r="AQ24" s="89">
        <f t="shared" si="2"/>
        <v>24.984210526315781</v>
      </c>
      <c r="AR24" s="89">
        <f>IFERROR(VLOOKUP(A24,Climatologia!A:U,9+$E$2,FALSE),"")</f>
        <v>23.298802867383511</v>
      </c>
      <c r="AS24" s="89">
        <f t="shared" si="3"/>
        <v>1.6854076589322702</v>
      </c>
      <c r="AT24" s="90">
        <f t="shared" si="4"/>
        <v>22.7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4.1999999999999993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>
        <v>15.2</v>
      </c>
      <c r="Y25" s="51">
        <v>14.4</v>
      </c>
      <c r="Z25" s="111">
        <v>14.6</v>
      </c>
      <c r="AA25" s="51">
        <v>14.2</v>
      </c>
      <c r="AB25" s="51">
        <v>14</v>
      </c>
      <c r="AC25" s="51">
        <v>15.7</v>
      </c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19</v>
      </c>
      <c r="AQ25" s="89">
        <f t="shared" si="2"/>
        <v>15.636842105263156</v>
      </c>
      <c r="AR25" s="89">
        <f>IFERROR(VLOOKUP(A25,Climatologia!A:U,9+$E$2,FALSE),"")</f>
        <v>14.619937099422639</v>
      </c>
      <c r="AS25" s="89">
        <f t="shared" si="3"/>
        <v>1.0169050058405169</v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>
        <v>4</v>
      </c>
      <c r="Y26" s="51">
        <v>7</v>
      </c>
      <c r="Z26" s="111">
        <v>4.8</v>
      </c>
      <c r="AA26" s="51">
        <v>6.4</v>
      </c>
      <c r="AB26" s="51">
        <v>7</v>
      </c>
      <c r="AC26" s="51">
        <v>8</v>
      </c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19</v>
      </c>
      <c r="AQ26" s="89">
        <f t="shared" si="2"/>
        <v>6.9789473684210535</v>
      </c>
      <c r="AR26" s="89">
        <f>IFERROR(VLOOKUP(A26,Climatologia!A:U,9+$E$2,FALSE),"")</f>
        <v>4.8923173896922503</v>
      </c>
      <c r="AS26" s="89">
        <f t="shared" si="3"/>
        <v>2.0866299787288032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>
        <v>23.9</v>
      </c>
      <c r="Y27" s="51">
        <v>24.6</v>
      </c>
      <c r="Z27" s="111">
        <v>24</v>
      </c>
      <c r="AA27" s="51">
        <v>24</v>
      </c>
      <c r="AB27" s="51">
        <v>22.8</v>
      </c>
      <c r="AC27" s="51">
        <v>23.2</v>
      </c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19</v>
      </c>
      <c r="AQ27" s="89">
        <f t="shared" si="2"/>
        <v>24.205263157894734</v>
      </c>
      <c r="AR27" s="89">
        <f>IFERROR(VLOOKUP(A27,Climatologia!A:U,9+$E$2,FALSE),"")</f>
        <v>23.179136204978711</v>
      </c>
      <c r="AS27" s="89">
        <f t="shared" si="3"/>
        <v>1.0261269529160231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2.4000000000000021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>
        <v>24.9</v>
      </c>
      <c r="Y28" s="51">
        <v>24.5</v>
      </c>
      <c r="Z28" s="111">
        <v>24.3</v>
      </c>
      <c r="AA28" s="51">
        <v>22.9</v>
      </c>
      <c r="AB28" s="51">
        <v>22.8</v>
      </c>
      <c r="AC28" s="51">
        <v>24.1</v>
      </c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19</v>
      </c>
      <c r="AQ28" s="89">
        <f t="shared" si="2"/>
        <v>23.647368421052629</v>
      </c>
      <c r="AR28" s="89">
        <f>IFERROR(VLOOKUP(A28,Climatologia!A:U,9+$E$2,FALSE),"")</f>
        <v>22.746845081640782</v>
      </c>
      <c r="AS28" s="89">
        <f t="shared" si="3"/>
        <v>0.9005233394118477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>
        <v>25</v>
      </c>
      <c r="Y29" s="51">
        <v>25.6</v>
      </c>
      <c r="Z29" s="111">
        <v>23.8</v>
      </c>
      <c r="AA29" s="51">
        <v>24</v>
      </c>
      <c r="AB29" s="51">
        <v>24.2</v>
      </c>
      <c r="AC29" s="51">
        <v>25.4</v>
      </c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19</v>
      </c>
      <c r="AQ29" s="89">
        <f t="shared" si="2"/>
        <v>25.010526315789473</v>
      </c>
      <c r="AR29" s="89">
        <f>IFERROR(VLOOKUP(A29,Climatologia!A:U,9+$E$2,FALSE),"")</f>
        <v>23.54566184649611</v>
      </c>
      <c r="AS29" s="89">
        <f t="shared" si="3"/>
        <v>1.4648644692933637</v>
      </c>
      <c r="AT29" s="90">
        <f t="shared" si="4"/>
        <v>23.8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3.8000000000000007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>
        <v>21.3</v>
      </c>
      <c r="Y30" s="51">
        <v>22.4</v>
      </c>
      <c r="Z30" s="111">
        <v>22.5</v>
      </c>
      <c r="AA30" s="51">
        <v>21</v>
      </c>
      <c r="AB30" s="51">
        <v>21.3</v>
      </c>
      <c r="AC30" s="51">
        <v>22</v>
      </c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19</v>
      </c>
      <c r="AQ30" s="89">
        <f t="shared" si="2"/>
        <v>21.58421052631579</v>
      </c>
      <c r="AR30" s="89">
        <f>IFERROR(VLOOKUP(A30,Climatologia!A:U,9+$E$2,FALSE),"")</f>
        <v>20.53698553948831</v>
      </c>
      <c r="AS30" s="89">
        <f t="shared" si="3"/>
        <v>1.0472249868274801</v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>
        <v>23.3</v>
      </c>
      <c r="Y31" s="108">
        <v>24.2</v>
      </c>
      <c r="Z31" s="115">
        <v>23.2</v>
      </c>
      <c r="AA31" s="108">
        <v>24.5</v>
      </c>
      <c r="AB31" s="108">
        <v>22.8</v>
      </c>
      <c r="AC31" s="108">
        <v>22.3</v>
      </c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19</v>
      </c>
      <c r="AQ31" s="89">
        <f t="shared" si="2"/>
        <v>23.157894736842106</v>
      </c>
      <c r="AR31" s="89">
        <f>IFERROR(VLOOKUP(A31,Climatologia!A:U,9+$E$2,FALSE),"")</f>
        <v>21.82882961124896</v>
      </c>
      <c r="AS31" s="89">
        <f t="shared" si="3"/>
        <v>1.3290651255931465</v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>
        <v>13.2</v>
      </c>
      <c r="Y32" s="51">
        <v>16</v>
      </c>
      <c r="Z32" s="111">
        <v>12.2</v>
      </c>
      <c r="AA32" s="51">
        <v>15.8</v>
      </c>
      <c r="AB32" s="51">
        <v>15</v>
      </c>
      <c r="AC32" s="51">
        <v>12.8</v>
      </c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19</v>
      </c>
      <c r="AQ32" s="89">
        <f t="shared" si="2"/>
        <v>13.557894736842103</v>
      </c>
      <c r="AR32" s="89">
        <f>IFERROR(VLOOKUP(A32,Climatologia!A:U,9+$E$2,FALSE),"")</f>
        <v>13.384747431302269</v>
      </c>
      <c r="AS32" s="89">
        <f t="shared" si="3"/>
        <v>0.1731473055398336</v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>
        <v>15.8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>
        <v>16.600000000000001</v>
      </c>
      <c r="Y34" s="51">
        <v>16.8</v>
      </c>
      <c r="Z34" s="111">
        <v>17</v>
      </c>
      <c r="AA34" s="51">
        <v>16</v>
      </c>
      <c r="AB34" s="51">
        <v>16.2</v>
      </c>
      <c r="AC34" s="51">
        <v>14.8</v>
      </c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19</v>
      </c>
      <c r="AQ34" s="89">
        <f t="shared" si="2"/>
        <v>15.778947368421052</v>
      </c>
      <c r="AR34" s="89">
        <f>IFERROR(VLOOKUP(A34,Climatologia!A:U,9+$E$2,FALSE),"")</f>
        <v>14.78540372493654</v>
      </c>
      <c r="AS34" s="89">
        <f t="shared" si="3"/>
        <v>0.99354364348451263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>
        <v>15.8</v>
      </c>
      <c r="Y35" s="51">
        <v>15.4</v>
      </c>
      <c r="Z35" s="111">
        <v>16</v>
      </c>
      <c r="AA35" s="51">
        <v>15</v>
      </c>
      <c r="AB35" s="51">
        <v>15.6</v>
      </c>
      <c r="AC35" s="51">
        <v>15</v>
      </c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19</v>
      </c>
      <c r="AQ35" s="89">
        <f t="shared" si="2"/>
        <v>14.915789473684212</v>
      </c>
      <c r="AR35" s="89">
        <f>IFERROR(VLOOKUP(A35,Climatologia!A:U,9+$E$2,FALSE),"")</f>
        <v>13.2928973207542</v>
      </c>
      <c r="AS35" s="89">
        <f t="shared" si="3"/>
        <v>1.622892152930012</v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>
        <v>19</v>
      </c>
      <c r="Y36" s="51">
        <v>20.399999999999999</v>
      </c>
      <c r="Z36" s="111">
        <v>22</v>
      </c>
      <c r="AA36" s="51">
        <v>21</v>
      </c>
      <c r="AB36" s="51">
        <v>20</v>
      </c>
      <c r="AC36" s="51">
        <v>18.8</v>
      </c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19</v>
      </c>
      <c r="AQ36" s="89">
        <f t="shared" si="2"/>
        <v>18.589473684210528</v>
      </c>
      <c r="AR36" s="89">
        <f>IFERROR(VLOOKUP(A36,Climatologia!A:U,9+$E$2,FALSE),"")</f>
        <v>19.435919418842811</v>
      </c>
      <c r="AS36" s="89">
        <f t="shared" si="3"/>
        <v>-0.84644573463228312</v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>
        <v>8.6</v>
      </c>
      <c r="Y37" s="51">
        <v>7.8</v>
      </c>
      <c r="Z37" s="111">
        <v>10.4</v>
      </c>
      <c r="AA37" s="51">
        <v>9.8000000000000007</v>
      </c>
      <c r="AB37" s="51">
        <v>9</v>
      </c>
      <c r="AC37" s="51">
        <v>11.6</v>
      </c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19</v>
      </c>
      <c r="AQ37" s="89">
        <f t="shared" si="2"/>
        <v>9.3263157894736857</v>
      </c>
      <c r="AR37" s="89">
        <f>IFERROR(VLOOKUP(A37,Climatologia!A:U,9+$E$2,FALSE),"")</f>
        <v>9.4603029050299927</v>
      </c>
      <c r="AS37" s="89">
        <f t="shared" si="3"/>
        <v>-0.13398711555630705</v>
      </c>
      <c r="AT37" s="90">
        <f t="shared" si="4"/>
        <v>7.6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>
        <v>19</v>
      </c>
      <c r="W38" s="51">
        <v>18.399999999999999</v>
      </c>
      <c r="X38" s="51">
        <v>18.600000000000001</v>
      </c>
      <c r="Y38" s="51">
        <v>18.8</v>
      </c>
      <c r="Z38" s="111">
        <v>17.8</v>
      </c>
      <c r="AA38" s="51">
        <v>17</v>
      </c>
      <c r="AB38" s="51">
        <v>16.399999999999999</v>
      </c>
      <c r="AC38" s="51">
        <v>16.600000000000001</v>
      </c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19</v>
      </c>
      <c r="AQ38" s="89">
        <f t="shared" si="2"/>
        <v>17.621052631578948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>
        <v>21.2</v>
      </c>
      <c r="Y39" s="51">
        <v>21.6</v>
      </c>
      <c r="Z39" s="111">
        <v>19</v>
      </c>
      <c r="AA39" s="51">
        <v>18.600000000000001</v>
      </c>
      <c r="AB39" s="51">
        <v>19</v>
      </c>
      <c r="AC39" s="51">
        <v>17.8</v>
      </c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19</v>
      </c>
      <c r="AQ39" s="89">
        <f t="shared" si="2"/>
        <v>19.642105263157902</v>
      </c>
      <c r="AR39" s="89">
        <f>IFERROR(VLOOKUP(A39,Climatologia!A:U,9+$E$2,FALSE),"")</f>
        <v>17.324090157154679</v>
      </c>
      <c r="AS39" s="89">
        <f t="shared" si="3"/>
        <v>2.318015106003223</v>
      </c>
      <c r="AT39" s="90">
        <f t="shared" si="4"/>
        <v>17.8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5.6000000000000014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>
        <v>15.8</v>
      </c>
      <c r="Y40" s="51">
        <v>15.8</v>
      </c>
      <c r="Z40" s="111">
        <v>16.399999999999999</v>
      </c>
      <c r="AA40" s="51">
        <v>16.2</v>
      </c>
      <c r="AB40" s="51">
        <v>16.2</v>
      </c>
      <c r="AC40" s="51">
        <v>13</v>
      </c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19</v>
      </c>
      <c r="AQ40" s="89">
        <f t="shared" si="2"/>
        <v>14.684210526315789</v>
      </c>
      <c r="AR40" s="89">
        <f>IFERROR(VLOOKUP(A40,Climatologia!A:U,9+$E$2,FALSE),"")</f>
        <v>13.024959037378389</v>
      </c>
      <c r="AS40" s="89">
        <f t="shared" si="3"/>
        <v>1.6592514889374002</v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>
        <v>24</v>
      </c>
      <c r="Y41" s="51">
        <v>26.8</v>
      </c>
      <c r="Z41" s="111">
        <v>26</v>
      </c>
      <c r="AA41" s="51">
        <v>22.8</v>
      </c>
      <c r="AB41" s="51">
        <v>23</v>
      </c>
      <c r="AC41" s="51">
        <v>23.8</v>
      </c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19</v>
      </c>
      <c r="AQ41" s="89">
        <f t="shared" si="2"/>
        <v>24.842105263157897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>
        <v>25.8</v>
      </c>
      <c r="Y42" s="51">
        <v>26.8</v>
      </c>
      <c r="Z42" s="111">
        <v>27.2</v>
      </c>
      <c r="AA42" s="51">
        <v>23.8</v>
      </c>
      <c r="AB42" s="51">
        <v>24.4</v>
      </c>
      <c r="AC42" s="51">
        <v>25.8</v>
      </c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19</v>
      </c>
      <c r="AQ42" s="89">
        <f t="shared" si="2"/>
        <v>25.999999999999996</v>
      </c>
      <c r="AR42" s="89">
        <f>IFERROR(VLOOKUP(A42,Climatologia!A:U,9+$E$2,FALSE),"")</f>
        <v>24.242887721454171</v>
      </c>
      <c r="AS42" s="89">
        <f t="shared" si="3"/>
        <v>1.7571122785458257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>
        <v>26.6</v>
      </c>
      <c r="Y43" s="51">
        <v>27.1</v>
      </c>
      <c r="Z43" s="111">
        <v>26.5</v>
      </c>
      <c r="AA43" s="51">
        <v>22.3</v>
      </c>
      <c r="AB43" s="51">
        <v>22.5</v>
      </c>
      <c r="AC43" s="51">
        <v>24.2</v>
      </c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19</v>
      </c>
      <c r="AQ43" s="89">
        <f t="shared" si="2"/>
        <v>24.96842105263158</v>
      </c>
      <c r="AR43" s="89">
        <f>IFERROR(VLOOKUP(A43,Climatologia!A:U,9+$E$2,FALSE),"")</f>
        <v>23.780114118567958</v>
      </c>
      <c r="AS43" s="89">
        <f t="shared" si="3"/>
        <v>1.1883069340636219</v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>
        <v>24.6</v>
      </c>
      <c r="Y44" s="51">
        <v>25.4</v>
      </c>
      <c r="Z44" s="111">
        <v>24.8</v>
      </c>
      <c r="AA44" s="51">
        <v>23.4</v>
      </c>
      <c r="AB44" s="51">
        <v>24.8</v>
      </c>
      <c r="AC44" s="51">
        <v>25.2</v>
      </c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19</v>
      </c>
      <c r="AQ44" s="89">
        <f t="shared" si="2"/>
        <v>24.726315789473681</v>
      </c>
      <c r="AR44" s="89">
        <f>IFERROR(VLOOKUP(A44,Climatologia!A:U,9+$E$2,FALSE),"")</f>
        <v>23.0554149406661</v>
      </c>
      <c r="AS44" s="89">
        <f t="shared" si="3"/>
        <v>1.6709008488075803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>
        <v>24.6</v>
      </c>
      <c r="Y47" s="51">
        <v>25.2</v>
      </c>
      <c r="Z47" s="111">
        <v>25.4</v>
      </c>
      <c r="AA47" s="51">
        <v>23.8</v>
      </c>
      <c r="AB47" s="51">
        <v>24.6</v>
      </c>
      <c r="AC47" s="51">
        <v>25.4</v>
      </c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19</v>
      </c>
      <c r="AQ47" s="89">
        <f t="shared" si="2"/>
        <v>25.200000000000003</v>
      </c>
      <c r="AR47" s="89">
        <f>IFERROR(VLOOKUP(A47,Climatologia!A:U,9+$E$2,FALSE),"")</f>
        <v>22.672444338506629</v>
      </c>
      <c r="AS47" s="89">
        <f t="shared" si="3"/>
        <v>2.5275556614933734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>
        <v>24.8</v>
      </c>
      <c r="Y51" s="51">
        <v>25.4</v>
      </c>
      <c r="Z51" s="111">
        <v>25.8</v>
      </c>
      <c r="AA51" s="51">
        <v>23.6</v>
      </c>
      <c r="AB51" s="51">
        <v>23.8</v>
      </c>
      <c r="AC51" s="51">
        <v>25</v>
      </c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19</v>
      </c>
      <c r="AQ51" s="89">
        <f t="shared" si="2"/>
        <v>25.157894736842106</v>
      </c>
      <c r="AR51" s="89">
        <f>IFERROR(VLOOKUP(A51,Climatologia!A:U,9+$E$2,FALSE),"")</f>
        <v>23.046735261401551</v>
      </c>
      <c r="AS51" s="89">
        <f t="shared" si="3"/>
        <v>2.1111594754405552</v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>
        <v>25.4</v>
      </c>
      <c r="Y52" s="51">
        <v>24.6</v>
      </c>
      <c r="Z52" s="111">
        <v>26.4</v>
      </c>
      <c r="AA52" s="51">
        <v>24</v>
      </c>
      <c r="AB52" s="51">
        <v>24</v>
      </c>
      <c r="AC52" s="51">
        <v>23.8</v>
      </c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19</v>
      </c>
      <c r="AQ52" s="89">
        <f t="shared" si="2"/>
        <v>24.673684210526318</v>
      </c>
      <c r="AR52" s="89">
        <f>IFERROR(VLOOKUP(A52,Climatologia!A:U,9+$E$2,FALSE),"")</f>
        <v>22.42011697979439</v>
      </c>
      <c r="AS52" s="89">
        <f t="shared" si="3"/>
        <v>2.2535672307319281</v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>
        <v>26</v>
      </c>
      <c r="Y53" s="51">
        <v>24.8</v>
      </c>
      <c r="Z53" s="111">
        <v>25.4</v>
      </c>
      <c r="AA53" s="51">
        <v>25.2</v>
      </c>
      <c r="AB53" s="51">
        <v>26.4</v>
      </c>
      <c r="AC53" s="51">
        <v>25</v>
      </c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18</v>
      </c>
      <c r="AQ53" s="89">
        <f t="shared" si="2"/>
        <v>25.211111111111112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/>
      <c r="Y54" s="51"/>
      <c r="Z54" s="111"/>
      <c r="AA54" s="51">
        <v>22.2</v>
      </c>
      <c r="AB54" s="51">
        <v>21.6</v>
      </c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15</v>
      </c>
      <c r="AQ54" s="89">
        <f t="shared" si="2"/>
        <v>22.306666666666665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>
        <v>25.8</v>
      </c>
      <c r="Y57" s="51">
        <v>24.8</v>
      </c>
      <c r="Z57" s="111">
        <v>25.2</v>
      </c>
      <c r="AA57" s="51">
        <v>25</v>
      </c>
      <c r="AB57" s="51">
        <v>26.2</v>
      </c>
      <c r="AC57" s="51">
        <v>25.4</v>
      </c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19</v>
      </c>
      <c r="AQ57" s="89">
        <f t="shared" si="2"/>
        <v>25.189473684210522</v>
      </c>
      <c r="AR57" s="89">
        <f>IFERROR(VLOOKUP(A57,Climatologia!A:U,9+$E$2,FALSE),"")</f>
        <v>23.979265352535649</v>
      </c>
      <c r="AS57" s="89">
        <f t="shared" si="3"/>
        <v>1.210208331674874</v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>
        <v>23.6</v>
      </c>
      <c r="S58" s="51">
        <v>23.2</v>
      </c>
      <c r="T58" s="51">
        <v>22.8</v>
      </c>
      <c r="U58" s="51">
        <v>22.6</v>
      </c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9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>
        <v>22.6</v>
      </c>
      <c r="Y60" s="51">
        <v>22.8</v>
      </c>
      <c r="Z60" s="111"/>
      <c r="AA60" s="51">
        <v>21.6</v>
      </c>
      <c r="AB60" s="51">
        <v>21.4</v>
      </c>
      <c r="AC60" s="51">
        <v>23</v>
      </c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18</v>
      </c>
      <c r="AQ60" s="89">
        <f t="shared" si="2"/>
        <v>22.133333333333336</v>
      </c>
      <c r="AR60" s="89">
        <f>IFERROR(VLOOKUP(A60,Climatologia!A:U,9+$E$2,FALSE),"")</f>
        <v>21.421723438405142</v>
      </c>
      <c r="AS60" s="89">
        <f t="shared" si="3"/>
        <v>0.71160989492819482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>
        <v>23.2</v>
      </c>
      <c r="Y63" s="51">
        <v>22.6</v>
      </c>
      <c r="Z63" s="111">
        <v>23.2</v>
      </c>
      <c r="AA63" s="51">
        <v>22.2</v>
      </c>
      <c r="AB63" s="51">
        <v>21</v>
      </c>
      <c r="AC63" s="51">
        <v>22.6</v>
      </c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19</v>
      </c>
      <c r="AQ63" s="89">
        <f t="shared" si="2"/>
        <v>22.115789473684213</v>
      </c>
      <c r="AR63" s="89">
        <f>IFERROR(VLOOKUP(A63,Climatologia!A:U,9+$E$2,FALSE),"")</f>
        <v>22.115021493152749</v>
      </c>
      <c r="AS63" s="89">
        <f t="shared" si="3"/>
        <v>7.6798053146376333E-4</v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>
        <v>23.2</v>
      </c>
      <c r="Y64" s="51">
        <v>23.4</v>
      </c>
      <c r="Z64" s="111">
        <v>23.4</v>
      </c>
      <c r="AA64" s="51">
        <v>23.2</v>
      </c>
      <c r="AB64" s="51">
        <v>22</v>
      </c>
      <c r="AC64" s="51">
        <v>23</v>
      </c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19</v>
      </c>
      <c r="AQ64" s="89">
        <f t="shared" si="2"/>
        <v>22.263157894736839</v>
      </c>
      <c r="AR64" s="89">
        <f>IFERROR(VLOOKUP(A64,Climatologia!A:U,9+$E$2,FALSE),"")</f>
        <v>21.829845625062539</v>
      </c>
      <c r="AS64" s="89">
        <f t="shared" si="3"/>
        <v>0.4333122696742997</v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/>
      <c r="Y65" s="51">
        <v>23</v>
      </c>
      <c r="Z65" s="111">
        <v>23</v>
      </c>
      <c r="AA65" s="51">
        <v>21.8</v>
      </c>
      <c r="AB65" s="51">
        <v>22.4</v>
      </c>
      <c r="AC65" s="51">
        <v>22.4</v>
      </c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18</v>
      </c>
      <c r="AQ65" s="89">
        <f t="shared" si="2"/>
        <v>22.455555555555556</v>
      </c>
      <c r="AR65" s="89">
        <f>IFERROR(VLOOKUP(A65,Climatologia!A:U,9+$E$2,FALSE),"")</f>
        <v>21.51595325788206</v>
      </c>
      <c r="AS65" s="89">
        <f t="shared" si="3"/>
        <v>0.93960229767349546</v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>
        <v>20.6</v>
      </c>
      <c r="Y67" s="51">
        <v>20.8</v>
      </c>
      <c r="Z67" s="111">
        <v>22.6</v>
      </c>
      <c r="AA67" s="51">
        <v>20</v>
      </c>
      <c r="AB67" s="51">
        <v>20.399999999999999</v>
      </c>
      <c r="AC67" s="51">
        <v>22.2</v>
      </c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19</v>
      </c>
      <c r="AQ67" s="89">
        <f t="shared" si="2"/>
        <v>20.442105263157899</v>
      </c>
      <c r="AR67" s="89">
        <f>IFERROR(VLOOKUP(A67,Climatologia!A:U,9+$E$2,FALSE),"")</f>
        <v>21.155438855480959</v>
      </c>
      <c r="AS67" s="89">
        <f t="shared" si="3"/>
        <v>-0.71333359232306037</v>
      </c>
      <c r="AT67" s="90">
        <f t="shared" si="4"/>
        <v>19.600000000000001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1.6000000000000014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>
        <v>21.6</v>
      </c>
      <c r="Y68" s="51">
        <v>22.2</v>
      </c>
      <c r="Z68" s="111">
        <v>22.6</v>
      </c>
      <c r="AA68" s="51">
        <v>21.6</v>
      </c>
      <c r="AB68" s="51">
        <v>20.399999999999999</v>
      </c>
      <c r="AC68" s="51">
        <v>21</v>
      </c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19</v>
      </c>
      <c r="AQ68" s="89">
        <f t="shared" si="2"/>
        <v>21.247368421052638</v>
      </c>
      <c r="AR68" s="89">
        <f>IFERROR(VLOOKUP(A68,Climatologia!A:U,9+$E$2,FALSE),"")</f>
        <v>21.17954086440843</v>
      </c>
      <c r="AS68" s="89">
        <f t="shared" si="3"/>
        <v>6.7827556644207476E-2</v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>
        <v>22.2</v>
      </c>
      <c r="Y69" s="51"/>
      <c r="Z69" s="111"/>
      <c r="AA69" s="51"/>
      <c r="AB69" s="51">
        <v>22.4</v>
      </c>
      <c r="AC69" s="51">
        <v>22.2</v>
      </c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16</v>
      </c>
      <c r="AQ69" s="89">
        <f t="shared" ref="AQ69:AQ132" si="7">IF(AP69&gt;14,AVERAGE(K69:AO69),"")</f>
        <v>22.662499999999998</v>
      </c>
      <c r="AR69" s="89">
        <f>IFERROR(VLOOKUP(A69,Climatologia!A:U,9+$E$2,FALSE),"")</f>
        <v>20.95822964669739</v>
      </c>
      <c r="AS69" s="89">
        <f t="shared" ref="AS69:AS132" si="8">IF(OR(AQ69="",AR69=""),"",IFERROR(AQ69-AR69,""))</f>
        <v>1.7042703533026078</v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>
        <v>23.1</v>
      </c>
      <c r="Y70" s="51">
        <v>23.2</v>
      </c>
      <c r="Z70" s="111">
        <v>23.4</v>
      </c>
      <c r="AA70" s="51">
        <v>23.2</v>
      </c>
      <c r="AB70" s="51">
        <v>22.1</v>
      </c>
      <c r="AC70" s="51">
        <v>23.4</v>
      </c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19</v>
      </c>
      <c r="AQ70" s="89">
        <f t="shared" si="7"/>
        <v>22.994736842105262</v>
      </c>
      <c r="AR70" s="89">
        <f>IFERROR(VLOOKUP(A70,Climatologia!A:U,9+$E$2,FALSE),"")</f>
        <v>22.49395085458767</v>
      </c>
      <c r="AS70" s="89">
        <f t="shared" si="8"/>
        <v>0.50078598751759174</v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>
        <v>22.3</v>
      </c>
      <c r="Y71" s="51">
        <v>23.2</v>
      </c>
      <c r="Z71" s="111">
        <v>23</v>
      </c>
      <c r="AA71" s="51">
        <v>23.1</v>
      </c>
      <c r="AB71" s="51">
        <v>23.3</v>
      </c>
      <c r="AC71" s="51">
        <v>22.3</v>
      </c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19</v>
      </c>
      <c r="AQ71" s="89">
        <f t="shared" si="7"/>
        <v>22.442105263157895</v>
      </c>
      <c r="AR71" s="89">
        <f>IFERROR(VLOOKUP(A71,Climatologia!A:U,9+$E$2,FALSE),"")</f>
        <v>21.499102150537631</v>
      </c>
      <c r="AS71" s="89">
        <f t="shared" si="8"/>
        <v>0.94300311262026426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>
        <v>20.8</v>
      </c>
      <c r="Y72" s="51">
        <v>20.8</v>
      </c>
      <c r="Z72" s="111"/>
      <c r="AA72" s="51">
        <v>20.6</v>
      </c>
      <c r="AB72" s="51"/>
      <c r="AC72" s="51">
        <v>21.4</v>
      </c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15</v>
      </c>
      <c r="AQ72" s="89">
        <f t="shared" si="7"/>
        <v>21.046666666666667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>
        <v>18.2</v>
      </c>
      <c r="Y73" s="51">
        <v>18.2</v>
      </c>
      <c r="Z73" s="111">
        <v>18.2</v>
      </c>
      <c r="AA73" s="51">
        <v>16.399999999999999</v>
      </c>
      <c r="AB73" s="51">
        <v>17.2</v>
      </c>
      <c r="AC73" s="51">
        <v>19.2</v>
      </c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19</v>
      </c>
      <c r="AQ73" s="89">
        <f t="shared" si="7"/>
        <v>17.715789473684207</v>
      </c>
      <c r="AR73" s="89">
        <f>IFERROR(VLOOKUP(A73,Climatologia!A:U,9+$E$2,FALSE),"")</f>
        <v>16.339759362254359</v>
      </c>
      <c r="AS73" s="89">
        <f t="shared" si="8"/>
        <v>1.3760301114298485</v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>
        <v>11</v>
      </c>
      <c r="Y74" s="51">
        <v>13</v>
      </c>
      <c r="Z74" s="111">
        <v>12.8</v>
      </c>
      <c r="AA74" s="51">
        <v>13.2</v>
      </c>
      <c r="AB74" s="51">
        <v>11.2</v>
      </c>
      <c r="AC74" s="51">
        <v>12.6</v>
      </c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18</v>
      </c>
      <c r="AQ74" s="89">
        <f t="shared" si="7"/>
        <v>11.944444444444445</v>
      </c>
      <c r="AR74" s="89">
        <f>IFERROR(VLOOKUP(A74,Climatologia!A:U,9+$E$2,FALSE),"")</f>
        <v>11.60078927362504</v>
      </c>
      <c r="AS74" s="89">
        <f t="shared" si="8"/>
        <v>0.34365517081940489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>
        <v>15.2</v>
      </c>
      <c r="Y75" s="51">
        <v>17</v>
      </c>
      <c r="Z75" s="111">
        <v>17.2</v>
      </c>
      <c r="AA75" s="51">
        <v>17</v>
      </c>
      <c r="AB75" s="51">
        <v>14.8</v>
      </c>
      <c r="AC75" s="51">
        <v>16</v>
      </c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19</v>
      </c>
      <c r="AQ75" s="89">
        <f t="shared" si="7"/>
        <v>15.873684210526317</v>
      </c>
      <c r="AR75" s="89">
        <f>IFERROR(VLOOKUP(A75,Climatologia!A:U,9+$E$2,FALSE),"")</f>
        <v>15.418794564997761</v>
      </c>
      <c r="AS75" s="89">
        <f t="shared" si="8"/>
        <v>0.45488964552855649</v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>
        <v>18</v>
      </c>
      <c r="Y76" s="51">
        <v>17.399999999999999</v>
      </c>
      <c r="Z76" s="111">
        <v>18.399999999999999</v>
      </c>
      <c r="AA76" s="51">
        <v>15.8</v>
      </c>
      <c r="AB76" s="51">
        <v>16.600000000000001</v>
      </c>
      <c r="AC76" s="51">
        <v>18</v>
      </c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19</v>
      </c>
      <c r="AQ76" s="89">
        <f t="shared" si="7"/>
        <v>17.357894736842105</v>
      </c>
      <c r="AR76" s="89">
        <f>IFERROR(VLOOKUP(A76,Climatologia!A:U,9+$E$2,FALSE),"")</f>
        <v>18.47633867500863</v>
      </c>
      <c r="AS76" s="89">
        <f t="shared" si="8"/>
        <v>-1.118443938166525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>
        <v>28.4</v>
      </c>
      <c r="Y77" s="51">
        <v>28</v>
      </c>
      <c r="Z77" s="111">
        <v>26</v>
      </c>
      <c r="AA77" s="51">
        <v>23.4</v>
      </c>
      <c r="AB77" s="51">
        <v>25</v>
      </c>
      <c r="AC77" s="51">
        <v>26.2</v>
      </c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19</v>
      </c>
      <c r="AQ77" s="89">
        <f t="shared" si="7"/>
        <v>26.757894736842104</v>
      </c>
      <c r="AR77" s="89">
        <f>IFERROR(VLOOKUP(A77,Climatologia!A:U,9+$E$2,FALSE),"")</f>
        <v>24.545433207708651</v>
      </c>
      <c r="AS77" s="89">
        <f t="shared" si="8"/>
        <v>2.2124615291334528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5.5999999999999979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>
        <v>25.2</v>
      </c>
      <c r="Y78" s="51">
        <v>25.4</v>
      </c>
      <c r="Z78" s="111">
        <v>27.8</v>
      </c>
      <c r="AA78" s="51">
        <v>22.6</v>
      </c>
      <c r="AB78" s="51">
        <v>23.6</v>
      </c>
      <c r="AC78" s="51">
        <v>24.2</v>
      </c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19</v>
      </c>
      <c r="AQ78" s="89">
        <f t="shared" si="7"/>
        <v>25.094736842105263</v>
      </c>
      <c r="AR78" s="89">
        <f>IFERROR(VLOOKUP(A78,Climatologia!A:U,9+$E$2,FALSE),"")</f>
        <v>23.46580771270726</v>
      </c>
      <c r="AS78" s="89">
        <f t="shared" si="8"/>
        <v>1.6289291293980028</v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4.4000000000000021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>
        <v>14.6</v>
      </c>
      <c r="Y79" s="51">
        <v>14.6</v>
      </c>
      <c r="Z79" s="111">
        <v>17</v>
      </c>
      <c r="AA79" s="51">
        <v>15.2</v>
      </c>
      <c r="AB79" s="51">
        <v>14.4</v>
      </c>
      <c r="AC79" s="51">
        <v>13.4</v>
      </c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19</v>
      </c>
      <c r="AQ79" s="89">
        <f t="shared" si="7"/>
        <v>14.842105263157892</v>
      </c>
      <c r="AR79" s="89">
        <f>IFERROR(VLOOKUP(A79,Climatologia!A:U,9+$E$2,FALSE),"")</f>
        <v>15.28784620132488</v>
      </c>
      <c r="AS79" s="89">
        <f t="shared" si="8"/>
        <v>-0.44574093816698834</v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>
        <v>23</v>
      </c>
      <c r="Y81" s="51">
        <v>22.2</v>
      </c>
      <c r="Z81" s="111">
        <v>22.6</v>
      </c>
      <c r="AA81" s="51">
        <v>22.8</v>
      </c>
      <c r="AB81" s="51">
        <v>22.6</v>
      </c>
      <c r="AC81" s="51">
        <v>23</v>
      </c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19</v>
      </c>
      <c r="AQ81" s="89">
        <f t="shared" si="7"/>
        <v>23.031578947368427</v>
      </c>
      <c r="AR81" s="89">
        <f>IFERROR(VLOOKUP(A81,Climatologia!A:U,9+$E$2,FALSE),"")</f>
        <v>21.715420961210111</v>
      </c>
      <c r="AS81" s="89">
        <f t="shared" si="8"/>
        <v>1.3161579861583164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5.3999999999999986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>
        <v>29.2</v>
      </c>
      <c r="Y83" s="51">
        <v>28.6</v>
      </c>
      <c r="Z83" s="111">
        <v>27.2</v>
      </c>
      <c r="AA83" s="51">
        <v>28.4</v>
      </c>
      <c r="AB83" s="51">
        <v>27.6</v>
      </c>
      <c r="AC83" s="51">
        <v>26.4</v>
      </c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19</v>
      </c>
      <c r="AQ83" s="89">
        <f t="shared" si="7"/>
        <v>27.957894736842107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>
        <v>27.6</v>
      </c>
      <c r="Y84" s="51">
        <v>27</v>
      </c>
      <c r="Z84" s="111">
        <v>27.4</v>
      </c>
      <c r="AA84" s="51">
        <v>27.2</v>
      </c>
      <c r="AB84" s="51"/>
      <c r="AC84" s="51">
        <v>27</v>
      </c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18</v>
      </c>
      <c r="AQ84" s="89">
        <f t="shared" si="7"/>
        <v>26.899999999999995</v>
      </c>
      <c r="AR84" s="89">
        <f>IFERROR(VLOOKUP(A84,Climatologia!A:U,9+$E$2,FALSE),"")</f>
        <v>23.659247311827961</v>
      </c>
      <c r="AS84" s="89">
        <f t="shared" si="8"/>
        <v>3.2407526881720337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>
        <v>24</v>
      </c>
      <c r="Y85" s="51">
        <v>26.4</v>
      </c>
      <c r="Z85" s="111">
        <v>26</v>
      </c>
      <c r="AA85" s="51">
        <v>23.4</v>
      </c>
      <c r="AB85" s="51"/>
      <c r="AC85" s="51">
        <v>24.8</v>
      </c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18</v>
      </c>
      <c r="AQ85" s="89">
        <f t="shared" si="7"/>
        <v>24.977777777777774</v>
      </c>
      <c r="AR85" s="89">
        <f>IFERROR(VLOOKUP(A85,Climatologia!A:U,9+$E$2,FALSE),"")</f>
        <v>23.235308274059729</v>
      </c>
      <c r="AS85" s="89">
        <f t="shared" si="8"/>
        <v>1.7424695037180449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>
        <v>21.4</v>
      </c>
      <c r="Y86" s="51">
        <v>22.8</v>
      </c>
      <c r="Z86" s="111">
        <v>21.8</v>
      </c>
      <c r="AA86" s="51">
        <v>22</v>
      </c>
      <c r="AB86" s="51">
        <v>22.8</v>
      </c>
      <c r="AC86" s="51">
        <v>21.8</v>
      </c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19</v>
      </c>
      <c r="AQ86" s="89">
        <f t="shared" si="7"/>
        <v>21.821052631578951</v>
      </c>
      <c r="AR86" s="89">
        <f>IFERROR(VLOOKUP(A86,Climatologia!A:U,9+$E$2,FALSE),"")</f>
        <v>22.828530465949822</v>
      </c>
      <c r="AS86" s="89">
        <f t="shared" si="8"/>
        <v>-1.0074778343708708</v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>
        <v>26.6</v>
      </c>
      <c r="Y87" s="51">
        <v>29</v>
      </c>
      <c r="Z87" s="111">
        <v>28.2</v>
      </c>
      <c r="AA87" s="51">
        <v>25.6</v>
      </c>
      <c r="AB87" s="51">
        <v>23.6</v>
      </c>
      <c r="AC87" s="51">
        <v>22.8</v>
      </c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19</v>
      </c>
      <c r="AQ87" s="89">
        <f t="shared" si="7"/>
        <v>26.168421052631583</v>
      </c>
      <c r="AR87" s="89">
        <f>IFERROR(VLOOKUP(A87,Climatologia!A:U,9+$E$2,FALSE),"")</f>
        <v>23.725363919312059</v>
      </c>
      <c r="AS87" s="89">
        <f t="shared" si="8"/>
        <v>2.4430571333195239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4.8000000000000007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>
        <v>28</v>
      </c>
      <c r="Y88" s="51">
        <v>27.4</v>
      </c>
      <c r="Z88" s="111">
        <v>26.6</v>
      </c>
      <c r="AA88" s="51">
        <v>26.4</v>
      </c>
      <c r="AB88" s="51">
        <v>23.8</v>
      </c>
      <c r="AC88" s="51">
        <v>24</v>
      </c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19</v>
      </c>
      <c r="AQ88" s="89">
        <f t="shared" si="7"/>
        <v>26.231578947368423</v>
      </c>
      <c r="AR88" s="89">
        <f>IFERROR(VLOOKUP(A88,Climatologia!A:U,9+$E$2,FALSE),"")</f>
        <v>23.148531221247211</v>
      </c>
      <c r="AS88" s="89">
        <f t="shared" si="8"/>
        <v>3.0830477261212117</v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>
        <v>25.6</v>
      </c>
      <c r="Y89" s="116">
        <v>26.8</v>
      </c>
      <c r="Z89" s="117">
        <v>28.6</v>
      </c>
      <c r="AA89" s="116">
        <v>26.6</v>
      </c>
      <c r="AB89" s="116">
        <v>25.2</v>
      </c>
      <c r="AC89" s="116">
        <v>25.4</v>
      </c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19</v>
      </c>
      <c r="AQ89" s="89">
        <f t="shared" si="7"/>
        <v>26.568421052631582</v>
      </c>
      <c r="AR89" s="89">
        <f>IFERROR(VLOOKUP(A89,Climatologia!A:U,9+$E$2,FALSE),"")</f>
        <v>22.80687536416124</v>
      </c>
      <c r="AS89" s="89">
        <f t="shared" si="8"/>
        <v>3.761545688470342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>
        <v>12.6</v>
      </c>
      <c r="Y90" s="51">
        <v>11.6</v>
      </c>
      <c r="Z90" s="111">
        <v>11</v>
      </c>
      <c r="AA90" s="51">
        <v>13.6</v>
      </c>
      <c r="AB90" s="51">
        <v>13</v>
      </c>
      <c r="AC90" s="51">
        <v>12.8</v>
      </c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19</v>
      </c>
      <c r="AQ90" s="89">
        <f t="shared" si="7"/>
        <v>12.726315789473684</v>
      </c>
      <c r="AR90" s="89">
        <f>IFERROR(VLOOKUP(A90,Climatologia!A:U,9+$E$2,FALSE),"")</f>
        <v>11.03161290322581</v>
      </c>
      <c r="AS90" s="89">
        <f t="shared" si="8"/>
        <v>1.6947028862478746</v>
      </c>
      <c r="AT90" s="90">
        <f t="shared" si="9"/>
        <v>10.8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6.6000000000000005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>
        <v>19</v>
      </c>
      <c r="Y91" s="51">
        <v>19.2</v>
      </c>
      <c r="Z91" s="111">
        <v>19</v>
      </c>
      <c r="AA91" s="51">
        <v>18</v>
      </c>
      <c r="AB91" s="51">
        <v>17.399999999999999</v>
      </c>
      <c r="AC91" s="51">
        <v>18</v>
      </c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19</v>
      </c>
      <c r="AQ91" s="89">
        <f t="shared" si="7"/>
        <v>18.105263157894733</v>
      </c>
      <c r="AR91" s="89">
        <f>IFERROR(VLOOKUP(A91,Climatologia!A:U,9+$E$2,FALSE),"")</f>
        <v>17.610862560172901</v>
      </c>
      <c r="AS91" s="89">
        <f t="shared" si="8"/>
        <v>0.49440059772183176</v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>
        <v>12.6</v>
      </c>
      <c r="Y92" s="51">
        <v>12.2</v>
      </c>
      <c r="Z92" s="111">
        <v>11.8</v>
      </c>
      <c r="AA92" s="51">
        <v>11.8</v>
      </c>
      <c r="AB92" s="51">
        <v>11.8</v>
      </c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17</v>
      </c>
      <c r="AQ92" s="89">
        <f t="shared" si="7"/>
        <v>11.141176470588235</v>
      </c>
      <c r="AR92" s="89">
        <f>IFERROR(VLOOKUP(A92,Climatologia!A:U,9+$E$2,FALSE),"")</f>
        <v>11.399375551378929</v>
      </c>
      <c r="AS92" s="89">
        <f t="shared" si="8"/>
        <v>-0.25819908079069442</v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>
        <v>10.8</v>
      </c>
      <c r="Y93" s="51">
        <v>10.4</v>
      </c>
      <c r="Z93" s="111">
        <v>10</v>
      </c>
      <c r="AA93" s="51">
        <v>11.8</v>
      </c>
      <c r="AB93" s="51">
        <v>10</v>
      </c>
      <c r="AC93" s="51">
        <v>11.6</v>
      </c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19</v>
      </c>
      <c r="AQ93" s="89">
        <f t="shared" si="7"/>
        <v>10.168421052631581</v>
      </c>
      <c r="AR93" s="89">
        <f>IFERROR(VLOOKUP(A93,Climatologia!A:U,9+$E$2,FALSE),"")</f>
        <v>8.6931200495597167</v>
      </c>
      <c r="AS93" s="89">
        <f t="shared" si="8"/>
        <v>1.4753010030718645</v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>
        <v>10.4</v>
      </c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1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>
        <f t="shared" si="9"/>
        <v>10.4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>
        <f t="shared" si="10"/>
        <v>11.200000000000001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>
        <v>7.4</v>
      </c>
      <c r="Y96" s="51">
        <v>9</v>
      </c>
      <c r="Z96" s="111">
        <v>7.4</v>
      </c>
      <c r="AA96" s="51">
        <v>9.4</v>
      </c>
      <c r="AB96" s="51">
        <v>9</v>
      </c>
      <c r="AC96" s="51">
        <v>7.2</v>
      </c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19</v>
      </c>
      <c r="AQ96" s="89">
        <f t="shared" si="7"/>
        <v>7.4526315789473694</v>
      </c>
      <c r="AR96" s="89">
        <f>IFERROR(VLOOKUP(A96,Climatologia!A:U,9+$E$2,FALSE),"")</f>
        <v>7.1833471822125867</v>
      </c>
      <c r="AS96" s="89">
        <f t="shared" si="8"/>
        <v>0.26928439673478266</v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11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>
        <v>5</v>
      </c>
      <c r="Y98" s="51">
        <v>6.4</v>
      </c>
      <c r="Z98" s="111">
        <v>8</v>
      </c>
      <c r="AA98" s="51">
        <v>11</v>
      </c>
      <c r="AB98" s="51">
        <v>10.199999999999999</v>
      </c>
      <c r="AC98" s="51">
        <v>5.6</v>
      </c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19</v>
      </c>
      <c r="AQ98" s="89">
        <f t="shared" si="7"/>
        <v>6.3473684210526322</v>
      </c>
      <c r="AR98" s="89">
        <f>IFERROR(VLOOKUP(A98,Climatologia!A:U,9+$E$2,FALSE),"")</f>
        <v>6.5568614692818183</v>
      </c>
      <c r="AS98" s="89">
        <f t="shared" si="8"/>
        <v>-0.20949304822918613</v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>
        <v>11</v>
      </c>
      <c r="Y99" s="51">
        <v>7.6</v>
      </c>
      <c r="Z99" s="111">
        <v>11</v>
      </c>
      <c r="AA99" s="51">
        <v>12</v>
      </c>
      <c r="AB99" s="51">
        <v>10.4</v>
      </c>
      <c r="AC99" s="51">
        <v>10.4</v>
      </c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19</v>
      </c>
      <c r="AQ99" s="89">
        <f t="shared" si="7"/>
        <v>9.2631578947368425</v>
      </c>
      <c r="AR99" s="89">
        <f>IFERROR(VLOOKUP(A99,Climatologia!A:U,9+$E$2,FALSE),"")</f>
        <v>8.4968567690188941</v>
      </c>
      <c r="AS99" s="89">
        <f t="shared" si="8"/>
        <v>0.76630112571794839</v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>
        <v>6.4</v>
      </c>
      <c r="Y100" s="51">
        <v>9.6</v>
      </c>
      <c r="Z100" s="111">
        <v>8.4</v>
      </c>
      <c r="AA100" s="51">
        <v>7.4</v>
      </c>
      <c r="AB100" s="51">
        <v>9.4</v>
      </c>
      <c r="AC100" s="51">
        <v>10.6</v>
      </c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18</v>
      </c>
      <c r="AQ100" s="89">
        <f t="shared" si="7"/>
        <v>7.8611111111111107</v>
      </c>
      <c r="AR100" s="89">
        <f>IFERROR(VLOOKUP(A100,Climatologia!A:U,9+$E$2,FALSE),"")</f>
        <v>7.0594081215067499</v>
      </c>
      <c r="AS100" s="89">
        <f t="shared" si="8"/>
        <v>0.80170298960436082</v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>
        <v>11.8</v>
      </c>
      <c r="AA103" s="51">
        <v>13</v>
      </c>
      <c r="AB103" s="51">
        <v>13</v>
      </c>
      <c r="AC103" s="51">
        <v>11.6</v>
      </c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16</v>
      </c>
      <c r="AQ103" s="89">
        <f t="shared" si="7"/>
        <v>11.7875</v>
      </c>
      <c r="AR103" s="89">
        <f>IFERROR(VLOOKUP(A103,Climatologia!A:U,9+$E$2,FALSE),"")</f>
        <v>11.333242057563099</v>
      </c>
      <c r="AS103" s="89">
        <f t="shared" si="8"/>
        <v>0.45425794243690021</v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>
        <v>3.4</v>
      </c>
      <c r="Y104" s="51">
        <v>4</v>
      </c>
      <c r="Z104" s="111"/>
      <c r="AA104" s="51">
        <v>6</v>
      </c>
      <c r="AB104" s="51">
        <v>6.8</v>
      </c>
      <c r="AC104" s="51">
        <v>3</v>
      </c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16</v>
      </c>
      <c r="AQ104" s="89">
        <f t="shared" si="7"/>
        <v>4.0117647058823529</v>
      </c>
      <c r="AR104" s="89">
        <f>IFERROR(VLOOKUP(A104,Climatologia!A:U,9+$E$2,FALSE),"")</f>
        <v>6.0789725209080059</v>
      </c>
      <c r="AS104" s="89">
        <f t="shared" si="8"/>
        <v>-2.067207815025653</v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>
        <v>5.2</v>
      </c>
      <c r="Y105" s="51">
        <v>4.8</v>
      </c>
      <c r="Z105" s="111">
        <v>4.5999999999999996</v>
      </c>
      <c r="AA105" s="51">
        <v>4.8</v>
      </c>
      <c r="AB105" s="51">
        <v>7.6</v>
      </c>
      <c r="AC105" s="51">
        <v>3.8</v>
      </c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19</v>
      </c>
      <c r="AQ105" s="89">
        <f t="shared" si="7"/>
        <v>5.2526315789473683</v>
      </c>
      <c r="AR105" s="89">
        <f>IFERROR(VLOOKUP(A105,Climatologia!A:U,9+$E$2,FALSE),"")</f>
        <v>6.6867982257377889</v>
      </c>
      <c r="AS105" s="89">
        <f t="shared" si="8"/>
        <v>-1.4341666467904206</v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>
        <v>11</v>
      </c>
      <c r="Y106" s="51">
        <v>11.2</v>
      </c>
      <c r="Z106" s="111">
        <v>12.2</v>
      </c>
      <c r="AA106" s="51">
        <v>12.2</v>
      </c>
      <c r="AB106" s="51">
        <v>11.4</v>
      </c>
      <c r="AC106" s="51">
        <v>11.6</v>
      </c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19</v>
      </c>
      <c r="AQ106" s="89">
        <f t="shared" si="7"/>
        <v>10.852631578947367</v>
      </c>
      <c r="AR106" s="89">
        <f>IFERROR(VLOOKUP(A106,Climatologia!A:U,9+$E$2,FALSE),"")</f>
        <v>9.9225433842748103</v>
      </c>
      <c r="AS106" s="89">
        <f t="shared" si="8"/>
        <v>0.93008819467255677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>
        <v>14.8</v>
      </c>
      <c r="Y107" s="51">
        <v>14.2</v>
      </c>
      <c r="Z107" s="111">
        <v>15</v>
      </c>
      <c r="AA107" s="51">
        <v>15.6</v>
      </c>
      <c r="AB107" s="51">
        <v>15</v>
      </c>
      <c r="AC107" s="51">
        <v>15</v>
      </c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17</v>
      </c>
      <c r="AQ107" s="89">
        <f t="shared" si="7"/>
        <v>14.588235294117647</v>
      </c>
      <c r="AR107" s="89">
        <f>IFERROR(VLOOKUP(A107,Climatologia!A:U,9+$E$2,FALSE),"")</f>
        <v>13.650700267218999</v>
      </c>
      <c r="AS107" s="89">
        <f t="shared" si="8"/>
        <v>0.93753502689864732</v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>
        <v>13</v>
      </c>
      <c r="Y108" s="51">
        <v>13.6</v>
      </c>
      <c r="Z108" s="111">
        <v>13.4</v>
      </c>
      <c r="AA108" s="51">
        <v>14.6</v>
      </c>
      <c r="AB108" s="51">
        <v>13.4</v>
      </c>
      <c r="AC108" s="51">
        <v>13.8</v>
      </c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19</v>
      </c>
      <c r="AQ108" s="89">
        <f t="shared" si="7"/>
        <v>12.031578947368422</v>
      </c>
      <c r="AR108" s="89">
        <f>IFERROR(VLOOKUP(A108,Climatologia!A:U,9+$E$2,FALSE),"")</f>
        <v>11.71482091212458</v>
      </c>
      <c r="AS108" s="89">
        <f t="shared" si="8"/>
        <v>0.31675803524384172</v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>
        <v>15.6</v>
      </c>
      <c r="Y109" s="51">
        <v>14.4</v>
      </c>
      <c r="Z109" s="111">
        <v>15.2</v>
      </c>
      <c r="AA109" s="51">
        <v>16</v>
      </c>
      <c r="AB109" s="51">
        <v>14.6</v>
      </c>
      <c r="AC109" s="51">
        <v>15</v>
      </c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19</v>
      </c>
      <c r="AQ109" s="89">
        <f t="shared" si="7"/>
        <v>14.578947368421053</v>
      </c>
      <c r="AR109" s="89">
        <f>IFERROR(VLOOKUP(A109,Climatologia!A:U,9+$E$2,FALSE),"")</f>
        <v>13.486598754951901</v>
      </c>
      <c r="AS109" s="89">
        <f t="shared" si="8"/>
        <v>1.0923486134691522</v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>
        <v>16</v>
      </c>
      <c r="Y110" s="51">
        <v>15.6</v>
      </c>
      <c r="Z110" s="111">
        <v>16.2</v>
      </c>
      <c r="AA110" s="51">
        <v>16.600000000000001</v>
      </c>
      <c r="AB110" s="51">
        <v>16</v>
      </c>
      <c r="AC110" s="51">
        <v>15.8</v>
      </c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19</v>
      </c>
      <c r="AQ110" s="89">
        <f t="shared" si="7"/>
        <v>15.284210526315789</v>
      </c>
      <c r="AR110" s="89">
        <f>IFERROR(VLOOKUP(A110,Climatologia!A:U,9+$E$2,FALSE),"")</f>
        <v>13.526900330851941</v>
      </c>
      <c r="AS110" s="89">
        <f t="shared" si="8"/>
        <v>1.7573101954638481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>
        <v>18.600000000000001</v>
      </c>
      <c r="Y111" s="51">
        <v>18.8</v>
      </c>
      <c r="Z111" s="111">
        <v>19</v>
      </c>
      <c r="AA111" s="51">
        <v>18.8</v>
      </c>
      <c r="AB111" s="51">
        <v>19.2</v>
      </c>
      <c r="AC111" s="51">
        <v>19</v>
      </c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19</v>
      </c>
      <c r="AQ111" s="89">
        <f t="shared" si="7"/>
        <v>18.315789473684209</v>
      </c>
      <c r="AR111" s="89">
        <f>IFERROR(VLOOKUP(A111,Climatologia!A:U,9+$E$2,FALSE),"")</f>
        <v>16.8655441109516</v>
      </c>
      <c r="AS111" s="89">
        <f t="shared" si="8"/>
        <v>1.4502453627326091</v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>
        <v>22.8</v>
      </c>
      <c r="Y112" s="51">
        <v>23.2</v>
      </c>
      <c r="Z112" s="111">
        <v>22.8</v>
      </c>
      <c r="AA112" s="51">
        <v>22.4</v>
      </c>
      <c r="AB112" s="51">
        <v>22.8</v>
      </c>
      <c r="AC112" s="51">
        <v>24.2</v>
      </c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19</v>
      </c>
      <c r="AQ112" s="89">
        <f t="shared" si="7"/>
        <v>23.221052631578946</v>
      </c>
      <c r="AR112" s="89">
        <f>IFERROR(VLOOKUP(A112,Climatologia!A:U,9+$E$2,FALSE),"")</f>
        <v>22.5308162078518</v>
      </c>
      <c r="AS112" s="89">
        <f t="shared" si="8"/>
        <v>0.69023642372714633</v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>
        <v>14.6</v>
      </c>
      <c r="Y113" s="51">
        <v>16.5</v>
      </c>
      <c r="Z113" s="111">
        <v>14.4</v>
      </c>
      <c r="AA113" s="51">
        <v>15.6</v>
      </c>
      <c r="AB113" s="51">
        <v>16.5</v>
      </c>
      <c r="AC113" s="51">
        <v>16.5</v>
      </c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19</v>
      </c>
      <c r="AQ113" s="89">
        <f t="shared" si="7"/>
        <v>15.215789473684211</v>
      </c>
      <c r="AR113" s="89">
        <f>IFERROR(VLOOKUP(A113,Climatologia!A:U,9+$E$2,FALSE),"")</f>
        <v>15.24686243974787</v>
      </c>
      <c r="AS113" s="89">
        <f t="shared" si="8"/>
        <v>-3.107296606365928E-2</v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>
        <v>18.8</v>
      </c>
      <c r="Y114" s="51">
        <v>19.399999999999999</v>
      </c>
      <c r="Z114" s="111">
        <v>19.8</v>
      </c>
      <c r="AA114" s="51">
        <v>19.399999999999999</v>
      </c>
      <c r="AB114" s="51">
        <v>19.600000000000001</v>
      </c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18</v>
      </c>
      <c r="AQ114" s="89">
        <f t="shared" si="7"/>
        <v>19.68888888888889</v>
      </c>
      <c r="AR114" s="89">
        <f>IFERROR(VLOOKUP(A114,Climatologia!A:U,9+$E$2,FALSE),"")</f>
        <v>22.117682198327358</v>
      </c>
      <c r="AS114" s="89">
        <f t="shared" si="8"/>
        <v>-2.4287933094384684</v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>
        <v>23</v>
      </c>
      <c r="Y115" s="51">
        <v>23.4</v>
      </c>
      <c r="Z115" s="111"/>
      <c r="AA115" s="51">
        <v>23</v>
      </c>
      <c r="AB115" s="51">
        <v>22.4</v>
      </c>
      <c r="AC115" s="51">
        <v>23.2</v>
      </c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18</v>
      </c>
      <c r="AQ115" s="89">
        <f t="shared" si="7"/>
        <v>22.566666666666659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>
        <v>19.600000000000001</v>
      </c>
      <c r="Y116" s="51">
        <v>21.2</v>
      </c>
      <c r="Z116" s="111">
        <v>22.4</v>
      </c>
      <c r="AA116" s="51">
        <v>19.2</v>
      </c>
      <c r="AB116" s="51">
        <v>20.2</v>
      </c>
      <c r="AC116" s="51">
        <v>19.399999999999999</v>
      </c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18</v>
      </c>
      <c r="AQ116" s="89">
        <f t="shared" si="7"/>
        <v>20.699999999999996</v>
      </c>
      <c r="AR116" s="89">
        <f>IFERROR(VLOOKUP(A116,Climatologia!A:U,9+$E$2,FALSE),"")</f>
        <v>18.405984169653529</v>
      </c>
      <c r="AS116" s="89">
        <f t="shared" si="8"/>
        <v>2.2940158303464671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3.8999999999999986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>
        <v>22.8</v>
      </c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14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>
        <v>8.8000000000000007</v>
      </c>
      <c r="Y119" s="51">
        <v>8.1999999999999993</v>
      </c>
      <c r="Z119" s="111">
        <v>9.4</v>
      </c>
      <c r="AA119" s="51">
        <v>8</v>
      </c>
      <c r="AB119" s="51">
        <v>8.4</v>
      </c>
      <c r="AC119" s="51">
        <v>7.8</v>
      </c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19</v>
      </c>
      <c r="AQ119" s="89">
        <f t="shared" si="7"/>
        <v>8.4210526315789487</v>
      </c>
      <c r="AR119" s="89">
        <f>IFERROR(VLOOKUP(A119,Climatologia!A:U,9+$E$2,FALSE),"")</f>
        <v>5.9386052057570407</v>
      </c>
      <c r="AS119" s="89">
        <f t="shared" si="8"/>
        <v>2.482447425821908</v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>
        <v>8.3000000000000007</v>
      </c>
      <c r="X121" s="51">
        <v>10.1</v>
      </c>
      <c r="Y121" s="51">
        <v>7.5</v>
      </c>
      <c r="Z121" s="111">
        <v>11.7</v>
      </c>
      <c r="AA121" s="51">
        <v>12.7</v>
      </c>
      <c r="AB121" s="51">
        <v>12.4</v>
      </c>
      <c r="AC121" s="51">
        <v>10.7</v>
      </c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18</v>
      </c>
      <c r="AQ121" s="89">
        <f t="shared" si="7"/>
        <v>10.899999999999999</v>
      </c>
      <c r="AR121" s="89">
        <f>IFERROR(VLOOKUP(A121,Climatologia!A:U,9+$E$2,FALSE),"")</f>
        <v>10.81260585836114</v>
      </c>
      <c r="AS121" s="89">
        <f t="shared" si="8"/>
        <v>8.7394141638858613E-2</v>
      </c>
      <c r="AT121" s="90">
        <f t="shared" si="9"/>
        <v>7.5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5.7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>
        <v>6.8</v>
      </c>
      <c r="Y123" s="51">
        <v>9</v>
      </c>
      <c r="Z123" s="111">
        <v>7.2</v>
      </c>
      <c r="AA123" s="51">
        <v>10</v>
      </c>
      <c r="AB123" s="51">
        <v>8.4</v>
      </c>
      <c r="AC123" s="51">
        <v>7.6</v>
      </c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19</v>
      </c>
      <c r="AQ123" s="89">
        <f t="shared" si="7"/>
        <v>8.4947368421052616</v>
      </c>
      <c r="AR123" s="89">
        <f>IFERROR(VLOOKUP(A123,Climatologia!A:U,9+$E$2,FALSE),"")</f>
        <v>7.6782114198549483</v>
      </c>
      <c r="AS123" s="89">
        <f t="shared" si="8"/>
        <v>0.81652542225031333</v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>
        <v>13.9</v>
      </c>
      <c r="V126" s="51">
        <v>13.3</v>
      </c>
      <c r="W126" s="51">
        <v>11.7</v>
      </c>
      <c r="X126" s="51">
        <v>13.8</v>
      </c>
      <c r="Y126" s="51">
        <v>13.5</v>
      </c>
      <c r="Z126" s="111">
        <v>12.6</v>
      </c>
      <c r="AA126" s="51">
        <v>12.6</v>
      </c>
      <c r="AB126" s="51">
        <v>11.5</v>
      </c>
      <c r="AC126" s="51">
        <v>13.7</v>
      </c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17</v>
      </c>
      <c r="AQ126" s="89">
        <f t="shared" si="7"/>
        <v>13.176470588235293</v>
      </c>
      <c r="AR126" s="89">
        <f>IFERROR(VLOOKUP(A126,Climatologia!A:U,9+$E$2,FALSE),"")</f>
        <v>11.41155222734255</v>
      </c>
      <c r="AS126" s="89">
        <f t="shared" si="8"/>
        <v>1.764918360892743</v>
      </c>
      <c r="AT126" s="90">
        <f t="shared" si="9"/>
        <v>11.5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7.3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16.2</v>
      </c>
      <c r="U127" s="51">
        <v>16.8</v>
      </c>
      <c r="V127" s="51">
        <v>14.6</v>
      </c>
      <c r="W127" s="51">
        <v>13.2</v>
      </c>
      <c r="X127" s="51">
        <v>14.4</v>
      </c>
      <c r="Y127" s="51">
        <v>14.6</v>
      </c>
      <c r="Z127" s="111">
        <v>15.2</v>
      </c>
      <c r="AA127" s="51">
        <v>13.2</v>
      </c>
      <c r="AB127" s="51">
        <v>13</v>
      </c>
      <c r="AC127" s="51">
        <v>16.600000000000001</v>
      </c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19</v>
      </c>
      <c r="AQ127" s="89">
        <f t="shared" si="7"/>
        <v>14.905263157894733</v>
      </c>
      <c r="AR127" s="89">
        <f>IFERROR(VLOOKUP(A127,Climatologia!A:U,9+$E$2,FALSE),"")</f>
        <v>13.308933276833161</v>
      </c>
      <c r="AS127" s="89">
        <f t="shared" si="8"/>
        <v>1.5963298810615729</v>
      </c>
      <c r="AT127" s="90">
        <f t="shared" si="9"/>
        <v>13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>
        <v>10.4</v>
      </c>
      <c r="Y129" s="51">
        <v>10.6</v>
      </c>
      <c r="Z129" s="111">
        <v>9.6</v>
      </c>
      <c r="AA129" s="51">
        <v>10.199999999999999</v>
      </c>
      <c r="AB129" s="51">
        <v>8.8000000000000007</v>
      </c>
      <c r="AC129" s="51">
        <v>11.4</v>
      </c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19</v>
      </c>
      <c r="AQ129" s="89">
        <f t="shared" si="7"/>
        <v>10.342105263157896</v>
      </c>
      <c r="AR129" s="89">
        <f>IFERROR(VLOOKUP(A129,Climatologia!A:U,9+$E$2,FALSE),"")</f>
        <v>9.236293266429529</v>
      </c>
      <c r="AS129" s="89">
        <f t="shared" si="8"/>
        <v>1.1058119967283666</v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>
        <v>11.8</v>
      </c>
      <c r="Y130" s="51">
        <v>11.2</v>
      </c>
      <c r="Z130" s="111">
        <v>12</v>
      </c>
      <c r="AA130" s="51">
        <v>12.4</v>
      </c>
      <c r="AB130" s="51">
        <v>11.6</v>
      </c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18</v>
      </c>
      <c r="AQ130" s="89">
        <f t="shared" si="7"/>
        <v>11.144444444444444</v>
      </c>
      <c r="AR130" s="89">
        <f>IFERROR(VLOOKUP(A130,Climatologia!A:U,9+$E$2,FALSE),"")</f>
        <v>10.41098422703651</v>
      </c>
      <c r="AS130" s="89">
        <f t="shared" si="8"/>
        <v>0.73346021740793432</v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>
        <v>17</v>
      </c>
      <c r="Y131" s="51">
        <v>16</v>
      </c>
      <c r="Z131" s="111">
        <v>16</v>
      </c>
      <c r="AA131" s="51">
        <v>15</v>
      </c>
      <c r="AB131" s="51">
        <v>15.2</v>
      </c>
      <c r="AC131" s="51">
        <v>16</v>
      </c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19</v>
      </c>
      <c r="AQ131" s="89">
        <f t="shared" si="7"/>
        <v>16.557894736842105</v>
      </c>
      <c r="AR131" s="89">
        <f>IFERROR(VLOOKUP(A131,Climatologia!A:U,9+$E$2,FALSE),"")</f>
        <v>14.78700374480772</v>
      </c>
      <c r="AS131" s="89">
        <f t="shared" si="8"/>
        <v>1.7708909920343849</v>
      </c>
      <c r="AT131" s="90">
        <f t="shared" si="9"/>
        <v>15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>
        <v>4</v>
      </c>
      <c r="X132" s="51">
        <v>4.4000000000000004</v>
      </c>
      <c r="Y132" s="51">
        <v>5</v>
      </c>
      <c r="Z132" s="111">
        <v>5.8</v>
      </c>
      <c r="AA132" s="51">
        <v>6.2</v>
      </c>
      <c r="AB132" s="51">
        <v>5.2</v>
      </c>
      <c r="AC132" s="51">
        <v>5.2</v>
      </c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19</v>
      </c>
      <c r="AQ132" s="89">
        <f t="shared" si="7"/>
        <v>5.5</v>
      </c>
      <c r="AR132" s="89">
        <f>IFERROR(VLOOKUP(A132,Climatologia!A:U,9+$E$2,FALSE),"")</f>
        <v>5.8955999815287932</v>
      </c>
      <c r="AS132" s="89">
        <f t="shared" si="8"/>
        <v>-0.39559998152879317</v>
      </c>
      <c r="AT132" s="90">
        <f t="shared" si="9"/>
        <v>4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2.8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>
        <v>15</v>
      </c>
      <c r="Y134" s="51">
        <v>15.6</v>
      </c>
      <c r="Z134" s="111">
        <v>14.8</v>
      </c>
      <c r="AA134" s="51">
        <v>15.4</v>
      </c>
      <c r="AB134" s="51">
        <v>16.8</v>
      </c>
      <c r="AC134" s="51">
        <v>16.2</v>
      </c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17</v>
      </c>
      <c r="AQ134" s="89">
        <f t="shared" si="12"/>
        <v>15.576470588235297</v>
      </c>
      <c r="AR134" s="89">
        <f>IFERROR(VLOOKUP(A134,Climatologia!A:U,9+$E$2,FALSE),"")</f>
        <v>13.620393029291799</v>
      </c>
      <c r="AS134" s="89">
        <f t="shared" si="13"/>
        <v>1.9560775589434982</v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>
        <v>10.7</v>
      </c>
      <c r="Y135" s="51">
        <v>11</v>
      </c>
      <c r="Z135" s="111">
        <v>9</v>
      </c>
      <c r="AA135" s="51">
        <v>10</v>
      </c>
      <c r="AB135" s="51">
        <v>11</v>
      </c>
      <c r="AC135" s="51">
        <v>12</v>
      </c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19</v>
      </c>
      <c r="AQ135" s="89">
        <f t="shared" si="12"/>
        <v>10.831578947368421</v>
      </c>
      <c r="AR135" s="89">
        <f>IFERROR(VLOOKUP(A135,Climatologia!A:U,9+$E$2,FALSE),"")</f>
        <v>9.1065439288804146</v>
      </c>
      <c r="AS135" s="89">
        <f t="shared" si="13"/>
        <v>1.7250350184880059</v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>
        <v>12.4</v>
      </c>
      <c r="Y136" s="51">
        <v>14.2</v>
      </c>
      <c r="Z136" s="111">
        <v>13.2</v>
      </c>
      <c r="AA136" s="51">
        <v>13.6</v>
      </c>
      <c r="AB136" s="51">
        <v>12.2</v>
      </c>
      <c r="AC136" s="51">
        <v>11.4</v>
      </c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19</v>
      </c>
      <c r="AQ136" s="89">
        <f t="shared" si="12"/>
        <v>13.705263157894736</v>
      </c>
      <c r="AR136" s="89">
        <f>IFERROR(VLOOKUP(A136,Climatologia!A:U,9+$E$2,FALSE),"")</f>
        <v>12.59594623655914</v>
      </c>
      <c r="AS136" s="89">
        <f t="shared" si="13"/>
        <v>1.109316921335596</v>
      </c>
      <c r="AT136" s="90">
        <f t="shared" si="14"/>
        <v>11.4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3.6000000000000005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>
        <v>8.4</v>
      </c>
      <c r="Y137" s="51">
        <v>10.4</v>
      </c>
      <c r="Z137" s="111">
        <v>8.1999999999999993</v>
      </c>
      <c r="AA137" s="51">
        <v>10.199999999999999</v>
      </c>
      <c r="AB137" s="51">
        <v>8.6</v>
      </c>
      <c r="AC137" s="51">
        <v>11</v>
      </c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19</v>
      </c>
      <c r="AQ137" s="89">
        <f t="shared" si="12"/>
        <v>9.7368421052631557</v>
      </c>
      <c r="AR137" s="89">
        <f>IFERROR(VLOOKUP(A137,Climatologia!A:U,9+$E$2,FALSE),"")</f>
        <v>8.5766227213911144</v>
      </c>
      <c r="AS137" s="89">
        <f t="shared" si="13"/>
        <v>1.1602193838720414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>
        <v>7.6</v>
      </c>
      <c r="W138" s="51">
        <v>5.8</v>
      </c>
      <c r="X138" s="51">
        <v>6.4</v>
      </c>
      <c r="Y138" s="51">
        <v>7.8</v>
      </c>
      <c r="Z138" s="111">
        <v>8</v>
      </c>
      <c r="AA138" s="51">
        <v>9.6</v>
      </c>
      <c r="AB138" s="51">
        <v>8.8000000000000007</v>
      </c>
      <c r="AC138" s="51">
        <v>8</v>
      </c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19</v>
      </c>
      <c r="AQ138" s="89">
        <f t="shared" si="12"/>
        <v>7.6842105263157894</v>
      </c>
      <c r="AR138" s="89">
        <f>IFERROR(VLOOKUP(A138,Climatologia!A:U,9+$E$2,FALSE),"")</f>
        <v>6.6337893956247704</v>
      </c>
      <c r="AS138" s="89">
        <f t="shared" si="13"/>
        <v>1.0504211306910189</v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>
        <v>25.2</v>
      </c>
      <c r="Y139" s="51">
        <v>25.4</v>
      </c>
      <c r="Z139" s="111">
        <v>24.4</v>
      </c>
      <c r="AA139" s="51">
        <v>23.6</v>
      </c>
      <c r="AB139" s="51">
        <v>24.4</v>
      </c>
      <c r="AC139" s="51">
        <v>24.2</v>
      </c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19</v>
      </c>
      <c r="AQ139" s="89">
        <f t="shared" si="12"/>
        <v>24.642105263157887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>
        <v>11.8</v>
      </c>
      <c r="X140" s="51">
        <v>11.6</v>
      </c>
      <c r="Y140" s="51">
        <v>12.2</v>
      </c>
      <c r="Z140" s="111">
        <v>13.2</v>
      </c>
      <c r="AA140" s="51">
        <v>13</v>
      </c>
      <c r="AB140" s="51">
        <v>12</v>
      </c>
      <c r="AC140" s="51">
        <v>12.8</v>
      </c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19</v>
      </c>
      <c r="AQ140" s="89">
        <f t="shared" si="12"/>
        <v>11.505263157894735</v>
      </c>
      <c r="AR140" s="89">
        <f>IFERROR(VLOOKUP(A140,Climatologia!A:U,9+$E$2,FALSE),"")</f>
        <v>11.08632974910395</v>
      </c>
      <c r="AS140" s="89">
        <f t="shared" si="13"/>
        <v>0.41893340879078522</v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>
        <v>15.4</v>
      </c>
      <c r="Y141" s="51">
        <v>15.8</v>
      </c>
      <c r="Z141" s="111">
        <v>15</v>
      </c>
      <c r="AA141" s="51">
        <v>15.8</v>
      </c>
      <c r="AB141" s="51">
        <v>16</v>
      </c>
      <c r="AC141" s="51">
        <v>15.4</v>
      </c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19</v>
      </c>
      <c r="AQ141" s="89">
        <f t="shared" si="12"/>
        <v>14.968421052631578</v>
      </c>
      <c r="AR141" s="89">
        <f>IFERROR(VLOOKUP(A141,Climatologia!A:U,9+$E$2,FALSE),"")</f>
        <v>14.39065028161802</v>
      </c>
      <c r="AS141" s="89">
        <f t="shared" si="13"/>
        <v>0.577770771013558</v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>
        <v>24.4</v>
      </c>
      <c r="Y142" s="51">
        <v>23</v>
      </c>
      <c r="Z142" s="111">
        <v>23.2</v>
      </c>
      <c r="AA142" s="51">
        <v>24</v>
      </c>
      <c r="AB142" s="51">
        <v>24.8</v>
      </c>
      <c r="AC142" s="51">
        <v>26</v>
      </c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19</v>
      </c>
      <c r="AQ142" s="89">
        <f t="shared" si="12"/>
        <v>24.05263157894737</v>
      </c>
      <c r="AR142" s="89">
        <f>IFERROR(VLOOKUP(A142,Climatologia!A:U,9+$E$2,FALSE),"")</f>
        <v>22.55356989247311</v>
      </c>
      <c r="AS142" s="89">
        <f t="shared" si="13"/>
        <v>1.4990616864742599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>
        <v>21.2</v>
      </c>
      <c r="Y143" s="51">
        <v>21</v>
      </c>
      <c r="Z143" s="111">
        <v>20.2</v>
      </c>
      <c r="AA143" s="51">
        <v>20.8</v>
      </c>
      <c r="AB143" s="51">
        <v>20.6</v>
      </c>
      <c r="AC143" s="51">
        <v>20.6</v>
      </c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19</v>
      </c>
      <c r="AQ143" s="89">
        <f t="shared" si="12"/>
        <v>20.347368421052636</v>
      </c>
      <c r="AR143" s="89">
        <f>IFERROR(VLOOKUP(A143,Climatologia!A:U,9+$E$2,FALSE),"")</f>
        <v>19.318198924731181</v>
      </c>
      <c r="AS143" s="89">
        <f t="shared" si="13"/>
        <v>1.0291694963214546</v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>
        <v>24.6</v>
      </c>
      <c r="Y144" s="51">
        <v>24.4</v>
      </c>
      <c r="Z144" s="111">
        <v>24.2</v>
      </c>
      <c r="AA144" s="51">
        <v>24.8</v>
      </c>
      <c r="AB144" s="51">
        <v>24.4</v>
      </c>
      <c r="AC144" s="51">
        <v>25</v>
      </c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19</v>
      </c>
      <c r="AQ144" s="89">
        <f t="shared" si="12"/>
        <v>24.505263157894738</v>
      </c>
      <c r="AR144" s="89">
        <f>IFERROR(VLOOKUP(A144,Climatologia!A:U,9+$E$2,FALSE),"")</f>
        <v>23.19416875486397</v>
      </c>
      <c r="AS144" s="89">
        <f t="shared" si="13"/>
        <v>1.3110944030307685</v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>
        <v>18</v>
      </c>
      <c r="Y145" s="51">
        <v>18</v>
      </c>
      <c r="Z145" s="111">
        <v>19</v>
      </c>
      <c r="AA145" s="51">
        <v>18.600000000000001</v>
      </c>
      <c r="AB145" s="51">
        <v>18.600000000000001</v>
      </c>
      <c r="AC145" s="51">
        <v>17.8</v>
      </c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19</v>
      </c>
      <c r="AQ145" s="89">
        <f t="shared" si="12"/>
        <v>17.400000000000006</v>
      </c>
      <c r="AR145" s="89">
        <f>IFERROR(VLOOKUP(A145,Climatologia!A:U,9+$E$2,FALSE),"")</f>
        <v>15.79466943151284</v>
      </c>
      <c r="AS145" s="89">
        <f t="shared" si="13"/>
        <v>1.6053305684871653</v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>
        <v>14</v>
      </c>
      <c r="X146" s="51">
        <v>15.4</v>
      </c>
      <c r="Y146" s="51">
        <v>13</v>
      </c>
      <c r="Z146" s="111"/>
      <c r="AA146" s="51"/>
      <c r="AB146" s="51">
        <v>16.399999999999999</v>
      </c>
      <c r="AC146" s="51">
        <v>14.2</v>
      </c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17</v>
      </c>
      <c r="AQ146" s="89">
        <f t="shared" si="12"/>
        <v>13.529411764705882</v>
      </c>
      <c r="AR146" s="89">
        <f>IFERROR(VLOOKUP(A146,Climatologia!A:U,9+$E$2,FALSE),"")</f>
        <v>13.67439615180003</v>
      </c>
      <c r="AS146" s="89">
        <f t="shared" si="13"/>
        <v>-0.14498438709414785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>
        <v>17.399999999999999</v>
      </c>
      <c r="Y147" s="51">
        <v>16.399999999999999</v>
      </c>
      <c r="Z147" s="111">
        <v>16.600000000000001</v>
      </c>
      <c r="AA147" s="51">
        <v>16.399999999999999</v>
      </c>
      <c r="AB147" s="51">
        <v>17.2</v>
      </c>
      <c r="AC147" s="51">
        <v>16.2</v>
      </c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19</v>
      </c>
      <c r="AQ147" s="89">
        <f t="shared" si="12"/>
        <v>16.705263157894734</v>
      </c>
      <c r="AR147" s="89">
        <f>IFERROR(VLOOKUP(A147,Climatologia!A:U,9+$E$2,FALSE),"")</f>
        <v>14.54256377143717</v>
      </c>
      <c r="AS147" s="89">
        <f t="shared" si="13"/>
        <v>2.1626993864575645</v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>
        <v>26</v>
      </c>
      <c r="Y150" s="51">
        <v>24.6</v>
      </c>
      <c r="Z150" s="111"/>
      <c r="AA150" s="51">
        <v>23.8</v>
      </c>
      <c r="AB150" s="51">
        <v>24.2</v>
      </c>
      <c r="AC150" s="51">
        <v>24.8</v>
      </c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18</v>
      </c>
      <c r="AQ150" s="89">
        <f t="shared" si="12"/>
        <v>24.799999999999997</v>
      </c>
      <c r="AR150" s="89">
        <f>IFERROR(VLOOKUP(A150,Climatologia!A:U,9+$E$2,FALSE),"")</f>
        <v>22.358974539611911</v>
      </c>
      <c r="AS150" s="89">
        <f t="shared" si="13"/>
        <v>2.4410254603880865</v>
      </c>
      <c r="AT150" s="90">
        <f t="shared" si="14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4.8000000000000007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>
        <v>24.2</v>
      </c>
      <c r="Y151" s="51">
        <v>25</v>
      </c>
      <c r="Z151" s="111">
        <v>25.4</v>
      </c>
      <c r="AA151" s="51">
        <v>23.8</v>
      </c>
      <c r="AB151" s="51">
        <v>23.2</v>
      </c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18</v>
      </c>
      <c r="AQ151" s="89">
        <f t="shared" si="12"/>
        <v>24.43333333333333</v>
      </c>
      <c r="AR151" s="89">
        <f>IFERROR(VLOOKUP(A151,Climatologia!A:U,9+$E$2,FALSE),"")</f>
        <v>23.435096179938832</v>
      </c>
      <c r="AS151" s="89">
        <f t="shared" si="13"/>
        <v>0.99823715339449848</v>
      </c>
      <c r="AT151" s="90">
        <f t="shared" si="14"/>
        <v>23.2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6.1999999999999993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>
        <v>16.8</v>
      </c>
      <c r="Y152" s="51">
        <v>15.2</v>
      </c>
      <c r="Z152" s="111">
        <v>15</v>
      </c>
      <c r="AA152" s="51">
        <v>15</v>
      </c>
      <c r="AB152" s="51">
        <v>14.8</v>
      </c>
      <c r="AC152" s="51">
        <v>14.4</v>
      </c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19</v>
      </c>
      <c r="AQ152" s="89">
        <f t="shared" si="12"/>
        <v>14.915789473684208</v>
      </c>
      <c r="AR152" s="89">
        <f>IFERROR(VLOOKUP(A152,Climatologia!A:U,9+$E$2,FALSE),"")</f>
        <v>14.28172753446659</v>
      </c>
      <c r="AS152" s="89">
        <f t="shared" si="13"/>
        <v>0.63406193921761833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>
        <v>22.2</v>
      </c>
      <c r="Y153" s="51">
        <v>21.4</v>
      </c>
      <c r="Z153" s="111">
        <v>22.6</v>
      </c>
      <c r="AA153" s="51">
        <v>22.2</v>
      </c>
      <c r="AB153" s="51">
        <v>21.8</v>
      </c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18</v>
      </c>
      <c r="AQ153" s="89">
        <f t="shared" si="12"/>
        <v>20.933333333333334</v>
      </c>
      <c r="AR153" s="89">
        <f>IFERROR(VLOOKUP(A153,Climatologia!A:U,9+$E$2,FALSE),"")</f>
        <v>19.33438505823419</v>
      </c>
      <c r="AS153" s="89">
        <f t="shared" si="13"/>
        <v>1.5989482750991435</v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>
        <v>16</v>
      </c>
      <c r="Y154" s="51">
        <v>17</v>
      </c>
      <c r="Z154" s="111">
        <v>17</v>
      </c>
      <c r="AA154" s="51">
        <v>18</v>
      </c>
      <c r="AB154" s="51">
        <v>17.399999999999999</v>
      </c>
      <c r="AC154" s="51">
        <v>17</v>
      </c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19</v>
      </c>
      <c r="AQ154" s="89">
        <f t="shared" si="12"/>
        <v>16.294736842105262</v>
      </c>
      <c r="AR154" s="89">
        <f>IFERROR(VLOOKUP(A154,Climatologia!A:U,9+$E$2,FALSE),"")</f>
        <v>15.34016874367072</v>
      </c>
      <c r="AS154" s="89">
        <f t="shared" si="13"/>
        <v>0.95456809843454238</v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>
        <v>19.399999999999999</v>
      </c>
      <c r="Y155" s="51">
        <v>19</v>
      </c>
      <c r="Z155" s="111">
        <v>18</v>
      </c>
      <c r="AA155" s="51">
        <v>18.8</v>
      </c>
      <c r="AB155" s="51">
        <v>18.600000000000001</v>
      </c>
      <c r="AC155" s="51">
        <v>19</v>
      </c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19</v>
      </c>
      <c r="AQ155" s="89">
        <f t="shared" si="12"/>
        <v>18.863157894736844</v>
      </c>
      <c r="AR155" s="89">
        <f>IFERROR(VLOOKUP(A155,Climatologia!A:U,9+$E$2,FALSE),"")</f>
        <v>17.753898511573709</v>
      </c>
      <c r="AS155" s="89">
        <f t="shared" si="13"/>
        <v>1.1092593831631348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>
        <v>11.6</v>
      </c>
      <c r="Y157" s="51">
        <v>12</v>
      </c>
      <c r="Z157" s="111">
        <v>9.8000000000000007</v>
      </c>
      <c r="AA157" s="51">
        <v>12</v>
      </c>
      <c r="AB157" s="51">
        <v>11.4</v>
      </c>
      <c r="AC157" s="51">
        <v>7.8</v>
      </c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19</v>
      </c>
      <c r="AQ157" s="89">
        <f t="shared" si="12"/>
        <v>10.305263157894737</v>
      </c>
      <c r="AR157" s="89">
        <f>IFERROR(VLOOKUP(A157,Climatologia!A:U,9+$E$2,FALSE),"")</f>
        <v>9.0629738863287237</v>
      </c>
      <c r="AS157" s="89">
        <f t="shared" si="13"/>
        <v>1.2422892715660137</v>
      </c>
      <c r="AT157" s="90">
        <f t="shared" si="14"/>
        <v>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1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>
        <v>15.4</v>
      </c>
      <c r="Y158" s="51">
        <v>15</v>
      </c>
      <c r="Z158" s="111">
        <v>15.8</v>
      </c>
      <c r="AA158" s="51">
        <v>15.2</v>
      </c>
      <c r="AB158" s="51">
        <v>14.4</v>
      </c>
      <c r="AC158" s="51">
        <v>14.2</v>
      </c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19</v>
      </c>
      <c r="AQ158" s="89">
        <f t="shared" si="12"/>
        <v>14</v>
      </c>
      <c r="AR158" s="89">
        <f>IFERROR(VLOOKUP(A158,Climatologia!A:U,9+$E$2,FALSE),"")</f>
        <v>13.99486833930705</v>
      </c>
      <c r="AS158" s="89">
        <f t="shared" si="13"/>
        <v>5.13166069294968E-3</v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>
        <v>21.6</v>
      </c>
      <c r="Y159" s="51">
        <v>21</v>
      </c>
      <c r="Z159" s="111">
        <v>21.4</v>
      </c>
      <c r="AA159" s="51">
        <v>22</v>
      </c>
      <c r="AB159" s="51">
        <v>20.6</v>
      </c>
      <c r="AC159" s="51">
        <v>21</v>
      </c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19</v>
      </c>
      <c r="AQ159" s="89">
        <f t="shared" si="12"/>
        <v>20.705263157894734</v>
      </c>
      <c r="AR159" s="89">
        <f>IFERROR(VLOOKUP(A159,Climatologia!A:U,9+$E$2,FALSE),"")</f>
        <v>19.80259102706712</v>
      </c>
      <c r="AS159" s="89">
        <f t="shared" si="13"/>
        <v>0.90267213082761444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>
        <v>7.2</v>
      </c>
      <c r="Y160" s="51">
        <v>6</v>
      </c>
      <c r="Z160" s="111">
        <v>6.6</v>
      </c>
      <c r="AA160" s="51">
        <v>7.8</v>
      </c>
      <c r="AB160" s="51">
        <v>7.4</v>
      </c>
      <c r="AC160" s="51">
        <v>7</v>
      </c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19</v>
      </c>
      <c r="AQ160" s="89">
        <f t="shared" si="12"/>
        <v>6.0421052631578949</v>
      </c>
      <c r="AR160" s="89">
        <f>IFERROR(VLOOKUP(A160,Climatologia!A:U,9+$E$2,FALSE),"")</f>
        <v>5.545852566091324</v>
      </c>
      <c r="AS160" s="89">
        <f t="shared" si="13"/>
        <v>0.49625269706657082</v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>
        <v>22</v>
      </c>
      <c r="Y161" s="51">
        <v>22</v>
      </c>
      <c r="Z161" s="111">
        <v>22.2</v>
      </c>
      <c r="AA161" s="51">
        <v>21.6</v>
      </c>
      <c r="AB161" s="51">
        <v>21.8</v>
      </c>
      <c r="AC161" s="51">
        <v>21.4</v>
      </c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19</v>
      </c>
      <c r="AQ161" s="89">
        <f t="shared" si="12"/>
        <v>21.221052631578946</v>
      </c>
      <c r="AR161" s="89">
        <f>IFERROR(VLOOKUP(A161,Climatologia!A:U,9+$E$2,FALSE),"")</f>
        <v>20.699024154274429</v>
      </c>
      <c r="AS161" s="89">
        <f t="shared" si="13"/>
        <v>0.52202847730451651</v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>
        <v>14.4</v>
      </c>
      <c r="Y162" s="51">
        <v>15.6</v>
      </c>
      <c r="Z162" s="111">
        <v>16</v>
      </c>
      <c r="AA162" s="51">
        <v>13.4</v>
      </c>
      <c r="AB162" s="51">
        <v>14.6</v>
      </c>
      <c r="AC162" s="51">
        <v>14.4</v>
      </c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19</v>
      </c>
      <c r="AQ162" s="89">
        <f t="shared" si="12"/>
        <v>15.147368421052633</v>
      </c>
      <c r="AR162" s="89">
        <f>IFERROR(VLOOKUP(A162,Climatologia!A:U,9+$E$2,FALSE),"")</f>
        <v>13.81981919292388</v>
      </c>
      <c r="AS162" s="89">
        <f t="shared" si="13"/>
        <v>1.3275492281287526</v>
      </c>
      <c r="AT162" s="90">
        <f t="shared" si="14"/>
        <v>13.4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4.2000000000000011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>
        <v>18</v>
      </c>
      <c r="Y163" s="51">
        <v>19.600000000000001</v>
      </c>
      <c r="Z163" s="111">
        <v>18.2</v>
      </c>
      <c r="AA163" s="51">
        <v>17.600000000000001</v>
      </c>
      <c r="AB163" s="51">
        <v>18</v>
      </c>
      <c r="AC163" s="51">
        <v>18.600000000000001</v>
      </c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19</v>
      </c>
      <c r="AQ163" s="89">
        <f t="shared" si="12"/>
        <v>18.578947368421055</v>
      </c>
      <c r="AR163" s="89">
        <f>IFERROR(VLOOKUP(A163,Climatologia!A:U,9+$E$2,FALSE),"")</f>
        <v>17.92353706847765</v>
      </c>
      <c r="AS163" s="89">
        <f t="shared" si="13"/>
        <v>0.65541029994340505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>
        <v>19.600000000000001</v>
      </c>
      <c r="Y164" s="51">
        <v>19.600000000000001</v>
      </c>
      <c r="Z164" s="111">
        <v>19.600000000000001</v>
      </c>
      <c r="AA164" s="51">
        <v>20.6</v>
      </c>
      <c r="AB164" s="51">
        <v>19.7</v>
      </c>
      <c r="AC164" s="51">
        <v>18.399999999999999</v>
      </c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19</v>
      </c>
      <c r="AQ164" s="89">
        <f t="shared" si="12"/>
        <v>19.278947368421058</v>
      </c>
      <c r="AR164" s="89">
        <f>IFERROR(VLOOKUP(A164,Climatologia!A:U,9+$E$2,FALSE),"")</f>
        <v>19.04428975316489</v>
      </c>
      <c r="AS164" s="89">
        <f t="shared" si="13"/>
        <v>0.23465761525616813</v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>
        <v>7.6</v>
      </c>
      <c r="X165" s="51">
        <v>10.8</v>
      </c>
      <c r="Y165" s="51">
        <v>9</v>
      </c>
      <c r="Z165" s="111">
        <v>9.8000000000000007</v>
      </c>
      <c r="AA165" s="51">
        <v>9.8000000000000007</v>
      </c>
      <c r="AB165" s="51">
        <v>10</v>
      </c>
      <c r="AC165" s="51">
        <v>10.8</v>
      </c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16</v>
      </c>
      <c r="AQ165" s="89">
        <f t="shared" si="12"/>
        <v>9.75</v>
      </c>
      <c r="AR165" s="89">
        <f>IFERROR(VLOOKUP(A165,Climatologia!A:U,9+$E$2,FALSE),"")</f>
        <v>8.2009357976098798</v>
      </c>
      <c r="AS165" s="89">
        <f t="shared" si="13"/>
        <v>1.5490642023901202</v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>
        <v>20.6</v>
      </c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>
        <v>20</v>
      </c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6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>
        <v>20.2</v>
      </c>
      <c r="T169" s="51">
        <v>17.8</v>
      </c>
      <c r="U169" s="51">
        <v>18.600000000000001</v>
      </c>
      <c r="V169" s="51">
        <v>19.399999999999999</v>
      </c>
      <c r="W169" s="51">
        <v>19.2</v>
      </c>
      <c r="X169" s="51">
        <v>18.600000000000001</v>
      </c>
      <c r="Y169" s="51">
        <v>20.399999999999999</v>
      </c>
      <c r="Z169" s="111">
        <v>20.6</v>
      </c>
      <c r="AA169" s="51">
        <v>19.8</v>
      </c>
      <c r="AB169" s="51">
        <v>19.2</v>
      </c>
      <c r="AC169" s="51">
        <v>19.399999999999999</v>
      </c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19</v>
      </c>
      <c r="AQ169" s="89">
        <f t="shared" si="12"/>
        <v>19.56315789473684</v>
      </c>
      <c r="AR169" s="89">
        <f>IFERROR(VLOOKUP(A169,Climatologia!A:U,9+$E$2,FALSE),"")</f>
        <v>18.98804930581305</v>
      </c>
      <c r="AS169" s="89">
        <f t="shared" si="13"/>
        <v>0.57510858892378991</v>
      </c>
      <c r="AT169" s="90">
        <f t="shared" si="14"/>
        <v>17.8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2.8000000000000007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>
        <v>13.4</v>
      </c>
      <c r="Y170" s="51">
        <v>15.2</v>
      </c>
      <c r="Z170" s="111">
        <v>16.2</v>
      </c>
      <c r="AA170" s="51">
        <v>15.8</v>
      </c>
      <c r="AB170" s="51">
        <v>14.2</v>
      </c>
      <c r="AC170" s="51">
        <v>14</v>
      </c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19</v>
      </c>
      <c r="AQ170" s="89">
        <f t="shared" si="12"/>
        <v>14.284210526315791</v>
      </c>
      <c r="AR170" s="89">
        <f>IFERROR(VLOOKUP(A170,Climatologia!A:U,9+$E$2,FALSE),"")</f>
        <v>13.515835523098669</v>
      </c>
      <c r="AS170" s="89">
        <f t="shared" si="13"/>
        <v>0.76837500321712149</v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25.8</v>
      </c>
      <c r="R172" s="51">
        <v>25.8</v>
      </c>
      <c r="S172" s="51"/>
      <c r="T172" s="51"/>
      <c r="U172" s="51">
        <v>25.6</v>
      </c>
      <c r="V172" s="51">
        <v>26.2</v>
      </c>
      <c r="W172" s="51">
        <v>24.4</v>
      </c>
      <c r="X172" s="51">
        <v>25.4</v>
      </c>
      <c r="Y172" s="51">
        <v>26.2</v>
      </c>
      <c r="Z172" s="111">
        <v>26.8</v>
      </c>
      <c r="AA172" s="51">
        <v>24</v>
      </c>
      <c r="AB172" s="51">
        <v>24</v>
      </c>
      <c r="AC172" s="51">
        <v>23.2</v>
      </c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17</v>
      </c>
      <c r="AQ172" s="89">
        <f t="shared" si="12"/>
        <v>24.870588235294115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23.2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4.8000000000000007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>
        <v>19.8</v>
      </c>
      <c r="Z175" s="111">
        <v>21.4</v>
      </c>
      <c r="AA175" s="51">
        <v>21.4</v>
      </c>
      <c r="AB175" s="51">
        <v>22.2</v>
      </c>
      <c r="AC175" s="51">
        <v>21.6</v>
      </c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16</v>
      </c>
      <c r="AQ175" s="89">
        <f t="shared" si="12"/>
        <v>21.662499999999998</v>
      </c>
      <c r="AR175" s="89">
        <f>IFERROR(VLOOKUP(A175,Climatologia!A:U,9+$E$2,FALSE),"")</f>
        <v>20.369629293079871</v>
      </c>
      <c r="AS175" s="89">
        <f t="shared" si="13"/>
        <v>1.2928707069201266</v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>
        <v>22.2</v>
      </c>
      <c r="Z176" s="111"/>
      <c r="AA176" s="51">
        <v>22.8</v>
      </c>
      <c r="AB176" s="51">
        <v>23.2</v>
      </c>
      <c r="AC176" s="51">
        <v>22.6</v>
      </c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17</v>
      </c>
      <c r="AQ176" s="89">
        <f t="shared" si="12"/>
        <v>23</v>
      </c>
      <c r="AR176" s="89">
        <f>IFERROR(VLOOKUP(A176,Climatologia!A:U,9+$E$2,FALSE),"")</f>
        <v>21.653737839221709</v>
      </c>
      <c r="AS176" s="89">
        <f t="shared" si="13"/>
        <v>1.3462621607782914</v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>
        <v>14.4</v>
      </c>
      <c r="Y179" s="51">
        <v>14.6</v>
      </c>
      <c r="Z179" s="111">
        <v>13.2</v>
      </c>
      <c r="AA179" s="51">
        <v>13.6</v>
      </c>
      <c r="AB179" s="51">
        <v>13</v>
      </c>
      <c r="AC179" s="51">
        <v>13.4</v>
      </c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19</v>
      </c>
      <c r="AQ179" s="89">
        <f t="shared" si="12"/>
        <v>13.621052631578944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>
        <v>25.8</v>
      </c>
      <c r="Z180" s="111"/>
      <c r="AA180" s="51">
        <v>24.8</v>
      </c>
      <c r="AB180" s="51">
        <v>24.8</v>
      </c>
      <c r="AC180" s="51">
        <v>24.6</v>
      </c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13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>
        <v>24.2</v>
      </c>
      <c r="Y181" s="51">
        <v>22.2</v>
      </c>
      <c r="Z181" s="111">
        <v>25.4</v>
      </c>
      <c r="AA181" s="51">
        <v>24.8</v>
      </c>
      <c r="AB181" s="51">
        <v>24.4</v>
      </c>
      <c r="AC181" s="51">
        <v>22.8</v>
      </c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18</v>
      </c>
      <c r="AQ181" s="89">
        <f t="shared" si="12"/>
        <v>23.333333333333329</v>
      </c>
      <c r="AR181" s="89">
        <f>IFERROR(VLOOKUP(A181,Climatologia!A:U,9+$E$2,FALSE),"")</f>
        <v>21.70483579702303</v>
      </c>
      <c r="AS181" s="89">
        <f t="shared" si="13"/>
        <v>1.6284975363102987</v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>
        <v>14</v>
      </c>
      <c r="Y182" s="51">
        <v>14</v>
      </c>
      <c r="Z182" s="111">
        <v>14.6</v>
      </c>
      <c r="AA182" s="51">
        <v>13.8</v>
      </c>
      <c r="AB182" s="51">
        <v>14</v>
      </c>
      <c r="AC182" s="51">
        <v>12</v>
      </c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19</v>
      </c>
      <c r="AQ182" s="89">
        <f t="shared" si="12"/>
        <v>13.56842105263158</v>
      </c>
      <c r="AR182" s="89">
        <f>IFERROR(VLOOKUP(A182,Climatologia!A:U,9+$E$2,FALSE),"")</f>
        <v>14.173503840245781</v>
      </c>
      <c r="AS182" s="89">
        <f t="shared" si="13"/>
        <v>-0.60508278761420087</v>
      </c>
      <c r="AT182" s="90">
        <f t="shared" si="14"/>
        <v>12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>
        <v>19.2</v>
      </c>
      <c r="Y183" s="51">
        <v>18.2</v>
      </c>
      <c r="Z183" s="111">
        <v>19</v>
      </c>
      <c r="AA183" s="51">
        <v>18.8</v>
      </c>
      <c r="AB183" s="51">
        <v>18.2</v>
      </c>
      <c r="AC183" s="51">
        <v>19.2</v>
      </c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19</v>
      </c>
      <c r="AQ183" s="89">
        <f t="shared" si="12"/>
        <v>18.694736842105261</v>
      </c>
      <c r="AR183" s="89">
        <f>IFERROR(VLOOKUP(A183,Climatologia!A:U,9+$E$2,FALSE),"")</f>
        <v>20.070986681091949</v>
      </c>
      <c r="AS183" s="89">
        <f t="shared" si="13"/>
        <v>-1.3762498389866877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>
        <v>22</v>
      </c>
      <c r="Y184" s="51">
        <v>23</v>
      </c>
      <c r="Z184" s="111">
        <v>23.4</v>
      </c>
      <c r="AA184" s="51"/>
      <c r="AB184" s="51">
        <v>20.399999999999999</v>
      </c>
      <c r="AC184" s="51">
        <v>20.399999999999999</v>
      </c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18</v>
      </c>
      <c r="AQ184" s="89">
        <f t="shared" si="12"/>
        <v>21.399999999999995</v>
      </c>
      <c r="AR184" s="89">
        <f>IFERROR(VLOOKUP(A184,Climatologia!A:U,9+$E$2,FALSE),"")</f>
        <v>20.076368634370251</v>
      </c>
      <c r="AS184" s="89">
        <f t="shared" si="13"/>
        <v>1.323631365629744</v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>
        <v>16.2</v>
      </c>
      <c r="Y185" s="51"/>
      <c r="Z185" s="111"/>
      <c r="AA185" s="51">
        <v>17</v>
      </c>
      <c r="AB185" s="51">
        <v>15</v>
      </c>
      <c r="AC185" s="51">
        <v>15.4</v>
      </c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17</v>
      </c>
      <c r="AQ185" s="89">
        <f t="shared" si="12"/>
        <v>16.105882352941173</v>
      </c>
      <c r="AR185" s="89">
        <f>IFERROR(VLOOKUP(A185,Climatologia!A:U,9+$E$2,FALSE),"")</f>
        <v>17.074088213241051</v>
      </c>
      <c r="AS185" s="89">
        <f t="shared" si="13"/>
        <v>-0.96820586029987865</v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>
        <v>23.6</v>
      </c>
      <c r="Y186" s="51">
        <v>22</v>
      </c>
      <c r="Z186" s="111">
        <v>22.6</v>
      </c>
      <c r="AA186" s="51">
        <v>22</v>
      </c>
      <c r="AB186" s="51">
        <v>21.6</v>
      </c>
      <c r="AC186" s="51">
        <v>21.2</v>
      </c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18</v>
      </c>
      <c r="AQ186" s="89">
        <f t="shared" si="12"/>
        <v>22.18888888888889</v>
      </c>
      <c r="AR186" s="89">
        <f>IFERROR(VLOOKUP(A186,Climatologia!A:U,9+$E$2,FALSE),"")</f>
        <v>20.422025791399172</v>
      </c>
      <c r="AS186" s="89">
        <f t="shared" si="13"/>
        <v>1.7668630974897184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>
        <v>18.399999999999999</v>
      </c>
      <c r="Y187" s="51">
        <v>19.2</v>
      </c>
      <c r="Z187" s="111">
        <v>19</v>
      </c>
      <c r="AA187" s="51">
        <v>17.399999999999999</v>
      </c>
      <c r="AB187" s="51">
        <v>17.399999999999999</v>
      </c>
      <c r="AC187" s="51">
        <v>15</v>
      </c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16</v>
      </c>
      <c r="AQ187" s="89">
        <f t="shared" si="12"/>
        <v>17.850000000000001</v>
      </c>
      <c r="AR187" s="89">
        <f>IFERROR(VLOOKUP(A187,Climatologia!A:U,9+$E$2,FALSE),"")</f>
        <v>16.993025163915739</v>
      </c>
      <c r="AS187" s="89">
        <f t="shared" si="13"/>
        <v>0.85697483608426239</v>
      </c>
      <c r="AT187" s="90">
        <f t="shared" si="14"/>
        <v>15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1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>
        <v>22.8</v>
      </c>
      <c r="Y188" s="51">
        <v>23.2</v>
      </c>
      <c r="Z188" s="111">
        <v>21.8</v>
      </c>
      <c r="AA188" s="51">
        <v>20.6</v>
      </c>
      <c r="AB188" s="51">
        <v>20.8</v>
      </c>
      <c r="AC188" s="51">
        <v>21.4</v>
      </c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19</v>
      </c>
      <c r="AQ188" s="89">
        <f t="shared" si="12"/>
        <v>22.042105263157897</v>
      </c>
      <c r="AR188" s="89">
        <f>IFERROR(VLOOKUP(A188,Climatologia!A:U,9+$E$2,FALSE),"")</f>
        <v>20.28174546114397</v>
      </c>
      <c r="AS188" s="89">
        <f t="shared" si="13"/>
        <v>1.7603598020139266</v>
      </c>
      <c r="AT188" s="90">
        <f t="shared" si="14"/>
        <v>20.6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4.4000000000000021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>
        <v>19.399999999999999</v>
      </c>
      <c r="Y189" s="51">
        <v>19.600000000000001</v>
      </c>
      <c r="Z189" s="111">
        <v>19.399999999999999</v>
      </c>
      <c r="AA189" s="51">
        <v>17.600000000000001</v>
      </c>
      <c r="AB189" s="51">
        <v>19.2</v>
      </c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18</v>
      </c>
      <c r="AQ189" s="89">
        <f t="shared" si="12"/>
        <v>18.544444444444444</v>
      </c>
      <c r="AR189" s="89">
        <f>IFERROR(VLOOKUP(A189,Climatologia!A:U,9+$E$2,FALSE),"")</f>
        <v>15.63081985682097</v>
      </c>
      <c r="AS189" s="89">
        <f t="shared" si="13"/>
        <v>2.9136245876234739</v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>
        <v>11.4</v>
      </c>
      <c r="X190" s="51">
        <v>15.2</v>
      </c>
      <c r="Y190" s="51">
        <v>15</v>
      </c>
      <c r="Z190" s="111">
        <v>14.8</v>
      </c>
      <c r="AA190" s="51">
        <v>14</v>
      </c>
      <c r="AB190" s="51">
        <v>13.8</v>
      </c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18</v>
      </c>
      <c r="AQ190" s="89">
        <f t="shared" si="12"/>
        <v>13.655555555555557</v>
      </c>
      <c r="AR190" s="89">
        <f>IFERROR(VLOOKUP(A190,Climatologia!A:U,9+$E$2,FALSE),"")</f>
        <v>11.261282597948339</v>
      </c>
      <c r="AS190" s="89">
        <f t="shared" si="13"/>
        <v>2.3942729576072175</v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>
        <v>8</v>
      </c>
      <c r="Y191" s="51">
        <v>9</v>
      </c>
      <c r="Z191" s="111">
        <v>8</v>
      </c>
      <c r="AA191" s="51">
        <v>10</v>
      </c>
      <c r="AB191" s="51">
        <v>9</v>
      </c>
      <c r="AC191" s="51">
        <v>9.1999999999999993</v>
      </c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19</v>
      </c>
      <c r="AQ191" s="89">
        <f t="shared" si="12"/>
        <v>8.1052631578947363</v>
      </c>
      <c r="AR191" s="89">
        <f>IFERROR(VLOOKUP(A191,Climatologia!A:U,9+$E$2,FALSE),"")</f>
        <v>6.994628239761723</v>
      </c>
      <c r="AS191" s="89">
        <f t="shared" si="13"/>
        <v>1.1106349181330133</v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>
        <v>23.2</v>
      </c>
      <c r="Y192" s="51">
        <v>21.6</v>
      </c>
      <c r="Z192" s="111">
        <v>23.6</v>
      </c>
      <c r="AA192" s="51">
        <v>21.2</v>
      </c>
      <c r="AB192" s="51">
        <v>21.2</v>
      </c>
      <c r="AC192" s="51">
        <v>22.8</v>
      </c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19</v>
      </c>
      <c r="AQ192" s="89">
        <f t="shared" si="12"/>
        <v>22.431578947368422</v>
      </c>
      <c r="AR192" s="89">
        <f>IFERROR(VLOOKUP(A192,Climatologia!A:U,9+$E$2,FALSE),"")</f>
        <v>19.908691930571798</v>
      </c>
      <c r="AS192" s="89">
        <f t="shared" si="13"/>
        <v>2.5228870167966235</v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>
        <v>10.4</v>
      </c>
      <c r="Y193" s="51">
        <v>10.199999999999999</v>
      </c>
      <c r="Z193" s="111">
        <v>10.199999999999999</v>
      </c>
      <c r="AA193" s="51">
        <v>10.6</v>
      </c>
      <c r="AB193" s="51">
        <v>8.8000000000000007</v>
      </c>
      <c r="AC193" s="51">
        <v>10.199999999999999</v>
      </c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19</v>
      </c>
      <c r="AQ193" s="89">
        <f t="shared" si="12"/>
        <v>9.557894736842103</v>
      </c>
      <c r="AR193" s="89">
        <f>IFERROR(VLOOKUP(A193,Climatologia!A:U,9+$E$2,FALSE),"")</f>
        <v>8.0869853706863069</v>
      </c>
      <c r="AS193" s="89">
        <f t="shared" si="13"/>
        <v>1.4709093661557961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>
        <v>9.6</v>
      </c>
      <c r="Y194" s="51">
        <v>10.4</v>
      </c>
      <c r="Z194" s="111"/>
      <c r="AA194" s="51">
        <v>9</v>
      </c>
      <c r="AB194" s="51"/>
      <c r="AC194" s="51">
        <v>10.6</v>
      </c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17</v>
      </c>
      <c r="AQ194" s="89">
        <f t="shared" si="12"/>
        <v>9.2117647058823522</v>
      </c>
      <c r="AR194" s="89">
        <f>IFERROR(VLOOKUP(A194,Climatologia!A:U,9+$E$2,FALSE),"")</f>
        <v>7.6640343615186746</v>
      </c>
      <c r="AS194" s="89">
        <f t="shared" si="13"/>
        <v>1.5477303443636776</v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>
        <v>7.2</v>
      </c>
      <c r="X196" s="51">
        <v>8.4</v>
      </c>
      <c r="Y196" s="51">
        <v>8.5</v>
      </c>
      <c r="Z196" s="111">
        <v>7.6</v>
      </c>
      <c r="AA196" s="51">
        <v>8.4</v>
      </c>
      <c r="AB196" s="51">
        <v>8.1999999999999993</v>
      </c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18</v>
      </c>
      <c r="AQ196" s="89">
        <f t="shared" si="12"/>
        <v>7.5611111111111127</v>
      </c>
      <c r="AR196" s="89">
        <f>IFERROR(VLOOKUP(A196,Climatologia!A:U,9+$E$2,FALSE),"")</f>
        <v>7.3820830111058147</v>
      </c>
      <c r="AS196" s="89">
        <f t="shared" si="13"/>
        <v>0.17902810000529801</v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>
        <v>9</v>
      </c>
      <c r="Y197" s="51">
        <v>9.8000000000000007</v>
      </c>
      <c r="Z197" s="111">
        <v>6</v>
      </c>
      <c r="AA197" s="51">
        <v>10.199999999999999</v>
      </c>
      <c r="AB197" s="51">
        <v>8.8000000000000007</v>
      </c>
      <c r="AC197" s="51">
        <v>9</v>
      </c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19</v>
      </c>
      <c r="AQ197" s="89">
        <f t="shared" ref="AQ197:AQ260" si="17">IF(AP197&gt;14,AVERAGE(K197:AO197),"")</f>
        <v>8.4842105263157883</v>
      </c>
      <c r="AR197" s="89">
        <f>IFERROR(VLOOKUP(A197,Climatologia!A:U,9+$E$2,FALSE),"")</f>
        <v>6.382935282589119</v>
      </c>
      <c r="AS197" s="89">
        <f t="shared" ref="AS197:AS260" si="18">IF(OR(AQ197="",AR197=""),"",IFERROR(AQ197-AR197,""))</f>
        <v>2.1012752437266693</v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>
        <v>10.199999999999999</v>
      </c>
      <c r="Y198" s="51">
        <v>10.8</v>
      </c>
      <c r="Z198" s="111">
        <v>8.4</v>
      </c>
      <c r="AA198" s="51">
        <v>9.8000000000000007</v>
      </c>
      <c r="AB198" s="51">
        <v>8.4</v>
      </c>
      <c r="AC198" s="51">
        <v>10.8</v>
      </c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19</v>
      </c>
      <c r="AQ198" s="89">
        <f t="shared" si="17"/>
        <v>8.9315789473684237</v>
      </c>
      <c r="AR198" s="89">
        <f>IFERROR(VLOOKUP(A198,Climatologia!A:U,9+$E$2,FALSE),"")</f>
        <v>7.491938037728997</v>
      </c>
      <c r="AS198" s="89">
        <f t="shared" si="18"/>
        <v>1.4396409096394267</v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>
        <v>10.199999999999999</v>
      </c>
      <c r="X199" s="51">
        <v>9</v>
      </c>
      <c r="Y199" s="51">
        <v>11</v>
      </c>
      <c r="Z199" s="111">
        <v>9.4</v>
      </c>
      <c r="AA199" s="51">
        <v>10.9</v>
      </c>
      <c r="AB199" s="51">
        <v>10.199999999999999</v>
      </c>
      <c r="AC199" s="51">
        <v>11.2</v>
      </c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19</v>
      </c>
      <c r="AQ199" s="89">
        <f t="shared" si="17"/>
        <v>9.7526315789473674</v>
      </c>
      <c r="AR199" s="89">
        <f>IFERROR(VLOOKUP(A199,Climatologia!A:U,9+$E$2,FALSE),"")</f>
        <v>7.4487940592962838</v>
      </c>
      <c r="AS199" s="89">
        <f t="shared" si="18"/>
        <v>2.3038375196510836</v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>
        <v>11</v>
      </c>
      <c r="Y200" s="51">
        <v>11.6</v>
      </c>
      <c r="Z200" s="111"/>
      <c r="AA200" s="51">
        <v>10</v>
      </c>
      <c r="AB200" s="51">
        <v>10</v>
      </c>
      <c r="AC200" s="51">
        <v>10</v>
      </c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16</v>
      </c>
      <c r="AQ200" s="89">
        <f t="shared" si="17"/>
        <v>9.6125000000000007</v>
      </c>
      <c r="AR200" s="89">
        <f>IFERROR(VLOOKUP(A200,Climatologia!A:U,9+$E$2,FALSE),"")</f>
        <v>7.107223600771988</v>
      </c>
      <c r="AS200" s="89">
        <f t="shared" si="18"/>
        <v>2.5052763992280127</v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>
        <v>9</v>
      </c>
      <c r="Y201" s="51">
        <v>10.8</v>
      </c>
      <c r="Z201" s="111">
        <v>4.2</v>
      </c>
      <c r="AA201" s="51">
        <v>11</v>
      </c>
      <c r="AB201" s="51">
        <v>9.8000000000000007</v>
      </c>
      <c r="AC201" s="51">
        <v>8.4</v>
      </c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19</v>
      </c>
      <c r="AQ201" s="89">
        <f t="shared" si="17"/>
        <v>8.4210526315789487</v>
      </c>
      <c r="AR201" s="89">
        <f>IFERROR(VLOOKUP(A201,Climatologia!A:U,9+$E$2,FALSE),"")</f>
        <v>6.8025057736192744</v>
      </c>
      <c r="AS201" s="89">
        <f t="shared" si="18"/>
        <v>1.6185468579596742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>
        <v>10.199999999999999</v>
      </c>
      <c r="Y202" s="51">
        <v>10.6</v>
      </c>
      <c r="Z202" s="111"/>
      <c r="AA202" s="51"/>
      <c r="AB202" s="51">
        <v>9.6</v>
      </c>
      <c r="AC202" s="51">
        <v>10.4</v>
      </c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13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>
        <v>9.1999999999999993</v>
      </c>
      <c r="Y203" s="51">
        <v>9.8000000000000007</v>
      </c>
      <c r="Z203" s="111">
        <v>10.199999999999999</v>
      </c>
      <c r="AA203" s="51">
        <v>8</v>
      </c>
      <c r="AB203" s="51">
        <v>9.8000000000000007</v>
      </c>
      <c r="AC203" s="51">
        <v>10.199999999999999</v>
      </c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19</v>
      </c>
      <c r="AQ203" s="89">
        <f t="shared" si="17"/>
        <v>8.7684210526315791</v>
      </c>
      <c r="AR203" s="89">
        <f>IFERROR(VLOOKUP(A203,Climatologia!A:U,9+$E$2,FALSE),"")</f>
        <v>7.9932587877038674</v>
      </c>
      <c r="AS203" s="89">
        <f t="shared" si="18"/>
        <v>0.77516226492771167</v>
      </c>
      <c r="AT203" s="90">
        <f t="shared" si="19"/>
        <v>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5.0999999999999996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>
        <v>4.8</v>
      </c>
      <c r="Y204" s="51">
        <v>4.4000000000000004</v>
      </c>
      <c r="Z204" s="111">
        <v>5.2</v>
      </c>
      <c r="AA204" s="51">
        <v>4.5999999999999996</v>
      </c>
      <c r="AB204" s="51">
        <v>4.2</v>
      </c>
      <c r="AC204" s="51">
        <v>4.8</v>
      </c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19</v>
      </c>
      <c r="AQ204" s="89">
        <f t="shared" si="17"/>
        <v>4.8684210526315788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10.6</v>
      </c>
      <c r="X206" s="51">
        <v>10.8</v>
      </c>
      <c r="Y206" s="51">
        <v>11.6</v>
      </c>
      <c r="Z206" s="111">
        <v>10.4</v>
      </c>
      <c r="AA206" s="51">
        <v>12</v>
      </c>
      <c r="AB206" s="51">
        <v>11.6</v>
      </c>
      <c r="AC206" s="51">
        <v>12</v>
      </c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19</v>
      </c>
      <c r="AQ206" s="89">
        <f t="shared" si="17"/>
        <v>10.91578947368421</v>
      </c>
      <c r="AR206" s="89">
        <f>IFERROR(VLOOKUP(A206,Climatologia!A:U,9+$E$2,FALSE),"")</f>
        <v>9.3415228944019546</v>
      </c>
      <c r="AS206" s="89">
        <f t="shared" si="18"/>
        <v>1.5742665792822557</v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>
        <v>6.6</v>
      </c>
      <c r="Y207" s="51">
        <v>7.2</v>
      </c>
      <c r="Z207" s="111">
        <v>7</v>
      </c>
      <c r="AA207" s="51">
        <v>7.4</v>
      </c>
      <c r="AB207" s="51">
        <v>6</v>
      </c>
      <c r="AC207" s="51">
        <v>6.6</v>
      </c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19</v>
      </c>
      <c r="AQ207" s="89">
        <f t="shared" si="17"/>
        <v>6.0631578947368414</v>
      </c>
      <c r="AR207" s="89">
        <f>IFERROR(VLOOKUP(A207,Climatologia!A:U,9+$E$2,FALSE),"")</f>
        <v>5.0408940752175297</v>
      </c>
      <c r="AS207" s="89">
        <f t="shared" si="18"/>
        <v>1.0222638195193117</v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>
        <v>23</v>
      </c>
      <c r="Y208" s="51">
        <v>23.2</v>
      </c>
      <c r="Z208" s="111"/>
      <c r="AA208" s="51">
        <v>23.6</v>
      </c>
      <c r="AB208" s="51">
        <v>23</v>
      </c>
      <c r="AC208" s="51">
        <v>22.8</v>
      </c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18</v>
      </c>
      <c r="AQ208" s="89">
        <f t="shared" si="17"/>
        <v>22.977777777777778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848</v>
      </c>
      <c r="B1" s="124" t="s">
        <v>8</v>
      </c>
      <c r="C1" s="124" t="s">
        <v>11</v>
      </c>
      <c r="D1" s="124" t="s">
        <v>10</v>
      </c>
      <c r="E1" s="124" t="s">
        <v>12</v>
      </c>
      <c r="F1" s="124" t="s">
        <v>16</v>
      </c>
      <c r="G1" s="124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2026-08-19T15:04:52Z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2026-08-19T14:33:33Z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f427cb33-2fe4-43ac-ab34-517424c04733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