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ita\SERVICIO\05. Datos Hidrometeorologicos\01. Productos\02.Tablas\temporales\"/>
    </mc:Choice>
  </mc:AlternateContent>
  <xr:revisionPtr revIDLastSave="0" documentId="13_ncr:1_{1E1B9491-63B8-4334-AAB1-ED6BEF989D9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Temperatura!$AB$1:$AB$212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S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S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S178" i="1" s="1"/>
  <c r="AR177" i="1"/>
  <c r="AP177" i="1"/>
  <c r="AQ177" i="1" s="1"/>
  <c r="AR176" i="1"/>
  <c r="AP176" i="1"/>
  <c r="AQ176" i="1" s="1"/>
  <c r="AR175" i="1"/>
  <c r="AP175" i="1"/>
  <c r="AQ175" i="1" s="1"/>
  <c r="AS175" i="1" s="1"/>
  <c r="AR174" i="1"/>
  <c r="AP174" i="1"/>
  <c r="AQ174" i="1" s="1"/>
  <c r="AR173" i="1"/>
  <c r="AP173" i="1"/>
  <c r="AQ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S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S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S132" i="1" s="1"/>
  <c r="AR131" i="1"/>
  <c r="AP131" i="1"/>
  <c r="AQ131" i="1" s="1"/>
  <c r="AR130" i="1"/>
  <c r="AP130" i="1"/>
  <c r="AQ130" i="1" s="1"/>
  <c r="AS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S106" i="1" s="1"/>
  <c r="AR105" i="1"/>
  <c r="AP105" i="1"/>
  <c r="AQ105" i="1" s="1"/>
  <c r="AR104" i="1"/>
  <c r="AP104" i="1"/>
  <c r="AQ104" i="1" s="1"/>
  <c r="AS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S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S90" i="1" s="1"/>
  <c r="AR89" i="1"/>
  <c r="AP89" i="1"/>
  <c r="AQ89" i="1" s="1"/>
  <c r="AR88" i="1"/>
  <c r="AP88" i="1"/>
  <c r="AQ88" i="1" s="1"/>
  <c r="AS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S76" i="1" s="1"/>
  <c r="AR75" i="1"/>
  <c r="AP75" i="1"/>
  <c r="AQ75" i="1" s="1"/>
  <c r="AR74" i="1"/>
  <c r="AP74" i="1"/>
  <c r="AQ74" i="1" s="1"/>
  <c r="AS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S68" i="1" s="1"/>
  <c r="AR67" i="1"/>
  <c r="AP67" i="1"/>
  <c r="AQ67" i="1" s="1"/>
  <c r="AR66" i="1"/>
  <c r="AP66" i="1"/>
  <c r="AQ66" i="1" s="1"/>
  <c r="AS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S61" i="1" s="1"/>
  <c r="AR60" i="1"/>
  <c r="AP60" i="1"/>
  <c r="AQ60" i="1" s="1"/>
  <c r="AR59" i="1"/>
  <c r="AP59" i="1"/>
  <c r="AQ59" i="1" s="1"/>
  <c r="AS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S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S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56" i="1" l="1"/>
  <c r="AS35" i="1"/>
  <c r="AS41" i="1"/>
  <c r="AS147" i="1"/>
  <c r="AS179" i="1"/>
  <c r="AS211" i="1"/>
  <c r="AS75" i="1"/>
  <c r="AS146" i="1"/>
  <c r="AS58" i="1"/>
  <c r="AS161" i="1"/>
  <c r="AS26" i="1"/>
  <c r="AS5" i="1"/>
  <c r="AS37" i="1"/>
  <c r="AS69" i="1"/>
  <c r="AS101" i="1"/>
  <c r="AS133" i="1"/>
  <c r="AS24" i="1"/>
  <c r="AS89" i="1"/>
  <c r="AS6" i="1"/>
  <c r="AS27" i="1"/>
  <c r="AS95" i="1"/>
  <c r="AS87" i="1"/>
  <c r="AS25" i="1"/>
  <c r="AS182" i="1"/>
  <c r="AS122" i="1"/>
  <c r="AS119" i="1"/>
  <c r="AS30" i="1"/>
  <c r="AS64" i="1"/>
  <c r="AS96" i="1"/>
  <c r="AS40" i="1"/>
  <c r="AS29" i="1"/>
  <c r="AS62" i="1"/>
  <c r="AS20" i="1"/>
  <c r="AS84" i="1"/>
  <c r="AS116" i="1"/>
  <c r="AS148" i="1"/>
  <c r="AS105" i="1"/>
  <c r="AS149" i="1"/>
  <c r="AS151" i="1"/>
  <c r="AS136" i="1"/>
  <c r="AS28" i="1"/>
  <c r="AS60" i="1"/>
  <c r="AS92" i="1"/>
  <c r="AS184" i="1"/>
  <c r="AS183" i="1"/>
  <c r="AS150" i="1"/>
  <c r="AS98" i="1"/>
  <c r="AS194" i="1"/>
  <c r="AS38" i="1"/>
  <c r="AS70" i="1"/>
  <c r="AS102" i="1"/>
  <c r="AS134" i="1"/>
  <c r="AS197" i="1"/>
  <c r="AS191" i="1"/>
  <c r="AS57" i="1"/>
  <c r="AS91" i="1"/>
  <c r="AS99" i="1"/>
  <c r="AS71" i="1"/>
  <c r="AS166" i="1"/>
  <c r="AS8" i="1"/>
  <c r="AS21" i="1"/>
  <c r="AS53" i="1"/>
  <c r="AS85" i="1"/>
  <c r="AS117" i="1"/>
  <c r="AS180" i="1"/>
  <c r="AS44" i="1"/>
  <c r="AS22" i="1"/>
  <c r="AS54" i="1"/>
  <c r="AS86" i="1"/>
  <c r="AS118" i="1"/>
  <c r="AS181" i="1"/>
  <c r="AS188" i="1"/>
  <c r="AS123" i="1"/>
  <c r="AS156" i="1"/>
  <c r="AS9" i="1"/>
  <c r="AS63" i="1"/>
  <c r="AS126" i="1"/>
  <c r="AS192" i="1"/>
  <c r="AS93" i="1"/>
  <c r="AS67" i="1"/>
  <c r="AS190" i="1"/>
  <c r="AS195" i="1"/>
  <c r="AS157" i="1"/>
  <c r="AS189" i="1"/>
  <c r="AS131" i="1"/>
  <c r="AS45" i="1"/>
  <c r="AS128" i="1"/>
  <c r="AS47" i="1"/>
  <c r="AS77" i="1"/>
  <c r="AS107" i="1"/>
  <c r="AS137" i="1"/>
  <c r="AS167" i="1"/>
  <c r="AS125" i="1"/>
  <c r="AS36" i="1"/>
  <c r="AS65" i="1"/>
  <c r="AS127" i="1"/>
  <c r="AS129" i="1"/>
  <c r="AS48" i="1"/>
  <c r="AS78" i="1"/>
  <c r="AS108" i="1"/>
  <c r="AS138" i="1"/>
  <c r="AS168" i="1"/>
  <c r="AS198" i="1"/>
  <c r="AS124" i="1"/>
  <c r="AS155" i="1"/>
  <c r="AS49" i="1"/>
  <c r="AS79" i="1"/>
  <c r="AS109" i="1"/>
  <c r="AS139" i="1"/>
  <c r="AS169" i="1"/>
  <c r="AS199" i="1"/>
  <c r="AS185" i="1"/>
  <c r="AS200" i="1"/>
  <c r="AS165" i="1"/>
  <c r="AS80" i="1"/>
  <c r="AS193" i="1"/>
  <c r="AS13" i="1"/>
  <c r="AS135" i="1"/>
  <c r="AS19" i="1"/>
  <c r="AS52" i="1"/>
  <c r="AS158" i="1"/>
  <c r="AS113" i="1"/>
  <c r="AS143" i="1"/>
  <c r="AS173" i="1"/>
  <c r="AS203" i="1"/>
  <c r="AS153" i="1"/>
  <c r="AS160" i="1"/>
  <c r="AS83" i="1"/>
  <c r="AS204" i="1"/>
  <c r="AS187" i="1"/>
  <c r="AS205" i="1"/>
  <c r="AS159" i="1"/>
  <c r="AS72" i="1"/>
  <c r="AS176" i="1"/>
  <c r="AS206" i="1"/>
  <c r="AS39" i="1"/>
  <c r="AS43" i="1"/>
  <c r="AS14" i="1"/>
  <c r="AS97" i="1"/>
  <c r="AS73" i="1"/>
  <c r="AS144" i="1"/>
  <c r="AS145" i="1"/>
  <c r="AS177" i="1"/>
  <c r="AS207" i="1"/>
  <c r="AS208" i="1"/>
  <c r="AS209" i="1"/>
  <c r="AS7" i="1"/>
  <c r="AS10" i="1"/>
  <c r="AS55" i="1"/>
  <c r="AS154" i="1"/>
  <c r="AS23" i="1"/>
  <c r="AS212" i="1"/>
  <c r="AS163" i="1"/>
  <c r="AS94" i="1"/>
  <c r="AS186" i="1"/>
  <c r="AS11" i="1"/>
  <c r="AS12" i="1"/>
  <c r="AS103" i="1"/>
  <c r="AS174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<sst xmlns="http://schemas.openxmlformats.org/spreadsheetml/2006/main" count="3690" uniqueCount="1514">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</sst>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" zoomScale="80" zoomScaleNormal="80" workbookViewId="0">
      <selection activeCell="AA1" sqref="AA1:AB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7" width="32.42578125" style="50" customWidth="1"/>
    <col min="138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>
        <v>28.2</v>
      </c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18</v>
      </c>
      <c r="AQ5" s="71">
        <f t="shared" ref="AQ5:AQ68" si="1">IF(AP5&gt;14,AVERAGE(K5:AO5),"")</f>
        <v>29.583333333333329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1.2911282809220275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>
        <v>28.1</v>
      </c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18</v>
      </c>
      <c r="AQ6" s="71">
        <f t="shared" si="1"/>
        <v>29.416666666666668</v>
      </c>
      <c r="AR6" s="71">
        <f>IFERROR(VLOOKUP(A6,Climatologia_TMED!A:U,9+$E$2,FALSE),"")</f>
        <v>28.542323510282561</v>
      </c>
      <c r="AS6" s="71">
        <f t="shared" si="2"/>
        <v>0.87434315638410709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>
        <v>29.6</v>
      </c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18</v>
      </c>
      <c r="AQ7" s="71">
        <f t="shared" si="1"/>
        <v>31.088888888888889</v>
      </c>
      <c r="AR7" s="71">
        <f>IFERROR(VLOOKUP(A7,Climatologia_TMED!A:U,9+$E$2,FALSE),"")</f>
        <v>28.878924731182799</v>
      </c>
      <c r="AS7" s="71">
        <f t="shared" si="2"/>
        <v>2.2099641577060893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>
        <v>29.5</v>
      </c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18</v>
      </c>
      <c r="AQ8" s="71">
        <f t="shared" si="1"/>
        <v>30.083333333333332</v>
      </c>
      <c r="AR8" s="71">
        <f>IFERROR(VLOOKUP(A8,Climatologia_TMED!A:U,9+$E$2,FALSE),"")</f>
        <v>28.663204007006499</v>
      </c>
      <c r="AS8" s="71">
        <f t="shared" si="2"/>
        <v>1.4201293263268333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>
        <v>29</v>
      </c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18</v>
      </c>
      <c r="AQ9" s="71">
        <f t="shared" si="1"/>
        <v>29.966666666666665</v>
      </c>
      <c r="AR9" s="71">
        <f>IFERROR(VLOOKUP(A9,Climatologia_TMED!A:U,9+$E$2,FALSE),"")</f>
        <v>29.925161290322539</v>
      </c>
      <c r="AS9" s="71">
        <f t="shared" si="2"/>
        <v>4.1505376344126432E-2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>
        <v>29.9</v>
      </c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18</v>
      </c>
      <c r="AQ10" s="71">
        <f t="shared" si="1"/>
        <v>31.916666666666668</v>
      </c>
      <c r="AR10" s="71">
        <f>IFERROR(VLOOKUP(A10,Climatologia_TMED!A:U,9+$E$2,FALSE),"")</f>
        <v>29.55639347861802</v>
      </c>
      <c r="AS10" s="71">
        <f t="shared" si="2"/>
        <v>2.3602731880486481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>
        <v>31.8</v>
      </c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18</v>
      </c>
      <c r="AQ11" s="71">
        <f t="shared" si="1"/>
        <v>33.111111111111107</v>
      </c>
      <c r="AR11" s="71">
        <f>IFERROR(VLOOKUP(A11,Climatologia_TMED!A:U,9+$E$2,FALSE),"")</f>
        <v>29.275519036173971</v>
      </c>
      <c r="AS11" s="71">
        <f t="shared" si="2"/>
        <v>3.8355920749371357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>
        <v>28.8</v>
      </c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18</v>
      </c>
      <c r="AQ12" s="71">
        <f t="shared" si="1"/>
        <v>30.005555555555549</v>
      </c>
      <c r="AR12" s="71">
        <f>IFERROR(VLOOKUP(A12,Climatologia_TMED!A:U,9+$E$2,FALSE),"")</f>
        <v>28.08210560234475</v>
      </c>
      <c r="AS12" s="71">
        <f t="shared" si="2"/>
        <v>1.9234499532107989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>
        <v>28</v>
      </c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18</v>
      </c>
      <c r="AQ13" s="71">
        <f t="shared" si="1"/>
        <v>30.977777777777774</v>
      </c>
      <c r="AR13" s="71">
        <f>IFERROR(VLOOKUP(A13,Climatologia_TMED!A:U,9+$E$2,FALSE),"")</f>
        <v>28.275630329996261</v>
      </c>
      <c r="AS13" s="71">
        <f t="shared" si="2"/>
        <v>2.7021474477815133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>
        <v>22.2</v>
      </c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18</v>
      </c>
      <c r="AQ14" s="71">
        <f t="shared" si="1"/>
        <v>24.588888888888889</v>
      </c>
      <c r="AR14" s="71">
        <f>IFERROR(VLOOKUP(A14,Climatologia_TMED!A:U,9+$E$2,FALSE),"")</f>
        <v>21.814997932175341</v>
      </c>
      <c r="AS14" s="71">
        <f t="shared" si="2"/>
        <v>2.7738909567135472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>
        <v>29.3</v>
      </c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18</v>
      </c>
      <c r="AQ15" s="71">
        <f t="shared" si="1"/>
        <v>30.872222222222224</v>
      </c>
      <c r="AR15" s="71">
        <f>IFERROR(VLOOKUP(A15,Climatologia_TMED!A:U,9+$E$2,FALSE),"")</f>
        <v>28.742611827956981</v>
      </c>
      <c r="AS15" s="71">
        <f t="shared" si="2"/>
        <v>2.1296103942652422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>
        <v>27.8</v>
      </c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18</v>
      </c>
      <c r="AQ16" s="71">
        <f t="shared" si="1"/>
        <v>28.327777777777776</v>
      </c>
      <c r="AR16" s="71">
        <f>IFERROR(VLOOKUP(A16,Climatologia_TMED!A:U,9+$E$2,FALSE),"")</f>
        <v>27.745849035404088</v>
      </c>
      <c r="AS16" s="71">
        <f t="shared" si="2"/>
        <v>0.58192874237368741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>
        <v>24.1</v>
      </c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18</v>
      </c>
      <c r="AQ17" s="71">
        <f t="shared" si="1"/>
        <v>25.755555555555553</v>
      </c>
      <c r="AR17" s="71">
        <f>IFERROR(VLOOKUP(A17,Climatologia_TMED!A:U,9+$E$2,FALSE),"")</f>
        <v>23.942684331797231</v>
      </c>
      <c r="AS17" s="71">
        <f t="shared" si="2"/>
        <v>1.8128712237583215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>
        <v>18.7</v>
      </c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18</v>
      </c>
      <c r="AQ18" s="71">
        <f t="shared" si="1"/>
        <v>19.222222222222225</v>
      </c>
      <c r="AR18" s="71">
        <f>IFERROR(VLOOKUP(A18,Climatologia_TMED!A:U,9+$E$2,FALSE),"")</f>
        <v>17.429768704357489</v>
      </c>
      <c r="AS18" s="71">
        <f t="shared" si="2"/>
        <v>1.7924535178647361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>
        <v>23.5</v>
      </c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18</v>
      </c>
      <c r="AQ19" s="71">
        <f t="shared" si="1"/>
        <v>24.483333333333334</v>
      </c>
      <c r="AR19" s="71">
        <f>IFERROR(VLOOKUP(A19,Climatologia_TMED!A:U,9+$E$2,FALSE),"")</f>
        <v>22.368290322580641</v>
      </c>
      <c r="AS19" s="71">
        <f t="shared" si="2"/>
        <v>2.115043010752693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>
        <v>23.9</v>
      </c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17</v>
      </c>
      <c r="AQ20" s="71">
        <f t="shared" si="1"/>
        <v>24.617647058823525</v>
      </c>
      <c r="AR20" s="71">
        <f>IFERROR(VLOOKUP(A20,Climatologia_TMED!A:U,9+$E$2,FALSE),"")</f>
        <v>22.807707609594701</v>
      </c>
      <c r="AS20" s="71">
        <f t="shared" si="2"/>
        <v>1.8099394492288248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>
        <v>26.3</v>
      </c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18</v>
      </c>
      <c r="AQ21" s="71">
        <f t="shared" si="1"/>
        <v>28.222222222222229</v>
      </c>
      <c r="AR21" s="71">
        <f>IFERROR(VLOOKUP(A21,Climatologia_TMED!A:U,9+$E$2,FALSE),"")</f>
        <v>25.445872233516159</v>
      </c>
      <c r="AS21" s="71">
        <f t="shared" si="2"/>
        <v>2.7763499887060696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>
        <v>16</v>
      </c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18</v>
      </c>
      <c r="AQ22" s="71">
        <f t="shared" si="1"/>
        <v>15.683333333333334</v>
      </c>
      <c r="AR22" s="71">
        <f>IFERROR(VLOOKUP(A22,Climatologia_TMED!A:U,9+$E$2,FALSE),"")</f>
        <v>13.827819728473219</v>
      </c>
      <c r="AS22" s="71">
        <f t="shared" si="2"/>
        <v>1.8555136048601142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>
        <v>26.2</v>
      </c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17</v>
      </c>
      <c r="AQ23" s="71">
        <f t="shared" si="1"/>
        <v>26.111764705882354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>
        <v>30.7</v>
      </c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18</v>
      </c>
      <c r="AQ24" s="71">
        <f t="shared" si="1"/>
        <v>30.555555555555561</v>
      </c>
      <c r="AR24" s="71">
        <f>IFERROR(VLOOKUP(A24,Climatologia_TMED!A:U,9+$E$2,FALSE),"")</f>
        <v>29.117078853046579</v>
      </c>
      <c r="AS24" s="71">
        <f t="shared" si="2"/>
        <v>1.4384767025089822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>
        <v>21.6</v>
      </c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18</v>
      </c>
      <c r="AQ25" s="71">
        <f t="shared" si="1"/>
        <v>22.383333333333336</v>
      </c>
      <c r="AR25" s="71">
        <f>IFERROR(VLOOKUP(A25,Climatologia_TMED!A:U,9+$E$2,FALSE),"")</f>
        <v>20.318073144829391</v>
      </c>
      <c r="AS25" s="71">
        <f t="shared" si="2"/>
        <v>2.0652601885039452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>
        <v>11.9</v>
      </c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18</v>
      </c>
      <c r="AQ26" s="71">
        <f t="shared" si="1"/>
        <v>11.505555555555553</v>
      </c>
      <c r="AR26" s="71">
        <f>IFERROR(VLOOKUP(A26,Climatologia_TMED!A:U,9+$E$2,FALSE),"")</f>
        <v>10.2499147200593</v>
      </c>
      <c r="AS26" s="71">
        <f t="shared" si="2"/>
        <v>1.2556408354962532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>
        <v>28.4</v>
      </c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18</v>
      </c>
      <c r="AQ27" s="71">
        <f t="shared" si="1"/>
        <v>28.105555555555551</v>
      </c>
      <c r="AR27" s="71">
        <f>IFERROR(VLOOKUP(A27,Climatologia_TMED!A:U,9+$E$2,FALSE),"")</f>
        <v>26.978227598566299</v>
      </c>
      <c r="AS27" s="71">
        <f t="shared" si="2"/>
        <v>1.1273279569892516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>
        <v>27.4</v>
      </c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18</v>
      </c>
      <c r="AQ28" s="71">
        <f t="shared" si="1"/>
        <v>27.705555555555552</v>
      </c>
      <c r="AR28" s="71">
        <f>IFERROR(VLOOKUP(A28,Climatologia_TMED!A:U,9+$E$2,FALSE),"")</f>
        <v>26.165451660622249</v>
      </c>
      <c r="AS28" s="71">
        <f t="shared" si="2"/>
        <v>1.5401038949333028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>
        <v>28.6</v>
      </c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18</v>
      </c>
      <c r="AQ29" s="71">
        <f t="shared" si="1"/>
        <v>27.644444444444449</v>
      </c>
      <c r="AR29" s="71">
        <f>IFERROR(VLOOKUP(A29,Climatologia_TMED!A:U,9+$E$2,FALSE),"")</f>
        <v>27.268435099846361</v>
      </c>
      <c r="AS29" s="71">
        <f t="shared" si="2"/>
        <v>0.37600934459808855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>
        <v>26.4</v>
      </c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18</v>
      </c>
      <c r="AQ30" s="71">
        <f t="shared" si="1"/>
        <v>25.961111111111116</v>
      </c>
      <c r="AR30" s="71">
        <f>IFERROR(VLOOKUP(A30,Climatologia_TMED!A:U,9+$E$2,FALSE),"")</f>
        <v>25.205756395995511</v>
      </c>
      <c r="AS30" s="71">
        <f t="shared" si="2"/>
        <v>0.75535471511560459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>
        <v>25.7</v>
      </c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18</v>
      </c>
      <c r="AQ31" s="71">
        <f t="shared" si="1"/>
        <v>27.566666666666666</v>
      </c>
      <c r="AR31" s="71">
        <f>IFERROR(VLOOKUP(A31,Climatologia_TMED!A:U,9+$E$2,FALSE),"")</f>
        <v>25.960296951277201</v>
      </c>
      <c r="AS31" s="71">
        <f t="shared" si="2"/>
        <v>1.6063697153894658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>
        <v>21.06666666666667</v>
      </c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18</v>
      </c>
      <c r="AQ32" s="71">
        <f t="shared" si="1"/>
        <v>20.233333333333334</v>
      </c>
      <c r="AR32" s="71">
        <f>IFERROR(VLOOKUP(A32,Climatologia_TMED!A:U,9+$E$2,FALSE),"")</f>
        <v>17.69892835396929</v>
      </c>
      <c r="AS32" s="71">
        <f t="shared" si="2"/>
        <v>2.5344049793640444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>
        <v>27.8</v>
      </c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18</v>
      </c>
      <c r="AQ33" s="71">
        <f t="shared" si="1"/>
        <v>27.927777777777777</v>
      </c>
      <c r="AR33" s="71">
        <f>IFERROR(VLOOKUP(A33,Climatologia_TMED!A:U,9+$E$2,FALSE),"")</f>
        <v>26.885476337530289</v>
      </c>
      <c r="AS33" s="71">
        <f t="shared" si="2"/>
        <v>1.0423014402474884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>
        <v>20.399999999999999</v>
      </c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18</v>
      </c>
      <c r="AQ34" s="71">
        <f t="shared" si="1"/>
        <v>21.537037037037035</v>
      </c>
      <c r="AR34" s="71">
        <f>IFERROR(VLOOKUP(A34,Climatologia_TMED!A:U,9+$E$2,FALSE),"")</f>
        <v>19.861806556333011</v>
      </c>
      <c r="AS34" s="71">
        <f t="shared" si="2"/>
        <v>1.6752304807040233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>
        <v>24.85</v>
      </c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18</v>
      </c>
      <c r="AQ35" s="71">
        <f t="shared" si="1"/>
        <v>25.037500000000001</v>
      </c>
      <c r="AR35" s="71">
        <f>IFERROR(VLOOKUP(A35,Climatologia_TMED!A:U,9+$E$2,FALSE),"")</f>
        <v>24.163939937062029</v>
      </c>
      <c r="AS35" s="71">
        <f t="shared" si="2"/>
        <v>0.8735600629379725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>
        <v>19.55</v>
      </c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18</v>
      </c>
      <c r="AQ36" s="71">
        <f t="shared" si="1"/>
        <v>20.12222222222222</v>
      </c>
      <c r="AR36" s="71">
        <f>IFERROR(VLOOKUP(A36,Climatologia_TMED!A:U,9+$E$2,FALSE),"")</f>
        <v>18.948390779307498</v>
      </c>
      <c r="AS36" s="71">
        <f t="shared" si="2"/>
        <v>1.1738314429147216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>
        <v>28.2</v>
      </c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18</v>
      </c>
      <c r="AQ37" s="71">
        <f t="shared" si="1"/>
        <v>27.894444444444442</v>
      </c>
      <c r="AR37" s="71">
        <f>IFERROR(VLOOKUP(A37,Climatologia_TMED!A:U,9+$E$2,FALSE),"")</f>
        <v>26.09341273397051</v>
      </c>
      <c r="AS37" s="71">
        <f t="shared" si="2"/>
        <v>1.8010317104739322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>
        <v>15.95</v>
      </c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17</v>
      </c>
      <c r="AQ38" s="71">
        <f t="shared" si="1"/>
        <v>16.117647058823529</v>
      </c>
      <c r="AR38" s="71">
        <f>IFERROR(VLOOKUP(A38,Climatologia_TMED!A:U,9+$E$2,FALSE),"")</f>
        <v>15.0852109133605</v>
      </c>
      <c r="AS38" s="71">
        <f t="shared" si="2"/>
        <v>1.0324361454630289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>
        <v>20.666666666666671</v>
      </c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18</v>
      </c>
      <c r="AQ39" s="71">
        <f t="shared" si="1"/>
        <v>23.022222222222219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13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>
        <v>20.2</v>
      </c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17</v>
      </c>
      <c r="AQ41" s="71">
        <f t="shared" si="1"/>
        <v>20.596078431372547</v>
      </c>
      <c r="AR41" s="71">
        <f>IFERROR(VLOOKUP(A41,Climatologia_TMED!A:U,9+$E$2,FALSE),"")</f>
        <v>18.50720543555942</v>
      </c>
      <c r="AS41" s="71">
        <f t="shared" si="2"/>
        <v>2.0888729958131265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>
        <v>28.3</v>
      </c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18</v>
      </c>
      <c r="AQ42" s="71">
        <f t="shared" si="1"/>
        <v>28.088888888888889</v>
      </c>
      <c r="AR42" s="71">
        <f>IFERROR(VLOOKUP(A42,Climatologia_TMED!A:U,9+$E$2,FALSE),"")</f>
        <v>27.517114695340499</v>
      </c>
      <c r="AS42" s="71">
        <f t="shared" si="2"/>
        <v>0.57177419354838932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>
        <v>28.4</v>
      </c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18</v>
      </c>
      <c r="AQ43" s="71">
        <f t="shared" si="1"/>
        <v>29.400000000000002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>
        <v>28.074999999999999</v>
      </c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18</v>
      </c>
      <c r="AQ44" s="71">
        <f t="shared" si="1"/>
        <v>28.613888888888894</v>
      </c>
      <c r="AR44" s="71">
        <f>IFERROR(VLOOKUP(A44,Climatologia_TMED!A:U,9+$E$2,FALSE),"")</f>
        <v>27.22851750737534</v>
      </c>
      <c r="AS44" s="71">
        <f t="shared" si="2"/>
        <v>1.3853713815135542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>
        <v>28.1</v>
      </c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18</v>
      </c>
      <c r="AQ45" s="71">
        <f t="shared" si="1"/>
        <v>29.18333333333333</v>
      </c>
      <c r="AR45" s="71">
        <f>IFERROR(VLOOKUP(A45,Climatologia_TMED!A:U,9+$E$2,FALSE),"")</f>
        <v>27.597106102685618</v>
      </c>
      <c r="AS45" s="71">
        <f t="shared" si="2"/>
        <v>1.5862272306477117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>
        <v>28.5</v>
      </c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18</v>
      </c>
      <c r="AQ46" s="71">
        <f t="shared" si="1"/>
        <v>28.940277777777776</v>
      </c>
      <c r="AR46" s="71">
        <f>IFERROR(VLOOKUP(A46,Climatologia_TMED!A:U,9+$E$2,FALSE),"")</f>
        <v>27.738976943755159</v>
      </c>
      <c r="AS46" s="71">
        <f t="shared" si="2"/>
        <v>1.2013008340226179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>
        <v>29.4</v>
      </c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16</v>
      </c>
      <c r="AQ47" s="71">
        <f t="shared" si="1"/>
        <v>30.002083333333331</v>
      </c>
      <c r="AR47" s="71">
        <f>IFERROR(VLOOKUP(A47,Climatologia_TMED!A:U,9+$E$2,FALSE),"")</f>
        <v>27.87742247854888</v>
      </c>
      <c r="AS47" s="71">
        <f t="shared" si="2"/>
        <v>2.1246608547844517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>
        <v>28.3</v>
      </c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18</v>
      </c>
      <c r="AQ50" s="71">
        <f t="shared" si="1"/>
        <v>29.166666666666671</v>
      </c>
      <c r="AR50" s="71">
        <f>IFERROR(VLOOKUP(A50,Climatologia_TMED!A:U,9+$E$2,FALSE),"")</f>
        <v>27.21920614995987</v>
      </c>
      <c r="AS50" s="71">
        <f t="shared" si="2"/>
        <v>1.9474605167068013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>
        <v>26.55</v>
      </c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18</v>
      </c>
      <c r="AQ53" s="71">
        <f t="shared" si="1"/>
        <v>28.844444444444441</v>
      </c>
      <c r="AR53" s="71">
        <f>IFERROR(VLOOKUP(A53,Climatologia_TMED!A:U,9+$E$2,FALSE),"")</f>
        <v>27.2190910764708</v>
      </c>
      <c r="AS53" s="71">
        <f t="shared" si="2"/>
        <v>1.6253533679736414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>
        <v>28.5</v>
      </c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18</v>
      </c>
      <c r="AQ54" s="71">
        <f t="shared" si="1"/>
        <v>30.108333333333334</v>
      </c>
      <c r="AR54" s="71">
        <f>IFERROR(VLOOKUP(A54,Climatologia_TMED!A:U,9+$E$2,FALSE),"")</f>
        <v>28.41139216335926</v>
      </c>
      <c r="AS54" s="71">
        <f t="shared" si="2"/>
        <v>1.6969411699740746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>
        <v>30.15</v>
      </c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17</v>
      </c>
      <c r="AQ55" s="71">
        <f t="shared" si="1"/>
        <v>30.43823529411765</v>
      </c>
      <c r="AR55" s="71">
        <f>IFERROR(VLOOKUP(A55,Climatologia_TMED!A:U,9+$E$2,FALSE),"")</f>
        <v>28.417502124868491</v>
      </c>
      <c r="AS55" s="71">
        <f t="shared" si="2"/>
        <v>2.0207331692491586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>
        <v>28.2</v>
      </c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18</v>
      </c>
      <c r="AQ59" s="71">
        <f t="shared" si="1"/>
        <v>28.844444444444449</v>
      </c>
      <c r="AR59" s="71">
        <f>IFERROR(VLOOKUP(A59,Climatologia_TMED!A:U,9+$E$2,FALSE),"")</f>
        <v>27.95576397141701</v>
      </c>
      <c r="AS59" s="71">
        <f t="shared" si="2"/>
        <v>0.88868047302743847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>
        <v>27.55</v>
      </c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18</v>
      </c>
      <c r="AQ61" s="71">
        <f t="shared" si="1"/>
        <v>27.094444444444449</v>
      </c>
      <c r="AR61" s="71">
        <f>IFERROR(VLOOKUP(A61,Climatologia_TMED!A:U,9+$E$2,FALSE),"")</f>
        <v>26.14540821795481</v>
      </c>
      <c r="AS61" s="71">
        <f t="shared" si="2"/>
        <v>0.94903622648963903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/>
      <c r="Z62" s="56"/>
      <c r="AA62" s="56">
        <v>25.333333333333329</v>
      </c>
      <c r="AB62" s="56">
        <v>25.6</v>
      </c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16</v>
      </c>
      <c r="AQ62" s="71">
        <f t="shared" si="1"/>
        <v>26.724999999999994</v>
      </c>
      <c r="AR62" s="71">
        <f>IFERROR(VLOOKUP(A62,Climatologia_TMED!A:U,9+$E$2,FALSE),"")</f>
        <v>25.12904940316772</v>
      </c>
      <c r="AS62" s="71">
        <f t="shared" si="2"/>
        <v>1.5959505968322745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>
        <v>26.35</v>
      </c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18</v>
      </c>
      <c r="AQ65" s="71">
        <f t="shared" si="1"/>
        <v>25.944444444444446</v>
      </c>
      <c r="AR65" s="71">
        <f>IFERROR(VLOOKUP(A65,Climatologia_TMED!A:U,9+$E$2,FALSE),"")</f>
        <v>25.359269039673709</v>
      </c>
      <c r="AS65" s="71">
        <f t="shared" si="2"/>
        <v>0.58517540477073737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>
        <v>27.2</v>
      </c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18</v>
      </c>
      <c r="AQ66" s="71">
        <f t="shared" si="1"/>
        <v>25.930555555555557</v>
      </c>
      <c r="AR66" s="71">
        <f>IFERROR(VLOOKUP(A66,Climatologia_TMED!A:U,9+$E$2,FALSE),"")</f>
        <v>25.449219842417062</v>
      </c>
      <c r="AS66" s="71">
        <f t="shared" si="2"/>
        <v>0.48133571313849544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/>
      <c r="X67" s="56"/>
      <c r="Y67" s="56">
        <v>25.6</v>
      </c>
      <c r="Z67" s="56">
        <v>25.85</v>
      </c>
      <c r="AA67" s="56">
        <v>24</v>
      </c>
      <c r="AB67" s="56">
        <v>26.6</v>
      </c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15</v>
      </c>
      <c r="AQ67" s="71">
        <f t="shared" si="1"/>
        <v>26.280000000000005</v>
      </c>
      <c r="AR67" s="71">
        <f>IFERROR(VLOOKUP(A67,Climatologia_TMED!A:U,9+$E$2,FALSE),"")</f>
        <v>25.277101656093599</v>
      </c>
      <c r="AS67" s="71">
        <f t="shared" si="2"/>
        <v>1.0028983439064056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>
        <v>27.25</v>
      </c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18</v>
      </c>
      <c r="AQ68" s="71">
        <f t="shared" si="1"/>
        <v>25.674999999999997</v>
      </c>
      <c r="AR68" s="71">
        <f>IFERROR(VLOOKUP(A68,Climatologia_TMED!A:U,9+$E$2,FALSE),"")</f>
        <v>25.105050309426691</v>
      </c>
      <c r="AS68" s="71">
        <f t="shared" si="2"/>
        <v>0.56994969057330636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>
        <v>27.15</v>
      </c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18</v>
      </c>
      <c r="AQ69" s="71">
        <f t="shared" ref="AQ69:AQ132" si="4">IF(AP69&gt;14,AVERAGE(K69:AO69),"")</f>
        <v>25.544444444444441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0.68471031022614071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>
        <v>28.666666666666671</v>
      </c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14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>
        <v>27.2</v>
      </c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18</v>
      </c>
      <c r="AQ71" s="71">
        <f t="shared" si="4"/>
        <v>26.457407407407409</v>
      </c>
      <c r="AR71" s="71">
        <f>IFERROR(VLOOKUP(A71,Climatologia_TMED!A:U,9+$E$2,FALSE),"")</f>
        <v>26.117252164977831</v>
      </c>
      <c r="AS71" s="71">
        <f t="shared" si="5"/>
        <v>0.34015524242957795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>
        <v>26.733333333333331</v>
      </c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17</v>
      </c>
      <c r="AQ72" s="71">
        <f t="shared" si="4"/>
        <v>25.990196078431371</v>
      </c>
      <c r="AR72" s="71">
        <f>IFERROR(VLOOKUP(A72,Climatologia_TMED!A:U,9+$E$2,FALSE),"")</f>
        <v>25.27783516958878</v>
      </c>
      <c r="AS72" s="71">
        <f t="shared" si="5"/>
        <v>0.71236090884259085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11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17</v>
      </c>
      <c r="AQ74" s="71">
        <f t="shared" si="4"/>
        <v>21.232352941176469</v>
      </c>
      <c r="AR74" s="71">
        <f>IFERROR(VLOOKUP(A74,Climatologia_TMED!A:U,9+$E$2,FALSE),"")</f>
        <v>20.33780487249993</v>
      </c>
      <c r="AS74" s="71">
        <f t="shared" si="5"/>
        <v>0.89454806867653858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>
        <v>15.866666666666671</v>
      </c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17</v>
      </c>
      <c r="AQ75" s="71">
        <f t="shared" si="4"/>
        <v>15.807843137254903</v>
      </c>
      <c r="AR75" s="71">
        <f>IFERROR(VLOOKUP(A75,Climatologia_TMED!A:U,9+$E$2,FALSE),"")</f>
        <v>15.196816531610249</v>
      </c>
      <c r="AS75" s="71">
        <f t="shared" si="5"/>
        <v>0.61102660564465339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>
        <v>21.9</v>
      </c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18</v>
      </c>
      <c r="AQ76" s="71">
        <f t="shared" si="4"/>
        <v>20.688888888888883</v>
      </c>
      <c r="AR76" s="71">
        <f>IFERROR(VLOOKUP(A76,Climatologia_TMED!A:U,9+$E$2,FALSE),"")</f>
        <v>19.97314578052206</v>
      </c>
      <c r="AS76" s="71">
        <f t="shared" si="5"/>
        <v>0.71574310836682287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>
        <v>24.6</v>
      </c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18</v>
      </c>
      <c r="AQ77" s="71">
        <f t="shared" si="4"/>
        <v>24.629629629629626</v>
      </c>
      <c r="AR77" s="71">
        <f>IFERROR(VLOOKUP(A77,Climatologia_TMED!A:U,9+$E$2,FALSE),"")</f>
        <v>23.041557017477079</v>
      </c>
      <c r="AS77" s="71">
        <f t="shared" si="5"/>
        <v>1.5880726121525477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>
        <v>32.150000000000013</v>
      </c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18</v>
      </c>
      <c r="AQ78" s="71">
        <f t="shared" si="4"/>
        <v>32.033333333333331</v>
      </c>
      <c r="AR78" s="71">
        <f>IFERROR(VLOOKUP(A78,Climatologia_TMED!A:U,9+$E$2,FALSE),"")</f>
        <v>30.200545349460899</v>
      </c>
      <c r="AS78" s="71">
        <f t="shared" si="5"/>
        <v>1.8327879838724321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>
        <v>31.8</v>
      </c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18</v>
      </c>
      <c r="AQ79" s="71">
        <f t="shared" si="4"/>
        <v>31.57037037037037</v>
      </c>
      <c r="AR79" s="71">
        <f>IFERROR(VLOOKUP(A79,Climatologia_TMED!A:U,9+$E$2,FALSE),"")</f>
        <v>30.2833215669562</v>
      </c>
      <c r="AS79" s="71">
        <f t="shared" si="5"/>
        <v>1.2870488034141694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>
        <v>21.466666666666669</v>
      </c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18</v>
      </c>
      <c r="AQ80" s="71">
        <f t="shared" si="4"/>
        <v>21.185185185185187</v>
      </c>
      <c r="AR80" s="71">
        <f>IFERROR(VLOOKUP(A80,Climatologia_TMED!A:U,9+$E$2,FALSE),"")</f>
        <v>19.906859619029429</v>
      </c>
      <c r="AS80" s="71">
        <f t="shared" si="5"/>
        <v>1.2783255661557575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>
        <v>26.2</v>
      </c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18</v>
      </c>
      <c r="AQ81" s="71">
        <f t="shared" si="4"/>
        <v>25.058333333333337</v>
      </c>
      <c r="AR81" s="71">
        <f>IFERROR(VLOOKUP(A81,Climatologia_TMED!A:U,9+$E$2,FALSE),"")</f>
        <v>24.759854360077661</v>
      </c>
      <c r="AS81" s="71">
        <f t="shared" si="5"/>
        <v>0.29847897325567629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>
        <v>27.266666666666669</v>
      </c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17</v>
      </c>
      <c r="AQ82" s="71">
        <f t="shared" si="4"/>
        <v>26.647058823529409</v>
      </c>
      <c r="AR82" s="71">
        <f>IFERROR(VLOOKUP(A82,Climatologia_TMED!A:U,9+$E$2,FALSE),"")</f>
        <v>25.773428481765642</v>
      </c>
      <c r="AS82" s="71">
        <f t="shared" si="5"/>
        <v>0.87363034176376786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>
        <v>28.8</v>
      </c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18</v>
      </c>
      <c r="AQ85" s="71">
        <f t="shared" si="4"/>
        <v>31.925000000000004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16</v>
      </c>
      <c r="AQ86" s="71">
        <f t="shared" si="4"/>
        <v>30.265625</v>
      </c>
      <c r="AR86" s="71">
        <f>IFERROR(VLOOKUP(A86,Climatologia_TMED!A:U,9+$E$2,FALSE),"")</f>
        <v>28.83382033964488</v>
      </c>
      <c r="AS86" s="71">
        <f t="shared" si="5"/>
        <v>1.4318046603551196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16</v>
      </c>
      <c r="AQ87" s="71">
        <f t="shared" si="4"/>
        <v>31.0703125</v>
      </c>
      <c r="AR87" s="71">
        <f>IFERROR(VLOOKUP(A87,Climatologia_TMED!A:U,9+$E$2,FALSE),"")</f>
        <v>28.894325312819621</v>
      </c>
      <c r="AS87" s="71">
        <f t="shared" si="5"/>
        <v>2.1759871871803789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>
        <v>30.7</v>
      </c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18</v>
      </c>
      <c r="AQ88" s="71">
        <f t="shared" si="4"/>
        <v>30.166666666666671</v>
      </c>
      <c r="AR88" s="71">
        <f>IFERROR(VLOOKUP(A88,Climatologia_TMED!A:U,9+$E$2,FALSE),"")</f>
        <v>28.344159946236552</v>
      </c>
      <c r="AS88" s="71">
        <f t="shared" si="5"/>
        <v>1.8225067204301197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>
        <v>30.55</v>
      </c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15</v>
      </c>
      <c r="AQ89" s="71">
        <f t="shared" si="4"/>
        <v>32.896666666666668</v>
      </c>
      <c r="AR89" s="71">
        <f>IFERROR(VLOOKUP(A89,Climatologia_TMED!A:U,9+$E$2,FALSE),"")</f>
        <v>29.044183635472439</v>
      </c>
      <c r="AS89" s="71">
        <f t="shared" si="5"/>
        <v>3.8524830311942289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>
        <v>28.3</v>
      </c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18</v>
      </c>
      <c r="AQ90" s="71">
        <f t="shared" si="4"/>
        <v>32.424999999999997</v>
      </c>
      <c r="AR90" s="71">
        <f>IFERROR(VLOOKUP(A90,Climatologia_TMED!A:U,9+$E$2,FALSE),"")</f>
        <v>28.656630487957131</v>
      </c>
      <c r="AS90" s="71">
        <f t="shared" si="5"/>
        <v>3.7683695120428666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>
        <v>27.9</v>
      </c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15</v>
      </c>
      <c r="AQ91" s="71">
        <f t="shared" si="4"/>
        <v>32.749999999999993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>
        <v>16.8</v>
      </c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18</v>
      </c>
      <c r="AQ92" s="71">
        <f t="shared" si="4"/>
        <v>17.758333333333333</v>
      </c>
      <c r="AR92" s="71">
        <f>IFERROR(VLOOKUP(A92,Climatologia_TMED!A:U,9+$E$2,FALSE),"")</f>
        <v>16.21673046594978</v>
      </c>
      <c r="AS92" s="71">
        <f t="shared" si="5"/>
        <v>1.5416028673835527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>
        <v>24.166666666666671</v>
      </c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18</v>
      </c>
      <c r="AQ93" s="71">
        <f t="shared" si="4"/>
        <v>24.709259259259262</v>
      </c>
      <c r="AR93" s="71">
        <f>IFERROR(VLOOKUP(A93,Climatologia_TMED!A:U,9+$E$2,FALSE),"")</f>
        <v>22.373011505376319</v>
      </c>
      <c r="AS93" s="71">
        <f t="shared" si="5"/>
        <v>2.3362477538829438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17</v>
      </c>
      <c r="AQ94" s="71">
        <f t="shared" si="4"/>
        <v>17.602941176470587</v>
      </c>
      <c r="AR94" s="71">
        <f>IFERROR(VLOOKUP(A94,Climatologia_TMED!A:U,9+$E$2,FALSE),"")</f>
        <v>16.186325847907689</v>
      </c>
      <c r="AS94" s="71">
        <f t="shared" si="5"/>
        <v>1.416615328562898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>
        <v>15</v>
      </c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18</v>
      </c>
      <c r="AQ95" s="71">
        <f t="shared" si="4"/>
        <v>15.275000000000002</v>
      </c>
      <c r="AR95" s="71">
        <f>IFERROR(VLOOKUP(A95,Climatologia_TMED!A:U,9+$E$2,FALSE),"")</f>
        <v>13.65433628672837</v>
      </c>
      <c r="AS95" s="71">
        <f t="shared" si="5"/>
        <v>1.6206637132716324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>
        <v>13.85</v>
      </c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18</v>
      </c>
      <c r="AQ98" s="71">
        <f t="shared" si="4"/>
        <v>13.086111111111112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>
        <v>13.96666666666667</v>
      </c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18</v>
      </c>
      <c r="AQ99" s="71">
        <f t="shared" si="4"/>
        <v>15.122222222222225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17</v>
      </c>
      <c r="AQ100" s="71">
        <f t="shared" si="4"/>
        <v>15.976470588235296</v>
      </c>
      <c r="AR100" s="71">
        <f>IFERROR(VLOOKUP(A100,Climatologia_TMED!A:U,9+$E$2,FALSE),"")</f>
        <v>14.335275908930971</v>
      </c>
      <c r="AS100" s="71">
        <f t="shared" si="5"/>
        <v>1.6411946793043253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>
        <v>13.8</v>
      </c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18</v>
      </c>
      <c r="AQ101" s="71">
        <f t="shared" si="4"/>
        <v>13.508333333333331</v>
      </c>
      <c r="AR101" s="71">
        <f>IFERROR(VLOOKUP(A101,Climatologia_TMED!A:U,9+$E$2,FALSE),"")</f>
        <v>12.395793750638649</v>
      </c>
      <c r="AS101" s="71">
        <f t="shared" si="5"/>
        <v>1.1125395826946818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>
        <v>13.06666666666667</v>
      </c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15</v>
      </c>
      <c r="AQ102" s="71">
        <f t="shared" si="4"/>
        <v>13.08</v>
      </c>
      <c r="AR102" s="71">
        <f>IFERROR(VLOOKUP(A102,Climatologia_TMED!A:U,9+$E$2,FALSE),"")</f>
        <v>11.348393880387549</v>
      </c>
      <c r="AS102" s="71">
        <f t="shared" si="5"/>
        <v>1.7316061196124508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>
        <v>18</v>
      </c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14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>
        <v>13.8</v>
      </c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14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>
        <v>14.65</v>
      </c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18</v>
      </c>
      <c r="AQ108" s="71">
        <f t="shared" si="4"/>
        <v>14.447222222222223</v>
      </c>
      <c r="AR108" s="71">
        <f>IFERROR(VLOOKUP(A108,Climatologia_TMED!A:U,9+$E$2,FALSE),"")</f>
        <v>14.24758963832916</v>
      </c>
      <c r="AS108" s="71">
        <f t="shared" si="5"/>
        <v>0.19963258389306304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>
        <v>15.2</v>
      </c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18</v>
      </c>
      <c r="AQ109" s="71">
        <f t="shared" si="4"/>
        <v>14.969444444444443</v>
      </c>
      <c r="AR109" s="71">
        <f>IFERROR(VLOOKUP(A109,Climatologia_TMED!A:U,9+$E$2,FALSE),"")</f>
        <v>13.718935791090621</v>
      </c>
      <c r="AS109" s="71">
        <f t="shared" si="5"/>
        <v>1.2505086533538226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>
        <v>17.8</v>
      </c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14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>
        <v>16.266666666666669</v>
      </c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18</v>
      </c>
      <c r="AQ111" s="71">
        <f t="shared" si="4"/>
        <v>16.137037037037036</v>
      </c>
      <c r="AR111" s="71">
        <f>IFERROR(VLOOKUP(A111,Climatologia_TMED!A:U,9+$E$2,FALSE),"")</f>
        <v>15.45884618025514</v>
      </c>
      <c r="AS111" s="71">
        <f t="shared" si="5"/>
        <v>0.67819085678189595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>
        <v>18.93333333333333</v>
      </c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18</v>
      </c>
      <c r="AQ112" s="71">
        <f t="shared" si="4"/>
        <v>18.335185185185185</v>
      </c>
      <c r="AR112" s="71">
        <f>IFERROR(VLOOKUP(A112,Climatologia_TMED!A:U,9+$E$2,FALSE),"")</f>
        <v>16.69989368729069</v>
      </c>
      <c r="AS112" s="71">
        <f t="shared" si="5"/>
        <v>1.6352914978944959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>
        <v>19.866666666666671</v>
      </c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17</v>
      </c>
      <c r="AQ113" s="71">
        <f t="shared" si="4"/>
        <v>19.450980392156865</v>
      </c>
      <c r="AR113" s="71">
        <f>IFERROR(VLOOKUP(A113,Climatologia_TMED!A:U,9+$E$2,FALSE),"")</f>
        <v>18.084103151649959</v>
      </c>
      <c r="AS113" s="71">
        <f t="shared" si="5"/>
        <v>1.3668772405069056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>
        <v>22.86666666666666</v>
      </c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15</v>
      </c>
      <c r="AQ114" s="71">
        <f t="shared" si="4"/>
        <v>22.488888888888887</v>
      </c>
      <c r="AR114" s="71">
        <f>IFERROR(VLOOKUP(A114,Climatologia_TMED!A:U,9+$E$2,FALSE),"")</f>
        <v>20.406627759107511</v>
      </c>
      <c r="AS114" s="71">
        <f t="shared" si="5"/>
        <v>2.0822611297813758</v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>
        <v>28.75</v>
      </c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18</v>
      </c>
      <c r="AQ115" s="71">
        <f t="shared" si="4"/>
        <v>27.174999999999997</v>
      </c>
      <c r="AR115" s="71">
        <f>IFERROR(VLOOKUP(A115,Climatologia_TMED!A:U,9+$E$2,FALSE),"")</f>
        <v>26.548363201911549</v>
      </c>
      <c r="AS115" s="71">
        <f t="shared" si="5"/>
        <v>0.62663679808844819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>
        <v>19.266666666666669</v>
      </c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18</v>
      </c>
      <c r="AQ116" s="71">
        <f t="shared" si="4"/>
        <v>19.499999999999996</v>
      </c>
      <c r="AR116" s="71">
        <f>IFERROR(VLOOKUP(A116,Climatologia_TMED!A:U,9+$E$2,FALSE),"")</f>
        <v>18.451479726130369</v>
      </c>
      <c r="AS116" s="71">
        <f t="shared" si="5"/>
        <v>1.0485202738696273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17</v>
      </c>
      <c r="AQ117" s="71">
        <f t="shared" si="4"/>
        <v>27.101960784313725</v>
      </c>
      <c r="AR117" s="71">
        <f>IFERROR(VLOOKUP(A117,Climatologia_TMED!A:U,9+$E$2,FALSE),"")</f>
        <v>25.726306451612881</v>
      </c>
      <c r="AS117" s="71">
        <f t="shared" si="5"/>
        <v>1.3756543327008437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>
        <v>29.86666666666666</v>
      </c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16</v>
      </c>
      <c r="AQ118" s="71">
        <f t="shared" si="4"/>
        <v>29.929166666666667</v>
      </c>
      <c r="AR118" s="71">
        <f>IFERROR(VLOOKUP(A118,Climatologia_TMED!A:U,9+$E$2,FALSE),"")</f>
        <v>26.064774193548381</v>
      </c>
      <c r="AS118" s="71">
        <f t="shared" si="5"/>
        <v>3.8643924731182864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>
        <v>24.266666666666669</v>
      </c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15</v>
      </c>
      <c r="AQ119" s="71">
        <f t="shared" si="4"/>
        <v>23.977777777777774</v>
      </c>
      <c r="AR119" s="71">
        <f>IFERROR(VLOOKUP(A119,Climatologia_TMED!A:U,9+$E$2,FALSE),"")</f>
        <v>22.097715053763402</v>
      </c>
      <c r="AS119" s="71">
        <f t="shared" si="5"/>
        <v>1.8800627240143726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12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>
        <v>12.266666666666669</v>
      </c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18</v>
      </c>
      <c r="AQ122" s="71">
        <f t="shared" si="4"/>
        <v>12.58888888888889</v>
      </c>
      <c r="AR122" s="71">
        <f>IFERROR(VLOOKUP(A122,Climatologia_TMED!A:U,9+$E$2,FALSE),"")</f>
        <v>10.160420312062531</v>
      </c>
      <c r="AS122" s="71">
        <f t="shared" si="5"/>
        <v>2.4284685768263596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>
        <v>15.33333333333333</v>
      </c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17</v>
      </c>
      <c r="AQ124" s="71">
        <f t="shared" si="4"/>
        <v>15.478431372549016</v>
      </c>
      <c r="AR124" s="71">
        <f>IFERROR(VLOOKUP(A124,Climatologia_TMED!A:U,9+$E$2,FALSE),"")</f>
        <v>15.061040072324371</v>
      </c>
      <c r="AS124" s="71">
        <f t="shared" si="5"/>
        <v>0.41739130022464543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>
        <v>11.2</v>
      </c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12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>
        <v>15.366666666666671</v>
      </c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18</v>
      </c>
      <c r="AQ130" s="71">
        <f t="shared" si="4"/>
        <v>15.511111111111111</v>
      </c>
      <c r="AR130" s="71">
        <f>IFERROR(VLOOKUP(A130,Climatologia_TMED!A:U,9+$E$2,FALSE),"")</f>
        <v>14.37068910561999</v>
      </c>
      <c r="AS130" s="71">
        <f t="shared" si="5"/>
        <v>1.1404220054911214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>
        <v>18.2</v>
      </c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18</v>
      </c>
      <c r="AQ131" s="71">
        <f t="shared" si="4"/>
        <v>18.408333333333331</v>
      </c>
      <c r="AR131" s="71">
        <f>IFERROR(VLOOKUP(A131,Climatologia_TMED!A:U,9+$E$2,FALSE),"")</f>
        <v>17.018039759621502</v>
      </c>
      <c r="AS131" s="71">
        <f t="shared" si="5"/>
        <v>1.3902935737118298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>
        <v>14.33333333333333</v>
      </c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18</v>
      </c>
      <c r="AQ133" s="71">
        <f t="shared" ref="AQ133:AQ196" si="7">IF(AP133&gt;14,AVERAGE(K133:AO133),"")</f>
        <v>13.631481481481483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0.99941703044122221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17</v>
      </c>
      <c r="AQ134" s="71">
        <f t="shared" si="7"/>
        <v>17.71764705882353</v>
      </c>
      <c r="AR134" s="71">
        <f>IFERROR(VLOOKUP(A134,Climatologia_TMED!A:U,9+$E$2,FALSE),"")</f>
        <v>15.77617103004156</v>
      </c>
      <c r="AS134" s="71">
        <f t="shared" si="8"/>
        <v>1.9414760287819703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>
        <v>20.55</v>
      </c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17</v>
      </c>
      <c r="AQ135" s="71">
        <f t="shared" si="7"/>
        <v>20.763235294117646</v>
      </c>
      <c r="AR135" s="71">
        <f>IFERROR(VLOOKUP(A135,Climatologia_TMED!A:U,9+$E$2,FALSE),"")</f>
        <v>19.08404124452408</v>
      </c>
      <c r="AS135" s="71">
        <f t="shared" si="8"/>
        <v>1.6791940495935656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>
        <v>11.133333333333329</v>
      </c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18</v>
      </c>
      <c r="AQ136" s="71">
        <f t="shared" si="7"/>
        <v>10.940740740740742</v>
      </c>
      <c r="AR136" s="71">
        <f>IFERROR(VLOOKUP(A136,Climatologia_TMED!A:U,9+$E$2,FALSE),"")</f>
        <v>10.862936379928311</v>
      </c>
      <c r="AS136" s="71">
        <f t="shared" si="8"/>
        <v>7.7804360812431028E-2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>
        <v>22.466666666666669</v>
      </c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17</v>
      </c>
      <c r="AQ138" s="71">
        <f t="shared" si="7"/>
        <v>22.411764705882351</v>
      </c>
      <c r="AR138" s="71">
        <f>IFERROR(VLOOKUP(A138,Climatologia_TMED!A:U,9+$E$2,FALSE),"")</f>
        <v>20.235550356930549</v>
      </c>
      <c r="AS138" s="71">
        <f t="shared" si="8"/>
        <v>2.1762143489518024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>
        <v>14.1</v>
      </c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18</v>
      </c>
      <c r="AQ139" s="71">
        <f t="shared" si="7"/>
        <v>13.649999999999999</v>
      </c>
      <c r="AR139" s="71">
        <f>IFERROR(VLOOKUP(A139,Climatologia_TMED!A:U,9+$E$2,FALSE),"")</f>
        <v>12.97471752858849</v>
      </c>
      <c r="AS139" s="71">
        <f t="shared" si="8"/>
        <v>0.67528247141150821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17</v>
      </c>
      <c r="AQ140" s="71">
        <f t="shared" si="7"/>
        <v>16.464705882352941</v>
      </c>
      <c r="AR140" s="71">
        <f>IFERROR(VLOOKUP(A140,Climatologia_TMED!A:U,9+$E$2,FALSE),"")</f>
        <v>15.718876344086</v>
      </c>
      <c r="AS140" s="71">
        <f t="shared" si="8"/>
        <v>0.74582953826694087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>
        <v>13.4</v>
      </c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18</v>
      </c>
      <c r="AQ141" s="71">
        <f t="shared" si="7"/>
        <v>13.144444444444444</v>
      </c>
      <c r="AR141" s="71">
        <f>IFERROR(VLOOKUP(A141,Climatologia_TMED!A:U,9+$E$2,FALSE),"")</f>
        <v>11.969387238873461</v>
      </c>
      <c r="AS141" s="71">
        <f t="shared" si="8"/>
        <v>1.1750572055709831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>
        <v>11</v>
      </c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17</v>
      </c>
      <c r="AQ142" s="71">
        <f t="shared" si="7"/>
        <v>11.122058823529409</v>
      </c>
      <c r="AR142" s="71">
        <f>IFERROR(VLOOKUP(A142,Climatologia_TMED!A:U,9+$E$2,FALSE),"")</f>
        <v>10.49248004916649</v>
      </c>
      <c r="AS142" s="71">
        <f t="shared" si="8"/>
        <v>0.62957877436291909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>
        <v>28.333333333333329</v>
      </c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18</v>
      </c>
      <c r="AQ143" s="71">
        <f t="shared" si="7"/>
        <v>27.785185185185188</v>
      </c>
      <c r="AR143" s="71">
        <f>IFERROR(VLOOKUP(A143,Climatologia_TMED!A:U,9+$E$2,FALSE),"")</f>
        <v>25.992543202764971</v>
      </c>
      <c r="AS143" s="71">
        <f t="shared" si="8"/>
        <v>1.7926419824202178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>
        <v>16.399999999999999</v>
      </c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18</v>
      </c>
      <c r="AQ144" s="71">
        <f t="shared" si="7"/>
        <v>16.307407407407407</v>
      </c>
      <c r="AR144" s="71">
        <f>IFERROR(VLOOKUP(A144,Climatologia_TMED!A:U,9+$E$2,FALSE),"")</f>
        <v>15.9826099414474</v>
      </c>
      <c r="AS144" s="71">
        <f t="shared" si="8"/>
        <v>0.3247974659600068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>
        <v>20.266666666666669</v>
      </c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18</v>
      </c>
      <c r="AQ145" s="71">
        <f t="shared" si="7"/>
        <v>20.414814814814818</v>
      </c>
      <c r="AR145" s="71">
        <f>IFERROR(VLOOKUP(A145,Climatologia_TMED!A:U,9+$E$2,FALSE),"")</f>
        <v>19.40683329936412</v>
      </c>
      <c r="AS145" s="71">
        <f t="shared" si="8"/>
        <v>1.0079815154506981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>
        <v>30.13333333333334</v>
      </c>
      <c r="AB146" s="56">
        <v>30.266666666666669</v>
      </c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18</v>
      </c>
      <c r="AQ146" s="71">
        <f t="shared" si="7"/>
        <v>31.022222222222222</v>
      </c>
      <c r="AR146" s="71">
        <f>IFERROR(VLOOKUP(A146,Climatologia_TMED!A:U,9+$E$2,FALSE),"")</f>
        <v>29.306317625921391</v>
      </c>
      <c r="AS146" s="71">
        <f t="shared" si="8"/>
        <v>1.715904596300831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>
        <v>25.666666666666671</v>
      </c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18</v>
      </c>
      <c r="AQ147" s="71">
        <f t="shared" si="7"/>
        <v>26.374074074074073</v>
      </c>
      <c r="AR147" s="71">
        <f>IFERROR(VLOOKUP(A147,Climatologia_TMED!A:U,9+$E$2,FALSE),"")</f>
        <v>24.061574212155389</v>
      </c>
      <c r="AS147" s="71">
        <f t="shared" si="8"/>
        <v>2.3124998619186847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>
        <v>28.4</v>
      </c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16</v>
      </c>
      <c r="AQ148" s="71">
        <f t="shared" si="7"/>
        <v>30.933333333333334</v>
      </c>
      <c r="AR148" s="71">
        <f>IFERROR(VLOOKUP(A148,Climatologia_TMED!A:U,9+$E$2,FALSE),"")</f>
        <v>29.17936497960693</v>
      </c>
      <c r="AS148" s="71">
        <f t="shared" si="8"/>
        <v>1.7539683537264033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>
        <v>22.93333333333333</v>
      </c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18</v>
      </c>
      <c r="AQ149" s="71">
        <f t="shared" si="7"/>
        <v>24.300000000000004</v>
      </c>
      <c r="AR149" s="71">
        <f>IFERROR(VLOOKUP(A149,Climatologia_TMED!A:U,9+$E$2,FALSE),"")</f>
        <v>21.98128955804011</v>
      </c>
      <c r="AS149" s="71">
        <f t="shared" si="8"/>
        <v>2.3187104419598938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>
        <v>23.266666666666669</v>
      </c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15</v>
      </c>
      <c r="AQ151" s="71">
        <f t="shared" si="7"/>
        <v>24.351111111111113</v>
      </c>
      <c r="AR151" s="71">
        <f>IFERROR(VLOOKUP(A151,Climatologia_TMED!A:U,9+$E$2,FALSE),"")</f>
        <v>21.718227316119769</v>
      </c>
      <c r="AS151" s="71">
        <f t="shared" si="8"/>
        <v>2.6328837949913435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>
        <v>20.2</v>
      </c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18</v>
      </c>
      <c r="AQ154" s="71">
        <f t="shared" si="7"/>
        <v>21.094444444444441</v>
      </c>
      <c r="AR154" s="71">
        <f>IFERROR(VLOOKUP(A154,Climatologia_TMED!A:U,9+$E$2,FALSE),"")</f>
        <v>19.603370199692769</v>
      </c>
      <c r="AS154" s="71">
        <f t="shared" si="8"/>
        <v>1.4910742447516725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>
        <v>27.333333333333329</v>
      </c>
      <c r="AB155" s="56">
        <v>27.666666666666671</v>
      </c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17</v>
      </c>
      <c r="AQ155" s="71">
        <f t="shared" si="7"/>
        <v>29.145098039215686</v>
      </c>
      <c r="AR155" s="71">
        <f>IFERROR(VLOOKUP(A155,Climatologia_TMED!A:U,9+$E$2,FALSE),"")</f>
        <v>27.798082822950249</v>
      </c>
      <c r="AS155" s="71">
        <f t="shared" si="8"/>
        <v>1.3470152162654365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>
        <v>27.533333333333331</v>
      </c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16</v>
      </c>
      <c r="AQ157" s="71">
        <f t="shared" si="7"/>
        <v>30.125</v>
      </c>
      <c r="AR157" s="71">
        <f>IFERROR(VLOOKUP(A157,Climatologia_TMED!A:U,9+$E$2,FALSE),"")</f>
        <v>27.586074724019738</v>
      </c>
      <c r="AS157" s="71">
        <f t="shared" si="8"/>
        <v>2.5389252759802616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17</v>
      </c>
      <c r="AQ158" s="71">
        <f t="shared" si="7"/>
        <v>30.792156862745099</v>
      </c>
      <c r="AR158" s="71">
        <f>IFERROR(VLOOKUP(A158,Climatologia_TMED!A:U,9+$E$2,FALSE),"")</f>
        <v>28.018688345149439</v>
      </c>
      <c r="AS158" s="71">
        <f t="shared" si="8"/>
        <v>2.7734685175956599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>
        <v>20.8</v>
      </c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18</v>
      </c>
      <c r="AQ159" s="71">
        <f t="shared" si="7"/>
        <v>21.259259259259256</v>
      </c>
      <c r="AR159" s="71">
        <f>IFERROR(VLOOKUP(A159,Climatologia_TMED!A:U,9+$E$2,FALSE),"")</f>
        <v>19.083052786798319</v>
      </c>
      <c r="AS159" s="71">
        <f t="shared" si="8"/>
        <v>2.1762064724609367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15</v>
      </c>
      <c r="AQ160" s="71">
        <f t="shared" si="7"/>
        <v>27.822222222222216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>
        <v>18</v>
      </c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15</v>
      </c>
      <c r="AQ161" s="71">
        <f t="shared" si="7"/>
        <v>20.128888888888888</v>
      </c>
      <c r="AR161" s="71">
        <f>IFERROR(VLOOKUP(A161,Climatologia_TMED!A:U,9+$E$2,FALSE),"")</f>
        <v>17.518211901578969</v>
      </c>
      <c r="AS161" s="71">
        <f t="shared" si="8"/>
        <v>2.6106769873099189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>
        <v>27.93333333333333</v>
      </c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18</v>
      </c>
      <c r="AQ162" s="71">
        <f t="shared" si="7"/>
        <v>28.964814814814822</v>
      </c>
      <c r="AR162" s="71">
        <f>IFERROR(VLOOKUP(A162,Climatologia_TMED!A:U,9+$E$2,FALSE),"")</f>
        <v>28.49681537062899</v>
      </c>
      <c r="AS162" s="71">
        <f t="shared" si="8"/>
        <v>0.46799944418583195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>
        <v>20.93333333333333</v>
      </c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18</v>
      </c>
      <c r="AQ163" s="71">
        <f t="shared" si="7"/>
        <v>21.81851851851852</v>
      </c>
      <c r="AR163" s="71">
        <f>IFERROR(VLOOKUP(A163,Climatologia_TMED!A:U,9+$E$2,FALSE),"")</f>
        <v>21.304846458288491</v>
      </c>
      <c r="AS163" s="71">
        <f t="shared" si="8"/>
        <v>0.51367206023002865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>
        <v>24.75</v>
      </c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18</v>
      </c>
      <c r="AQ164" s="71">
        <f t="shared" si="7"/>
        <v>25.836111111111112</v>
      </c>
      <c r="AR164" s="71">
        <f>IFERROR(VLOOKUP(A164,Climatologia_TMED!A:U,9+$E$2,FALSE),"")</f>
        <v>23.886011584659681</v>
      </c>
      <c r="AS164" s="71">
        <f t="shared" si="8"/>
        <v>1.9500995264514316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>
        <v>15.33333333333333</v>
      </c>
      <c r="AB166" s="56">
        <v>14</v>
      </c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18</v>
      </c>
      <c r="AQ166" s="71">
        <f t="shared" si="7"/>
        <v>14.966666666666665</v>
      </c>
      <c r="AR166" s="71">
        <f>IFERROR(VLOOKUP(A166,Climatologia_TMED!A:U,9+$E$2,FALSE),"")</f>
        <v>13.59731182795695</v>
      </c>
      <c r="AS166" s="71">
        <f t="shared" si="8"/>
        <v>1.3693548387097145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>
        <v>19.466666666666669</v>
      </c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18</v>
      </c>
      <c r="AQ167" s="71">
        <f t="shared" si="7"/>
        <v>21.077777777777776</v>
      </c>
      <c r="AR167" s="71">
        <f>IFERROR(VLOOKUP(A167,Climatologia_TMED!A:U,9+$E$2,FALSE),"")</f>
        <v>19.132762427527378</v>
      </c>
      <c r="AS167" s="71">
        <f t="shared" si="8"/>
        <v>1.9450153502503973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>
        <v>26.35</v>
      </c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18</v>
      </c>
      <c r="AQ168" s="71">
        <f t="shared" si="7"/>
        <v>28.686111111111114</v>
      </c>
      <c r="AR168" s="71">
        <f>IFERROR(VLOOKUP(A168,Climatologia_TMED!A:U,9+$E$2,FALSE),"")</f>
        <v>26.11906044753972</v>
      </c>
      <c r="AS168" s="71">
        <f t="shared" si="8"/>
        <v>2.5670506635713934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>
        <v>9.2000000000000011</v>
      </c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18</v>
      </c>
      <c r="AQ169" s="71">
        <f t="shared" si="7"/>
        <v>9.4388888888888882</v>
      </c>
      <c r="AR169" s="71">
        <f>IFERROR(VLOOKUP(A169,Climatologia_TMED!A:U,9+$E$2,FALSE),"")</f>
        <v>8.9418110731500597</v>
      </c>
      <c r="AS169" s="71">
        <f t="shared" si="8"/>
        <v>0.49707781573882848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>
        <v>26.266666666666669</v>
      </c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18</v>
      </c>
      <c r="AQ170" s="71">
        <f t="shared" si="7"/>
        <v>25.833333333333332</v>
      </c>
      <c r="AR170" s="71">
        <f>IFERROR(VLOOKUP(A170,Climatologia_TMED!A:U,9+$E$2,FALSE),"")</f>
        <v>24.395609944791921</v>
      </c>
      <c r="AS170" s="71">
        <f t="shared" si="8"/>
        <v>1.4377233885414107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>
        <v>21.6</v>
      </c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16</v>
      </c>
      <c r="AQ171" s="71">
        <f t="shared" si="7"/>
        <v>21.733333333333334</v>
      </c>
      <c r="AR171" s="71">
        <f>IFERROR(VLOOKUP(A171,Climatologia_TMED!A:U,9+$E$2,FALSE),"")</f>
        <v>19.277535015015289</v>
      </c>
      <c r="AS171" s="71">
        <f t="shared" si="8"/>
        <v>2.4557983183180454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>
        <v>25.1</v>
      </c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16</v>
      </c>
      <c r="AQ172" s="71">
        <f t="shared" si="7"/>
        <v>25.795312500000001</v>
      </c>
      <c r="AR172" s="71">
        <f>IFERROR(VLOOKUP(A172,Climatologia_TMED!A:U,9+$E$2,FALSE),"")</f>
        <v>24.578876627051489</v>
      </c>
      <c r="AS172" s="71">
        <f t="shared" si="8"/>
        <v>1.2164358729485123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>
        <v>23.95</v>
      </c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18</v>
      </c>
      <c r="AQ173" s="71">
        <f t="shared" si="7"/>
        <v>25.084722222222222</v>
      </c>
      <c r="AR173" s="71">
        <f>IFERROR(VLOOKUP(A173,Climatologia_TMED!A:U,9+$E$2,FALSE),"")</f>
        <v>24.24334341397849</v>
      </c>
      <c r="AS173" s="71">
        <f t="shared" si="8"/>
        <v>0.84137880824373212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>
        <v>12.8</v>
      </c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18</v>
      </c>
      <c r="AQ174" s="71">
        <f t="shared" si="7"/>
        <v>13.262962962962966</v>
      </c>
      <c r="AR174" s="71">
        <f>IFERROR(VLOOKUP(A174,Climatologia_TMED!A:U,9+$E$2,FALSE),"")</f>
        <v>12.130348155415341</v>
      </c>
      <c r="AS174" s="71">
        <f t="shared" si="8"/>
        <v>1.1326148075476254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23.8</v>
      </c>
      <c r="AA178" s="56">
        <v>22.13333333333334</v>
      </c>
      <c r="AB178" s="56">
        <v>23.4</v>
      </c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18</v>
      </c>
      <c r="AQ178" s="71">
        <f t="shared" si="7"/>
        <v>25.592592592592588</v>
      </c>
      <c r="AR178" s="71">
        <f>IFERROR(VLOOKUP(A178,Climatologia_TMED!A:U,9+$E$2,FALSE),"")</f>
        <v>24.764281496732401</v>
      </c>
      <c r="AS178" s="71">
        <f t="shared" si="8"/>
        <v>0.8283110958601867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>
        <v>17.899999999999999</v>
      </c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17</v>
      </c>
      <c r="AQ179" s="71">
        <f t="shared" si="7"/>
        <v>18.870588235294118</v>
      </c>
      <c r="AR179" s="71">
        <f>IFERROR(VLOOKUP(A179,Climatologia_TMED!A:U,9+$E$2,FALSE),"")</f>
        <v>17.52263018923631</v>
      </c>
      <c r="AS179" s="71">
        <f t="shared" si="8"/>
        <v>1.3479580460578084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>
        <v>31</v>
      </c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18</v>
      </c>
      <c r="AQ181" s="71">
        <f t="shared" si="7"/>
        <v>31.92962962962963</v>
      </c>
      <c r="AR181" s="71">
        <f>IFERROR(VLOOKUP(A181,Climatologia_TMED!A:U,9+$E$2,FALSE),"")</f>
        <v>29.494520657328639</v>
      </c>
      <c r="AS181" s="71">
        <f t="shared" si="8"/>
        <v>2.4351089723009913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>
        <v>28.533333333333331</v>
      </c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10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>
        <v>29.733333333333331</v>
      </c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15</v>
      </c>
      <c r="AQ185" s="71">
        <f t="shared" si="7"/>
        <v>30.266666666666666</v>
      </c>
      <c r="AR185" s="71">
        <f>IFERROR(VLOOKUP(A185,Climatologia_TMED!A:U,9+$E$2,FALSE),"")</f>
        <v>28.426879526214119</v>
      </c>
      <c r="AS185" s="71">
        <f t="shared" si="8"/>
        <v>1.8397871404525468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>
        <v>16.06666666666667</v>
      </c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17</v>
      </c>
      <c r="AQ188" s="71">
        <f t="shared" si="7"/>
        <v>17.749019607843138</v>
      </c>
      <c r="AR188" s="71">
        <f>IFERROR(VLOOKUP(A188,Climatologia_TMED!A:U,9+$E$2,FALSE),"")</f>
        <v>16.219992677735171</v>
      </c>
      <c r="AS188" s="71">
        <f t="shared" si="8"/>
        <v>1.5290269301079675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>
        <v>30.8</v>
      </c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12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>
        <v>30.333333333333329</v>
      </c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17</v>
      </c>
      <c r="AQ190" s="71">
        <f t="shared" si="7"/>
        <v>31.16078431372549</v>
      </c>
      <c r="AR190" s="71">
        <f>IFERROR(VLOOKUP(A190,Climatologia_TMED!A:U,9+$E$2,FALSE),"")</f>
        <v>29.552042558032198</v>
      </c>
      <c r="AS190" s="71">
        <f t="shared" si="8"/>
        <v>1.6087417556932913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>
        <v>18.100000000000001</v>
      </c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18</v>
      </c>
      <c r="AQ191" s="71">
        <f t="shared" si="7"/>
        <v>19.202777777777779</v>
      </c>
      <c r="AR191" s="71">
        <f>IFERROR(VLOOKUP(A191,Climatologia_TMED!A:U,9+$E$2,FALSE),"")</f>
        <v>17.464112079265011</v>
      </c>
      <c r="AS191" s="71">
        <f t="shared" si="8"/>
        <v>1.7386656985127686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>
        <v>27.466666666666669</v>
      </c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18</v>
      </c>
      <c r="AQ192" s="71">
        <f t="shared" si="7"/>
        <v>26.525925925925929</v>
      </c>
      <c r="AR192" s="71">
        <f>IFERROR(VLOOKUP(A192,Climatologia_TMED!A:U,9+$E$2,FALSE),"")</f>
        <v>25.598921067303831</v>
      </c>
      <c r="AS192" s="71">
        <f t="shared" si="8"/>
        <v>0.92700485862209803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>
        <v>29.2</v>
      </c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18</v>
      </c>
      <c r="AQ193" s="71">
        <f t="shared" si="7"/>
        <v>28.738888888888894</v>
      </c>
      <c r="AR193" s="71">
        <f>IFERROR(VLOOKUP(A193,Climatologia_TMED!A:U,9+$E$2,FALSE),"")</f>
        <v>26.876419518290088</v>
      </c>
      <c r="AS193" s="71">
        <f t="shared" si="8"/>
        <v>1.8624693705988058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>
        <v>20.86666666666666</v>
      </c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17</v>
      </c>
      <c r="AQ194" s="71">
        <f t="shared" si="7"/>
        <v>21.835294117647063</v>
      </c>
      <c r="AR194" s="71">
        <f>IFERROR(VLOOKUP(A194,Climatologia_TMED!A:U,9+$E$2,FALSE),"")</f>
        <v>21.92453935902186</v>
      </c>
      <c r="AS194" s="71">
        <f t="shared" si="8"/>
        <v>-8.9245241374797502E-2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15</v>
      </c>
      <c r="AQ195" s="71">
        <f t="shared" si="7"/>
        <v>28.78222222222222</v>
      </c>
      <c r="AR195" s="71">
        <f>IFERROR(VLOOKUP(A195,Climatologia_TMED!A:U,9+$E$2,FALSE),"")</f>
        <v>25.93887423035611</v>
      </c>
      <c r="AS195" s="71">
        <f t="shared" si="8"/>
        <v>2.8433479918661106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>
        <v>19.93333333333333</v>
      </c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18</v>
      </c>
      <c r="AQ196" s="71">
        <f t="shared" si="7"/>
        <v>22.703703703703702</v>
      </c>
      <c r="AR196" s="71">
        <f>IFERROR(VLOOKUP(A196,Climatologia_TMED!A:U,9+$E$2,FALSE),"")</f>
        <v>20.501275507765811</v>
      </c>
      <c r="AS196" s="71">
        <f t="shared" si="8"/>
        <v>2.2024281959378911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>
        <v>25.266666666666669</v>
      </c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18</v>
      </c>
      <c r="AQ197" s="71">
        <f t="shared" ref="AQ197:AQ260" si="10">IF(AP197&gt;14,AVERAGE(K197:AO197),"")</f>
        <v>27.287037037037038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2.6174168785548773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17</v>
      </c>
      <c r="AQ198" s="71">
        <f t="shared" si="10"/>
        <v>22.21764705882353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15</v>
      </c>
      <c r="AQ199" s="71">
        <f t="shared" si="10"/>
        <v>16.777777777777775</v>
      </c>
      <c r="AR199" s="71">
        <f>IFERROR(VLOOKUP(A199,Climatologia_TMED!A:U,9+$E$2,FALSE),"")</f>
        <v>15.9056050475294</v>
      </c>
      <c r="AS199" s="71">
        <f t="shared" si="11"/>
        <v>0.87217273024837461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>
        <v>14.5</v>
      </c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17</v>
      </c>
      <c r="AQ200" s="71">
        <f t="shared" si="10"/>
        <v>14.294117647058826</v>
      </c>
      <c r="AR200" s="71">
        <f>IFERROR(VLOOKUP(A200,Climatologia_TMED!A:U,9+$E$2,FALSE),"")</f>
        <v>13.344977882388941</v>
      </c>
      <c r="AS200" s="71">
        <f t="shared" si="11"/>
        <v>0.94913976466988537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26.6</v>
      </c>
      <c r="AA201" s="56">
        <v>26.05</v>
      </c>
      <c r="AB201" s="56">
        <v>25.95</v>
      </c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18</v>
      </c>
      <c r="AQ201" s="71">
        <f t="shared" si="10"/>
        <v>28.238888888888887</v>
      </c>
      <c r="AR201" s="71">
        <f>IFERROR(VLOOKUP(A201,Climatologia_TMED!A:U,9+$E$2,FALSE),"")</f>
        <v>26.42009640850436</v>
      </c>
      <c r="AS201" s="71">
        <f t="shared" si="11"/>
        <v>1.818792480384527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>
        <v>12.6</v>
      </c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18</v>
      </c>
      <c r="AQ202" s="71">
        <f t="shared" si="10"/>
        <v>12.916666666666664</v>
      </c>
      <c r="AR202" s="71">
        <f>IFERROR(VLOOKUP(A202,Climatologia_TMED!A:U,9+$E$2,FALSE),"")</f>
        <v>12.92387825817962</v>
      </c>
      <c r="AS202" s="71">
        <f t="shared" si="11"/>
        <v>-7.2115915129558061E-3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>
        <v>14.4</v>
      </c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15</v>
      </c>
      <c r="AQ203" s="71">
        <f t="shared" si="10"/>
        <v>14.151111111111112</v>
      </c>
      <c r="AR203" s="71">
        <f>IFERROR(VLOOKUP(A203,Climatologia_TMED!A:U,9+$E$2,FALSE),"")</f>
        <v>12.086069715466531</v>
      </c>
      <c r="AS203" s="71">
        <f t="shared" si="11"/>
        <v>2.065041395644581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14.214705882352943</v>
      </c>
      <c r="AR205" s="71">
        <f>IFERROR(VLOOKUP(A205,Climatologia_TMED!A:U,9+$E$2,FALSE),"")</f>
        <v>13.43544585253456</v>
      </c>
      <c r="AS205" s="71">
        <f t="shared" si="11"/>
        <v>0.77926002981838316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>
        <v>13.45</v>
      </c>
      <c r="AB206" s="56">
        <v>13.1</v>
      </c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18</v>
      </c>
      <c r="AQ206" s="71">
        <f t="shared" si="10"/>
        <v>13.438888888888886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>
        <v>14.46666666666667</v>
      </c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8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>
        <v>13.3</v>
      </c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18</v>
      </c>
      <c r="AQ208" s="71">
        <f t="shared" si="10"/>
        <v>13.744444444444445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>
        <v>11.3</v>
      </c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18</v>
      </c>
      <c r="AQ209" s="71">
        <f t="shared" si="10"/>
        <v>11.08888888888889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>
        <v>15.55</v>
      </c>
      <c r="AB210" s="56">
        <v>15.75</v>
      </c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18</v>
      </c>
      <c r="AQ210" s="71">
        <f t="shared" si="10"/>
        <v>15.744444444444444</v>
      </c>
      <c r="AR210" s="71">
        <f>IFERROR(VLOOKUP(A210,Climatologia_TMED!A:U,9+$E$2,FALSE),"")</f>
        <v>14.343130840767889</v>
      </c>
      <c r="AS210" s="71">
        <f t="shared" si="11"/>
        <v>1.4013136036765541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>
        <v>8.6999999999999993</v>
      </c>
      <c r="AB211" s="56">
        <v>8.4499999999999993</v>
      </c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18</v>
      </c>
      <c r="AQ211" s="71">
        <f t="shared" si="10"/>
        <v>8.3777777777777764</v>
      </c>
      <c r="AR211" s="71">
        <f>IFERROR(VLOOKUP(A211,Climatologia_TMED!A:U,9+$E$2,FALSE),"")</f>
        <v>8.1491623782224423</v>
      </c>
      <c r="AS211" s="71">
        <f t="shared" si="11"/>
        <v>0.22861539955533416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>
        <v>27.25</v>
      </c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16</v>
      </c>
      <c r="AQ212" s="71">
        <f t="shared" si="10"/>
        <v>27.690625000000001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2026-08-19T15:02:51Z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2026-08-19T14:34:42Z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6ab4ea63-c4fa-4853-a24e-99e24a6a607f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