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BB540B4-96FE-460E-957D-1525661AABE8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Temperatura!$AN$1:$AO$212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R207" i="1"/>
  <c r="AP207" i="1"/>
  <c r="AQ207" i="1" s="1"/>
  <c r="AS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S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S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S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S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S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S165" i="1" s="1"/>
  <c r="AR164" i="1"/>
  <c r="AP164" i="1"/>
  <c r="AQ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S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S104" i="1" s="1"/>
  <c r="AR103" i="1"/>
  <c r="AP103" i="1"/>
  <c r="AQ103" i="1" s="1"/>
  <c r="AR102" i="1"/>
  <c r="AP102" i="1"/>
  <c r="AQ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S80" i="1" s="1"/>
  <c r="AR79" i="1"/>
  <c r="AP79" i="1"/>
  <c r="AQ79" i="1" s="1"/>
  <c r="AR78" i="1"/>
  <c r="AP78" i="1"/>
  <c r="AQ78" i="1" s="1"/>
  <c r="AR77" i="1"/>
  <c r="AP77" i="1"/>
  <c r="AQ77" i="1" s="1"/>
  <c r="AS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S71" i="1" s="1"/>
  <c r="AR70" i="1"/>
  <c r="AP70" i="1"/>
  <c r="AQ70" i="1" s="1"/>
  <c r="AR69" i="1"/>
  <c r="AP69" i="1"/>
  <c r="AQ69" i="1" s="1"/>
  <c r="AS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R46" i="1"/>
  <c r="AP46" i="1"/>
  <c r="AQ46" i="1" s="1"/>
  <c r="AS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R38" i="1"/>
  <c r="AP38" i="1"/>
  <c r="AQ38" i="1" s="1"/>
  <c r="AR37" i="1"/>
  <c r="AP37" i="1"/>
  <c r="AQ37" i="1" s="1"/>
  <c r="AS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S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150" i="1" l="1"/>
  <c r="AS35" i="1"/>
  <c r="AS67" i="1"/>
  <c r="AS131" i="1"/>
  <c r="AS55" i="1"/>
  <c r="AS163" i="1"/>
  <c r="AS54" i="1"/>
  <c r="AS6" i="1"/>
  <c r="AS38" i="1"/>
  <c r="AS102" i="1"/>
  <c r="AS32" i="1"/>
  <c r="AS166" i="1"/>
  <c r="AS26" i="1"/>
  <c r="AS202" i="1"/>
  <c r="AS122" i="1"/>
  <c r="AS205" i="1"/>
  <c r="AS5" i="1"/>
  <c r="AS39" i="1"/>
  <c r="AS172" i="1"/>
  <c r="AS130" i="1"/>
  <c r="AS24" i="1"/>
  <c r="AS129" i="1"/>
  <c r="AS152" i="1"/>
  <c r="AS23" i="1"/>
  <c r="AS66" i="1"/>
  <c r="AS119" i="1"/>
  <c r="AS197" i="1"/>
  <c r="AS56" i="1"/>
  <c r="AS135" i="1"/>
  <c r="AS198" i="1"/>
  <c r="AS201" i="1"/>
  <c r="AS62" i="1"/>
  <c r="AS203" i="1"/>
  <c r="AS57" i="1"/>
  <c r="AS121" i="1"/>
  <c r="AS155" i="1"/>
  <c r="AS8" i="1"/>
  <c r="AS94" i="1"/>
  <c r="AS170" i="1"/>
  <c r="AS29" i="1"/>
  <c r="AS107" i="1"/>
  <c r="AS111" i="1"/>
  <c r="AS88" i="1"/>
  <c r="AS138" i="1"/>
  <c r="AS173" i="1"/>
  <c r="AS144" i="1"/>
  <c r="AS176" i="1"/>
  <c r="AS179" i="1"/>
  <c r="AS59" i="1"/>
  <c r="AS82" i="1"/>
  <c r="AS43" i="1"/>
  <c r="AS212" i="1"/>
  <c r="AS51" i="1"/>
  <c r="AS181" i="1"/>
  <c r="AS183" i="1"/>
  <c r="AS60" i="1"/>
  <c r="AS92" i="1"/>
  <c r="AS126" i="1"/>
  <c r="AS98" i="1"/>
  <c r="AS7" i="1"/>
  <c r="AS195" i="1"/>
  <c r="AS196" i="1"/>
  <c r="AS93" i="1"/>
  <c r="AS189" i="1"/>
  <c r="AS184" i="1"/>
  <c r="AS182" i="1"/>
  <c r="AS124" i="1"/>
  <c r="AS72" i="1"/>
  <c r="AS156" i="1"/>
  <c r="AS159" i="1"/>
  <c r="AS132" i="1"/>
  <c r="AS134" i="1"/>
  <c r="AS74" i="1"/>
  <c r="AS105" i="1"/>
  <c r="AS136" i="1"/>
  <c r="AS167" i="1"/>
  <c r="AS65" i="1"/>
  <c r="AS161" i="1"/>
  <c r="AS164" i="1"/>
  <c r="AS103" i="1"/>
  <c r="AS44" i="1"/>
  <c r="AS75" i="1"/>
  <c r="AS106" i="1"/>
  <c r="AS137" i="1"/>
  <c r="AS123" i="1"/>
  <c r="AS168" i="1"/>
  <c r="AS185" i="1"/>
  <c r="AS191" i="1"/>
  <c r="AS169" i="1"/>
  <c r="AS200" i="1"/>
  <c r="AS153" i="1"/>
  <c r="AS157" i="1"/>
  <c r="AS68" i="1"/>
  <c r="AS14" i="1"/>
  <c r="AS139" i="1"/>
  <c r="AS31" i="1"/>
  <c r="AS64" i="1"/>
  <c r="AS36" i="1"/>
  <c r="AS47" i="1"/>
  <c r="AS78" i="1"/>
  <c r="AS109" i="1"/>
  <c r="AS140" i="1"/>
  <c r="AS188" i="1"/>
  <c r="AS154" i="1"/>
  <c r="AS128" i="1"/>
  <c r="AS99" i="1"/>
  <c r="AS45" i="1"/>
  <c r="AS204" i="1"/>
  <c r="AS206" i="1"/>
  <c r="AS127" i="1"/>
  <c r="AS193" i="1"/>
  <c r="AS30" i="1"/>
  <c r="AS177" i="1"/>
  <c r="AS208" i="1"/>
  <c r="AS76" i="1"/>
  <c r="AS79" i="1"/>
  <c r="AS91" i="1"/>
  <c r="AS187" i="1"/>
  <c r="AS70" i="1"/>
  <c r="AS13" i="1"/>
  <c r="AS15" i="1"/>
  <c r="AS81" i="1"/>
  <c r="AS148" i="1"/>
  <c r="AS174" i="1"/>
  <c r="AS125" i="1"/>
  <c r="AS25" i="1"/>
  <c r="AS158" i="1"/>
  <c r="AS192" i="1"/>
  <c r="AS18" i="1"/>
  <c r="AS19" i="1"/>
  <c r="AS20" i="1"/>
  <c r="AS118" i="1"/>
  <c r="AS149" i="1"/>
  <c r="AS180" i="1"/>
  <c r="AS211" i="1"/>
  <c r="AS28" i="1"/>
  <c r="AS61" i="1"/>
  <c r="AS73" i="1"/>
  <c r="AS160" i="1"/>
  <c r="AS190" i="1"/>
  <c r="AS145" i="1"/>
  <c r="AS12" i="1"/>
  <c r="AS83" i="1"/>
  <c r="AS58" i="1"/>
  <c r="AS89" i="1"/>
  <c r="AS120" i="1"/>
  <c r="AS151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<sst xmlns="http://schemas.openxmlformats.org/spreadsheetml/2006/main" count="3690" uniqueCount="1514">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</sst>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J1" zoomScale="80" zoomScaleNormal="80" workbookViewId="0">
      <selection activeCell="AN1" sqref="AN1:AO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9" width="32.42578125" style="50" customWidth="1"/>
    <col min="12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>
        <v>28.8</v>
      </c>
      <c r="AJ5" s="56">
        <v>29.5</v>
      </c>
      <c r="AK5" s="56">
        <v>29.1</v>
      </c>
      <c r="AL5" s="56">
        <v>27.6</v>
      </c>
      <c r="AM5" s="56">
        <v>29.7</v>
      </c>
      <c r="AN5" s="56">
        <v>29.6</v>
      </c>
      <c r="AO5" s="56">
        <v>29.6</v>
      </c>
      <c r="AP5" s="58">
        <f t="shared" ref="AP5:AP68" si="0">COUNTIF(K5:AO5,"&gt;0")</f>
        <v>31</v>
      </c>
      <c r="AQ5" s="71">
        <f t="shared" ref="AQ5:AQ68" si="1">IF(AP5&gt;14,AVERAGE(K5:AO5),"")</f>
        <v>28.877419354838711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0.72420446586744092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>
        <v>29.2</v>
      </c>
      <c r="AJ6" s="56">
        <v>29.1</v>
      </c>
      <c r="AK6" s="56">
        <v>29.1</v>
      </c>
      <c r="AL6" s="56">
        <v>27.6</v>
      </c>
      <c r="AM6" s="56">
        <v>28.8</v>
      </c>
      <c r="AN6" s="56">
        <v>29.3</v>
      </c>
      <c r="AO6" s="56">
        <v>29.4</v>
      </c>
      <c r="AP6" s="58">
        <f t="shared" si="0"/>
        <v>31</v>
      </c>
      <c r="AQ6" s="71">
        <f t="shared" si="1"/>
        <v>28.841935483870966</v>
      </c>
      <c r="AR6" s="71">
        <f>IFERROR(VLOOKUP(A6,Climatologia_TMED!A:U,9+$E$2,FALSE),"")</f>
        <v>28.39523388894882</v>
      </c>
      <c r="AS6" s="71">
        <f t="shared" si="2"/>
        <v>0.44670159492214623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>
        <v>31</v>
      </c>
      <c r="AJ7" s="56">
        <v>31.5</v>
      </c>
      <c r="AK7" s="56">
        <v>30.5</v>
      </c>
      <c r="AL7" s="56">
        <v>30.9</v>
      </c>
      <c r="AM7" s="56">
        <v>32</v>
      </c>
      <c r="AN7" s="56">
        <v>32.9</v>
      </c>
      <c r="AO7" s="56">
        <v>32.5</v>
      </c>
      <c r="AP7" s="58">
        <f t="shared" si="0"/>
        <v>31</v>
      </c>
      <c r="AQ7" s="71">
        <f t="shared" si="1"/>
        <v>31.496774193548386</v>
      </c>
      <c r="AR7" s="71">
        <f>IFERROR(VLOOKUP(A7,Climatologia_TMED!A:U,9+$E$2,FALSE),"")</f>
        <v>29.20018049155146</v>
      </c>
      <c r="AS7" s="71">
        <f t="shared" si="2"/>
        <v>2.296593701996926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>
        <v>29.5</v>
      </c>
      <c r="AJ8" s="56">
        <v>29.4</v>
      </c>
      <c r="AK8" s="56">
        <v>28.7</v>
      </c>
      <c r="AL8" s="56">
        <v>30.3</v>
      </c>
      <c r="AM8" s="56">
        <v>30.9</v>
      </c>
      <c r="AN8" s="56">
        <v>31.4</v>
      </c>
      <c r="AO8" s="56">
        <v>30.7</v>
      </c>
      <c r="AP8" s="58">
        <f t="shared" si="0"/>
        <v>31</v>
      </c>
      <c r="AQ8" s="71">
        <f t="shared" si="1"/>
        <v>29.812903225806455</v>
      </c>
      <c r="AR8" s="71">
        <f>IFERROR(VLOOKUP(A8,Climatologia_TMED!A:U,9+$E$2,FALSE),"")</f>
        <v>28.578539316171401</v>
      </c>
      <c r="AS8" s="71">
        <f t="shared" si="2"/>
        <v>1.2343639096350536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>
        <v>29.2</v>
      </c>
      <c r="AJ9" s="56">
        <v>28.9</v>
      </c>
      <c r="AK9" s="56">
        <v>28.1</v>
      </c>
      <c r="AL9" s="56">
        <v>30.8</v>
      </c>
      <c r="AM9" s="56">
        <v>30.9</v>
      </c>
      <c r="AN9" s="56">
        <v>31.5</v>
      </c>
      <c r="AO9" s="56">
        <v>30.8</v>
      </c>
      <c r="AP9" s="58">
        <f t="shared" si="0"/>
        <v>31</v>
      </c>
      <c r="AQ9" s="71">
        <f t="shared" si="1"/>
        <v>29.535483870967742</v>
      </c>
      <c r="AR9" s="71">
        <f>IFERROR(VLOOKUP(A9,Climatologia_TMED!A:U,9+$E$2,FALSE),"")</f>
        <v>29.78746898263023</v>
      </c>
      <c r="AS9" s="71">
        <f t="shared" si="2"/>
        <v>-0.25198511166248849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>
        <v>30.5</v>
      </c>
      <c r="AJ10" s="56">
        <v>31.4</v>
      </c>
      <c r="AK10" s="56">
        <v>29.3</v>
      </c>
      <c r="AL10" s="56">
        <v>31.5</v>
      </c>
      <c r="AM10" s="56">
        <v>33</v>
      </c>
      <c r="AN10" s="56">
        <v>32.5</v>
      </c>
      <c r="AO10" s="56">
        <v>31.4</v>
      </c>
      <c r="AP10" s="58">
        <f t="shared" si="0"/>
        <v>31</v>
      </c>
      <c r="AQ10" s="71">
        <f t="shared" si="1"/>
        <v>31.651612903225804</v>
      </c>
      <c r="AR10" s="71">
        <f>IFERROR(VLOOKUP(A10,Climatologia_TMED!A:U,9+$E$2,FALSE),"")</f>
        <v>30.079422034405059</v>
      </c>
      <c r="AS10" s="71">
        <f t="shared" si="2"/>
        <v>1.5721908688207442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>
        <v>33.200000000000003</v>
      </c>
      <c r="AJ11" s="56">
        <v>30.9</v>
      </c>
      <c r="AK11" s="56">
        <v>31.1</v>
      </c>
      <c r="AL11" s="56">
        <v>33.5</v>
      </c>
      <c r="AM11" s="56">
        <v>34.4</v>
      </c>
      <c r="AN11" s="56">
        <v>34.4</v>
      </c>
      <c r="AO11" s="56">
        <v>32.200000000000003</v>
      </c>
      <c r="AP11" s="58">
        <f t="shared" si="0"/>
        <v>31</v>
      </c>
      <c r="AQ11" s="71">
        <f t="shared" si="1"/>
        <v>32.670967741935485</v>
      </c>
      <c r="AR11" s="71">
        <f>IFERROR(VLOOKUP(A11,Climatologia_TMED!A:U,9+$E$2,FALSE),"")</f>
        <v>30.003914077227851</v>
      </c>
      <c r="AS11" s="71">
        <f t="shared" si="2"/>
        <v>2.6670536647076339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>
        <v>30.9</v>
      </c>
      <c r="AJ12" s="56">
        <v>28.3</v>
      </c>
      <c r="AK12" s="56">
        <v>28.3</v>
      </c>
      <c r="AL12" s="56">
        <v>30.1</v>
      </c>
      <c r="AM12" s="56">
        <v>31</v>
      </c>
      <c r="AN12" s="56">
        <v>31.3</v>
      </c>
      <c r="AO12" s="56">
        <v>30.9</v>
      </c>
      <c r="AP12" s="58">
        <f t="shared" si="0"/>
        <v>31</v>
      </c>
      <c r="AQ12" s="71">
        <f t="shared" si="1"/>
        <v>30.090322580645154</v>
      </c>
      <c r="AR12" s="71">
        <f>IFERROR(VLOOKUP(A12,Climatologia_TMED!A:U,9+$E$2,FALSE),"")</f>
        <v>28.26566638931558</v>
      </c>
      <c r="AS12" s="71">
        <f t="shared" si="2"/>
        <v>1.8246561913295736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>
        <v>30.3</v>
      </c>
      <c r="AJ13" s="56">
        <v>29.1</v>
      </c>
      <c r="AK13" s="56">
        <v>29.3</v>
      </c>
      <c r="AL13" s="56">
        <v>31.2</v>
      </c>
      <c r="AM13" s="56">
        <v>31.4</v>
      </c>
      <c r="AN13" s="56">
        <v>30.9</v>
      </c>
      <c r="AO13" s="56">
        <v>30.6</v>
      </c>
      <c r="AP13" s="58">
        <f t="shared" si="0"/>
        <v>31</v>
      </c>
      <c r="AQ13" s="71">
        <f t="shared" si="1"/>
        <v>30.041935483870962</v>
      </c>
      <c r="AR13" s="71">
        <f>IFERROR(VLOOKUP(A13,Climatologia_TMED!A:U,9+$E$2,FALSE),"")</f>
        <v>28.329394697812361</v>
      </c>
      <c r="AS13" s="71">
        <f t="shared" si="2"/>
        <v>1.7125407860586002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>
        <v>23.1</v>
      </c>
      <c r="AJ14" s="56">
        <v>23.6</v>
      </c>
      <c r="AK14" s="56">
        <v>23.2</v>
      </c>
      <c r="AL14" s="56">
        <v>24.5</v>
      </c>
      <c r="AM14" s="56">
        <v>25</v>
      </c>
      <c r="AN14" s="56">
        <v>25.9</v>
      </c>
      <c r="AO14" s="56">
        <v>23.7</v>
      </c>
      <c r="AP14" s="58">
        <f t="shared" si="0"/>
        <v>31</v>
      </c>
      <c r="AQ14" s="71">
        <f t="shared" si="1"/>
        <v>23.738709677419354</v>
      </c>
      <c r="AR14" s="71">
        <f>IFERROR(VLOOKUP(A14,Climatologia_TMED!A:U,9+$E$2,FALSE),"")</f>
        <v>21.72154002389485</v>
      </c>
      <c r="AS14" s="71">
        <f t="shared" si="2"/>
        <v>2.0171696535245047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>
        <v>28.9</v>
      </c>
      <c r="AJ15" s="56">
        <v>29.9</v>
      </c>
      <c r="AK15" s="56">
        <v>29</v>
      </c>
      <c r="AL15" s="56">
        <v>31.4</v>
      </c>
      <c r="AM15" s="56">
        <v>31.5</v>
      </c>
      <c r="AN15" s="56">
        <v>30.9</v>
      </c>
      <c r="AO15" s="56">
        <v>30.9</v>
      </c>
      <c r="AP15" s="58">
        <f t="shared" si="0"/>
        <v>31</v>
      </c>
      <c r="AQ15" s="71">
        <f t="shared" si="1"/>
        <v>29.43870967741935</v>
      </c>
      <c r="AR15" s="71">
        <f>IFERROR(VLOOKUP(A15,Climatologia_TMED!A:U,9+$E$2,FALSE),"")</f>
        <v>28.235505376344079</v>
      </c>
      <c r="AS15" s="71">
        <f t="shared" si="2"/>
        <v>1.2032043010752709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>
        <v>29.6</v>
      </c>
      <c r="AJ16" s="56">
        <v>27.3</v>
      </c>
      <c r="AK16" s="56">
        <v>28.7</v>
      </c>
      <c r="AL16" s="56">
        <v>28.7</v>
      </c>
      <c r="AM16" s="56">
        <v>29.6</v>
      </c>
      <c r="AN16" s="56">
        <v>30.2</v>
      </c>
      <c r="AO16" s="56">
        <v>29.2</v>
      </c>
      <c r="AP16" s="58">
        <f t="shared" si="0"/>
        <v>31</v>
      </c>
      <c r="AQ16" s="71">
        <f t="shared" si="1"/>
        <v>28.496774193548394</v>
      </c>
      <c r="AR16" s="71">
        <f>IFERROR(VLOOKUP(A16,Climatologia_TMED!A:U,9+$E$2,FALSE),"")</f>
        <v>27.637652848402979</v>
      </c>
      <c r="AS16" s="71">
        <f t="shared" si="2"/>
        <v>0.85912134514541449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>
        <v>25.1</v>
      </c>
      <c r="AJ17" s="56">
        <v>23.1</v>
      </c>
      <c r="AK17" s="56">
        <v>23.6</v>
      </c>
      <c r="AL17" s="56">
        <v>25.7</v>
      </c>
      <c r="AM17" s="56">
        <v>26.3</v>
      </c>
      <c r="AN17" s="56">
        <v>26.7</v>
      </c>
      <c r="AO17" s="56">
        <v>26.1</v>
      </c>
      <c r="AP17" s="58">
        <f t="shared" si="0"/>
        <v>31</v>
      </c>
      <c r="AQ17" s="71">
        <f t="shared" si="1"/>
        <v>24.800000000000004</v>
      </c>
      <c r="AR17" s="71">
        <f>IFERROR(VLOOKUP(A17,Climatologia_TMED!A:U,9+$E$2,FALSE),"")</f>
        <v>23.983623669156199</v>
      </c>
      <c r="AS17" s="71">
        <f t="shared" si="2"/>
        <v>0.81637633084380568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>
        <v>18.899999999999999</v>
      </c>
      <c r="AJ18" s="56">
        <v>18.7</v>
      </c>
      <c r="AK18" s="56">
        <v>18.399999999999999</v>
      </c>
      <c r="AL18" s="56">
        <v>19.3</v>
      </c>
      <c r="AM18" s="56">
        <v>19.7</v>
      </c>
      <c r="AN18" s="56">
        <v>19.8</v>
      </c>
      <c r="AO18" s="56">
        <v>19.7</v>
      </c>
      <c r="AP18" s="58">
        <f t="shared" si="0"/>
        <v>31</v>
      </c>
      <c r="AQ18" s="71">
        <f t="shared" si="1"/>
        <v>18.86451612903226</v>
      </c>
      <c r="AR18" s="71">
        <f>IFERROR(VLOOKUP(A18,Climatologia_TMED!A:U,9+$E$2,FALSE),"")</f>
        <v>17.418351254480282</v>
      </c>
      <c r="AS18" s="71">
        <f t="shared" si="2"/>
        <v>1.4461648745519788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>
        <v>23.3</v>
      </c>
      <c r="AJ19" s="56">
        <v>23</v>
      </c>
      <c r="AK19" s="56">
        <v>23</v>
      </c>
      <c r="AL19" s="56">
        <v>25.5</v>
      </c>
      <c r="AM19" s="56">
        <v>25.3</v>
      </c>
      <c r="AN19" s="56">
        <v>26.1</v>
      </c>
      <c r="AO19" s="56">
        <v>25.4</v>
      </c>
      <c r="AP19" s="58">
        <f t="shared" si="0"/>
        <v>31</v>
      </c>
      <c r="AQ19" s="71">
        <f t="shared" si="1"/>
        <v>24.361290322580643</v>
      </c>
      <c r="AR19" s="71">
        <f>IFERROR(VLOOKUP(A19,Climatologia_TMED!A:U,9+$E$2,FALSE),"")</f>
        <v>22.133534946236551</v>
      </c>
      <c r="AS19" s="71">
        <f t="shared" si="2"/>
        <v>2.227755376344092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>
        <v>23.4</v>
      </c>
      <c r="AJ20" s="56">
        <v>23.6</v>
      </c>
      <c r="AK20" s="56">
        <v>23.8</v>
      </c>
      <c r="AL20" s="56">
        <v>25.8</v>
      </c>
      <c r="AM20" s="56">
        <v>25</v>
      </c>
      <c r="AN20" s="56">
        <v>26</v>
      </c>
      <c r="AO20" s="56">
        <v>25.7</v>
      </c>
      <c r="AP20" s="58">
        <f t="shared" si="0"/>
        <v>31</v>
      </c>
      <c r="AQ20" s="71">
        <f t="shared" si="1"/>
        <v>24.419354838709673</v>
      </c>
      <c r="AR20" s="71">
        <f>IFERROR(VLOOKUP(A20,Climatologia_TMED!A:U,9+$E$2,FALSE),"")</f>
        <v>22.60766542597187</v>
      </c>
      <c r="AS20" s="71">
        <f t="shared" si="2"/>
        <v>1.8116894127378025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>
        <v>26.8</v>
      </c>
      <c r="AJ21" s="56">
        <v>27</v>
      </c>
      <c r="AK21" s="56">
        <v>27.1</v>
      </c>
      <c r="AL21" s="56">
        <v>28.1</v>
      </c>
      <c r="AM21" s="56">
        <v>27</v>
      </c>
      <c r="AN21" s="56">
        <v>29.8</v>
      </c>
      <c r="AO21" s="56">
        <v>28.9</v>
      </c>
      <c r="AP21" s="58">
        <f t="shared" si="0"/>
        <v>31</v>
      </c>
      <c r="AQ21" s="71">
        <f t="shared" si="1"/>
        <v>27.29354838709677</v>
      </c>
      <c r="AR21" s="71">
        <f>IFERROR(VLOOKUP(A21,Climatologia_TMED!A:U,9+$E$2,FALSE),"")</f>
        <v>24.690081891757131</v>
      </c>
      <c r="AS21" s="71">
        <f t="shared" si="2"/>
        <v>2.6034664953396387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>
        <v>14.6</v>
      </c>
      <c r="AJ22" s="56">
        <v>15.5</v>
      </c>
      <c r="AK22" s="56">
        <v>15.3</v>
      </c>
      <c r="AL22" s="56">
        <v>15.5</v>
      </c>
      <c r="AM22" s="56">
        <v>16.2</v>
      </c>
      <c r="AN22" s="56">
        <v>15.3</v>
      </c>
      <c r="AO22" s="56">
        <v>15.8</v>
      </c>
      <c r="AP22" s="58">
        <f t="shared" si="0"/>
        <v>31</v>
      </c>
      <c r="AQ22" s="71">
        <f t="shared" si="1"/>
        <v>15.509677419354839</v>
      </c>
      <c r="AR22" s="71">
        <f>IFERROR(VLOOKUP(A22,Climatologia_TMED!A:U,9+$E$2,FALSE),"")</f>
        <v>13.7803329197684</v>
      </c>
      <c r="AS22" s="71">
        <f t="shared" si="2"/>
        <v>1.7293444995864391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>
        <v>25.5</v>
      </c>
      <c r="AJ23" s="56">
        <v>25.5</v>
      </c>
      <c r="AK23" s="56">
        <v>25.2</v>
      </c>
      <c r="AL23" s="56">
        <v>26.5</v>
      </c>
      <c r="AM23" s="56">
        <v>26.3</v>
      </c>
      <c r="AN23" s="56">
        <v>27.5</v>
      </c>
      <c r="AO23" s="56">
        <v>27</v>
      </c>
      <c r="AP23" s="58">
        <f t="shared" si="0"/>
        <v>31</v>
      </c>
      <c r="AQ23" s="71">
        <f t="shared" si="1"/>
        <v>26.158064516129027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>
        <v>29.6</v>
      </c>
      <c r="AJ24" s="56">
        <v>29.3</v>
      </c>
      <c r="AK24" s="56">
        <v>29.3</v>
      </c>
      <c r="AL24" s="56">
        <v>30.6</v>
      </c>
      <c r="AM24" s="56">
        <v>30.5</v>
      </c>
      <c r="AN24" s="56">
        <v>30.7</v>
      </c>
      <c r="AO24" s="56">
        <v>30.9</v>
      </c>
      <c r="AP24" s="58">
        <f t="shared" si="0"/>
        <v>31</v>
      </c>
      <c r="AQ24" s="71">
        <f t="shared" si="1"/>
        <v>29.564516129032263</v>
      </c>
      <c r="AR24" s="71">
        <f>IFERROR(VLOOKUP(A24,Climatologia_TMED!A:U,9+$E$2,FALSE),"")</f>
        <v>28.36235848473612</v>
      </c>
      <c r="AS24" s="71">
        <f t="shared" si="2"/>
        <v>1.2021576442961432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>
        <v>22.6</v>
      </c>
      <c r="AJ25" s="56">
        <v>22.5</v>
      </c>
      <c r="AK25" s="56">
        <v>21.2</v>
      </c>
      <c r="AL25" s="56">
        <v>22.1</v>
      </c>
      <c r="AM25" s="56">
        <v>21.7</v>
      </c>
      <c r="AN25" s="56">
        <v>23.4</v>
      </c>
      <c r="AO25" s="56">
        <v>23.5</v>
      </c>
      <c r="AP25" s="58">
        <f t="shared" si="0"/>
        <v>31</v>
      </c>
      <c r="AQ25" s="71">
        <f t="shared" si="1"/>
        <v>21.948387096774194</v>
      </c>
      <c r="AR25" s="71">
        <f>IFERROR(VLOOKUP(A25,Climatologia_TMED!A:U,9+$E$2,FALSE),"")</f>
        <v>19.9334244562022</v>
      </c>
      <c r="AS25" s="71">
        <f t="shared" si="2"/>
        <v>2.0149626405719943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>
        <v>11.3</v>
      </c>
      <c r="AJ26" s="56">
        <v>10.9</v>
      </c>
      <c r="AK26" s="56">
        <v>10.4</v>
      </c>
      <c r="AL26" s="56">
        <v>11.1</v>
      </c>
      <c r="AM26" s="56">
        <v>9.4</v>
      </c>
      <c r="AN26" s="56">
        <v>11.8</v>
      </c>
      <c r="AO26" s="56">
        <v>11.9</v>
      </c>
      <c r="AP26" s="58">
        <f t="shared" si="0"/>
        <v>31</v>
      </c>
      <c r="AQ26" s="71">
        <f t="shared" si="1"/>
        <v>11.47096774193548</v>
      </c>
      <c r="AR26" s="71">
        <f>IFERROR(VLOOKUP(A26,Climatologia_TMED!A:U,9+$E$2,FALSE),"")</f>
        <v>10.370314900153589</v>
      </c>
      <c r="AS26" s="71">
        <f t="shared" si="2"/>
        <v>1.1006528417818906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>
        <v>29.5</v>
      </c>
      <c r="AJ27" s="56">
        <v>26.2</v>
      </c>
      <c r="AK27" s="56">
        <v>28.1</v>
      </c>
      <c r="AL27" s="56">
        <v>29.1</v>
      </c>
      <c r="AM27" s="56">
        <v>30.1</v>
      </c>
      <c r="AN27" s="56">
        <v>28.5</v>
      </c>
      <c r="AO27" s="56">
        <v>27.7</v>
      </c>
      <c r="AP27" s="58">
        <f t="shared" si="0"/>
        <v>31</v>
      </c>
      <c r="AQ27" s="71">
        <f t="shared" si="1"/>
        <v>28.145161290322587</v>
      </c>
      <c r="AR27" s="71">
        <f>IFERROR(VLOOKUP(A27,Climatologia_TMED!A:U,9+$E$2,FALSE),"")</f>
        <v>26.988705969595848</v>
      </c>
      <c r="AS27" s="71">
        <f t="shared" si="2"/>
        <v>1.1564553207267387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>
        <v>25.3</v>
      </c>
      <c r="AJ28" s="56">
        <v>23.7</v>
      </c>
      <c r="AK28" s="56">
        <v>27.1</v>
      </c>
      <c r="AL28" s="56">
        <v>28.9</v>
      </c>
      <c r="AM28" s="56">
        <v>27.2</v>
      </c>
      <c r="AN28" s="56">
        <v>27.9</v>
      </c>
      <c r="AO28" s="56">
        <v>24.3</v>
      </c>
      <c r="AP28" s="58">
        <f t="shared" si="0"/>
        <v>31</v>
      </c>
      <c r="AQ28" s="71">
        <f t="shared" si="1"/>
        <v>26.583870967741937</v>
      </c>
      <c r="AR28" s="71">
        <f>IFERROR(VLOOKUP(A28,Climatologia_TMED!A:U,9+$E$2,FALSE),"")</f>
        <v>25.751418551476942</v>
      </c>
      <c r="AS28" s="71">
        <f t="shared" si="2"/>
        <v>0.83245241626499578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>
        <v>28.7</v>
      </c>
      <c r="AJ29" s="56">
        <v>26.4</v>
      </c>
      <c r="AK29" s="56">
        <v>28.6</v>
      </c>
      <c r="AL29" s="56">
        <v>28.9</v>
      </c>
      <c r="AM29" s="56">
        <v>29.1</v>
      </c>
      <c r="AN29" s="56">
        <v>29.5</v>
      </c>
      <c r="AO29" s="56">
        <v>26.7</v>
      </c>
      <c r="AP29" s="58">
        <f t="shared" si="0"/>
        <v>31</v>
      </c>
      <c r="AQ29" s="71">
        <f t="shared" si="1"/>
        <v>27.822580645161295</v>
      </c>
      <c r="AR29" s="71">
        <f>IFERROR(VLOOKUP(A29,Climatologia_TMED!A:U,9+$E$2,FALSE),"")</f>
        <v>26.954042214257239</v>
      </c>
      <c r="AS29" s="71">
        <f t="shared" si="2"/>
        <v>0.86853843090405647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>
        <v>26</v>
      </c>
      <c r="AJ30" s="56">
        <v>25.8</v>
      </c>
      <c r="AK30" s="56">
        <v>25.7</v>
      </c>
      <c r="AL30" s="56">
        <v>26.9</v>
      </c>
      <c r="AM30" s="56">
        <v>23.3</v>
      </c>
      <c r="AN30" s="56">
        <v>26</v>
      </c>
      <c r="AO30" s="56">
        <v>24.8</v>
      </c>
      <c r="AP30" s="58">
        <f t="shared" si="0"/>
        <v>31</v>
      </c>
      <c r="AQ30" s="71">
        <f t="shared" si="1"/>
        <v>25.29354838709677</v>
      </c>
      <c r="AR30" s="71">
        <f>IFERROR(VLOOKUP(A30,Climatologia_TMED!A:U,9+$E$2,FALSE),"")</f>
        <v>24.518001483129371</v>
      </c>
      <c r="AS30" s="71">
        <f t="shared" si="2"/>
        <v>0.775546903967399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>
        <v>26.4</v>
      </c>
      <c r="AJ31" s="98">
        <v>26.2</v>
      </c>
      <c r="AK31" s="98">
        <v>26.2</v>
      </c>
      <c r="AL31" s="98">
        <v>27.4</v>
      </c>
      <c r="AM31" s="98">
        <v>28</v>
      </c>
      <c r="AN31" s="98">
        <v>27.1</v>
      </c>
      <c r="AO31" s="98">
        <v>27.3</v>
      </c>
      <c r="AP31" s="58">
        <f t="shared" si="0"/>
        <v>31</v>
      </c>
      <c r="AQ31" s="71">
        <f t="shared" si="1"/>
        <v>26.86774193548387</v>
      </c>
      <c r="AR31" s="71">
        <f>IFERROR(VLOOKUP(A31,Climatologia_TMED!A:U,9+$E$2,FALSE),"")</f>
        <v>25.368948626045398</v>
      </c>
      <c r="AS31" s="71">
        <f t="shared" si="2"/>
        <v>1.4987933094384722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>
        <v>20.6</v>
      </c>
      <c r="AJ32" s="56">
        <v>19.266666666666669</v>
      </c>
      <c r="AK32" s="56">
        <v>19.600000000000001</v>
      </c>
      <c r="AL32" s="56">
        <v>20.2</v>
      </c>
      <c r="AM32" s="56">
        <v>20.266666666666669</v>
      </c>
      <c r="AN32" s="56">
        <v>19.666666666666671</v>
      </c>
      <c r="AO32" s="56">
        <v>19.133333333333329</v>
      </c>
      <c r="AP32" s="58">
        <f t="shared" si="0"/>
        <v>31</v>
      </c>
      <c r="AQ32" s="71">
        <f t="shared" si="1"/>
        <v>20.375268817204301</v>
      </c>
      <c r="AR32" s="71">
        <f>IFERROR(VLOOKUP(A32,Climatologia_TMED!A:U,9+$E$2,FALSE),"")</f>
        <v>17.656856052108839</v>
      </c>
      <c r="AS32" s="71">
        <f t="shared" si="2"/>
        <v>2.7184127650954615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>
        <v>29.2</v>
      </c>
      <c r="AJ33" s="56">
        <v>26.95</v>
      </c>
      <c r="AK33" s="56">
        <v>28.05</v>
      </c>
      <c r="AL33" s="56">
        <v>28.65</v>
      </c>
      <c r="AM33" s="56">
        <v>29</v>
      </c>
      <c r="AN33" s="56">
        <v>28.95</v>
      </c>
      <c r="AO33" s="56">
        <v>28.55</v>
      </c>
      <c r="AP33" s="58">
        <f t="shared" si="0"/>
        <v>31</v>
      </c>
      <c r="AQ33" s="71">
        <f t="shared" si="1"/>
        <v>28.020967741935486</v>
      </c>
      <c r="AR33" s="71">
        <f>IFERROR(VLOOKUP(A33,Climatologia_TMED!A:U,9+$E$2,FALSE),"")</f>
        <v>26.827472081212552</v>
      </c>
      <c r="AS33" s="71">
        <f t="shared" si="2"/>
        <v>1.1934956607229346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>
        <v>21.333333333333329</v>
      </c>
      <c r="AJ34" s="56">
        <v>20.93333333333333</v>
      </c>
      <c r="AK34" s="56">
        <v>21.266666666666669</v>
      </c>
      <c r="AL34" s="56">
        <v>21.6</v>
      </c>
      <c r="AM34" s="56">
        <v>22.333333333333329</v>
      </c>
      <c r="AN34" s="56">
        <v>22</v>
      </c>
      <c r="AO34" s="56">
        <v>21.466666666666669</v>
      </c>
      <c r="AP34" s="58">
        <f t="shared" si="0"/>
        <v>31</v>
      </c>
      <c r="AQ34" s="71">
        <f t="shared" si="1"/>
        <v>21.354838709677423</v>
      </c>
      <c r="AR34" s="71">
        <f>IFERROR(VLOOKUP(A34,Climatologia_TMED!A:U,9+$E$2,FALSE),"")</f>
        <v>19.787197591680322</v>
      </c>
      <c r="AS34" s="71">
        <f t="shared" si="2"/>
        <v>1.5676411179971019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>
        <v>26.1</v>
      </c>
      <c r="AJ35" s="56">
        <v>24.7</v>
      </c>
      <c r="AK35" s="56">
        <v>23.9</v>
      </c>
      <c r="AL35" s="56">
        <v>24.8</v>
      </c>
      <c r="AM35" s="56">
        <v>25.1</v>
      </c>
      <c r="AN35" s="56">
        <v>24.65</v>
      </c>
      <c r="AO35" s="56">
        <v>26.2</v>
      </c>
      <c r="AP35" s="58">
        <f t="shared" si="0"/>
        <v>31</v>
      </c>
      <c r="AQ35" s="71">
        <f t="shared" si="1"/>
        <v>24.609677419354838</v>
      </c>
      <c r="AR35" s="71">
        <f>IFERROR(VLOOKUP(A35,Climatologia_TMED!A:U,9+$E$2,FALSE),"")</f>
        <v>24.038247899717401</v>
      </c>
      <c r="AS35" s="71">
        <f t="shared" si="2"/>
        <v>0.57142951963743727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>
        <v>19.55</v>
      </c>
      <c r="AJ36" s="56">
        <v>19</v>
      </c>
      <c r="AK36" s="56">
        <v>19.649999999999999</v>
      </c>
      <c r="AL36" s="56">
        <v>19.7</v>
      </c>
      <c r="AM36" s="56">
        <v>19.7</v>
      </c>
      <c r="AN36" s="56">
        <v>20.6</v>
      </c>
      <c r="AO36" s="56">
        <v>19.899999999999999</v>
      </c>
      <c r="AP36" s="58">
        <f t="shared" si="0"/>
        <v>31</v>
      </c>
      <c r="AQ36" s="71">
        <f t="shared" si="1"/>
        <v>19.985483870967744</v>
      </c>
      <c r="AR36" s="71">
        <f>IFERROR(VLOOKUP(A36,Climatologia_TMED!A:U,9+$E$2,FALSE),"")</f>
        <v>18.99881106321839</v>
      </c>
      <c r="AS36" s="71">
        <f t="shared" si="2"/>
        <v>0.98667280774935406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>
        <v>27.4</v>
      </c>
      <c r="AJ37" s="56">
        <v>26.8</v>
      </c>
      <c r="AK37" s="56">
        <v>27.3</v>
      </c>
      <c r="AL37" s="56">
        <v>27.4</v>
      </c>
      <c r="AM37" s="56">
        <v>27.55</v>
      </c>
      <c r="AN37" s="56">
        <v>27.95</v>
      </c>
      <c r="AO37" s="56">
        <v>26.55</v>
      </c>
      <c r="AP37" s="58">
        <f t="shared" si="0"/>
        <v>31</v>
      </c>
      <c r="AQ37" s="71">
        <f t="shared" si="1"/>
        <v>27.36774193548387</v>
      </c>
      <c r="AR37" s="71">
        <f>IFERROR(VLOOKUP(A37,Climatologia_TMED!A:U,9+$E$2,FALSE),"")</f>
        <v>25.886229873937381</v>
      </c>
      <c r="AS37" s="71">
        <f t="shared" si="2"/>
        <v>1.4815120615464892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>
        <v>15.2</v>
      </c>
      <c r="AJ38" s="56">
        <v>15.15</v>
      </c>
      <c r="AK38" s="56">
        <v>15.05</v>
      </c>
      <c r="AL38" s="56">
        <v>15.55</v>
      </c>
      <c r="AM38" s="56">
        <v>16.600000000000001</v>
      </c>
      <c r="AN38" s="56">
        <v>16.899999999999999</v>
      </c>
      <c r="AO38" s="56">
        <v>16.95</v>
      </c>
      <c r="AP38" s="58">
        <f t="shared" si="0"/>
        <v>29</v>
      </c>
      <c r="AQ38" s="71">
        <f t="shared" si="1"/>
        <v>15.986206896551723</v>
      </c>
      <c r="AR38" s="71">
        <f>IFERROR(VLOOKUP(A38,Climatologia_TMED!A:U,9+$E$2,FALSE),"")</f>
        <v>15.017929006950681</v>
      </c>
      <c r="AS38" s="71">
        <f t="shared" si="2"/>
        <v>0.96827788960104222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>
        <v>21.8</v>
      </c>
      <c r="AJ39" s="56">
        <v>20.666666666666671</v>
      </c>
      <c r="AK39" s="56">
        <v>21.06666666666667</v>
      </c>
      <c r="AL39" s="56">
        <v>22.666666666666671</v>
      </c>
      <c r="AM39" s="56">
        <v>23</v>
      </c>
      <c r="AN39" s="56">
        <v>25.2</v>
      </c>
      <c r="AO39" s="56">
        <v>23.533333333333331</v>
      </c>
      <c r="AP39" s="58">
        <f t="shared" si="0"/>
        <v>30</v>
      </c>
      <c r="AQ39" s="71">
        <f t="shared" si="1"/>
        <v>22.4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>
        <v>24.333333333333329</v>
      </c>
      <c r="AI40" s="56">
        <v>24.13333333333334</v>
      </c>
      <c r="AJ40" s="56">
        <v>23.333333333333329</v>
      </c>
      <c r="AK40" s="56">
        <v>24.733333333333331</v>
      </c>
      <c r="AL40" s="56">
        <v>25.13333333333334</v>
      </c>
      <c r="AM40" s="56">
        <v>25.93333333333333</v>
      </c>
      <c r="AN40" s="56">
        <v>26.86666666666666</v>
      </c>
      <c r="AO40" s="56">
        <v>26.13333333333334</v>
      </c>
      <c r="AP40" s="58">
        <f t="shared" si="0"/>
        <v>25</v>
      </c>
      <c r="AQ40" s="71">
        <f t="shared" si="1"/>
        <v>25.325999999999993</v>
      </c>
      <c r="AR40" s="71">
        <f>IFERROR(VLOOKUP(A40,Climatologia_TMED!A:U,9+$E$2,FALSE),"")</f>
        <v>22.851790748426971</v>
      </c>
      <c r="AS40" s="71">
        <f t="shared" si="2"/>
        <v>2.4742092515730221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>
        <v>20.466666666666669</v>
      </c>
      <c r="AJ41" s="56">
        <v>19.2</v>
      </c>
      <c r="AK41" s="56">
        <v>18.86666666666666</v>
      </c>
      <c r="AL41" s="56">
        <v>19</v>
      </c>
      <c r="AM41" s="56">
        <v>20.733333333333331</v>
      </c>
      <c r="AN41" s="56">
        <v>19.333333333333329</v>
      </c>
      <c r="AO41" s="56">
        <v>21.466666666666669</v>
      </c>
      <c r="AP41" s="58">
        <f t="shared" si="0"/>
        <v>30</v>
      </c>
      <c r="AQ41" s="71">
        <f t="shared" si="1"/>
        <v>20.103333333333332</v>
      </c>
      <c r="AR41" s="71">
        <f>IFERROR(VLOOKUP(A41,Climatologia_TMED!A:U,9+$E$2,FALSE),"")</f>
        <v>18.492109191327739</v>
      </c>
      <c r="AS41" s="71">
        <f t="shared" si="2"/>
        <v>1.6112241420055931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>
        <v>28.55</v>
      </c>
      <c r="AJ42" s="56">
        <v>27.15</v>
      </c>
      <c r="AK42" s="56">
        <v>26.9</v>
      </c>
      <c r="AL42" s="56">
        <v>27.65</v>
      </c>
      <c r="AM42" s="56">
        <v>28.9</v>
      </c>
      <c r="AN42" s="56">
        <v>29.15</v>
      </c>
      <c r="AO42" s="56">
        <v>28.55</v>
      </c>
      <c r="AP42" s="58">
        <f t="shared" si="0"/>
        <v>31</v>
      </c>
      <c r="AQ42" s="71">
        <f t="shared" si="1"/>
        <v>28.0266129032258</v>
      </c>
      <c r="AR42" s="71">
        <f>IFERROR(VLOOKUP(A42,Climatologia_TMED!A:U,9+$E$2,FALSE),"")</f>
        <v>27.752685517058271</v>
      </c>
      <c r="AS42" s="71">
        <f t="shared" si="2"/>
        <v>0.27392738616752865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>
        <v>29.75</v>
      </c>
      <c r="AJ43" s="56">
        <v>28.1</v>
      </c>
      <c r="AK43" s="56">
        <v>28.15</v>
      </c>
      <c r="AL43" s="56">
        <v>28.9</v>
      </c>
      <c r="AM43" s="56">
        <v>30.35</v>
      </c>
      <c r="AN43" s="56">
        <v>30.6</v>
      </c>
      <c r="AO43" s="56">
        <v>30.8</v>
      </c>
      <c r="AP43" s="58">
        <f t="shared" si="0"/>
        <v>29</v>
      </c>
      <c r="AQ43" s="71">
        <f t="shared" si="1"/>
        <v>29.396551724137936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>
        <v>28.95</v>
      </c>
      <c r="AJ44" s="56">
        <v>29.1</v>
      </c>
      <c r="AK44" s="56">
        <v>27.875</v>
      </c>
      <c r="AL44" s="56">
        <v>28.75</v>
      </c>
      <c r="AM44" s="56">
        <v>28.75</v>
      </c>
      <c r="AN44" s="56">
        <v>29.55</v>
      </c>
      <c r="AO44" s="56">
        <v>28.5</v>
      </c>
      <c r="AP44" s="58">
        <f t="shared" si="0"/>
        <v>31</v>
      </c>
      <c r="AQ44" s="71">
        <f t="shared" si="1"/>
        <v>28.553225806451607</v>
      </c>
      <c r="AR44" s="71">
        <f>IFERROR(VLOOKUP(A44,Climatologia_TMED!A:U,9+$E$2,FALSE),"")</f>
        <v>27.342343444282822</v>
      </c>
      <c r="AS44" s="71">
        <f t="shared" si="2"/>
        <v>1.2108823621687854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>
        <v>29.65</v>
      </c>
      <c r="AJ45" s="56">
        <v>27.75</v>
      </c>
      <c r="AK45" s="56">
        <v>27.2</v>
      </c>
      <c r="AL45" s="56">
        <v>29.2</v>
      </c>
      <c r="AM45" s="56">
        <v>29.4</v>
      </c>
      <c r="AN45" s="56">
        <v>30.15</v>
      </c>
      <c r="AO45" s="56">
        <v>30.3</v>
      </c>
      <c r="AP45" s="58">
        <f t="shared" si="0"/>
        <v>31</v>
      </c>
      <c r="AQ45" s="71">
        <f t="shared" si="1"/>
        <v>29.241935483870972</v>
      </c>
      <c r="AR45" s="71">
        <f>IFERROR(VLOOKUP(A45,Climatologia_TMED!A:U,9+$E$2,FALSE),"")</f>
        <v>27.76810747493143</v>
      </c>
      <c r="AS45" s="71">
        <f t="shared" si="2"/>
        <v>1.4738280089395417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>
        <v>29.4</v>
      </c>
      <c r="AJ46" s="56">
        <v>28.1</v>
      </c>
      <c r="AK46" s="56">
        <v>27.7</v>
      </c>
      <c r="AL46" s="56">
        <v>28.75</v>
      </c>
      <c r="AM46" s="56">
        <v>29.7</v>
      </c>
      <c r="AN46" s="56">
        <v>29.9</v>
      </c>
      <c r="AO46" s="56">
        <v>29.5</v>
      </c>
      <c r="AP46" s="58">
        <f t="shared" si="0"/>
        <v>31</v>
      </c>
      <c r="AQ46" s="71">
        <f t="shared" si="1"/>
        <v>28.958870967741937</v>
      </c>
      <c r="AR46" s="71">
        <f>IFERROR(VLOOKUP(A46,Climatologia_TMED!A:U,9+$E$2,FALSE),"")</f>
        <v>27.906197631897481</v>
      </c>
      <c r="AS46" s="71">
        <f t="shared" si="2"/>
        <v>1.0526733358444567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>
        <v>31.4</v>
      </c>
      <c r="AJ47" s="56">
        <v>28.6</v>
      </c>
      <c r="AK47" s="56">
        <v>27.666666666666671</v>
      </c>
      <c r="AL47" s="56">
        <v>30.6</v>
      </c>
      <c r="AM47" s="56">
        <v>31.333333333333329</v>
      </c>
      <c r="AN47" s="56">
        <v>31.733333333333331</v>
      </c>
      <c r="AO47" s="56"/>
      <c r="AP47" s="58">
        <f t="shared" si="0"/>
        <v>30</v>
      </c>
      <c r="AQ47" s="71">
        <f t="shared" si="1"/>
        <v>30.003333333333341</v>
      </c>
      <c r="AR47" s="71">
        <f>IFERROR(VLOOKUP(A47,Climatologia_TMED!A:U,9+$E$2,FALSE),"")</f>
        <v>27.968875859317389</v>
      </c>
      <c r="AS47" s="71">
        <f t="shared" si="2"/>
        <v>2.0344574740159516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>
        <v>29.05</v>
      </c>
      <c r="AJ50" s="56">
        <v>27.75</v>
      </c>
      <c r="AK50" s="56">
        <v>28.4</v>
      </c>
      <c r="AL50" s="56">
        <v>29.8</v>
      </c>
      <c r="AM50" s="56">
        <v>29.45</v>
      </c>
      <c r="AN50" s="56">
        <v>30.6</v>
      </c>
      <c r="AO50" s="56">
        <v>27.75</v>
      </c>
      <c r="AP50" s="58">
        <f t="shared" si="0"/>
        <v>31</v>
      </c>
      <c r="AQ50" s="71">
        <f t="shared" si="1"/>
        <v>29.211290322580645</v>
      </c>
      <c r="AR50" s="71">
        <f>IFERROR(VLOOKUP(A50,Climatologia_TMED!A:U,9+$E$2,FALSE),"")</f>
        <v>27.288690346031821</v>
      </c>
      <c r="AS50" s="71">
        <f t="shared" si="2"/>
        <v>1.922599976548824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>
        <v>29</v>
      </c>
      <c r="AJ53" s="56">
        <v>27.65</v>
      </c>
      <c r="AK53" s="56">
        <v>27</v>
      </c>
      <c r="AL53" s="56">
        <v>29</v>
      </c>
      <c r="AM53" s="56">
        <v>29.35</v>
      </c>
      <c r="AN53" s="56">
        <v>30.35</v>
      </c>
      <c r="AO53" s="56">
        <v>30.5</v>
      </c>
      <c r="AP53" s="58">
        <f t="shared" si="0"/>
        <v>31</v>
      </c>
      <c r="AQ53" s="71">
        <f t="shared" si="1"/>
        <v>28.943548387096776</v>
      </c>
      <c r="AR53" s="71">
        <f>IFERROR(VLOOKUP(A53,Climatologia_TMED!A:U,9+$E$2,FALSE),"")</f>
        <v>27.359246296590548</v>
      </c>
      <c r="AS53" s="71">
        <f t="shared" si="2"/>
        <v>1.5843020905062275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>
        <v>30.45</v>
      </c>
      <c r="AJ54" s="56">
        <v>27.35</v>
      </c>
      <c r="AK54" s="56">
        <v>28.7</v>
      </c>
      <c r="AL54" s="56">
        <v>29.85</v>
      </c>
      <c r="AM54" s="56">
        <v>30.75</v>
      </c>
      <c r="AN54" s="56">
        <v>31.9</v>
      </c>
      <c r="AO54" s="56">
        <v>30.75</v>
      </c>
      <c r="AP54" s="58">
        <f t="shared" si="0"/>
        <v>31</v>
      </c>
      <c r="AQ54" s="71">
        <f t="shared" si="1"/>
        <v>30.088709677419363</v>
      </c>
      <c r="AR54" s="71">
        <f>IFERROR(VLOOKUP(A54,Climatologia_TMED!A:U,9+$E$2,FALSE),"")</f>
        <v>28.498226025066419</v>
      </c>
      <c r="AS54" s="71">
        <f t="shared" si="2"/>
        <v>1.590483652352944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>
        <v>28.95</v>
      </c>
      <c r="AJ55" s="56">
        <v>29.95</v>
      </c>
      <c r="AK55" s="56">
        <v>27.2</v>
      </c>
      <c r="AL55" s="56">
        <v>30.7</v>
      </c>
      <c r="AM55" s="56">
        <v>30.7</v>
      </c>
      <c r="AN55" s="56">
        <v>31.5</v>
      </c>
      <c r="AO55" s="56">
        <v>31.7</v>
      </c>
      <c r="AP55" s="58">
        <f t="shared" si="0"/>
        <v>24</v>
      </c>
      <c r="AQ55" s="71">
        <f t="shared" si="1"/>
        <v>30.310416666666679</v>
      </c>
      <c r="AR55" s="71">
        <f>IFERROR(VLOOKUP(A55,Climatologia_TMED!A:U,9+$E$2,FALSE),"")</f>
        <v>28.430959670237041</v>
      </c>
      <c r="AS55" s="71">
        <f t="shared" si="2"/>
        <v>1.8794569964296386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>
        <v>27.45</v>
      </c>
      <c r="AJ56" s="56">
        <v>27.35</v>
      </c>
      <c r="AK56" s="56">
        <v>27.45</v>
      </c>
      <c r="AL56" s="56">
        <v>28.65</v>
      </c>
      <c r="AM56" s="56">
        <v>28.9</v>
      </c>
      <c r="AN56" s="56">
        <v>30.6</v>
      </c>
      <c r="AO56" s="56">
        <v>27.5</v>
      </c>
      <c r="AP56" s="58">
        <f t="shared" si="0"/>
        <v>31</v>
      </c>
      <c r="AQ56" s="71">
        <f t="shared" si="1"/>
        <v>29.261290322580646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>
        <v>28.7</v>
      </c>
      <c r="AJ59" s="56">
        <v>28.15</v>
      </c>
      <c r="AK59" s="56">
        <v>27.6</v>
      </c>
      <c r="AL59" s="56">
        <v>30</v>
      </c>
      <c r="AM59" s="56">
        <v>29.55</v>
      </c>
      <c r="AN59" s="56">
        <v>30.1</v>
      </c>
      <c r="AO59" s="56">
        <v>29.55</v>
      </c>
      <c r="AP59" s="58">
        <f t="shared" si="0"/>
        <v>30</v>
      </c>
      <c r="AQ59" s="71">
        <f t="shared" si="1"/>
        <v>29.110833333333332</v>
      </c>
      <c r="AR59" s="71">
        <f>IFERROR(VLOOKUP(A59,Climatologia_TMED!A:U,9+$E$2,FALSE),"")</f>
        <v>28.11421982908216</v>
      </c>
      <c r="AS59" s="71">
        <f t="shared" si="2"/>
        <v>0.99661350425117234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>
        <v>24.65</v>
      </c>
      <c r="AI60" s="56">
        <v>26.15</v>
      </c>
      <c r="AJ60" s="56">
        <v>25.5</v>
      </c>
      <c r="AK60" s="56">
        <v>25.95</v>
      </c>
      <c r="AL60" s="56">
        <v>26.25</v>
      </c>
      <c r="AM60" s="56"/>
      <c r="AN60" s="56"/>
      <c r="AO60" s="56"/>
      <c r="AP60" s="58">
        <f t="shared" si="0"/>
        <v>23</v>
      </c>
      <c r="AQ60" s="71">
        <f t="shared" si="1"/>
        <v>25.754347826086956</v>
      </c>
      <c r="AR60" s="71">
        <f>IFERROR(VLOOKUP(A60,Climatologia_TMED!A:U,9+$E$2,FALSE),"")</f>
        <v>24.144564214948328</v>
      </c>
      <c r="AS60" s="71">
        <f t="shared" si="2"/>
        <v>1.6097836111386279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>
        <v>27.6</v>
      </c>
      <c r="AJ61" s="56">
        <v>26.9</v>
      </c>
      <c r="AK61" s="56">
        <v>27.2</v>
      </c>
      <c r="AL61" s="56">
        <v>28.25</v>
      </c>
      <c r="AM61" s="56">
        <v>27.85</v>
      </c>
      <c r="AN61" s="56">
        <v>26.95</v>
      </c>
      <c r="AO61" s="56">
        <v>26.5</v>
      </c>
      <c r="AP61" s="58">
        <f t="shared" si="0"/>
        <v>31</v>
      </c>
      <c r="AQ61" s="71">
        <f t="shared" si="1"/>
        <v>26.785483870967749</v>
      </c>
      <c r="AR61" s="71">
        <f>IFERROR(VLOOKUP(A61,Climatologia_TMED!A:U,9+$E$2,FALSE),"")</f>
        <v>25.706671681725961</v>
      </c>
      <c r="AS61" s="71">
        <f t="shared" si="2"/>
        <v>1.0788121892417877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>
        <v>26.333333333333329</v>
      </c>
      <c r="AJ62" s="56">
        <v>25.86666666666666</v>
      </c>
      <c r="AK62" s="56">
        <v>26.6</v>
      </c>
      <c r="AL62" s="56">
        <v>28.4</v>
      </c>
      <c r="AM62" s="56">
        <v>27.066666666666659</v>
      </c>
      <c r="AN62" s="56">
        <v>25.533333333333331</v>
      </c>
      <c r="AO62" s="56">
        <v>26.13333333333334</v>
      </c>
      <c r="AP62" s="58">
        <f t="shared" si="0"/>
        <v>31</v>
      </c>
      <c r="AQ62" s="71">
        <f t="shared" si="1"/>
        <v>26.06451612903226</v>
      </c>
      <c r="AR62" s="71">
        <f>IFERROR(VLOOKUP(A62,Climatologia_TMED!A:U,9+$E$2,FALSE),"")</f>
        <v>24.539003939963891</v>
      </c>
      <c r="AS62" s="71">
        <f t="shared" si="2"/>
        <v>1.5255121890683689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>
        <v>25.3</v>
      </c>
      <c r="AJ65" s="56">
        <v>25.2</v>
      </c>
      <c r="AK65" s="56">
        <v>25.7</v>
      </c>
      <c r="AL65" s="56">
        <v>26.1</v>
      </c>
      <c r="AM65" s="56">
        <v>26.9</v>
      </c>
      <c r="AN65" s="56">
        <v>24.05</v>
      </c>
      <c r="AO65" s="56">
        <v>23.4</v>
      </c>
      <c r="AP65" s="58">
        <f t="shared" si="0"/>
        <v>22</v>
      </c>
      <c r="AQ65" s="71">
        <f t="shared" si="1"/>
        <v>25.625</v>
      </c>
      <c r="AR65" s="71">
        <f>IFERROR(VLOOKUP(A65,Climatologia_TMED!A:U,9+$E$2,FALSE),"")</f>
        <v>25.005205958311159</v>
      </c>
      <c r="AS65" s="71">
        <f t="shared" si="2"/>
        <v>0.61979404168884145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>
        <v>26.3</v>
      </c>
      <c r="AJ66" s="56">
        <v>25.5</v>
      </c>
      <c r="AK66" s="56">
        <v>26.95</v>
      </c>
      <c r="AL66" s="56">
        <v>27.3</v>
      </c>
      <c r="AM66" s="56">
        <v>27</v>
      </c>
      <c r="AN66" s="56">
        <v>23.55</v>
      </c>
      <c r="AO66" s="56">
        <v>24.15</v>
      </c>
      <c r="AP66" s="58">
        <f t="shared" si="0"/>
        <v>31</v>
      </c>
      <c r="AQ66" s="71">
        <f t="shared" si="1"/>
        <v>25.666129032258056</v>
      </c>
      <c r="AR66" s="71">
        <f>IFERROR(VLOOKUP(A66,Climatologia_TMED!A:U,9+$E$2,FALSE),"")</f>
        <v>24.909114830278991</v>
      </c>
      <c r="AS66" s="71">
        <f t="shared" si="2"/>
        <v>0.75701420197906444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>
        <v>25.9</v>
      </c>
      <c r="AJ67" s="56">
        <v>24.55</v>
      </c>
      <c r="AK67" s="56">
        <v>28.15</v>
      </c>
      <c r="AL67" s="56">
        <v>27.65</v>
      </c>
      <c r="AM67" s="56">
        <v>24.3</v>
      </c>
      <c r="AN67" s="56">
        <v>25.6</v>
      </c>
      <c r="AO67" s="56">
        <v>28.15</v>
      </c>
      <c r="AP67" s="58">
        <f t="shared" si="0"/>
        <v>29</v>
      </c>
      <c r="AQ67" s="71">
        <f t="shared" si="1"/>
        <v>25.660344827586201</v>
      </c>
      <c r="AR67" s="71">
        <f>IFERROR(VLOOKUP(A67,Climatologia_TMED!A:U,9+$E$2,FALSE),"")</f>
        <v>24.65120691183121</v>
      </c>
      <c r="AS67" s="71">
        <f t="shared" si="2"/>
        <v>1.0091379157549909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>
        <v>24.75</v>
      </c>
      <c r="AJ68" s="56">
        <v>26.95</v>
      </c>
      <c r="AK68" s="56">
        <v>26.25</v>
      </c>
      <c r="AL68" s="56">
        <v>27.15</v>
      </c>
      <c r="AM68" s="56">
        <v>23.9</v>
      </c>
      <c r="AN68" s="56">
        <v>25.2</v>
      </c>
      <c r="AO68" s="56">
        <v>25.85</v>
      </c>
      <c r="AP68" s="58">
        <f t="shared" si="0"/>
        <v>31</v>
      </c>
      <c r="AQ68" s="71">
        <f t="shared" si="1"/>
        <v>25.532258064516128</v>
      </c>
      <c r="AR68" s="71">
        <f>IFERROR(VLOOKUP(A68,Climatologia_TMED!A:U,9+$E$2,FALSE),"")</f>
        <v>24.52508750274302</v>
      </c>
      <c r="AS68" s="71">
        <f t="shared" si="2"/>
        <v>1.0071705617731084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>
        <v>25.35</v>
      </c>
      <c r="AJ69" s="56">
        <v>24.824999999999999</v>
      </c>
      <c r="AK69" s="56">
        <v>25.25</v>
      </c>
      <c r="AL69" s="56">
        <v>25.95</v>
      </c>
      <c r="AM69" s="56">
        <v>24.15</v>
      </c>
      <c r="AN69" s="56">
        <v>25.75</v>
      </c>
      <c r="AO69" s="56">
        <v>24.1</v>
      </c>
      <c r="AP69" s="58">
        <f t="shared" ref="AP69:AP132" si="3">COUNTIF(K69:AO69,"&gt;0")</f>
        <v>31</v>
      </c>
      <c r="AQ69" s="71">
        <f t="shared" ref="AQ69:AQ132" si="4">IF(AP69&gt;14,AVERAGE(K69:AO69),"")</f>
        <v>24.965322580645168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0.64292489401315933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>
        <v>27.466666666666669</v>
      </c>
      <c r="AJ70" s="56">
        <v>26.466666666666669</v>
      </c>
      <c r="AK70" s="56">
        <v>26.666666666666671</v>
      </c>
      <c r="AL70" s="56">
        <v>28</v>
      </c>
      <c r="AM70" s="56">
        <v>26.733333333333331</v>
      </c>
      <c r="AN70" s="56">
        <v>26.333333333333329</v>
      </c>
      <c r="AO70" s="56">
        <v>25.8</v>
      </c>
      <c r="AP70" s="58">
        <f t="shared" si="3"/>
        <v>24</v>
      </c>
      <c r="AQ70" s="71">
        <f t="shared" si="4"/>
        <v>26.540277777777778</v>
      </c>
      <c r="AR70" s="71">
        <f>IFERROR(VLOOKUP(A70,Climatologia_TMED!A:U,9+$E$2,FALSE),"")</f>
        <v>25.569958691043201</v>
      </c>
      <c r="AS70" s="71">
        <f t="shared" si="5"/>
        <v>0.97031908673457679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>
        <v>26.1</v>
      </c>
      <c r="AJ71" s="56">
        <v>24.966666666666669</v>
      </c>
      <c r="AK71" s="56">
        <v>26.4</v>
      </c>
      <c r="AL71" s="56">
        <v>27.5</v>
      </c>
      <c r="AM71" s="56">
        <v>26.233333333333331</v>
      </c>
      <c r="AN71" s="56">
        <v>25.56666666666667</v>
      </c>
      <c r="AO71" s="56">
        <v>25.36666666666666</v>
      </c>
      <c r="AP71" s="58">
        <f t="shared" si="3"/>
        <v>31</v>
      </c>
      <c r="AQ71" s="71">
        <f t="shared" si="4"/>
        <v>25.956989247311832</v>
      </c>
      <c r="AR71" s="71">
        <f>IFERROR(VLOOKUP(A71,Climatologia_TMED!A:U,9+$E$2,FALSE),"")</f>
        <v>25.662442913653528</v>
      </c>
      <c r="AS71" s="71">
        <f t="shared" si="5"/>
        <v>0.29454633365830318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>
        <v>25.9</v>
      </c>
      <c r="AJ72" s="56">
        <v>26.9</v>
      </c>
      <c r="AK72" s="56">
        <v>24.06666666666667</v>
      </c>
      <c r="AL72" s="56">
        <v>24.166666666666671</v>
      </c>
      <c r="AM72" s="56">
        <v>25.3</v>
      </c>
      <c r="AN72" s="56">
        <v>26.4</v>
      </c>
      <c r="AO72" s="56">
        <v>26.1</v>
      </c>
      <c r="AP72" s="58">
        <f t="shared" si="3"/>
        <v>30</v>
      </c>
      <c r="AQ72" s="71">
        <f t="shared" si="4"/>
        <v>25.457777777777778</v>
      </c>
      <c r="AR72" s="71">
        <f>IFERROR(VLOOKUP(A72,Climatologia_TMED!A:U,9+$E$2,FALSE),"")</f>
        <v>24.973208742959539</v>
      </c>
      <c r="AS72" s="71">
        <f t="shared" si="5"/>
        <v>0.48456903481823943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>
        <v>26.35</v>
      </c>
      <c r="AL73" s="56">
        <v>27.3</v>
      </c>
      <c r="AM73" s="56">
        <v>24.05</v>
      </c>
      <c r="AN73" s="56">
        <v>25.55</v>
      </c>
      <c r="AO73" s="56">
        <v>25.45</v>
      </c>
      <c r="AP73" s="58">
        <f t="shared" si="3"/>
        <v>23</v>
      </c>
      <c r="AQ73" s="71">
        <f t="shared" si="4"/>
        <v>25.752173913043475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>
        <v>22.25</v>
      </c>
      <c r="AJ74" s="56">
        <v>22.1</v>
      </c>
      <c r="AK74" s="56">
        <v>20.55</v>
      </c>
      <c r="AL74" s="56">
        <v>23.175000000000001</v>
      </c>
      <c r="AM74" s="56">
        <v>21.3</v>
      </c>
      <c r="AN74" s="56">
        <v>20.05</v>
      </c>
      <c r="AO74" s="56">
        <v>20.65</v>
      </c>
      <c r="AP74" s="58">
        <f t="shared" si="3"/>
        <v>31</v>
      </c>
      <c r="AQ74" s="71">
        <f t="shared" si="4"/>
        <v>20.895967741935479</v>
      </c>
      <c r="AR74" s="71">
        <f>IFERROR(VLOOKUP(A74,Climatologia_TMED!A:U,9+$E$2,FALSE),"")</f>
        <v>19.99849874936011</v>
      </c>
      <c r="AS74" s="71">
        <f t="shared" si="5"/>
        <v>0.89746899257536938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>
        <v>16.333333333333329</v>
      </c>
      <c r="AJ75" s="56">
        <v>14.46666666666667</v>
      </c>
      <c r="AK75" s="56">
        <v>15.866666666666671</v>
      </c>
      <c r="AL75" s="56">
        <v>16.466666666666669</v>
      </c>
      <c r="AM75" s="56">
        <v>16.466666666666669</v>
      </c>
      <c r="AN75" s="56">
        <v>16.333333333333329</v>
      </c>
      <c r="AO75" s="56">
        <v>15.06666666666667</v>
      </c>
      <c r="AP75" s="58">
        <f t="shared" si="3"/>
        <v>31</v>
      </c>
      <c r="AQ75" s="71">
        <f t="shared" si="4"/>
        <v>15.86344086021505</v>
      </c>
      <c r="AR75" s="71">
        <f>IFERROR(VLOOKUP(A75,Climatologia_TMED!A:U,9+$E$2,FALSE),"")</f>
        <v>15.18104369196679</v>
      </c>
      <c r="AS75" s="71">
        <f t="shared" si="5"/>
        <v>0.68239716824825969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>
        <v>20.6</v>
      </c>
      <c r="AJ76" s="56">
        <v>20.149999999999999</v>
      </c>
      <c r="AK76" s="56">
        <v>20.149999999999999</v>
      </c>
      <c r="AL76" s="56">
        <v>21.6</v>
      </c>
      <c r="AM76" s="56">
        <v>21.9</v>
      </c>
      <c r="AN76" s="56">
        <v>20.5</v>
      </c>
      <c r="AO76" s="56">
        <v>20.75</v>
      </c>
      <c r="AP76" s="58">
        <f t="shared" si="3"/>
        <v>31</v>
      </c>
      <c r="AQ76" s="71">
        <f t="shared" si="4"/>
        <v>20.758870967741935</v>
      </c>
      <c r="AR76" s="71">
        <f>IFERROR(VLOOKUP(A76,Climatologia_TMED!A:U,9+$E$2,FALSE),"")</f>
        <v>19.799966611526219</v>
      </c>
      <c r="AS76" s="71">
        <f t="shared" si="5"/>
        <v>0.95890435621571513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>
        <v>23.533333333333331</v>
      </c>
      <c r="AJ77" s="56">
        <v>23.8</v>
      </c>
      <c r="AK77" s="56">
        <v>25.733333333333331</v>
      </c>
      <c r="AL77" s="56">
        <v>25.4</v>
      </c>
      <c r="AM77" s="56">
        <v>23.866666666666671</v>
      </c>
      <c r="AN77" s="56">
        <v>23.8</v>
      </c>
      <c r="AO77" s="56">
        <v>25.066666666666659</v>
      </c>
      <c r="AP77" s="58">
        <f t="shared" si="3"/>
        <v>31</v>
      </c>
      <c r="AQ77" s="71">
        <f t="shared" si="4"/>
        <v>24.047311827956978</v>
      </c>
      <c r="AR77" s="71">
        <f>IFERROR(VLOOKUP(A77,Climatologia_TMED!A:U,9+$E$2,FALSE),"")</f>
        <v>22.683240855978919</v>
      </c>
      <c r="AS77" s="71">
        <f t="shared" si="5"/>
        <v>1.3640709719780588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>
        <v>31.1</v>
      </c>
      <c r="AJ78" s="56">
        <v>31.45</v>
      </c>
      <c r="AK78" s="56">
        <v>31.65</v>
      </c>
      <c r="AL78" s="56">
        <v>31.85</v>
      </c>
      <c r="AM78" s="56">
        <v>32.5</v>
      </c>
      <c r="AN78" s="56">
        <v>31.8</v>
      </c>
      <c r="AO78" s="56">
        <v>33.15</v>
      </c>
      <c r="AP78" s="58">
        <f t="shared" si="3"/>
        <v>31</v>
      </c>
      <c r="AQ78" s="71">
        <f t="shared" si="4"/>
        <v>31.312903225806448</v>
      </c>
      <c r="AR78" s="71">
        <f>IFERROR(VLOOKUP(A78,Climatologia_TMED!A:U,9+$E$2,FALSE),"")</f>
        <v>29.183929810522649</v>
      </c>
      <c r="AS78" s="71">
        <f t="shared" si="5"/>
        <v>2.1289734152837987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>
        <v>31.4</v>
      </c>
      <c r="AJ79" s="56">
        <v>31.333333333333329</v>
      </c>
      <c r="AK79" s="56">
        <v>32.4</v>
      </c>
      <c r="AL79" s="56">
        <v>32.6</v>
      </c>
      <c r="AM79" s="56">
        <v>32.133333333333333</v>
      </c>
      <c r="AN79" s="56">
        <v>31.733333333333331</v>
      </c>
      <c r="AO79" s="56">
        <v>32.93333333333333</v>
      </c>
      <c r="AP79" s="58">
        <f t="shared" si="3"/>
        <v>29</v>
      </c>
      <c r="AQ79" s="71">
        <f t="shared" si="4"/>
        <v>31.397701149425281</v>
      </c>
      <c r="AR79" s="71">
        <f>IFERROR(VLOOKUP(A79,Climatologia_TMED!A:U,9+$E$2,FALSE),"")</f>
        <v>29.469052884450729</v>
      </c>
      <c r="AS79" s="71">
        <f t="shared" si="5"/>
        <v>1.9286482649745516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>
        <v>21.933333333333341</v>
      </c>
      <c r="AF80" s="56">
        <v>22.06666666666667</v>
      </c>
      <c r="AG80" s="56">
        <v>20.733333333333331</v>
      </c>
      <c r="AH80" s="56">
        <v>22</v>
      </c>
      <c r="AI80" s="56">
        <v>20</v>
      </c>
      <c r="AJ80" s="56">
        <v>20.399999999999999</v>
      </c>
      <c r="AK80" s="56">
        <v>22.333333333333329</v>
      </c>
      <c r="AL80" s="56">
        <v>21.133333333333329</v>
      </c>
      <c r="AM80" s="56">
        <v>21.866666666666671</v>
      </c>
      <c r="AN80" s="56"/>
      <c r="AO80" s="56"/>
      <c r="AP80" s="58">
        <f t="shared" si="3"/>
        <v>29</v>
      </c>
      <c r="AQ80" s="71">
        <f t="shared" si="4"/>
        <v>20.875862068965517</v>
      </c>
      <c r="AR80" s="71">
        <f>IFERROR(VLOOKUP(A80,Climatologia_TMED!A:U,9+$E$2,FALSE),"")</f>
        <v>19.306579428930519</v>
      </c>
      <c r="AS80" s="71">
        <f t="shared" si="5"/>
        <v>1.5692826400349986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>
        <v>25.85</v>
      </c>
      <c r="AJ81" s="56">
        <v>25.55</v>
      </c>
      <c r="AK81" s="56">
        <v>25.15</v>
      </c>
      <c r="AL81" s="56">
        <v>25.2</v>
      </c>
      <c r="AM81" s="56">
        <v>24.8</v>
      </c>
      <c r="AN81" s="56">
        <v>25.55</v>
      </c>
      <c r="AO81" s="56"/>
      <c r="AP81" s="58">
        <f t="shared" si="3"/>
        <v>27</v>
      </c>
      <c r="AQ81" s="71">
        <f t="shared" si="4"/>
        <v>24.281481481481475</v>
      </c>
      <c r="AR81" s="71">
        <f>IFERROR(VLOOKUP(A81,Climatologia_TMED!A:U,9+$E$2,FALSE),"")</f>
        <v>24.17462990609177</v>
      </c>
      <c r="AS81" s="71">
        <f t="shared" si="5"/>
        <v>0.10685157538970458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>
        <v>27.13333333333334</v>
      </c>
      <c r="AJ82" s="56">
        <v>27.466666666666669</v>
      </c>
      <c r="AK82" s="56">
        <v>26.86666666666666</v>
      </c>
      <c r="AL82" s="56">
        <v>28.266666666666669</v>
      </c>
      <c r="AM82" s="56">
        <v>25.333333333333329</v>
      </c>
      <c r="AN82" s="56">
        <v>26.866666666666671</v>
      </c>
      <c r="AO82" s="56">
        <v>26.6</v>
      </c>
      <c r="AP82" s="58">
        <f t="shared" si="3"/>
        <v>31</v>
      </c>
      <c r="AQ82" s="71">
        <f t="shared" si="4"/>
        <v>26.2741935483871</v>
      </c>
      <c r="AR82" s="71">
        <f>IFERROR(VLOOKUP(A82,Climatologia_TMED!A:U,9+$E$2,FALSE),"")</f>
        <v>25.173722457421579</v>
      </c>
      <c r="AS82" s="71">
        <f t="shared" si="5"/>
        <v>1.1004710909655202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>
        <v>30.7</v>
      </c>
      <c r="AJ85" s="56">
        <v>30.45</v>
      </c>
      <c r="AK85" s="56">
        <v>30.05</v>
      </c>
      <c r="AL85" s="56">
        <v>30.5</v>
      </c>
      <c r="AM85" s="56">
        <v>32.25</v>
      </c>
      <c r="AN85" s="56">
        <v>32.65</v>
      </c>
      <c r="AO85" s="56">
        <v>30.95</v>
      </c>
      <c r="AP85" s="58">
        <f t="shared" si="3"/>
        <v>22</v>
      </c>
      <c r="AQ85" s="71">
        <f t="shared" si="4"/>
        <v>30.945454545454542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>
        <v>29.6</v>
      </c>
      <c r="AJ86" s="56">
        <v>30.05</v>
      </c>
      <c r="AK86" s="56">
        <v>29.5</v>
      </c>
      <c r="AL86" s="56">
        <v>30.1</v>
      </c>
      <c r="AM86" s="56">
        <v>30.25</v>
      </c>
      <c r="AN86" s="56">
        <v>30.6</v>
      </c>
      <c r="AO86" s="56">
        <v>30</v>
      </c>
      <c r="AP86" s="58">
        <f t="shared" si="3"/>
        <v>31</v>
      </c>
      <c r="AQ86" s="71">
        <f t="shared" si="4"/>
        <v>29.814516129032253</v>
      </c>
      <c r="AR86" s="71">
        <f>IFERROR(VLOOKUP(A86,Climatologia_TMED!A:U,9+$E$2,FALSE),"")</f>
        <v>28.612083161554789</v>
      </c>
      <c r="AS86" s="71">
        <f t="shared" si="5"/>
        <v>1.2024329674774634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>
        <v>30.85</v>
      </c>
      <c r="AJ87" s="56">
        <v>27.1</v>
      </c>
      <c r="AK87" s="56">
        <v>29.45</v>
      </c>
      <c r="AL87" s="56">
        <v>30.7</v>
      </c>
      <c r="AM87" s="56">
        <v>31.95</v>
      </c>
      <c r="AN87" s="56">
        <v>32.849999999999987</v>
      </c>
      <c r="AO87" s="56">
        <v>32.25</v>
      </c>
      <c r="AP87" s="58">
        <f t="shared" si="3"/>
        <v>31</v>
      </c>
      <c r="AQ87" s="71">
        <f t="shared" si="4"/>
        <v>31.616129032258073</v>
      </c>
      <c r="AR87" s="71">
        <f>IFERROR(VLOOKUP(A87,Climatologia_TMED!A:U,9+$E$2,FALSE),"")</f>
        <v>29.006189972462391</v>
      </c>
      <c r="AS87" s="71">
        <f t="shared" si="5"/>
        <v>2.609939059795682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>
        <v>31.75</v>
      </c>
      <c r="AJ88" s="56">
        <v>28.65</v>
      </c>
      <c r="AK88" s="56">
        <v>30.25</v>
      </c>
      <c r="AL88" s="56">
        <v>31.35</v>
      </c>
      <c r="AM88" s="56">
        <v>31.85</v>
      </c>
      <c r="AN88" s="56">
        <v>32.049999999999997</v>
      </c>
      <c r="AO88" s="56">
        <v>30.05</v>
      </c>
      <c r="AP88" s="58">
        <f t="shared" si="3"/>
        <v>31</v>
      </c>
      <c r="AQ88" s="71">
        <f t="shared" si="4"/>
        <v>30.288709677419355</v>
      </c>
      <c r="AR88" s="71">
        <f>IFERROR(VLOOKUP(A88,Climatologia_TMED!A:U,9+$E$2,FALSE),"")</f>
        <v>28.69087461597541</v>
      </c>
      <c r="AS88" s="71">
        <f t="shared" si="5"/>
        <v>1.5978350614439449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>
        <v>34.700000000000003</v>
      </c>
      <c r="AJ89" s="56">
        <v>28.65</v>
      </c>
      <c r="AK89" s="56">
        <v>31.7</v>
      </c>
      <c r="AL89" s="56">
        <v>32.900000000000013</v>
      </c>
      <c r="AM89" s="56"/>
      <c r="AN89" s="56">
        <v>35.849999999999987</v>
      </c>
      <c r="AO89" s="56">
        <v>34</v>
      </c>
      <c r="AP89" s="58">
        <f t="shared" si="3"/>
        <v>24</v>
      </c>
      <c r="AQ89" s="71">
        <f t="shared" si="4"/>
        <v>33.302083333333336</v>
      </c>
      <c r="AR89" s="71">
        <f>IFERROR(VLOOKUP(A89,Climatologia_TMED!A:U,9+$E$2,FALSE),"")</f>
        <v>29.482499041646701</v>
      </c>
      <c r="AS89" s="71">
        <f t="shared" si="5"/>
        <v>3.8195842916866347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>
        <v>31.85</v>
      </c>
      <c r="AJ90" s="56">
        <v>31.25</v>
      </c>
      <c r="AK90" s="56">
        <v>29.35</v>
      </c>
      <c r="AL90" s="56">
        <v>33</v>
      </c>
      <c r="AM90" s="56">
        <v>33.25</v>
      </c>
      <c r="AN90" s="56">
        <v>34.5</v>
      </c>
      <c r="AO90" s="56">
        <v>33.150000000000013</v>
      </c>
      <c r="AP90" s="58">
        <f t="shared" si="3"/>
        <v>27</v>
      </c>
      <c r="AQ90" s="71">
        <f t="shared" si="4"/>
        <v>32.17962962962963</v>
      </c>
      <c r="AR90" s="71">
        <f>IFERROR(VLOOKUP(A90,Climatologia_TMED!A:U,9+$E$2,FALSE),"")</f>
        <v>29.035060057912659</v>
      </c>
      <c r="AS90" s="71">
        <f t="shared" si="5"/>
        <v>3.1445695717169713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>
        <v>31.95</v>
      </c>
      <c r="AM91" s="56">
        <v>29.4</v>
      </c>
      <c r="AN91" s="56">
        <v>35.450000000000003</v>
      </c>
      <c r="AO91" s="56">
        <v>36.049999999999997</v>
      </c>
      <c r="AP91" s="58">
        <f t="shared" si="3"/>
        <v>22</v>
      </c>
      <c r="AQ91" s="71">
        <f t="shared" si="4"/>
        <v>32.45454545454546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>
        <v>17.25</v>
      </c>
      <c r="AJ92" s="56">
        <v>17.2</v>
      </c>
      <c r="AK92" s="56">
        <v>16.2</v>
      </c>
      <c r="AL92" s="56">
        <v>16.55</v>
      </c>
      <c r="AM92" s="56">
        <v>16.600000000000001</v>
      </c>
      <c r="AN92" s="56">
        <v>19.649999999999999</v>
      </c>
      <c r="AO92" s="56">
        <v>19.399999999999999</v>
      </c>
      <c r="AP92" s="58">
        <f t="shared" si="3"/>
        <v>31</v>
      </c>
      <c r="AQ92" s="71">
        <f t="shared" si="4"/>
        <v>17.570430107526885</v>
      </c>
      <c r="AR92" s="71">
        <f>IFERROR(VLOOKUP(A92,Climatologia_TMED!A:U,9+$E$2,FALSE),"")</f>
        <v>16.163344086021471</v>
      </c>
      <c r="AS92" s="71">
        <f t="shared" si="5"/>
        <v>1.407086021505414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>
        <v>23.4</v>
      </c>
      <c r="AJ93" s="56">
        <v>23.533333333333331</v>
      </c>
      <c r="AK93" s="56">
        <v>23.666666666666671</v>
      </c>
      <c r="AL93" s="56">
        <v>24.466666666666669</v>
      </c>
      <c r="AM93" s="56">
        <v>24.466666666666669</v>
      </c>
      <c r="AN93" s="56">
        <v>25.333333333333329</v>
      </c>
      <c r="AO93" s="56">
        <v>25.333333333333329</v>
      </c>
      <c r="AP93" s="58">
        <f t="shared" si="3"/>
        <v>31</v>
      </c>
      <c r="AQ93" s="71">
        <f t="shared" si="4"/>
        <v>23.78494623655914</v>
      </c>
      <c r="AR93" s="71">
        <f>IFERROR(VLOOKUP(A93,Climatologia_TMED!A:U,9+$E$2,FALSE),"")</f>
        <v>22.109487865869621</v>
      </c>
      <c r="AS93" s="71">
        <f t="shared" si="5"/>
        <v>1.675458370689519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>
        <v>17.149999999999999</v>
      </c>
      <c r="AI94" s="56">
        <v>16.850000000000001</v>
      </c>
      <c r="AJ94" s="56">
        <v>16.350000000000001</v>
      </c>
      <c r="AK94" s="56">
        <v>16.850000000000001</v>
      </c>
      <c r="AL94" s="56">
        <v>17.2</v>
      </c>
      <c r="AM94" s="56">
        <v>18.600000000000001</v>
      </c>
      <c r="AN94" s="56">
        <v>17.55</v>
      </c>
      <c r="AO94" s="56">
        <v>17.75</v>
      </c>
      <c r="AP94" s="58">
        <f t="shared" si="3"/>
        <v>31</v>
      </c>
      <c r="AQ94" s="71">
        <f t="shared" si="4"/>
        <v>17.326612903225811</v>
      </c>
      <c r="AR94" s="71">
        <f>IFERROR(VLOOKUP(A94,Climatologia_TMED!A:U,9+$E$2,FALSE),"")</f>
        <v>16.095227145934569</v>
      </c>
      <c r="AS94" s="71">
        <f t="shared" si="5"/>
        <v>1.2313857572912426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>
        <v>15.4</v>
      </c>
      <c r="AJ95" s="56">
        <v>14.25</v>
      </c>
      <c r="AK95" s="56">
        <v>15.05</v>
      </c>
      <c r="AL95" s="56">
        <v>14.1</v>
      </c>
      <c r="AM95" s="56">
        <v>15.45</v>
      </c>
      <c r="AN95" s="56">
        <v>14.8</v>
      </c>
      <c r="AO95" s="56">
        <v>14.65</v>
      </c>
      <c r="AP95" s="58">
        <f t="shared" si="3"/>
        <v>31</v>
      </c>
      <c r="AQ95" s="71">
        <f t="shared" si="4"/>
        <v>14.695161290322581</v>
      </c>
      <c r="AR95" s="71">
        <f>IFERROR(VLOOKUP(A95,Climatologia_TMED!A:U,9+$E$2,FALSE),"")</f>
        <v>13.63280813615186</v>
      </c>
      <c r="AS95" s="71">
        <f t="shared" si="5"/>
        <v>1.0623531541707205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>
        <v>12.75</v>
      </c>
      <c r="AJ98" s="56">
        <v>13</v>
      </c>
      <c r="AK98" s="56">
        <v>12.45</v>
      </c>
      <c r="AL98" s="56">
        <v>12.2</v>
      </c>
      <c r="AM98" s="56">
        <v>13.8</v>
      </c>
      <c r="AN98" s="56">
        <v>14.2</v>
      </c>
      <c r="AO98" s="56">
        <v>13.5</v>
      </c>
      <c r="AP98" s="58">
        <f t="shared" si="3"/>
        <v>31</v>
      </c>
      <c r="AQ98" s="71">
        <f t="shared" si="4"/>
        <v>13.175806451612903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>
        <v>15.866666666666671</v>
      </c>
      <c r="AJ99" s="56">
        <v>13.96666666666667</v>
      </c>
      <c r="AK99" s="56">
        <v>14.9</v>
      </c>
      <c r="AL99" s="56">
        <v>14.6</v>
      </c>
      <c r="AM99" s="56">
        <v>15.46666666666667</v>
      </c>
      <c r="AN99" s="56">
        <v>15.06666666666667</v>
      </c>
      <c r="AO99" s="56">
        <v>14.866666666666671</v>
      </c>
      <c r="AP99" s="58">
        <f t="shared" si="3"/>
        <v>29</v>
      </c>
      <c r="AQ99" s="71">
        <f t="shared" si="4"/>
        <v>14.549425287356327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>
        <v>15.266666666666669</v>
      </c>
      <c r="AL100" s="56">
        <v>15.733333333333331</v>
      </c>
      <c r="AM100" s="56">
        <v>15.53333333333333</v>
      </c>
      <c r="AN100" s="56">
        <v>15.06666666666667</v>
      </c>
      <c r="AO100" s="56">
        <v>15.133333333333329</v>
      </c>
      <c r="AP100" s="58">
        <f t="shared" si="3"/>
        <v>24</v>
      </c>
      <c r="AQ100" s="71">
        <f t="shared" si="4"/>
        <v>16.058333333333334</v>
      </c>
      <c r="AR100" s="71">
        <f>IFERROR(VLOOKUP(A100,Climatologia_TMED!A:U,9+$E$2,FALSE),"")</f>
        <v>14.309357906107991</v>
      </c>
      <c r="AS100" s="71">
        <f t="shared" si="5"/>
        <v>1.7489754272253428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>
        <v>12.2</v>
      </c>
      <c r="AJ101" s="56"/>
      <c r="AK101" s="56">
        <v>13.5</v>
      </c>
      <c r="AL101" s="56"/>
      <c r="AM101" s="56">
        <v>13.85</v>
      </c>
      <c r="AN101" s="56">
        <v>13.7</v>
      </c>
      <c r="AO101" s="56">
        <v>13.3</v>
      </c>
      <c r="AP101" s="58">
        <f t="shared" si="3"/>
        <v>24</v>
      </c>
      <c r="AQ101" s="71">
        <f t="shared" si="4"/>
        <v>13.38541666666667</v>
      </c>
      <c r="AR101" s="71">
        <f>IFERROR(VLOOKUP(A101,Climatologia_TMED!A:U,9+$E$2,FALSE),"")</f>
        <v>12.33240366261129</v>
      </c>
      <c r="AS101" s="71">
        <f t="shared" si="5"/>
        <v>1.05301300405538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>
        <v>12.733333333333331</v>
      </c>
      <c r="AJ102" s="56">
        <v>13.06666666666667</v>
      </c>
      <c r="AK102" s="56">
        <v>12.733333333333331</v>
      </c>
      <c r="AL102" s="56">
        <v>13.2</v>
      </c>
      <c r="AM102" s="56">
        <v>13.733333333333331</v>
      </c>
      <c r="AN102" s="56">
        <v>12.66666666666667</v>
      </c>
      <c r="AO102" s="56">
        <v>13.133333333333329</v>
      </c>
      <c r="AP102" s="58">
        <f t="shared" si="3"/>
        <v>28</v>
      </c>
      <c r="AQ102" s="71">
        <f t="shared" si="4"/>
        <v>13.047619047619051</v>
      </c>
      <c r="AR102" s="71">
        <f>IFERROR(VLOOKUP(A102,Climatologia_TMED!A:U,9+$E$2,FALSE),"")</f>
        <v>11.246995369385891</v>
      </c>
      <c r="AS102" s="71">
        <f t="shared" si="5"/>
        <v>1.8006236782331602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>
        <v>17.866666666666671</v>
      </c>
      <c r="AJ105" s="56">
        <v>18.2</v>
      </c>
      <c r="AK105" s="56">
        <v>19.600000000000001</v>
      </c>
      <c r="AL105" s="56">
        <v>17.533333333333331</v>
      </c>
      <c r="AM105" s="56">
        <v>19.399999999999999</v>
      </c>
      <c r="AN105" s="56">
        <v>20</v>
      </c>
      <c r="AO105" s="56">
        <v>18.93333333333333</v>
      </c>
      <c r="AP105" s="58">
        <f t="shared" si="3"/>
        <v>28</v>
      </c>
      <c r="AQ105" s="71">
        <f t="shared" si="4"/>
        <v>18.304761904761904</v>
      </c>
      <c r="AR105" s="71">
        <f>IFERROR(VLOOKUP(A105,Climatologia_TMED!A:U,9+$E$2,FALSE),"")</f>
        <v>17.044537508476271</v>
      </c>
      <c r="AS105" s="71">
        <f t="shared" si="5"/>
        <v>1.2602243962856328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>
        <v>12.2</v>
      </c>
      <c r="AL107" s="56">
        <v>13.133333333333329</v>
      </c>
      <c r="AM107" s="56">
        <v>13.2</v>
      </c>
      <c r="AN107" s="56"/>
      <c r="AO107" s="56">
        <v>15.06666666666667</v>
      </c>
      <c r="AP107" s="58">
        <f t="shared" si="3"/>
        <v>18</v>
      </c>
      <c r="AQ107" s="71">
        <f t="shared" si="4"/>
        <v>14.75925925925926</v>
      </c>
      <c r="AR107" s="71">
        <f>IFERROR(VLOOKUP(A107,Climatologia_TMED!A:U,9+$E$2,FALSE),"")</f>
        <v>13.42031660692947</v>
      </c>
      <c r="AS107" s="71">
        <f t="shared" si="5"/>
        <v>1.3389426523297896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15.65</v>
      </c>
      <c r="AI108" s="56">
        <v>16.25</v>
      </c>
      <c r="AJ108" s="56">
        <v>14.5</v>
      </c>
      <c r="AK108" s="56">
        <v>13.25</v>
      </c>
      <c r="AL108" s="56">
        <v>13.85</v>
      </c>
      <c r="AM108" s="56">
        <v>14.7</v>
      </c>
      <c r="AN108" s="56">
        <v>14.9</v>
      </c>
      <c r="AO108" s="56">
        <v>15.4</v>
      </c>
      <c r="AP108" s="58">
        <f t="shared" si="3"/>
        <v>31</v>
      </c>
      <c r="AQ108" s="71">
        <f t="shared" si="4"/>
        <v>14.28225806451613</v>
      </c>
      <c r="AR108" s="71">
        <f>IFERROR(VLOOKUP(A108,Climatologia_TMED!A:U,9+$E$2,FALSE),"")</f>
        <v>14.22903291473181</v>
      </c>
      <c r="AS108" s="71">
        <f t="shared" si="5"/>
        <v>5.322514978431947E-2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>
        <v>15.7</v>
      </c>
      <c r="AJ109" s="56">
        <v>14.8</v>
      </c>
      <c r="AK109" s="56">
        <v>14.2</v>
      </c>
      <c r="AL109" s="56">
        <v>14.95</v>
      </c>
      <c r="AM109" s="56">
        <v>15.6</v>
      </c>
      <c r="AN109" s="56">
        <v>15.75</v>
      </c>
      <c r="AO109" s="56">
        <v>13.95</v>
      </c>
      <c r="AP109" s="58">
        <f t="shared" si="3"/>
        <v>31</v>
      </c>
      <c r="AQ109" s="71">
        <f t="shared" si="4"/>
        <v>14.622580645161289</v>
      </c>
      <c r="AR109" s="71">
        <f>IFERROR(VLOOKUP(A109,Climatologia_TMED!A:U,9+$E$2,FALSE),"")</f>
        <v>13.71376308750779</v>
      </c>
      <c r="AS109" s="71">
        <f t="shared" si="5"/>
        <v>0.90881755765349936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>
        <v>18.266666666666669</v>
      </c>
      <c r="AJ110" s="56">
        <v>17.533333333333331</v>
      </c>
      <c r="AK110" s="56">
        <v>18.333333333333329</v>
      </c>
      <c r="AL110" s="56">
        <v>17.93333333333333</v>
      </c>
      <c r="AM110" s="56">
        <v>17.333333333333329</v>
      </c>
      <c r="AN110" s="56">
        <v>17.399999999999999</v>
      </c>
      <c r="AO110" s="56">
        <v>18.333333333333329</v>
      </c>
      <c r="AP110" s="58">
        <f t="shared" si="3"/>
        <v>31</v>
      </c>
      <c r="AQ110" s="71">
        <f t="shared" si="4"/>
        <v>17.556989247311822</v>
      </c>
      <c r="AR110" s="71">
        <f>IFERROR(VLOOKUP(A110,Climatologia_TMED!A:U,9+$E$2,FALSE),"")</f>
        <v>16.934962038466889</v>
      </c>
      <c r="AS110" s="71">
        <f t="shared" si="5"/>
        <v>0.62202720884493345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>
        <v>16.666666666666671</v>
      </c>
      <c r="AJ111" s="56">
        <v>15.933333333333341</v>
      </c>
      <c r="AK111" s="56">
        <v>15</v>
      </c>
      <c r="AL111" s="56">
        <v>15.133333333333329</v>
      </c>
      <c r="AM111" s="56">
        <v>17</v>
      </c>
      <c r="AN111" s="56">
        <v>15.733333333333331</v>
      </c>
      <c r="AO111" s="56">
        <v>16.06666666666667</v>
      </c>
      <c r="AP111" s="58">
        <f t="shared" si="3"/>
        <v>31</v>
      </c>
      <c r="AQ111" s="71">
        <f t="shared" si="4"/>
        <v>15.930107526881724</v>
      </c>
      <c r="AR111" s="71">
        <f>IFERROR(VLOOKUP(A111,Climatologia_TMED!A:U,9+$E$2,FALSE),"")</f>
        <v>15.502363523573189</v>
      </c>
      <c r="AS111" s="71">
        <f t="shared" si="5"/>
        <v>0.42774400330853446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>
        <v>17.93333333333333</v>
      </c>
      <c r="AJ112" s="56">
        <v>17.533333333333331</v>
      </c>
      <c r="AK112" s="56">
        <v>18.533333333333331</v>
      </c>
      <c r="AL112" s="56">
        <v>18.266666666666669</v>
      </c>
      <c r="AM112" s="56">
        <v>17.133333333333329</v>
      </c>
      <c r="AN112" s="56">
        <v>17.866666666666671</v>
      </c>
      <c r="AO112" s="56">
        <v>18.2</v>
      </c>
      <c r="AP112" s="58">
        <f t="shared" si="3"/>
        <v>31</v>
      </c>
      <c r="AQ112" s="71">
        <f t="shared" si="4"/>
        <v>17.836559139784946</v>
      </c>
      <c r="AR112" s="71">
        <f>IFERROR(VLOOKUP(A112,Climatologia_TMED!A:U,9+$E$2,FALSE),"")</f>
        <v>16.37969626110208</v>
      </c>
      <c r="AS112" s="71">
        <f t="shared" si="5"/>
        <v>1.4568628786828661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>
        <v>19.733333333333331</v>
      </c>
      <c r="AJ113" s="56">
        <v>17.666666666666671</v>
      </c>
      <c r="AK113" s="56">
        <v>18.399999999999999</v>
      </c>
      <c r="AL113" s="56">
        <v>19.2</v>
      </c>
      <c r="AM113" s="56"/>
      <c r="AN113" s="56">
        <v>18.600000000000001</v>
      </c>
      <c r="AO113" s="56">
        <v>18.8</v>
      </c>
      <c r="AP113" s="58">
        <f t="shared" si="3"/>
        <v>29</v>
      </c>
      <c r="AQ113" s="71">
        <f t="shared" si="4"/>
        <v>19</v>
      </c>
      <c r="AR113" s="71">
        <f>IFERROR(VLOOKUP(A113,Climatologia_TMED!A:U,9+$E$2,FALSE),"")</f>
        <v>18.124387467556531</v>
      </c>
      <c r="AS113" s="71">
        <f t="shared" si="5"/>
        <v>0.87561253244346915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>
        <v>24.13333333333334</v>
      </c>
      <c r="AJ114" s="56">
        <v>22.8</v>
      </c>
      <c r="AK114" s="56">
        <v>21.466666666666669</v>
      </c>
      <c r="AL114" s="56">
        <v>22.666666666666671</v>
      </c>
      <c r="AM114" s="56">
        <v>21.466666666666669</v>
      </c>
      <c r="AN114" s="56">
        <v>21.733333333333331</v>
      </c>
      <c r="AO114" s="56"/>
      <c r="AP114" s="58">
        <f t="shared" si="3"/>
        <v>13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>
        <v>26.25</v>
      </c>
      <c r="AJ115" s="56">
        <v>25.9</v>
      </c>
      <c r="AK115" s="56">
        <v>27.85</v>
      </c>
      <c r="AL115" s="56">
        <v>28.25</v>
      </c>
      <c r="AM115" s="56">
        <v>26.3</v>
      </c>
      <c r="AN115" s="56">
        <v>26.5</v>
      </c>
      <c r="AO115" s="56">
        <v>25.25</v>
      </c>
      <c r="AP115" s="58">
        <f t="shared" si="3"/>
        <v>31</v>
      </c>
      <c r="AQ115" s="71">
        <f t="shared" si="4"/>
        <v>26.305645161290318</v>
      </c>
      <c r="AR115" s="71">
        <f>IFERROR(VLOOKUP(A115,Climatologia_TMED!A:U,9+$E$2,FALSE),"")</f>
        <v>25.844479977753021</v>
      </c>
      <c r="AS115" s="71">
        <f t="shared" si="5"/>
        <v>0.46116518353729674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>
        <v>19.733333333333331</v>
      </c>
      <c r="AK116" s="56">
        <v>19.8</v>
      </c>
      <c r="AL116" s="56">
        <v>19.266666666666669</v>
      </c>
      <c r="AM116" s="56">
        <v>19.8</v>
      </c>
      <c r="AN116" s="56">
        <v>19</v>
      </c>
      <c r="AO116" s="56">
        <v>19.733333333333331</v>
      </c>
      <c r="AP116" s="58">
        <f t="shared" si="3"/>
        <v>29</v>
      </c>
      <c r="AQ116" s="71">
        <f t="shared" si="4"/>
        <v>19.27816091954023</v>
      </c>
      <c r="AR116" s="71">
        <f>IFERROR(VLOOKUP(A116,Climatologia_TMED!A:U,9+$E$2,FALSE),"")</f>
        <v>18.39650516634082</v>
      </c>
      <c r="AS116" s="71">
        <f t="shared" si="5"/>
        <v>0.8816557531994107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>
        <v>25.533333333333331</v>
      </c>
      <c r="AJ117" s="56">
        <v>24.8</v>
      </c>
      <c r="AK117" s="56">
        <v>27.533333333333331</v>
      </c>
      <c r="AL117" s="56">
        <v>28.2</v>
      </c>
      <c r="AM117" s="56">
        <v>27</v>
      </c>
      <c r="AN117" s="56">
        <v>26.86666666666666</v>
      </c>
      <c r="AO117" s="56">
        <v>26.2</v>
      </c>
      <c r="AP117" s="58">
        <f t="shared" si="3"/>
        <v>31</v>
      </c>
      <c r="AQ117" s="71">
        <f t="shared" si="4"/>
        <v>26.333333333333339</v>
      </c>
      <c r="AR117" s="71">
        <f>IFERROR(VLOOKUP(A117,Climatologia_TMED!A:U,9+$E$2,FALSE),"")</f>
        <v>25.368839605734749</v>
      </c>
      <c r="AS117" s="71">
        <f t="shared" si="5"/>
        <v>0.96449372759859031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>
        <v>30.13333333333334</v>
      </c>
      <c r="AJ118" s="56">
        <v>28.266666666666669</v>
      </c>
      <c r="AK118" s="56">
        <v>29.93333333333333</v>
      </c>
      <c r="AL118" s="56">
        <v>30.4</v>
      </c>
      <c r="AM118" s="56">
        <v>29.466666666666669</v>
      </c>
      <c r="AN118" s="56">
        <v>29.866666666666671</v>
      </c>
      <c r="AO118" s="56">
        <v>29.333333333333329</v>
      </c>
      <c r="AP118" s="58">
        <f t="shared" si="3"/>
        <v>31</v>
      </c>
      <c r="AQ118" s="71">
        <f t="shared" si="4"/>
        <v>28.860215053763444</v>
      </c>
      <c r="AR118" s="71">
        <f>IFERROR(VLOOKUP(A118,Climatologia_TMED!A:U,9+$E$2,FALSE),"")</f>
        <v>25.753279569892459</v>
      </c>
      <c r="AS118" s="71">
        <f t="shared" si="5"/>
        <v>3.1069354838709842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>
        <v>24.6</v>
      </c>
      <c r="AJ119" s="56">
        <v>23.6</v>
      </c>
      <c r="AK119" s="56">
        <v>23.8</v>
      </c>
      <c r="AL119" s="56">
        <v>23.2</v>
      </c>
      <c r="AM119" s="56">
        <v>24.666666666666671</v>
      </c>
      <c r="AN119" s="56">
        <v>23.666666666666671</v>
      </c>
      <c r="AO119" s="56">
        <v>24.93333333333333</v>
      </c>
      <c r="AP119" s="58">
        <f t="shared" si="3"/>
        <v>31</v>
      </c>
      <c r="AQ119" s="71">
        <f t="shared" si="4"/>
        <v>23.688172043010749</v>
      </c>
      <c r="AR119" s="71">
        <f>IFERROR(VLOOKUP(A119,Climatologia_TMED!A:U,9+$E$2,FALSE),"")</f>
        <v>21.728440860215009</v>
      </c>
      <c r="AS119" s="71">
        <f t="shared" si="5"/>
        <v>1.9597311827957391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>
        <v>27.86666666666666</v>
      </c>
      <c r="AO120" s="56">
        <v>26.733333333333331</v>
      </c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>
        <v>12.8</v>
      </c>
      <c r="AJ122" s="56">
        <v>10.6</v>
      </c>
      <c r="AK122" s="56">
        <v>10.066666666666659</v>
      </c>
      <c r="AL122" s="56">
        <v>11.8</v>
      </c>
      <c r="AM122" s="56">
        <v>12.33333333333333</v>
      </c>
      <c r="AN122" s="56">
        <v>12.46666666666667</v>
      </c>
      <c r="AO122" s="56">
        <v>11.66666666666667</v>
      </c>
      <c r="AP122" s="58">
        <f t="shared" si="3"/>
        <v>31</v>
      </c>
      <c r="AQ122" s="71">
        <f t="shared" si="4"/>
        <v>12.061290322580646</v>
      </c>
      <c r="AR122" s="71">
        <f>IFERROR(VLOOKUP(A122,Climatologia_TMED!A:U,9+$E$2,FALSE),"")</f>
        <v>10.302756995970279</v>
      </c>
      <c r="AS122" s="71">
        <f t="shared" si="5"/>
        <v>1.7585333266103671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>
        <v>17.333333333333329</v>
      </c>
      <c r="AJ124" s="56">
        <v>16.266666666666669</v>
      </c>
      <c r="AK124" s="56">
        <v>16</v>
      </c>
      <c r="AL124" s="56">
        <v>15.8</v>
      </c>
      <c r="AM124" s="56"/>
      <c r="AN124" s="56">
        <v>17.733333333333331</v>
      </c>
      <c r="AO124" s="56"/>
      <c r="AP124" s="58">
        <f t="shared" si="3"/>
        <v>28</v>
      </c>
      <c r="AQ124" s="71">
        <f t="shared" si="4"/>
        <v>16.05952380952381</v>
      </c>
      <c r="AR124" s="71">
        <f>IFERROR(VLOOKUP(A124,Climatologia_TMED!A:U,9+$E$2,FALSE),"")</f>
        <v>15.04905895954351</v>
      </c>
      <c r="AS124" s="71">
        <f t="shared" si="5"/>
        <v>1.0104648499803002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>
        <v>11.53333333333333</v>
      </c>
      <c r="AJ126" s="56">
        <v>11.66666666666667</v>
      </c>
      <c r="AK126" s="56">
        <v>11.46666666666667</v>
      </c>
      <c r="AL126" s="56"/>
      <c r="AM126" s="56">
        <v>10.6</v>
      </c>
      <c r="AN126" s="56">
        <v>11.8</v>
      </c>
      <c r="AO126" s="56"/>
      <c r="AP126" s="58">
        <f t="shared" si="3"/>
        <v>22</v>
      </c>
      <c r="AQ126" s="71">
        <f t="shared" si="4"/>
        <v>11.812121212121211</v>
      </c>
      <c r="AR126" s="71">
        <f>IFERROR(VLOOKUP(A126,Climatologia_TMED!A:U,9+$E$2,FALSE),"")</f>
        <v>10.712446216063739</v>
      </c>
      <c r="AS126" s="71">
        <f t="shared" si="5"/>
        <v>1.0996749960574714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>
        <v>15.8</v>
      </c>
      <c r="AJ130" s="56">
        <v>14.4</v>
      </c>
      <c r="AK130" s="56">
        <v>16.06666666666667</v>
      </c>
      <c r="AL130" s="56">
        <v>15.96666666666667</v>
      </c>
      <c r="AM130" s="56">
        <v>17.100000000000001</v>
      </c>
      <c r="AN130" s="56">
        <v>15.93333333333333</v>
      </c>
      <c r="AO130" s="56">
        <v>15.56666666666667</v>
      </c>
      <c r="AP130" s="58">
        <f t="shared" si="3"/>
        <v>31</v>
      </c>
      <c r="AQ130" s="71">
        <f t="shared" si="4"/>
        <v>15.85698924731183</v>
      </c>
      <c r="AR130" s="71">
        <f>IFERROR(VLOOKUP(A130,Climatologia_TMED!A:U,9+$E$2,FALSE),"")</f>
        <v>14.253242374467449</v>
      </c>
      <c r="AS130" s="71">
        <f t="shared" si="5"/>
        <v>1.6037468728443809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>
        <v>18.8</v>
      </c>
      <c r="AJ131" s="56">
        <v>17.850000000000001</v>
      </c>
      <c r="AK131" s="56">
        <v>17.55</v>
      </c>
      <c r="AL131" s="56">
        <v>18</v>
      </c>
      <c r="AM131" s="56">
        <v>18.8</v>
      </c>
      <c r="AN131" s="56">
        <v>17.55</v>
      </c>
      <c r="AO131" s="56"/>
      <c r="AP131" s="58">
        <f t="shared" si="3"/>
        <v>30</v>
      </c>
      <c r="AQ131" s="71">
        <f t="shared" si="4"/>
        <v>18.288333333333334</v>
      </c>
      <c r="AR131" s="71">
        <f>IFERROR(VLOOKUP(A131,Climatologia_TMED!A:U,9+$E$2,FALSE),"")</f>
        <v>16.792896998903949</v>
      </c>
      <c r="AS131" s="71">
        <f t="shared" si="5"/>
        <v>1.4954363344293853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>
        <v>13.4</v>
      </c>
      <c r="AJ133" s="56">
        <v>13.2</v>
      </c>
      <c r="AK133" s="56">
        <v>14.266666666666669</v>
      </c>
      <c r="AL133" s="56">
        <v>13.43333333333333</v>
      </c>
      <c r="AM133" s="56">
        <v>13.66666666666667</v>
      </c>
      <c r="AN133" s="56">
        <v>14.46666666666667</v>
      </c>
      <c r="AO133" s="56">
        <v>13.866666666666671</v>
      </c>
      <c r="AP133" s="58">
        <f t="shared" ref="AP133:AP196" si="6">COUNTIF(K133:AO133,"&gt;0")</f>
        <v>31</v>
      </c>
      <c r="AQ133" s="71">
        <f t="shared" ref="AQ133:AQ196" si="7">IF(AP133&gt;14,AVERAGE(K133:AO133),"")</f>
        <v>13.881720430107526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1.2463806554536863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>
        <v>16.333333333333329</v>
      </c>
      <c r="AI134" s="56">
        <v>17.8</v>
      </c>
      <c r="AJ134" s="56">
        <v>16.466666666666669</v>
      </c>
      <c r="AK134" s="56">
        <v>16.8</v>
      </c>
      <c r="AL134" s="56">
        <v>17.466666666666669</v>
      </c>
      <c r="AM134" s="56">
        <v>17.466666666666669</v>
      </c>
      <c r="AN134" s="56">
        <v>17.2</v>
      </c>
      <c r="AO134" s="56">
        <v>18.466666666666669</v>
      </c>
      <c r="AP134" s="58">
        <f t="shared" si="6"/>
        <v>31</v>
      </c>
      <c r="AQ134" s="71">
        <f t="shared" si="7"/>
        <v>17.776344086021506</v>
      </c>
      <c r="AR134" s="71">
        <f>IFERROR(VLOOKUP(A134,Climatologia_TMED!A:U,9+$E$2,FALSE),"")</f>
        <v>15.582178842383669</v>
      </c>
      <c r="AS134" s="71">
        <f t="shared" si="8"/>
        <v>2.1941652436378369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>
        <v>22.05</v>
      </c>
      <c r="AJ135" s="56">
        <v>19.95</v>
      </c>
      <c r="AK135" s="56">
        <v>18.850000000000001</v>
      </c>
      <c r="AL135" s="56">
        <v>21.25</v>
      </c>
      <c r="AM135" s="56">
        <v>21.45</v>
      </c>
      <c r="AN135" s="56">
        <v>22.3</v>
      </c>
      <c r="AO135" s="56">
        <v>22.15</v>
      </c>
      <c r="AP135" s="58">
        <f t="shared" si="6"/>
        <v>31</v>
      </c>
      <c r="AQ135" s="71">
        <f t="shared" si="7"/>
        <v>20.753225806451614</v>
      </c>
      <c r="AR135" s="71">
        <f>IFERROR(VLOOKUP(A135,Climatologia_TMED!A:U,9+$E$2,FALSE),"")</f>
        <v>18.681880637405129</v>
      </c>
      <c r="AS135" s="71">
        <f t="shared" si="8"/>
        <v>2.0713451690464844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>
        <v>10.53333333333333</v>
      </c>
      <c r="AJ136" s="56">
        <v>10.6</v>
      </c>
      <c r="AK136" s="56"/>
      <c r="AL136" s="56"/>
      <c r="AM136" s="56">
        <v>9.6</v>
      </c>
      <c r="AN136" s="56">
        <v>11.06666666666667</v>
      </c>
      <c r="AO136" s="56"/>
      <c r="AP136" s="58">
        <f t="shared" si="6"/>
        <v>28</v>
      </c>
      <c r="AQ136" s="71">
        <f t="shared" si="7"/>
        <v>11.080952380952379</v>
      </c>
      <c r="AR136" s="71">
        <f>IFERROR(VLOOKUP(A136,Climatologia_TMED!A:U,9+$E$2,FALSE),"")</f>
        <v>10.85765007415646</v>
      </c>
      <c r="AS136" s="71">
        <f t="shared" si="8"/>
        <v>0.22330230679591878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>
        <v>22.4</v>
      </c>
      <c r="AJ138" s="56">
        <v>21</v>
      </c>
      <c r="AK138" s="56">
        <v>21.666666666666671</v>
      </c>
      <c r="AL138" s="56">
        <v>22.533333333333331</v>
      </c>
      <c r="AM138" s="56">
        <v>21.8</v>
      </c>
      <c r="AN138" s="56">
        <v>23.8</v>
      </c>
      <c r="AO138" s="56">
        <v>22.533333333333331</v>
      </c>
      <c r="AP138" s="58">
        <f t="shared" si="6"/>
        <v>31</v>
      </c>
      <c r="AQ138" s="71">
        <f t="shared" si="7"/>
        <v>22.22365591397849</v>
      </c>
      <c r="AR138" s="71">
        <f>IFERROR(VLOOKUP(A138,Climatologia_TMED!A:U,9+$E$2,FALSE),"")</f>
        <v>20.010221097348399</v>
      </c>
      <c r="AS138" s="71">
        <f t="shared" si="8"/>
        <v>2.213434816630091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>
        <v>13.85</v>
      </c>
      <c r="AJ139" s="56">
        <v>14.074999999999999</v>
      </c>
      <c r="AK139" s="56">
        <v>14.3</v>
      </c>
      <c r="AL139" s="56">
        <v>13.35</v>
      </c>
      <c r="AM139" s="56">
        <v>13.6</v>
      </c>
      <c r="AN139" s="56">
        <v>14.55</v>
      </c>
      <c r="AO139" s="56">
        <v>13.8</v>
      </c>
      <c r="AP139" s="58">
        <f t="shared" si="6"/>
        <v>31</v>
      </c>
      <c r="AQ139" s="71">
        <f t="shared" si="7"/>
        <v>13.991129032258065</v>
      </c>
      <c r="AR139" s="71">
        <f>IFERROR(VLOOKUP(A139,Climatologia_TMED!A:U,9+$E$2,FALSE),"")</f>
        <v>12.904217772834009</v>
      </c>
      <c r="AS139" s="71">
        <f t="shared" si="8"/>
        <v>1.0869112594240562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>
        <v>15.6</v>
      </c>
      <c r="AJ140" s="56">
        <v>15.35</v>
      </c>
      <c r="AK140" s="56">
        <v>15.95</v>
      </c>
      <c r="AL140" s="56">
        <v>15.15</v>
      </c>
      <c r="AM140" s="56">
        <v>15.95</v>
      </c>
      <c r="AN140" s="56">
        <v>17.3</v>
      </c>
      <c r="AO140" s="56">
        <v>17</v>
      </c>
      <c r="AP140" s="58">
        <f t="shared" si="6"/>
        <v>31</v>
      </c>
      <c r="AQ140" s="71">
        <f t="shared" si="7"/>
        <v>16.380645161290325</v>
      </c>
      <c r="AR140" s="71">
        <f>IFERROR(VLOOKUP(A140,Climatologia_TMED!A:U,9+$E$2,FALSE),"")</f>
        <v>15.594350571769921</v>
      </c>
      <c r="AS140" s="71">
        <f t="shared" si="8"/>
        <v>0.78629458952040387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>
        <v>12.93333333333333</v>
      </c>
      <c r="AJ141" s="56">
        <v>12.733333333333331</v>
      </c>
      <c r="AK141" s="56">
        <v>13.6</v>
      </c>
      <c r="AL141" s="56">
        <v>13.53333333333333</v>
      </c>
      <c r="AM141" s="56">
        <v>12.133333333333329</v>
      </c>
      <c r="AN141" s="56">
        <v>13.733333333333331</v>
      </c>
      <c r="AO141" s="56">
        <v>13.33333333333333</v>
      </c>
      <c r="AP141" s="58">
        <f t="shared" si="6"/>
        <v>31</v>
      </c>
      <c r="AQ141" s="71">
        <f t="shared" si="7"/>
        <v>13.395698924731184</v>
      </c>
      <c r="AR141" s="71">
        <f>IFERROR(VLOOKUP(A141,Climatologia_TMED!A:U,9+$E$2,FALSE),"")</f>
        <v>12.014029396838049</v>
      </c>
      <c r="AS141" s="71">
        <f t="shared" si="8"/>
        <v>1.3816695278931341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>
        <v>11.15</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="56">
        <v>11.65</v>
      </c>
      <c r="AO142" s="56">
        <v>10.8</v>
      </c>
      <c r="AP142" s="58">
        <f t="shared" si="6"/>
        <v>30</v>
      </c>
      <c r="AQ142" s="71">
        <f t="shared" si="7"/>
        <v>11.528333333333334</v>
      </c>
      <c r="AR142" s="71">
        <f>IFERROR(VLOOKUP(A142,Climatologia_TMED!A:U,9+$E$2,FALSE),"")</f>
        <v>10.528985976481801</v>
      </c>
      <c r="AS142" s="71">
        <f t="shared" si="8"/>
        <v>0.99934735685153342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>
        <v>28.533333333333331</v>
      </c>
      <c r="AJ143" s="56">
        <v>28.06666666666667</v>
      </c>
      <c r="AK143" s="56">
        <v>27.733333333333331</v>
      </c>
      <c r="AL143" s="56">
        <v>28.466666666666669</v>
      </c>
      <c r="AM143" s="56">
        <v>28.13333333333334</v>
      </c>
      <c r="AN143" s="56">
        <v>28.466666666666669</v>
      </c>
      <c r="AO143" s="56">
        <v>28.8</v>
      </c>
      <c r="AP143" s="58">
        <f t="shared" si="6"/>
        <v>31</v>
      </c>
      <c r="AQ143" s="71">
        <f t="shared" si="7"/>
        <v>27.778494623655913</v>
      </c>
      <c r="AR143" s="71">
        <f>IFERROR(VLOOKUP(A143,Climatologia_TMED!A:U,9+$E$2,FALSE),"")</f>
        <v>25.861940092165881</v>
      </c>
      <c r="AS143" s="71">
        <f t="shared" si="8"/>
        <v>1.9165545314900321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>
        <v>16.533333333333331</v>
      </c>
      <c r="AK144" s="56">
        <v>14.6</v>
      </c>
      <c r="AL144" s="56">
        <v>15.46666666666667</v>
      </c>
      <c r="AM144" s="56">
        <v>17</v>
      </c>
      <c r="AN144" s="56">
        <v>15.4</v>
      </c>
      <c r="AO144" s="56">
        <v>15.8</v>
      </c>
      <c r="AP144" s="58">
        <f t="shared" si="6"/>
        <v>29</v>
      </c>
      <c r="AQ144" s="71">
        <f t="shared" si="7"/>
        <v>15.639080459770115</v>
      </c>
      <c r="AR144" s="71">
        <f>IFERROR(VLOOKUP(A144,Climatologia_TMED!A:U,9+$E$2,FALSE),"")</f>
        <v>15.712885753914289</v>
      </c>
      <c r="AS144" s="71">
        <f t="shared" si="8"/>
        <v>-7.3805294144174027E-2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>
        <v>19.333333333333329</v>
      </c>
      <c r="AJ145" s="56">
        <v>18.733333333333331</v>
      </c>
      <c r="AK145" s="56">
        <v>20.2</v>
      </c>
      <c r="AL145" s="56">
        <v>20.466666666666669</v>
      </c>
      <c r="AM145" s="56">
        <v>20.466666666666669</v>
      </c>
      <c r="AN145" s="56">
        <v>19.733333333333331</v>
      </c>
      <c r="AO145" s="56">
        <v>19.666666666666671</v>
      </c>
      <c r="AP145" s="58">
        <f t="shared" si="6"/>
        <v>31</v>
      </c>
      <c r="AQ145" s="71">
        <f t="shared" si="7"/>
        <v>19.550537634408602</v>
      </c>
      <c r="AR145" s="71">
        <f>IFERROR(VLOOKUP(A145,Climatologia_TMED!A:U,9+$E$2,FALSE),"")</f>
        <v>19.042016534498121</v>
      </c>
      <c r="AS145" s="71">
        <f t="shared" si="8"/>
        <v>0.50852109991048167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>
        <v>31</v>
      </c>
      <c r="AI146" s="56">
        <v>29.666666666666671</v>
      </c>
      <c r="AJ146" s="56">
        <v>29.2</v>
      </c>
      <c r="AK146" s="56">
        <v>29.13333333333334</v>
      </c>
      <c r="AL146" s="56">
        <v>30.8</v>
      </c>
      <c r="AM146" s="56">
        <v>31.933333333333341</v>
      </c>
      <c r="AN146" s="56">
        <v>32.466666666666661</v>
      </c>
      <c r="AO146" s="56">
        <v>31.466666666666669</v>
      </c>
      <c r="AP146" s="58">
        <f t="shared" si="6"/>
        <v>31</v>
      </c>
      <c r="AQ146" s="71">
        <f t="shared" si="7"/>
        <v>30.101075268817205</v>
      </c>
      <c r="AR146" s="71">
        <f>IFERROR(VLOOKUP(A146,Climatologia_TMED!A:U,9+$E$2,FALSE),"")</f>
        <v>28.757199537797231</v>
      </c>
      <c r="AS146" s="71">
        <f t="shared" si="8"/>
        <v>1.343875731019974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>
        <v>25.733333333333331</v>
      </c>
      <c r="AJ147" s="56">
        <v>25.333333333333329</v>
      </c>
      <c r="AK147" s="56">
        <v>25.266666666666669</v>
      </c>
      <c r="AL147" s="56">
        <v>26.666666666666671</v>
      </c>
      <c r="AM147" s="56">
        <v>25.6</v>
      </c>
      <c r="AN147" s="56">
        <v>25.333333333333329</v>
      </c>
      <c r="AO147" s="56">
        <v>26.2</v>
      </c>
      <c r="AP147" s="58">
        <f t="shared" si="6"/>
        <v>31</v>
      </c>
      <c r="AQ147" s="71">
        <f t="shared" si="7"/>
        <v>25.28387096774194</v>
      </c>
      <c r="AR147" s="71">
        <f>IFERROR(VLOOKUP(A147,Climatologia_TMED!A:U,9+$E$2,FALSE),"")</f>
        <v>23.50405749186336</v>
      </c>
      <c r="AS147" s="71">
        <f t="shared" si="8"/>
        <v>1.77981347587858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>
        <v>30</v>
      </c>
      <c r="AJ148" s="56">
        <v>30.266666666666669</v>
      </c>
      <c r="AK148" s="56">
        <v>29.8</v>
      </c>
      <c r="AL148" s="56">
        <v>31.6</v>
      </c>
      <c r="AM148" s="56">
        <v>31.666666666666671</v>
      </c>
      <c r="AN148" s="56">
        <v>31.06666666666667</v>
      </c>
      <c r="AO148" s="56">
        <v>30</v>
      </c>
      <c r="AP148" s="58">
        <f t="shared" si="6"/>
        <v>29</v>
      </c>
      <c r="AQ148" s="71">
        <f t="shared" si="7"/>
        <v>30.412643678160915</v>
      </c>
      <c r="AR148" s="71">
        <f>IFERROR(VLOOKUP(A148,Climatologia_TMED!A:U,9+$E$2,FALSE),"")</f>
        <v>28.641531230854781</v>
      </c>
      <c r="AS148" s="71">
        <f t="shared" si="8"/>
        <v>1.7711124473061339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>
        <v>23.066666666666659</v>
      </c>
      <c r="AJ149" s="56">
        <v>22.333333333333329</v>
      </c>
      <c r="AK149" s="56">
        <v>22.93333333333333</v>
      </c>
      <c r="AL149" s="56">
        <v>23.666666666666671</v>
      </c>
      <c r="AM149" s="56">
        <v>25.2</v>
      </c>
      <c r="AN149" s="56">
        <v>25.4</v>
      </c>
      <c r="AO149" s="56">
        <v>23.533333333333331</v>
      </c>
      <c r="AP149" s="58">
        <f t="shared" si="6"/>
        <v>31</v>
      </c>
      <c r="AQ149" s="71">
        <f t="shared" si="7"/>
        <v>23.623655913978492</v>
      </c>
      <c r="AR149" s="71">
        <f>IFERROR(VLOOKUP(A149,Climatologia_TMED!A:U,9+$E$2,FALSE),"")</f>
        <v>21.876067772952851</v>
      </c>
      <c r="AS149" s="71">
        <f t="shared" si="8"/>
        <v>1.7475881410256413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>
        <v>22.43333333333333</v>
      </c>
      <c r="AK151" s="56">
        <v>23</v>
      </c>
      <c r="AL151" s="56">
        <v>23.8</v>
      </c>
      <c r="AM151" s="56">
        <v>25.4</v>
      </c>
      <c r="AN151" s="56">
        <v>23.93333333333333</v>
      </c>
      <c r="AO151" s="56">
        <v>24.266666666666669</v>
      </c>
      <c r="AP151" s="58">
        <f t="shared" si="6"/>
        <v>29</v>
      </c>
      <c r="AQ151" s="71">
        <f t="shared" si="7"/>
        <v>23.388505747126427</v>
      </c>
      <c r="AR151" s="71">
        <f>IFERROR(VLOOKUP(A151,Climatologia_TMED!A:U,9+$E$2,FALSE),"")</f>
        <v>21.81258727862064</v>
      </c>
      <c r="AS151" s="71">
        <f t="shared" si="8"/>
        <v>1.5759184685057868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>
        <v>20.2</v>
      </c>
      <c r="AJ154" s="56">
        <v>20.6</v>
      </c>
      <c r="AK154" s="56">
        <v>20.100000000000001</v>
      </c>
      <c r="AL154" s="56">
        <v>20.45</v>
      </c>
      <c r="AM154" s="56">
        <v>20.65</v>
      </c>
      <c r="AN154" s="56">
        <v>21.9</v>
      </c>
      <c r="AO154" s="56">
        <v>21.8</v>
      </c>
      <c r="AP154" s="58">
        <f t="shared" si="6"/>
        <v>31</v>
      </c>
      <c r="AQ154" s="71">
        <f t="shared" si="7"/>
        <v>20.549999999999997</v>
      </c>
      <c r="AR154" s="71">
        <f>IFERROR(VLOOKUP(A154,Climatologia_TMED!A:U,9+$E$2,FALSE),"")</f>
        <v>19.513620754394939</v>
      </c>
      <c r="AS154" s="71">
        <f t="shared" si="8"/>
        <v>1.0363792456050582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>
        <v>28.4</v>
      </c>
      <c r="AJ155" s="56">
        <v>27.86666666666666</v>
      </c>
      <c r="AK155" s="56">
        <v>27.6</v>
      </c>
      <c r="AL155" s="56">
        <v>29.666666666666671</v>
      </c>
      <c r="AM155" s="56">
        <v>30</v>
      </c>
      <c r="AN155" s="56">
        <v>28.933333333333341</v>
      </c>
      <c r="AO155" s="56"/>
      <c r="AP155" s="58">
        <f t="shared" si="6"/>
        <v>30</v>
      </c>
      <c r="AQ155" s="71">
        <f t="shared" si="7"/>
        <v>28.9</v>
      </c>
      <c r="AR155" s="71">
        <f>IFERROR(VLOOKUP(A155,Climatologia_TMED!A:U,9+$E$2,FALSE),"")</f>
        <v>27.722786560855798</v>
      </c>
      <c r="AS155" s="71">
        <f t="shared" si="8"/>
        <v>1.1772134391442002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>
        <v>30.2</v>
      </c>
      <c r="AJ157" s="56">
        <v>27.333333333333329</v>
      </c>
      <c r="AK157" s="56">
        <v>28.4</v>
      </c>
      <c r="AL157" s="56">
        <v>29.333333333333329</v>
      </c>
      <c r="AM157" s="56">
        <v>30</v>
      </c>
      <c r="AN157" s="56">
        <v>30</v>
      </c>
      <c r="AO157" s="56">
        <v>29.666666666666671</v>
      </c>
      <c r="AP157" s="58">
        <f t="shared" si="6"/>
        <v>27</v>
      </c>
      <c r="AQ157" s="71">
        <f t="shared" si="7"/>
        <v>29.345679012345684</v>
      </c>
      <c r="AR157" s="71">
        <f>IFERROR(VLOOKUP(A157,Climatologia_TMED!A:U,9+$E$2,FALSE),"")</f>
        <v>27.584427496609401</v>
      </c>
      <c r="AS157" s="71">
        <f t="shared" si="8"/>
        <v>1.7612515157362836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>
        <v>29.86666666666666</v>
      </c>
      <c r="AJ158" s="56">
        <v>29.333333333333329</v>
      </c>
      <c r="AK158" s="56">
        <v>29.733333333333331</v>
      </c>
      <c r="AL158" s="56">
        <v>31</v>
      </c>
      <c r="AM158" s="56">
        <v>31.8</v>
      </c>
      <c r="AN158" s="56">
        <v>31.8</v>
      </c>
      <c r="AO158" s="56">
        <v>30.86666666666666</v>
      </c>
      <c r="AP158" s="58">
        <f t="shared" si="6"/>
        <v>28</v>
      </c>
      <c r="AQ158" s="71">
        <f t="shared" si="7"/>
        <v>30.192857142857147</v>
      </c>
      <c r="AR158" s="71">
        <f>IFERROR(VLOOKUP(A158,Climatologia_TMED!A:U,9+$E$2,FALSE),"")</f>
        <v>28.0184121670802</v>
      </c>
      <c r="AS158" s="71">
        <f t="shared" si="8"/>
        <v>2.1744449757769466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>
        <v>19.93333333333333</v>
      </c>
      <c r="AJ159" s="56">
        <v>19.43333333333333</v>
      </c>
      <c r="AK159" s="56">
        <v>19.666666666666671</v>
      </c>
      <c r="AL159" s="56">
        <v>20.2</v>
      </c>
      <c r="AM159" s="56">
        <v>21.266666666666669</v>
      </c>
      <c r="AN159" s="56">
        <v>21.733333333333331</v>
      </c>
      <c r="AO159" s="56">
        <v>20.533333333333331</v>
      </c>
      <c r="AP159" s="58">
        <f t="shared" si="6"/>
        <v>28</v>
      </c>
      <c r="AQ159" s="71">
        <f t="shared" si="7"/>
        <v>20.377380952380953</v>
      </c>
      <c r="AR159" s="71">
        <f>IFERROR(VLOOKUP(A159,Climatologia_TMED!A:U,9+$E$2,FALSE),"")</f>
        <v>18.9909371146904</v>
      </c>
      <c r="AS159" s="71">
        <f t="shared" si="8"/>
        <v>1.3864438376905532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>
        <v>27.333333333333329</v>
      </c>
      <c r="AJ160" s="56">
        <v>27.13333333333334</v>
      </c>
      <c r="AK160" s="56">
        <v>26.86666666666666</v>
      </c>
      <c r="AL160" s="56">
        <v>27.8</v>
      </c>
      <c r="AM160" s="56">
        <v>26.666666666666671</v>
      </c>
      <c r="AN160" s="56">
        <v>26.933333333333341</v>
      </c>
      <c r="AO160" s="56"/>
      <c r="AP160" s="58">
        <f t="shared" si="6"/>
        <v>29</v>
      </c>
      <c r="AQ160" s="71">
        <f t="shared" si="7"/>
        <v>27.039080459770123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>
        <v>18.533333333333331</v>
      </c>
      <c r="AK161" s="56"/>
      <c r="AL161" s="56">
        <v>19.866666666666671</v>
      </c>
      <c r="AM161" s="56">
        <v>21.4</v>
      </c>
      <c r="AN161" s="56"/>
      <c r="AO161" s="56"/>
      <c r="AP161" s="58">
        <f t="shared" si="6"/>
        <v>17</v>
      </c>
      <c r="AQ161" s="71">
        <f t="shared" si="7"/>
        <v>19.313725490196081</v>
      </c>
      <c r="AR161" s="71">
        <f>IFERROR(VLOOKUP(A161,Climatologia_TMED!A:U,9+$E$2,FALSE),"")</f>
        <v>17.55988006564905</v>
      </c>
      <c r="AS161" s="71">
        <f t="shared" si="8"/>
        <v>1.7538454245470305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>
        <v>29.333333333333329</v>
      </c>
      <c r="AJ162" s="56">
        <v>27.86666666666666</v>
      </c>
      <c r="AK162" s="56">
        <v>28.13333333333334</v>
      </c>
      <c r="AL162" s="56">
        <v>29.06666666666667</v>
      </c>
      <c r="AM162" s="56">
        <v>29.866666666666671</v>
      </c>
      <c r="AN162" s="56">
        <v>29.6</v>
      </c>
      <c r="AO162" s="56">
        <v>28.733333333333331</v>
      </c>
      <c r="AP162" s="58">
        <f t="shared" si="6"/>
        <v>31</v>
      </c>
      <c r="AQ162" s="71">
        <f t="shared" si="7"/>
        <v>28.929032258064527</v>
      </c>
      <c r="AR162" s="71">
        <f>IFERROR(VLOOKUP(A162,Climatologia_TMED!A:U,9+$E$2,FALSE),"")</f>
        <v>28.573537387874278</v>
      </c>
      <c r="AS162" s="71">
        <f t="shared" si="8"/>
        <v>0.35549487019024895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>
        <v>20.733333333333331</v>
      </c>
      <c r="AJ163" s="56">
        <v>21.333333333333329</v>
      </c>
      <c r="AK163" s="56">
        <v>21.666666666666671</v>
      </c>
      <c r="AL163" s="56">
        <v>21.533333333333331</v>
      </c>
      <c r="AM163" s="56">
        <v>21.6</v>
      </c>
      <c r="AN163" s="56">
        <v>22.133333333333329</v>
      </c>
      <c r="AO163" s="56">
        <v>21.733333333333331</v>
      </c>
      <c r="AP163" s="58">
        <f t="shared" si="6"/>
        <v>31</v>
      </c>
      <c r="AQ163" s="71">
        <f t="shared" si="7"/>
        <v>21.455913978494625</v>
      </c>
      <c r="AR163" s="71">
        <f>IFERROR(VLOOKUP(A163,Climatologia_TMED!A:U,9+$E$2,FALSE),"")</f>
        <v>21.249423815600579</v>
      </c>
      <c r="AS163" s="71">
        <f t="shared" si="8"/>
        <v>0.20649016289404543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25.25</v>
      </c>
      <c r="AI164" s="56">
        <v>25.35</v>
      </c>
      <c r="AJ164" s="56">
        <v>25.75</v>
      </c>
      <c r="AK164" s="56">
        <v>24.85</v>
      </c>
      <c r="AL164" s="56">
        <v>25.15</v>
      </c>
      <c r="AM164" s="56">
        <v>25.85</v>
      </c>
      <c r="AN164" s="56">
        <v>25.95</v>
      </c>
      <c r="AO164" s="56">
        <v>26.2</v>
      </c>
      <c r="AP164" s="58">
        <f t="shared" si="6"/>
        <v>31</v>
      </c>
      <c r="AQ164" s="71">
        <f t="shared" si="7"/>
        <v>25.441935483870974</v>
      </c>
      <c r="AR164" s="71">
        <f>IFERROR(VLOOKUP(A164,Climatologia_TMED!A:U,9+$E$2,FALSE),"")</f>
        <v>23.79792760916008</v>
      </c>
      <c r="AS164" s="71">
        <f t="shared" si="8"/>
        <v>1.6440078747108942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>
        <v>14.733333333333331</v>
      </c>
      <c r="AJ166" s="56">
        <v>12.66666666666667</v>
      </c>
      <c r="AK166" s="56">
        <v>13.2</v>
      </c>
      <c r="AL166" s="56">
        <v>15.133333333333329</v>
      </c>
      <c r="AM166" s="56">
        <v>15.46666666666667</v>
      </c>
      <c r="AN166" s="56">
        <v>15.33333333333333</v>
      </c>
      <c r="AO166" s="56">
        <v>15.133333333333329</v>
      </c>
      <c r="AP166" s="58">
        <f t="shared" si="6"/>
        <v>29</v>
      </c>
      <c r="AQ166" s="71">
        <f t="shared" si="7"/>
        <v>14.790804597701152</v>
      </c>
      <c r="AR166" s="71">
        <f>IFERROR(VLOOKUP(A166,Climatologia_TMED!A:U,9+$E$2,FALSE),"")</f>
        <v>13.598469534050141</v>
      </c>
      <c r="AS166" s="71">
        <f t="shared" si="8"/>
        <v>1.1923350636510115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>
        <v>21.06666666666667</v>
      </c>
      <c r="AJ167" s="56">
        <v>20.533333333333331</v>
      </c>
      <c r="AK167" s="56">
        <v>20.2</v>
      </c>
      <c r="AL167" s="56">
        <v>20.93333333333333</v>
      </c>
      <c r="AM167" s="56">
        <v>21.4</v>
      </c>
      <c r="AN167" s="56">
        <v>21.333333333333329</v>
      </c>
      <c r="AO167" s="56">
        <v>20.733333333333331</v>
      </c>
      <c r="AP167" s="58">
        <f t="shared" si="6"/>
        <v>29</v>
      </c>
      <c r="AQ167" s="71">
        <f t="shared" si="7"/>
        <v>20.712643678160923</v>
      </c>
      <c r="AR167" s="71">
        <f>IFERROR(VLOOKUP(A167,Climatologia_TMED!A:U,9+$E$2,FALSE),"")</f>
        <v>19.03556780961064</v>
      </c>
      <c r="AS167" s="71">
        <f t="shared" si="8"/>
        <v>1.6770758685502827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>
        <v>28.85</v>
      </c>
      <c r="AJ168" s="56">
        <v>26.45</v>
      </c>
      <c r="AK168" s="56">
        <v>27.2</v>
      </c>
      <c r="AL168" s="56">
        <v>29.1</v>
      </c>
      <c r="AM168" s="56">
        <v>28.1</v>
      </c>
      <c r="AN168" s="56">
        <v>27.95</v>
      </c>
      <c r="AO168" s="56">
        <v>28.7</v>
      </c>
      <c r="AP168" s="58">
        <f t="shared" si="6"/>
        <v>29</v>
      </c>
      <c r="AQ168" s="71">
        <f t="shared" si="7"/>
        <v>27.870689655172427</v>
      </c>
      <c r="AR168" s="71">
        <f>IFERROR(VLOOKUP(A168,Climatologia_TMED!A:U,9+$E$2,FALSE),"")</f>
        <v>26.065864466066579</v>
      </c>
      <c r="AS168" s="71">
        <f t="shared" si="8"/>
        <v>1.8048251891058484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>
        <v>9.4499999999999993</v>
      </c>
      <c r="AJ169" s="56">
        <v>9.3000000000000007</v>
      </c>
      <c r="AK169" s="56">
        <v>9.1999999999999993</v>
      </c>
      <c r="AL169" s="56">
        <v>9.9</v>
      </c>
      <c r="AM169" s="56">
        <v>9</v>
      </c>
      <c r="AN169" s="56">
        <v>9</v>
      </c>
      <c r="AO169" s="56">
        <v>10.050000000000001</v>
      </c>
      <c r="AP169" s="58">
        <f t="shared" si="6"/>
        <v>31</v>
      </c>
      <c r="AQ169" s="71">
        <f t="shared" si="7"/>
        <v>9.0516129032258057</v>
      </c>
      <c r="AR169" s="71">
        <f>IFERROR(VLOOKUP(A169,Climatologia_TMED!A:U,9+$E$2,FALSE),"")</f>
        <v>8.5421242813545373</v>
      </c>
      <c r="AS169" s="71">
        <f t="shared" si="8"/>
        <v>0.50948862187126842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>
        <v>26.466666666666669</v>
      </c>
      <c r="AJ170" s="56">
        <v>23.2</v>
      </c>
      <c r="AK170" s="56">
        <v>25.733333333333331</v>
      </c>
      <c r="AL170" s="56">
        <v>27.266666666666669</v>
      </c>
      <c r="AM170" s="56">
        <v>28.466666666666669</v>
      </c>
      <c r="AN170" s="56">
        <v>27.6</v>
      </c>
      <c r="AO170" s="56">
        <v>24.06666666666667</v>
      </c>
      <c r="AP170" s="58">
        <f t="shared" si="6"/>
        <v>23</v>
      </c>
      <c r="AQ170" s="71">
        <f t="shared" si="7"/>
        <v>25.162318840579712</v>
      </c>
      <c r="AR170" s="71">
        <f>IFERROR(VLOOKUP(A170,Climatologia_TMED!A:U,9+$E$2,FALSE),"")</f>
        <v>24.090623941862471</v>
      </c>
      <c r="AS170" s="71">
        <f t="shared" si="8"/>
        <v>1.0716948987172401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>
        <v>19.866666666666671</v>
      </c>
      <c r="AJ171" s="56">
        <v>19.8</v>
      </c>
      <c r="AK171" s="56">
        <v>19.533333333333331</v>
      </c>
      <c r="AL171" s="56">
        <v>21.6</v>
      </c>
      <c r="AM171" s="56">
        <v>21.4</v>
      </c>
      <c r="AN171" s="56">
        <v>22.86666666666666</v>
      </c>
      <c r="AO171" s="56">
        <v>21.933333333333341</v>
      </c>
      <c r="AP171" s="58">
        <f t="shared" si="6"/>
        <v>30</v>
      </c>
      <c r="AQ171" s="71">
        <f t="shared" si="7"/>
        <v>20.873333333333335</v>
      </c>
      <c r="AR171" s="71">
        <f>IFERROR(VLOOKUP(A171,Climatologia_TMED!A:U,9+$E$2,FALSE),"")</f>
        <v>18.928926022251918</v>
      </c>
      <c r="AS171" s="71">
        <f t="shared" si="8"/>
        <v>1.9444073110814166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>
        <v>25.55</v>
      </c>
      <c r="AJ172" s="56">
        <v>25.3</v>
      </c>
      <c r="AK172" s="56">
        <v>25.95</v>
      </c>
      <c r="AL172" s="56">
        <v>27.35</v>
      </c>
      <c r="AM172" s="56">
        <v>26.3</v>
      </c>
      <c r="AN172" s="56">
        <v>25.95</v>
      </c>
      <c r="AO172" s="56">
        <v>26.65</v>
      </c>
      <c r="AP172" s="58">
        <f t="shared" si="6"/>
        <v>29</v>
      </c>
      <c r="AQ172" s="71">
        <f t="shared" si="7"/>
        <v>25.793103448275861</v>
      </c>
      <c r="AR172" s="71">
        <f>IFERROR(VLOOKUP(A172,Climatologia_TMED!A:U,9+$E$2,FALSE),"")</f>
        <v>24.438628368511878</v>
      </c>
      <c r="AS172" s="71">
        <f t="shared" si="8"/>
        <v>1.3544750797639828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>
        <v>24.65</v>
      </c>
      <c r="AJ173" s="56">
        <v>25.1</v>
      </c>
      <c r="AK173" s="56">
        <v>24.5</v>
      </c>
      <c r="AL173" s="56">
        <v>25.45</v>
      </c>
      <c r="AM173" s="56">
        <v>26.2</v>
      </c>
      <c r="AN173" s="56">
        <v>26.25</v>
      </c>
      <c r="AO173" s="56">
        <v>25.95</v>
      </c>
      <c r="AP173" s="58">
        <f t="shared" si="6"/>
        <v>31</v>
      </c>
      <c r="AQ173" s="71">
        <f t="shared" si="7"/>
        <v>25.211559139784956</v>
      </c>
      <c r="AR173" s="71">
        <f>IFERROR(VLOOKUP(A173,Climatologia_TMED!A:U,9+$E$2,FALSE),"")</f>
        <v>24.054408602150531</v>
      </c>
      <c r="AS173" s="71">
        <f t="shared" si="8"/>
        <v>1.1571505376344255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>
        <v>14.4</v>
      </c>
      <c r="AJ174" s="56">
        <v>14.53333333333333</v>
      </c>
      <c r="AK174" s="56">
        <v>15</v>
      </c>
      <c r="AL174" s="56">
        <v>14.2</v>
      </c>
      <c r="AM174" s="56">
        <v>12.733333333333331</v>
      </c>
      <c r="AN174" s="56"/>
      <c r="AO174" s="56">
        <v>14.4</v>
      </c>
      <c r="AP174" s="58">
        <f t="shared" si="6"/>
        <v>29</v>
      </c>
      <c r="AQ174" s="71">
        <f t="shared" si="7"/>
        <v>13.908045977011495</v>
      </c>
      <c r="AR174" s="71">
        <f>IFERROR(VLOOKUP(A174,Climatologia_TMED!A:U,9+$E$2,FALSE),"")</f>
        <v>12.06075185767186</v>
      </c>
      <c r="AS174" s="71">
        <f t="shared" si="8"/>
        <v>1.8472941193396348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>
        <v>22.8</v>
      </c>
      <c r="AK175" s="56">
        <v>24.666666666666671</v>
      </c>
      <c r="AL175" s="56">
        <v>24.6</v>
      </c>
      <c r="AM175" s="56">
        <v>25.8</v>
      </c>
      <c r="AN175" s="56">
        <v>25.466666666666669</v>
      </c>
      <c r="AO175" s="56"/>
      <c r="AP175" s="58">
        <f t="shared" si="6"/>
        <v>26</v>
      </c>
      <c r="AQ175" s="71">
        <f t="shared" si="7"/>
        <v>24.601282051282048</v>
      </c>
      <c r="AR175" s="71">
        <f>IFERROR(VLOOKUP(A175,Climatologia_TMED!A:U,9+$E$2,FALSE),"")</f>
        <v>23.532893345747048</v>
      </c>
      <c r="AS175" s="71">
        <f t="shared" si="8"/>
        <v>1.0683887055349999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>
        <v>23.86666666666666</v>
      </c>
      <c r="AJ178" s="56">
        <v>24.6</v>
      </c>
      <c r="AK178" s="56">
        <v>25.4</v>
      </c>
      <c r="AL178" s="56">
        <v>26.733333333333331</v>
      </c>
      <c r="AM178" s="56">
        <v>25.866666666666671</v>
      </c>
      <c r="AN178" s="56">
        <v>26.86666666666666</v>
      </c>
      <c r="AO178" s="56">
        <v>27.4</v>
      </c>
      <c r="AP178" s="58">
        <f t="shared" si="6"/>
        <v>26</v>
      </c>
      <c r="AQ178" s="71">
        <f t="shared" si="7"/>
        <v>25.376923076923074</v>
      </c>
      <c r="AR178" s="71">
        <f>IFERROR(VLOOKUP(A178,Climatologia_TMED!A:U,9+$E$2,FALSE),"")</f>
        <v>24.552280346878891</v>
      </c>
      <c r="AS178" s="71">
        <f t="shared" si="8"/>
        <v>0.82464273004418231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>
        <v>18.45</v>
      </c>
      <c r="AJ179" s="56">
        <v>17.649999999999999</v>
      </c>
      <c r="AK179" s="56">
        <v>17.5</v>
      </c>
      <c r="AL179" s="56">
        <v>19.2</v>
      </c>
      <c r="AM179" s="56">
        <v>19.95</v>
      </c>
      <c r="AN179" s="56">
        <v>20.100000000000001</v>
      </c>
      <c r="AO179" s="56">
        <v>19.75</v>
      </c>
      <c r="AP179" s="58">
        <f t="shared" si="6"/>
        <v>27</v>
      </c>
      <c r="AQ179" s="71">
        <f t="shared" si="7"/>
        <v>18.707407407407405</v>
      </c>
      <c r="AR179" s="71">
        <f>IFERROR(VLOOKUP(A179,Climatologia_TMED!A:U,9+$E$2,FALSE),"")</f>
        <v>17.587583683516652</v>
      </c>
      <c r="AS179" s="71">
        <f t="shared" si="8"/>
        <v>1.1198237238907538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>
        <v>30.466666666666669</v>
      </c>
      <c r="AJ181" s="56">
        <v>31.8</v>
      </c>
      <c r="AK181" s="56">
        <v>31.6</v>
      </c>
      <c r="AL181" s="56">
        <v>32.266666666666673</v>
      </c>
      <c r="AM181" s="56">
        <v>29.4</v>
      </c>
      <c r="AN181" s="56">
        <v>32.533333333333331</v>
      </c>
      <c r="AO181" s="56">
        <v>32.933333333333337</v>
      </c>
      <c r="AP181" s="58">
        <f t="shared" si="6"/>
        <v>31</v>
      </c>
      <c r="AQ181" s="71">
        <f t="shared" si="7"/>
        <v>31.07096774193548</v>
      </c>
      <c r="AR181" s="71">
        <f>IFERROR(VLOOKUP(A181,Climatologia_TMED!A:U,9+$E$2,FALSE),"")</f>
        <v>28.533236387569811</v>
      </c>
      <c r="AS181" s="71">
        <f t="shared" si="8"/>
        <v>2.5377313543656683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>
        <v>27.2</v>
      </c>
      <c r="AJ184" s="56">
        <v>28.333333333333329</v>
      </c>
      <c r="AK184" s="56">
        <v>27.8</v>
      </c>
      <c r="AL184" s="56">
        <v>29.36666666666666</v>
      </c>
      <c r="AM184" s="56">
        <v>28.066666666666659</v>
      </c>
      <c r="AN184" s="56">
        <v>29.666666666666671</v>
      </c>
      <c r="AO184" s="56">
        <v>26.2</v>
      </c>
      <c r="AP184" s="58">
        <f t="shared" si="6"/>
        <v>31</v>
      </c>
      <c r="AQ184" s="71">
        <f t="shared" si="7"/>
        <v>28.127956989247313</v>
      </c>
      <c r="AR184" s="71">
        <f>IFERROR(VLOOKUP(A184,Climatologia_TMED!A:U,9+$E$2,FALSE),"")</f>
        <v>26.638371217616989</v>
      </c>
      <c r="AS184" s="71">
        <f t="shared" si="8"/>
        <v>1.489585771630324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>
        <v>28.93333333333333</v>
      </c>
      <c r="AJ185" s="56">
        <v>29.266666666666669</v>
      </c>
      <c r="AK185" s="56">
        <v>29</v>
      </c>
      <c r="AL185" s="56">
        <v>29.06666666666667</v>
      </c>
      <c r="AM185" s="56">
        <v>28.733333333333331</v>
      </c>
      <c r="AN185" s="56">
        <v>29.733333333333331</v>
      </c>
      <c r="AO185" s="56">
        <v>30.666666666666671</v>
      </c>
      <c r="AP185" s="58">
        <f t="shared" si="6"/>
        <v>27</v>
      </c>
      <c r="AQ185" s="71">
        <f t="shared" si="7"/>
        <v>29.02469135802469</v>
      </c>
      <c r="AR185" s="71">
        <f>IFERROR(VLOOKUP(A185,Climatologia_TMED!A:U,9+$E$2,FALSE),"")</f>
        <v>27.608632285011371</v>
      </c>
      <c r="AS185" s="71">
        <f t="shared" si="8"/>
        <v>1.4160590730133187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>
        <v>16.8</v>
      </c>
      <c r="AJ188" s="56">
        <v>16.2</v>
      </c>
      <c r="AK188" s="56">
        <v>16.93333333333333</v>
      </c>
      <c r="AL188" s="56">
        <v>16.93333333333333</v>
      </c>
      <c r="AM188" s="56">
        <v>17.600000000000001</v>
      </c>
      <c r="AN188" s="56">
        <v>18.93333333333333</v>
      </c>
      <c r="AO188" s="56">
        <v>19.2</v>
      </c>
      <c r="AP188" s="58">
        <f t="shared" si="6"/>
        <v>31</v>
      </c>
      <c r="AQ188" s="71">
        <f t="shared" si="7"/>
        <v>17.412903225806456</v>
      </c>
      <c r="AR188" s="71">
        <f>IFERROR(VLOOKUP(A188,Climatologia_TMED!A:U,9+$E$2,FALSE),"")</f>
        <v>15.99559198953173</v>
      </c>
      <c r="AS188" s="71">
        <f t="shared" si="8"/>
        <v>1.4173112362747258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>
        <v>31.86666666666666</v>
      </c>
      <c r="AJ189" s="56">
        <v>31.13333333333334</v>
      </c>
      <c r="AK189" s="56">
        <v>32.133333333333333</v>
      </c>
      <c r="AL189" s="56"/>
      <c r="AM189" s="56">
        <v>32.133333333333333</v>
      </c>
      <c r="AN189" s="56"/>
      <c r="AO189" s="56">
        <v>34.666666666666657</v>
      </c>
      <c r="AP189" s="58">
        <f t="shared" si="6"/>
        <v>23</v>
      </c>
      <c r="AQ189" s="71">
        <f t="shared" si="7"/>
        <v>32.110144927536233</v>
      </c>
      <c r="AR189" s="71">
        <f>IFERROR(VLOOKUP(A189,Climatologia_TMED!A:U,9+$E$2,FALSE),"")</f>
        <v>29.85158435805279</v>
      </c>
      <c r="AS189" s="71">
        <f t="shared" si="8"/>
        <v>2.2585605694834427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>
        <v>30.4</v>
      </c>
      <c r="AJ190" s="56">
        <v>28.6</v>
      </c>
      <c r="AK190" s="56">
        <v>30.666666666666671</v>
      </c>
      <c r="AL190" s="56">
        <v>30.333333333333329</v>
      </c>
      <c r="AM190" s="56">
        <v>29.466666666666669</v>
      </c>
      <c r="AN190" s="56">
        <v>31.4</v>
      </c>
      <c r="AO190" s="56">
        <v>31.733333333333331</v>
      </c>
      <c r="AP190" s="58">
        <f t="shared" si="6"/>
        <v>31</v>
      </c>
      <c r="AQ190" s="71">
        <f t="shared" si="7"/>
        <v>30.563440860215056</v>
      </c>
      <c r="AR190" s="71">
        <f>IFERROR(VLOOKUP(A190,Climatologia_TMED!A:U,9+$E$2,FALSE),"")</f>
        <v>28.916523661482469</v>
      </c>
      <c r="AS190" s="71">
        <f t="shared" si="8"/>
        <v>1.6469171987325879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>
        <v>18.25</v>
      </c>
      <c r="AJ191" s="56">
        <v>17.399999999999999</v>
      </c>
      <c r="AK191" s="56">
        <v>17.2</v>
      </c>
      <c r="AL191" s="56">
        <v>18.75</v>
      </c>
      <c r="AM191" s="56">
        <v>18.649999999999999</v>
      </c>
      <c r="AN191" s="56">
        <v>20.2</v>
      </c>
      <c r="AO191" s="56">
        <v>19.45</v>
      </c>
      <c r="AP191" s="58">
        <f t="shared" si="6"/>
        <v>31</v>
      </c>
      <c r="AQ191" s="71">
        <f t="shared" si="7"/>
        <v>18.640322580645162</v>
      </c>
      <c r="AR191" s="71">
        <f>IFERROR(VLOOKUP(A191,Climatologia_TMED!A:U,9+$E$2,FALSE),"")</f>
        <v>17.387219014660609</v>
      </c>
      <c r="AS191" s="71">
        <f t="shared" si="8"/>
        <v>1.2531035659845529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>
        <v>26</v>
      </c>
      <c r="AJ192" s="56">
        <v>26.2</v>
      </c>
      <c r="AK192" s="56">
        <v>27.333333333333329</v>
      </c>
      <c r="AL192" s="56">
        <v>27.2</v>
      </c>
      <c r="AM192" s="56">
        <v>26.4</v>
      </c>
      <c r="AN192" s="56">
        <v>26.8</v>
      </c>
      <c r="AO192" s="56">
        <v>27.133333333333329</v>
      </c>
      <c r="AP192" s="58">
        <f t="shared" si="6"/>
        <v>31</v>
      </c>
      <c r="AQ192" s="71">
        <f t="shared" si="7"/>
        <v>26.283870967741944</v>
      </c>
      <c r="AR192" s="71">
        <f>IFERROR(VLOOKUP(A192,Climatologia_TMED!A:U,9+$E$2,FALSE),"")</f>
        <v>25.244507180818172</v>
      </c>
      <c r="AS192" s="71">
        <f t="shared" si="8"/>
        <v>1.0393637869237722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>
        <v>26.7</v>
      </c>
      <c r="AJ193" s="56">
        <v>26.55</v>
      </c>
      <c r="AK193" s="56">
        <v>28.45</v>
      </c>
      <c r="AL193" s="56">
        <v>28.8</v>
      </c>
      <c r="AM193" s="56">
        <v>29.55</v>
      </c>
      <c r="AN193" s="56">
        <v>29.25</v>
      </c>
      <c r="AO193" s="56">
        <v>29.2</v>
      </c>
      <c r="AP193" s="58">
        <f t="shared" si="6"/>
        <v>28</v>
      </c>
      <c r="AQ193" s="71">
        <f t="shared" si="7"/>
        <v>27.417857142857141</v>
      </c>
      <c r="AR193" s="71">
        <f>IFERROR(VLOOKUP(A193,Climatologia_TMED!A:U,9+$E$2,FALSE),"")</f>
        <v>26.35276954000917</v>
      </c>
      <c r="AS193" s="71">
        <f t="shared" si="8"/>
        <v>1.0650876028479708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>
        <v>20.733333333333331</v>
      </c>
      <c r="AJ194" s="56">
        <v>20.6</v>
      </c>
      <c r="AK194" s="56">
        <v>20.399999999999999</v>
      </c>
      <c r="AL194" s="56">
        <v>22.8</v>
      </c>
      <c r="AM194" s="56">
        <v>21.8</v>
      </c>
      <c r="AN194" s="56">
        <v>23</v>
      </c>
      <c r="AO194" s="56">
        <v>23.066666666666659</v>
      </c>
      <c r="AP194" s="58">
        <f t="shared" si="6"/>
        <v>31</v>
      </c>
      <c r="AQ194" s="71">
        <f t="shared" si="7"/>
        <v>21.359139784946233</v>
      </c>
      <c r="AR194" s="71">
        <f>IFERROR(VLOOKUP(A194,Climatologia_TMED!A:U,9+$E$2,FALSE),"")</f>
        <v>21.60766179705843</v>
      </c>
      <c r="AS194" s="71">
        <f t="shared" si="8"/>
        <v>-0.24852201211219693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>
        <v>26.2</v>
      </c>
      <c r="AJ195" s="56">
        <v>26.266666666666669</v>
      </c>
      <c r="AK195" s="56">
        <v>25.86666666666666</v>
      </c>
      <c r="AL195" s="56">
        <v>26.86666666666666</v>
      </c>
      <c r="AM195" s="56">
        <v>27.133333333333329</v>
      </c>
      <c r="AN195" s="56">
        <v>29.6</v>
      </c>
      <c r="AO195" s="56">
        <v>29.4</v>
      </c>
      <c r="AP195" s="58">
        <f t="shared" si="6"/>
        <v>31</v>
      </c>
      <c r="AQ195" s="71">
        <f t="shared" si="7"/>
        <v>27.660215053763441</v>
      </c>
      <c r="AR195" s="71">
        <f>IFERROR(VLOOKUP(A195,Climatologia_TMED!A:U,9+$E$2,FALSE),"")</f>
        <v>25.687488209709759</v>
      </c>
      <c r="AS195" s="71">
        <f t="shared" si="8"/>
        <v>1.9727268440536818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>
        <v>21.733333333333331</v>
      </c>
      <c r="AJ196" s="56">
        <v>21.2</v>
      </c>
      <c r="AK196" s="56">
        <v>20.6</v>
      </c>
      <c r="AL196" s="56">
        <v>21.533333333333331</v>
      </c>
      <c r="AM196" s="56">
        <v>21.8</v>
      </c>
      <c r="AN196" s="56">
        <v>23.93333333333333</v>
      </c>
      <c r="AO196" s="56">
        <v>24.13333333333334</v>
      </c>
      <c r="AP196" s="58">
        <f t="shared" si="6"/>
        <v>31</v>
      </c>
      <c r="AQ196" s="71">
        <f t="shared" si="7"/>
        <v>22.169892473118278</v>
      </c>
      <c r="AR196" s="71">
        <f>IFERROR(VLOOKUP(A196,Climatologia_TMED!A:U,9+$E$2,FALSE),"")</f>
        <v>20.22375647152527</v>
      </c>
      <c r="AS196" s="71">
        <f t="shared" si="8"/>
        <v>1.9461360015930076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>
        <v>27.333333333333329</v>
      </c>
      <c r="AJ197" s="56">
        <v>24.6</v>
      </c>
      <c r="AK197" s="56">
        <v>26.6</v>
      </c>
      <c r="AL197" s="56">
        <v>26.6</v>
      </c>
      <c r="AM197" s="56">
        <v>26.93333333333333</v>
      </c>
      <c r="AN197" s="56">
        <v>27.6</v>
      </c>
      <c r="AO197" s="56">
        <v>27.6</v>
      </c>
      <c r="AP197" s="58">
        <f t="shared" ref="AP197:AP260" si="9">COUNTIF(K197:AO197,"&gt;0")</f>
        <v>31</v>
      </c>
      <c r="AQ197" s="71">
        <f t="shared" ref="AQ197:AQ260" si="10">IF(AP197&gt;14,AVERAGE(K197:AO197),"")</f>
        <v>26.075268817204304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1.9478858160337751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>
        <v>22.35</v>
      </c>
      <c r="AJ198" s="56">
        <v>21.55</v>
      </c>
      <c r="AK198" s="56">
        <v>20.95</v>
      </c>
      <c r="AL198" s="56">
        <v>21.8</v>
      </c>
      <c r="AM198" s="56">
        <v>21.55</v>
      </c>
      <c r="AN198" s="56">
        <v>22.7</v>
      </c>
      <c r="AO198" s="56">
        <v>22.2</v>
      </c>
      <c r="AP198" s="58">
        <f t="shared" si="9"/>
        <v>31</v>
      </c>
      <c r="AQ198" s="71">
        <f t="shared" si="10"/>
        <v>21.656451612903222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>
        <v>16.399999999999999</v>
      </c>
      <c r="AJ199" s="56">
        <v>16.13333333333334</v>
      </c>
      <c r="AK199" s="56">
        <v>16.13333333333334</v>
      </c>
      <c r="AL199" s="56">
        <v>16.399999999999999</v>
      </c>
      <c r="AM199" s="56">
        <v>16.600000000000001</v>
      </c>
      <c r="AN199" s="56">
        <v>16.93333333333333</v>
      </c>
      <c r="AO199" s="56">
        <v>17.266666666666669</v>
      </c>
      <c r="AP199" s="58">
        <f t="shared" si="9"/>
        <v>31</v>
      </c>
      <c r="AQ199" s="71">
        <f t="shared" si="10"/>
        <v>16.604301075268818</v>
      </c>
      <c r="AR199" s="71">
        <f>IFERROR(VLOOKUP(A199,Climatologia_TMED!A:U,9+$E$2,FALSE),"")</f>
        <v>15.78766040619119</v>
      </c>
      <c r="AS199" s="71">
        <f t="shared" si="11"/>
        <v>0.81664066907762844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13.15</v>
      </c>
      <c r="AI200" s="56">
        <v>14.65</v>
      </c>
      <c r="AJ200" s="56">
        <v>14.3</v>
      </c>
      <c r="AK200" s="56">
        <v>14</v>
      </c>
      <c r="AL200" s="56">
        <v>14.15</v>
      </c>
      <c r="AM200" s="56">
        <v>14.65</v>
      </c>
      <c r="AN200" s="56">
        <v>14.3</v>
      </c>
      <c r="AO200" s="56">
        <v>15.35</v>
      </c>
      <c r="AP200" s="58">
        <f t="shared" si="9"/>
        <v>31</v>
      </c>
      <c r="AQ200" s="71">
        <f t="shared" si="10"/>
        <v>14.638709677419355</v>
      </c>
      <c r="AR200" s="71">
        <f>IFERROR(VLOOKUP(A200,Climatologia_TMED!A:U,9+$E$2,FALSE),"")</f>
        <v>13.36561246778364</v>
      </c>
      <c r="AS200" s="71">
        <f t="shared" si="11"/>
        <v>1.2730972096357149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>
        <v>27</v>
      </c>
      <c r="AJ201" s="56">
        <v>26.4</v>
      </c>
      <c r="AK201" s="56">
        <v>26.35</v>
      </c>
      <c r="AL201" s="56">
        <v>26.85</v>
      </c>
      <c r="AM201" s="56">
        <v>27.3</v>
      </c>
      <c r="AN201" s="56">
        <v>29.4</v>
      </c>
      <c r="AO201" s="56">
        <v>29.4</v>
      </c>
      <c r="AP201" s="58">
        <f t="shared" si="9"/>
        <v>31</v>
      </c>
      <c r="AQ201" s="71">
        <f t="shared" si="10"/>
        <v>27.232258064516124</v>
      </c>
      <c r="AR201" s="71">
        <f>IFERROR(VLOOKUP(A201,Climatologia_TMED!A:U,9+$E$2,FALSE),"")</f>
        <v>25.53752926833085</v>
      </c>
      <c r="AS201" s="71">
        <f t="shared" si="11"/>
        <v>1.6947287961852737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>
        <v>12.5</v>
      </c>
      <c r="AL202" s="56">
        <v>11.8</v>
      </c>
      <c r="AM202" s="56"/>
      <c r="AN202" s="56"/>
      <c r="AO202" s="56"/>
      <c r="AP202" s="58">
        <f t="shared" si="9"/>
        <v>20</v>
      </c>
      <c r="AQ202" s="71">
        <f t="shared" si="10"/>
        <v>13.367499999999998</v>
      </c>
      <c r="AR202" s="71">
        <f>IFERROR(VLOOKUP(A202,Climatologia_TMED!A:U,9+$E$2,FALSE),"")</f>
        <v>12.80356395850392</v>
      </c>
      <c r="AS202" s="71">
        <f t="shared" si="11"/>
        <v>0.56393604149607768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>
        <v>13.46666666666667</v>
      </c>
      <c r="AL203" s="56"/>
      <c r="AM203" s="56"/>
      <c r="AN203" s="56"/>
      <c r="AO203" s="56"/>
      <c r="AP203" s="58">
        <f t="shared" si="9"/>
        <v>23</v>
      </c>
      <c r="AQ203" s="71">
        <f t="shared" si="10"/>
        <v>14.046376811594202</v>
      </c>
      <c r="AR203" s="71">
        <f>IFERROR(VLOOKUP(A203,Climatologia_TMED!A:U,9+$E$2,FALSE),"")</f>
        <v>11.97087485048104</v>
      </c>
      <c r="AS203" s="71">
        <f t="shared" si="11"/>
        <v>2.0755019611131615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>
        <v>14.5</v>
      </c>
      <c r="AJ205" s="56">
        <v>16.25</v>
      </c>
      <c r="AK205" s="56">
        <v>14.35</v>
      </c>
      <c r="AL205" s="56">
        <v>14.55</v>
      </c>
      <c r="AM205" s="56">
        <v>14.85</v>
      </c>
      <c r="AN205" s="56">
        <v>15</v>
      </c>
      <c r="AO205" s="56">
        <v>14.7</v>
      </c>
      <c r="AP205" s="58">
        <f t="shared" si="9"/>
        <v>31</v>
      </c>
      <c r="AQ205" s="71">
        <f t="shared" si="10"/>
        <v>14.567741935483872</v>
      </c>
      <c r="AR205" s="71">
        <f>IFERROR(VLOOKUP(A205,Climatologia_TMED!A:U,9+$E$2,FALSE),"")</f>
        <v>13.414894116817671</v>
      </c>
      <c r="AS205" s="71">
        <f t="shared" si="11"/>
        <v>1.152847818666201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>
        <v>13.2</v>
      </c>
      <c r="AM206" s="56">
        <v>13.4</v>
      </c>
      <c r="AN206" s="56"/>
      <c r="AO206" s="56"/>
      <c r="AP206" s="58">
        <f t="shared" si="9"/>
        <v>23</v>
      </c>
      <c r="AQ206" s="71">
        <f t="shared" si="10"/>
        <v>13.530434782608696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>
        <v>14.53333333333333</v>
      </c>
      <c r="AL207" s="56">
        <v>13.2</v>
      </c>
      <c r="AM207" s="56">
        <v>14.266666666666669</v>
      </c>
      <c r="AN207" s="56">
        <v>14.46666666666667</v>
      </c>
      <c r="AO207" s="56">
        <v>14.46666666666667</v>
      </c>
      <c r="AP207" s="58">
        <f t="shared" si="9"/>
        <v>22</v>
      </c>
      <c r="AQ207" s="71">
        <f t="shared" si="10"/>
        <v>14.25151515151515</v>
      </c>
      <c r="AR207" s="71">
        <f>IFERROR(VLOOKUP(A207,Climatologia_TMED!A:U,9+$E$2,FALSE),"")</f>
        <v>13.56077580506272</v>
      </c>
      <c r="AS207" s="71">
        <f t="shared" si="11"/>
        <v>0.69073934645243007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>
        <v>11.4</v>
      </c>
      <c r="AJ208" s="56">
        <v>14.5</v>
      </c>
      <c r="AK208" s="56">
        <v>14.6</v>
      </c>
      <c r="AL208" s="56">
        <v>14</v>
      </c>
      <c r="AM208" s="56">
        <v>14.4</v>
      </c>
      <c r="AN208" s="56">
        <v>14.95</v>
      </c>
      <c r="AO208" s="56">
        <v>14.6</v>
      </c>
      <c r="AP208" s="58">
        <f t="shared" si="9"/>
        <v>30</v>
      </c>
      <c r="AQ208" s="71">
        <f t="shared" si="10"/>
        <v>14.221666666666664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>
        <v>11.45</v>
      </c>
      <c r="AJ209" s="56">
        <v>10.85</v>
      </c>
      <c r="AK209" s="56">
        <v>11</v>
      </c>
      <c r="AL209" s="56">
        <v>11.25</v>
      </c>
      <c r="AM209" s="56">
        <v>10.75</v>
      </c>
      <c r="AN209" s="56">
        <v>11.05</v>
      </c>
      <c r="AO209" s="56">
        <v>11.55</v>
      </c>
      <c r="AP209" s="58">
        <f t="shared" si="9"/>
        <v>31</v>
      </c>
      <c r="AQ209" s="71">
        <f t="shared" si="10"/>
        <v>11.091935483870971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>
        <v>16.850000000000001</v>
      </c>
      <c r="AK210" s="56">
        <v>15.5</v>
      </c>
      <c r="AL210" s="56">
        <v>14.55</v>
      </c>
      <c r="AM210" s="56">
        <v>16.350000000000001</v>
      </c>
      <c r="AN210" s="56">
        <v>16.2</v>
      </c>
      <c r="AO210" s="56">
        <v>15.9</v>
      </c>
      <c r="AP210" s="58">
        <f t="shared" si="9"/>
        <v>29</v>
      </c>
      <c r="AQ210" s="71">
        <f t="shared" si="10"/>
        <v>15.779310344827588</v>
      </c>
      <c r="AR210" s="71">
        <f>IFERROR(VLOOKUP(A210,Climatologia_TMED!A:U,9+$E$2,FALSE),"")</f>
        <v>14.32967020528393</v>
      </c>
      <c r="AS210" s="71">
        <f t="shared" si="11"/>
        <v>1.4496401395436571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>
        <v>8.4499999999999993</v>
      </c>
      <c r="AL211" s="56">
        <v>9.0500000000000007</v>
      </c>
      <c r="AM211" s="56">
        <v>8.5499999999999989</v>
      </c>
      <c r="AN211" s="56">
        <v>8.6</v>
      </c>
      <c r="AO211" s="56"/>
      <c r="AP211" s="58">
        <f t="shared" si="9"/>
        <v>28</v>
      </c>
      <c r="AQ211" s="71">
        <f t="shared" si="10"/>
        <v>8.6339285714285712</v>
      </c>
      <c r="AR211" s="71">
        <f>IFERROR(VLOOKUP(A211,Climatologia_TMED!A:U,9+$E$2,FALSE),"")</f>
        <v>8.0801328816903997</v>
      </c>
      <c r="AS211" s="71">
        <f t="shared" si="11"/>
        <v>0.5537956897381715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>
        <v>26.15</v>
      </c>
      <c r="AJ212" s="56">
        <v>27.05</v>
      </c>
      <c r="AK212" s="56">
        <v>27.3</v>
      </c>
      <c r="AL212" s="56">
        <v>27.75</v>
      </c>
      <c r="AM212" s="56">
        <v>27.55</v>
      </c>
      <c r="AN212" s="56">
        <v>26.1</v>
      </c>
      <c r="AO212" s="56">
        <v>27.3</v>
      </c>
      <c r="AP212" s="58">
        <f t="shared" si="9"/>
        <v>31</v>
      </c>
      <c r="AQ212" s="71">
        <f t="shared" si="10"/>
        <v>25.872580645161278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2026-08-01T15:07:35Z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2026-08-01T15:07:35Z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46391d50-3632-44e8-97ac-edacdbd5bc04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