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6B743B8-F7FF-4E48-884A-DF7CD4166835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<sst xmlns="http://schemas.openxmlformats.org/spreadsheetml/2006/main" count="603" uniqueCount="272">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</sst>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6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right" vertical="center"/>
    </xf>
    <xf numFmtId="165" fontId="12" fillId="0" borderId="1" xfId="0" applyNumberFormat="1" applyFont="1" applyFill="1" applyBorder="1" applyAlignment="1">
      <alignment horizontal="right" vertical="center"/>
    </xf>
    <xf numFmtId="164" fontId="13" fillId="0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Fill="1" applyBorder="1" applyAlignment="1">
      <alignment horizontal="right" vertical="center"/>
    </xf>
    <xf numFmtId="164" fontId="19" fillId="0" borderId="1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66" fontId="4" fillId="0" borderId="0" xfId="0" applyNumberFormat="1" applyFont="1" applyFill="1" applyAlignment="1">
      <alignment vertical="center" wrapText="1"/>
    </xf>
    <xf numFmtId="0" fontId="12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" sqref="D1:D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3" t="s">
        <v>0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36" t="e">
        <f>+IF(SUM($E5:$AI5)&gt;0,LOOKUP(1000,$E5:$AI5),NA())</f>
        <v>#N/A</v>
      </c>
      <c r="AK5" s="21">
        <f>+MAX($E5:$AI5)</f>
        <v>0</v>
      </c>
      <c r="AL5" s="22">
        <v>33.1</v>
      </c>
      <c r="AM5" s="23" t="str">
        <f>IF(AK5&gt;0,$AK5-$AL5,"")</f>
        <v/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36" t="e">
        <f t="shared" ref="AJ6:AJ48" si="0">+IF(SUM($E6:$AI6)&gt;0,LOOKUP(1000,$E6:$AI6),NA())</f>
        <v>#N/A</v>
      </c>
      <c r="AK6" s="21">
        <f t="shared" ref="AK6:AK48" si="1">+MAX($E6:$AI6)</f>
        <v>0</v>
      </c>
      <c r="AL6" s="22">
        <v>33.4</v>
      </c>
      <c r="AM6" s="23" t="str">
        <f t="shared" ref="AM6:AM48" si="2">IF(AK6&gt;0,$AK6-$AL6,"")</f>
        <v/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36" t="e">
        <f t="shared" si="0"/>
        <v>#N/A</v>
      </c>
      <c r="AK7" s="21">
        <f t="shared" si="1"/>
        <v>0</v>
      </c>
      <c r="AL7" s="22">
        <v>38.4</v>
      </c>
      <c r="AM7" s="23" t="str">
        <f t="shared" si="2"/>
        <v/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36" t="e">
        <f t="shared" si="0"/>
        <v>#N/A</v>
      </c>
      <c r="AK8" s="21">
        <f t="shared" si="1"/>
        <v>0</v>
      </c>
      <c r="AL8" s="22">
        <v>36.9</v>
      </c>
      <c r="AM8" s="23" t="str">
        <f t="shared" si="2"/>
        <v/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36" t="e">
        <f t="shared" si="0"/>
        <v>#N/A</v>
      </c>
      <c r="AK9" s="21">
        <f t="shared" si="1"/>
        <v>0</v>
      </c>
      <c r="AL9" s="22">
        <v>38.700000000000003</v>
      </c>
      <c r="AM9" s="23" t="str">
        <f t="shared" si="2"/>
        <v/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36" t="e">
        <f t="shared" si="0"/>
        <v>#N/A</v>
      </c>
      <c r="AK10" s="21">
        <f t="shared" si="1"/>
        <v>0</v>
      </c>
      <c r="AL10" s="22">
        <v>39.4</v>
      </c>
      <c r="AM10" s="23" t="str">
        <f t="shared" si="2"/>
        <v/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36" t="e">
        <f t="shared" si="0"/>
        <v>#N/A</v>
      </c>
      <c r="AK11" s="21">
        <f t="shared" si="1"/>
        <v>0</v>
      </c>
      <c r="AL11" s="22">
        <v>41.2</v>
      </c>
      <c r="AM11" s="23" t="str">
        <f t="shared" si="2"/>
        <v/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76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36" t="e">
        <f t="shared" si="0"/>
        <v>#N/A</v>
      </c>
      <c r="AK12" s="21">
        <f t="shared" si="1"/>
        <v>0</v>
      </c>
      <c r="AL12" s="22">
        <v>37.4</v>
      </c>
      <c r="AM12" s="23" t="str">
        <f t="shared" si="2"/>
        <v/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76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36" t="e">
        <f t="shared" si="0"/>
        <v>#N/A</v>
      </c>
      <c r="AK13" s="21">
        <f t="shared" si="1"/>
        <v>0</v>
      </c>
      <c r="AL13" s="22">
        <v>38.200000000000003</v>
      </c>
      <c r="AM13" s="23" t="str">
        <f t="shared" si="2"/>
        <v/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36" t="e">
        <f t="shared" si="0"/>
        <v>#N/A</v>
      </c>
      <c r="AK14" s="21">
        <f t="shared" si="1"/>
        <v>0</v>
      </c>
      <c r="AL14" s="22">
        <v>36.9</v>
      </c>
      <c r="AM14" s="23" t="str">
        <f t="shared" si="2"/>
        <v/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36" t="e">
        <f t="shared" si="0"/>
        <v>#N/A</v>
      </c>
      <c r="AK15" s="21">
        <f t="shared" si="1"/>
        <v>0</v>
      </c>
      <c r="AL15" s="22">
        <v>35</v>
      </c>
      <c r="AM15" s="23" t="str">
        <f t="shared" si="2"/>
        <v/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36" t="e">
        <f t="shared" si="0"/>
        <v>#N/A</v>
      </c>
      <c r="AK17" s="21">
        <f t="shared" si="1"/>
        <v>0</v>
      </c>
      <c r="AL17" s="22">
        <v>37.200000000000003</v>
      </c>
      <c r="AM17" s="23" t="str">
        <f t="shared" si="2"/>
        <v/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36" t="e">
        <f t="shared" si="0"/>
        <v>#N/A</v>
      </c>
      <c r="AK18" s="21">
        <f t="shared" si="1"/>
        <v>0</v>
      </c>
      <c r="AL18" s="22">
        <v>30.3</v>
      </c>
      <c r="AM18" s="23" t="str">
        <f t="shared" si="2"/>
        <v/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36" t="e">
        <f t="shared" si="0"/>
        <v>#N/A</v>
      </c>
      <c r="AK19" s="21">
        <f t="shared" si="1"/>
        <v>0</v>
      </c>
      <c r="AL19" s="22">
        <v>38.700000000000003</v>
      </c>
      <c r="AM19" s="23" t="str">
        <f t="shared" si="2"/>
        <v/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36" t="e">
        <f t="shared" si="0"/>
        <v>#N/A</v>
      </c>
      <c r="AK20" s="21">
        <f t="shared" si="1"/>
        <v>0</v>
      </c>
      <c r="AL20" s="22">
        <v>33.6</v>
      </c>
      <c r="AM20" s="23" t="str">
        <f t="shared" si="2"/>
        <v/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36" t="e">
        <f t="shared" si="0"/>
        <v>#N/A</v>
      </c>
      <c r="AK21" s="21">
        <f t="shared" si="1"/>
        <v>0</v>
      </c>
      <c r="AL21" s="22">
        <v>25.9</v>
      </c>
      <c r="AM21" s="23" t="str">
        <f t="shared" si="2"/>
        <v/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36" t="e">
        <f t="shared" si="0"/>
        <v>#N/A</v>
      </c>
      <c r="AK23" s="21">
        <f t="shared" si="1"/>
        <v>0</v>
      </c>
      <c r="AL23" s="22">
        <v>32.6</v>
      </c>
      <c r="AM23" s="23" t="str">
        <f t="shared" si="2"/>
        <v/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36" t="e">
        <f t="shared" si="0"/>
        <v>#N/A</v>
      </c>
      <c r="AK24" s="21">
        <f t="shared" si="1"/>
        <v>0</v>
      </c>
      <c r="AL24" s="22">
        <v>34.4</v>
      </c>
      <c r="AM24" s="23" t="str">
        <f t="shared" si="2"/>
        <v/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79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36" t="e">
        <f t="shared" si="0"/>
        <v>#N/A</v>
      </c>
      <c r="AK25" s="21">
        <f t="shared" si="1"/>
        <v>0</v>
      </c>
      <c r="AL25" s="22">
        <v>36.4</v>
      </c>
      <c r="AM25" s="23" t="str">
        <f t="shared" si="2"/>
        <v/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36" t="e">
        <f t="shared" si="0"/>
        <v>#N/A</v>
      </c>
      <c r="AK26" s="21">
        <f t="shared" si="1"/>
        <v>0</v>
      </c>
      <c r="AL26" s="22">
        <v>23.6</v>
      </c>
      <c r="AM26" s="23" t="str">
        <f t="shared" si="2"/>
        <v/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76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36" t="e">
        <f t="shared" si="0"/>
        <v>#N/A</v>
      </c>
      <c r="AK27" s="21">
        <f t="shared" si="1"/>
        <v>0</v>
      </c>
      <c r="AL27" s="22">
        <v>22.4</v>
      </c>
      <c r="AM27" s="23" t="str">
        <f t="shared" si="2"/>
        <v/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36" t="e">
        <f t="shared" si="0"/>
        <v>#N/A</v>
      </c>
      <c r="AK28" s="21">
        <f t="shared" si="1"/>
        <v>0</v>
      </c>
      <c r="AL28" s="22">
        <v>36.1</v>
      </c>
      <c r="AM28" s="23" t="str">
        <f t="shared" si="2"/>
        <v/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36" t="e">
        <f t="shared" si="0"/>
        <v>#N/A</v>
      </c>
      <c r="AK30" s="21">
        <f t="shared" si="1"/>
        <v>0</v>
      </c>
      <c r="AL30" s="22">
        <v>39</v>
      </c>
      <c r="AM30" s="23" t="str">
        <f t="shared" si="2"/>
        <v/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36" t="e">
        <f t="shared" si="0"/>
        <v>#N/A</v>
      </c>
      <c r="AK31" s="21">
        <f t="shared" si="1"/>
        <v>0</v>
      </c>
      <c r="AL31" s="22">
        <v>31.3</v>
      </c>
      <c r="AM31" s="23" t="str">
        <f t="shared" si="2"/>
        <v/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76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36" t="e">
        <f t="shared" si="0"/>
        <v>#N/A</v>
      </c>
      <c r="AK32" s="21">
        <f t="shared" si="1"/>
        <v>0</v>
      </c>
      <c r="AL32" s="22">
        <v>22.2</v>
      </c>
      <c r="AM32" s="23" t="str">
        <f t="shared" si="2"/>
        <v/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36" t="e">
        <f t="shared" si="0"/>
        <v>#N/A</v>
      </c>
      <c r="AK33" s="21">
        <f t="shared" si="1"/>
        <v>0</v>
      </c>
      <c r="AL33" s="22">
        <v>20.6</v>
      </c>
      <c r="AM33" s="23" t="str">
        <f t="shared" si="2"/>
        <v/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36" t="e">
        <f t="shared" si="0"/>
        <v>#N/A</v>
      </c>
      <c r="AK35" s="21">
        <f t="shared" si="1"/>
        <v>0</v>
      </c>
      <c r="AL35" s="22">
        <v>35.200000000000003</v>
      </c>
      <c r="AM35" s="23" t="str">
        <f t="shared" si="2"/>
        <v/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36" t="e">
        <f t="shared" si="0"/>
        <v>#N/A</v>
      </c>
      <c r="AK38" s="21">
        <f t="shared" si="1"/>
        <v>0</v>
      </c>
      <c r="AL38" s="22">
        <v>34.4</v>
      </c>
      <c r="AM38" s="23" t="str">
        <f t="shared" si="2"/>
        <v/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36" t="e">
        <f t="shared" si="0"/>
        <v>#N/A</v>
      </c>
      <c r="AK39" s="21">
        <f t="shared" si="1"/>
        <v>0</v>
      </c>
      <c r="AL39" s="22">
        <v>36.1</v>
      </c>
      <c r="AM39" s="23" t="str">
        <f t="shared" si="2"/>
        <v/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36" t="e">
        <f t="shared" si="0"/>
        <v>#N/A</v>
      </c>
      <c r="AK40" s="21">
        <f t="shared" si="1"/>
        <v>0</v>
      </c>
      <c r="AL40" s="22">
        <v>34.4</v>
      </c>
      <c r="AM40" s="23" t="str">
        <f t="shared" si="2"/>
        <v/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76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36" t="e">
        <f t="shared" si="0"/>
        <v>#N/A</v>
      </c>
      <c r="AK41" s="21">
        <f t="shared" si="1"/>
        <v>0</v>
      </c>
      <c r="AL41" s="22">
        <v>35.200000000000003</v>
      </c>
      <c r="AM41" s="23" t="str">
        <f t="shared" si="2"/>
        <v/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78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36" t="e">
        <f t="shared" si="0"/>
        <v>#N/A</v>
      </c>
      <c r="AK43" s="21">
        <f t="shared" si="1"/>
        <v>0</v>
      </c>
      <c r="AL43" s="22">
        <v>35.4</v>
      </c>
      <c r="AM43" s="23" t="str">
        <f t="shared" si="2"/>
        <v/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5"/>
      <c r="AF44" s="75"/>
      <c r="AG44" s="75"/>
      <c r="AH44" s="75"/>
      <c r="AI44" s="75"/>
      <c r="AJ44" s="36" t="e">
        <f t="shared" si="0"/>
        <v>#N/A</v>
      </c>
      <c r="AK44" s="21">
        <f t="shared" si="1"/>
        <v>0</v>
      </c>
      <c r="AL44" s="22">
        <v>34.4</v>
      </c>
      <c r="AM44" s="23" t="str">
        <f t="shared" si="2"/>
        <v/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78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36" t="e">
        <f t="shared" si="0"/>
        <v>#N/A</v>
      </c>
      <c r="AK45" s="21">
        <f t="shared" si="1"/>
        <v>0</v>
      </c>
      <c r="AL45" s="22">
        <v>35</v>
      </c>
      <c r="AM45" s="23" t="str">
        <f t="shared" si="2"/>
        <v/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78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36" t="e">
        <f t="shared" si="0"/>
        <v>#N/A</v>
      </c>
      <c r="AK48" s="21">
        <f t="shared" si="1"/>
        <v>0</v>
      </c>
      <c r="AL48" s="22">
        <v>35.700000000000003</v>
      </c>
      <c r="AM48" s="23" t="str">
        <f t="shared" si="2"/>
        <v/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80"/>
      <c r="F49" s="80"/>
      <c r="G49" s="81"/>
      <c r="H49" s="81"/>
      <c r="I49" s="81"/>
      <c r="J49" s="80"/>
      <c r="K49" s="80"/>
      <c r="L49" s="81"/>
      <c r="M49" s="80"/>
      <c r="N49" s="81"/>
      <c r="O49" s="80"/>
      <c r="P49" s="80"/>
      <c r="Q49" s="80"/>
      <c r="R49" s="80"/>
      <c r="S49" s="81"/>
      <c r="T49" s="81"/>
      <c r="U49" s="81"/>
      <c r="V49" s="80"/>
      <c r="W49" s="81"/>
      <c r="X49" s="81"/>
      <c r="Y49" s="81"/>
      <c r="Z49" s="81"/>
      <c r="AA49" s="81"/>
      <c r="AB49" s="81"/>
      <c r="AC49" s="80"/>
      <c r="AD49" s="81"/>
      <c r="AE49" s="81"/>
      <c r="AF49" s="81"/>
      <c r="AG49" s="81"/>
      <c r="AH49" s="81"/>
      <c r="AI49" s="81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2"/>
      <c r="Z50" s="80"/>
      <c r="AA50" s="81"/>
      <c r="AB50" s="81"/>
      <c r="AC50" s="81"/>
      <c r="AD50" s="81"/>
      <c r="AE50" s="81"/>
      <c r="AF50" s="81"/>
      <c r="AG50" s="81"/>
      <c r="AH50" s="81"/>
      <c r="AI50" s="81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N51" s="20"/>
      <c r="AO51" s="20"/>
      <c r="AP51" s="20"/>
    </row>
    <row r="52" spans="5:42" ht="15.75" customHeight="1" x14ac:dyDescent="0.2">
      <c r="E52" s="81"/>
      <c r="F52" s="81"/>
      <c r="G52" s="83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E53" s="81"/>
      <c r="F53" s="81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20"/>
      <c r="AK64" s="24"/>
      <c r="AL64" s="20"/>
      <c r="AM64" s="20"/>
      <c r="AN64" s="20"/>
      <c r="AO64" s="20"/>
      <c r="AP64" s="20"/>
    </row>
    <row r="65" spans="5:42" ht="15.75" customHeight="1" x14ac:dyDescent="0.2"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20"/>
      <c r="AK65" s="24"/>
      <c r="AL65" s="20"/>
      <c r="AM65" s="20"/>
      <c r="AN65" s="20"/>
      <c r="AO65" s="20"/>
      <c r="AP65" s="20"/>
    </row>
    <row r="66" spans="5:42" ht="15.75" customHeight="1" x14ac:dyDescent="0.2"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20"/>
      <c r="AK66" s="24"/>
      <c r="AL66" s="20"/>
      <c r="AM66" s="20"/>
      <c r="AN66" s="20"/>
      <c r="AO66" s="20"/>
      <c r="AP66" s="20"/>
    </row>
    <row r="67" spans="5:42" ht="15.75" customHeight="1" x14ac:dyDescent="0.2"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20"/>
      <c r="AK67" s="24"/>
      <c r="AL67" s="20"/>
      <c r="AM67" s="20"/>
      <c r="AN67" s="20"/>
      <c r="AO67" s="20"/>
      <c r="AP67" s="20"/>
    </row>
    <row r="68" spans="5:42" ht="15.75" customHeight="1" x14ac:dyDescent="0.2"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20"/>
      <c r="AK68" s="24"/>
      <c r="AL68" s="20"/>
      <c r="AM68" s="20"/>
      <c r="AN68" s="20"/>
      <c r="AO68" s="20"/>
      <c r="AP68" s="20"/>
    </row>
    <row r="69" spans="5:42" ht="15.75" customHeight="1" x14ac:dyDescent="0.2"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20"/>
      <c r="AK69" s="24"/>
      <c r="AL69" s="20"/>
      <c r="AM69" s="20"/>
      <c r="AN69" s="20"/>
      <c r="AO69" s="20"/>
      <c r="AP69" s="20"/>
    </row>
    <row r="70" spans="5:42" ht="15.75" customHeight="1" x14ac:dyDescent="0.2"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20"/>
      <c r="AK70" s="24"/>
      <c r="AL70" s="20"/>
      <c r="AM70" s="20"/>
      <c r="AN70" s="20"/>
      <c r="AO70" s="20"/>
      <c r="AP70" s="20"/>
    </row>
    <row r="71" spans="5:42" ht="15.75" customHeight="1" x14ac:dyDescent="0.2"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20"/>
      <c r="AK71" s="24"/>
      <c r="AL71" s="20"/>
      <c r="AM71" s="20"/>
      <c r="AN71" s="20"/>
      <c r="AO71" s="20"/>
      <c r="AP71" s="20"/>
    </row>
    <row r="72" spans="5:42" ht="15.75" customHeight="1" x14ac:dyDescent="0.2"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20"/>
      <c r="AK72" s="24"/>
      <c r="AL72" s="20"/>
      <c r="AM72" s="20"/>
      <c r="AN72" s="20"/>
      <c r="AO72" s="20"/>
      <c r="AP72" s="20"/>
    </row>
    <row r="73" spans="5:42" ht="15.75" customHeight="1" x14ac:dyDescent="0.2"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20"/>
      <c r="AK73" s="24"/>
      <c r="AL73" s="20"/>
      <c r="AM73" s="20"/>
      <c r="AN73" s="20"/>
      <c r="AO73" s="20"/>
      <c r="AP73" s="20"/>
    </row>
    <row r="74" spans="5:42" ht="15.75" customHeight="1" x14ac:dyDescent="0.2"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20"/>
      <c r="AK74" s="24"/>
      <c r="AL74" s="20"/>
      <c r="AM74" s="20"/>
      <c r="AN74" s="20"/>
      <c r="AO74" s="20"/>
      <c r="AP74" s="20"/>
    </row>
    <row r="75" spans="5:42" ht="15.75" customHeight="1" x14ac:dyDescent="0.2"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20"/>
      <c r="AK75" s="24"/>
      <c r="AL75" s="20"/>
      <c r="AM75" s="20"/>
      <c r="AN75" s="20"/>
      <c r="AO75" s="20"/>
      <c r="AP75" s="20"/>
    </row>
    <row r="76" spans="5:42" ht="15.75" customHeight="1" x14ac:dyDescent="0.2"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20"/>
      <c r="AK76" s="24"/>
      <c r="AL76" s="20"/>
      <c r="AM76" s="20"/>
      <c r="AN76" s="20"/>
      <c r="AO76" s="20"/>
      <c r="AP76" s="20"/>
    </row>
    <row r="77" spans="5:42" ht="15.75" customHeight="1" x14ac:dyDescent="0.2"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20"/>
      <c r="AK77" s="24"/>
      <c r="AL77" s="20"/>
      <c r="AM77" s="20"/>
      <c r="AN77" s="20"/>
      <c r="AO77" s="20"/>
      <c r="AP77" s="20"/>
    </row>
    <row r="78" spans="5:42" ht="15.75" customHeight="1" x14ac:dyDescent="0.2"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20"/>
      <c r="AK78" s="24"/>
      <c r="AL78" s="20"/>
      <c r="AM78" s="20"/>
      <c r="AN78" s="20"/>
      <c r="AO78" s="20"/>
      <c r="AP78" s="20"/>
    </row>
    <row r="79" spans="5:42" ht="15.75" customHeight="1" x14ac:dyDescent="0.2"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20"/>
      <c r="AK79" s="24"/>
      <c r="AL79" s="20"/>
      <c r="AM79" s="20"/>
      <c r="AN79" s="20"/>
      <c r="AO79" s="20"/>
      <c r="AP79" s="20"/>
    </row>
    <row r="80" spans="5:42" ht="15.75" customHeight="1" x14ac:dyDescent="0.2"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20"/>
      <c r="AK80" s="24"/>
      <c r="AL80" s="20"/>
      <c r="AM80" s="20"/>
      <c r="AN80" s="20"/>
      <c r="AO80" s="20"/>
      <c r="AP80" s="20"/>
    </row>
    <row r="81" spans="5:42" ht="15.75" customHeight="1" x14ac:dyDescent="0.2"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20"/>
      <c r="AK81" s="24"/>
      <c r="AL81" s="20"/>
      <c r="AM81" s="20"/>
      <c r="AN81" s="20"/>
      <c r="AO81" s="20"/>
      <c r="AP81" s="20"/>
    </row>
    <row r="82" spans="5:42" ht="15.75" customHeight="1" x14ac:dyDescent="0.2"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20"/>
      <c r="AK82" s="24"/>
      <c r="AL82" s="20"/>
      <c r="AM82" s="20"/>
      <c r="AN82" s="20"/>
      <c r="AO82" s="20"/>
      <c r="AP82" s="20"/>
    </row>
    <row r="83" spans="5:42" ht="15.75" customHeight="1" x14ac:dyDescent="0.2"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20"/>
      <c r="AK83" s="24"/>
      <c r="AL83" s="20"/>
      <c r="AM83" s="20"/>
      <c r="AN83" s="20"/>
      <c r="AO83" s="20"/>
      <c r="AP83" s="20"/>
    </row>
    <row r="84" spans="5:42" ht="15.75" customHeight="1" x14ac:dyDescent="0.2"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20"/>
      <c r="AK84" s="24"/>
      <c r="AL84" s="20"/>
      <c r="AM84" s="20"/>
      <c r="AN84" s="20"/>
      <c r="AO84" s="20"/>
      <c r="AP84" s="20"/>
    </row>
    <row r="85" spans="5:42" ht="15.75" customHeight="1" x14ac:dyDescent="0.2"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20"/>
      <c r="AK85" s="24"/>
      <c r="AL85" s="20"/>
      <c r="AM85" s="20"/>
      <c r="AN85" s="20"/>
      <c r="AO85" s="20"/>
      <c r="AP85" s="20"/>
    </row>
    <row r="86" spans="5:42" ht="15.75" customHeight="1" x14ac:dyDescent="0.2"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20"/>
      <c r="AK86" s="24"/>
      <c r="AL86" s="20"/>
      <c r="AM86" s="20"/>
      <c r="AN86" s="20"/>
      <c r="AO86" s="20"/>
      <c r="AP86" s="20"/>
    </row>
    <row r="87" spans="5:42" ht="15.75" customHeight="1" x14ac:dyDescent="0.2"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20"/>
      <c r="AK87" s="24"/>
      <c r="AL87" s="20"/>
      <c r="AM87" s="20"/>
      <c r="AN87" s="20"/>
      <c r="AO87" s="20"/>
      <c r="AP87" s="20"/>
    </row>
    <row r="88" spans="5:42" ht="15.75" customHeight="1" x14ac:dyDescent="0.2"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20"/>
      <c r="AK88" s="24"/>
      <c r="AL88" s="20"/>
      <c r="AM88" s="20"/>
      <c r="AN88" s="20"/>
      <c r="AO88" s="20"/>
      <c r="AP88" s="20"/>
    </row>
    <row r="89" spans="5:42" ht="15.75" customHeight="1" x14ac:dyDescent="0.2"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20"/>
      <c r="AK89" s="24"/>
      <c r="AL89" s="20"/>
      <c r="AM89" s="20"/>
      <c r="AN89" s="20"/>
      <c r="AO89" s="20"/>
      <c r="AP89" s="20"/>
    </row>
    <row r="90" spans="5:42" ht="15.75" customHeight="1" x14ac:dyDescent="0.2"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20"/>
      <c r="AK90" s="24"/>
      <c r="AL90" s="20"/>
      <c r="AM90" s="20"/>
      <c r="AN90" s="20"/>
      <c r="AO90" s="20"/>
      <c r="AP90" s="20"/>
    </row>
    <row r="91" spans="5:42" ht="15.75" customHeight="1" x14ac:dyDescent="0.2"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20"/>
      <c r="AK91" s="24"/>
      <c r="AL91" s="20"/>
      <c r="AM91" s="20"/>
      <c r="AN91" s="20"/>
      <c r="AO91" s="20"/>
      <c r="AP91" s="20"/>
    </row>
    <row r="92" spans="5:42" ht="15.75" customHeight="1" x14ac:dyDescent="0.2"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20"/>
      <c r="AK92" s="24"/>
      <c r="AL92" s="20"/>
      <c r="AM92" s="20"/>
      <c r="AN92" s="20"/>
      <c r="AO92" s="20"/>
      <c r="AP92" s="20"/>
    </row>
    <row r="93" spans="5:42" ht="15.75" customHeight="1" x14ac:dyDescent="0.2"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20"/>
      <c r="AK93" s="24"/>
      <c r="AL93" s="20"/>
      <c r="AM93" s="20"/>
      <c r="AN93" s="20"/>
      <c r="AO93" s="20"/>
      <c r="AP93" s="20"/>
    </row>
    <row r="94" spans="5:42" ht="15.75" customHeight="1" x14ac:dyDescent="0.2"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20"/>
      <c r="AK94" s="24"/>
      <c r="AL94" s="20"/>
      <c r="AM94" s="20"/>
      <c r="AN94" s="20"/>
      <c r="AO94" s="20"/>
      <c r="AP94" s="20"/>
    </row>
    <row r="95" spans="5:42" ht="15.75" customHeight="1" x14ac:dyDescent="0.2"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20"/>
      <c r="AK95" s="24"/>
      <c r="AL95" s="20"/>
      <c r="AM95" s="20"/>
      <c r="AN95" s="20"/>
      <c r="AO95" s="20"/>
      <c r="AP95" s="20"/>
    </row>
    <row r="96" spans="5:42" ht="15.75" customHeight="1" x14ac:dyDescent="0.2"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5"/>
      <c r="AH97" s="85"/>
      <c r="AI97" s="85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K99" s="14"/>
      <c r="AL99" s="14"/>
      <c r="AM99" s="14"/>
      <c r="AN99" s="14"/>
      <c r="AO99" s="14"/>
      <c r="AP99" s="14"/>
    </row>
    <row r="100" spans="2:42" ht="15" customHeight="1" x14ac:dyDescent="0.2"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</row>
    <row r="101" spans="2:42" ht="15" customHeight="1" x14ac:dyDescent="0.2"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</row>
    <row r="102" spans="2:42" ht="15" customHeight="1" x14ac:dyDescent="0.2"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</row>
    <row r="103" spans="2:42" ht="15" customHeight="1" x14ac:dyDescent="0.2"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</row>
    <row r="104" spans="2:42" ht="15" customHeight="1" x14ac:dyDescent="0.2"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</row>
    <row r="105" spans="2:42" ht="15" customHeight="1" x14ac:dyDescent="0.2"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</row>
    <row r="106" spans="2:42" ht="15" customHeight="1" x14ac:dyDescent="0.2"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</row>
    <row r="107" spans="2:42" ht="15" customHeight="1" x14ac:dyDescent="0.2"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</row>
    <row r="108" spans="2:42" ht="15" customHeight="1" x14ac:dyDescent="0.2"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</row>
    <row r="109" spans="2:42" ht="15" customHeight="1" x14ac:dyDescent="0.2"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</row>
    <row r="110" spans="2:42" ht="15" customHeight="1" x14ac:dyDescent="0.2"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</row>
    <row r="111" spans="2:42" ht="15" customHeight="1" x14ac:dyDescent="0.2"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</row>
    <row r="112" spans="2:42" ht="15" customHeight="1" x14ac:dyDescent="0.2"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</row>
    <row r="113" spans="5:35" ht="15" customHeight="1" x14ac:dyDescent="0.2"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</row>
    <row r="114" spans="5:35" ht="15" customHeight="1" x14ac:dyDescent="0.2"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</row>
    <row r="115" spans="5:35" ht="15" customHeight="1" x14ac:dyDescent="0.2"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</row>
    <row r="116" spans="5:35" ht="15" customHeight="1" x14ac:dyDescent="0.2"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</row>
    <row r="117" spans="5:35" ht="15" customHeight="1" x14ac:dyDescent="0.2"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</row>
    <row r="118" spans="5:35" ht="15" customHeight="1" x14ac:dyDescent="0.2"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</row>
    <row r="119" spans="5:35" ht="15" customHeight="1" x14ac:dyDescent="0.2"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</row>
    <row r="120" spans="5:35" ht="15" customHeight="1" x14ac:dyDescent="0.2"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</row>
    <row r="121" spans="5:35" ht="15" customHeight="1" x14ac:dyDescent="0.2"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</row>
    <row r="122" spans="5:35" ht="15" customHeight="1" x14ac:dyDescent="0.2"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</row>
    <row r="123" spans="5:35" ht="15" customHeight="1" x14ac:dyDescent="0.2"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</row>
    <row r="124" spans="5:35" ht="15" customHeight="1" x14ac:dyDescent="0.2"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</row>
    <row r="125" spans="5:35" ht="15" customHeight="1" x14ac:dyDescent="0.2"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</row>
    <row r="126" spans="5:35" ht="15" customHeight="1" x14ac:dyDescent="0.2"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</row>
    <row r="127" spans="5:35" ht="15" customHeight="1" x14ac:dyDescent="0.2"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</row>
    <row r="128" spans="5:35" ht="15" customHeight="1" x14ac:dyDescent="0.2"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</row>
    <row r="129" spans="5:35" ht="15" customHeight="1" x14ac:dyDescent="0.2"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</row>
    <row r="130" spans="5:35" ht="15" customHeight="1" x14ac:dyDescent="0.2"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</row>
    <row r="131" spans="5:35" ht="15" customHeight="1" x14ac:dyDescent="0.2"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</row>
    <row r="132" spans="5:35" ht="15" customHeight="1" x14ac:dyDescent="0.2"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</row>
    <row r="133" spans="5:35" ht="15" customHeight="1" x14ac:dyDescent="0.2"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</row>
    <row r="134" spans="5:35" ht="15" customHeight="1" x14ac:dyDescent="0.2"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</row>
    <row r="135" spans="5:35" ht="15" customHeight="1" x14ac:dyDescent="0.2"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</row>
    <row r="136" spans="5:35" ht="15" customHeight="1" x14ac:dyDescent="0.2"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</row>
    <row r="137" spans="5:35" ht="15" customHeight="1" x14ac:dyDescent="0.2"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</row>
    <row r="138" spans="5:35" ht="15" customHeight="1" x14ac:dyDescent="0.2"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</row>
    <row r="139" spans="5:35" ht="15" customHeight="1" x14ac:dyDescent="0.2"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</row>
    <row r="140" spans="5:35" ht="15" customHeight="1" x14ac:dyDescent="0.2"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</row>
    <row r="141" spans="5:35" ht="15" customHeight="1" x14ac:dyDescent="0.2"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</row>
    <row r="142" spans="5:35" ht="15" customHeight="1" x14ac:dyDescent="0.2"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</row>
    <row r="143" spans="5:35" ht="15" customHeight="1" x14ac:dyDescent="0.2"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</row>
    <row r="144" spans="5:35" ht="15" customHeight="1" x14ac:dyDescent="0.2"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</row>
    <row r="145" spans="5:42" ht="15.75" customHeight="1" x14ac:dyDescent="0.2"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10"/>
      <c r="AK145" s="10"/>
      <c r="AL145" s="20"/>
      <c r="AM145" s="20"/>
      <c r="AN145" s="20"/>
      <c r="AO145" s="20"/>
      <c r="AP145" s="20"/>
    </row>
    <row r="146" spans="5:42" ht="15.75" customHeight="1" x14ac:dyDescent="0.2"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L146" s="20"/>
      <c r="AM146" s="20"/>
      <c r="AN146" s="20"/>
      <c r="AO146" s="20"/>
      <c r="AP146" s="20"/>
    </row>
    <row r="147" spans="5:42" ht="15.75" customHeight="1" x14ac:dyDescent="0.2"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L147" s="20"/>
      <c r="AM147" s="20"/>
      <c r="AN147" s="20"/>
      <c r="AO147" s="20"/>
      <c r="AP147" s="20"/>
    </row>
    <row r="148" spans="5:42" ht="15.75" customHeight="1" x14ac:dyDescent="0.2"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L148" s="20"/>
      <c r="AM148" s="20"/>
      <c r="AN148" s="20"/>
      <c r="AO148" s="20"/>
      <c r="AP148" s="20"/>
    </row>
    <row r="149" spans="5:42" ht="15.75" customHeight="1" x14ac:dyDescent="0.2"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L149" s="20"/>
      <c r="AM149" s="20"/>
      <c r="AN149" s="20"/>
      <c r="AO149" s="20"/>
      <c r="AP149" s="20"/>
    </row>
    <row r="150" spans="5:42" ht="15.75" customHeight="1" x14ac:dyDescent="0.2"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L150" s="20"/>
      <c r="AM150" s="20"/>
      <c r="AN150" s="20"/>
      <c r="AO150" s="20"/>
      <c r="AP150" s="20"/>
    </row>
    <row r="151" spans="5:42" ht="15.75" customHeight="1" x14ac:dyDescent="0.2"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L151" s="20"/>
      <c r="AM151" s="20"/>
      <c r="AN151" s="20"/>
      <c r="AO151" s="20"/>
      <c r="AP151" s="20"/>
    </row>
    <row r="152" spans="5:42" ht="15.75" customHeight="1" x14ac:dyDescent="0.2"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L152" s="20"/>
      <c r="AM152" s="20"/>
      <c r="AN152" s="20"/>
      <c r="AO152" s="20"/>
      <c r="AP152" s="20"/>
    </row>
    <row r="153" spans="5:42" ht="15.75" customHeight="1" x14ac:dyDescent="0.2"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L153" s="20"/>
      <c r="AM153" s="20"/>
      <c r="AN153" s="20"/>
      <c r="AO153" s="20"/>
      <c r="AP153" s="20"/>
    </row>
    <row r="154" spans="5:42" ht="15.75" customHeight="1" x14ac:dyDescent="0.2"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L154" s="20"/>
      <c r="AM154" s="20"/>
      <c r="AN154" s="20"/>
      <c r="AO154" s="20"/>
      <c r="AP154" s="20"/>
    </row>
    <row r="155" spans="5:42" ht="15.75" customHeight="1" x14ac:dyDescent="0.2"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L155" s="20"/>
      <c r="AM155" s="20"/>
      <c r="AN155" s="20"/>
      <c r="AO155" s="20"/>
      <c r="AP155" s="20"/>
    </row>
    <row r="156" spans="5:42" ht="15.75" customHeight="1" x14ac:dyDescent="0.2"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L156" s="20"/>
      <c r="AM156" s="20"/>
      <c r="AN156" s="20"/>
      <c r="AO156" s="20"/>
      <c r="AP156" s="20"/>
    </row>
    <row r="157" spans="5:42" ht="15.75" customHeight="1" x14ac:dyDescent="0.2"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L157" s="20"/>
      <c r="AM157" s="20"/>
      <c r="AN157" s="20"/>
      <c r="AO157" s="20"/>
      <c r="AP157" s="20"/>
    </row>
    <row r="158" spans="5:42" ht="15.75" customHeight="1" x14ac:dyDescent="0.2"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L158" s="20"/>
      <c r="AM158" s="20"/>
      <c r="AN158" s="20"/>
      <c r="AO158" s="20"/>
      <c r="AP158" s="20"/>
    </row>
    <row r="159" spans="5:42" ht="15.75" customHeight="1" x14ac:dyDescent="0.2"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L159" s="20"/>
      <c r="AM159" s="20"/>
      <c r="AN159" s="20"/>
      <c r="AO159" s="20"/>
      <c r="AP159" s="20"/>
    </row>
    <row r="160" spans="5:42" ht="15.75" customHeight="1" x14ac:dyDescent="0.2"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L160" s="20"/>
      <c r="AM160" s="20"/>
      <c r="AN160" s="20"/>
      <c r="AO160" s="20"/>
      <c r="AP160" s="20"/>
    </row>
    <row r="161" spans="5:42" ht="15.75" customHeight="1" x14ac:dyDescent="0.2"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L161" s="20"/>
      <c r="AM161" s="20"/>
      <c r="AN161" s="20"/>
      <c r="AO161" s="20"/>
      <c r="AP161" s="20"/>
    </row>
    <row r="162" spans="5:42" ht="15.75" customHeight="1" x14ac:dyDescent="0.2"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L162" s="20"/>
      <c r="AM162" s="20"/>
      <c r="AN162" s="20"/>
      <c r="AO162" s="20"/>
      <c r="AP162" s="20"/>
    </row>
    <row r="163" spans="5:42" ht="15.75" customHeight="1" x14ac:dyDescent="0.2"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L163" s="20"/>
      <c r="AM163" s="20"/>
      <c r="AN163" s="20"/>
      <c r="AO163" s="20"/>
      <c r="AP163" s="20"/>
    </row>
    <row r="164" spans="5:42" ht="15.75" customHeight="1" x14ac:dyDescent="0.2"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L164" s="20"/>
      <c r="AM164" s="20"/>
      <c r="AN164" s="20"/>
      <c r="AO164" s="20"/>
      <c r="AP164" s="20"/>
    </row>
    <row r="165" spans="5:42" ht="15.75" customHeight="1" x14ac:dyDescent="0.2"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L165" s="20"/>
      <c r="AM165" s="20"/>
      <c r="AN165" s="20"/>
      <c r="AO165" s="20"/>
      <c r="AP165" s="20"/>
    </row>
    <row r="166" spans="5:42" ht="15.75" customHeight="1" x14ac:dyDescent="0.2"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L166" s="20"/>
      <c r="AM166" s="20"/>
      <c r="AN166" s="20"/>
      <c r="AO166" s="20"/>
      <c r="AP166" s="20"/>
    </row>
    <row r="167" spans="5:42" ht="15.75" customHeight="1" x14ac:dyDescent="0.2"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L167" s="20"/>
      <c r="AM167" s="20"/>
      <c r="AN167" s="20"/>
      <c r="AO167" s="20"/>
      <c r="AP167" s="20"/>
    </row>
    <row r="168" spans="5:42" ht="15.75" customHeight="1" x14ac:dyDescent="0.2"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L168" s="20"/>
      <c r="AM168" s="20"/>
      <c r="AN168" s="20"/>
      <c r="AO168" s="20"/>
      <c r="AP168" s="20"/>
    </row>
    <row r="169" spans="5:42" ht="15.75" customHeight="1" x14ac:dyDescent="0.2"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L169" s="20"/>
      <c r="AM169" s="20"/>
      <c r="AN169" s="20"/>
      <c r="AO169" s="20"/>
      <c r="AP169" s="20"/>
    </row>
    <row r="170" spans="5:42" ht="15.75" customHeight="1" x14ac:dyDescent="0.2"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L170" s="20"/>
      <c r="AM170" s="20"/>
      <c r="AN170" s="20"/>
      <c r="AO170" s="20"/>
      <c r="AP170" s="20"/>
    </row>
    <row r="171" spans="5:42" ht="15.75" customHeight="1" x14ac:dyDescent="0.2"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L171" s="20"/>
      <c r="AM171" s="20"/>
      <c r="AN171" s="20"/>
      <c r="AO171" s="20"/>
      <c r="AP171" s="20"/>
    </row>
    <row r="172" spans="5:42" ht="15.75" customHeight="1" x14ac:dyDescent="0.2"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L172" s="20"/>
      <c r="AM172" s="20"/>
      <c r="AN172" s="20"/>
      <c r="AO172" s="20"/>
      <c r="AP172" s="20"/>
    </row>
    <row r="173" spans="5:42" ht="15.75" customHeight="1" x14ac:dyDescent="0.2"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L173" s="20"/>
      <c r="AM173" s="20"/>
      <c r="AN173" s="20"/>
      <c r="AO173" s="20"/>
      <c r="AP173" s="20"/>
    </row>
    <row r="174" spans="5:42" ht="15.75" customHeight="1" x14ac:dyDescent="0.2"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L174" s="20"/>
      <c r="AM174" s="20"/>
      <c r="AN174" s="20"/>
      <c r="AO174" s="20"/>
      <c r="AP174" s="20"/>
    </row>
    <row r="175" spans="5:42" ht="15.75" customHeight="1" x14ac:dyDescent="0.2"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L175" s="20"/>
      <c r="AM175" s="20"/>
      <c r="AN175" s="20"/>
      <c r="AO175" s="20"/>
      <c r="AP175" s="20"/>
    </row>
    <row r="176" spans="5:42" ht="15.75" customHeight="1" x14ac:dyDescent="0.2"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L176" s="20"/>
      <c r="AM176" s="20"/>
      <c r="AN176" s="20"/>
      <c r="AO176" s="20"/>
      <c r="AP176" s="20"/>
    </row>
    <row r="177" spans="5:42" ht="15.75" customHeight="1" x14ac:dyDescent="0.2"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L177" s="20"/>
      <c r="AM177" s="20"/>
      <c r="AN177" s="20"/>
      <c r="AO177" s="20"/>
      <c r="AP177" s="20"/>
    </row>
    <row r="178" spans="5:42" ht="15.75" customHeight="1" x14ac:dyDescent="0.2"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L178" s="20"/>
      <c r="AM178" s="20"/>
      <c r="AN178" s="20"/>
      <c r="AO178" s="20"/>
      <c r="AP178" s="20"/>
    </row>
    <row r="179" spans="5:42" ht="15.75" customHeight="1" x14ac:dyDescent="0.2"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L179" s="20"/>
      <c r="AM179" s="20"/>
      <c r="AN179" s="20"/>
      <c r="AO179" s="20"/>
      <c r="AP179" s="20"/>
    </row>
    <row r="180" spans="5:42" ht="15.75" customHeight="1" x14ac:dyDescent="0.2"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L180" s="20"/>
      <c r="AM180" s="20"/>
      <c r="AN180" s="20"/>
      <c r="AO180" s="20"/>
      <c r="AP180" s="20"/>
    </row>
    <row r="181" spans="5:42" ht="15.75" customHeight="1" x14ac:dyDescent="0.2"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L181" s="20"/>
      <c r="AM181" s="20"/>
      <c r="AN181" s="20"/>
      <c r="AO181" s="20"/>
      <c r="AP181" s="20"/>
    </row>
    <row r="182" spans="5:42" ht="15.75" customHeight="1" x14ac:dyDescent="0.2">
      <c r="AL182" s="20"/>
      <c r="AM182" s="20"/>
      <c r="AN182" s="20"/>
      <c r="AO182" s="20"/>
      <c r="AP182" s="20"/>
    </row>
    <row r="183" spans="5:42" ht="15.75" customHeight="1" x14ac:dyDescent="0.2">
      <c r="AL183" s="20"/>
      <c r="AM183" s="20"/>
      <c r="AN183" s="20"/>
      <c r="AO183" s="20"/>
      <c r="AP183" s="20"/>
    </row>
    <row r="184" spans="5:42" ht="15" customHeight="1" x14ac:dyDescent="0.2"/>
    <row r="185" spans="5:42" ht="15" customHeight="1" x14ac:dyDescent="0.2"/>
    <row r="186" spans="5:42" ht="15" customHeight="1" x14ac:dyDescent="0.2"/>
    <row r="187" spans="5:42" ht="15" customHeight="1" x14ac:dyDescent="0.2"/>
    <row r="188" spans="5:42" ht="15" customHeight="1" x14ac:dyDescent="0.2"/>
    <row r="189" spans="5:42" ht="15" customHeight="1" x14ac:dyDescent="0.2"/>
    <row r="190" spans="5:42" ht="15" customHeight="1" x14ac:dyDescent="0.2"/>
    <row r="191" spans="5:42" ht="15" customHeight="1" x14ac:dyDescent="0.2"/>
    <row r="192" spans="5:42" ht="15" customHeight="1" x14ac:dyDescent="0.2"/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67" t="s">
        <v>122</v>
      </c>
      <c r="I1" s="68"/>
      <c r="J1" s="69"/>
      <c r="K1" s="64" t="s">
        <v>123</v>
      </c>
      <c r="L1" s="65"/>
      <c r="M1" s="66"/>
      <c r="N1" s="67" t="s">
        <v>124</v>
      </c>
      <c r="O1" s="68"/>
      <c r="P1" s="69"/>
      <c r="Q1" s="64" t="s">
        <v>125</v>
      </c>
      <c r="R1" s="65"/>
      <c r="S1" s="66"/>
      <c r="T1" s="67" t="s">
        <v>126</v>
      </c>
      <c r="U1" s="68"/>
      <c r="V1" s="69"/>
      <c r="W1" s="64" t="s">
        <v>127</v>
      </c>
      <c r="X1" s="65"/>
      <c r="Y1" s="66"/>
      <c r="Z1" s="67" t="s">
        <v>128</v>
      </c>
      <c r="AA1" s="68"/>
      <c r="AB1" s="69"/>
      <c r="AC1" s="64" t="s">
        <v>129</v>
      </c>
      <c r="AD1" s="65"/>
      <c r="AE1" s="66"/>
      <c r="AF1" s="67" t="s">
        <v>130</v>
      </c>
      <c r="AG1" s="68"/>
      <c r="AH1" s="69"/>
      <c r="AI1" s="64" t="s">
        <v>131</v>
      </c>
      <c r="AJ1" s="65"/>
      <c r="AK1" s="66"/>
      <c r="AL1" s="67" t="s">
        <v>132</v>
      </c>
      <c r="AM1" s="68"/>
      <c r="AN1" s="69"/>
      <c r="AO1" s="64" t="s">
        <v>133</v>
      </c>
      <c r="AP1" s="65"/>
      <c r="AQ1" s="66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2" t="s">
        <v>1</v>
      </c>
      <c r="B1" s="74" t="s">
        <v>92</v>
      </c>
      <c r="C1" s="63" t="s">
        <v>93</v>
      </c>
      <c r="D1" s="70" t="s">
        <v>94</v>
      </c>
      <c r="E1" s="70" t="s">
        <v>95</v>
      </c>
      <c r="F1" s="70" t="s">
        <v>96</v>
      </c>
      <c r="G1" s="70" t="s">
        <v>97</v>
      </c>
      <c r="H1" s="70" t="s">
        <v>98</v>
      </c>
      <c r="I1" s="70" t="s">
        <v>99</v>
      </c>
      <c r="J1" s="70" t="s">
        <v>100</v>
      </c>
      <c r="K1" s="70" t="s">
        <v>101</v>
      </c>
      <c r="L1" s="70" t="s">
        <v>102</v>
      </c>
      <c r="M1" s="70" t="s">
        <v>103</v>
      </c>
      <c r="N1" s="70" t="s">
        <v>104</v>
      </c>
      <c r="O1" s="70" t="s">
        <v>105</v>
      </c>
    </row>
    <row r="2" spans="1:15" ht="12.75" customHeight="1" x14ac:dyDescent="0.2">
      <c r="A2" s="73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2026-08-01T16:07:56Z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