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1_AF078E8F469FAB78CD0BD677DFDE53F0403EBD2E" xr6:coauthVersionLast="47" xr6:coauthVersionMax="47" xr10:uidLastSave="{00000000-0000-0000-0000-000000000000}"/>
  <bookViews>
    <workbookView xWindow="3510" yWindow="3510" windowWidth="21600" windowHeight="11295" tabRatio="729" xr2:uid="{00000000-000D-0000-FFFF-FFFF00000000}"/>
  </bookViews>
  <sheets>
    <sheet name="Temperatura" sheetId="1" r:id="rId1"/>
    <sheet name="Climatologia" sheetId="2" r:id="rId2"/>
    <sheet name="Minimos" sheetId="3" r:id="rId3"/>
    <sheet name="Temperatura (2)" sheetId="4" r:id="rId4"/>
    <sheet name="Control_Cambios" sheetId="5" state="hidden" r:id="rId5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Print_Area" localSheetId="0">Temperatura!$B$4:$R$29</definedName>
    <definedName name="_xlnm.Print_Area" localSheetId="3">'Temperatura (2)'!$B$4:$R$29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4" l="1" a="1"/>
  <c r="AV208" i="4" s="1"/>
  <c r="AU208" i="4" a="1"/>
  <c r="AU208" i="4" s="1"/>
  <c r="AT208" i="4"/>
  <c r="AW208" i="4" s="1"/>
  <c r="AR208" i="4"/>
  <c r="AP208" i="4"/>
  <c r="AQ208" i="4" s="1"/>
  <c r="AS208" i="4" s="1"/>
  <c r="AV207" i="4" a="1"/>
  <c r="AV207" i="4" s="1"/>
  <c r="AU207" i="4" a="1"/>
  <c r="AU207" i="4" s="1"/>
  <c r="AT207" i="4"/>
  <c r="AW207" i="4" s="1"/>
  <c r="AR207" i="4"/>
  <c r="AP207" i="4"/>
  <c r="AQ207" i="4" s="1"/>
  <c r="AS207" i="4" s="1"/>
  <c r="AV206" i="4" a="1"/>
  <c r="AV206" i="4" s="1"/>
  <c r="AU206" i="4" a="1"/>
  <c r="AU206" i="4" s="1"/>
  <c r="AW206" i="4" s="1"/>
  <c r="AT206" i="4"/>
  <c r="AR206" i="4"/>
  <c r="AP206" i="4"/>
  <c r="AQ206" i="4" s="1"/>
  <c r="AS206" i="4" s="1"/>
  <c r="AV205" i="4" a="1"/>
  <c r="AV205" i="4" s="1"/>
  <c r="AU205" i="4" a="1"/>
  <c r="AU205" i="4" s="1"/>
  <c r="AW205" i="4" s="1"/>
  <c r="AT205" i="4"/>
  <c r="AR205" i="4"/>
  <c r="AP205" i="4"/>
  <c r="AQ205" i="4" s="1"/>
  <c r="AS205" i="4" s="1"/>
  <c r="AV204" i="4" a="1"/>
  <c r="AV204" i="4" s="1"/>
  <c r="AU204" i="4" a="1"/>
  <c r="AU204" i="4" s="1"/>
  <c r="AW204" i="4" s="1"/>
  <c r="AT204" i="4"/>
  <c r="AR204" i="4"/>
  <c r="AP204" i="4"/>
  <c r="AQ204" i="4" s="1"/>
  <c r="AS204" i="4" s="1"/>
  <c r="AV203" i="4" a="1"/>
  <c r="AV203" i="4" s="1"/>
  <c r="AU203" i="4" a="1"/>
  <c r="AU203" i="4" s="1"/>
  <c r="AW203" i="4" s="1"/>
  <c r="AT203" i="4"/>
  <c r="AR203" i="4"/>
  <c r="AQ203" i="4"/>
  <c r="AS203" i="4" s="1"/>
  <c r="AP203" i="4"/>
  <c r="AV202" i="4" a="1"/>
  <c r="AV202" i="4" s="1"/>
  <c r="AU202" i="4" a="1"/>
  <c r="AU202" i="4" s="1"/>
  <c r="AW202" i="4" s="1"/>
  <c r="AT202" i="4"/>
  <c r="AR202" i="4"/>
  <c r="AP202" i="4"/>
  <c r="AQ202" i="4" s="1"/>
  <c r="AS202" i="4" s="1"/>
  <c r="AV201" i="4" a="1"/>
  <c r="AV201" i="4" s="1"/>
  <c r="AU201" i="4" a="1"/>
  <c r="AU201" i="4" s="1"/>
  <c r="AT201" i="4"/>
  <c r="AR201" i="4"/>
  <c r="AQ201" i="4"/>
  <c r="AS201" i="4" s="1"/>
  <c r="AP201" i="4"/>
  <c r="AV200" i="4" a="1"/>
  <c r="AV200" i="4" s="1"/>
  <c r="AU200" i="4" a="1"/>
  <c r="AU200" i="4"/>
  <c r="AT200" i="4"/>
  <c r="AW200" i="4" s="1"/>
  <c r="AS200" i="4"/>
  <c r="AR200" i="4"/>
  <c r="AQ200" i="4"/>
  <c r="AP200" i="4"/>
  <c r="AV199" i="4" a="1"/>
  <c r="AV199" i="4" s="1"/>
  <c r="AU199" i="4" a="1"/>
  <c r="AU199" i="4"/>
  <c r="AT199" i="4"/>
  <c r="AW199" i="4" s="1"/>
  <c r="AR199" i="4"/>
  <c r="AP199" i="4"/>
  <c r="AQ199" i="4" s="1"/>
  <c r="AS199" i="4" s="1"/>
  <c r="AV198" i="4" a="1"/>
  <c r="AV198" i="4" s="1"/>
  <c r="AU198" i="4" a="1"/>
  <c r="AU198" i="4"/>
  <c r="AT198" i="4"/>
  <c r="AW198" i="4" s="1"/>
  <c r="AR198" i="4"/>
  <c r="AP198" i="4"/>
  <c r="AQ198" i="4" s="1"/>
  <c r="AS198" i="4" s="1"/>
  <c r="AV197" i="4" a="1"/>
  <c r="AV197" i="4" s="1"/>
  <c r="AU197" i="4" a="1"/>
  <c r="AU197" i="4"/>
  <c r="AW197" i="4" s="1"/>
  <c r="AT197" i="4"/>
  <c r="AR197" i="4"/>
  <c r="AP197" i="4"/>
  <c r="AQ197" i="4" s="1"/>
  <c r="AS197" i="4" s="1"/>
  <c r="AW196" i="4"/>
  <c r="AV196" i="4" a="1"/>
  <c r="AV196" i="4"/>
  <c r="AU196" i="4" a="1"/>
  <c r="AU196" i="4"/>
  <c r="AT196" i="4"/>
  <c r="AR196" i="4"/>
  <c r="AP196" i="4"/>
  <c r="AQ196" i="4" s="1"/>
  <c r="AS196" i="4" s="1"/>
  <c r="AV195" i="4" a="1"/>
  <c r="AV195" i="4" s="1"/>
  <c r="AU195" i="4" a="1"/>
  <c r="AU195" i="4" s="1"/>
  <c r="AT195" i="4"/>
  <c r="AW195" i="4" s="1"/>
  <c r="AR195" i="4"/>
  <c r="AP195" i="4"/>
  <c r="AQ195" i="4" s="1"/>
  <c r="AS195" i="4" s="1"/>
  <c r="AV194" i="4" a="1"/>
  <c r="AV194" i="4"/>
  <c r="AU194" i="4" a="1"/>
  <c r="AU194" i="4"/>
  <c r="AT194" i="4"/>
  <c r="AW194" i="4" s="1"/>
  <c r="AR194" i="4"/>
  <c r="AQ194" i="4"/>
  <c r="AS194" i="4" s="1"/>
  <c r="AP194" i="4"/>
  <c r="AW193" i="4"/>
  <c r="AV193" i="4" a="1"/>
  <c r="AV193" i="4"/>
  <c r="AU193" i="4" a="1"/>
  <c r="AU193" i="4"/>
  <c r="AT193" i="4"/>
  <c r="AR193" i="4"/>
  <c r="AP193" i="4"/>
  <c r="AQ193" i="4" s="1"/>
  <c r="AS193" i="4" s="1"/>
  <c r="AV192" i="4" a="1"/>
  <c r="AV192" i="4"/>
  <c r="AU192" i="4" a="1"/>
  <c r="AU192" i="4" s="1"/>
  <c r="AT192" i="4"/>
  <c r="AW192" i="4" s="1"/>
  <c r="AR192" i="4"/>
  <c r="AP192" i="4"/>
  <c r="AQ192" i="4" s="1"/>
  <c r="AS192" i="4" s="1"/>
  <c r="AW191" i="4"/>
  <c r="AV191" i="4" a="1"/>
  <c r="AV191" i="4" s="1"/>
  <c r="AU191" i="4" a="1"/>
  <c r="AU191" i="4"/>
  <c r="AT191" i="4"/>
  <c r="AR191" i="4"/>
  <c r="AQ191" i="4"/>
  <c r="AS191" i="4" s="1"/>
  <c r="AP191" i="4"/>
  <c r="AV190" i="4" a="1"/>
  <c r="AV190" i="4" s="1"/>
  <c r="AU190" i="4" a="1"/>
  <c r="AU190" i="4"/>
  <c r="AW190" i="4" s="1"/>
  <c r="AT190" i="4"/>
  <c r="AR190" i="4"/>
  <c r="AP190" i="4"/>
  <c r="AQ190" i="4" s="1"/>
  <c r="AS190" i="4" s="1"/>
  <c r="AV189" i="4" a="1"/>
  <c r="AV189" i="4" s="1"/>
  <c r="AU189" i="4" a="1"/>
  <c r="AU189" i="4" s="1"/>
  <c r="AW189" i="4" s="1"/>
  <c r="AT189" i="4"/>
  <c r="AR189" i="4"/>
  <c r="AP189" i="4"/>
  <c r="AQ189" i="4" s="1"/>
  <c r="AS189" i="4" s="1"/>
  <c r="AV188" i="4" a="1"/>
  <c r="AV188" i="4" s="1"/>
  <c r="AU188" i="4" a="1"/>
  <c r="AU188" i="4" s="1"/>
  <c r="AT188" i="4"/>
  <c r="AS188" i="4"/>
  <c r="AR188" i="4"/>
  <c r="AQ188" i="4"/>
  <c r="AP188" i="4"/>
  <c r="AV187" i="4" a="1"/>
  <c r="AV187" i="4"/>
  <c r="AU187" i="4" a="1"/>
  <c r="AU187" i="4"/>
  <c r="AT187" i="4"/>
  <c r="AW187" i="4" s="1"/>
  <c r="AR187" i="4"/>
  <c r="AP187" i="4"/>
  <c r="AQ187" i="4" s="1"/>
  <c r="AS187" i="4" s="1"/>
  <c r="AV186" i="4" a="1"/>
  <c r="AV186" i="4"/>
  <c r="AU186" i="4" a="1"/>
  <c r="AU186" i="4" s="1"/>
  <c r="AT186" i="4"/>
  <c r="AW186" i="4" s="1"/>
  <c r="AR186" i="4"/>
  <c r="AS186" i="4" s="1"/>
  <c r="AQ186" i="4"/>
  <c r="AP186" i="4"/>
  <c r="AV185" i="4" a="1"/>
  <c r="AV185" i="4"/>
  <c r="AU185" i="4" a="1"/>
  <c r="AU185" i="4" s="1"/>
  <c r="AT185" i="4"/>
  <c r="AW185" i="4" s="1"/>
  <c r="AR185" i="4"/>
  <c r="AP185" i="4"/>
  <c r="AQ185" i="4" s="1"/>
  <c r="AS185" i="4" s="1"/>
  <c r="AV184" i="4" a="1"/>
  <c r="AV184" i="4"/>
  <c r="AU184" i="4" a="1"/>
  <c r="AU184" i="4" s="1"/>
  <c r="AW184" i="4" s="1"/>
  <c r="AT184" i="4"/>
  <c r="AR184" i="4"/>
  <c r="AQ184" i="4"/>
  <c r="AS184" i="4" s="1"/>
  <c r="AP184" i="4"/>
  <c r="AV183" i="4" a="1"/>
  <c r="AV183" i="4"/>
  <c r="AU183" i="4" a="1"/>
  <c r="AU183" i="4" s="1"/>
  <c r="AW183" i="4" s="1"/>
  <c r="AT183" i="4"/>
  <c r="AR183" i="4"/>
  <c r="AP183" i="4"/>
  <c r="AQ183" i="4" s="1"/>
  <c r="AS183" i="4" s="1"/>
  <c r="AV182" i="4" a="1"/>
  <c r="AV182" i="4" s="1"/>
  <c r="AU182" i="4" a="1"/>
  <c r="AU182" i="4" s="1"/>
  <c r="AT182" i="4"/>
  <c r="AW182" i="4" s="1"/>
  <c r="AR182" i="4"/>
  <c r="AP182" i="4"/>
  <c r="AQ182" i="4" s="1"/>
  <c r="AS182" i="4" s="1"/>
  <c r="AV181" i="4" a="1"/>
  <c r="AV181" i="4"/>
  <c r="AU181" i="4" a="1"/>
  <c r="AU181" i="4" s="1"/>
  <c r="AW181" i="4" s="1"/>
  <c r="AT181" i="4"/>
  <c r="AR181" i="4"/>
  <c r="AQ181" i="4"/>
  <c r="AS181" i="4" s="1"/>
  <c r="AP181" i="4"/>
  <c r="AV180" i="4" a="1"/>
  <c r="AV180" i="4"/>
  <c r="AU180" i="4" a="1"/>
  <c r="AU180" i="4" s="1"/>
  <c r="AW180" i="4" s="1"/>
  <c r="AT180" i="4"/>
  <c r="AR180" i="4"/>
  <c r="AP180" i="4"/>
  <c r="AQ180" i="4" s="1"/>
  <c r="AS180" i="4" s="1"/>
  <c r="AV179" i="4" a="1"/>
  <c r="AV179" i="4" s="1"/>
  <c r="AU179" i="4" a="1"/>
  <c r="AU179" i="4" s="1"/>
  <c r="AW179" i="4" s="1"/>
  <c r="AT179" i="4"/>
  <c r="AR179" i="4"/>
  <c r="AP179" i="4"/>
  <c r="AQ179" i="4" s="1"/>
  <c r="AS179" i="4" s="1"/>
  <c r="AV178" i="4" a="1"/>
  <c r="AV178" i="4"/>
  <c r="AU178" i="4" a="1"/>
  <c r="AU178" i="4" s="1"/>
  <c r="AT178" i="4"/>
  <c r="AR178" i="4"/>
  <c r="AP178" i="4"/>
  <c r="AQ178" i="4" s="1"/>
  <c r="AS178" i="4" s="1"/>
  <c r="AV177" i="4" a="1"/>
  <c r="AV177" i="4"/>
  <c r="AU177" i="4" a="1"/>
  <c r="AU177" i="4"/>
  <c r="AT177" i="4"/>
  <c r="AW177" i="4" s="1"/>
  <c r="AR177" i="4"/>
  <c r="AP177" i="4"/>
  <c r="AQ177" i="4" s="1"/>
  <c r="AS177" i="4" s="1"/>
  <c r="AV176" i="4" a="1"/>
  <c r="AV176" i="4" s="1"/>
  <c r="AU176" i="4" a="1"/>
  <c r="AU176" i="4" s="1"/>
  <c r="AT176" i="4"/>
  <c r="AW176" i="4" s="1"/>
  <c r="AR176" i="4"/>
  <c r="AP176" i="4"/>
  <c r="AQ176" i="4" s="1"/>
  <c r="AS176" i="4" s="1"/>
  <c r="AV175" i="4" a="1"/>
  <c r="AV175" i="4" s="1"/>
  <c r="AU175" i="4" a="1"/>
  <c r="AU175" i="4"/>
  <c r="AT175" i="4"/>
  <c r="AW175" i="4" s="1"/>
  <c r="AR175" i="4"/>
  <c r="AP175" i="4"/>
  <c r="AQ175" i="4" s="1"/>
  <c r="AS175" i="4" s="1"/>
  <c r="AW174" i="4"/>
  <c r="AV174" i="4" a="1"/>
  <c r="AV174" i="4"/>
  <c r="AU174" i="4" a="1"/>
  <c r="AU174" i="4"/>
  <c r="AT174" i="4"/>
  <c r="AR174" i="4"/>
  <c r="AP174" i="4"/>
  <c r="AQ174" i="4" s="1"/>
  <c r="AS174" i="4" s="1"/>
  <c r="AV173" i="4" a="1"/>
  <c r="AV173" i="4" s="1"/>
  <c r="AU173" i="4" a="1"/>
  <c r="AU173" i="4"/>
  <c r="AT173" i="4"/>
  <c r="AW173" i="4" s="1"/>
  <c r="AR173" i="4"/>
  <c r="AP173" i="4"/>
  <c r="AQ173" i="4" s="1"/>
  <c r="AS173" i="4" s="1"/>
  <c r="AV172" i="4" a="1"/>
  <c r="AV172" i="4"/>
  <c r="AU172" i="4" a="1"/>
  <c r="AU172" i="4" s="1"/>
  <c r="AW172" i="4" s="1"/>
  <c r="AT172" i="4"/>
  <c r="AR172" i="4"/>
  <c r="AP172" i="4"/>
  <c r="AQ172" i="4" s="1"/>
  <c r="AS172" i="4" s="1"/>
  <c r="AV171" i="4" a="1"/>
  <c r="AV171" i="4" s="1"/>
  <c r="AU171" i="4" a="1"/>
  <c r="AU171" i="4" s="1"/>
  <c r="AW171" i="4" s="1"/>
  <c r="AT171" i="4"/>
  <c r="AR171" i="4"/>
  <c r="AQ171" i="4"/>
  <c r="AS171" i="4" s="1"/>
  <c r="AP171" i="4"/>
  <c r="AV170" i="4" a="1"/>
  <c r="AV170" i="4" s="1"/>
  <c r="AU170" i="4" a="1"/>
  <c r="AU170" i="4" s="1"/>
  <c r="AW170" i="4" s="1"/>
  <c r="AT170" i="4"/>
  <c r="AR170" i="4"/>
  <c r="AP170" i="4"/>
  <c r="AQ170" i="4" s="1"/>
  <c r="AS170" i="4" s="1"/>
  <c r="AV169" i="4" a="1"/>
  <c r="AV169" i="4" s="1"/>
  <c r="AU169" i="4" a="1"/>
  <c r="AU169" i="4" s="1"/>
  <c r="AT169" i="4"/>
  <c r="AW169" i="4" s="1"/>
  <c r="AR169" i="4"/>
  <c r="AQ169" i="4"/>
  <c r="AS169" i="4" s="1"/>
  <c r="AP169" i="4"/>
  <c r="AV168" i="4" a="1"/>
  <c r="AV168" i="4" s="1"/>
  <c r="AU168" i="4" a="1"/>
  <c r="AU168" i="4" s="1"/>
  <c r="AT168" i="4"/>
  <c r="AW168" i="4" s="1"/>
  <c r="AS168" i="4"/>
  <c r="AR168" i="4"/>
  <c r="AQ168" i="4"/>
  <c r="AP168" i="4"/>
  <c r="AV167" i="4" a="1"/>
  <c r="AV167" i="4" s="1"/>
  <c r="AU167" i="4" a="1"/>
  <c r="AU167" i="4"/>
  <c r="AT167" i="4"/>
  <c r="AW167" i="4" s="1"/>
  <c r="AR167" i="4"/>
  <c r="AP167" i="4"/>
  <c r="AQ167" i="4" s="1"/>
  <c r="AS167" i="4" s="1"/>
  <c r="AV166" i="4" a="1"/>
  <c r="AV166" i="4" s="1"/>
  <c r="AU166" i="4" a="1"/>
  <c r="AU166" i="4"/>
  <c r="AT166" i="4"/>
  <c r="AW166" i="4" s="1"/>
  <c r="AR166" i="4"/>
  <c r="AP166" i="4"/>
  <c r="AQ166" i="4" s="1"/>
  <c r="AS166" i="4" s="1"/>
  <c r="AV165" i="4" a="1"/>
  <c r="AV165" i="4" s="1"/>
  <c r="AU165" i="4" a="1"/>
  <c r="AU165" i="4"/>
  <c r="AW165" i="4" s="1"/>
  <c r="AT165" i="4"/>
  <c r="AR165" i="4"/>
  <c r="AP165" i="4"/>
  <c r="AQ165" i="4" s="1"/>
  <c r="AS165" i="4" s="1"/>
  <c r="AW164" i="4"/>
  <c r="AV164" i="4" a="1"/>
  <c r="AV164" i="4"/>
  <c r="AU164" i="4" a="1"/>
  <c r="AU164" i="4"/>
  <c r="AT164" i="4"/>
  <c r="AR164" i="4"/>
  <c r="AP164" i="4"/>
  <c r="AQ164" i="4" s="1"/>
  <c r="AS164" i="4" s="1"/>
  <c r="AV163" i="4" a="1"/>
  <c r="AV163" i="4" s="1"/>
  <c r="AU163" i="4" a="1"/>
  <c r="AU163" i="4" s="1"/>
  <c r="AT163" i="4"/>
  <c r="AR163" i="4"/>
  <c r="AP163" i="4"/>
  <c r="AQ163" i="4" s="1"/>
  <c r="AS163" i="4" s="1"/>
  <c r="AV162" i="4" a="1"/>
  <c r="AV162" i="4"/>
  <c r="AU162" i="4" a="1"/>
  <c r="AU162" i="4"/>
  <c r="AT162" i="4"/>
  <c r="AW162" i="4" s="1"/>
  <c r="AR162" i="4"/>
  <c r="AP162" i="4"/>
  <c r="AQ162" i="4" s="1"/>
  <c r="AS162" i="4" s="1"/>
  <c r="AW161" i="4"/>
  <c r="AV161" i="4" a="1"/>
  <c r="AV161" i="4"/>
  <c r="AU161" i="4" a="1"/>
  <c r="AU161" i="4"/>
  <c r="AT161" i="4"/>
  <c r="AR161" i="4"/>
  <c r="AP161" i="4"/>
  <c r="AQ161" i="4" s="1"/>
  <c r="AS161" i="4" s="1"/>
  <c r="AV160" i="4" a="1"/>
  <c r="AV160" i="4"/>
  <c r="AU160" i="4" a="1"/>
  <c r="AU160" i="4" s="1"/>
  <c r="AT160" i="4"/>
  <c r="AR160" i="4"/>
  <c r="AP160" i="4"/>
  <c r="AQ160" i="4" s="1"/>
  <c r="AS160" i="4" s="1"/>
  <c r="AW159" i="4"/>
  <c r="AV159" i="4" a="1"/>
  <c r="AV159" i="4" s="1"/>
  <c r="AU159" i="4" a="1"/>
  <c r="AU159" i="4"/>
  <c r="AT159" i="4"/>
  <c r="AR159" i="4"/>
  <c r="AQ159" i="4"/>
  <c r="AS159" i="4" s="1"/>
  <c r="AP159" i="4"/>
  <c r="AV158" i="4" a="1"/>
  <c r="AV158" i="4" s="1"/>
  <c r="AU158" i="4" a="1"/>
  <c r="AU158" i="4"/>
  <c r="AW158" i="4" s="1"/>
  <c r="AT158" i="4"/>
  <c r="AR158" i="4"/>
  <c r="AP158" i="4"/>
  <c r="AQ158" i="4" s="1"/>
  <c r="AS158" i="4" s="1"/>
  <c r="AV157" i="4" a="1"/>
  <c r="AV157" i="4" s="1"/>
  <c r="AU157" i="4" a="1"/>
  <c r="AU157" i="4" s="1"/>
  <c r="AW157" i="4" s="1"/>
  <c r="AT157" i="4"/>
  <c r="AR157" i="4"/>
  <c r="AP157" i="4"/>
  <c r="AQ157" i="4" s="1"/>
  <c r="AS157" i="4" s="1"/>
  <c r="AV156" i="4" a="1"/>
  <c r="AV156" i="4" s="1"/>
  <c r="AU156" i="4" a="1"/>
  <c r="AU156" i="4" s="1"/>
  <c r="AT156" i="4"/>
  <c r="AW156" i="4" s="1"/>
  <c r="AS156" i="4"/>
  <c r="AR156" i="4"/>
  <c r="AQ156" i="4"/>
  <c r="AP156" i="4"/>
  <c r="AV155" i="4" a="1"/>
  <c r="AV155" i="4" s="1"/>
  <c r="AU155" i="4" a="1"/>
  <c r="AU155" i="4"/>
  <c r="AT155" i="4"/>
  <c r="AW155" i="4" s="1"/>
  <c r="AR155" i="4"/>
  <c r="AP155" i="4"/>
  <c r="AQ155" i="4" s="1"/>
  <c r="AS155" i="4" s="1"/>
  <c r="AV154" i="4" a="1"/>
  <c r="AV154" i="4"/>
  <c r="AU154" i="4" a="1"/>
  <c r="AU154" i="4" s="1"/>
  <c r="AT154" i="4"/>
  <c r="AW154" i="4" s="1"/>
  <c r="AR154" i="4"/>
  <c r="AP154" i="4"/>
  <c r="AQ154" i="4" s="1"/>
  <c r="AS154" i="4" s="1"/>
  <c r="AV153" i="4" a="1"/>
  <c r="AV153" i="4"/>
  <c r="AU153" i="4" a="1"/>
  <c r="AU153" i="4"/>
  <c r="AT153" i="4"/>
  <c r="AW153" i="4" s="1"/>
  <c r="AR153" i="4"/>
  <c r="AP153" i="4"/>
  <c r="AQ153" i="4" s="1"/>
  <c r="AS153" i="4" s="1"/>
  <c r="AV152" i="4" a="1"/>
  <c r="AV152" i="4"/>
  <c r="AU152" i="4" a="1"/>
  <c r="AU152" i="4" s="1"/>
  <c r="AT152" i="4"/>
  <c r="AR152" i="4"/>
  <c r="AQ152" i="4"/>
  <c r="AS152" i="4" s="1"/>
  <c r="AP152" i="4"/>
  <c r="AV151" i="4" a="1"/>
  <c r="AV151" i="4"/>
  <c r="AU151" i="4" a="1"/>
  <c r="AU151" i="4" s="1"/>
  <c r="AW151" i="4" s="1"/>
  <c r="AT151" i="4"/>
  <c r="AR151" i="4"/>
  <c r="AP151" i="4"/>
  <c r="AQ151" i="4" s="1"/>
  <c r="AS151" i="4" s="1"/>
  <c r="AV150" i="4" a="1"/>
  <c r="AV150" i="4" s="1"/>
  <c r="AU150" i="4" a="1"/>
  <c r="AU150" i="4" s="1"/>
  <c r="AT150" i="4"/>
  <c r="AR150" i="4"/>
  <c r="AP150" i="4"/>
  <c r="AQ150" i="4" s="1"/>
  <c r="AS150" i="4" s="1"/>
  <c r="AV149" i="4" a="1"/>
  <c r="AV149" i="4"/>
  <c r="AU149" i="4" a="1"/>
  <c r="AU149" i="4" s="1"/>
  <c r="AW149" i="4" s="1"/>
  <c r="AT149" i="4"/>
  <c r="AR149" i="4"/>
  <c r="AQ149" i="4"/>
  <c r="AS149" i="4" s="1"/>
  <c r="AP149" i="4"/>
  <c r="AV148" i="4" a="1"/>
  <c r="AV148" i="4"/>
  <c r="AU148" i="4" a="1"/>
  <c r="AU148" i="4" s="1"/>
  <c r="AW148" i="4" s="1"/>
  <c r="AT148" i="4"/>
  <c r="AR148" i="4"/>
  <c r="AP148" i="4"/>
  <c r="AQ148" i="4" s="1"/>
  <c r="AS148" i="4" s="1"/>
  <c r="AV147" i="4" a="1"/>
  <c r="AV147" i="4" s="1"/>
  <c r="AU147" i="4" a="1"/>
  <c r="AU147" i="4" s="1"/>
  <c r="AW147" i="4" s="1"/>
  <c r="AT147" i="4"/>
  <c r="AR147" i="4"/>
  <c r="AP147" i="4"/>
  <c r="AQ147" i="4" s="1"/>
  <c r="AS147" i="4" s="1"/>
  <c r="AV146" i="4" a="1"/>
  <c r="AV146" i="4"/>
  <c r="AU146" i="4" a="1"/>
  <c r="AU146" i="4" s="1"/>
  <c r="AT146" i="4"/>
  <c r="AW146" i="4" s="1"/>
  <c r="AR146" i="4"/>
  <c r="AP146" i="4"/>
  <c r="AQ146" i="4" s="1"/>
  <c r="AS146" i="4" s="1"/>
  <c r="AV145" i="4" a="1"/>
  <c r="AV145" i="4"/>
  <c r="AU145" i="4" a="1"/>
  <c r="AU145" i="4"/>
  <c r="AT145" i="4"/>
  <c r="AW145" i="4" s="1"/>
  <c r="AR145" i="4"/>
  <c r="AP145" i="4"/>
  <c r="AQ145" i="4" s="1"/>
  <c r="AS145" i="4" s="1"/>
  <c r="AV144" i="4" a="1"/>
  <c r="AV144" i="4" s="1"/>
  <c r="AU144" i="4" a="1"/>
  <c r="AU144" i="4" s="1"/>
  <c r="AT144" i="4"/>
  <c r="AR144" i="4"/>
  <c r="AP144" i="4"/>
  <c r="AQ144" i="4" s="1"/>
  <c r="AS144" i="4" s="1"/>
  <c r="AV143" i="4" a="1"/>
  <c r="AV143" i="4" s="1"/>
  <c r="AU143" i="4" a="1"/>
  <c r="AU143" i="4"/>
  <c r="AT143" i="4"/>
  <c r="AW143" i="4" s="1"/>
  <c r="AR143" i="4"/>
  <c r="AP143" i="4"/>
  <c r="AQ143" i="4" s="1"/>
  <c r="AS143" i="4" s="1"/>
  <c r="AW142" i="4"/>
  <c r="AV142" i="4" a="1"/>
  <c r="AV142" i="4"/>
  <c r="AU142" i="4" a="1"/>
  <c r="AU142" i="4"/>
  <c r="AT142" i="4"/>
  <c r="AR142" i="4"/>
  <c r="AP142" i="4"/>
  <c r="AQ142" i="4" s="1"/>
  <c r="AS142" i="4" s="1"/>
  <c r="AV141" i="4" a="1"/>
  <c r="AV141" i="4" s="1"/>
  <c r="AU141" i="4" a="1"/>
  <c r="AU141" i="4"/>
  <c r="AT141" i="4"/>
  <c r="AW141" i="4" s="1"/>
  <c r="AR141" i="4"/>
  <c r="AP141" i="4"/>
  <c r="AQ141" i="4" s="1"/>
  <c r="AS141" i="4" s="1"/>
  <c r="AV140" i="4" a="1"/>
  <c r="AV140" i="4"/>
  <c r="AU140" i="4" a="1"/>
  <c r="AU140" i="4" s="1"/>
  <c r="AW140" i="4" s="1"/>
  <c r="AT140" i="4"/>
  <c r="AR140" i="4"/>
  <c r="AP140" i="4"/>
  <c r="AQ140" i="4" s="1"/>
  <c r="AS140" i="4" s="1"/>
  <c r="AV139" i="4" a="1"/>
  <c r="AV139" i="4" s="1"/>
  <c r="AU139" i="4" a="1"/>
  <c r="AU139" i="4" s="1"/>
  <c r="AW139" i="4" s="1"/>
  <c r="AT139" i="4"/>
  <c r="AR139" i="4"/>
  <c r="AQ139" i="4"/>
  <c r="AS139" i="4" s="1"/>
  <c r="AP139" i="4"/>
  <c r="AV138" i="4" a="1"/>
  <c r="AV138" i="4" s="1"/>
  <c r="AU138" i="4" a="1"/>
  <c r="AU138" i="4" s="1"/>
  <c r="AW138" i="4" s="1"/>
  <c r="AT138" i="4"/>
  <c r="AR138" i="4"/>
  <c r="AP138" i="4"/>
  <c r="AQ138" i="4" s="1"/>
  <c r="AS138" i="4" s="1"/>
  <c r="AV137" i="4" a="1"/>
  <c r="AV137" i="4" s="1"/>
  <c r="AU137" i="4" a="1"/>
  <c r="AU137" i="4" s="1"/>
  <c r="AT137" i="4"/>
  <c r="AW137" i="4" s="1"/>
  <c r="AR137" i="4"/>
  <c r="AQ137" i="4"/>
  <c r="AS137" i="4" s="1"/>
  <c r="AP137" i="4"/>
  <c r="AV136" i="4" a="1"/>
  <c r="AV136" i="4" s="1"/>
  <c r="AU136" i="4" a="1"/>
  <c r="AU136" i="4" s="1"/>
  <c r="AT136" i="4"/>
  <c r="AW136" i="4" s="1"/>
  <c r="AS136" i="4"/>
  <c r="AR136" i="4"/>
  <c r="AQ136" i="4"/>
  <c r="AP136" i="4"/>
  <c r="AV135" i="4" a="1"/>
  <c r="AV135" i="4" s="1"/>
  <c r="AU135" i="4" a="1"/>
  <c r="AU135" i="4"/>
  <c r="AT135" i="4"/>
  <c r="AW135" i="4" s="1"/>
  <c r="AR135" i="4"/>
  <c r="AP135" i="4"/>
  <c r="AQ135" i="4" s="1"/>
  <c r="AS135" i="4" s="1"/>
  <c r="AV134" i="4" a="1"/>
  <c r="AV134" i="4" s="1"/>
  <c r="AU134" i="4" a="1"/>
  <c r="AU134" i="4"/>
  <c r="AT134" i="4"/>
  <c r="AW134" i="4" s="1"/>
  <c r="AR134" i="4"/>
  <c r="AP134" i="4"/>
  <c r="AQ134" i="4" s="1"/>
  <c r="AS134" i="4" s="1"/>
  <c r="AV133" i="4" a="1"/>
  <c r="AV133" i="4" s="1"/>
  <c r="AU133" i="4" a="1"/>
  <c r="AU133" i="4"/>
  <c r="AW133" i="4" s="1"/>
  <c r="AT133" i="4"/>
  <c r="AR133" i="4"/>
  <c r="AP133" i="4"/>
  <c r="AQ133" i="4" s="1"/>
  <c r="AS133" i="4" s="1"/>
  <c r="AW132" i="4"/>
  <c r="AV132" i="4" a="1"/>
  <c r="AV132" i="4"/>
  <c r="AU132" i="4" a="1"/>
  <c r="AU132" i="4"/>
  <c r="AT132" i="4"/>
  <c r="AR132" i="4"/>
  <c r="AP132" i="4"/>
  <c r="AQ132" i="4" s="1"/>
  <c r="AS132" i="4" s="1"/>
  <c r="AV131" i="4" a="1"/>
  <c r="AV131" i="4" s="1"/>
  <c r="AU131" i="4" a="1"/>
  <c r="AU131" i="4" s="1"/>
  <c r="AT131" i="4"/>
  <c r="AR131" i="4"/>
  <c r="AP131" i="4"/>
  <c r="AQ131" i="4" s="1"/>
  <c r="AS131" i="4" s="1"/>
  <c r="AV130" i="4" a="1"/>
  <c r="AV130" i="4"/>
  <c r="AU130" i="4" a="1"/>
  <c r="AU130" i="4"/>
  <c r="AT130" i="4"/>
  <c r="AW130" i="4" s="1"/>
  <c r="AR130" i="4"/>
  <c r="AP130" i="4"/>
  <c r="AQ130" i="4" s="1"/>
  <c r="AS130" i="4" s="1"/>
  <c r="AW129" i="4"/>
  <c r="AV129" i="4" a="1"/>
  <c r="AV129" i="4"/>
  <c r="AU129" i="4" a="1"/>
  <c r="AU129" i="4"/>
  <c r="AT129" i="4"/>
  <c r="AR129" i="4"/>
  <c r="AP129" i="4"/>
  <c r="AQ129" i="4" s="1"/>
  <c r="AS129" i="4" s="1"/>
  <c r="AV128" i="4" a="1"/>
  <c r="AV128" i="4"/>
  <c r="AU128" i="4" a="1"/>
  <c r="AU128" i="4" s="1"/>
  <c r="AT128" i="4"/>
  <c r="AR128" i="4"/>
  <c r="AP128" i="4"/>
  <c r="AQ128" i="4" s="1"/>
  <c r="AS128" i="4" s="1"/>
  <c r="AW127" i="4"/>
  <c r="AV127" i="4" a="1"/>
  <c r="AV127" i="4" s="1"/>
  <c r="AU127" i="4" a="1"/>
  <c r="AU127" i="4"/>
  <c r="AT127" i="4"/>
  <c r="AR127" i="4"/>
  <c r="AQ127" i="4"/>
  <c r="AS127" i="4" s="1"/>
  <c r="AP127" i="4"/>
  <c r="AV126" i="4" a="1"/>
  <c r="AV126" i="4" s="1"/>
  <c r="AU126" i="4" a="1"/>
  <c r="AU126" i="4"/>
  <c r="AT126" i="4"/>
  <c r="AW126" i="4" s="1"/>
  <c r="AR126" i="4"/>
  <c r="AP126" i="4"/>
  <c r="AQ126" i="4" s="1"/>
  <c r="AS126" i="4" s="1"/>
  <c r="AV125" i="4" a="1"/>
  <c r="AV125" i="4" s="1"/>
  <c r="AU125" i="4" a="1"/>
  <c r="AU125" i="4" s="1"/>
  <c r="AW125" i="4" s="1"/>
  <c r="AT125" i="4"/>
  <c r="AR125" i="4"/>
  <c r="AP125" i="4"/>
  <c r="AQ125" i="4" s="1"/>
  <c r="AS125" i="4" s="1"/>
  <c r="AV124" i="4" a="1"/>
  <c r="AV124" i="4" s="1"/>
  <c r="AU124" i="4" a="1"/>
  <c r="AU124" i="4" s="1"/>
  <c r="AT124" i="4"/>
  <c r="AS124" i="4"/>
  <c r="AR124" i="4"/>
  <c r="AQ124" i="4"/>
  <c r="AP124" i="4"/>
  <c r="AV123" i="4" a="1"/>
  <c r="AV123" i="4" s="1"/>
  <c r="AU123" i="4" a="1"/>
  <c r="AU123" i="4"/>
  <c r="AT123" i="4"/>
  <c r="AW123" i="4" s="1"/>
  <c r="AR123" i="4"/>
  <c r="AP123" i="4"/>
  <c r="AQ123" i="4" s="1"/>
  <c r="AS123" i="4" s="1"/>
  <c r="AV122" i="4" a="1"/>
  <c r="AV122" i="4"/>
  <c r="AU122" i="4" a="1"/>
  <c r="AU122" i="4" s="1"/>
  <c r="AT122" i="4"/>
  <c r="AR122" i="4"/>
  <c r="AP122" i="4"/>
  <c r="AQ122" i="4" s="1"/>
  <c r="AS122" i="4" s="1"/>
  <c r="AV121" i="4" a="1"/>
  <c r="AV121" i="4"/>
  <c r="AU121" i="4" a="1"/>
  <c r="AU121" i="4" s="1"/>
  <c r="AT121" i="4"/>
  <c r="AW121" i="4" s="1"/>
  <c r="AR121" i="4"/>
  <c r="AP121" i="4"/>
  <c r="AQ121" i="4" s="1"/>
  <c r="AS121" i="4" s="1"/>
  <c r="AV120" i="4" a="1"/>
  <c r="AV120" i="4" s="1"/>
  <c r="AU120" i="4" a="1"/>
  <c r="AU120" i="4" s="1"/>
  <c r="AT120" i="4"/>
  <c r="AW120" i="4" s="1"/>
  <c r="AR120" i="4"/>
  <c r="AQ120" i="4"/>
  <c r="AS120" i="4" s="1"/>
  <c r="AP120" i="4"/>
  <c r="AV119" i="4" a="1"/>
  <c r="AV119" i="4"/>
  <c r="AU119" i="4" a="1"/>
  <c r="AU119" i="4" s="1"/>
  <c r="AW119" i="4" s="1"/>
  <c r="AT119" i="4"/>
  <c r="AR119" i="4"/>
  <c r="AP119" i="4"/>
  <c r="AQ119" i="4" s="1"/>
  <c r="AS119" i="4" s="1"/>
  <c r="AV118" i="4" a="1"/>
  <c r="AV118" i="4" s="1"/>
  <c r="AU118" i="4" a="1"/>
  <c r="AU118" i="4" s="1"/>
  <c r="AT118" i="4"/>
  <c r="AW118" i="4" s="1"/>
  <c r="AR118" i="4"/>
  <c r="AP118" i="4"/>
  <c r="AQ118" i="4" s="1"/>
  <c r="AS118" i="4" s="1"/>
  <c r="AV117" i="4" a="1"/>
  <c r="AV117" i="4"/>
  <c r="AU117" i="4" a="1"/>
  <c r="AU117" i="4" s="1"/>
  <c r="AT117" i="4"/>
  <c r="AW117" i="4" s="1"/>
  <c r="AR117" i="4"/>
  <c r="AQ117" i="4"/>
  <c r="AS117" i="4" s="1"/>
  <c r="AP117" i="4"/>
  <c r="AV116" i="4" a="1"/>
  <c r="AV116" i="4"/>
  <c r="AU116" i="4" a="1"/>
  <c r="AU116" i="4" s="1"/>
  <c r="AW116" i="4" s="1"/>
  <c r="AT116" i="4"/>
  <c r="AR116" i="4"/>
  <c r="AP116" i="4"/>
  <c r="AQ116" i="4" s="1"/>
  <c r="AS116" i="4" s="1"/>
  <c r="AV115" i="4" a="1"/>
  <c r="AV115" i="4" s="1"/>
  <c r="AU115" i="4" a="1"/>
  <c r="AU115" i="4" s="1"/>
  <c r="AW115" i="4" s="1"/>
  <c r="AT115" i="4"/>
  <c r="AR115" i="4"/>
  <c r="AP115" i="4"/>
  <c r="AQ115" i="4" s="1"/>
  <c r="AS115" i="4" s="1"/>
  <c r="AV114" i="4" a="1"/>
  <c r="AV114" i="4"/>
  <c r="AU114" i="4" a="1"/>
  <c r="AU114" i="4" s="1"/>
  <c r="AT114" i="4"/>
  <c r="AW114" i="4" s="1"/>
  <c r="AR114" i="4"/>
  <c r="AP114" i="4"/>
  <c r="AQ114" i="4" s="1"/>
  <c r="AS114" i="4" s="1"/>
  <c r="AV113" i="4" a="1"/>
  <c r="AV113" i="4"/>
  <c r="AU113" i="4" a="1"/>
  <c r="AU113" i="4"/>
  <c r="AT113" i="4"/>
  <c r="AW113" i="4" s="1"/>
  <c r="AR113" i="4"/>
  <c r="AP113" i="4"/>
  <c r="AQ113" i="4" s="1"/>
  <c r="AS113" i="4" s="1"/>
  <c r="AV112" i="4" a="1"/>
  <c r="AV112" i="4" s="1"/>
  <c r="AU112" i="4" a="1"/>
  <c r="AU112" i="4" s="1"/>
  <c r="AT112" i="4"/>
  <c r="AR112" i="4"/>
  <c r="AP112" i="4"/>
  <c r="AQ112" i="4" s="1"/>
  <c r="AS112" i="4" s="1"/>
  <c r="AV111" i="4" a="1"/>
  <c r="AV111" i="4" s="1"/>
  <c r="AU111" i="4" a="1"/>
  <c r="AU111" i="4"/>
  <c r="AT111" i="4"/>
  <c r="AW111" i="4" s="1"/>
  <c r="AR111" i="4"/>
  <c r="AP111" i="4"/>
  <c r="AQ111" i="4" s="1"/>
  <c r="AS111" i="4" s="1"/>
  <c r="AW110" i="4"/>
  <c r="AV110" i="4" a="1"/>
  <c r="AV110" i="4"/>
  <c r="AU110" i="4" a="1"/>
  <c r="AU110" i="4"/>
  <c r="AT110" i="4"/>
  <c r="AR110" i="4"/>
  <c r="AP110" i="4"/>
  <c r="AQ110" i="4" s="1"/>
  <c r="AS110" i="4" s="1"/>
  <c r="AV109" i="4" a="1"/>
  <c r="AV109" i="4" s="1"/>
  <c r="AU109" i="4" a="1"/>
  <c r="AU109" i="4"/>
  <c r="AT109" i="4"/>
  <c r="AW109" i="4" s="1"/>
  <c r="AR109" i="4"/>
  <c r="AP109" i="4"/>
  <c r="AQ109" i="4" s="1"/>
  <c r="AS109" i="4" s="1"/>
  <c r="AV108" i="4" a="1"/>
  <c r="AV108" i="4"/>
  <c r="AU108" i="4" a="1"/>
  <c r="AU108" i="4" s="1"/>
  <c r="AW108" i="4" s="1"/>
  <c r="AT108" i="4"/>
  <c r="AR108" i="4"/>
  <c r="AP108" i="4"/>
  <c r="AQ108" i="4" s="1"/>
  <c r="AS108" i="4" s="1"/>
  <c r="AV107" i="4" a="1"/>
  <c r="AV107" i="4" s="1"/>
  <c r="AU107" i="4" a="1"/>
  <c r="AU107" i="4" s="1"/>
  <c r="AW107" i="4" s="1"/>
  <c r="AT107" i="4"/>
  <c r="AR107" i="4"/>
  <c r="AQ107" i="4"/>
  <c r="AS107" i="4" s="1"/>
  <c r="AP107" i="4"/>
  <c r="AV106" i="4" a="1"/>
  <c r="AV106" i="4" s="1"/>
  <c r="AU106" i="4" a="1"/>
  <c r="AU106" i="4" s="1"/>
  <c r="AW106" i="4" s="1"/>
  <c r="AT106" i="4"/>
  <c r="AR106" i="4"/>
  <c r="AP106" i="4"/>
  <c r="AQ106" i="4" s="1"/>
  <c r="AS106" i="4" s="1"/>
  <c r="AV105" i="4" a="1"/>
  <c r="AV105" i="4" s="1"/>
  <c r="AU105" i="4" a="1"/>
  <c r="AU105" i="4" s="1"/>
  <c r="AT105" i="4"/>
  <c r="AW105" i="4" s="1"/>
  <c r="AR105" i="4"/>
  <c r="AQ105" i="4"/>
  <c r="AS105" i="4" s="1"/>
  <c r="AP105" i="4"/>
  <c r="AV104" i="4" a="1"/>
  <c r="AV104" i="4" s="1"/>
  <c r="AU104" i="4" a="1"/>
  <c r="AU104" i="4" s="1"/>
  <c r="AT104" i="4"/>
  <c r="AW104" i="4" s="1"/>
  <c r="AS104" i="4"/>
  <c r="AR104" i="4"/>
  <c r="AQ104" i="4"/>
  <c r="AP104" i="4"/>
  <c r="AV103" i="4" a="1"/>
  <c r="AV103" i="4" s="1"/>
  <c r="AU103" i="4" a="1"/>
  <c r="AU103" i="4"/>
  <c r="AT103" i="4"/>
  <c r="AW103" i="4" s="1"/>
  <c r="AR103" i="4"/>
  <c r="AP103" i="4"/>
  <c r="AQ103" i="4" s="1"/>
  <c r="AS103" i="4" s="1"/>
  <c r="AV102" i="4" a="1"/>
  <c r="AV102" i="4" s="1"/>
  <c r="AU102" i="4" a="1"/>
  <c r="AU102" i="4"/>
  <c r="AT102" i="4"/>
  <c r="AW102" i="4" s="1"/>
  <c r="AR102" i="4"/>
  <c r="AP102" i="4"/>
  <c r="AQ102" i="4" s="1"/>
  <c r="AS102" i="4" s="1"/>
  <c r="AV101" i="4" a="1"/>
  <c r="AV101" i="4" s="1"/>
  <c r="AU101" i="4" a="1"/>
  <c r="AU101" i="4" s="1"/>
  <c r="AW101" i="4" s="1"/>
  <c r="AT101" i="4"/>
  <c r="AR101" i="4"/>
  <c r="AP101" i="4"/>
  <c r="AQ101" i="4" s="1"/>
  <c r="AS101" i="4" s="1"/>
  <c r="AW100" i="4"/>
  <c r="AV100" i="4" a="1"/>
  <c r="AV100" i="4"/>
  <c r="AU100" i="4" a="1"/>
  <c r="AU100" i="4"/>
  <c r="AT100" i="4"/>
  <c r="AR100" i="4"/>
  <c r="AP100" i="4"/>
  <c r="AQ100" i="4" s="1"/>
  <c r="AS100" i="4" s="1"/>
  <c r="AV99" i="4" a="1"/>
  <c r="AV99" i="4" s="1"/>
  <c r="AU99" i="4" a="1"/>
  <c r="AU99" i="4" s="1"/>
  <c r="AT99" i="4"/>
  <c r="AW99" i="4" s="1"/>
  <c r="AR99" i="4"/>
  <c r="AP99" i="4"/>
  <c r="AQ99" i="4" s="1"/>
  <c r="AS99" i="4" s="1"/>
  <c r="AV98" i="4" a="1"/>
  <c r="AV98" i="4"/>
  <c r="AU98" i="4" a="1"/>
  <c r="AU98" i="4" s="1"/>
  <c r="AT98" i="4"/>
  <c r="AR98" i="4"/>
  <c r="AP98" i="4"/>
  <c r="AQ98" i="4" s="1"/>
  <c r="AS98" i="4" s="1"/>
  <c r="AW97" i="4"/>
  <c r="AV97" i="4" a="1"/>
  <c r="AV97" i="4"/>
  <c r="AU97" i="4" a="1"/>
  <c r="AU97" i="4"/>
  <c r="AT97" i="4"/>
  <c r="AR97" i="4"/>
  <c r="AP97" i="4"/>
  <c r="AQ97" i="4" s="1"/>
  <c r="AS97" i="4" s="1"/>
  <c r="AV96" i="4" a="1"/>
  <c r="AV96" i="4"/>
  <c r="AU96" i="4" a="1"/>
  <c r="AU96" i="4" s="1"/>
  <c r="AT96" i="4"/>
  <c r="AR96" i="4"/>
  <c r="AP96" i="4"/>
  <c r="AQ96" i="4" s="1"/>
  <c r="AS96" i="4" s="1"/>
  <c r="AW95" i="4"/>
  <c r="AV95" i="4" a="1"/>
  <c r="AV95" i="4" s="1"/>
  <c r="AU95" i="4" a="1"/>
  <c r="AU95" i="4"/>
  <c r="AT95" i="4"/>
  <c r="AR95" i="4"/>
  <c r="AQ95" i="4"/>
  <c r="AS95" i="4" s="1"/>
  <c r="AP95" i="4"/>
  <c r="AV94" i="4" a="1"/>
  <c r="AV94" i="4" s="1"/>
  <c r="AU94" i="4" a="1"/>
  <c r="AU94" i="4"/>
  <c r="AT94" i="4"/>
  <c r="AW94" i="4" s="1"/>
  <c r="AR94" i="4"/>
  <c r="AP94" i="4"/>
  <c r="AQ94" i="4" s="1"/>
  <c r="AS94" i="4" s="1"/>
  <c r="AV93" i="4" a="1"/>
  <c r="AV93" i="4" s="1"/>
  <c r="AU93" i="4" a="1"/>
  <c r="AU93" i="4" s="1"/>
  <c r="AW93" i="4" s="1"/>
  <c r="AT93" i="4"/>
  <c r="AR93" i="4"/>
  <c r="AP93" i="4"/>
  <c r="AQ93" i="4" s="1"/>
  <c r="AS93" i="4" s="1"/>
  <c r="AV92" i="4" a="1"/>
  <c r="AV92" i="4" s="1"/>
  <c r="AU92" i="4" a="1"/>
  <c r="AU92" i="4" s="1"/>
  <c r="AT92" i="4"/>
  <c r="AW92" i="4" s="1"/>
  <c r="AS92" i="4"/>
  <c r="AR92" i="4"/>
  <c r="AQ92" i="4"/>
  <c r="AP92" i="4"/>
  <c r="AV91" i="4" a="1"/>
  <c r="AV91" i="4" s="1"/>
  <c r="AU91" i="4" a="1"/>
  <c r="AU91" i="4"/>
  <c r="AT91" i="4"/>
  <c r="AW91" i="4" s="1"/>
  <c r="AR91" i="4"/>
  <c r="AP91" i="4"/>
  <c r="AQ91" i="4" s="1"/>
  <c r="AS91" i="4" s="1"/>
  <c r="AV90" i="4" a="1"/>
  <c r="AV90" i="4"/>
  <c r="AU90" i="4" a="1"/>
  <c r="AU90" i="4" s="1"/>
  <c r="AT90" i="4"/>
  <c r="AR90" i="4"/>
  <c r="AP90" i="4"/>
  <c r="AQ90" i="4" s="1"/>
  <c r="AS90" i="4" s="1"/>
  <c r="AV89" i="4" a="1"/>
  <c r="AV89" i="4"/>
  <c r="AU89" i="4" a="1"/>
  <c r="AU89" i="4"/>
  <c r="AT89" i="4"/>
  <c r="AW89" i="4" s="1"/>
  <c r="AR89" i="4"/>
  <c r="AP89" i="4"/>
  <c r="AQ89" i="4" s="1"/>
  <c r="AS89" i="4" s="1"/>
  <c r="AV88" i="4" a="1"/>
  <c r="AV88" i="4" s="1"/>
  <c r="AU88" i="4" a="1"/>
  <c r="AU88" i="4" s="1"/>
  <c r="AT88" i="4"/>
  <c r="AR88" i="4"/>
  <c r="AQ88" i="4"/>
  <c r="AS88" i="4" s="1"/>
  <c r="AP88" i="4"/>
  <c r="AV87" i="4" a="1"/>
  <c r="AV87" i="4"/>
  <c r="AU87" i="4" a="1"/>
  <c r="AU87" i="4" s="1"/>
  <c r="AW87" i="4" s="1"/>
  <c r="AT87" i="4"/>
  <c r="AR87" i="4"/>
  <c r="AP87" i="4"/>
  <c r="AQ87" i="4" s="1"/>
  <c r="AS87" i="4" s="1"/>
  <c r="AV86" i="4" a="1"/>
  <c r="AV86" i="4" s="1"/>
  <c r="AU86" i="4" a="1"/>
  <c r="AU86" i="4" s="1"/>
  <c r="AT86" i="4"/>
  <c r="AW86" i="4" s="1"/>
  <c r="AR86" i="4"/>
  <c r="AP86" i="4"/>
  <c r="AQ86" i="4" s="1"/>
  <c r="AS86" i="4" s="1"/>
  <c r="AV85" i="4" a="1"/>
  <c r="AV85" i="4" s="1"/>
  <c r="AU85" i="4" a="1"/>
  <c r="AU85" i="4" s="1"/>
  <c r="AT85" i="4"/>
  <c r="AW85" i="4" s="1"/>
  <c r="AR85" i="4"/>
  <c r="AQ85" i="4"/>
  <c r="AS85" i="4" s="1"/>
  <c r="AP85" i="4"/>
  <c r="AV84" i="4" a="1"/>
  <c r="AV84" i="4"/>
  <c r="AU84" i="4" a="1"/>
  <c r="AU84" i="4" s="1"/>
  <c r="AW84" i="4" s="1"/>
  <c r="AT84" i="4"/>
  <c r="AR84" i="4"/>
  <c r="AP84" i="4"/>
  <c r="AQ84" i="4" s="1"/>
  <c r="AS84" i="4" s="1"/>
  <c r="AV83" i="4" a="1"/>
  <c r="AV83" i="4" s="1"/>
  <c r="AU83" i="4" a="1"/>
  <c r="AU83" i="4" s="1"/>
  <c r="AW83" i="4" s="1"/>
  <c r="AT83" i="4"/>
  <c r="AR83" i="4"/>
  <c r="AP83" i="4"/>
  <c r="AQ83" i="4" s="1"/>
  <c r="AS83" i="4" s="1"/>
  <c r="AV82" i="4" a="1"/>
  <c r="AV82" i="4"/>
  <c r="AU82" i="4" a="1"/>
  <c r="AU82" i="4" s="1"/>
  <c r="AT82" i="4"/>
  <c r="AR82" i="4"/>
  <c r="AP82" i="4"/>
  <c r="AQ82" i="4" s="1"/>
  <c r="AS82" i="4" s="1"/>
  <c r="AV81" i="4" a="1"/>
  <c r="AV81" i="4"/>
  <c r="AU81" i="4" a="1"/>
  <c r="AU81" i="4"/>
  <c r="AT81" i="4"/>
  <c r="AW81" i="4" s="1"/>
  <c r="AR81" i="4"/>
  <c r="AP81" i="4"/>
  <c r="AQ81" i="4" s="1"/>
  <c r="AS81" i="4" s="1"/>
  <c r="AV80" i="4" a="1"/>
  <c r="AV80" i="4" s="1"/>
  <c r="AU80" i="4" a="1"/>
  <c r="AU80" i="4" s="1"/>
  <c r="AT80" i="4"/>
  <c r="AR80" i="4"/>
  <c r="AP80" i="4"/>
  <c r="AQ80" i="4" s="1"/>
  <c r="AS80" i="4" s="1"/>
  <c r="AV79" i="4" a="1"/>
  <c r="AV79" i="4" s="1"/>
  <c r="AU79" i="4" a="1"/>
  <c r="AU79" i="4"/>
  <c r="AT79" i="4"/>
  <c r="AW79" i="4" s="1"/>
  <c r="AR79" i="4"/>
  <c r="AP79" i="4"/>
  <c r="AQ79" i="4" s="1"/>
  <c r="AS79" i="4" s="1"/>
  <c r="AW78" i="4"/>
  <c r="AV78" i="4" a="1"/>
  <c r="AV78" i="4"/>
  <c r="AU78" i="4" a="1"/>
  <c r="AU78" i="4"/>
  <c r="AT78" i="4"/>
  <c r="AR78" i="4"/>
  <c r="AP78" i="4"/>
  <c r="AQ78" i="4" s="1"/>
  <c r="AS78" i="4" s="1"/>
  <c r="AV77" i="4" a="1"/>
  <c r="AV77" i="4" s="1"/>
  <c r="AU77" i="4" a="1"/>
  <c r="AU77" i="4"/>
  <c r="AT77" i="4"/>
  <c r="AW77" i="4" s="1"/>
  <c r="AR77" i="4"/>
  <c r="AP77" i="4"/>
  <c r="AQ77" i="4" s="1"/>
  <c r="AS77" i="4" s="1"/>
  <c r="AV76" i="4" a="1"/>
  <c r="AV76" i="4" s="1"/>
  <c r="AU76" i="4" a="1"/>
  <c r="AU76" i="4" s="1"/>
  <c r="AW76" i="4" s="1"/>
  <c r="AT76" i="4"/>
  <c r="AR76" i="4"/>
  <c r="AP76" i="4"/>
  <c r="AQ76" i="4" s="1"/>
  <c r="AS76" i="4" s="1"/>
  <c r="AV75" i="4" a="1"/>
  <c r="AV75" i="4" s="1"/>
  <c r="AU75" i="4" a="1"/>
  <c r="AU75" i="4" s="1"/>
  <c r="AW75" i="4" s="1"/>
  <c r="AT75" i="4"/>
  <c r="AR75" i="4"/>
  <c r="AQ75" i="4"/>
  <c r="AS75" i="4" s="1"/>
  <c r="AP75" i="4"/>
  <c r="AV74" i="4" a="1"/>
  <c r="AV74" i="4" s="1"/>
  <c r="AU74" i="4" a="1"/>
  <c r="AU74" i="4" s="1"/>
  <c r="AW74" i="4" s="1"/>
  <c r="AT74" i="4"/>
  <c r="AR74" i="4"/>
  <c r="AP74" i="4"/>
  <c r="AQ74" i="4" s="1"/>
  <c r="AS74" i="4" s="1"/>
  <c r="AV73" i="4" a="1"/>
  <c r="AV73" i="4" s="1"/>
  <c r="AU73" i="4" a="1"/>
  <c r="AU73" i="4" s="1"/>
  <c r="AT73" i="4"/>
  <c r="AW73" i="4" s="1"/>
  <c r="AR73" i="4"/>
  <c r="AQ73" i="4"/>
  <c r="AS73" i="4" s="1"/>
  <c r="AP73" i="4"/>
  <c r="AV72" i="4" a="1"/>
  <c r="AV72" i="4" s="1"/>
  <c r="AU72" i="4" a="1"/>
  <c r="AU72" i="4" s="1"/>
  <c r="AT72" i="4"/>
  <c r="AW72" i="4" s="1"/>
  <c r="AS72" i="4"/>
  <c r="AR72" i="4"/>
  <c r="AQ72" i="4"/>
  <c r="AP72" i="4"/>
  <c r="AV71" i="4" a="1"/>
  <c r="AV71" i="4" s="1"/>
  <c r="AU71" i="4" a="1"/>
  <c r="AU71" i="4"/>
  <c r="AT71" i="4"/>
  <c r="AW71" i="4" s="1"/>
  <c r="AR71" i="4"/>
  <c r="AP71" i="4"/>
  <c r="AQ71" i="4" s="1"/>
  <c r="AS71" i="4" s="1"/>
  <c r="AV70" i="4" a="1"/>
  <c r="AV70" i="4" s="1"/>
  <c r="AU70" i="4" a="1"/>
  <c r="AU70" i="4"/>
  <c r="AT70" i="4"/>
  <c r="AW70" i="4" s="1"/>
  <c r="AR70" i="4"/>
  <c r="AP70" i="4"/>
  <c r="AQ70" i="4" s="1"/>
  <c r="AS70" i="4" s="1"/>
  <c r="AV69" i="4" a="1"/>
  <c r="AV69" i="4" s="1"/>
  <c r="AU69" i="4" a="1"/>
  <c r="AU69" i="4" s="1"/>
  <c r="AT69" i="4"/>
  <c r="AW69" i="4" s="1"/>
  <c r="AR69" i="4"/>
  <c r="AP69" i="4"/>
  <c r="AQ69" i="4" s="1"/>
  <c r="AS69" i="4" s="1"/>
  <c r="AW68" i="4"/>
  <c r="AV68" i="4" a="1"/>
  <c r="AV68" i="4"/>
  <c r="AU68" i="4" a="1"/>
  <c r="AU68" i="4"/>
  <c r="AT68" i="4"/>
  <c r="AR68" i="4"/>
  <c r="AP68" i="4"/>
  <c r="AQ68" i="4" s="1"/>
  <c r="AS68" i="4" s="1"/>
  <c r="AV67" i="4" a="1"/>
  <c r="AV67" i="4" s="1"/>
  <c r="AU67" i="4" a="1"/>
  <c r="AU67" i="4" s="1"/>
  <c r="AT67" i="4"/>
  <c r="AW67" i="4" s="1"/>
  <c r="AR67" i="4"/>
  <c r="AP67" i="4"/>
  <c r="AQ67" i="4" s="1"/>
  <c r="AS67" i="4" s="1"/>
  <c r="AV66" i="4" a="1"/>
  <c r="AV66" i="4"/>
  <c r="AU66" i="4" a="1"/>
  <c r="AU66" i="4" s="1"/>
  <c r="AT66" i="4"/>
  <c r="AW66" i="4" s="1"/>
  <c r="AR66" i="4"/>
  <c r="AP66" i="4"/>
  <c r="AQ66" i="4" s="1"/>
  <c r="AS66" i="4" s="1"/>
  <c r="AW65" i="4"/>
  <c r="AV65" i="4" a="1"/>
  <c r="AV65" i="4"/>
  <c r="AU65" i="4" a="1"/>
  <c r="AU65" i="4"/>
  <c r="AT65" i="4"/>
  <c r="AR65" i="4"/>
  <c r="AP65" i="4"/>
  <c r="AQ65" i="4" s="1"/>
  <c r="AS65" i="4" s="1"/>
  <c r="AV64" i="4" a="1"/>
  <c r="AV64" i="4"/>
  <c r="AU64" i="4" a="1"/>
  <c r="AU64" i="4" s="1"/>
  <c r="AT64" i="4"/>
  <c r="AR64" i="4"/>
  <c r="AP64" i="4"/>
  <c r="AQ64" i="4" s="1"/>
  <c r="AS64" i="4" s="1"/>
  <c r="AW63" i="4"/>
  <c r="AV63" i="4" a="1"/>
  <c r="AV63" i="4" s="1"/>
  <c r="AU63" i="4" a="1"/>
  <c r="AU63" i="4"/>
  <c r="AT63" i="4"/>
  <c r="AR63" i="4"/>
  <c r="AQ63" i="4"/>
  <c r="AS63" i="4" s="1"/>
  <c r="AP63" i="4"/>
  <c r="AV62" i="4" a="1"/>
  <c r="AV62" i="4" s="1"/>
  <c r="AU62" i="4" a="1"/>
  <c r="AU62" i="4"/>
  <c r="AT62" i="4"/>
  <c r="AW62" i="4" s="1"/>
  <c r="AR62" i="4"/>
  <c r="AP62" i="4"/>
  <c r="AQ62" i="4" s="1"/>
  <c r="AS62" i="4" s="1"/>
  <c r="AV61" i="4" a="1"/>
  <c r="AV61" i="4" s="1"/>
  <c r="AU61" i="4" a="1"/>
  <c r="AU61" i="4" s="1"/>
  <c r="AW61" i="4" s="1"/>
  <c r="AT61" i="4"/>
  <c r="AR61" i="4"/>
  <c r="AP61" i="4"/>
  <c r="AQ61" i="4" s="1"/>
  <c r="AS61" i="4" s="1"/>
  <c r="AV60" i="4" a="1"/>
  <c r="AV60" i="4" s="1"/>
  <c r="AU60" i="4" a="1"/>
  <c r="AU60" i="4" s="1"/>
  <c r="AT60" i="4"/>
  <c r="AS60" i="4"/>
  <c r="AR60" i="4"/>
  <c r="AQ60" i="4"/>
  <c r="AP60" i="4"/>
  <c r="AV59" i="4" a="1"/>
  <c r="AV59" i="4" s="1"/>
  <c r="AU59" i="4" a="1"/>
  <c r="AU59" i="4"/>
  <c r="AT59" i="4"/>
  <c r="AW59" i="4" s="1"/>
  <c r="AR59" i="4"/>
  <c r="AP59" i="4"/>
  <c r="AQ59" i="4" s="1"/>
  <c r="AS59" i="4" s="1"/>
  <c r="AV58" i="4" a="1"/>
  <c r="AV58" i="4"/>
  <c r="AU58" i="4" a="1"/>
  <c r="AU58" i="4" s="1"/>
  <c r="AT58" i="4"/>
  <c r="AR58" i="4"/>
  <c r="AP58" i="4"/>
  <c r="AQ58" i="4" s="1"/>
  <c r="AS58" i="4" s="1"/>
  <c r="AV57" i="4" a="1"/>
  <c r="AV57" i="4"/>
  <c r="AU57" i="4" a="1"/>
  <c r="AU57" i="4"/>
  <c r="AT57" i="4"/>
  <c r="AW57" i="4" s="1"/>
  <c r="AR57" i="4"/>
  <c r="AP57" i="4"/>
  <c r="AQ57" i="4" s="1"/>
  <c r="AS57" i="4" s="1"/>
  <c r="AV56" i="4" a="1"/>
  <c r="AV56" i="4" s="1"/>
  <c r="AU56" i="4" a="1"/>
  <c r="AU56" i="4" s="1"/>
  <c r="AT56" i="4"/>
  <c r="AW56" i="4" s="1"/>
  <c r="AR56" i="4"/>
  <c r="AQ56" i="4"/>
  <c r="AS56" i="4" s="1"/>
  <c r="AP56" i="4"/>
  <c r="AV55" i="4" a="1"/>
  <c r="AV55" i="4"/>
  <c r="AU55" i="4" a="1"/>
  <c r="AU55" i="4" s="1"/>
  <c r="AW55" i="4" s="1"/>
  <c r="AT55" i="4"/>
  <c r="AR55" i="4"/>
  <c r="AP55" i="4"/>
  <c r="AQ55" i="4" s="1"/>
  <c r="AS55" i="4" s="1"/>
  <c r="AV54" i="4" a="1"/>
  <c r="AV54" i="4" s="1"/>
  <c r="AU54" i="4" a="1"/>
  <c r="AU54" i="4" s="1"/>
  <c r="AT54" i="4"/>
  <c r="AR54" i="4"/>
  <c r="AP54" i="4"/>
  <c r="AQ54" i="4" s="1"/>
  <c r="AS54" i="4" s="1"/>
  <c r="AV53" i="4" a="1"/>
  <c r="AV53" i="4" s="1"/>
  <c r="AU53" i="4" a="1"/>
  <c r="AU53" i="4" s="1"/>
  <c r="AT53" i="4"/>
  <c r="AW53" i="4" s="1"/>
  <c r="AR53" i="4"/>
  <c r="AQ53" i="4"/>
  <c r="AS53" i="4" s="1"/>
  <c r="AP53" i="4"/>
  <c r="AV52" i="4" a="1"/>
  <c r="AV52" i="4"/>
  <c r="AU52" i="4" a="1"/>
  <c r="AU52" i="4" s="1"/>
  <c r="AW52" i="4" s="1"/>
  <c r="AT52" i="4"/>
  <c r="AR52" i="4"/>
  <c r="AP52" i="4"/>
  <c r="AQ52" i="4" s="1"/>
  <c r="AS52" i="4" s="1"/>
  <c r="AV51" i="4" a="1"/>
  <c r="AV51" i="4" s="1"/>
  <c r="AU51" i="4" a="1"/>
  <c r="AU51" i="4" s="1"/>
  <c r="AW51" i="4" s="1"/>
  <c r="AT51" i="4"/>
  <c r="AR51" i="4"/>
  <c r="AP51" i="4"/>
  <c r="AQ51" i="4" s="1"/>
  <c r="AS51" i="4" s="1"/>
  <c r="AV50" i="4" a="1"/>
  <c r="AV50" i="4"/>
  <c r="AU50" i="4" a="1"/>
  <c r="AU50" i="4" s="1"/>
  <c r="AT50" i="4"/>
  <c r="AW50" i="4" s="1"/>
  <c r="AR50" i="4"/>
  <c r="AP50" i="4"/>
  <c r="AQ50" i="4" s="1"/>
  <c r="AS50" i="4" s="1"/>
  <c r="AV49" i="4" a="1"/>
  <c r="AV49" i="4"/>
  <c r="AU49" i="4" a="1"/>
  <c r="AU49" i="4"/>
  <c r="AT49" i="4"/>
  <c r="AW49" i="4" s="1"/>
  <c r="AR49" i="4"/>
  <c r="AP49" i="4"/>
  <c r="AQ49" i="4" s="1"/>
  <c r="AS49" i="4" s="1"/>
  <c r="AV48" i="4" a="1"/>
  <c r="AV48" i="4" s="1"/>
  <c r="AU48" i="4" a="1"/>
  <c r="AU48" i="4" s="1"/>
  <c r="AT48" i="4"/>
  <c r="AW48" i="4" s="1"/>
  <c r="AR48" i="4"/>
  <c r="AP48" i="4"/>
  <c r="AQ48" i="4" s="1"/>
  <c r="AS48" i="4" s="1"/>
  <c r="AV47" i="4" a="1"/>
  <c r="AV47" i="4" s="1"/>
  <c r="AU47" i="4" a="1"/>
  <c r="AU47" i="4"/>
  <c r="AT47" i="4"/>
  <c r="AW47" i="4" s="1"/>
  <c r="AR47" i="4"/>
  <c r="AP47" i="4"/>
  <c r="AQ47" i="4" s="1"/>
  <c r="AS47" i="4" s="1"/>
  <c r="AW46" i="4"/>
  <c r="AV46" i="4" a="1"/>
  <c r="AV46" i="4"/>
  <c r="AU46" i="4" a="1"/>
  <c r="AU46" i="4"/>
  <c r="AT46" i="4"/>
  <c r="AR46" i="4"/>
  <c r="AP46" i="4"/>
  <c r="AQ46" i="4" s="1"/>
  <c r="AS46" i="4" s="1"/>
  <c r="AV45" i="4" a="1"/>
  <c r="AV45" i="4" s="1"/>
  <c r="AU45" i="4" a="1"/>
  <c r="AU45" i="4"/>
  <c r="AT45" i="4"/>
  <c r="AW45" i="4" s="1"/>
  <c r="AR45" i="4"/>
  <c r="AP45" i="4"/>
  <c r="AQ45" i="4" s="1"/>
  <c r="AS45" i="4" s="1"/>
  <c r="AV44" i="4" a="1"/>
  <c r="AV44" i="4"/>
  <c r="AU44" i="4" a="1"/>
  <c r="AU44" i="4" s="1"/>
  <c r="AW44" i="4" s="1"/>
  <c r="AT44" i="4"/>
  <c r="AR44" i="4"/>
  <c r="AP44" i="4"/>
  <c r="AQ44" i="4" s="1"/>
  <c r="AS44" i="4" s="1"/>
  <c r="AV43" i="4" a="1"/>
  <c r="AV43" i="4" s="1"/>
  <c r="AU43" i="4" a="1"/>
  <c r="AU43" i="4" s="1"/>
  <c r="AW43" i="4" s="1"/>
  <c r="AT43" i="4"/>
  <c r="AR43" i="4"/>
  <c r="AQ43" i="4"/>
  <c r="AS43" i="4" s="1"/>
  <c r="AP43" i="4"/>
  <c r="AV42" i="4" a="1"/>
  <c r="AV42" i="4" s="1"/>
  <c r="AU42" i="4" a="1"/>
  <c r="AU42" i="4" s="1"/>
  <c r="AW42" i="4" s="1"/>
  <c r="AT42" i="4"/>
  <c r="AR42" i="4"/>
  <c r="AP42" i="4"/>
  <c r="AQ42" i="4" s="1"/>
  <c r="AS42" i="4" s="1"/>
  <c r="AV41" i="4" a="1"/>
  <c r="AV41" i="4" s="1"/>
  <c r="AU41" i="4" a="1"/>
  <c r="AU41" i="4" s="1"/>
  <c r="AT41" i="4"/>
  <c r="AW41" i="4" s="1"/>
  <c r="AR41" i="4"/>
  <c r="AP41" i="4"/>
  <c r="AQ41" i="4" s="1"/>
  <c r="AS41" i="4" s="1"/>
  <c r="AV40" i="4" a="1"/>
  <c r="AV40" i="4" s="1"/>
  <c r="AU40" i="4" a="1"/>
  <c r="AU40" i="4" s="1"/>
  <c r="AT40" i="4"/>
  <c r="AW40" i="4" s="1"/>
  <c r="AS40" i="4"/>
  <c r="AR40" i="4"/>
  <c r="AQ40" i="4"/>
  <c r="AP40" i="4"/>
  <c r="AV39" i="4" a="1"/>
  <c r="AV39" i="4" s="1"/>
  <c r="AU39" i="4" a="1"/>
  <c r="AU39" i="4"/>
  <c r="AT39" i="4"/>
  <c r="AW39" i="4" s="1"/>
  <c r="AR39" i="4"/>
  <c r="AP39" i="4"/>
  <c r="AQ39" i="4" s="1"/>
  <c r="AS39" i="4" s="1"/>
  <c r="AV38" i="4" a="1"/>
  <c r="AV38" i="4" s="1"/>
  <c r="AU38" i="4" a="1"/>
  <c r="AU38" i="4"/>
  <c r="AT38" i="4"/>
  <c r="AW38" i="4" s="1"/>
  <c r="AR38" i="4"/>
  <c r="AP38" i="4"/>
  <c r="AQ38" i="4" s="1"/>
  <c r="AS38" i="4" s="1"/>
  <c r="AV37" i="4" a="1"/>
  <c r="AV37" i="4" s="1"/>
  <c r="AU37" i="4" a="1"/>
  <c r="AU37" i="4" s="1"/>
  <c r="AT37" i="4"/>
  <c r="AW37" i="4" s="1"/>
  <c r="AR37" i="4"/>
  <c r="AP37" i="4"/>
  <c r="AQ37" i="4" s="1"/>
  <c r="AS37" i="4" s="1"/>
  <c r="AW36" i="4"/>
  <c r="AV36" i="4" a="1"/>
  <c r="AV36" i="4"/>
  <c r="AU36" i="4" a="1"/>
  <c r="AU36" i="4"/>
  <c r="AT36" i="4"/>
  <c r="AR36" i="4"/>
  <c r="AP36" i="4"/>
  <c r="AQ36" i="4" s="1"/>
  <c r="AS36" i="4" s="1"/>
  <c r="AV35" i="4" a="1"/>
  <c r="AV35" i="4" s="1"/>
  <c r="AU35" i="4" a="1"/>
  <c r="AU35" i="4" s="1"/>
  <c r="AT35" i="4"/>
  <c r="AW35" i="4" s="1"/>
  <c r="AR35" i="4"/>
  <c r="AP35" i="4"/>
  <c r="AQ35" i="4" s="1"/>
  <c r="AS35" i="4" s="1"/>
  <c r="AV34" i="4" a="1"/>
  <c r="AV34" i="4" s="1"/>
  <c r="AU34" i="4" a="1"/>
  <c r="AU34" i="4" s="1"/>
  <c r="AT34" i="4"/>
  <c r="AR34" i="4"/>
  <c r="AP34" i="4"/>
  <c r="AQ34" i="4" s="1"/>
  <c r="AS34" i="4" s="1"/>
  <c r="AW33" i="4"/>
  <c r="AV33" i="4" a="1"/>
  <c r="AV33" i="4"/>
  <c r="AU33" i="4" a="1"/>
  <c r="AU33" i="4"/>
  <c r="AT33" i="4"/>
  <c r="AR33" i="4"/>
  <c r="AP33" i="4"/>
  <c r="AQ33" i="4" s="1"/>
  <c r="AS33" i="4" s="1"/>
  <c r="AV32" i="4" a="1"/>
  <c r="AV32" i="4"/>
  <c r="AU32" i="4" a="1"/>
  <c r="AU32" i="4" s="1"/>
  <c r="AT32" i="4"/>
  <c r="AW32" i="4" s="1"/>
  <c r="AR32" i="4"/>
  <c r="AP32" i="4"/>
  <c r="AQ32" i="4" s="1"/>
  <c r="AS32" i="4" s="1"/>
  <c r="AW31" i="4"/>
  <c r="AV31" i="4" a="1"/>
  <c r="AV31" i="4" s="1"/>
  <c r="AU31" i="4" a="1"/>
  <c r="AU31" i="4"/>
  <c r="AT31" i="4"/>
  <c r="AR31" i="4"/>
  <c r="AQ31" i="4"/>
  <c r="AS31" i="4" s="1"/>
  <c r="AP31" i="4"/>
  <c r="AV30" i="4" a="1"/>
  <c r="AV30" i="4" s="1"/>
  <c r="AU30" i="4" a="1"/>
  <c r="AU30" i="4"/>
  <c r="AT30" i="4"/>
  <c r="AW30" i="4" s="1"/>
  <c r="AR30" i="4"/>
  <c r="AP30" i="4"/>
  <c r="AQ30" i="4" s="1"/>
  <c r="AS30" i="4" s="1"/>
  <c r="AV29" i="4" a="1"/>
  <c r="AV29" i="4" s="1"/>
  <c r="AU29" i="4" a="1"/>
  <c r="AU29" i="4" s="1"/>
  <c r="AW29" i="4" s="1"/>
  <c r="AT29" i="4"/>
  <c r="AR29" i="4"/>
  <c r="AP29" i="4"/>
  <c r="AQ29" i="4" s="1"/>
  <c r="AS29" i="4" s="1"/>
  <c r="AV28" i="4" a="1"/>
  <c r="AV28" i="4" s="1"/>
  <c r="AU28" i="4" a="1"/>
  <c r="AU28" i="4" s="1"/>
  <c r="AT28" i="4"/>
  <c r="AW28" i="4" s="1"/>
  <c r="AR28" i="4"/>
  <c r="AP28" i="4"/>
  <c r="AQ28" i="4" s="1"/>
  <c r="AS28" i="4" s="1"/>
  <c r="AV27" i="4" a="1"/>
  <c r="AV27" i="4" s="1"/>
  <c r="AU27" i="4" a="1"/>
  <c r="AU27" i="4"/>
  <c r="AT27" i="4"/>
  <c r="AW27" i="4" s="1"/>
  <c r="AR27" i="4"/>
  <c r="AP27" i="4"/>
  <c r="AQ27" i="4" s="1"/>
  <c r="AS27" i="4" s="1"/>
  <c r="AV26" i="4" a="1"/>
  <c r="AV26" i="4"/>
  <c r="AU26" i="4" a="1"/>
  <c r="AU26" i="4" s="1"/>
  <c r="AT26" i="4"/>
  <c r="AW26" i="4" s="1"/>
  <c r="AR26" i="4"/>
  <c r="AP26" i="4"/>
  <c r="AQ26" i="4" s="1"/>
  <c r="AS26" i="4" s="1"/>
  <c r="AV25" i="4" a="1"/>
  <c r="AV25" i="4"/>
  <c r="AU25" i="4" a="1"/>
  <c r="AU25" i="4"/>
  <c r="AT25" i="4"/>
  <c r="AW25" i="4" s="1"/>
  <c r="AR25" i="4"/>
  <c r="AP25" i="4"/>
  <c r="AQ25" i="4" s="1"/>
  <c r="AS25" i="4" s="1"/>
  <c r="AV24" i="4" a="1"/>
  <c r="AV24" i="4" s="1"/>
  <c r="AU24" i="4" a="1"/>
  <c r="AU24" i="4" s="1"/>
  <c r="AT24" i="4"/>
  <c r="AR24" i="4"/>
  <c r="AQ24" i="4"/>
  <c r="AS24" i="4" s="1"/>
  <c r="AP24" i="4"/>
  <c r="AV23" i="4" a="1"/>
  <c r="AV23" i="4"/>
  <c r="AU23" i="4" a="1"/>
  <c r="AU23" i="4" s="1"/>
  <c r="AW23" i="4" s="1"/>
  <c r="AT23" i="4"/>
  <c r="AR23" i="4"/>
  <c r="AP23" i="4"/>
  <c r="AQ23" i="4" s="1"/>
  <c r="AS23" i="4" s="1"/>
  <c r="AV22" i="4" a="1"/>
  <c r="AV22" i="4" s="1"/>
  <c r="AU22" i="4" a="1"/>
  <c r="AU22" i="4" s="1"/>
  <c r="AT22" i="4"/>
  <c r="AW22" i="4" s="1"/>
  <c r="AR22" i="4"/>
  <c r="AP22" i="4"/>
  <c r="AQ22" i="4" s="1"/>
  <c r="AS22" i="4" s="1"/>
  <c r="AV21" i="4" a="1"/>
  <c r="AV21" i="4" s="1"/>
  <c r="AU21" i="4" a="1"/>
  <c r="AU21" i="4" s="1"/>
  <c r="AT21" i="4"/>
  <c r="AR21" i="4"/>
  <c r="AQ21" i="4"/>
  <c r="AS21" i="4" s="1"/>
  <c r="AP21" i="4"/>
  <c r="AV20" i="4" a="1"/>
  <c r="AV20" i="4"/>
  <c r="AU20" i="4" a="1"/>
  <c r="AU20" i="4" s="1"/>
  <c r="AW20" i="4" s="1"/>
  <c r="AT20" i="4"/>
  <c r="AR20" i="4"/>
  <c r="AP20" i="4"/>
  <c r="AQ20" i="4" s="1"/>
  <c r="AS20" i="4" s="1"/>
  <c r="AV19" i="4" a="1"/>
  <c r="AV19" i="4" s="1"/>
  <c r="AU19" i="4" a="1"/>
  <c r="AU19" i="4" s="1"/>
  <c r="AW19" i="4" s="1"/>
  <c r="AT19" i="4"/>
  <c r="AR19" i="4"/>
  <c r="AP19" i="4"/>
  <c r="AQ19" i="4" s="1"/>
  <c r="AS19" i="4" s="1"/>
  <c r="AV18" i="4" a="1"/>
  <c r="AV18" i="4"/>
  <c r="AU18" i="4" a="1"/>
  <c r="AU18" i="4" s="1"/>
  <c r="AT18" i="4"/>
  <c r="AW18" i="4" s="1"/>
  <c r="AR18" i="4"/>
  <c r="AP18" i="4"/>
  <c r="AQ18" i="4" s="1"/>
  <c r="AS18" i="4" s="1"/>
  <c r="AV17" i="4" a="1"/>
  <c r="AV17" i="4"/>
  <c r="AU17" i="4" a="1"/>
  <c r="AU17" i="4"/>
  <c r="AT17" i="4"/>
  <c r="AW17" i="4" s="1"/>
  <c r="AR17" i="4"/>
  <c r="AP17" i="4"/>
  <c r="AQ17" i="4" s="1"/>
  <c r="AS17" i="4" s="1"/>
  <c r="AV16" i="4" a="1"/>
  <c r="AV16" i="4" s="1"/>
  <c r="AU16" i="4" a="1"/>
  <c r="AU16" i="4" s="1"/>
  <c r="AT16" i="4"/>
  <c r="AR16" i="4"/>
  <c r="AP16" i="4"/>
  <c r="AQ16" i="4" s="1"/>
  <c r="AS16" i="4" s="1"/>
  <c r="AV15" i="4" a="1"/>
  <c r="AV15" i="4" s="1"/>
  <c r="AU15" i="4" a="1"/>
  <c r="AU15" i="4"/>
  <c r="AT15" i="4"/>
  <c r="AW15" i="4" s="1"/>
  <c r="AR15" i="4"/>
  <c r="AP15" i="4"/>
  <c r="AQ15" i="4" s="1"/>
  <c r="AS15" i="4" s="1"/>
  <c r="AW14" i="4"/>
  <c r="AV14" i="4" a="1"/>
  <c r="AV14" i="4"/>
  <c r="AU14" i="4" a="1"/>
  <c r="AU14" i="4"/>
  <c r="AT14" i="4"/>
  <c r="AR14" i="4"/>
  <c r="AP14" i="4"/>
  <c r="AQ14" i="4" s="1"/>
  <c r="AS14" i="4" s="1"/>
  <c r="AV13" i="4" a="1"/>
  <c r="AV13" i="4" s="1"/>
  <c r="AU13" i="4" a="1"/>
  <c r="AU13" i="4"/>
  <c r="AT13" i="4"/>
  <c r="AW13" i="4" s="1"/>
  <c r="AR13" i="4"/>
  <c r="AP13" i="4"/>
  <c r="AQ13" i="4" s="1"/>
  <c r="AS13" i="4" s="1"/>
  <c r="AV12" i="4" a="1"/>
  <c r="AV12" i="4"/>
  <c r="AU12" i="4" a="1"/>
  <c r="AU12" i="4" s="1"/>
  <c r="AW12" i="4" s="1"/>
  <c r="AT12" i="4"/>
  <c r="AR12" i="4"/>
  <c r="AP12" i="4"/>
  <c r="AQ12" i="4" s="1"/>
  <c r="AS12" i="4" s="1"/>
  <c r="AV11" i="4" a="1"/>
  <c r="AV11" i="4" s="1"/>
  <c r="AU11" i="4" a="1"/>
  <c r="AU11" i="4" s="1"/>
  <c r="AW11" i="4" s="1"/>
  <c r="AT11" i="4"/>
  <c r="AR11" i="4"/>
  <c r="AQ11" i="4"/>
  <c r="AS11" i="4" s="1"/>
  <c r="AP11" i="4"/>
  <c r="AV10" i="4" a="1"/>
  <c r="AV10" i="4" s="1"/>
  <c r="AU10" i="4" a="1"/>
  <c r="AU10" i="4" s="1"/>
  <c r="AW10" i="4" s="1"/>
  <c r="AT10" i="4"/>
  <c r="AR10" i="4"/>
  <c r="AP10" i="4"/>
  <c r="AQ10" i="4" s="1"/>
  <c r="AS10" i="4" s="1"/>
  <c r="AV9" i="4" a="1"/>
  <c r="AV9" i="4" s="1"/>
  <c r="AU9" i="4" a="1"/>
  <c r="AU9" i="4" s="1"/>
  <c r="AT9" i="4"/>
  <c r="AW9" i="4" s="1"/>
  <c r="AR9" i="4"/>
  <c r="AP9" i="4"/>
  <c r="AQ9" i="4" s="1"/>
  <c r="AS9" i="4" s="1"/>
  <c r="AV8" i="4" a="1"/>
  <c r="AV8" i="4" s="1"/>
  <c r="AU8" i="4" a="1"/>
  <c r="AU8" i="4" s="1"/>
  <c r="AT8" i="4"/>
  <c r="AS8" i="4"/>
  <c r="AR8" i="4"/>
  <c r="AQ8" i="4"/>
  <c r="AP8" i="4"/>
  <c r="AV7" i="4" a="1"/>
  <c r="AV7" i="4" s="1"/>
  <c r="AU7" i="4" a="1"/>
  <c r="AU7" i="4"/>
  <c r="AT7" i="4"/>
  <c r="AW7" i="4" s="1"/>
  <c r="AR7" i="4"/>
  <c r="AP7" i="4"/>
  <c r="AQ7" i="4" s="1"/>
  <c r="AS7" i="4" s="1"/>
  <c r="AV6" i="4" a="1"/>
  <c r="AV6" i="4" s="1"/>
  <c r="AU6" i="4" a="1"/>
  <c r="AU6" i="4"/>
  <c r="AT6" i="4"/>
  <c r="AW6" i="4" s="1"/>
  <c r="AR6" i="4"/>
  <c r="AP6" i="4"/>
  <c r="AQ6" i="4" s="1"/>
  <c r="AS6" i="4" s="1"/>
  <c r="AV5" i="4" a="1"/>
  <c r="AV5" i="4" s="1"/>
  <c r="AU5" i="4" a="1"/>
  <c r="AU5" i="4" s="1"/>
  <c r="AT5" i="4"/>
  <c r="AW5" i="4" s="1"/>
  <c r="AR5" i="4"/>
  <c r="AP5" i="4"/>
  <c r="AQ5" i="4" s="1"/>
  <c r="AS5" i="4" s="1"/>
  <c r="AO2" i="4"/>
  <c r="AN2" i="4"/>
  <c r="AM2" i="4"/>
  <c r="AL2" i="4"/>
  <c r="AK2" i="4"/>
  <c r="AJ2" i="4"/>
  <c r="AI2" i="4"/>
  <c r="AP2" i="4" s="1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I2" i="4"/>
  <c r="D2" i="4"/>
  <c r="AV208" i="1" a="1"/>
  <c r="AV208" i="1" s="1"/>
  <c r="AU208" i="1" a="1"/>
  <c r="AU208" i="1"/>
  <c r="AT208" i="1"/>
  <c r="AW208" i="1" s="1"/>
  <c r="AR208" i="1"/>
  <c r="AP208" i="1"/>
  <c r="AQ208" i="1" s="1"/>
  <c r="AS208" i="1" s="1"/>
  <c r="AV207" i="1" a="1"/>
  <c r="AV207" i="1" s="1"/>
  <c r="AU207" i="1" a="1"/>
  <c r="AU207" i="1"/>
  <c r="AT207" i="1"/>
  <c r="AW207" i="1" s="1"/>
  <c r="AR207" i="1"/>
  <c r="AP207" i="1"/>
  <c r="AQ207" i="1" s="1"/>
  <c r="AS207" i="1" s="1"/>
  <c r="AV206" i="1" a="1"/>
  <c r="AV206" i="1" s="1"/>
  <c r="AU206" i="1" a="1"/>
  <c r="AU206" i="1" s="1"/>
  <c r="AT206" i="1"/>
  <c r="AR206" i="1"/>
  <c r="AP206" i="1"/>
  <c r="AQ206" i="1" s="1"/>
  <c r="AS206" i="1" s="1"/>
  <c r="AV205" i="1" a="1"/>
  <c r="AV205" i="1"/>
  <c r="AU205" i="1" a="1"/>
  <c r="AU205" i="1"/>
  <c r="AT205" i="1"/>
  <c r="AW205" i="1" s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/>
  <c r="AU203" i="1" a="1"/>
  <c r="AU203" i="1" s="1"/>
  <c r="AT203" i="1"/>
  <c r="AW203" i="1" s="1"/>
  <c r="AR203" i="1"/>
  <c r="AP203" i="1"/>
  <c r="AQ203" i="1" s="1"/>
  <c r="AS203" i="1" s="1"/>
  <c r="AW202" i="1"/>
  <c r="AV202" i="1" a="1"/>
  <c r="AV202" i="1" s="1"/>
  <c r="AU202" i="1" a="1"/>
  <c r="AU202" i="1"/>
  <c r="AT202" i="1"/>
  <c r="AR202" i="1"/>
  <c r="AP202" i="1"/>
  <c r="AQ202" i="1" s="1"/>
  <c r="AS202" i="1" s="1"/>
  <c r="AV201" i="1" a="1"/>
  <c r="AV201" i="1"/>
  <c r="AU201" i="1" a="1"/>
  <c r="AU201" i="1" s="1"/>
  <c r="AT201" i="1"/>
  <c r="AR201" i="1"/>
  <c r="AP201" i="1"/>
  <c r="AQ201" i="1" s="1"/>
  <c r="AS201" i="1" s="1"/>
  <c r="AW200" i="1"/>
  <c r="AV200" i="1" a="1"/>
  <c r="AV200" i="1" s="1"/>
  <c r="AU200" i="1" a="1"/>
  <c r="AU200" i="1"/>
  <c r="AT200" i="1"/>
  <c r="AR200" i="1"/>
  <c r="AQ200" i="1"/>
  <c r="AS200" i="1" s="1"/>
  <c r="AP200" i="1"/>
  <c r="AV199" i="1" a="1"/>
  <c r="AV199" i="1" s="1"/>
  <c r="AU199" i="1" a="1"/>
  <c r="AU199" i="1"/>
  <c r="AT199" i="1"/>
  <c r="AW199" i="1" s="1"/>
  <c r="AR199" i="1"/>
  <c r="AP199" i="1"/>
  <c r="AQ199" i="1" s="1"/>
  <c r="AS199" i="1" s="1"/>
  <c r="AV198" i="1" a="1"/>
  <c r="AV198" i="1" s="1"/>
  <c r="AU198" i="1" a="1"/>
  <c r="AU198" i="1" s="1"/>
  <c r="AW198" i="1" s="1"/>
  <c r="AT198" i="1"/>
  <c r="AR198" i="1"/>
  <c r="AP198" i="1"/>
  <c r="AQ198" i="1" s="1"/>
  <c r="AS198" i="1" s="1"/>
  <c r="AV197" i="1" a="1"/>
  <c r="AV197" i="1" s="1"/>
  <c r="AU197" i="1" a="1"/>
  <c r="AU197" i="1" s="1"/>
  <c r="AT197" i="1"/>
  <c r="AR197" i="1"/>
  <c r="AP197" i="1"/>
  <c r="AQ197" i="1" s="1"/>
  <c r="AS197" i="1" s="1"/>
  <c r="AV196" i="1" a="1"/>
  <c r="AV196" i="1" s="1"/>
  <c r="AU196" i="1" a="1"/>
  <c r="AU196" i="1"/>
  <c r="AT196" i="1"/>
  <c r="AW196" i="1" s="1"/>
  <c r="AR196" i="1"/>
  <c r="AP196" i="1"/>
  <c r="AQ196" i="1" s="1"/>
  <c r="AS196" i="1" s="1"/>
  <c r="AV195" i="1" a="1"/>
  <c r="AV195" i="1"/>
  <c r="AU195" i="1" a="1"/>
  <c r="AU195" i="1" s="1"/>
  <c r="AT195" i="1"/>
  <c r="AR195" i="1"/>
  <c r="AP195" i="1"/>
  <c r="AQ195" i="1" s="1"/>
  <c r="AS195" i="1" s="1"/>
  <c r="AV194" i="1" a="1"/>
  <c r="AV194" i="1"/>
  <c r="AU194" i="1" a="1"/>
  <c r="AU194" i="1"/>
  <c r="AT194" i="1"/>
  <c r="AW194" i="1" s="1"/>
  <c r="AR194" i="1"/>
  <c r="AP194" i="1"/>
  <c r="AQ194" i="1" s="1"/>
  <c r="AS194" i="1" s="1"/>
  <c r="AV193" i="1" a="1"/>
  <c r="AV193" i="1" s="1"/>
  <c r="AU193" i="1" a="1"/>
  <c r="AU193" i="1" s="1"/>
  <c r="AT193" i="1"/>
  <c r="AW193" i="1" s="1"/>
  <c r="AR193" i="1"/>
  <c r="AQ193" i="1"/>
  <c r="AS193" i="1" s="1"/>
  <c r="AP193" i="1"/>
  <c r="AV192" i="1" a="1"/>
  <c r="AV192" i="1"/>
  <c r="AU192" i="1" a="1"/>
  <c r="AU192" i="1" s="1"/>
  <c r="AW192" i="1" s="1"/>
  <c r="AT192" i="1"/>
  <c r="AR192" i="1"/>
  <c r="AP192" i="1"/>
  <c r="AQ192" i="1" s="1"/>
  <c r="AS192" i="1" s="1"/>
  <c r="AV191" i="1" a="1"/>
  <c r="AV191" i="1" s="1"/>
  <c r="AU191" i="1" a="1"/>
  <c r="AU191" i="1" s="1"/>
  <c r="AT191" i="1"/>
  <c r="AR191" i="1"/>
  <c r="AP191" i="1"/>
  <c r="AQ191" i="1" s="1"/>
  <c r="AS191" i="1" s="1"/>
  <c r="AV190" i="1" a="1"/>
  <c r="AV190" i="1" s="1"/>
  <c r="AU190" i="1" a="1"/>
  <c r="AU190" i="1" s="1"/>
  <c r="AT190" i="1"/>
  <c r="AR190" i="1"/>
  <c r="AQ190" i="1"/>
  <c r="AS190" i="1" s="1"/>
  <c r="AP190" i="1"/>
  <c r="AV189" i="1" a="1"/>
  <c r="AV189" i="1"/>
  <c r="AU189" i="1" a="1"/>
  <c r="AU189" i="1" s="1"/>
  <c r="AW189" i="1" s="1"/>
  <c r="AT189" i="1"/>
  <c r="AR189" i="1"/>
  <c r="AP189" i="1"/>
  <c r="AQ189" i="1" s="1"/>
  <c r="AS189" i="1" s="1"/>
  <c r="AV188" i="1" a="1"/>
  <c r="AV188" i="1" s="1"/>
  <c r="AU188" i="1" a="1"/>
  <c r="AU188" i="1" s="1"/>
  <c r="AW188" i="1" s="1"/>
  <c r="AT188" i="1"/>
  <c r="AR188" i="1"/>
  <c r="AP188" i="1"/>
  <c r="AQ188" i="1" s="1"/>
  <c r="AS188" i="1" s="1"/>
  <c r="AV187" i="1" a="1"/>
  <c r="AV187" i="1"/>
  <c r="AU187" i="1" a="1"/>
  <c r="AU187" i="1" s="1"/>
  <c r="AT187" i="1"/>
  <c r="AW187" i="1" s="1"/>
  <c r="AR187" i="1"/>
  <c r="AP187" i="1"/>
  <c r="AQ187" i="1" s="1"/>
  <c r="AS187" i="1" s="1"/>
  <c r="AV186" i="1" a="1"/>
  <c r="AV186" i="1"/>
  <c r="AU186" i="1" a="1"/>
  <c r="AU186" i="1"/>
  <c r="AT186" i="1"/>
  <c r="AW186" i="1" s="1"/>
  <c r="AR186" i="1"/>
  <c r="AP186" i="1"/>
  <c r="AQ186" i="1" s="1"/>
  <c r="AS186" i="1" s="1"/>
  <c r="AV185" i="1" a="1"/>
  <c r="AV185" i="1" s="1"/>
  <c r="AU185" i="1" a="1"/>
  <c r="AU185" i="1" s="1"/>
  <c r="AT185" i="1"/>
  <c r="AW185" i="1" s="1"/>
  <c r="AR185" i="1"/>
  <c r="AP185" i="1"/>
  <c r="AQ185" i="1" s="1"/>
  <c r="AS185" i="1" s="1"/>
  <c r="AV184" i="1" a="1"/>
  <c r="AV184" i="1" s="1"/>
  <c r="AU184" i="1" a="1"/>
  <c r="AU184" i="1"/>
  <c r="AT184" i="1"/>
  <c r="AW184" i="1" s="1"/>
  <c r="AR184" i="1"/>
  <c r="AP184" i="1"/>
  <c r="AQ184" i="1" s="1"/>
  <c r="AS184" i="1" s="1"/>
  <c r="AV183" i="1" a="1"/>
  <c r="AV183" i="1"/>
  <c r="AU183" i="1" a="1"/>
  <c r="AU183" i="1" s="1"/>
  <c r="AW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W182" i="1" s="1"/>
  <c r="AR182" i="1"/>
  <c r="AP182" i="1"/>
  <c r="AQ182" i="1" s="1"/>
  <c r="AS182" i="1" s="1"/>
  <c r="AV181" i="1" a="1"/>
  <c r="AV181" i="1"/>
  <c r="AU181" i="1" a="1"/>
  <c r="AU181" i="1" s="1"/>
  <c r="AW181" i="1" s="1"/>
  <c r="AT181" i="1"/>
  <c r="AR181" i="1"/>
  <c r="AP181" i="1"/>
  <c r="AQ181" i="1" s="1"/>
  <c r="AS181" i="1" s="1"/>
  <c r="AV180" i="1" a="1"/>
  <c r="AV180" i="1" s="1"/>
  <c r="AU180" i="1" a="1"/>
  <c r="AU180" i="1" s="1"/>
  <c r="AW180" i="1" s="1"/>
  <c r="AT180" i="1"/>
  <c r="AR180" i="1"/>
  <c r="AQ180" i="1"/>
  <c r="AS180" i="1" s="1"/>
  <c r="AP180" i="1"/>
  <c r="AV179" i="1" a="1"/>
  <c r="AV179" i="1" s="1"/>
  <c r="AU179" i="1" a="1"/>
  <c r="AU179" i="1" s="1"/>
  <c r="AW179" i="1" s="1"/>
  <c r="AT179" i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S177" i="1"/>
  <c r="AR177" i="1"/>
  <c r="AQ177" i="1"/>
  <c r="AP177" i="1"/>
  <c r="AV176" i="1" a="1"/>
  <c r="AV176" i="1" s="1"/>
  <c r="AU176" i="1" a="1"/>
  <c r="AU176" i="1"/>
  <c r="AT176" i="1"/>
  <c r="AW176" i="1" s="1"/>
  <c r="AR176" i="1"/>
  <c r="AP176" i="1"/>
  <c r="AQ176" i="1" s="1"/>
  <c r="AS176" i="1" s="1"/>
  <c r="AV175" i="1" a="1"/>
  <c r="AV175" i="1" s="1"/>
  <c r="AU175" i="1" a="1"/>
  <c r="AU175" i="1"/>
  <c r="AT175" i="1"/>
  <c r="AW175" i="1" s="1"/>
  <c r="AR175" i="1"/>
  <c r="AP175" i="1"/>
  <c r="AQ175" i="1" s="1"/>
  <c r="AS175" i="1" s="1"/>
  <c r="AV174" i="1" a="1"/>
  <c r="AV174" i="1" s="1"/>
  <c r="AU174" i="1" a="1"/>
  <c r="AU174" i="1" s="1"/>
  <c r="AT174" i="1"/>
  <c r="AW174" i="1" s="1"/>
  <c r="AR174" i="1"/>
  <c r="AP174" i="1"/>
  <c r="AQ174" i="1" s="1"/>
  <c r="AS174" i="1" s="1"/>
  <c r="AV173" i="1" a="1"/>
  <c r="AV173" i="1"/>
  <c r="AU173" i="1" a="1"/>
  <c r="AU173" i="1" s="1"/>
  <c r="AT173" i="1"/>
  <c r="AR173" i="1"/>
  <c r="AP173" i="1"/>
  <c r="AQ173" i="1" s="1"/>
  <c r="AS173" i="1" s="1"/>
  <c r="AV172" i="1" a="1"/>
  <c r="AV172" i="1" s="1"/>
  <c r="AU172" i="1" a="1"/>
  <c r="AU172" i="1" s="1"/>
  <c r="AT172" i="1"/>
  <c r="AW172" i="1" s="1"/>
  <c r="AR172" i="1"/>
  <c r="AP172" i="1"/>
  <c r="AQ172" i="1" s="1"/>
  <c r="AS172" i="1" s="1"/>
  <c r="AV171" i="1" a="1"/>
  <c r="AV171" i="1"/>
  <c r="AU171" i="1" a="1"/>
  <c r="AU171" i="1" s="1"/>
  <c r="AT171" i="1"/>
  <c r="AW171" i="1" s="1"/>
  <c r="AR171" i="1"/>
  <c r="AP171" i="1"/>
  <c r="AQ171" i="1" s="1"/>
  <c r="AS171" i="1" s="1"/>
  <c r="AV170" i="1" a="1"/>
  <c r="AV170" i="1" s="1"/>
  <c r="AU170" i="1" a="1"/>
  <c r="AU170" i="1"/>
  <c r="AT170" i="1"/>
  <c r="AW170" i="1" s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P169" i="1"/>
  <c r="AQ169" i="1" s="1"/>
  <c r="AS169" i="1" s="1"/>
  <c r="AW168" i="1"/>
  <c r="AV168" i="1" a="1"/>
  <c r="AV168" i="1" s="1"/>
  <c r="AU168" i="1" a="1"/>
  <c r="AU168" i="1"/>
  <c r="AT168" i="1"/>
  <c r="AR168" i="1"/>
  <c r="AQ168" i="1"/>
  <c r="AS168" i="1" s="1"/>
  <c r="AP168" i="1"/>
  <c r="AV167" i="1" a="1"/>
  <c r="AV167" i="1" s="1"/>
  <c r="AU167" i="1" a="1"/>
  <c r="AU167" i="1"/>
  <c r="AT167" i="1"/>
  <c r="AW167" i="1" s="1"/>
  <c r="AR167" i="1"/>
  <c r="AP167" i="1"/>
  <c r="AQ167" i="1" s="1"/>
  <c r="AS167" i="1" s="1"/>
  <c r="AV166" i="1" a="1"/>
  <c r="AV166" i="1" s="1"/>
  <c r="AU166" i="1" a="1"/>
  <c r="AU166" i="1" s="1"/>
  <c r="AW166" i="1" s="1"/>
  <c r="AT166" i="1"/>
  <c r="AR166" i="1"/>
  <c r="AP166" i="1"/>
  <c r="AQ166" i="1" s="1"/>
  <c r="AS166" i="1" s="1"/>
  <c r="AV165" i="1" a="1"/>
  <c r="AV165" i="1" s="1"/>
  <c r="AU165" i="1" a="1"/>
  <c r="AU165" i="1" s="1"/>
  <c r="AT165" i="1"/>
  <c r="AW165" i="1" s="1"/>
  <c r="AR165" i="1"/>
  <c r="AP165" i="1"/>
  <c r="AQ165" i="1" s="1"/>
  <c r="AS165" i="1" s="1"/>
  <c r="AV164" i="1" a="1"/>
  <c r="AV164" i="1" s="1"/>
  <c r="AU164" i="1" a="1"/>
  <c r="AU164" i="1"/>
  <c r="AT164" i="1"/>
  <c r="AW164" i="1" s="1"/>
  <c r="AR164" i="1"/>
  <c r="AP164" i="1"/>
  <c r="AQ164" i="1" s="1"/>
  <c r="AS164" i="1" s="1"/>
  <c r="AV163" i="1" a="1"/>
  <c r="AV163" i="1"/>
  <c r="AU163" i="1" a="1"/>
  <c r="AU163" i="1" s="1"/>
  <c r="AT163" i="1"/>
  <c r="AW163" i="1" s="1"/>
  <c r="AR163" i="1"/>
  <c r="AP163" i="1"/>
  <c r="AQ163" i="1" s="1"/>
  <c r="AS163" i="1" s="1"/>
  <c r="AV162" i="1" a="1"/>
  <c r="AV162" i="1"/>
  <c r="AU162" i="1" a="1"/>
  <c r="AU162" i="1"/>
  <c r="AT162" i="1"/>
  <c r="AW162" i="1" s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Q161" i="1"/>
  <c r="AS161" i="1" s="1"/>
  <c r="AP161" i="1"/>
  <c r="AV160" i="1" a="1"/>
  <c r="AV160" i="1" s="1"/>
  <c r="AU160" i="1" a="1"/>
  <c r="AU160" i="1" s="1"/>
  <c r="AT160" i="1"/>
  <c r="AW160" i="1" s="1"/>
  <c r="AR160" i="1"/>
  <c r="AP160" i="1"/>
  <c r="AQ160" i="1" s="1"/>
  <c r="AS160" i="1" s="1"/>
  <c r="AV159" i="1" a="1"/>
  <c r="AV159" i="1" s="1"/>
  <c r="AU159" i="1" a="1"/>
  <c r="AU159" i="1" s="1"/>
  <c r="AT159" i="1"/>
  <c r="AR159" i="1"/>
  <c r="AP159" i="1"/>
  <c r="AQ159" i="1" s="1"/>
  <c r="AS159" i="1" s="1"/>
  <c r="AV158" i="1" a="1"/>
  <c r="AV158" i="1" s="1"/>
  <c r="AU158" i="1" a="1"/>
  <c r="AU158" i="1" s="1"/>
  <c r="AT158" i="1"/>
  <c r="AR158" i="1"/>
  <c r="AQ158" i="1"/>
  <c r="AS158" i="1" s="1"/>
  <c r="AP158" i="1"/>
  <c r="AV157" i="1" a="1"/>
  <c r="AV157" i="1"/>
  <c r="AU157" i="1" a="1"/>
  <c r="AU157" i="1" s="1"/>
  <c r="AW157" i="1" s="1"/>
  <c r="AT157" i="1"/>
  <c r="AR157" i="1"/>
  <c r="AP157" i="1"/>
  <c r="AQ157" i="1" s="1"/>
  <c r="AS157" i="1" s="1"/>
  <c r="AV156" i="1" a="1"/>
  <c r="AV156" i="1" s="1"/>
  <c r="AU156" i="1" a="1"/>
  <c r="AU156" i="1" s="1"/>
  <c r="AW156" i="1" s="1"/>
  <c r="AT156" i="1"/>
  <c r="AR156" i="1"/>
  <c r="AP156" i="1"/>
  <c r="AQ156" i="1" s="1"/>
  <c r="AS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W154" i="1" s="1"/>
  <c r="AR154" i="1"/>
  <c r="AP154" i="1"/>
  <c r="AQ154" i="1" s="1"/>
  <c r="AS154" i="1" s="1"/>
  <c r="AV153" i="1" a="1"/>
  <c r="AV153" i="1" s="1"/>
  <c r="AU153" i="1" a="1"/>
  <c r="AU153" i="1" s="1"/>
  <c r="AT153" i="1"/>
  <c r="AW153" i="1" s="1"/>
  <c r="AR153" i="1"/>
  <c r="AP153" i="1"/>
  <c r="AQ153" i="1" s="1"/>
  <c r="AS153" i="1" s="1"/>
  <c r="AV152" i="1" a="1"/>
  <c r="AV152" i="1" s="1"/>
  <c r="AU152" i="1" a="1"/>
  <c r="AU152" i="1"/>
  <c r="AT152" i="1"/>
  <c r="AW152" i="1" s="1"/>
  <c r="AR152" i="1"/>
  <c r="AP152" i="1"/>
  <c r="AQ152" i="1" s="1"/>
  <c r="AS152" i="1" s="1"/>
  <c r="AV151" i="1" a="1"/>
  <c r="AV151" i="1"/>
  <c r="AU151" i="1" a="1"/>
  <c r="AU151" i="1" s="1"/>
  <c r="AW151" i="1" s="1"/>
  <c r="AT151" i="1"/>
  <c r="AR151" i="1"/>
  <c r="AP151" i="1"/>
  <c r="AQ151" i="1" s="1"/>
  <c r="AS151" i="1" s="1"/>
  <c r="AV150" i="1" a="1"/>
  <c r="AV150" i="1" s="1"/>
  <c r="AU150" i="1" a="1"/>
  <c r="AU150" i="1" s="1"/>
  <c r="AT150" i="1"/>
  <c r="AR150" i="1"/>
  <c r="AP150" i="1"/>
  <c r="AQ150" i="1" s="1"/>
  <c r="AS150" i="1" s="1"/>
  <c r="AV149" i="1" a="1"/>
  <c r="AV149" i="1"/>
  <c r="AU149" i="1" a="1"/>
  <c r="AU149" i="1" s="1"/>
  <c r="AW149" i="1" s="1"/>
  <c r="AT149" i="1"/>
  <c r="AR149" i="1"/>
  <c r="AP149" i="1"/>
  <c r="AQ149" i="1" s="1"/>
  <c r="AS149" i="1" s="1"/>
  <c r="AV148" i="1" a="1"/>
  <c r="AV148" i="1" s="1"/>
  <c r="AU148" i="1" a="1"/>
  <c r="AU148" i="1" s="1"/>
  <c r="AW148" i="1" s="1"/>
  <c r="AT148" i="1"/>
  <c r="AR148" i="1"/>
  <c r="AP148" i="1"/>
  <c r="AQ148" i="1" s="1"/>
  <c r="AS148" i="1" s="1"/>
  <c r="AV147" i="1" a="1"/>
  <c r="AV147" i="1" s="1"/>
  <c r="AU147" i="1" a="1"/>
  <c r="AU147" i="1" s="1"/>
  <c r="AW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W146" i="1" s="1"/>
  <c r="AR146" i="1"/>
  <c r="AP146" i="1"/>
  <c r="AQ146" i="1" s="1"/>
  <c r="AS146" i="1" s="1"/>
  <c r="AV145" i="1" a="1"/>
  <c r="AV145" i="1" s="1"/>
  <c r="AU145" i="1" a="1"/>
  <c r="AU145" i="1" s="1"/>
  <c r="AT145" i="1"/>
  <c r="AW145" i="1" s="1"/>
  <c r="AS145" i="1"/>
  <c r="AR145" i="1"/>
  <c r="AQ145" i="1"/>
  <c r="AP145" i="1"/>
  <c r="AV144" i="1" a="1"/>
  <c r="AV144" i="1" s="1"/>
  <c r="AU144" i="1" a="1"/>
  <c r="AU144" i="1"/>
  <c r="AT144" i="1"/>
  <c r="AW144" i="1" s="1"/>
  <c r="AR144" i="1"/>
  <c r="AP144" i="1"/>
  <c r="AQ144" i="1" s="1"/>
  <c r="AS144" i="1" s="1"/>
  <c r="AV143" i="1" a="1"/>
  <c r="AV143" i="1" s="1"/>
  <c r="AU143" i="1" a="1"/>
  <c r="AU143" i="1"/>
  <c r="AT143" i="1"/>
  <c r="AW143" i="1" s="1"/>
  <c r="AR143" i="1"/>
  <c r="AP143" i="1"/>
  <c r="AQ143" i="1" s="1"/>
  <c r="AS143" i="1" s="1"/>
  <c r="AV142" i="1" a="1"/>
  <c r="AV142" i="1" s="1"/>
  <c r="AU142" i="1" a="1"/>
  <c r="AU142" i="1" s="1"/>
  <c r="AT142" i="1"/>
  <c r="AW142" i="1" s="1"/>
  <c r="AR142" i="1"/>
  <c r="AP142" i="1"/>
  <c r="AQ142" i="1" s="1"/>
  <c r="AS142" i="1" s="1"/>
  <c r="AV141" i="1" a="1"/>
  <c r="AV141" i="1"/>
  <c r="AU141" i="1" a="1"/>
  <c r="AU141" i="1" s="1"/>
  <c r="AT141" i="1"/>
  <c r="AW141" i="1" s="1"/>
  <c r="AR141" i="1"/>
  <c r="AP141" i="1"/>
  <c r="AQ141" i="1" s="1"/>
  <c r="AS141" i="1" s="1"/>
  <c r="AV140" i="1" a="1"/>
  <c r="AV140" i="1" s="1"/>
  <c r="AU140" i="1" a="1"/>
  <c r="AU140" i="1" s="1"/>
  <c r="AT140" i="1"/>
  <c r="AW140" i="1" s="1"/>
  <c r="AR140" i="1"/>
  <c r="AP140" i="1"/>
  <c r="AQ140" i="1" s="1"/>
  <c r="AS140" i="1" s="1"/>
  <c r="AV139" i="1" a="1"/>
  <c r="AV139" i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/>
  <c r="AT138" i="1"/>
  <c r="AW138" i="1" s="1"/>
  <c r="AR138" i="1"/>
  <c r="AP138" i="1"/>
  <c r="AQ138" i="1" s="1"/>
  <c r="AS138" i="1" s="1"/>
  <c r="AV137" i="1" a="1"/>
  <c r="AV137" i="1" s="1"/>
  <c r="AU137" i="1" a="1"/>
  <c r="AU137" i="1" s="1"/>
  <c r="AT137" i="1"/>
  <c r="AW137" i="1" s="1"/>
  <c r="AR137" i="1"/>
  <c r="AP137" i="1"/>
  <c r="AQ137" i="1" s="1"/>
  <c r="AS137" i="1" s="1"/>
  <c r="AV136" i="1" a="1"/>
  <c r="AV136" i="1" s="1"/>
  <c r="AU136" i="1" a="1"/>
  <c r="AU136" i="1" s="1"/>
  <c r="AW136" i="1" s="1"/>
  <c r="AT136" i="1"/>
  <c r="AR136" i="1"/>
  <c r="AP136" i="1"/>
  <c r="AQ136" i="1" s="1"/>
  <c r="AS136" i="1" s="1"/>
  <c r="AV135" i="1" a="1"/>
  <c r="AV135" i="1" s="1"/>
  <c r="AU135" i="1" a="1"/>
  <c r="AU135" i="1"/>
  <c r="AT135" i="1"/>
  <c r="AW135" i="1" s="1"/>
  <c r="AR135" i="1"/>
  <c r="AP135" i="1"/>
  <c r="AQ135" i="1" s="1"/>
  <c r="AS135" i="1" s="1"/>
  <c r="AV134" i="1" a="1"/>
  <c r="AV134" i="1" s="1"/>
  <c r="AU134" i="1" a="1"/>
  <c r="AU134" i="1" s="1"/>
  <c r="AW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/>
  <c r="AT132" i="1"/>
  <c r="AW132" i="1" s="1"/>
  <c r="AR132" i="1"/>
  <c r="AP132" i="1"/>
  <c r="AQ132" i="1" s="1"/>
  <c r="AS132" i="1" s="1"/>
  <c r="AV131" i="1" a="1"/>
  <c r="AV131" i="1"/>
  <c r="AU131" i="1" a="1"/>
  <c r="AU131" i="1" s="1"/>
  <c r="AT131" i="1"/>
  <c r="AW131" i="1" s="1"/>
  <c r="AR131" i="1"/>
  <c r="AP131" i="1"/>
  <c r="AQ131" i="1" s="1"/>
  <c r="AS131" i="1" s="1"/>
  <c r="AV130" i="1" a="1"/>
  <c r="AV130" i="1"/>
  <c r="AU130" i="1" a="1"/>
  <c r="AU130" i="1"/>
  <c r="AT130" i="1"/>
  <c r="AW130" i="1" s="1"/>
  <c r="AR130" i="1"/>
  <c r="AP130" i="1"/>
  <c r="AQ130" i="1" s="1"/>
  <c r="AS130" i="1" s="1"/>
  <c r="AV129" i="1" a="1"/>
  <c r="AV129" i="1" s="1"/>
  <c r="AU129" i="1" a="1"/>
  <c r="AU129" i="1" s="1"/>
  <c r="AT129" i="1"/>
  <c r="AW129" i="1" s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Q126" i="1"/>
  <c r="AS126" i="1" s="1"/>
  <c r="AP126" i="1"/>
  <c r="AV125" i="1" a="1"/>
  <c r="AV125" i="1" s="1"/>
  <c r="AU125" i="1" a="1"/>
  <c r="AU125" i="1" s="1"/>
  <c r="AW125" i="1" s="1"/>
  <c r="AT125" i="1"/>
  <c r="AR125" i="1"/>
  <c r="AP125" i="1"/>
  <c r="AQ125" i="1" s="1"/>
  <c r="AS125" i="1" s="1"/>
  <c r="AV124" i="1" a="1"/>
  <c r="AV124" i="1" s="1"/>
  <c r="AU124" i="1" a="1"/>
  <c r="AU124" i="1" s="1"/>
  <c r="AW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W123" i="1" s="1"/>
  <c r="AR123" i="1"/>
  <c r="AP123" i="1"/>
  <c r="AQ123" i="1" s="1"/>
  <c r="AS123" i="1" s="1"/>
  <c r="AV122" i="1" a="1"/>
  <c r="AV122" i="1"/>
  <c r="AU122" i="1" a="1"/>
  <c r="AU122" i="1"/>
  <c r="AT122" i="1"/>
  <c r="AW122" i="1" s="1"/>
  <c r="AR122" i="1"/>
  <c r="AP122" i="1"/>
  <c r="AQ122" i="1" s="1"/>
  <c r="AS122" i="1" s="1"/>
  <c r="AV121" i="1" a="1"/>
  <c r="AV121" i="1" s="1"/>
  <c r="AU121" i="1" a="1"/>
  <c r="AU121" i="1" s="1"/>
  <c r="AT121" i="1"/>
  <c r="AW121" i="1" s="1"/>
  <c r="AR121" i="1"/>
  <c r="AP121" i="1"/>
  <c r="AQ121" i="1" s="1"/>
  <c r="AS121" i="1" s="1"/>
  <c r="AV120" i="1" a="1"/>
  <c r="AV120" i="1" s="1"/>
  <c r="AU120" i="1" a="1"/>
  <c r="AU120" i="1"/>
  <c r="AT120" i="1"/>
  <c r="AW120" i="1" s="1"/>
  <c r="AR120" i="1"/>
  <c r="AP120" i="1"/>
  <c r="AQ120" i="1" s="1"/>
  <c r="AS120" i="1" s="1"/>
  <c r="AV119" i="1" a="1"/>
  <c r="AV119" i="1"/>
  <c r="AU119" i="1" a="1"/>
  <c r="AU119" i="1" s="1"/>
  <c r="AT119" i="1"/>
  <c r="AW119" i="1" s="1"/>
  <c r="AR119" i="1"/>
  <c r="AP119" i="1"/>
  <c r="AQ119" i="1" s="1"/>
  <c r="AS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/>
  <c r="AU117" i="1" a="1"/>
  <c r="AU117" i="1" s="1"/>
  <c r="AW117" i="1" s="1"/>
  <c r="AT117" i="1"/>
  <c r="AR117" i="1"/>
  <c r="AP117" i="1"/>
  <c r="AQ117" i="1" s="1"/>
  <c r="AS117" i="1" s="1"/>
  <c r="AV116" i="1" a="1"/>
  <c r="AV116" i="1" s="1"/>
  <c r="AU116" i="1" a="1"/>
  <c r="AU116" i="1" s="1"/>
  <c r="AW116" i="1" s="1"/>
  <c r="AT116" i="1"/>
  <c r="AR116" i="1"/>
  <c r="AP116" i="1"/>
  <c r="AQ116" i="1" s="1"/>
  <c r="AS116" i="1" s="1"/>
  <c r="AV115" i="1" a="1"/>
  <c r="AV115" i="1" s="1"/>
  <c r="AU115" i="1" a="1"/>
  <c r="AU115" i="1" s="1"/>
  <c r="AW115" i="1" s="1"/>
  <c r="AT115" i="1"/>
  <c r="AR115" i="1"/>
  <c r="AP115" i="1"/>
  <c r="AQ115" i="1" s="1"/>
  <c r="AS115" i="1" s="1"/>
  <c r="AV114" i="1" a="1"/>
  <c r="AV114" i="1" s="1"/>
  <c r="AU114" i="1" a="1"/>
  <c r="AU114" i="1" s="1"/>
  <c r="AT114" i="1"/>
  <c r="AR114" i="1"/>
  <c r="AP114" i="1"/>
  <c r="AQ114" i="1" s="1"/>
  <c r="AS114" i="1" s="1"/>
  <c r="AV113" i="1" a="1"/>
  <c r="AV113" i="1" s="1"/>
  <c r="AU113" i="1" a="1"/>
  <c r="AU113" i="1" s="1"/>
  <c r="AT113" i="1"/>
  <c r="AW113" i="1" s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/>
  <c r="AT111" i="1"/>
  <c r="AW111" i="1" s="1"/>
  <c r="AR111" i="1"/>
  <c r="AP111" i="1"/>
  <c r="AQ111" i="1" s="1"/>
  <c r="AS111" i="1" s="1"/>
  <c r="AV110" i="1" a="1"/>
  <c r="AV110" i="1" s="1"/>
  <c r="AU110" i="1" a="1"/>
  <c r="AU110" i="1" s="1"/>
  <c r="AT110" i="1"/>
  <c r="AW110" i="1" s="1"/>
  <c r="AR110" i="1"/>
  <c r="AP110" i="1"/>
  <c r="AQ110" i="1" s="1"/>
  <c r="AS110" i="1" s="1"/>
  <c r="AV109" i="1" a="1"/>
  <c r="AV109" i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W108" i="1" s="1"/>
  <c r="AR108" i="1"/>
  <c r="AP108" i="1"/>
  <c r="AQ108" i="1" s="1"/>
  <c r="AS108" i="1" s="1"/>
  <c r="AV107" i="1" a="1"/>
  <c r="AV107" i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/>
  <c r="AT106" i="1"/>
  <c r="AW106" i="1" s="1"/>
  <c r="AR106" i="1"/>
  <c r="AP106" i="1"/>
  <c r="AQ106" i="1" s="1"/>
  <c r="AS106" i="1" s="1"/>
  <c r="AV105" i="1" a="1"/>
  <c r="AV105" i="1" s="1"/>
  <c r="AU105" i="1" a="1"/>
  <c r="AU105" i="1" s="1"/>
  <c r="AT105" i="1"/>
  <c r="AW105" i="1" s="1"/>
  <c r="AR105" i="1"/>
  <c r="AP105" i="1"/>
  <c r="AQ105" i="1" s="1"/>
  <c r="AS105" i="1" s="1"/>
  <c r="AV104" i="1" a="1"/>
  <c r="AV104" i="1" s="1"/>
  <c r="AU104" i="1" a="1"/>
  <c r="AU104" i="1" s="1"/>
  <c r="AW104" i="1" s="1"/>
  <c r="AT104" i="1"/>
  <c r="AR104" i="1"/>
  <c r="AP104" i="1"/>
  <c r="AQ104" i="1" s="1"/>
  <c r="AS104" i="1" s="1"/>
  <c r="AV103" i="1" a="1"/>
  <c r="AV103" i="1" s="1"/>
  <c r="AU103" i="1" a="1"/>
  <c r="AU103" i="1"/>
  <c r="AT103" i="1"/>
  <c r="AW103" i="1" s="1"/>
  <c r="AR103" i="1"/>
  <c r="AP103" i="1"/>
  <c r="AQ103" i="1" s="1"/>
  <c r="AS103" i="1" s="1"/>
  <c r="AV102" i="1" a="1"/>
  <c r="AV102" i="1" s="1"/>
  <c r="AU102" i="1" a="1"/>
  <c r="AU102" i="1" s="1"/>
  <c r="AW102" i="1" s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W101" i="1" s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P100" i="1"/>
  <c r="AQ100" i="1" s="1"/>
  <c r="AS100" i="1" s="1"/>
  <c r="AV99" i="1" a="1"/>
  <c r="AV99" i="1"/>
  <c r="AU99" i="1" a="1"/>
  <c r="AU99" i="1" s="1"/>
  <c r="AT99" i="1"/>
  <c r="AW99" i="1" s="1"/>
  <c r="AR99" i="1"/>
  <c r="AP99" i="1"/>
  <c r="AQ99" i="1" s="1"/>
  <c r="AS99" i="1" s="1"/>
  <c r="AV98" i="1" a="1"/>
  <c r="AV98" i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W97" i="1" s="1"/>
  <c r="AR97" i="1"/>
  <c r="AP97" i="1"/>
  <c r="AQ97" i="1" s="1"/>
  <c r="AS97" i="1" s="1"/>
  <c r="AV96" i="1" a="1"/>
  <c r="AV96" i="1" s="1"/>
  <c r="AU96" i="1" a="1"/>
  <c r="AU96" i="1" s="1"/>
  <c r="AT96" i="1"/>
  <c r="AW96" i="1" s="1"/>
  <c r="AR96" i="1"/>
  <c r="AP96" i="1"/>
  <c r="AQ96" i="1" s="1"/>
  <c r="AS96" i="1" s="1"/>
  <c r="AV95" i="1" a="1"/>
  <c r="AV95" i="1" s="1"/>
  <c r="AU95" i="1" a="1"/>
  <c r="AU95" i="1" s="1"/>
  <c r="AT95" i="1"/>
  <c r="AW95" i="1" s="1"/>
  <c r="AR95" i="1"/>
  <c r="AP95" i="1"/>
  <c r="AQ95" i="1" s="1"/>
  <c r="AS95" i="1" s="1"/>
  <c r="AV94" i="1" a="1"/>
  <c r="AV94" i="1" s="1"/>
  <c r="AU94" i="1" a="1"/>
  <c r="AU94" i="1" s="1"/>
  <c r="AT94" i="1"/>
  <c r="AW94" i="1" s="1"/>
  <c r="AR94" i="1"/>
  <c r="AQ94" i="1"/>
  <c r="AS94" i="1" s="1"/>
  <c r="AP94" i="1"/>
  <c r="AV93" i="1" a="1"/>
  <c r="AV93" i="1"/>
  <c r="AU93" i="1" a="1"/>
  <c r="AU93" i="1" s="1"/>
  <c r="AW93" i="1" s="1"/>
  <c r="AT93" i="1"/>
  <c r="AR93" i="1"/>
  <c r="AP93" i="1"/>
  <c r="AQ93" i="1" s="1"/>
  <c r="AS93" i="1" s="1"/>
  <c r="AV92" i="1" a="1"/>
  <c r="AV92" i="1" s="1"/>
  <c r="AU92" i="1" a="1"/>
  <c r="AU92" i="1" s="1"/>
  <c r="AW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W91" i="1" s="1"/>
  <c r="AR91" i="1"/>
  <c r="AP91" i="1"/>
  <c r="AQ91" i="1" s="1"/>
  <c r="AS91" i="1" s="1"/>
  <c r="AV90" i="1" a="1"/>
  <c r="AV90" i="1"/>
  <c r="AU90" i="1" a="1"/>
  <c r="AU90" i="1" s="1"/>
  <c r="AT90" i="1"/>
  <c r="AW90" i="1" s="1"/>
  <c r="AR90" i="1"/>
  <c r="AP90" i="1"/>
  <c r="AQ90" i="1" s="1"/>
  <c r="AS90" i="1" s="1"/>
  <c r="AV89" i="1" a="1"/>
  <c r="AV89" i="1" s="1"/>
  <c r="AU89" i="1" a="1"/>
  <c r="AU89" i="1" s="1"/>
  <c r="AT89" i="1"/>
  <c r="AW89" i="1" s="1"/>
  <c r="AR89" i="1"/>
  <c r="AP89" i="1"/>
  <c r="AQ89" i="1" s="1"/>
  <c r="AS89" i="1" s="1"/>
  <c r="AV88" i="1" a="1"/>
  <c r="AV88" i="1" s="1"/>
  <c r="AU88" i="1" a="1"/>
  <c r="AU88" i="1"/>
  <c r="AT88" i="1"/>
  <c r="AW88" i="1" s="1"/>
  <c r="AR88" i="1"/>
  <c r="AP88" i="1"/>
  <c r="AQ88" i="1" s="1"/>
  <c r="AS88" i="1" s="1"/>
  <c r="AV87" i="1" a="1"/>
  <c r="AV87" i="1"/>
  <c r="AU87" i="1" a="1"/>
  <c r="AU87" i="1" s="1"/>
  <c r="AT87" i="1"/>
  <c r="AW87" i="1" s="1"/>
  <c r="AR87" i="1"/>
  <c r="AP87" i="1"/>
  <c r="AQ87" i="1" s="1"/>
  <c r="AS87" i="1" s="1"/>
  <c r="AV86" i="1" a="1"/>
  <c r="AV86" i="1" s="1"/>
  <c r="AU86" i="1" a="1"/>
  <c r="AU86" i="1" s="1"/>
  <c r="AT86" i="1"/>
  <c r="AW86" i="1" s="1"/>
  <c r="AR86" i="1"/>
  <c r="AP86" i="1"/>
  <c r="AQ86" i="1" s="1"/>
  <c r="AS86" i="1" s="1"/>
  <c r="AV85" i="1" a="1"/>
  <c r="AV85" i="1"/>
  <c r="AU85" i="1" a="1"/>
  <c r="AU85" i="1" s="1"/>
  <c r="AW85" i="1" s="1"/>
  <c r="AT85" i="1"/>
  <c r="AR85" i="1"/>
  <c r="AP85" i="1"/>
  <c r="AQ85" i="1" s="1"/>
  <c r="AS85" i="1" s="1"/>
  <c r="AV84" i="1" a="1"/>
  <c r="AV84" i="1" s="1"/>
  <c r="AU84" i="1" a="1"/>
  <c r="AU84" i="1" s="1"/>
  <c r="AT84" i="1"/>
  <c r="AW84" i="1" s="1"/>
  <c r="AR84" i="1"/>
  <c r="AP84" i="1"/>
  <c r="AQ84" i="1" s="1"/>
  <c r="AS84" i="1" s="1"/>
  <c r="AV83" i="1" a="1"/>
  <c r="AV83" i="1" s="1"/>
  <c r="AU83" i="1" a="1"/>
  <c r="AU83" i="1" s="1"/>
  <c r="AW83" i="1" s="1"/>
  <c r="AT83" i="1"/>
  <c r="AR83" i="1"/>
  <c r="AP83" i="1"/>
  <c r="AQ83" i="1" s="1"/>
  <c r="AS83" i="1" s="1"/>
  <c r="AV82" i="1" a="1"/>
  <c r="AV82" i="1" s="1"/>
  <c r="AU82" i="1" a="1"/>
  <c r="AU82" i="1" s="1"/>
  <c r="AT82" i="1"/>
  <c r="AR82" i="1"/>
  <c r="AP82" i="1"/>
  <c r="AQ82" i="1" s="1"/>
  <c r="AS82" i="1" s="1"/>
  <c r="AV81" i="1" a="1"/>
  <c r="AV81" i="1" s="1"/>
  <c r="AU81" i="1" a="1"/>
  <c r="AU81" i="1" s="1"/>
  <c r="AT81" i="1"/>
  <c r="AW81" i="1" s="1"/>
  <c r="AR81" i="1"/>
  <c r="AP81" i="1"/>
  <c r="AQ81" i="1" s="1"/>
  <c r="AS81" i="1" s="1"/>
  <c r="AV80" i="1" a="1"/>
  <c r="AV80" i="1" s="1"/>
  <c r="AU80" i="1" a="1"/>
  <c r="AU80" i="1"/>
  <c r="AT80" i="1"/>
  <c r="AW80" i="1" s="1"/>
  <c r="AR80" i="1"/>
  <c r="AP80" i="1"/>
  <c r="AQ80" i="1" s="1"/>
  <c r="AS80" i="1" s="1"/>
  <c r="AV79" i="1" a="1"/>
  <c r="AV79" i="1" s="1"/>
  <c r="AU79" i="1" a="1"/>
  <c r="AU79" i="1"/>
  <c r="AT79" i="1"/>
  <c r="AW79" i="1" s="1"/>
  <c r="AR79" i="1"/>
  <c r="AP79" i="1"/>
  <c r="AQ79" i="1" s="1"/>
  <c r="AS79" i="1" s="1"/>
  <c r="AV78" i="1" a="1"/>
  <c r="AV78" i="1" s="1"/>
  <c r="AU78" i="1" a="1"/>
  <c r="AU78" i="1" s="1"/>
  <c r="AT78" i="1"/>
  <c r="AW78" i="1" s="1"/>
  <c r="AR78" i="1"/>
  <c r="AP78" i="1"/>
  <c r="AQ78" i="1" s="1"/>
  <c r="AS78" i="1" s="1"/>
  <c r="AV77" i="1" a="1"/>
  <c r="AV77" i="1"/>
  <c r="AU77" i="1" a="1"/>
  <c r="AU77" i="1" s="1"/>
  <c r="AT77" i="1"/>
  <c r="AW77" i="1" s="1"/>
  <c r="AR77" i="1"/>
  <c r="AP77" i="1"/>
  <c r="AQ77" i="1" s="1"/>
  <c r="AS77" i="1" s="1"/>
  <c r="AV76" i="1" a="1"/>
  <c r="AV76" i="1" s="1"/>
  <c r="AU76" i="1" a="1"/>
  <c r="AU76" i="1" s="1"/>
  <c r="AT76" i="1"/>
  <c r="AW76" i="1" s="1"/>
  <c r="AR76" i="1"/>
  <c r="AP76" i="1"/>
  <c r="AQ76" i="1" s="1"/>
  <c r="AS76" i="1" s="1"/>
  <c r="AV75" i="1" a="1"/>
  <c r="AV75" i="1"/>
  <c r="AU75" i="1" a="1"/>
  <c r="AU75" i="1" s="1"/>
  <c r="AT75" i="1"/>
  <c r="AR75" i="1"/>
  <c r="AP75" i="1"/>
  <c r="AQ75" i="1" s="1"/>
  <c r="AS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W72" i="1" s="1"/>
  <c r="AT72" i="1"/>
  <c r="AR72" i="1"/>
  <c r="AP72" i="1"/>
  <c r="AQ72" i="1" s="1"/>
  <c r="AS72" i="1" s="1"/>
  <c r="AV71" i="1" a="1"/>
  <c r="AV71" i="1" s="1"/>
  <c r="AU71" i="1" a="1"/>
  <c r="AU71" i="1"/>
  <c r="AT71" i="1"/>
  <c r="AW71" i="1" s="1"/>
  <c r="AR71" i="1"/>
  <c r="AP71" i="1"/>
  <c r="AQ71" i="1" s="1"/>
  <c r="AS71" i="1" s="1"/>
  <c r="AV70" i="1" a="1"/>
  <c r="AV70" i="1" s="1"/>
  <c r="AU70" i="1" a="1"/>
  <c r="AU70" i="1" s="1"/>
  <c r="AW70" i="1" s="1"/>
  <c r="AT70" i="1"/>
  <c r="AR70" i="1"/>
  <c r="AP70" i="1"/>
  <c r="AQ70" i="1" s="1"/>
  <c r="AS70" i="1" s="1"/>
  <c r="AV69" i="1" a="1"/>
  <c r="AV69" i="1" s="1"/>
  <c r="AU69" i="1" a="1"/>
  <c r="AU69" i="1" s="1"/>
  <c r="AT69" i="1"/>
  <c r="AW69" i="1" s="1"/>
  <c r="AR69" i="1"/>
  <c r="AP69" i="1"/>
  <c r="AQ69" i="1" s="1"/>
  <c r="AS69" i="1" s="1"/>
  <c r="AV68" i="1" a="1"/>
  <c r="AV68" i="1" s="1"/>
  <c r="AU68" i="1" a="1"/>
  <c r="AU68" i="1"/>
  <c r="AT68" i="1"/>
  <c r="AW68" i="1" s="1"/>
  <c r="AR68" i="1"/>
  <c r="AP68" i="1"/>
  <c r="AQ68" i="1" s="1"/>
  <c r="AS68" i="1" s="1"/>
  <c r="AV67" i="1" a="1"/>
  <c r="AV67" i="1"/>
  <c r="AU67" i="1" a="1"/>
  <c r="AU67" i="1" s="1"/>
  <c r="AT67" i="1"/>
  <c r="AW67" i="1" s="1"/>
  <c r="AR67" i="1"/>
  <c r="AP67" i="1"/>
  <c r="AQ67" i="1" s="1"/>
  <c r="AS67" i="1" s="1"/>
  <c r="AV66" i="1" a="1"/>
  <c r="AV66" i="1"/>
  <c r="AU66" i="1" a="1"/>
  <c r="AU66" i="1"/>
  <c r="AT66" i="1"/>
  <c r="AW66" i="1" s="1"/>
  <c r="AR66" i="1"/>
  <c r="AP66" i="1"/>
  <c r="AQ66" i="1" s="1"/>
  <c r="AS66" i="1" s="1"/>
  <c r="AV65" i="1" a="1"/>
  <c r="AV65" i="1" s="1"/>
  <c r="AU65" i="1" a="1"/>
  <c r="AU65" i="1" s="1"/>
  <c r="AT65" i="1"/>
  <c r="AW65" i="1" s="1"/>
  <c r="AR65" i="1"/>
  <c r="AP65" i="1"/>
  <c r="AQ65" i="1" s="1"/>
  <c r="AS65" i="1" s="1"/>
  <c r="AV64" i="1" a="1"/>
  <c r="AV64" i="1" s="1"/>
  <c r="AU64" i="1" a="1"/>
  <c r="AU64" i="1" s="1"/>
  <c r="AT64" i="1"/>
  <c r="AW64" i="1" s="1"/>
  <c r="AR64" i="1"/>
  <c r="AP64" i="1"/>
  <c r="AQ64" i="1" s="1"/>
  <c r="AS64" i="1" s="1"/>
  <c r="AV63" i="1" a="1"/>
  <c r="AV63" i="1" s="1"/>
  <c r="AU63" i="1" a="1"/>
  <c r="AU63" i="1" s="1"/>
  <c r="AT63" i="1"/>
  <c r="AW63" i="1" s="1"/>
  <c r="AR63" i="1"/>
  <c r="AP63" i="1"/>
  <c r="AQ63" i="1" s="1"/>
  <c r="AS63" i="1" s="1"/>
  <c r="AV62" i="1" a="1"/>
  <c r="AV62" i="1" s="1"/>
  <c r="AU62" i="1" a="1"/>
  <c r="AU62" i="1" s="1"/>
  <c r="AT62" i="1"/>
  <c r="AW62" i="1" s="1"/>
  <c r="AR62" i="1"/>
  <c r="AQ62" i="1"/>
  <c r="AS62" i="1" s="1"/>
  <c r="AP62" i="1"/>
  <c r="AV61" i="1" a="1"/>
  <c r="AV61" i="1" s="1"/>
  <c r="AU61" i="1" a="1"/>
  <c r="AU61" i="1" s="1"/>
  <c r="AT61" i="1"/>
  <c r="AW61" i="1" s="1"/>
  <c r="AR61" i="1"/>
  <c r="AP61" i="1"/>
  <c r="AQ61" i="1" s="1"/>
  <c r="AS61" i="1" s="1"/>
  <c r="AV60" i="1" a="1"/>
  <c r="AV60" i="1" s="1"/>
  <c r="AU60" i="1" a="1"/>
  <c r="AU60" i="1" s="1"/>
  <c r="AW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W59" i="1" s="1"/>
  <c r="AR59" i="1"/>
  <c r="AP59" i="1"/>
  <c r="AQ59" i="1" s="1"/>
  <c r="AS59" i="1" s="1"/>
  <c r="AV58" i="1" a="1"/>
  <c r="AV58" i="1" s="1"/>
  <c r="AU58" i="1" a="1"/>
  <c r="AU58" i="1"/>
  <c r="AT58" i="1"/>
  <c r="AW58" i="1" s="1"/>
  <c r="AR58" i="1"/>
  <c r="AP58" i="1"/>
  <c r="AQ58" i="1" s="1"/>
  <c r="AS58" i="1" s="1"/>
  <c r="AV57" i="1" a="1"/>
  <c r="AV57" i="1" s="1"/>
  <c r="AU57" i="1" a="1"/>
  <c r="AU57" i="1" s="1"/>
  <c r="AT57" i="1"/>
  <c r="AW57" i="1" s="1"/>
  <c r="AR57" i="1"/>
  <c r="AP57" i="1"/>
  <c r="AQ57" i="1" s="1"/>
  <c r="AS57" i="1" s="1"/>
  <c r="AV56" i="1" a="1"/>
  <c r="AV56" i="1" s="1"/>
  <c r="AU56" i="1" a="1"/>
  <c r="AU56" i="1"/>
  <c r="AT56" i="1"/>
  <c r="AW56" i="1" s="1"/>
  <c r="AR56" i="1"/>
  <c r="AP56" i="1"/>
  <c r="AQ56" i="1" s="1"/>
  <c r="AS56" i="1" s="1"/>
  <c r="AV55" i="1" a="1"/>
  <c r="AV55" i="1"/>
  <c r="AU55" i="1" a="1"/>
  <c r="AU55" i="1" s="1"/>
  <c r="AT55" i="1"/>
  <c r="AW55" i="1" s="1"/>
  <c r="AR55" i="1"/>
  <c r="AP55" i="1"/>
  <c r="AQ55" i="1" s="1"/>
  <c r="AS55" i="1" s="1"/>
  <c r="AV54" i="1" a="1"/>
  <c r="AV54" i="1" s="1"/>
  <c r="AU54" i="1" a="1"/>
  <c r="AU54" i="1" s="1"/>
  <c r="AT54" i="1"/>
  <c r="AW54" i="1" s="1"/>
  <c r="AR54" i="1"/>
  <c r="AP54" i="1"/>
  <c r="AQ54" i="1" s="1"/>
  <c r="AS54" i="1" s="1"/>
  <c r="AV53" i="1" a="1"/>
  <c r="AV53" i="1"/>
  <c r="AU53" i="1" a="1"/>
  <c r="AU53" i="1" s="1"/>
  <c r="AW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W52" i="1" s="1"/>
  <c r="AR52" i="1"/>
  <c r="AP52" i="1"/>
  <c r="AQ52" i="1" s="1"/>
  <c r="AS52" i="1" s="1"/>
  <c r="AV51" i="1" a="1"/>
  <c r="AV51" i="1" s="1"/>
  <c r="AU51" i="1" a="1"/>
  <c r="AU51" i="1" s="1"/>
  <c r="AW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S50" i="1" s="1"/>
  <c r="AV49" i="1" a="1"/>
  <c r="AV49" i="1" s="1"/>
  <c r="AU49" i="1" a="1"/>
  <c r="AU49" i="1" s="1"/>
  <c r="AT49" i="1"/>
  <c r="AW49" i="1" s="1"/>
  <c r="AR49" i="1"/>
  <c r="AP49" i="1"/>
  <c r="AQ49" i="1" s="1"/>
  <c r="AS49" i="1" s="1"/>
  <c r="AV48" i="1" a="1"/>
  <c r="AV48" i="1" s="1"/>
  <c r="AU48" i="1" a="1"/>
  <c r="AU48" i="1"/>
  <c r="AT48" i="1"/>
  <c r="AW48" i="1" s="1"/>
  <c r="AR48" i="1"/>
  <c r="AP48" i="1"/>
  <c r="AQ48" i="1" s="1"/>
  <c r="AS48" i="1" s="1"/>
  <c r="AV47" i="1" a="1"/>
  <c r="AV47" i="1" s="1"/>
  <c r="AU47" i="1" a="1"/>
  <c r="AU47" i="1"/>
  <c r="AT47" i="1"/>
  <c r="AW47" i="1" s="1"/>
  <c r="AR47" i="1"/>
  <c r="AP47" i="1"/>
  <c r="AQ47" i="1" s="1"/>
  <c r="AS47" i="1" s="1"/>
  <c r="AV46" i="1" a="1"/>
  <c r="AV46" i="1" s="1"/>
  <c r="AU46" i="1" a="1"/>
  <c r="AU46" i="1" s="1"/>
  <c r="AT46" i="1"/>
  <c r="AW46" i="1" s="1"/>
  <c r="AR46" i="1"/>
  <c r="AP46" i="1"/>
  <c r="AQ46" i="1" s="1"/>
  <c r="AS46" i="1" s="1"/>
  <c r="AV45" i="1" a="1"/>
  <c r="AV45" i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 s="1"/>
  <c r="AT44" i="1"/>
  <c r="AW44" i="1" s="1"/>
  <c r="AR44" i="1"/>
  <c r="AP44" i="1"/>
  <c r="AQ44" i="1" s="1"/>
  <c r="AS44" i="1" s="1"/>
  <c r="AV43" i="1" a="1"/>
  <c r="AV43" i="1"/>
  <c r="AU43" i="1" a="1"/>
  <c r="AU43" i="1" s="1"/>
  <c r="AT43" i="1"/>
  <c r="AW43" i="1" s="1"/>
  <c r="AR43" i="1"/>
  <c r="AP43" i="1"/>
  <c r="AQ43" i="1" s="1"/>
  <c r="AS43" i="1" s="1"/>
  <c r="AV42" i="1" a="1"/>
  <c r="AV42" i="1" s="1"/>
  <c r="AU42" i="1" a="1"/>
  <c r="AU42" i="1" s="1"/>
  <c r="AT42" i="1"/>
  <c r="AW42" i="1" s="1"/>
  <c r="AR42" i="1"/>
  <c r="AP42" i="1"/>
  <c r="AQ42" i="1" s="1"/>
  <c r="AS42" i="1" s="1"/>
  <c r="AV41" i="1" a="1"/>
  <c r="AV41" i="1" s="1"/>
  <c r="AU41" i="1" a="1"/>
  <c r="AU41" i="1" s="1"/>
  <c r="AT41" i="1"/>
  <c r="AW41" i="1" s="1"/>
  <c r="AR41" i="1"/>
  <c r="AP41" i="1"/>
  <c r="AQ41" i="1" s="1"/>
  <c r="AS41" i="1" s="1"/>
  <c r="AV40" i="1" a="1"/>
  <c r="AV40" i="1" s="1"/>
  <c r="AU40" i="1" a="1"/>
  <c r="AU40" i="1" s="1"/>
  <c r="AW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W39" i="1" s="1"/>
  <c r="AR39" i="1"/>
  <c r="AP39" i="1"/>
  <c r="AQ39" i="1" s="1"/>
  <c r="AS39" i="1" s="1"/>
  <c r="AV38" i="1" a="1"/>
  <c r="AV38" i="1" s="1"/>
  <c r="AU38" i="1" a="1"/>
  <c r="AU38" i="1" s="1"/>
  <c r="AW38" i="1" s="1"/>
  <c r="AT38" i="1"/>
  <c r="AR38" i="1"/>
  <c r="AP38" i="1"/>
  <c r="AQ38" i="1" s="1"/>
  <c r="AS38" i="1" s="1"/>
  <c r="AV37" i="1" a="1"/>
  <c r="AV37" i="1" s="1"/>
  <c r="AU37" i="1" a="1"/>
  <c r="AU37" i="1" s="1"/>
  <c r="AT37" i="1"/>
  <c r="AW37" i="1" s="1"/>
  <c r="AR37" i="1"/>
  <c r="AP37" i="1"/>
  <c r="AQ37" i="1" s="1"/>
  <c r="AS37" i="1" s="1"/>
  <c r="AV36" i="1" a="1"/>
  <c r="AV36" i="1" s="1"/>
  <c r="AU36" i="1" a="1"/>
  <c r="AU36" i="1"/>
  <c r="AT36" i="1"/>
  <c r="AW36" i="1" s="1"/>
  <c r="AR36" i="1"/>
  <c r="AP36" i="1"/>
  <c r="AQ36" i="1" s="1"/>
  <c r="AS36" i="1" s="1"/>
  <c r="AV35" i="1" a="1"/>
  <c r="AV35" i="1"/>
  <c r="AU35" i="1" a="1"/>
  <c r="AU35" i="1" s="1"/>
  <c r="AT35" i="1"/>
  <c r="AW35" i="1" s="1"/>
  <c r="AR35" i="1"/>
  <c r="AP35" i="1"/>
  <c r="AQ35" i="1" s="1"/>
  <c r="AS35" i="1" s="1"/>
  <c r="AV34" i="1" a="1"/>
  <c r="AV34" i="1"/>
  <c r="AU34" i="1" a="1"/>
  <c r="AU34" i="1"/>
  <c r="AT34" i="1"/>
  <c r="AW34" i="1" s="1"/>
  <c r="AR34" i="1"/>
  <c r="AP34" i="1"/>
  <c r="AQ34" i="1" s="1"/>
  <c r="AS34" i="1" s="1"/>
  <c r="AV33" i="1" a="1"/>
  <c r="AV33" i="1" s="1"/>
  <c r="AU33" i="1" a="1"/>
  <c r="AU33" i="1" s="1"/>
  <c r="AT33" i="1"/>
  <c r="AW33" i="1" s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W31" i="1" s="1"/>
  <c r="AR31" i="1"/>
  <c r="AP31" i="1"/>
  <c r="AQ31" i="1" s="1"/>
  <c r="AS31" i="1" s="1"/>
  <c r="AV30" i="1" a="1"/>
  <c r="AV30" i="1" s="1"/>
  <c r="AU30" i="1" a="1"/>
  <c r="AU30" i="1" s="1"/>
  <c r="AT30" i="1"/>
  <c r="AW30" i="1" s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 s="1"/>
  <c r="AU28" i="1" a="1"/>
  <c r="AU28" i="1" s="1"/>
  <c r="AW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W27" i="1" s="1"/>
  <c r="AR27" i="1"/>
  <c r="AP27" i="1"/>
  <c r="AQ27" i="1" s="1"/>
  <c r="AS27" i="1" s="1"/>
  <c r="AV26" i="1" a="1"/>
  <c r="AV26" i="1" s="1"/>
  <c r="AU26" i="1" a="1"/>
  <c r="AU26" i="1"/>
  <c r="AT26" i="1"/>
  <c r="AW26" i="1" s="1"/>
  <c r="AR26" i="1"/>
  <c r="AP26" i="1"/>
  <c r="AQ26" i="1" s="1"/>
  <c r="AS26" i="1" s="1"/>
  <c r="AV25" i="1" a="1"/>
  <c r="AV25" i="1" s="1"/>
  <c r="AU25" i="1" a="1"/>
  <c r="AU25" i="1" s="1"/>
  <c r="AT25" i="1"/>
  <c r="AW25" i="1" s="1"/>
  <c r="AR25" i="1"/>
  <c r="AP25" i="1"/>
  <c r="AQ25" i="1" s="1"/>
  <c r="AS25" i="1" s="1"/>
  <c r="AV24" i="1" a="1"/>
  <c r="AV24" i="1" s="1"/>
  <c r="AU24" i="1" a="1"/>
  <c r="AU24" i="1"/>
  <c r="AT24" i="1"/>
  <c r="AW24" i="1" s="1"/>
  <c r="AR24" i="1"/>
  <c r="AP24" i="1"/>
  <c r="AQ24" i="1" s="1"/>
  <c r="AS24" i="1" s="1"/>
  <c r="AV23" i="1" a="1"/>
  <c r="AV23" i="1"/>
  <c r="AU23" i="1" a="1"/>
  <c r="AU23" i="1" s="1"/>
  <c r="AT23" i="1"/>
  <c r="AW23" i="1" s="1"/>
  <c r="AR23" i="1"/>
  <c r="AP23" i="1"/>
  <c r="AQ23" i="1" s="1"/>
  <c r="AS23" i="1" s="1"/>
  <c r="AV22" i="1" a="1"/>
  <c r="AV22" i="1" s="1"/>
  <c r="AU22" i="1" a="1"/>
  <c r="AU22" i="1" s="1"/>
  <c r="AT22" i="1"/>
  <c r="AW22" i="1" s="1"/>
  <c r="AR22" i="1"/>
  <c r="AP22" i="1"/>
  <c r="AQ22" i="1" s="1"/>
  <c r="AS22" i="1" s="1"/>
  <c r="AV21" i="1" a="1"/>
  <c r="AV21" i="1"/>
  <c r="AU21" i="1" a="1"/>
  <c r="AU21" i="1" s="1"/>
  <c r="AW21" i="1" s="1"/>
  <c r="AT21" i="1"/>
  <c r="AR21" i="1"/>
  <c r="AP21" i="1"/>
  <c r="AQ21" i="1" s="1"/>
  <c r="AS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W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W18" i="1" s="1"/>
  <c r="AR18" i="1"/>
  <c r="AP18" i="1"/>
  <c r="AQ18" i="1" s="1"/>
  <c r="AS18" i="1" s="1"/>
  <c r="AV17" i="1" a="1"/>
  <c r="AV17" i="1" s="1"/>
  <c r="AU17" i="1" a="1"/>
  <c r="AU17" i="1" s="1"/>
  <c r="AT17" i="1"/>
  <c r="AW17" i="1" s="1"/>
  <c r="AR17" i="1"/>
  <c r="AP17" i="1"/>
  <c r="AQ17" i="1" s="1"/>
  <c r="AS17" i="1" s="1"/>
  <c r="AV16" i="1" a="1"/>
  <c r="AV16" i="1" s="1"/>
  <c r="AU16" i="1" a="1"/>
  <c r="AU16" i="1"/>
  <c r="AT16" i="1"/>
  <c r="AW16" i="1" s="1"/>
  <c r="AR16" i="1"/>
  <c r="AP16" i="1"/>
  <c r="AQ16" i="1" s="1"/>
  <c r="AS16" i="1" s="1"/>
  <c r="AV15" i="1" a="1"/>
  <c r="AV15" i="1" s="1"/>
  <c r="AU15" i="1" a="1"/>
  <c r="AU15" i="1"/>
  <c r="AT15" i="1"/>
  <c r="AW15" i="1" s="1"/>
  <c r="AR15" i="1"/>
  <c r="AP15" i="1"/>
  <c r="AQ15" i="1" s="1"/>
  <c r="AS15" i="1" s="1"/>
  <c r="AV14" i="1" a="1"/>
  <c r="AV14" i="1" s="1"/>
  <c r="AU14" i="1" a="1"/>
  <c r="AU14" i="1" s="1"/>
  <c r="AT14" i="1"/>
  <c r="AW14" i="1" s="1"/>
  <c r="AR14" i="1"/>
  <c r="AP14" i="1"/>
  <c r="AQ14" i="1" s="1"/>
  <c r="AS14" i="1" s="1"/>
  <c r="AV13" i="1" a="1"/>
  <c r="AV13" i="1" s="1"/>
  <c r="AU13" i="1" a="1"/>
  <c r="AU13" i="1" s="1"/>
  <c r="AT13" i="1"/>
  <c r="AW13" i="1" s="1"/>
  <c r="AR13" i="1"/>
  <c r="AP13" i="1"/>
  <c r="AQ13" i="1" s="1"/>
  <c r="AS13" i="1" s="1"/>
  <c r="AV12" i="1" a="1"/>
  <c r="AV12" i="1" s="1"/>
  <c r="AU12" i="1" a="1"/>
  <c r="AU12" i="1" s="1"/>
  <c r="AT12" i="1"/>
  <c r="AW12" i="1" s="1"/>
  <c r="AR12" i="1"/>
  <c r="AP12" i="1"/>
  <c r="AQ12" i="1" s="1"/>
  <c r="AS12" i="1" s="1"/>
  <c r="AV11" i="1" a="1"/>
  <c r="AV11" i="1"/>
  <c r="AU11" i="1" a="1"/>
  <c r="AU11" i="1" s="1"/>
  <c r="AT11" i="1"/>
  <c r="AW11" i="1" s="1"/>
  <c r="AR11" i="1"/>
  <c r="AP11" i="1"/>
  <c r="AQ11" i="1" s="1"/>
  <c r="AS11" i="1" s="1"/>
  <c r="AV10" i="1" a="1"/>
  <c r="AV10" i="1" s="1"/>
  <c r="AU10" i="1" a="1"/>
  <c r="AU10" i="1" s="1"/>
  <c r="AT10" i="1"/>
  <c r="AW10" i="1" s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W8" i="1" s="1"/>
  <c r="AT8" i="1"/>
  <c r="AR8" i="1"/>
  <c r="AP8" i="1"/>
  <c r="AQ8" i="1" s="1"/>
  <c r="AS8" i="1" s="1"/>
  <c r="AV7" i="1" a="1"/>
  <c r="AV7" i="1" s="1"/>
  <c r="AU7" i="1" a="1"/>
  <c r="AU7" i="1" s="1"/>
  <c r="AT7" i="1"/>
  <c r="AW7" i="1" s="1"/>
  <c r="AR7" i="1"/>
  <c r="AP7" i="1"/>
  <c r="AQ7" i="1" s="1"/>
  <c r="AS7" i="1" s="1"/>
  <c r="AV6" i="1" a="1"/>
  <c r="AV6" i="1" s="1"/>
  <c r="AU6" i="1" a="1"/>
  <c r="AU6" i="1" s="1"/>
  <c r="AW6" i="1" s="1"/>
  <c r="AT6" i="1"/>
  <c r="AR6" i="1"/>
  <c r="AP6" i="1"/>
  <c r="AQ6" i="1" s="1"/>
  <c r="AS6" i="1" s="1"/>
  <c r="AV5" i="1" a="1"/>
  <c r="AV5" i="1" s="1"/>
  <c r="AU5" i="1" a="1"/>
  <c r="AU5" i="1" s="1"/>
  <c r="AT5" i="1"/>
  <c r="AW5" i="1" s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AP2" i="1" s="1"/>
  <c r="I2" i="1"/>
  <c r="D2" i="1"/>
  <c r="AW54" i="4" l="1"/>
  <c r="AW50" i="1"/>
  <c r="AW109" i="1"/>
  <c r="AW96" i="4"/>
  <c r="AW178" i="4"/>
  <c r="AW188" i="4"/>
  <c r="AW74" i="1"/>
  <c r="AW178" i="1"/>
  <c r="AW98" i="1"/>
  <c r="AW133" i="1"/>
  <c r="AW128" i="4"/>
  <c r="AW75" i="1"/>
  <c r="AW190" i="1"/>
  <c r="AW201" i="1"/>
  <c r="AW34" i="4"/>
  <c r="AW24" i="4"/>
  <c r="AW191" i="1"/>
  <c r="AW158" i="1"/>
  <c r="AW169" i="1"/>
  <c r="AW88" i="4"/>
  <c r="AW98" i="4"/>
  <c r="AW160" i="4"/>
  <c r="AW150" i="4"/>
  <c r="AW159" i="1"/>
  <c r="AW58" i="4"/>
  <c r="AW201" i="4"/>
  <c r="AW114" i="1"/>
  <c r="AW204" i="1"/>
  <c r="AW16" i="4"/>
  <c r="AW90" i="4"/>
  <c r="AW131" i="4"/>
  <c r="AW152" i="4"/>
  <c r="AW126" i="1"/>
  <c r="AW20" i="1"/>
  <c r="AW32" i="1"/>
  <c r="AW161" i="1"/>
  <c r="AW80" i="4"/>
  <c r="AW122" i="4"/>
  <c r="AW127" i="1"/>
  <c r="AW150" i="1"/>
  <c r="AW100" i="1"/>
  <c r="AW9" i="1"/>
  <c r="AW45" i="1"/>
  <c r="AW139" i="1"/>
  <c r="AW173" i="1"/>
  <c r="AW195" i="1"/>
  <c r="AW163" i="4"/>
  <c r="AW60" i="4"/>
  <c r="AW112" i="4"/>
  <c r="AW128" i="1"/>
  <c r="AW206" i="1"/>
  <c r="AW8" i="4"/>
  <c r="AW82" i="4"/>
  <c r="AW144" i="4"/>
  <c r="AW112" i="1"/>
  <c r="AW124" i="4"/>
  <c r="AW82" i="1"/>
  <c r="AW118" i="1"/>
  <c r="AW197" i="1"/>
  <c r="AW29" i="1"/>
  <c r="AW21" i="4"/>
  <c r="AW107" i="1"/>
  <c r="AW73" i="1"/>
  <c r="AW155" i="1"/>
  <c r="AW177" i="1"/>
  <c r="AW64" i="4"/>
</calcChain>
</file>

<file path=xl/sharedStrings.xml><?xml version="1.0" encoding="utf-8"?>
<sst xmlns="http://schemas.openxmlformats.org/spreadsheetml/2006/main" count="4416" uniqueCount="1304">
  <si>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</si>
  <si>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</si>
  <si>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</si>
  <si>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</si>
  <si>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</si>
  <si>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</si>
  <si>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</si>
  <si>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</si>
  <si>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</si>
  <si>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</si>
  <si>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</si>
  <si>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</si>
  <si>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</si>
  <si>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</si>
  <si>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</si>
  <si>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</si>
  <si>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</si>
  <si>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</si>
  <si>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</si>
  <si>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</si>
  <si>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</si>
  <si>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</si>
  <si>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</si>
  <si>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</si>
  <si>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</si>
  <si>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</si>
  <si>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</si>
  <si>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</si>
  <si>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</si>
  <si>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</si>
  <si>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</si>
  <si>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</si>
  <si>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</si>
  <si>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</si>
  <si>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</si>
  <si>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</si>
  <si>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</si>
  <si>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</si>
  <si>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</si>
  <si>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</si>
  <si>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</si>
  <si>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</si>
  <si>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</si>
  <si>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</si>
  <si>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</si>
  <si>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</si>
  <si>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</si>
  <si>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</si>
  <si>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</si>
  <si>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</si>
  <si>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</si>
  <si>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</si>
  <si>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</si>
  <si>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</si>
  <si>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</si>
  <si>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</si>
  <si>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</si>
  <si>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</si>
  <si>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</si>
  <si>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</si>
  <si>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</si>
  <si>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</si>
  <si>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</si>
  <si>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</si>
  <si>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</si>
  <si>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</si>
  <si>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</si>
  <si>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</si>
  <si>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</si>
  <si>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</si>
  <si>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</si>
  <si>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</si>
  <si>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</si>
  <si>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</si>
  <si>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</si>
  <si>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</si>
  <si>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</si>
  <si>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</si>
  <si>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</si>
  <si>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</si>
  <si>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</si>
  <si>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</si>
  <si>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</si>
  <si>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</si>
  <si>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</si>
  <si>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</si>
  <si>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</si>
  <si>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</si>
  <si>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</si>
  <si>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</si>
  <si>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</si>
  <si>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</si>
  <si>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</si>
  <si>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</si>
  <si>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</si>
  <si>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</si>
  <si>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</si>
  <si>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</si>
  <si>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</si>
  <si>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</si>
  <si>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</si>
  <si>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</si>
  <si>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</si>
  <si>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</si>
  <si>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</si>
  <si>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</si>
  <si>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</si>
  <si>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</si>
  <si>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</si>
  <si>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</si>
  <si>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</si>
  <si>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</si>
  <si>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</si>
  <si>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</si>
  <si>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</si>
  <si>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</si>
  <si>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</si>
  <si>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</si>
  <si>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</si>
  <si>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</si>
  <si>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</si>
  <si>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</si>
  <si>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</si>
  <si>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</si>
  <si>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</si>
  <si>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</si>
  <si>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</si>
  <si>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</si>
  <si>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</si>
  <si>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</si>
  <si>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</si>
  <si>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</si>
  <si>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</si>
  <si>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</si>
  <si>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</si>
  <si>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</si>
  <si>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</si>
  <si>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</si>
  <si>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</si>
  <si>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</si>
  <si>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</si>
  <si>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</si>
  <si>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</si>
  <si>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</si>
  <si>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</si>
  <si>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</si>
  <si>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</si>
  <si>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</si>
  <si>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</si>
  <si>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</si>
  <si>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</si>
  <si>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</si>
  <si>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</si>
  <si>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</si>
  <si>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</si>
  <si>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</si>
  <si>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</si>
  <si>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</si>
  <si>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</si>
  <si>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</si>
  <si>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</si>
  <si>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</si>
  <si>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</si>
  <si>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</si>
  <si>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</si>
  <si>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</si>
  <si>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</si>
  <si>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</si>
  <si>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</si>
  <si>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</si>
  <si>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</si>
  <si>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</si>
  <si>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</si>
  <si>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</si>
  <si>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</si>
  <si>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</si>
  <si>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</si>
  <si>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</si>
  <si>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</si>
  <si>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</si>
  <si>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</si>
  <si>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</si>
  <si>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</si>
  <si>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</si>
  <si>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</si>
  <si>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</si>
  <si>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</si>
  <si>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</si>
  <si>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</si>
  <si>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</si>
  <si>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</si>
  <si>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</si>
  <si>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</si>
  <si>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</si>
  <si>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</si>
  <si>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</si>
  <si>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</si>
  <si>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</si>
  <si>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</si>
  <si>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</si>
  <si>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</si>
  <si>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</si>
  <si>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</si>
  <si>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</si>
  <si>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</si>
  <si>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</si>
  <si>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</si>
  <si>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</si>
  <si>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</si>
  <si>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</si>
  <si>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</si>
  <si>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</si>
  <si>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</si>
  <si>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</si>
  <si>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</si>
  <si>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</si>
  <si>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</si>
  <si>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</si>
  <si>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</si>
  <si>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</si>
  <si>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</si>
  <si>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</si>
  <si>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</si>
  <si>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</si>
  <si>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</si>
  <si>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</si>
  <si>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</si>
  <si>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</si>
  <si>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</si>
  <si>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</si>
  <si>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</si>
  <si>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</si>
  <si>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</si>
  <si>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</si>
  <si>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</si>
  <si>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</si>
  <si>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</si>
  <si>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</si>
  <si>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</si>
  <si>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</si>
  <si>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</si>
  <si>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</si>
  <si>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</si>
  <si>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</si>
  <si>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</si>
  <si>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</si>
  <si>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</si>
  <si>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</si>
  <si>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</si>
  <si>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</si>
  <si>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</si>
  <si>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</si>
  <si>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</si>
  <si>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</si>
  <si>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</si>
  <si>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</si>
  <si>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</si>
  <si>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</si>
  <si>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</si>
  <si>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</si>
  <si>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</si>
  <si>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</si>
  <si>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</si>
  <si>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</si>
  <si>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</si>
  <si>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</si>
  <si>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</si>
  <si>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</si>
  <si>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</si>
  <si>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</si>
  <si>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</si>
  <si>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</si>
  <si>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</si>
  <si>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</si>
  <si>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</si>
  <si>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</si>
  <si>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</si>
  <si>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</si>
  <si>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</si>
  <si>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</si>
  <si>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</si>
  <si>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</si>
  <si>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</si>
  <si>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</si>
  <si>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</si>
  <si>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</si>
  <si>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</si>
  <si>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</si>
  <si>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</si>
  <si>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</si>
  <si>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</si>
  <si>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</si>
  <si>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</si>
  <si>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</si>
  <si>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</si>
  <si>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</si>
  <si>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</si>
  <si>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</si>
  <si>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</si>
  <si>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</si>
  <si>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</si>
  <si>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</si>
  <si>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</si>
  <si>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</si>
  <si>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</si>
  <si>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</si>
  <si>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</si>
  <si>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</si>
  <si>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</si>
  <si>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</si>
  <si>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</si>
  <si>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</si>
  <si>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</si>
  <si>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</si>
  <si>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</si>
  <si>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</si>
  <si>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</si>
  <si>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</si>
  <si>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</si>
  <si>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</si>
  <si>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</si>
  <si>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</si>
  <si>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</si>
  <si>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</si>
  <si>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</si>
  <si>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</si>
  <si>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</si>
  <si>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</si>
  <si>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</si>
  <si>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</si>
  <si>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</si>
  <si>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</si>
  <si>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</si>
  <si>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</si>
  <si>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</si>
  <si>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</si>
  <si>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</si>
  <si>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</si>
  <si>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</si>
  <si>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</si>
  <si>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</si>
  <si>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</si>
  <si>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</si>
  <si>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</si>
  <si>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</si>
  <si>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</si>
  <si>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</si>
  <si>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</si>
  <si>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</si>
  <si>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</si>
  <si>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</si>
  <si>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</si>
  <si>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</si>
  <si>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</si>
  <si>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</si>
  <si>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</si>
  <si>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</si>
  <si>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</si>
  <si>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</si>
  <si>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</si>
  <si>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</si>
  <si>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</si>
  <si>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</si>
  <si>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</si>
  <si>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</si>
  <si>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</si>
  <si>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</si>
  <si>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</si>
  <si>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</si>
  <si>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</si>
  <si>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</si>
  <si>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</si>
  <si>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</si>
  <si>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</si>
  <si>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</si>
  <si>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</si>
  <si>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</si>
  <si>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</si>
  <si>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</si>
  <si>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</si>
  <si>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</si>
  <si>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</si>
  <si>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</si>
  <si>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</si>
  <si>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</si>
  <si>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</si>
  <si>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</si>
  <si>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</si>
  <si>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</si>
  <si>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</si>
  <si>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</si>
  <si>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</si>
  <si>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</si>
  <si>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</si>
  <si>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</si>
  <si>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</si>
  <si>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</si>
  <si>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</si>
  <si>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</si>
  <si>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</si>
  <si>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</si>
  <si>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</si>
  <si>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</si>
  <si>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</si>
  <si>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</si>
  <si>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</si>
  <si>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</si>
  <si>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</si>
  <si>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</si>
  <si>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</si>
  <si>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</si>
  <si>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</si>
  <si>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</si>
  <si>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</si>
  <si>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</si>
  <si>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</si>
  <si>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</si>
  <si>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</si>
  <si>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</si>
  <si>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</si>
  <si>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</si>
  <si>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</si>
  <si>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</si>
  <si>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</si>
  <si>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</si>
  <si>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</si>
  <si>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</si>
  <si>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</si>
  <si>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</si>
  <si>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</si>
  <si>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</si>
  <si>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</si>
  <si>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</si>
  <si>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</si>
  <si>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</si>
  <si>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</si>
  <si>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</si>
  <si>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</si>
  <si>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</si>
  <si>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</si>
  <si>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</si>
  <si>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</si>
  <si>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</si>
  <si>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</si>
  <si>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</si>
  <si>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</si>
  <si>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</si>
  <si>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</si>
  <si>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</si>
  <si>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</si>
  <si>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</si>
  <si>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</si>
  <si>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</si>
  <si>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</si>
  <si>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</si>
  <si>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</si>
  <si>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</si>
  <si>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</si>
  <si>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</si>
  <si>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</si>
  <si>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</si>
  <si>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</si>
  <si>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</si>
  <si>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</si>
  <si>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</si>
  <si>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</si>
  <si>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</si>
  <si>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</si>
  <si>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</si>
  <si>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</si>
  <si>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</si>
  <si>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</si>
  <si>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</si>
  <si>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</si>
  <si>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</si>
  <si>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</si>
  <si>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</si>
  <si>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</si>
  <si>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</si>
  <si>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</si>
  <si>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</si>
  <si>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</si>
  <si>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</si>
  <si>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</si>
  <si>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</si>
  <si>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</si>
  <si>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</si>
  <si>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</si>
  <si>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</si>
  <si>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</si>
  <si>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</si>
  <si>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</si>
  <si>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</si>
  <si>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</si>
  <si>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</si>
  <si>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</si>
  <si>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</si>
  <si>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</si>
  <si>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</si>
  <si>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</si>
  <si>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</si>
  <si>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</si>
  <si>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</si>
  <si>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</si>
  <si>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</si>
  <si>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</si>
  <si>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</si>
  <si>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</si>
  <si>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</si>
  <si>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</si>
  <si>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</si>
  <si>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</si>
  <si>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</si>
  <si>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</si>
  <si>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</si>
  <si>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</si>
  <si>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</si>
  <si>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</si>
  <si>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</si>
  <si>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</si>
  <si>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</si>
  <si>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</si>
  <si>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</si>
  <si>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</si>
  <si>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</si>
  <si>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</si>
  <si>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</si>
  <si>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</si>
  <si>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</si>
  <si>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</si>
  <si>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</si>
  <si>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</si>
  <si>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</si>
  <si>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</si>
  <si>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</si>
  <si>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</si>
  <si>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</si>
  <si>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</si>
  <si>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</si>
  <si>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</si>
  <si>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</si>
  <si>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</si>
  <si>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</si>
  <si>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</si>
  <si>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</si>
  <si>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</si>
  <si>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</si>
  <si>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</si>
  <si>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</si>
  <si>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</si>
  <si>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</si>
  <si>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</si>
  <si>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</si>
  <si>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</si>
  <si>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</si>
  <si>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</si>
  <si>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</si>
  <si>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</si>
  <si>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</si>
  <si>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</si>
  <si>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</si>
  <si>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</si>
  <si>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</si>
  <si>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</si>
  <si>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</si>
  <si>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</si>
  <si>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</si>
  <si>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</si>
  <si>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</si>
  <si>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</si>
  <si>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</si>
  <si>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</si>
  <si>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</si>
  <si>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</si>
  <si>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</si>
  <si>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</si>
  <si>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</si>
  <si>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</si>
  <si>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</si>
  <si>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</si>
  <si>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</si>
  <si>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</si>
  <si>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</si>
  <si>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</si>
  <si>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</si>
  <si>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</si>
  <si>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</si>
  <si>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</si>
  <si>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</si>
  <si>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</si>
  <si>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</si>
  <si>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</si>
  <si>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</si>
  <si>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</si>
  <si>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</si>
  <si>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</si>
  <si>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</si>
  <si>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</si>
  <si>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</si>
  <si>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</si>
  <si>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</si>
  <si>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</si>
  <si>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</si>
  <si>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</si>
  <si>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</si>
  <si>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</si>
  <si>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</si>
  <si>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</si>
  <si>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</si>
  <si>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</si>
  <si>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</si>
  <si>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</si>
  <si>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</si>
  <si>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</si>
  <si>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</si>
  <si>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</si>
  <si>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</si>
  <si>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</si>
  <si>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</si>
  <si>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</si>
  <si>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</si>
  <si>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</si>
  <si>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</si>
  <si>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</si>
  <si>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</si>
  <si>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</si>
  <si>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</si>
  <si>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</si>
  <si>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</si>
  <si>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</si>
  <si>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</si>
  <si>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</si>
  <si>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</si>
  <si>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</si>
  <si>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</si>
  <si>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</si>
  <si>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</si>
  <si>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</si>
  <si>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</si>
  <si>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</si>
  <si>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</si>
  <si>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</si>
  <si>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</si>
  <si>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</si>
  <si>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</si>
  <si>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</si>
  <si>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</si>
  <si>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</si>
  <si>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</si>
  <si>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</si>
  <si>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</si>
  <si>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</si>
  <si>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</si>
  <si>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</si>
  <si>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</si>
  <si>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</si>
  <si>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</si>
  <si>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</si>
  <si>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</si>
  <si>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</si>
  <si>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</si>
  <si>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</si>
  <si>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</si>
  <si>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</si>
  <si>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</si>
  <si>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</si>
  <si>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</si>
  <si>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</si>
  <si>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</si>
  <si>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</si>
  <si>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</si>
  <si>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</si>
  <si>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</si>
  <si>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</si>
  <si>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</si>
  <si>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</si>
  <si>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</si>
  <si>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</si>
  <si>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</si>
  <si>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</si>
  <si>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</si>
  <si>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</si>
  <si>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</si>
  <si>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</si>
  <si>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</si>
  <si>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</si>
  <si>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</si>
  <si>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</si>
  <si>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</si>
  <si>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</si>
  <si>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</si>
  <si>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</si>
  <si>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</si>
  <si>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</si>
  <si>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</si>
  <si>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</si>
  <si>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</si>
  <si>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</si>
  <si>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</si>
  <si>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</si>
  <si>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</si>
  <si>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</si>
  <si>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</si>
  <si>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</si>
  <si>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</si>
  <si>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</si>
  <si>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</si>
  <si>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</si>
  <si>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</si>
  <si>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</si>
  <si>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</si>
  <si>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</si>
  <si>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</si>
  <si>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</si>
  <si>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</si>
  <si>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</si>
  <si>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</si>
  <si>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</si>
  <si>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</si>
  <si>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</si>
  <si>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</si>
  <si>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</si>
  <si>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</si>
  <si>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</si>
  <si>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</si>
  <si>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</si>
  <si>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</si>
  <si>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</si>
  <si>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</si>
  <si>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</si>
  <si>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</si>
  <si>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</si>
  <si>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</si>
  <si>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</si>
  <si>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</si>
  <si>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</si>
  <si>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</si>
  <si>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</si>
  <si>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</si>
  <si>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</si>
  <si>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</si>
  <si>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</si>
  <si>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</si>
  <si>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</si>
  <si>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</si>
  <si>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</si>
  <si>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</si>
  <si>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</si>
  <si>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</si>
  <si>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</si>
  <si>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</si>
  <si>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</si>
  <si>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</si>
  <si>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</si>
  <si>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</si>
  <si>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</si>
  <si>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</si>
  <si>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</si>
  <si>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</si>
  <si>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</si>
  <si>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</si>
  <si>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</si>
  <si>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</si>
  <si>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</si>
  <si>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</si>
  <si>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</si>
  <si>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</si>
  <si>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</si>
  <si>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</si>
  <si>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</si>
  <si>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</si>
  <si>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</si>
  <si>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</si>
  <si>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</si>
  <si>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</si>
  <si>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</si>
  <si>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</si>
  <si>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</si>
  <si>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</si>
  <si>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</si>
  <si>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</si>
  <si>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</si>
  <si>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</si>
  <si>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</si>
  <si>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</si>
  <si>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</si>
  <si>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</si>
  <si>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</si>
  <si>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</si>
  <si>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</si>
  <si>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</si>
  <si>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</si>
  <si>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</si>
  <si>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</si>
  <si>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</si>
  <si>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</si>
  <si>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</si>
  <si>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</si>
  <si>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</si>
  <si>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</si>
  <si>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</si>
  <si>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</si>
  <si>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</si>
  <si>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</si>
  <si>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</si>
  <si>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</si>
  <si>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</si>
  <si>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</si>
  <si>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</si>
  <si>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</si>
  <si>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</si>
  <si>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</si>
  <si>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</si>
  <si>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</si>
  <si>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</si>
  <si>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</si>
  <si>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</si>
  <si>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</si>
  <si>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</si>
  <si>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</si>
  <si>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</si>
  <si>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</si>
  <si>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</si>
  <si>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</si>
  <si>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</si>
  <si>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</si>
  <si>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</si>
  <si>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</si>
  <si>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</si>
  <si>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</si>
  <si>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</si>
  <si>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</si>
  <si>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</si>
  <si>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</si>
  <si>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</si>
  <si>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</si>
  <si>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</si>
  <si>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</si>
  <si>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</si>
  <si>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</si>
  <si>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</si>
  <si>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</si>
  <si>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</si>
  <si>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</si>
  <si>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</si>
  <si>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</si>
  <si>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</si>
  <si>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</si>
  <si>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</si>
  <si>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</si>
  <si>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</si>
  <si>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</si>
  <si>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</si>
  <si>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</si>
  <si>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</si>
  <si>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</si>
  <si>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</si>
  <si>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</si>
  <si>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</si>
  <si>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</si>
  <si>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</si>
  <si>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</si>
  <si>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</si>
  <si>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</si>
  <si>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</si>
  <si>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</si>
  <si>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</si>
  <si>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</si>
  <si>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</si>
  <si>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</si>
  <si>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</si>
  <si>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</si>
  <si>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</si>
  <si>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</si>
  <si>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</si>
  <si>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</si>
  <si>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</si>
  <si>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</si>
  <si>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</si>
  <si>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</si>
  <si>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</si>
  <si>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</si>
  <si>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</si>
  <si>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</si>
  <si>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</si>
  <si>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</si>
  <si>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</si>
  <si>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</si>
  <si>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</si>
  <si>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</si>
  <si>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</si>
  <si>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</si>
  <si>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</si>
  <si>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</si>
  <si>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</si>
  <si>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</si>
  <si>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</si>
  <si>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</si>
  <si>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</si>
  <si>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</si>
  <si>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</si>
  <si>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</si>
  <si>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</si>
  <si>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</si>
  <si>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</si>
  <si>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</si>
  <si>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</si>
  <si>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</si>
  <si>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</si>
  <si>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</si>
  <si>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</si>
  <si>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</si>
  <si>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</si>
  <si>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</si>
  <si>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</si>
  <si>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</si>
  <si>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</si>
  <si>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</si>
  <si>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</si>
  <si>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</si>
  <si>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</si>
  <si>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</si>
  <si>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</si>
  <si>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</si>
  <si>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</si>
  <si>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</si>
  <si>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</si>
  <si>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</si>
  <si>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</si>
  <si>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</si>
  <si>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</si>
  <si>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</si>
  <si>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</si>
  <si>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</si>
  <si>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</si>
  <si>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</si>
  <si>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</si>
  <si>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</si>
  <si>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</si>
  <si>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</si>
  <si>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</si>
  <si>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</si>
  <si>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</si>
  <si>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</si>
  <si>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</si>
  <si>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</si>
  <si>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</si>
  <si>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</si>
  <si>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</si>
  <si>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</si>
  <si>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</si>
  <si>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</si>
  <si>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</si>
  <si>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</si>
  <si>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</si>
  <si>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</si>
  <si>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</si>
  <si>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</si>
  <si>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</si>
  <si>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</si>
  <si>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</si>
  <si>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</si>
  <si>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</si>
  <si>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</si>
  <si>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</si>
  <si>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</si>
  <si>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</si>
  <si>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</si>
  <si>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</si>
  <si>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</si>
  <si>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</si>
  <si>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</si>
  <si>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</si>
  <si>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</si>
  <si>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</si>
  <si>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</si>
  <si>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</si>
  <si>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</si>
  <si>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</si>
  <si>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</si>
  <si>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</si>
  <si>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</si>
  <si>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</si>
  <si>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</si>
  <si>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</si>
  <si>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</si>
  <si>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</si>
  <si>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</si>
  <si>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</si>
  <si>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</si>
  <si>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</si>
  <si>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</si>
  <si>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</si>
  <si>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</si>
  <si>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</si>
  <si>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</si>
  <si>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</si>
  <si>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</si>
  <si>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</si>
  <si>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</si>
  <si>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</si>
  <si>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</si>
  <si>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</si>
  <si>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</si>
  <si>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</si>
  <si>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</si>
  <si>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</si>
  <si>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</si>
  <si>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</si>
  <si>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</si>
  <si>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</si>
  <si>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</si>
  <si>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</si>
  <si>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</si>
  <si>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</si>
  <si>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</si>
  <si>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</si>
  <si>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</si>
  <si>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</si>
  <si>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</si>
  <si>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</si>
  <si>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</si>
  <si>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</si>
  <si>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</si>
  <si>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</si>
  <si>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</si>
  <si>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</si>
  <si>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</si>
  <si>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</si>
  <si>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</si>
  <si>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</si>
  <si>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</si>
  <si>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</si>
  <si>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</si>
  <si>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</si>
  <si>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</si>
  <si>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</si>
  <si>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</si>
  <si>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</si>
  <si>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</si>
  <si>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</si>
  <si>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</si>
  <si>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</si>
  <si>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</si>
  <si>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</si>
  <si>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</si>
  <si>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</si>
  <si>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</si>
  <si>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</si>
  <si>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</si>
  <si>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</si>
  <si>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</si>
  <si>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</si>
  <si>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</si>
  <si>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</si>
  <si>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</si>
  <si>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</si>
  <si>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</si>
  <si>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</si>
  <si>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</si>
  <si>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</si>
  <si>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</si>
  <si>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</si>
  <si>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</si>
  <si>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</si>
  <si>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</si>
  <si>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</si>
  <si>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</si>
  <si>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</si>
  <si>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</si>
  <si>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</si>
  <si>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</si>
  <si>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</si>
  <si>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</si>
  <si>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</si>
  <si>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</si>
  <si>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</si>
  <si>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</si>
  <si>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</si>
  <si>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</si>
  <si>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</si>
  <si>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</si>
  <si>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</si>
  <si>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</si>
  <si>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</si>
  <si>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</si>
  <si>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</si>
  <si>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</si>
  <si>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</si>
  <si>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</si>
  <si>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</si>
  <si>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</si>
  <si>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</si>
  <si>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</si>
  <si>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</si>
  <si>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</si>
  <si>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</si>
  <si>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</si>
  <si>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</si>
  <si>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</si>
  <si>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</si>
  <si>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</si>
  <si>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</si>
  <si>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</si>
  <si>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</si>
  <si>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</si>
  <si>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</si>
  <si>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</si>
  <si>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</si>
  <si>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</si>
  <si>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</si>
  <si>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</si>
  <si>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</si>
  <si>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</si>
  <si>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</si>
  <si>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</si>
  <si>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</si>
  <si>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</si>
  <si>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</si>
  <si>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</si>
  <si>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</si>
  <si>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</si>
  <si>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</si>
  <si>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</si>
  <si>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</si>
  <si>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</si>
  <si>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</si>
  <si>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</si>
  <si>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</si>
  <si>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</si>
  <si>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</si>
  <si>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</si>
  <si>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</si>
  <si>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</si>
  <si>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</si>
  <si>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</si>
  <si>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</si>
  <si>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</si>
  <si>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</si>
  <si>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</si>
  <si>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</si>
  <si>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</si>
  <si>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</si>
  <si>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</si>
  <si>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</si>
  <si>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</si>
  <si>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</si>
  <si>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</si>
  <si>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</si>
  <si>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</si>
  <si>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</si>
  <si>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</si>
  <si>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</si>
  <si>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</si>
  <si>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</si>
  <si>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</si>
  <si>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</si>
  <si>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</si>
  <si>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</si>
  <si>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</si>
  <si>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</si>
  <si>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</si>
  <si>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</si>
  <si>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</si>
  <si>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</si>
  <si>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</si>
  <si>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</si>
  <si>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</si>
  <si>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</si>
  <si>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</si>
  <si>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</si>
  <si>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</si>
  <si>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</si>
  <si>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</si>
  <si>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</si>
  <si>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</si>
  <si>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</si>
  <si>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</si>
  <si>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</si>
  <si>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</si>
  <si>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</si>
  <si>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</si>
  <si>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</si>
  <si>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</si>
  <si>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</si>
  <si>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</si>
  <si>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</si>
  <si>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</si>
  <si>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</si>
  <si>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</si>
  <si>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</si>
  <si>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</si>
  <si>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</si>
  <si>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</si>
  <si>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</si>
  <si>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</si>
  <si>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</si>
  <si>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</si>
  <si>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</si>
  <si>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</si>
  <si>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</si>
  <si>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</si>
  <si>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</si>
  <si>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</si>
  <si>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</si>
  <si>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</si>
  <si>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</si>
  <si>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</si>
  <si>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</si>
  <si>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</si>
  <si>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</si>
  <si>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</si>
  <si>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</si>
  <si>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</si>
  <si>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</si>
  <si>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</si>
  <si>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</si>
  <si>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</si>
  <si>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</si>
  <si>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</si>
  <si>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</si>
  <si>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</si>
  <si>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</si>
  <si>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</si>
  <si>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</si>
  <si>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</si>
  <si>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</si>
  <si>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</si>
  <si>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</si>
  <si>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</si>
  <si>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</si>
  <si>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</si>
  <si>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</si>
  <si>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</si>
  <si>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</si>
  <si>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</si>
  <si>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</si>
  <si>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</si>
  <si>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</si>
  <si>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</si>
  <si>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</si>
  <si>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</si>
  <si>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</si>
  <si>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</si>
  <si>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</si>
  <si>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</si>
  <si>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</si>
  <si>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</si>
  <si>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</si>
  <si>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</si>
  <si>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</si>
  <si>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</si>
  <si>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</si>
  <si>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</si>
  <si>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</si>
  <si>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</si>
  <si>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</si>
  <si>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</si>
  <si>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</si>
  <si>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</si>
  <si>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</si>
  <si>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</si>
  <si>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</si>
  <si>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</si>
  <si>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</si>
  <si>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</si>
  <si>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</si>
  <si>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</si>
  <si>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</si>
  <si>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</si>
  <si>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</si>
  <si>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</si>
  <si>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</si>
  <si>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</si>
  <si>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</si>
  <si>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</si>
  <si>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</si>
  <si>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</si>
  <si>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</si>
  <si>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</si>
  <si>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</si>
  <si>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</si>
  <si>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</si>
  <si>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</si>
  <si>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</si>
  <si>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</si>
  <si>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</si>
  <si>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</si>
  <si>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</si>
  <si>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</si>
  <si>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</si>
  <si>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</si>
  <si>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</si>
  <si>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</si>
  <si>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</si>
  <si>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Met_Aeronautica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</si>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</sst>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53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0" fontId="42" fillId="0" borderId="15" xfId="0" applyFont="1" applyBorder="1" applyAlignment="1">
      <alignment horizontal="center" vertical="center"/>
    </xf>
    <xf numFmtId="1" fontId="42" fillId="0" borderId="15" xfId="0" applyNumberFormat="1" applyFont="1" applyBorder="1" applyAlignment="1">
      <alignment horizontal="center" vertical="center"/>
    </xf>
    <xf numFmtId="0" fontId="42" fillId="29" borderId="15" xfId="0" applyFont="1" applyFill="1" applyBorder="1" applyAlignment="1">
      <alignment horizontal="center" vertical="center"/>
    </xf>
    <xf numFmtId="169" fontId="42" fillId="0" borderId="30" xfId="0" applyNumberFormat="1" applyFont="1" applyBorder="1" applyAlignment="1">
      <alignment horizontal="center" vertical="center"/>
    </xf>
    <xf numFmtId="1" fontId="43" fillId="26" borderId="20" xfId="0" applyNumberFormat="1" applyFont="1" applyFill="1" applyBorder="1" applyAlignment="1">
      <alignment horizontal="center" vertical="center" wrapText="1"/>
    </xf>
    <xf numFmtId="0" fontId="43" fillId="26" borderId="13" xfId="0" applyFont="1" applyFill="1" applyBorder="1" applyAlignment="1">
      <alignment horizontal="center" vertical="center"/>
    </xf>
    <xf numFmtId="1" fontId="43" fillId="26" borderId="13" xfId="0" applyNumberFormat="1" applyFont="1" applyFill="1" applyBorder="1" applyAlignment="1">
      <alignment horizontal="center" vertical="center" wrapText="1"/>
    </xf>
    <xf numFmtId="168" fontId="43" fillId="26" borderId="13" xfId="0" applyNumberFormat="1" applyFont="1" applyFill="1" applyBorder="1" applyAlignment="1">
      <alignment horizontal="center" vertical="center"/>
    </xf>
    <xf numFmtId="0" fontId="43" fillId="26" borderId="13" xfId="94" applyFont="1" applyFill="1" applyBorder="1" applyAlignment="1">
      <alignment horizontal="center" vertical="center"/>
    </xf>
    <xf numFmtId="1" fontId="43" fillId="26" borderId="13" xfId="0" applyNumberFormat="1" applyFont="1" applyFill="1" applyBorder="1" applyAlignment="1">
      <alignment horizontal="center" vertical="center"/>
    </xf>
    <xf numFmtId="166" fontId="43" fillId="26" borderId="13" xfId="0" applyNumberFormat="1" applyFont="1" applyFill="1" applyBorder="1" applyAlignment="1">
      <alignment horizontal="center" vertical="center" wrapText="1"/>
    </xf>
    <xf numFmtId="0" fontId="43" fillId="26" borderId="13" xfId="0" applyFont="1" applyFill="1" applyBorder="1" applyAlignment="1">
      <alignment horizontal="center" vertical="center" wrapText="1"/>
    </xf>
    <xf numFmtId="166" fontId="43" fillId="26" borderId="13" xfId="0" applyNumberFormat="1" applyFont="1" applyFill="1" applyBorder="1" applyAlignment="1">
      <alignment horizontal="center" vertical="center"/>
    </xf>
    <xf numFmtId="0" fontId="43" fillId="26" borderId="31" xfId="0" applyFont="1" applyFill="1" applyBorder="1" applyAlignment="1">
      <alignment horizontal="center" vertical="center"/>
    </xf>
    <xf numFmtId="1" fontId="42" fillId="0" borderId="32" xfId="0" applyNumberFormat="1" applyFont="1" applyBorder="1" applyAlignment="1">
      <alignment horizontal="center" vertical="center"/>
    </xf>
    <xf numFmtId="1" fontId="42" fillId="0" borderId="33" xfId="0" applyNumberFormat="1" applyFont="1" applyBorder="1" applyAlignment="1">
      <alignment horizontal="left" vertical="center"/>
    </xf>
    <xf numFmtId="2" fontId="42" fillId="0" borderId="33" xfId="0" applyNumberFormat="1" applyFont="1" applyBorder="1" applyAlignment="1">
      <alignment horizontal="center"/>
    </xf>
    <xf numFmtId="1" fontId="42" fillId="0" borderId="33" xfId="0" applyNumberFormat="1" applyFont="1" applyBorder="1" applyAlignment="1">
      <alignment horizontal="center" vertical="center"/>
    </xf>
    <xf numFmtId="0" fontId="42" fillId="0" borderId="33" xfId="0" applyFont="1" applyBorder="1" applyAlignment="1">
      <alignment horizontal="center" vertical="center"/>
    </xf>
    <xf numFmtId="0" fontId="42" fillId="0" borderId="33" xfId="0" applyFont="1" applyBorder="1" applyAlignment="1">
      <alignment horizontal="left" vertical="center"/>
    </xf>
    <xf numFmtId="166" fontId="42" fillId="0" borderId="33" xfId="0" applyNumberFormat="1" applyFont="1" applyBorder="1" applyAlignment="1">
      <alignment horizontal="right" vertical="center"/>
    </xf>
    <xf numFmtId="166" fontId="42" fillId="0" borderId="33" xfId="94" applyNumberFormat="1" applyFont="1" applyBorder="1" applyAlignment="1">
      <alignment horizontal="right" vertical="center"/>
    </xf>
    <xf numFmtId="1" fontId="42" fillId="0" borderId="33" xfId="0" applyNumberFormat="1" applyFont="1" applyBorder="1" applyAlignment="1">
      <alignment horizontal="center"/>
    </xf>
    <xf numFmtId="166" fontId="42" fillId="0" borderId="33" xfId="0" applyNumberFormat="1" applyFont="1" applyBorder="1" applyAlignment="1">
      <alignment horizontal="center"/>
    </xf>
    <xf numFmtId="166" fontId="42" fillId="0" borderId="33" xfId="0" applyNumberFormat="1" applyFont="1" applyBorder="1" applyAlignment="1">
      <alignment horizontal="center" vertical="center"/>
    </xf>
    <xf numFmtId="14" fontId="42" fillId="0" borderId="33" xfId="0" applyNumberFormat="1" applyFont="1" applyBorder="1" applyAlignment="1">
      <alignment horizontal="center" vertical="center"/>
    </xf>
    <xf numFmtId="169" fontId="42" fillId="0" borderId="34" xfId="0" applyNumberFormat="1" applyFont="1" applyBorder="1" applyAlignment="1">
      <alignment horizontal="center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8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9" formatCode="#,##0.0"/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9" formatCode="d/mm/yy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center" vertical="center"/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4:AW208" totalsRowShown="0" dataDxfId="85" headerRowBorderDxfId="86" tableBorderDxfId="84" totalsRowBorderDxfId="83">
  <autoFilter ref="A4:AW208" xr:uid="{00000000-0009-0000-0100-000001000000}"/>
  <sortState xmlns:xlrd2="http://schemas.microsoft.com/office/spreadsheetml/2017/richdata2" ref="A5:AW208">
    <sortCondition ref="AS4:AS208"/>
  </sortState>
  <tableColumns count="49">
    <tableColumn id="1" xr3:uid="{00000000-0010-0000-0000-000001000000}" name="CODIGO" dataDxfId="82"/>
    <tableColumn id="2" xr3:uid="{00000000-0010-0000-0000-000002000000}" name="ESTACION" dataDxfId="81"/>
    <tableColumn id="3" xr3:uid="{00000000-0010-0000-0000-000003000000}" name="AREA_OP" dataDxfId="80"/>
    <tableColumn id="4" xr3:uid="{00000000-0010-0000-0000-000004000000}" name="LON" dataDxfId="79"/>
    <tableColumn id="5" xr3:uid="{00000000-0010-0000-0000-000005000000}" name="LAT" dataDxfId="78"/>
    <tableColumn id="6" xr3:uid="{00000000-0010-0000-0000-000006000000}" name="ELEV" dataDxfId="77"/>
    <tableColumn id="7" xr3:uid="{00000000-0010-0000-0000-000007000000}" name="COD_DPTO" dataDxfId="76"/>
    <tableColumn id="8" xr3:uid="{00000000-0010-0000-0000-000008000000}" name="COD_MUNICIPIO" dataDxfId="75"/>
    <tableColumn id="9" xr3:uid="{00000000-0010-0000-0000-000009000000}" name="DEPARTAMENTO" dataDxfId="74"/>
    <tableColumn id="10" xr3:uid="{00000000-0010-0000-0000-00000A000000}" name="MUNICIPIO" dataDxfId="73"/>
    <tableColumn id="11" xr3:uid="{00000000-0010-0000-0000-00000B000000}" name="1" dataDxfId="72"/>
    <tableColumn id="12" xr3:uid="{00000000-0010-0000-0000-00000C000000}" name="2" dataDxfId="71"/>
    <tableColumn id="13" xr3:uid="{00000000-0010-0000-0000-00000D000000}" name="3" dataDxfId="70"/>
    <tableColumn id="14" xr3:uid="{00000000-0010-0000-0000-00000E000000}" name="4" dataDxfId="69"/>
    <tableColumn id="15" xr3:uid="{00000000-0010-0000-0000-00000F000000}" name="5" dataDxfId="68"/>
    <tableColumn id="16" xr3:uid="{00000000-0010-0000-0000-000010000000}" name="6" dataDxfId="67"/>
    <tableColumn id="17" xr3:uid="{00000000-0010-0000-0000-000011000000}" name="7" dataDxfId="66"/>
    <tableColumn id="18" xr3:uid="{00000000-0010-0000-0000-000012000000}" name="8" dataDxfId="65"/>
    <tableColumn id="19" xr3:uid="{00000000-0010-0000-0000-000013000000}" name="9" dataDxfId="64"/>
    <tableColumn id="20" xr3:uid="{00000000-0010-0000-0000-000014000000}" name="10" dataDxfId="63"/>
    <tableColumn id="21" xr3:uid="{00000000-0010-0000-0000-000015000000}" name="11" dataDxfId="62"/>
    <tableColumn id="22" xr3:uid="{00000000-0010-0000-0000-000016000000}" name="12" dataDxfId="61"/>
    <tableColumn id="23" xr3:uid="{00000000-0010-0000-0000-000017000000}" name="13" dataDxfId="60"/>
    <tableColumn id="24" xr3:uid="{00000000-0010-0000-0000-000018000000}" name="14" dataDxfId="59"/>
    <tableColumn id="25" xr3:uid="{00000000-0010-0000-0000-000019000000}" name="15" dataDxfId="58"/>
    <tableColumn id="26" xr3:uid="{00000000-0010-0000-0000-00001A000000}" name="16" dataDxfId="57" dataCellStyle="Normal 2 2 2"/>
    <tableColumn id="27" xr3:uid="{00000000-0010-0000-0000-00001B000000}" name="17" dataDxfId="56"/>
    <tableColumn id="28" xr3:uid="{00000000-0010-0000-0000-00001C000000}" name="18" dataDxfId="55"/>
    <tableColumn id="29" xr3:uid="{00000000-0010-0000-0000-00001D000000}" name="19" dataDxfId="54"/>
    <tableColumn id="30" xr3:uid="{00000000-0010-0000-0000-00001E000000}" name="20" dataDxfId="53"/>
    <tableColumn id="31" xr3:uid="{00000000-0010-0000-0000-00001F000000}" name="21" dataDxfId="52"/>
    <tableColumn id="32" xr3:uid="{00000000-0010-0000-0000-000020000000}" name="22" dataDxfId="51"/>
    <tableColumn id="33" xr3:uid="{00000000-0010-0000-0000-000021000000}" name="23" dataDxfId="50"/>
    <tableColumn id="34" xr3:uid="{00000000-0010-0000-0000-000022000000}" name="24" dataDxfId="49"/>
    <tableColumn id="35" xr3:uid="{00000000-0010-0000-0000-000023000000}" name="25" dataDxfId="48"/>
    <tableColumn id="36" xr3:uid="{00000000-0010-0000-0000-000024000000}" name="26" dataDxfId="47"/>
    <tableColumn id="37" xr3:uid="{00000000-0010-0000-0000-000025000000}" name="27" dataDxfId="46"/>
    <tableColumn id="38" xr3:uid="{00000000-0010-0000-0000-000026000000}" name="28" dataDxfId="45"/>
    <tableColumn id="39" xr3:uid="{00000000-0010-0000-0000-000027000000}" name="29" dataDxfId="44"/>
    <tableColumn id="40" xr3:uid="{00000000-0010-0000-0000-000028000000}" name="30" dataDxfId="43"/>
    <tableColumn id="41" xr3:uid="{00000000-0010-0000-0000-000029000000}" name="31" dataDxfId="42"/>
    <tableColumn id="42" xr3:uid="{00000000-0010-0000-0000-00002A000000}" name="NUM_DATOS" dataDxfId="41">
      <calculatedColumnFormula>COUNTIF(K5:AO5,"&gt;0")</calculatedColumnFormula>
    </tableColumn>
    <tableColumn id="43" xr3:uid="{00000000-0010-0000-0000-00002B000000}" name="MEDIA_MENSUAL" dataDxfId="40">
      <calculatedColumnFormula>IF(AP5&gt;14,AVERAGE(K5:AO5),"")</calculatedColumnFormula>
    </tableColumn>
    <tableColumn id="44" xr3:uid="{00000000-0010-0000-0000-00002C000000}" name="MEDIA_MULTIANUAL" dataDxfId="39">
      <calculatedColumnFormula>IFERROR(VLOOKUP(A5,Climatologia!A:U,9+$E$2,FALSE),"")</calculatedColumnFormula>
    </tableColumn>
    <tableColumn id="45" xr3:uid="{00000000-0010-0000-0000-00002D000000}" name="ANOMALIA" dataDxfId="38">
      <calculatedColumnFormula>IF(OR(AQ5="",AR5=""),"",IFERROR(AQ5-AR5,""))</calculatedColumnFormula>
    </tableColumn>
    <tableColumn id="46" xr3:uid="{00000000-0010-0000-0000-00002E000000}" name="MIN_MES" dataDxfId="37">
      <calculatedColumnFormula>IF(COUNT(K5:AO5)=0,"",MIN(K5:AO5))</calculatedColumnFormula>
    </tableColumn>
    <tableColumn id="47" xr3:uid="{00000000-0010-0000-0000-00002F000000}" name="MIN_HISTORICO" dataDxfId="36">
      <calculatedColumnFormula array="1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calculatedColumnFormula>
    </tableColumn>
    <tableColumn id="48" xr3:uid="{00000000-0010-0000-0000-000030000000}" name="FECHA" dataDxfId="35">
      <calculatedColumnFormula array="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calculatedColumnFormula>
    </tableColumn>
    <tableColumn id="49" xr3:uid="{00000000-0010-0000-0000-000031000000}" name="DIFERENCIA" dataDxfId="34">
      <calculatedColumnFormula>IF(OR(AT5="",AU5=""),"NA",IFERROR(AT5-AU5,"NA"))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H196" zoomScale="80" zoomScaleNormal="80" workbookViewId="0">
      <selection activeCell="K5" sqref="K5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39" width="32.42578125" style="74" customWidth="1"/>
    <col min="140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AGOSTO</v>
      </c>
      <c r="E2" s="82">
        <v>8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4.3</v>
      </c>
      <c r="L2" s="89">
        <f t="shared" si="0"/>
        <v>0</v>
      </c>
      <c r="M2" s="89">
        <f t="shared" si="0"/>
        <v>0</v>
      </c>
      <c r="N2" s="89">
        <f t="shared" si="0"/>
        <v>0</v>
      </c>
      <c r="O2" s="89">
        <f t="shared" si="0"/>
        <v>0</v>
      </c>
      <c r="P2" s="89">
        <f t="shared" si="0"/>
        <v>0</v>
      </c>
      <c r="Q2" s="89">
        <f t="shared" si="0"/>
        <v>0</v>
      </c>
      <c r="R2" s="89">
        <f t="shared" si="0"/>
        <v>0</v>
      </c>
      <c r="S2" s="89">
        <f t="shared" si="0"/>
        <v>0</v>
      </c>
      <c r="T2" s="89">
        <f t="shared" si="0"/>
        <v>0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26.1</v>
      </c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</v>
      </c>
      <c r="AQ5" s="89" t="str">
        <f t="shared" ref="AQ5:AQ68" si="2">IF(AP5&gt;14,AVERAGE(K5:AO5),"")</f>
        <v/>
      </c>
      <c r="AR5" s="89">
        <f>IFERROR(VLOOKUP(A5,Climatologia!A:U,9+$E$2,FALSE),"")</f>
        <v>26.259288578530331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26.1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5.1000000000000014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26.6</v>
      </c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</v>
      </c>
      <c r="AQ6" s="89" t="str">
        <f t="shared" si="2"/>
        <v/>
      </c>
      <c r="AR6" s="89">
        <f>IFERROR(VLOOKUP(A6,Climatologia!A:U,9+$E$2,FALSE),"")</f>
        <v>26.228813072776621</v>
      </c>
      <c r="AS6" s="89" t="str">
        <f t="shared" si="3"/>
        <v/>
      </c>
      <c r="AT6" s="90">
        <f t="shared" si="4"/>
        <v>26.6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6.2000000000000028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</v>
      </c>
      <c r="AQ7" s="89" t="str">
        <f t="shared" si="2"/>
        <v/>
      </c>
      <c r="AR7" s="89">
        <f>IFERROR(VLOOKUP(A7,Climatologia!A:U,9+$E$2,FALSE),"")</f>
        <v>24.806006674082301</v>
      </c>
      <c r="AS7" s="89" t="str">
        <f t="shared" si="3"/>
        <v/>
      </c>
      <c r="AT7" s="90">
        <f t="shared" si="4"/>
        <v>27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6.3999999999999986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26.5</v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</v>
      </c>
      <c r="AQ8" s="89" t="str">
        <f t="shared" si="2"/>
        <v/>
      </c>
      <c r="AR8" s="89">
        <f>IFERROR(VLOOKUP(A8,Climatologia!A:U,9+$E$2,FALSE),"")</f>
        <v>25.86230323116423</v>
      </c>
      <c r="AS8" s="89" t="str">
        <f t="shared" si="3"/>
        <v/>
      </c>
      <c r="AT8" s="90">
        <f t="shared" si="4"/>
        <v>26.5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6.3000000000000007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25.8</v>
      </c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</v>
      </c>
      <c r="AQ9" s="89" t="str">
        <f t="shared" si="2"/>
        <v/>
      </c>
      <c r="AR9" s="89">
        <f>IFERROR(VLOOKUP(A9,Climatologia!A:U,9+$E$2,FALSE),"")</f>
        <v>24.75295901904628</v>
      </c>
      <c r="AS9" s="89" t="str">
        <f t="shared" si="3"/>
        <v/>
      </c>
      <c r="AT9" s="90">
        <f t="shared" si="4"/>
        <v>25.8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5.4000000000000021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28.3</v>
      </c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</v>
      </c>
      <c r="AQ10" s="89" t="str">
        <f t="shared" si="2"/>
        <v/>
      </c>
      <c r="AR10" s="89">
        <f>IFERROR(VLOOKUP(A10,Climatologia!A:U,9+$E$2,FALSE),"")</f>
        <v>25.518421261719372</v>
      </c>
      <c r="AS10" s="89" t="str">
        <f t="shared" si="3"/>
        <v/>
      </c>
      <c r="AT10" s="90">
        <f t="shared" si="4"/>
        <v>28.3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6.9000000000000021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26.9</v>
      </c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</v>
      </c>
      <c r="AQ11" s="89" t="str">
        <f t="shared" si="2"/>
        <v/>
      </c>
      <c r="AR11" s="89">
        <f>IFERROR(VLOOKUP(A11,Climatologia!A:U,9+$E$2,FALSE),"")</f>
        <v>24.333982334869429</v>
      </c>
      <c r="AS11" s="89" t="str">
        <f t="shared" si="3"/>
        <v/>
      </c>
      <c r="AT11" s="90">
        <f t="shared" si="4"/>
        <v>26.9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6.8999999999999986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26.3</v>
      </c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</v>
      </c>
      <c r="AQ12" s="89" t="str">
        <f t="shared" si="2"/>
        <v/>
      </c>
      <c r="AR12" s="89">
        <f>IFERROR(VLOOKUP(A12,Climatologia!A:U,9+$E$2,FALSE),"")</f>
        <v>23.252867103531361</v>
      </c>
      <c r="AS12" s="89" t="str">
        <f t="shared" si="3"/>
        <v/>
      </c>
      <c r="AT12" s="90">
        <f t="shared" si="4"/>
        <v>26.3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6.5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26</v>
      </c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</v>
      </c>
      <c r="AQ13" s="89" t="str">
        <f t="shared" si="2"/>
        <v/>
      </c>
      <c r="AR13" s="89">
        <f>IFERROR(VLOOKUP(A13,Climatologia!A:U,9+$E$2,FALSE),"")</f>
        <v>23.256381449473771</v>
      </c>
      <c r="AS13" s="89" t="str">
        <f t="shared" si="3"/>
        <v/>
      </c>
      <c r="AT13" s="90">
        <f t="shared" si="4"/>
        <v>26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6.3999999999999986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20.6</v>
      </c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</v>
      </c>
      <c r="AQ14" s="89" t="str">
        <f t="shared" si="2"/>
        <v/>
      </c>
      <c r="AR14" s="89">
        <f>IFERROR(VLOOKUP(A14,Climatologia!A:U,9+$E$2,FALSE),"")</f>
        <v>18.604610712863401</v>
      </c>
      <c r="AS14" s="89" t="str">
        <f t="shared" si="3"/>
        <v/>
      </c>
      <c r="AT14" s="90">
        <f t="shared" si="4"/>
        <v>20.6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4.2000000000000028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27.3</v>
      </c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</v>
      </c>
      <c r="AQ15" s="89" t="str">
        <f t="shared" si="2"/>
        <v/>
      </c>
      <c r="AR15" s="89">
        <f>IFERROR(VLOOKUP(A15,Climatologia!A:U,9+$E$2,FALSE),"")</f>
        <v>23.891303077493511</v>
      </c>
      <c r="AS15" s="89" t="str">
        <f t="shared" si="3"/>
        <v/>
      </c>
      <c r="AT15" s="90">
        <f t="shared" si="4"/>
        <v>27.3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8.5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25.9</v>
      </c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</v>
      </c>
      <c r="AQ16" s="89" t="str">
        <f t="shared" si="2"/>
        <v/>
      </c>
      <c r="AR16" s="89">
        <f>IFERROR(VLOOKUP(A16,Climatologia!A:U,9+$E$2,FALSE),"")</f>
        <v>23.404404619673439</v>
      </c>
      <c r="AS16" s="89" t="str">
        <f t="shared" si="3"/>
        <v/>
      </c>
      <c r="AT16" s="90">
        <f t="shared" si="4"/>
        <v>25.9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6.8999999999999986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18.7</v>
      </c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</v>
      </c>
      <c r="AQ17" s="89" t="str">
        <f t="shared" si="2"/>
        <v/>
      </c>
      <c r="AR17" s="89">
        <f>IFERROR(VLOOKUP(A17,Climatologia!A:U,9+$E$2,FALSE),"")</f>
        <v>17.58853046594982</v>
      </c>
      <c r="AS17" s="89" t="str">
        <f t="shared" si="3"/>
        <v/>
      </c>
      <c r="AT17" s="90">
        <f t="shared" si="4"/>
        <v>18.7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7.2999999999999989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11.6</v>
      </c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</v>
      </c>
      <c r="AQ18" s="89" t="str">
        <f t="shared" si="2"/>
        <v/>
      </c>
      <c r="AR18" s="89">
        <f>IFERROR(VLOOKUP(A18,Climatologia!A:U,9+$E$2,FALSE),"")</f>
        <v>12.112884686688909</v>
      </c>
      <c r="AS18" s="89" t="str">
        <f t="shared" si="3"/>
        <v/>
      </c>
      <c r="AT18" s="90">
        <f t="shared" si="4"/>
        <v>11.6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4.5999999999999996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</v>
      </c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</v>
      </c>
      <c r="AQ19" s="89" t="str">
        <f t="shared" si="2"/>
        <v/>
      </c>
      <c r="AR19" s="89">
        <f>IFERROR(VLOOKUP(A19,Climatologia!A:U,9+$E$2,FALSE),"")</f>
        <v>17.60198511166254</v>
      </c>
      <c r="AS19" s="89" t="str">
        <f t="shared" si="3"/>
        <v/>
      </c>
      <c r="AT19" s="90">
        <f t="shared" si="4"/>
        <v>19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5.8000000000000007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17.600000000000001</v>
      </c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</v>
      </c>
      <c r="AQ20" s="89" t="str">
        <f t="shared" si="2"/>
        <v/>
      </c>
      <c r="AR20" s="89">
        <f>IFERROR(VLOOKUP(A20,Climatologia!A:U,9+$E$2,FALSE),"")</f>
        <v>16.759506289039098</v>
      </c>
      <c r="AS20" s="89" t="str">
        <f t="shared" si="3"/>
        <v/>
      </c>
      <c r="AT20" s="90">
        <f t="shared" si="4"/>
        <v>17.600000000000001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6.2000000000000011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20.2</v>
      </c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</v>
      </c>
      <c r="AQ21" s="89" t="str">
        <f t="shared" si="2"/>
        <v/>
      </c>
      <c r="AR21" s="89">
        <f>IFERROR(VLOOKUP(A21,Climatologia!A:U,9+$E$2,FALSE),"")</f>
        <v>19.456815855631209</v>
      </c>
      <c r="AS21" s="89" t="str">
        <f t="shared" si="3"/>
        <v/>
      </c>
      <c r="AT21" s="90">
        <f t="shared" si="4"/>
        <v>20.2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4.3999999999999986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10.3</v>
      </c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</v>
      </c>
      <c r="AQ22" s="89" t="str">
        <f t="shared" si="2"/>
        <v/>
      </c>
      <c r="AR22" s="89">
        <f>IFERROR(VLOOKUP(A22,Climatologia!A:U,9+$E$2,FALSE),"")</f>
        <v>8.3796136733122264</v>
      </c>
      <c r="AS22" s="89" t="str">
        <f t="shared" si="3"/>
        <v/>
      </c>
      <c r="AT22" s="90">
        <f t="shared" si="4"/>
        <v>10.3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10.600000000000001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20.2</v>
      </c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</v>
      </c>
      <c r="AQ23" s="89" t="str">
        <f t="shared" si="2"/>
        <v/>
      </c>
      <c r="AR23" s="89">
        <f>IFERROR(VLOOKUP(A23,Climatologia!A:U,9+$E$2,FALSE),"")</f>
        <v>18.46166778427882</v>
      </c>
      <c r="AS23" s="89" t="str">
        <f t="shared" si="3"/>
        <v/>
      </c>
      <c r="AT23" s="90">
        <f t="shared" si="4"/>
        <v>20.2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6.7999999999999989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26</v>
      </c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</v>
      </c>
      <c r="AQ24" s="89" t="str">
        <f t="shared" si="2"/>
        <v/>
      </c>
      <c r="AR24" s="89">
        <f>IFERROR(VLOOKUP(A24,Climatologia!A:U,9+$E$2,FALSE),"")</f>
        <v>23.298802867383511</v>
      </c>
      <c r="AS24" s="89" t="str">
        <f t="shared" si="3"/>
        <v/>
      </c>
      <c r="AT24" s="90">
        <f t="shared" si="4"/>
        <v>26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7.5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16.2</v>
      </c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</v>
      </c>
      <c r="AQ25" s="89" t="str">
        <f t="shared" si="2"/>
        <v/>
      </c>
      <c r="AR25" s="89">
        <f>IFERROR(VLOOKUP(A25,Climatologia!A:U,9+$E$2,FALSE),"")</f>
        <v>14.619937099422639</v>
      </c>
      <c r="AS25" s="89" t="str">
        <f t="shared" si="3"/>
        <v/>
      </c>
      <c r="AT25" s="90">
        <f t="shared" si="4"/>
        <v>16.2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5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</v>
      </c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</v>
      </c>
      <c r="AQ26" s="89" t="str">
        <f t="shared" si="2"/>
        <v/>
      </c>
      <c r="AR26" s="89">
        <f>IFERROR(VLOOKUP(A26,Climatologia!A:U,9+$E$2,FALSE),"")</f>
        <v>4.8923173896922503</v>
      </c>
      <c r="AS26" s="89" t="str">
        <f t="shared" si="3"/>
        <v/>
      </c>
      <c r="AT26" s="90">
        <f t="shared" si="4"/>
        <v>9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10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23.6</v>
      </c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</v>
      </c>
      <c r="AQ27" s="89" t="str">
        <f t="shared" si="2"/>
        <v/>
      </c>
      <c r="AR27" s="89">
        <f>IFERROR(VLOOKUP(A27,Climatologia!A:U,9+$E$2,FALSE),"")</f>
        <v>23.179136204978711</v>
      </c>
      <c r="AS27" s="89" t="str">
        <f t="shared" si="3"/>
        <v/>
      </c>
      <c r="AT27" s="90">
        <f t="shared" si="4"/>
        <v>23.6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3.2000000000000028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22.5</v>
      </c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</v>
      </c>
      <c r="AQ28" s="89" t="str">
        <f t="shared" si="2"/>
        <v/>
      </c>
      <c r="AR28" s="89">
        <f>IFERROR(VLOOKUP(A28,Climatologia!A:U,9+$E$2,FALSE),"")</f>
        <v>22.746845081640782</v>
      </c>
      <c r="AS28" s="89" t="str">
        <f t="shared" si="3"/>
        <v/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25.2</v>
      </c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</v>
      </c>
      <c r="AQ29" s="89" t="str">
        <f t="shared" si="2"/>
        <v/>
      </c>
      <c r="AR29" s="89">
        <f>IFERROR(VLOOKUP(A29,Climatologia!A:U,9+$E$2,FALSE),"")</f>
        <v>23.54566184649611</v>
      </c>
      <c r="AS29" s="89" t="str">
        <f t="shared" si="3"/>
        <v/>
      </c>
      <c r="AT29" s="90">
        <f t="shared" si="4"/>
        <v>25.2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5.1999999999999993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21.2</v>
      </c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</v>
      </c>
      <c r="AQ30" s="89" t="str">
        <f t="shared" si="2"/>
        <v/>
      </c>
      <c r="AR30" s="89">
        <f>IFERROR(VLOOKUP(A30,Climatologia!A:U,9+$E$2,FALSE),"")</f>
        <v>20.53698553948831</v>
      </c>
      <c r="AS30" s="89" t="str">
        <f t="shared" si="3"/>
        <v/>
      </c>
      <c r="AT30" s="90">
        <f t="shared" si="4"/>
        <v>21.2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4.1999999999999993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23.7</v>
      </c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</v>
      </c>
      <c r="AQ31" s="89" t="str">
        <f t="shared" si="2"/>
        <v/>
      </c>
      <c r="AR31" s="89">
        <f>IFERROR(VLOOKUP(A31,Climatologia!A:U,9+$E$2,FALSE),"")</f>
        <v>21.82882961124896</v>
      </c>
      <c r="AS31" s="89" t="str">
        <f t="shared" si="3"/>
        <v/>
      </c>
      <c r="AT31" s="90">
        <f t="shared" si="4"/>
        <v>23.7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9.1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14.2</v>
      </c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</v>
      </c>
      <c r="AQ32" s="89" t="str">
        <f t="shared" si="2"/>
        <v/>
      </c>
      <c r="AR32" s="89">
        <f>IFERROR(VLOOKUP(A32,Climatologia!A:U,9+$E$2,FALSE),"")</f>
        <v>13.384747431302269</v>
      </c>
      <c r="AS32" s="89" t="str">
        <f t="shared" si="3"/>
        <v/>
      </c>
      <c r="AT32" s="90">
        <f t="shared" si="4"/>
        <v>14.2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5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</v>
      </c>
      <c r="AQ34" s="89" t="str">
        <f t="shared" si="2"/>
        <v/>
      </c>
      <c r="AR34" s="89">
        <f>IFERROR(VLOOKUP(A34,Climatologia!A:U,9+$E$2,FALSE),"")</f>
        <v>14.78540372493654</v>
      </c>
      <c r="AS34" s="89" t="str">
        <f t="shared" si="3"/>
        <v/>
      </c>
      <c r="AT34" s="90">
        <f t="shared" si="4"/>
        <v>15.2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5.1999999999999993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</v>
      </c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</v>
      </c>
      <c r="AQ35" s="89" t="str">
        <f t="shared" si="2"/>
        <v/>
      </c>
      <c r="AR35" s="89">
        <f>IFERROR(VLOOKUP(A35,Climatologia!A:U,9+$E$2,FALSE),"")</f>
        <v>13.2928973207542</v>
      </c>
      <c r="AS35" s="89" t="str">
        <f t="shared" si="3"/>
        <v/>
      </c>
      <c r="AT35" s="90">
        <f t="shared" si="4"/>
        <v>15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6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17.8</v>
      </c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1</v>
      </c>
      <c r="AQ36" s="89" t="str">
        <f t="shared" si="2"/>
        <v/>
      </c>
      <c r="AR36" s="89">
        <f>IFERROR(VLOOKUP(A36,Climatologia!A:U,9+$E$2,FALSE),"")</f>
        <v>19.435919418842811</v>
      </c>
      <c r="AS36" s="89" t="str">
        <f t="shared" si="3"/>
        <v/>
      </c>
      <c r="AT36" s="90">
        <f t="shared" si="4"/>
        <v>17.8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2.8000000000000007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8.8000000000000007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</v>
      </c>
      <c r="AQ37" s="89" t="str">
        <f t="shared" si="2"/>
        <v/>
      </c>
      <c r="AR37" s="89">
        <f>IFERROR(VLOOKUP(A37,Climatologia!A:U,9+$E$2,FALSE),"")</f>
        <v>9.4603029050299927</v>
      </c>
      <c r="AS37" s="89" t="str">
        <f t="shared" si="3"/>
        <v/>
      </c>
      <c r="AT37" s="90">
        <f t="shared" si="4"/>
        <v>8.8000000000000007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17.2</v>
      </c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17.2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3.1999999999999993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</v>
      </c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1</v>
      </c>
      <c r="AQ39" s="89" t="str">
        <f t="shared" si="2"/>
        <v/>
      </c>
      <c r="AR39" s="89">
        <f>IFERROR(VLOOKUP(A39,Climatologia!A:U,9+$E$2,FALSE),"")</f>
        <v>17.324090157154679</v>
      </c>
      <c r="AS39" s="89" t="str">
        <f t="shared" si="3"/>
        <v/>
      </c>
      <c r="AT39" s="90">
        <f t="shared" si="4"/>
        <v>19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6.8000000000000007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14.2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</v>
      </c>
      <c r="AQ40" s="89" t="str">
        <f t="shared" si="2"/>
        <v/>
      </c>
      <c r="AR40" s="89">
        <f>IFERROR(VLOOKUP(A40,Climatologia!A:U,9+$E$2,FALSE),"")</f>
        <v>13.024959037378389</v>
      </c>
      <c r="AS40" s="89" t="str">
        <f t="shared" si="3"/>
        <v/>
      </c>
      <c r="AT40" s="90">
        <f t="shared" si="4"/>
        <v>14.2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4.7999999999999989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24</v>
      </c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6.8000000000000007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27</v>
      </c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</v>
      </c>
      <c r="AQ42" s="89" t="str">
        <f t="shared" si="2"/>
        <v/>
      </c>
      <c r="AR42" s="89">
        <f>IFERROR(VLOOKUP(A42,Climatologia!A:U,9+$E$2,FALSE),"")</f>
        <v>24.242887721454171</v>
      </c>
      <c r="AS42" s="89" t="str">
        <f t="shared" si="3"/>
        <v/>
      </c>
      <c r="AT42" s="90">
        <f t="shared" si="4"/>
        <v>27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23.5</v>
      </c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</v>
      </c>
      <c r="AQ43" s="89" t="str">
        <f t="shared" si="2"/>
        <v/>
      </c>
      <c r="AR43" s="89">
        <f>IFERROR(VLOOKUP(A43,Climatologia!A:U,9+$E$2,FALSE),"")</f>
        <v>23.780114118567958</v>
      </c>
      <c r="AS43" s="89" t="str">
        <f t="shared" si="3"/>
        <v/>
      </c>
      <c r="AT43" s="90">
        <f t="shared" si="4"/>
        <v>23.5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4.1000000000000014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25.6</v>
      </c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1</v>
      </c>
      <c r="AQ44" s="89" t="str">
        <f t="shared" si="2"/>
        <v/>
      </c>
      <c r="AR44" s="89">
        <f>IFERROR(VLOOKUP(A44,Climatologia!A:U,9+$E$2,FALSE),"")</f>
        <v>23.0554149406661</v>
      </c>
      <c r="AS44" s="89" t="str">
        <f t="shared" si="3"/>
        <v/>
      </c>
      <c r="AT44" s="90">
        <f t="shared" si="4"/>
        <v>25.6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9.4000000000000021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26.4</v>
      </c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</v>
      </c>
      <c r="AQ47" s="89" t="str">
        <f t="shared" si="2"/>
        <v/>
      </c>
      <c r="AR47" s="89">
        <f>IFERROR(VLOOKUP(A47,Climatologia!A:U,9+$E$2,FALSE),"")</f>
        <v>22.672444338506629</v>
      </c>
      <c r="AS47" s="89" t="str">
        <f t="shared" si="3"/>
        <v/>
      </c>
      <c r="AT47" s="90">
        <f t="shared" si="4"/>
        <v>26.4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8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</v>
      </c>
      <c r="AQ51" s="89" t="str">
        <f t="shared" si="2"/>
        <v/>
      </c>
      <c r="AR51" s="89">
        <f>IFERROR(VLOOKUP(A51,Climatologia!A:U,9+$E$2,FALSE),"")</f>
        <v>23.046735261401551</v>
      </c>
      <c r="AS51" s="89" t="str">
        <f t="shared" si="3"/>
        <v/>
      </c>
      <c r="AT51" s="90">
        <f t="shared" si="4"/>
        <v>26.6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9.6000000000000014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27</v>
      </c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1</v>
      </c>
      <c r="AQ52" s="89" t="str">
        <f t="shared" si="2"/>
        <v/>
      </c>
      <c r="AR52" s="89">
        <f>IFERROR(VLOOKUP(A52,Climatologia!A:U,9+$E$2,FALSE),"")</f>
        <v>22.42011697979439</v>
      </c>
      <c r="AS52" s="89" t="str">
        <f t="shared" si="3"/>
        <v/>
      </c>
      <c r="AT52" s="90">
        <f t="shared" si="4"/>
        <v>27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8.8000000000000007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25.8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8.1999999999999993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1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22.2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2.1999999999999993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</v>
      </c>
      <c r="AQ57" s="89" t="str">
        <f t="shared" si="2"/>
        <v/>
      </c>
      <c r="AR57" s="89">
        <f>IFERROR(VLOOKUP(A57,Climatologia!A:U,9+$E$2,FALSE),"")</f>
        <v>23.979265352535649</v>
      </c>
      <c r="AS57" s="89" t="str">
        <f t="shared" si="3"/>
        <v/>
      </c>
      <c r="AT57" s="90">
        <f t="shared" si="4"/>
        <v>26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8.1999999999999993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0</v>
      </c>
      <c r="AQ58" s="89" t="str">
        <f t="shared" si="2"/>
        <v/>
      </c>
      <c r="AR58" s="89">
        <f>IFERROR(VLOOKUP(A58,Climatologia!A:U,9+$E$2,FALSE),"")</f>
        <v>21.13704119852942</v>
      </c>
      <c r="AS58" s="89" t="str">
        <f t="shared" si="3"/>
        <v/>
      </c>
      <c r="AT58" s="90" t="str">
        <f t="shared" si="4"/>
        <v/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 t="str">
        <f t="shared" si="5"/>
        <v>NA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22.6</v>
      </c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</v>
      </c>
      <c r="AQ60" s="89" t="str">
        <f t="shared" si="2"/>
        <v/>
      </c>
      <c r="AR60" s="89">
        <f>IFERROR(VLOOKUP(A60,Climatologia!A:U,9+$E$2,FALSE),"")</f>
        <v>21.421723438405142</v>
      </c>
      <c r="AS60" s="89" t="str">
        <f t="shared" si="3"/>
        <v/>
      </c>
      <c r="AT60" s="90">
        <f t="shared" si="4"/>
        <v>22.6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5.6000000000000014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>
        <v>20.2</v>
      </c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</v>
      </c>
      <c r="AQ63" s="89" t="str">
        <f t="shared" si="2"/>
        <v/>
      </c>
      <c r="AR63" s="89">
        <f>IFERROR(VLOOKUP(A63,Climatologia!A:U,9+$E$2,FALSE),"")</f>
        <v>22.115021493152749</v>
      </c>
      <c r="AS63" s="89" t="str">
        <f t="shared" si="3"/>
        <v/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20.8</v>
      </c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</v>
      </c>
      <c r="AQ64" s="89" t="str">
        <f t="shared" si="2"/>
        <v/>
      </c>
      <c r="AR64" s="89">
        <f>IFERROR(VLOOKUP(A64,Climatologia!A:U,9+$E$2,FALSE),"")</f>
        <v>21.829845625062539</v>
      </c>
      <c r="AS64" s="89" t="str">
        <f t="shared" si="3"/>
        <v/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</v>
      </c>
      <c r="AQ65" s="89" t="str">
        <f t="shared" si="2"/>
        <v/>
      </c>
      <c r="AR65" s="89">
        <f>IFERROR(VLOOKUP(A65,Climatologia!A:U,9+$E$2,FALSE),"")</f>
        <v>21.51595325788206</v>
      </c>
      <c r="AS65" s="89" t="str">
        <f t="shared" si="3"/>
        <v/>
      </c>
      <c r="AT65" s="90">
        <f t="shared" si="4"/>
        <v>22.2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4.1999999999999993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20.6</v>
      </c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</v>
      </c>
      <c r="AQ67" s="89" t="str">
        <f t="shared" si="2"/>
        <v/>
      </c>
      <c r="AR67" s="89">
        <f>IFERROR(VLOOKUP(A67,Climatologia!A:U,9+$E$2,FALSE),"")</f>
        <v>21.155438855480959</v>
      </c>
      <c r="AS67" s="89" t="str">
        <f t="shared" si="3"/>
        <v/>
      </c>
      <c r="AT67" s="90">
        <f t="shared" si="4"/>
        <v>20.6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2.6000000000000014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19.399999999999999</v>
      </c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</v>
      </c>
      <c r="AQ68" s="89" t="str">
        <f t="shared" si="2"/>
        <v/>
      </c>
      <c r="AR68" s="89">
        <f>IFERROR(VLOOKUP(A68,Climatologia!A:U,9+$E$2,FALSE),"")</f>
        <v>21.17954086440843</v>
      </c>
      <c r="AS68" s="89" t="str">
        <f t="shared" si="3"/>
        <v/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23</v>
      </c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</v>
      </c>
      <c r="AQ69" s="89" t="str">
        <f t="shared" ref="AQ69:AQ132" si="7">IF(AP69&gt;14,AVERAGE(K69:AO69),"")</f>
        <v/>
      </c>
      <c r="AR69" s="89">
        <f>IFERROR(VLOOKUP(A69,Climatologia!A:U,9+$E$2,FALSE),"")</f>
        <v>20.95822964669739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23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5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22.2</v>
      </c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</v>
      </c>
      <c r="AQ70" s="89" t="str">
        <f t="shared" si="7"/>
        <v/>
      </c>
      <c r="AR70" s="89">
        <f>IFERROR(VLOOKUP(A70,Climatologia!A:U,9+$E$2,FALSE),"")</f>
        <v>22.49395085458767</v>
      </c>
      <c r="AS70" s="89" t="str">
        <f t="shared" si="8"/>
        <v/>
      </c>
      <c r="AT70" s="90">
        <f t="shared" si="9"/>
        <v>22.2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6.7999999999999989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22.1</v>
      </c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1</v>
      </c>
      <c r="AQ71" s="89" t="str">
        <f t="shared" si="7"/>
        <v/>
      </c>
      <c r="AR71" s="89">
        <f>IFERROR(VLOOKUP(A71,Climatologia!A:U,9+$E$2,FALSE),"")</f>
        <v>21.499102150537631</v>
      </c>
      <c r="AS71" s="89" t="str">
        <f t="shared" si="8"/>
        <v/>
      </c>
      <c r="AT71" s="90">
        <f t="shared" si="9"/>
        <v>22.1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6.1000000000000014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21.4</v>
      </c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</v>
      </c>
      <c r="AQ72" s="89" t="str">
        <f t="shared" si="7"/>
        <v/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21.4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2.5999999999999979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18.2</v>
      </c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1</v>
      </c>
      <c r="AQ73" s="89" t="str">
        <f t="shared" si="7"/>
        <v/>
      </c>
      <c r="AR73" s="89">
        <f>IFERROR(VLOOKUP(A73,Climatologia!A:U,9+$E$2,FALSE),"")</f>
        <v>16.339759362254359</v>
      </c>
      <c r="AS73" s="89" t="str">
        <f t="shared" si="8"/>
        <v/>
      </c>
      <c r="AT73" s="90">
        <f t="shared" si="9"/>
        <v>18.2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4.6999999999999993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12.6</v>
      </c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</v>
      </c>
      <c r="AQ74" s="89" t="str">
        <f t="shared" si="7"/>
        <v/>
      </c>
      <c r="AR74" s="89">
        <f>IFERROR(VLOOKUP(A74,Climatologia!A:U,9+$E$2,FALSE),"")</f>
        <v>11.60078927362504</v>
      </c>
      <c r="AS74" s="89" t="str">
        <f t="shared" si="8"/>
        <v/>
      </c>
      <c r="AT74" s="90">
        <f t="shared" si="9"/>
        <v>12.6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4.5999999999999996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16</v>
      </c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1</v>
      </c>
      <c r="AQ75" s="89" t="str">
        <f t="shared" si="7"/>
        <v/>
      </c>
      <c r="AR75" s="89">
        <f>IFERROR(VLOOKUP(A75,Climatologia!A:U,9+$E$2,FALSE),"")</f>
        <v>15.418794564997761</v>
      </c>
      <c r="AS75" s="89" t="str">
        <f t="shared" si="8"/>
        <v/>
      </c>
      <c r="AT75" s="90">
        <f t="shared" si="9"/>
        <v>16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5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18.2</v>
      </c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1</v>
      </c>
      <c r="AQ76" s="89" t="str">
        <f t="shared" si="7"/>
        <v/>
      </c>
      <c r="AR76" s="89">
        <f>IFERROR(VLOOKUP(A76,Climatologia!A:U,9+$E$2,FALSE),"")</f>
        <v>18.47633867500863</v>
      </c>
      <c r="AS76" s="89" t="str">
        <f t="shared" si="8"/>
        <v/>
      </c>
      <c r="AT76" s="90">
        <f t="shared" si="9"/>
        <v>18.2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2.7999999999999989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24.4</v>
      </c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1</v>
      </c>
      <c r="AQ77" s="89" t="str">
        <f t="shared" si="7"/>
        <v/>
      </c>
      <c r="AR77" s="89">
        <f>IFERROR(VLOOKUP(A77,Climatologia!A:U,9+$E$2,FALSE),"")</f>
        <v>24.545433207708651</v>
      </c>
      <c r="AS77" s="89" t="str">
        <f t="shared" si="8"/>
        <v/>
      </c>
      <c r="AT77" s="90">
        <f t="shared" si="9"/>
        <v>24.4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6.5999999999999979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25.6</v>
      </c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</v>
      </c>
      <c r="AQ78" s="89" t="str">
        <f t="shared" si="7"/>
        <v/>
      </c>
      <c r="AR78" s="89">
        <f>IFERROR(VLOOKUP(A78,Climatologia!A:U,9+$E$2,FALSE),"")</f>
        <v>23.46580771270726</v>
      </c>
      <c r="AS78" s="89" t="str">
        <f t="shared" si="8"/>
        <v/>
      </c>
      <c r="AT78" s="90">
        <f t="shared" si="9"/>
        <v>25.6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7.4000000000000021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0</v>
      </c>
      <c r="AQ79" s="89" t="str">
        <f t="shared" si="7"/>
        <v/>
      </c>
      <c r="AR79" s="89">
        <f>IFERROR(VLOOKUP(A79,Climatologia!A:U,9+$E$2,FALSE),"")</f>
        <v>15.28784620132488</v>
      </c>
      <c r="AS79" s="89" t="str">
        <f t="shared" si="8"/>
        <v/>
      </c>
      <c r="AT79" s="90" t="str">
        <f t="shared" si="9"/>
        <v/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>
        <v>23.6</v>
      </c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1</v>
      </c>
      <c r="AQ81" s="89" t="str">
        <f t="shared" si="7"/>
        <v/>
      </c>
      <c r="AR81" s="89">
        <f>IFERROR(VLOOKUP(A81,Climatologia!A:U,9+$E$2,FALSE),"")</f>
        <v>21.715420961210111</v>
      </c>
      <c r="AS81" s="89" t="str">
        <f t="shared" si="8"/>
        <v/>
      </c>
      <c r="AT81" s="90">
        <f t="shared" si="9"/>
        <v>23.6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6.8000000000000007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26.6</v>
      </c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</v>
      </c>
      <c r="AQ83" s="89" t="str">
        <f t="shared" si="7"/>
        <v/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26.6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8.2000000000000028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26.4</v>
      </c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</v>
      </c>
      <c r="AQ84" s="89" t="str">
        <f t="shared" si="7"/>
        <v/>
      </c>
      <c r="AR84" s="89">
        <f>IFERROR(VLOOKUP(A84,Climatologia!A:U,9+$E$2,FALSE),"")</f>
        <v>23.659247311827961</v>
      </c>
      <c r="AS84" s="89" t="str">
        <f t="shared" si="8"/>
        <v/>
      </c>
      <c r="AT84" s="90">
        <f t="shared" si="9"/>
        <v>26.4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9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25.4</v>
      </c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</v>
      </c>
      <c r="AQ85" s="89" t="str">
        <f t="shared" si="7"/>
        <v/>
      </c>
      <c r="AR85" s="89">
        <f>IFERROR(VLOOKUP(A85,Climatologia!A:U,9+$E$2,FALSE),"")</f>
        <v>23.235308274059729</v>
      </c>
      <c r="AS85" s="89" t="str">
        <f t="shared" si="8"/>
        <v/>
      </c>
      <c r="AT85" s="90">
        <f t="shared" si="9"/>
        <v>25.4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6.1999999999999993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22</v>
      </c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1</v>
      </c>
      <c r="AQ86" s="89" t="str">
        <f t="shared" si="7"/>
        <v/>
      </c>
      <c r="AR86" s="89">
        <f>IFERROR(VLOOKUP(A86,Climatologia!A:U,9+$E$2,FALSE),"")</f>
        <v>22.828530465949822</v>
      </c>
      <c r="AS86" s="89" t="str">
        <f t="shared" si="8"/>
        <v/>
      </c>
      <c r="AT86" s="90">
        <f t="shared" si="9"/>
        <v>22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3.5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</v>
      </c>
      <c r="AQ87" s="89" t="str">
        <f t="shared" si="7"/>
        <v/>
      </c>
      <c r="AR87" s="89">
        <f>IFERROR(VLOOKUP(A87,Climatologia!A:U,9+$E$2,FALSE),"")</f>
        <v>23.725363919312059</v>
      </c>
      <c r="AS87" s="89" t="str">
        <f t="shared" si="8"/>
        <v/>
      </c>
      <c r="AT87" s="90">
        <f t="shared" si="9"/>
        <v>27.6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9.6000000000000014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26.4</v>
      </c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1</v>
      </c>
      <c r="AQ88" s="89" t="str">
        <f t="shared" si="7"/>
        <v/>
      </c>
      <c r="AR88" s="89">
        <f>IFERROR(VLOOKUP(A88,Climatologia!A:U,9+$E$2,FALSE),"")</f>
        <v>23.148531221247211</v>
      </c>
      <c r="AS88" s="89" t="str">
        <f t="shared" si="8"/>
        <v/>
      </c>
      <c r="AT88" s="90">
        <f t="shared" si="9"/>
        <v>26.4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10.199999999999999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27</v>
      </c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7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1</v>
      </c>
      <c r="AQ89" s="89" t="str">
        <f t="shared" si="7"/>
        <v/>
      </c>
      <c r="AR89" s="89">
        <f>IFERROR(VLOOKUP(A89,Climatologia!A:U,9+$E$2,FALSE),"")</f>
        <v>22.80687536416124</v>
      </c>
      <c r="AS89" s="89" t="str">
        <f t="shared" si="8"/>
        <v/>
      </c>
      <c r="AT89" s="90">
        <f t="shared" si="9"/>
        <v>27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12.2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12.4</v>
      </c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</v>
      </c>
      <c r="AQ90" s="89" t="str">
        <f t="shared" si="7"/>
        <v/>
      </c>
      <c r="AR90" s="89">
        <f>IFERROR(VLOOKUP(A90,Climatologia!A:U,9+$E$2,FALSE),"")</f>
        <v>11.03161290322581</v>
      </c>
      <c r="AS90" s="89" t="str">
        <f t="shared" si="8"/>
        <v/>
      </c>
      <c r="AT90" s="90">
        <f t="shared" si="9"/>
        <v>12.4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8.1999999999999993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18.8</v>
      </c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</v>
      </c>
      <c r="AQ91" s="89" t="str">
        <f t="shared" si="7"/>
        <v/>
      </c>
      <c r="AR91" s="89">
        <f>IFERROR(VLOOKUP(A91,Climatologia!A:U,9+$E$2,FALSE),"")</f>
        <v>17.610862560172901</v>
      </c>
      <c r="AS91" s="89" t="str">
        <f t="shared" si="8"/>
        <v/>
      </c>
      <c r="AT91" s="90">
        <f t="shared" si="9"/>
        <v>18.8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5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12.4</v>
      </c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</v>
      </c>
      <c r="AQ92" s="89" t="str">
        <f t="shared" si="7"/>
        <v/>
      </c>
      <c r="AR92" s="89">
        <f>IFERROR(VLOOKUP(A92,Climatologia!A:U,9+$E$2,FALSE),"")</f>
        <v>11.399375551378929</v>
      </c>
      <c r="AS92" s="89" t="str">
        <f t="shared" si="8"/>
        <v/>
      </c>
      <c r="AT92" s="90">
        <f t="shared" si="9"/>
        <v>12.4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6.4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</v>
      </c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1</v>
      </c>
      <c r="AQ93" s="89" t="str">
        <f t="shared" si="7"/>
        <v/>
      </c>
      <c r="AR93" s="89">
        <f>IFERROR(VLOOKUP(A93,Climatologia!A:U,9+$E$2,FALSE),"")</f>
        <v>8.6931200495597167</v>
      </c>
      <c r="AS93" s="89" t="str">
        <f t="shared" si="8"/>
        <v/>
      </c>
      <c r="AT93" s="90">
        <f t="shared" si="9"/>
        <v>10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9.6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9.1999999999999993</v>
      </c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</v>
      </c>
      <c r="AQ96" s="89" t="str">
        <f t="shared" si="7"/>
        <v/>
      </c>
      <c r="AR96" s="89">
        <f>IFERROR(VLOOKUP(A96,Climatologia!A:U,9+$E$2,FALSE),"")</f>
        <v>7.1833471822125867</v>
      </c>
      <c r="AS96" s="89" t="str">
        <f t="shared" si="8"/>
        <v/>
      </c>
      <c r="AT96" s="90">
        <f t="shared" si="9"/>
        <v>9.1999999999999993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10.799999999999999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7</v>
      </c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</v>
      </c>
      <c r="AQ97" s="89" t="str">
        <f t="shared" si="7"/>
        <v/>
      </c>
      <c r="AR97" s="89">
        <f>IFERROR(VLOOKUP(A97,Climatologia!A:U,9+$E$2,FALSE),"")</f>
        <v>8.1548920317107179</v>
      </c>
      <c r="AS97" s="89" t="str">
        <f t="shared" si="8"/>
        <v/>
      </c>
      <c r="AT97" s="90">
        <f t="shared" si="9"/>
        <v>7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3.8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>
        <v>8.1999999999999993</v>
      </c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</v>
      </c>
      <c r="AQ98" s="89" t="str">
        <f t="shared" si="7"/>
        <v/>
      </c>
      <c r="AR98" s="89">
        <f>IFERROR(VLOOKUP(A98,Climatologia!A:U,9+$E$2,FALSE),"")</f>
        <v>6.5568614692818183</v>
      </c>
      <c r="AS98" s="89" t="str">
        <f t="shared" si="8"/>
        <v/>
      </c>
      <c r="AT98" s="90">
        <f t="shared" si="9"/>
        <v>8.1999999999999993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9.2999999999999989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10.4</v>
      </c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</v>
      </c>
      <c r="AQ99" s="89" t="str">
        <f t="shared" si="7"/>
        <v/>
      </c>
      <c r="AR99" s="89">
        <f>IFERROR(VLOOKUP(A99,Climatologia!A:U,9+$E$2,FALSE),"")</f>
        <v>8.4968567690188941</v>
      </c>
      <c r="AS99" s="89" t="str">
        <f t="shared" si="8"/>
        <v/>
      </c>
      <c r="AT99" s="90">
        <f t="shared" si="9"/>
        <v>10.4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9.4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7.4</v>
      </c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1</v>
      </c>
      <c r="AQ100" s="89" t="str">
        <f t="shared" si="7"/>
        <v/>
      </c>
      <c r="AR100" s="89">
        <f>IFERROR(VLOOKUP(A100,Climatologia!A:U,9+$E$2,FALSE),"")</f>
        <v>7.0594081215067499</v>
      </c>
      <c r="AS100" s="89" t="str">
        <f t="shared" si="8"/>
        <v/>
      </c>
      <c r="AT100" s="90">
        <f t="shared" si="9"/>
        <v>7.4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11.8</v>
      </c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1</v>
      </c>
      <c r="AQ103" s="89" t="str">
        <f t="shared" si="7"/>
        <v/>
      </c>
      <c r="AR103" s="89">
        <f>IFERROR(VLOOKUP(A103,Climatologia!A:U,9+$E$2,FALSE),"")</f>
        <v>11.333242057563099</v>
      </c>
      <c r="AS103" s="89" t="str">
        <f t="shared" si="8"/>
        <v/>
      </c>
      <c r="AT103" s="90">
        <f t="shared" si="9"/>
        <v>11.8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5.2000000000000011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5</v>
      </c>
      <c r="L104" s="109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</v>
      </c>
      <c r="AQ104" s="89" t="str">
        <f t="shared" si="7"/>
        <v/>
      </c>
      <c r="AR104" s="89">
        <f>IFERROR(VLOOKUP(A104,Climatologia!A:U,9+$E$2,FALSE),"")</f>
        <v>6.0789725209080059</v>
      </c>
      <c r="AS104" s="89" t="str">
        <f t="shared" si="8"/>
        <v/>
      </c>
      <c r="AT104" s="90">
        <f t="shared" si="9"/>
        <v>5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8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7.4</v>
      </c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</v>
      </c>
      <c r="AQ105" s="89" t="str">
        <f t="shared" si="7"/>
        <v/>
      </c>
      <c r="AR105" s="89">
        <f>IFERROR(VLOOKUP(A105,Climatologia!A:U,9+$E$2,FALSE),"")</f>
        <v>6.6867982257377889</v>
      </c>
      <c r="AS105" s="89" t="str">
        <f t="shared" si="8"/>
        <v/>
      </c>
      <c r="AT105" s="90">
        <f t="shared" si="9"/>
        <v>7.4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7.6000000000000005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10.6</v>
      </c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</v>
      </c>
      <c r="AQ106" s="89" t="str">
        <f t="shared" si="7"/>
        <v/>
      </c>
      <c r="AR106" s="89">
        <f>IFERROR(VLOOKUP(A106,Climatologia!A:U,9+$E$2,FALSE),"")</f>
        <v>9.9225433842748103</v>
      </c>
      <c r="AS106" s="89" t="str">
        <f t="shared" si="8"/>
        <v/>
      </c>
      <c r="AT106" s="90">
        <f t="shared" si="9"/>
        <v>10.6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8.6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14.6</v>
      </c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</v>
      </c>
      <c r="AQ107" s="89" t="str">
        <f t="shared" si="7"/>
        <v/>
      </c>
      <c r="AR107" s="89">
        <f>IFERROR(VLOOKUP(A107,Climatologia!A:U,9+$E$2,FALSE),"")</f>
        <v>13.650700267218999</v>
      </c>
      <c r="AS107" s="89" t="str">
        <f t="shared" si="8"/>
        <v/>
      </c>
      <c r="AT107" s="90">
        <f t="shared" si="9"/>
        <v>14.6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7.6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12.8</v>
      </c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</v>
      </c>
      <c r="AQ108" s="89" t="str">
        <f t="shared" si="7"/>
        <v/>
      </c>
      <c r="AR108" s="89">
        <f>IFERROR(VLOOKUP(A108,Climatologia!A:U,9+$E$2,FALSE),"")</f>
        <v>11.71482091212458</v>
      </c>
      <c r="AS108" s="89" t="str">
        <f t="shared" si="8"/>
        <v/>
      </c>
      <c r="AT108" s="90">
        <f t="shared" si="9"/>
        <v>12.8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9.8000000000000007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14.2</v>
      </c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</v>
      </c>
      <c r="AQ109" s="89" t="str">
        <f t="shared" si="7"/>
        <v/>
      </c>
      <c r="AR109" s="89">
        <f>IFERROR(VLOOKUP(A109,Climatologia!A:U,9+$E$2,FALSE),"")</f>
        <v>13.486598754951901</v>
      </c>
      <c r="AS109" s="89" t="str">
        <f t="shared" si="8"/>
        <v/>
      </c>
      <c r="AT109" s="90">
        <f t="shared" si="9"/>
        <v>14.2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5.7999999999999989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15.4</v>
      </c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1</v>
      </c>
      <c r="AQ110" s="89" t="str">
        <f t="shared" si="7"/>
        <v/>
      </c>
      <c r="AR110" s="89">
        <f>IFERROR(VLOOKUP(A110,Climatologia!A:U,9+$E$2,FALSE),"")</f>
        <v>13.526900330851941</v>
      </c>
      <c r="AS110" s="89" t="str">
        <f t="shared" si="8"/>
        <v/>
      </c>
      <c r="AT110" s="90">
        <f t="shared" si="9"/>
        <v>15.4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6.9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17.8</v>
      </c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</v>
      </c>
      <c r="AQ111" s="89" t="str">
        <f t="shared" si="7"/>
        <v/>
      </c>
      <c r="AR111" s="89">
        <f>IFERROR(VLOOKUP(A111,Climatologia!A:U,9+$E$2,FALSE),"")</f>
        <v>16.8655441109516</v>
      </c>
      <c r="AS111" s="89" t="str">
        <f t="shared" si="8"/>
        <v/>
      </c>
      <c r="AT111" s="90">
        <f t="shared" si="9"/>
        <v>17.8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6.4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23</v>
      </c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</v>
      </c>
      <c r="AQ112" s="89" t="str">
        <f t="shared" si="7"/>
        <v/>
      </c>
      <c r="AR112" s="89">
        <f>IFERROR(VLOOKUP(A112,Climatologia!A:U,9+$E$2,FALSE),"")</f>
        <v>22.5308162078518</v>
      </c>
      <c r="AS112" s="89" t="str">
        <f t="shared" si="8"/>
        <v/>
      </c>
      <c r="AT112" s="90">
        <f t="shared" si="9"/>
        <v>23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14.2</v>
      </c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</v>
      </c>
      <c r="AQ113" s="89" t="str">
        <f t="shared" si="7"/>
        <v/>
      </c>
      <c r="AR113" s="89">
        <f>IFERROR(VLOOKUP(A113,Climatologia!A:U,9+$E$2,FALSE),"")</f>
        <v>15.24686243974787</v>
      </c>
      <c r="AS113" s="89" t="str">
        <f t="shared" si="8"/>
        <v/>
      </c>
      <c r="AT113" s="90">
        <f t="shared" si="9"/>
        <v>14.2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4.1999999999999993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1</v>
      </c>
      <c r="AQ114" s="89" t="str">
        <f t="shared" si="7"/>
        <v/>
      </c>
      <c r="AR114" s="89">
        <f>IFERROR(VLOOKUP(A114,Climatologia!A:U,9+$E$2,FALSE),"")</f>
        <v>22.117682198327358</v>
      </c>
      <c r="AS114" s="89" t="str">
        <f t="shared" si="8"/>
        <v/>
      </c>
      <c r="AT114" s="90">
        <f t="shared" si="9"/>
        <v>19.600000000000001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1.6000000000000014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22.8</v>
      </c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</v>
      </c>
      <c r="AQ115" s="89" t="str">
        <f t="shared" si="7"/>
        <v/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22.8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21.4</v>
      </c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1</v>
      </c>
      <c r="AQ116" s="89" t="str">
        <f t="shared" si="7"/>
        <v/>
      </c>
      <c r="AR116" s="89">
        <f>IFERROR(VLOOKUP(A116,Climatologia!A:U,9+$E$2,FALSE),"")</f>
        <v>18.405984169653529</v>
      </c>
      <c r="AS116" s="89" t="str">
        <f t="shared" si="8"/>
        <v/>
      </c>
      <c r="AT116" s="90">
        <f t="shared" si="9"/>
        <v>21.4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6.0999999999999979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>
        <v>22</v>
      </c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</v>
      </c>
      <c r="AQ117" s="89" t="str">
        <f t="shared" si="7"/>
        <v/>
      </c>
      <c r="AR117" s="89">
        <f>IFERROR(VLOOKUP(A117,Climatologia!A:U,9+$E$2,FALSE),"")</f>
        <v>22.179111790878761</v>
      </c>
      <c r="AS117" s="89" t="str">
        <f t="shared" si="8"/>
        <v/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9.6</v>
      </c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1</v>
      </c>
      <c r="AQ119" s="89" t="str">
        <f t="shared" si="7"/>
        <v/>
      </c>
      <c r="AR119" s="89">
        <f>IFERROR(VLOOKUP(A119,Climatologia!A:U,9+$E$2,FALSE),"")</f>
        <v>5.9386052057570407</v>
      </c>
      <c r="AS119" s="89" t="str">
        <f t="shared" si="8"/>
        <v/>
      </c>
      <c r="AT119" s="90">
        <f t="shared" si="9"/>
        <v>9.6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12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0</v>
      </c>
      <c r="AQ121" s="89" t="str">
        <f t="shared" si="7"/>
        <v/>
      </c>
      <c r="AR121" s="89">
        <f>IFERROR(VLOOKUP(A121,Climatologia!A:U,9+$E$2,FALSE),"")</f>
        <v>10.81260585836114</v>
      </c>
      <c r="AS121" s="89" t="str">
        <f t="shared" si="8"/>
        <v/>
      </c>
      <c r="AT121" s="90" t="str">
        <f t="shared" si="9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 t="str">
        <f t="shared" si="10"/>
        <v>NA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0</v>
      </c>
      <c r="AQ123" s="89" t="str">
        <f t="shared" si="7"/>
        <v/>
      </c>
      <c r="AR123" s="89">
        <f>IFERROR(VLOOKUP(A123,Climatologia!A:U,9+$E$2,FALSE),"")</f>
        <v>7.6782114198549483</v>
      </c>
      <c r="AS123" s="89" t="str">
        <f t="shared" si="8"/>
        <v/>
      </c>
      <c r="AT123" s="90" t="str">
        <f t="shared" si="9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 t="str">
        <f t="shared" si="10"/>
        <v>NA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13.8</v>
      </c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1</v>
      </c>
      <c r="AQ126" s="89" t="str">
        <f t="shared" si="7"/>
        <v/>
      </c>
      <c r="AR126" s="89">
        <f>IFERROR(VLOOKUP(A126,Climatologia!A:U,9+$E$2,FALSE),"")</f>
        <v>11.41155222734255</v>
      </c>
      <c r="AS126" s="89" t="str">
        <f t="shared" si="8"/>
        <v/>
      </c>
      <c r="AT126" s="90">
        <f t="shared" si="9"/>
        <v>13.8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9.6000000000000014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0</v>
      </c>
      <c r="AQ127" s="89" t="str">
        <f t="shared" si="7"/>
        <v/>
      </c>
      <c r="AR127" s="89">
        <f>IFERROR(VLOOKUP(A127,Climatologia!A:U,9+$E$2,FALSE),"")</f>
        <v>13.308933276833161</v>
      </c>
      <c r="AS127" s="89" t="str">
        <f t="shared" si="8"/>
        <v/>
      </c>
      <c r="AT127" s="90" t="str">
        <f t="shared" si="9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 t="str">
        <f t="shared" si="10"/>
        <v>NA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11.6</v>
      </c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</v>
      </c>
      <c r="AQ129" s="89" t="str">
        <f t="shared" si="7"/>
        <v/>
      </c>
      <c r="AR129" s="89">
        <f>IFERROR(VLOOKUP(A129,Climatologia!A:U,9+$E$2,FALSE),"")</f>
        <v>9.236293266429529</v>
      </c>
      <c r="AS129" s="89" t="str">
        <f t="shared" si="8"/>
        <v/>
      </c>
      <c r="AT129" s="90">
        <f t="shared" si="9"/>
        <v>11.6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7.3999999999999995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11</v>
      </c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</v>
      </c>
      <c r="AQ130" s="89" t="str">
        <f t="shared" si="7"/>
        <v/>
      </c>
      <c r="AR130" s="89">
        <f>IFERROR(VLOOKUP(A130,Climatologia!A:U,9+$E$2,FALSE),"")</f>
        <v>10.41098422703651</v>
      </c>
      <c r="AS130" s="89" t="str">
        <f t="shared" si="8"/>
        <v/>
      </c>
      <c r="AT130" s="90">
        <f t="shared" si="9"/>
        <v>11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4.5999999999999996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18</v>
      </c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1</v>
      </c>
      <c r="AQ131" s="89" t="str">
        <f t="shared" si="7"/>
        <v/>
      </c>
      <c r="AR131" s="89">
        <f>IFERROR(VLOOKUP(A131,Climatologia!A:U,9+$E$2,FALSE),"")</f>
        <v>14.78700374480772</v>
      </c>
      <c r="AS131" s="89" t="str">
        <f t="shared" si="8"/>
        <v/>
      </c>
      <c r="AT131" s="90">
        <f t="shared" si="9"/>
        <v>18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7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0</v>
      </c>
      <c r="AQ132" s="89" t="str">
        <f t="shared" si="7"/>
        <v/>
      </c>
      <c r="AR132" s="89">
        <f>IFERROR(VLOOKUP(A132,Climatologia!A:U,9+$E$2,FALSE),"")</f>
        <v>5.8955999815287932</v>
      </c>
      <c r="AS132" s="89" t="str">
        <f t="shared" si="8"/>
        <v/>
      </c>
      <c r="AT132" s="90" t="str">
        <f t="shared" si="9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 t="str">
        <f t="shared" si="10"/>
        <v>NA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16</v>
      </c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</v>
      </c>
      <c r="AQ134" s="89" t="str">
        <f t="shared" si="12"/>
        <v/>
      </c>
      <c r="AR134" s="89">
        <f>IFERROR(VLOOKUP(A134,Climatologia!A:U,9+$E$2,FALSE),"")</f>
        <v>13.620393029291799</v>
      </c>
      <c r="AS134" s="89" t="str">
        <f t="shared" si="13"/>
        <v/>
      </c>
      <c r="AT134" s="90">
        <f t="shared" si="14"/>
        <v>16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8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</v>
      </c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1</v>
      </c>
      <c r="AQ135" s="89" t="str">
        <f t="shared" si="12"/>
        <v/>
      </c>
      <c r="AR135" s="89">
        <f>IFERROR(VLOOKUP(A135,Climatologia!A:U,9+$E$2,FALSE),"")</f>
        <v>9.1065439288804146</v>
      </c>
      <c r="AS135" s="89" t="str">
        <f t="shared" si="13"/>
        <v/>
      </c>
      <c r="AT135" s="90">
        <f t="shared" si="14"/>
        <v>11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6.1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15.8</v>
      </c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</v>
      </c>
      <c r="AQ136" s="89" t="str">
        <f t="shared" si="12"/>
        <v/>
      </c>
      <c r="AR136" s="89">
        <f>IFERROR(VLOOKUP(A136,Climatologia!A:U,9+$E$2,FALSE),"")</f>
        <v>12.59594623655914</v>
      </c>
      <c r="AS136" s="89" t="str">
        <f t="shared" si="13"/>
        <v/>
      </c>
      <c r="AT136" s="90">
        <f t="shared" si="14"/>
        <v>15.8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8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10.8</v>
      </c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</v>
      </c>
      <c r="AQ137" s="89" t="str">
        <f t="shared" si="12"/>
        <v/>
      </c>
      <c r="AR137" s="89">
        <f>IFERROR(VLOOKUP(A137,Climatologia!A:U,9+$E$2,FALSE),"")</f>
        <v>8.5766227213911144</v>
      </c>
      <c r="AS137" s="89" t="str">
        <f t="shared" si="13"/>
        <v/>
      </c>
      <c r="AT137" s="90">
        <f t="shared" si="14"/>
        <v>10.8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8.4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8.8000000000000007</v>
      </c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</v>
      </c>
      <c r="AQ138" s="89" t="str">
        <f t="shared" si="12"/>
        <v/>
      </c>
      <c r="AR138" s="89">
        <f>IFERROR(VLOOKUP(A138,Climatologia!A:U,9+$E$2,FALSE),"")</f>
        <v>6.6337893956247704</v>
      </c>
      <c r="AS138" s="89" t="str">
        <f t="shared" si="13"/>
        <v/>
      </c>
      <c r="AT138" s="90">
        <f t="shared" si="14"/>
        <v>8.8000000000000007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6.8000000000000007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25.4</v>
      </c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</v>
      </c>
      <c r="AQ139" s="89" t="str">
        <f t="shared" si="12"/>
        <v/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25.4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12.4</v>
      </c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</v>
      </c>
      <c r="AQ140" s="89" t="str">
        <f t="shared" si="12"/>
        <v/>
      </c>
      <c r="AR140" s="89">
        <f>IFERROR(VLOOKUP(A140,Climatologia!A:U,9+$E$2,FALSE),"")</f>
        <v>11.08632974910395</v>
      </c>
      <c r="AS140" s="89" t="str">
        <f t="shared" si="13"/>
        <v/>
      </c>
      <c r="AT140" s="90">
        <f t="shared" si="14"/>
        <v>12.4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7.4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14.6</v>
      </c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</v>
      </c>
      <c r="AQ141" s="89" t="str">
        <f t="shared" si="12"/>
        <v/>
      </c>
      <c r="AR141" s="89">
        <f>IFERROR(VLOOKUP(A141,Climatologia!A:U,9+$E$2,FALSE),"")</f>
        <v>14.39065028161802</v>
      </c>
      <c r="AS141" s="89" t="str">
        <f t="shared" si="13"/>
        <v/>
      </c>
      <c r="AT141" s="90">
        <f t="shared" si="14"/>
        <v>14.6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2.4000000000000004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0</v>
      </c>
      <c r="AQ142" s="89" t="str">
        <f t="shared" si="12"/>
        <v/>
      </c>
      <c r="AR142" s="89">
        <f>IFERROR(VLOOKUP(A142,Climatologia!A:U,9+$E$2,FALSE),"")</f>
        <v>22.55356989247311</v>
      </c>
      <c r="AS142" s="89" t="str">
        <f t="shared" si="13"/>
        <v/>
      </c>
      <c r="AT142" s="90" t="str">
        <f t="shared" si="14"/>
        <v/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 t="str">
        <f t="shared" si="15"/>
        <v>NA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20.6</v>
      </c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</v>
      </c>
      <c r="AQ143" s="89" t="str">
        <f t="shared" si="12"/>
        <v/>
      </c>
      <c r="AR143" s="89">
        <f>IFERROR(VLOOKUP(A143,Climatologia!A:U,9+$E$2,FALSE),"")</f>
        <v>19.318198924731181</v>
      </c>
      <c r="AS143" s="89" t="str">
        <f t="shared" si="13"/>
        <v/>
      </c>
      <c r="AT143" s="90">
        <f t="shared" si="14"/>
        <v>20.6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5.4000000000000021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25</v>
      </c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1</v>
      </c>
      <c r="AQ144" s="89" t="str">
        <f t="shared" si="12"/>
        <v/>
      </c>
      <c r="AR144" s="89">
        <f>IFERROR(VLOOKUP(A144,Climatologia!A:U,9+$E$2,FALSE),"")</f>
        <v>23.19416875486397</v>
      </c>
      <c r="AS144" s="89" t="str">
        <f t="shared" si="13"/>
        <v/>
      </c>
      <c r="AT144" s="90">
        <f t="shared" si="14"/>
        <v>25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7.8000000000000007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17.600000000000001</v>
      </c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</v>
      </c>
      <c r="AQ145" s="89" t="str">
        <f t="shared" si="12"/>
        <v/>
      </c>
      <c r="AR145" s="89">
        <f>IFERROR(VLOOKUP(A145,Climatologia!A:U,9+$E$2,FALSE),"")</f>
        <v>15.79466943151284</v>
      </c>
      <c r="AS145" s="89" t="str">
        <f t="shared" si="13"/>
        <v/>
      </c>
      <c r="AT145" s="90">
        <f t="shared" si="14"/>
        <v>17.600000000000001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6.4000000000000021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15.4</v>
      </c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</v>
      </c>
      <c r="AQ146" s="89" t="str">
        <f t="shared" si="12"/>
        <v/>
      </c>
      <c r="AR146" s="89">
        <f>IFERROR(VLOOKUP(A146,Climatologia!A:U,9+$E$2,FALSE),"")</f>
        <v>13.67439615180003</v>
      </c>
      <c r="AS146" s="89" t="str">
        <f t="shared" si="13"/>
        <v/>
      </c>
      <c r="AT146" s="90">
        <f t="shared" si="14"/>
        <v>15.4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7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</v>
      </c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1</v>
      </c>
      <c r="AQ147" s="89" t="str">
        <f t="shared" si="12"/>
        <v/>
      </c>
      <c r="AR147" s="89">
        <f>IFERROR(VLOOKUP(A147,Climatologia!A:U,9+$E$2,FALSE),"")</f>
        <v>14.54256377143717</v>
      </c>
      <c r="AS147" s="89" t="str">
        <f t="shared" si="13"/>
        <v/>
      </c>
      <c r="AT147" s="90">
        <f t="shared" si="14"/>
        <v>17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6.6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24.8</v>
      </c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</v>
      </c>
      <c r="AQ150" s="89" t="str">
        <f t="shared" si="12"/>
        <v/>
      </c>
      <c r="AR150" s="89">
        <f>IFERROR(VLOOKUP(A150,Climatologia!A:U,9+$E$2,FALSE),"")</f>
        <v>22.358974539611911</v>
      </c>
      <c r="AS150" s="89" t="str">
        <f t="shared" si="13"/>
        <v/>
      </c>
      <c r="AT150" s="90">
        <f t="shared" si="14"/>
        <v>24.8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5.8000000000000007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25</v>
      </c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</v>
      </c>
      <c r="AQ151" s="89" t="str">
        <f t="shared" si="12"/>
        <v/>
      </c>
      <c r="AR151" s="89">
        <f>IFERROR(VLOOKUP(A151,Climatologia!A:U,9+$E$2,FALSE),"")</f>
        <v>23.435096179938832</v>
      </c>
      <c r="AS151" s="89" t="str">
        <f t="shared" si="13"/>
        <v/>
      </c>
      <c r="AT151" s="90">
        <f t="shared" si="14"/>
        <v>25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8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15.8</v>
      </c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</v>
      </c>
      <c r="AQ152" s="89" t="str">
        <f t="shared" si="12"/>
        <v/>
      </c>
      <c r="AR152" s="89">
        <f>IFERROR(VLOOKUP(A152,Climatologia!A:U,9+$E$2,FALSE),"")</f>
        <v>14.28172753446659</v>
      </c>
      <c r="AS152" s="89" t="str">
        <f t="shared" si="13"/>
        <v/>
      </c>
      <c r="AT152" s="90">
        <f t="shared" si="14"/>
        <v>15.8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5.4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</v>
      </c>
      <c r="AQ153" s="89" t="str">
        <f t="shared" si="12"/>
        <v/>
      </c>
      <c r="AR153" s="89">
        <f>IFERROR(VLOOKUP(A153,Climatologia!A:U,9+$E$2,FALSE),"")</f>
        <v>19.33438505823419</v>
      </c>
      <c r="AS153" s="89" t="str">
        <f t="shared" si="13"/>
        <v/>
      </c>
      <c r="AT153" s="90">
        <f t="shared" si="14"/>
        <v>20.8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4.3000000000000007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16.399999999999999</v>
      </c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</v>
      </c>
      <c r="AQ154" s="89" t="str">
        <f t="shared" si="12"/>
        <v/>
      </c>
      <c r="AR154" s="89">
        <f>IFERROR(VLOOKUP(A154,Climatologia!A:U,9+$E$2,FALSE),"")</f>
        <v>15.34016874367072</v>
      </c>
      <c r="AS154" s="89" t="str">
        <f t="shared" si="13"/>
        <v/>
      </c>
      <c r="AT154" s="90">
        <f t="shared" si="14"/>
        <v>16.399999999999999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5.3999999999999986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19.2</v>
      </c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1</v>
      </c>
      <c r="AQ155" s="89" t="str">
        <f t="shared" si="12"/>
        <v/>
      </c>
      <c r="AR155" s="89">
        <f>IFERROR(VLOOKUP(A155,Climatologia!A:U,9+$E$2,FALSE),"")</f>
        <v>17.753898511573709</v>
      </c>
      <c r="AS155" s="89" t="str">
        <f t="shared" si="13"/>
        <v/>
      </c>
      <c r="AT155" s="90">
        <f t="shared" si="14"/>
        <v>19.2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6.1999999999999993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11.4</v>
      </c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</v>
      </c>
      <c r="AQ157" s="89" t="str">
        <f t="shared" si="12"/>
        <v/>
      </c>
      <c r="AR157" s="89">
        <f>IFERROR(VLOOKUP(A157,Climatologia!A:U,9+$E$2,FALSE),"")</f>
        <v>9.0629738863287237</v>
      </c>
      <c r="AS157" s="89" t="str">
        <f t="shared" si="13"/>
        <v/>
      </c>
      <c r="AT157" s="90">
        <f t="shared" si="14"/>
        <v>11.4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5.4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13.4</v>
      </c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</v>
      </c>
      <c r="AQ158" s="89" t="str">
        <f t="shared" si="12"/>
        <v/>
      </c>
      <c r="AR158" s="89">
        <f>IFERROR(VLOOKUP(A158,Climatologia!A:U,9+$E$2,FALSE),"")</f>
        <v>13.99486833930705</v>
      </c>
      <c r="AS158" s="89" t="str">
        <f t="shared" si="13"/>
        <v/>
      </c>
      <c r="AT158" s="90">
        <f t="shared" si="14"/>
        <v>13.4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2.8000000000000007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20.8</v>
      </c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</v>
      </c>
      <c r="AQ159" s="89" t="str">
        <f t="shared" si="12"/>
        <v/>
      </c>
      <c r="AR159" s="89">
        <f>IFERROR(VLOOKUP(A159,Climatologia!A:U,9+$E$2,FALSE),"")</f>
        <v>19.80259102706712</v>
      </c>
      <c r="AS159" s="89" t="str">
        <f t="shared" si="13"/>
        <v/>
      </c>
      <c r="AT159" s="90">
        <f t="shared" si="14"/>
        <v>20.8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3.8000000000000007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6.6</v>
      </c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</v>
      </c>
      <c r="AQ160" s="89" t="str">
        <f t="shared" si="12"/>
        <v/>
      </c>
      <c r="AR160" s="89">
        <f>IFERROR(VLOOKUP(A160,Climatologia!A:U,9+$E$2,FALSE),"")</f>
        <v>5.545852566091324</v>
      </c>
      <c r="AS160" s="89" t="str">
        <f t="shared" si="13"/>
        <v/>
      </c>
      <c r="AT160" s="90">
        <f t="shared" si="14"/>
        <v>6.6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9.1999999999999993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21</v>
      </c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</v>
      </c>
      <c r="AQ161" s="89" t="str">
        <f t="shared" si="12"/>
        <v/>
      </c>
      <c r="AR161" s="89">
        <f>IFERROR(VLOOKUP(A161,Climatologia!A:U,9+$E$2,FALSE),"")</f>
        <v>20.699024154274429</v>
      </c>
      <c r="AS161" s="89" t="str">
        <f t="shared" si="13"/>
        <v/>
      </c>
      <c r="AT161" s="90">
        <f t="shared" si="14"/>
        <v>21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4.8000000000000007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15</v>
      </c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</v>
      </c>
      <c r="AQ162" s="89" t="str">
        <f t="shared" si="12"/>
        <v/>
      </c>
      <c r="AR162" s="89">
        <f>IFERROR(VLOOKUP(A162,Climatologia!A:U,9+$E$2,FALSE),"")</f>
        <v>13.81981919292388</v>
      </c>
      <c r="AS162" s="89" t="str">
        <f t="shared" si="13"/>
        <v/>
      </c>
      <c r="AT162" s="90">
        <f t="shared" si="14"/>
        <v>15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5.8000000000000007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18.600000000000001</v>
      </c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</v>
      </c>
      <c r="AQ163" s="89" t="str">
        <f t="shared" si="12"/>
        <v/>
      </c>
      <c r="AR163" s="89">
        <f>IFERROR(VLOOKUP(A163,Climatologia!A:U,9+$E$2,FALSE),"")</f>
        <v>17.92353706847765</v>
      </c>
      <c r="AS163" s="89" t="str">
        <f t="shared" si="13"/>
        <v/>
      </c>
      <c r="AT163" s="90">
        <f t="shared" si="14"/>
        <v>18.600000000000001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4.6000000000000014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1</v>
      </c>
      <c r="AQ164" s="89" t="str">
        <f t="shared" si="12"/>
        <v/>
      </c>
      <c r="AR164" s="89">
        <f>IFERROR(VLOOKUP(A164,Climatologia!A:U,9+$E$2,FALSE),"")</f>
        <v>19.04428975316489</v>
      </c>
      <c r="AS164" s="89" t="str">
        <f t="shared" si="13"/>
        <v/>
      </c>
      <c r="AT164" s="90">
        <f t="shared" si="14"/>
        <v>20.6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5.6000000000000014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</v>
      </c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</v>
      </c>
      <c r="AQ165" s="89" t="str">
        <f t="shared" si="12"/>
        <v/>
      </c>
      <c r="AR165" s="89">
        <f>IFERROR(VLOOKUP(A165,Climatologia!A:U,9+$E$2,FALSE),"")</f>
        <v>8.2009357976098798</v>
      </c>
      <c r="AS165" s="89" t="str">
        <f t="shared" si="13"/>
        <v/>
      </c>
      <c r="AT165" s="90">
        <f t="shared" si="14"/>
        <v>11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9.4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>
        <f>IFERROR(VLOOKUP(A166,Climatologia!A:U,9+$E$2,FALSE),"")</f>
        <v>17.03753950514696</v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 t="str">
        <f t="shared" si="15"/>
        <v>NA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20.2</v>
      </c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1</v>
      </c>
      <c r="AQ169" s="89" t="str">
        <f t="shared" si="12"/>
        <v/>
      </c>
      <c r="AR169" s="89">
        <f>IFERROR(VLOOKUP(A169,Climatologia!A:U,9+$E$2,FALSE),"")</f>
        <v>18.98804930581305</v>
      </c>
      <c r="AS169" s="89" t="str">
        <f t="shared" si="13"/>
        <v/>
      </c>
      <c r="AT169" s="90">
        <f t="shared" si="14"/>
        <v>20.2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5.1999999999999993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14.2</v>
      </c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1</v>
      </c>
      <c r="AQ170" s="89" t="str">
        <f t="shared" si="12"/>
        <v/>
      </c>
      <c r="AR170" s="89">
        <f>IFERROR(VLOOKUP(A170,Climatologia!A:U,9+$E$2,FALSE),"")</f>
        <v>13.515835523098669</v>
      </c>
      <c r="AS170" s="89" t="str">
        <f t="shared" si="13"/>
        <v/>
      </c>
      <c r="AT170" s="90">
        <f t="shared" si="14"/>
        <v>14.2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5.1999999999999993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25</v>
      </c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1</v>
      </c>
      <c r="AQ172" s="89" t="str">
        <f t="shared" si="12"/>
        <v/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25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6.6000000000000014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22.8</v>
      </c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</v>
      </c>
      <c r="AQ175" s="89" t="str">
        <f t="shared" si="12"/>
        <v/>
      </c>
      <c r="AR175" s="89">
        <f>IFERROR(VLOOKUP(A175,Climatologia!A:U,9+$E$2,FALSE),"")</f>
        <v>20.369629293079871</v>
      </c>
      <c r="AS175" s="89" t="str">
        <f t="shared" si="13"/>
        <v/>
      </c>
      <c r="AT175" s="90">
        <f t="shared" si="14"/>
        <v>22.8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6.8000000000000007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23.4</v>
      </c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1</v>
      </c>
      <c r="AQ176" s="89" t="str">
        <f t="shared" si="12"/>
        <v/>
      </c>
      <c r="AR176" s="89">
        <f>IFERROR(VLOOKUP(A176,Climatologia!A:U,9+$E$2,FALSE),"")</f>
        <v>21.653737839221709</v>
      </c>
      <c r="AS176" s="89" t="str">
        <f t="shared" si="13"/>
        <v/>
      </c>
      <c r="AT176" s="90">
        <f t="shared" si="14"/>
        <v>23.4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7.3999999999999986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13.4</v>
      </c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</v>
      </c>
      <c r="AQ179" s="89" t="str">
        <f t="shared" si="12"/>
        <v/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13.4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3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26</v>
      </c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</v>
      </c>
      <c r="AQ180" s="89" t="str">
        <f t="shared" si="12"/>
        <v/>
      </c>
      <c r="AR180" s="89">
        <f>IFERROR(VLOOKUP(A180,Climatologia!A:U,9+$E$2,FALSE),"")</f>
        <v>22.957390939115541</v>
      </c>
      <c r="AS180" s="89" t="str">
        <f t="shared" si="13"/>
        <v/>
      </c>
      <c r="AT180" s="90">
        <f t="shared" si="14"/>
        <v>26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7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22</v>
      </c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</v>
      </c>
      <c r="AQ181" s="89" t="str">
        <f t="shared" si="12"/>
        <v/>
      </c>
      <c r="AR181" s="89">
        <f>IFERROR(VLOOKUP(A181,Climatologia!A:U,9+$E$2,FALSE),"")</f>
        <v>21.70483579702303</v>
      </c>
      <c r="AS181" s="89" t="str">
        <f t="shared" si="13"/>
        <v/>
      </c>
      <c r="AT181" s="90">
        <f t="shared" si="14"/>
        <v>22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5.6000000000000014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12.6</v>
      </c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</v>
      </c>
      <c r="AQ182" s="89" t="str">
        <f t="shared" si="12"/>
        <v/>
      </c>
      <c r="AR182" s="89">
        <f>IFERROR(VLOOKUP(A182,Climatologia!A:U,9+$E$2,FALSE),"")</f>
        <v>14.173503840245781</v>
      </c>
      <c r="AS182" s="89" t="str">
        <f t="shared" si="13"/>
        <v/>
      </c>
      <c r="AT182" s="90">
        <f t="shared" si="14"/>
        <v>12.6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1.5999999999999996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1</v>
      </c>
      <c r="AQ183" s="89" t="str">
        <f t="shared" si="12"/>
        <v/>
      </c>
      <c r="AR183" s="89">
        <f>IFERROR(VLOOKUP(A183,Climatologia!A:U,9+$E$2,FALSE),"")</f>
        <v>20.070986681091949</v>
      </c>
      <c r="AS183" s="89" t="str">
        <f t="shared" si="13"/>
        <v/>
      </c>
      <c r="AT183" s="90">
        <f t="shared" si="14"/>
        <v>18.2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1.3999999999999986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>
        <v>22</v>
      </c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</v>
      </c>
      <c r="AQ184" s="89" t="str">
        <f t="shared" si="12"/>
        <v/>
      </c>
      <c r="AR184" s="89">
        <f>IFERROR(VLOOKUP(A184,Climatologia!A:U,9+$E$2,FALSE),"")</f>
        <v>20.076368634370251</v>
      </c>
      <c r="AS184" s="89" t="str">
        <f t="shared" si="13"/>
        <v/>
      </c>
      <c r="AT184" s="90">
        <f t="shared" si="14"/>
        <v>22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5.6000000000000014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16.2</v>
      </c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</v>
      </c>
      <c r="AQ185" s="89" t="str">
        <f t="shared" si="12"/>
        <v/>
      </c>
      <c r="AR185" s="89">
        <f>IFERROR(VLOOKUP(A185,Climatologia!A:U,9+$E$2,FALSE),"")</f>
        <v>17.074088213241051</v>
      </c>
      <c r="AS185" s="89" t="str">
        <f t="shared" si="13"/>
        <v/>
      </c>
      <c r="AT185" s="90">
        <f t="shared" si="14"/>
        <v>16.2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4.1999999999999993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22</v>
      </c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</v>
      </c>
      <c r="AQ186" s="89" t="str">
        <f t="shared" si="12"/>
        <v/>
      </c>
      <c r="AR186" s="89">
        <f>IFERROR(VLOOKUP(A186,Climatologia!A:U,9+$E$2,FALSE),"")</f>
        <v>20.422025791399172</v>
      </c>
      <c r="AS186" s="89" t="str">
        <f t="shared" si="13"/>
        <v/>
      </c>
      <c r="AT186" s="90">
        <f t="shared" si="14"/>
        <v>22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6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17.2</v>
      </c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</v>
      </c>
      <c r="AQ187" s="89" t="str">
        <f t="shared" si="12"/>
        <v/>
      </c>
      <c r="AR187" s="89">
        <f>IFERROR(VLOOKUP(A187,Climatologia!A:U,9+$E$2,FALSE),"")</f>
        <v>16.993025163915739</v>
      </c>
      <c r="AS187" s="89" t="str">
        <f t="shared" si="13"/>
        <v/>
      </c>
      <c r="AT187" s="90">
        <f t="shared" si="14"/>
        <v>17.2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3.1999999999999993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22.2</v>
      </c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</v>
      </c>
      <c r="AQ188" s="89" t="str">
        <f t="shared" si="12"/>
        <v/>
      </c>
      <c r="AR188" s="89">
        <f>IFERROR(VLOOKUP(A188,Climatologia!A:U,9+$E$2,FALSE),"")</f>
        <v>20.28174546114397</v>
      </c>
      <c r="AS188" s="89" t="str">
        <f t="shared" si="13"/>
        <v/>
      </c>
      <c r="AT188" s="90">
        <f t="shared" si="14"/>
        <v>22.2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6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18.600000000000001</v>
      </c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</v>
      </c>
      <c r="AQ189" s="89" t="str">
        <f t="shared" si="12"/>
        <v/>
      </c>
      <c r="AR189" s="89">
        <f>IFERROR(VLOOKUP(A189,Climatologia!A:U,9+$E$2,FALSE),"")</f>
        <v>15.63081985682097</v>
      </c>
      <c r="AS189" s="89" t="str">
        <f t="shared" si="13"/>
        <v/>
      </c>
      <c r="AT189" s="90">
        <f t="shared" si="14"/>
        <v>18.600000000000001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6.6000000000000014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</v>
      </c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</v>
      </c>
      <c r="AQ190" s="89" t="str">
        <f t="shared" si="12"/>
        <v/>
      </c>
      <c r="AR190" s="89">
        <f>IFERROR(VLOOKUP(A190,Climatologia!A:U,9+$E$2,FALSE),"")</f>
        <v>11.261282597948339</v>
      </c>
      <c r="AS190" s="89" t="str">
        <f t="shared" si="13"/>
        <v/>
      </c>
      <c r="AT190" s="90">
        <f t="shared" si="14"/>
        <v>14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9.1999999999999993</v>
      </c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1</v>
      </c>
      <c r="AQ191" s="89" t="str">
        <f t="shared" si="12"/>
        <v/>
      </c>
      <c r="AR191" s="89">
        <f>IFERROR(VLOOKUP(A191,Climatologia!A:U,9+$E$2,FALSE),"")</f>
        <v>6.994628239761723</v>
      </c>
      <c r="AS191" s="89" t="str">
        <f t="shared" si="13"/>
        <v/>
      </c>
      <c r="AT191" s="90">
        <f t="shared" si="14"/>
        <v>9.1999999999999993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10.7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22</v>
      </c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1</v>
      </c>
      <c r="AQ192" s="89" t="str">
        <f t="shared" si="12"/>
        <v/>
      </c>
      <c r="AR192" s="89">
        <f>IFERROR(VLOOKUP(A192,Climatologia!A:U,9+$E$2,FALSE),"")</f>
        <v>19.908691930571798</v>
      </c>
      <c r="AS192" s="89" t="str">
        <f t="shared" si="13"/>
        <v/>
      </c>
      <c r="AT192" s="90">
        <f t="shared" si="14"/>
        <v>22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0</v>
      </c>
      <c r="AQ193" s="89" t="str">
        <f t="shared" si="12"/>
        <v/>
      </c>
      <c r="AR193" s="89">
        <f>IFERROR(VLOOKUP(A193,Climatologia!A:U,9+$E$2,FALSE),"")</f>
        <v>8.0869853706863069</v>
      </c>
      <c r="AS193" s="89" t="str">
        <f t="shared" si="13"/>
        <v/>
      </c>
      <c r="AT193" s="90" t="str">
        <f t="shared" si="14"/>
        <v/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 t="str">
        <f t="shared" si="15"/>
        <v>NA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0</v>
      </c>
      <c r="AQ194" s="89" t="str">
        <f t="shared" si="12"/>
        <v/>
      </c>
      <c r="AR194" s="89">
        <f>IFERROR(VLOOKUP(A194,Climatologia!A:U,9+$E$2,FALSE),"")</f>
        <v>7.6640343615186746</v>
      </c>
      <c r="AS194" s="89" t="str">
        <f t="shared" si="13"/>
        <v/>
      </c>
      <c r="AT194" s="90" t="str">
        <f t="shared" si="14"/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 t="str">
        <f t="shared" si="15"/>
        <v>NA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9.8000000000000007</v>
      </c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</v>
      </c>
      <c r="AQ196" s="89" t="str">
        <f t="shared" si="12"/>
        <v/>
      </c>
      <c r="AR196" s="89">
        <f>IFERROR(VLOOKUP(A196,Climatologia!A:U,9+$E$2,FALSE),"")</f>
        <v>7.3820830111058147</v>
      </c>
      <c r="AS196" s="89" t="str">
        <f t="shared" si="13"/>
        <v/>
      </c>
      <c r="AT196" s="90">
        <f t="shared" si="14"/>
        <v>9.8000000000000007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10.600000000000001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0</v>
      </c>
      <c r="AQ197" s="89" t="str">
        <f t="shared" ref="AQ197:AQ260" si="17">IF(AP197&gt;14,AVERAGE(K197:AO197),"")</f>
        <v/>
      </c>
      <c r="AR197" s="89">
        <f>IFERROR(VLOOKUP(A197,Climatologia!A:U,9+$E$2,FALSE),"")</f>
        <v>6.382935282589119</v>
      </c>
      <c r="AS197" s="89" t="str">
        <f t="shared" ref="AS197:AS260" si="18">IF(OR(AQ197="",AR197=""),"",IFERROR(AQ197-AR197,""))</f>
        <v/>
      </c>
      <c r="AT197" s="90" t="str">
        <f t="shared" ref="AT197:AT208" si="19">IF(COUNT(K197:AO197)=0,"",MIN(K197:AO197))</f>
        <v/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 t="str">
        <f t="shared" ref="AW197:AW208" si="20">IF(OR(AT197="",AU197=""),"NA",IFERROR(AT197-AU197,"NA"))</f>
        <v>NA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10.4</v>
      </c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</v>
      </c>
      <c r="AQ198" s="89" t="str">
        <f t="shared" si="17"/>
        <v/>
      </c>
      <c r="AR198" s="89">
        <f>IFERROR(VLOOKUP(A198,Climatologia!A:U,9+$E$2,FALSE),"")</f>
        <v>7.491938037728997</v>
      </c>
      <c r="AS198" s="89" t="str">
        <f t="shared" si="18"/>
        <v/>
      </c>
      <c r="AT198" s="90">
        <f t="shared" si="19"/>
        <v>10.4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10.8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</v>
      </c>
      <c r="AQ199" s="89" t="str">
        <f t="shared" si="17"/>
        <v/>
      </c>
      <c r="AR199" s="89">
        <f>IFERROR(VLOOKUP(A199,Climatologia!A:U,9+$E$2,FALSE),"")</f>
        <v>7.4487940592962838</v>
      </c>
      <c r="AS199" s="89" t="str">
        <f t="shared" si="18"/>
        <v/>
      </c>
      <c r="AT199" s="90">
        <f t="shared" si="19"/>
        <v>11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14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0</v>
      </c>
      <c r="AQ200" s="89" t="str">
        <f t="shared" si="17"/>
        <v/>
      </c>
      <c r="AR200" s="89">
        <f>IFERROR(VLOOKUP(A200,Climatologia!A:U,9+$E$2,FALSE),"")</f>
        <v>7.107223600771988</v>
      </c>
      <c r="AS200" s="89" t="str">
        <f t="shared" si="18"/>
        <v/>
      </c>
      <c r="AT200" s="90" t="str">
        <f t="shared" si="19"/>
        <v/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 t="str">
        <f t="shared" si="20"/>
        <v>NA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10.199999999999999</v>
      </c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</v>
      </c>
      <c r="AQ201" s="89" t="str">
        <f t="shared" si="17"/>
        <v/>
      </c>
      <c r="AR201" s="89">
        <f>IFERROR(VLOOKUP(A201,Climatologia!A:U,9+$E$2,FALSE),"")</f>
        <v>6.8025057736192744</v>
      </c>
      <c r="AS201" s="89" t="str">
        <f t="shared" si="18"/>
        <v/>
      </c>
      <c r="AT201" s="90">
        <f t="shared" si="19"/>
        <v>10.199999999999999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10.899999999999999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9.1999999999999993</v>
      </c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</v>
      </c>
      <c r="AQ202" s="89" t="str">
        <f t="shared" si="17"/>
        <v/>
      </c>
      <c r="AR202" s="89">
        <f>IFERROR(VLOOKUP(A202,Climatologia!A:U,9+$E$2,FALSE),"")</f>
        <v>7.511127721466246</v>
      </c>
      <c r="AS202" s="89" t="str">
        <f t="shared" si="18"/>
        <v/>
      </c>
      <c r="AT202" s="90">
        <f t="shared" si="19"/>
        <v>9.1999999999999993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9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8.4</v>
      </c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</v>
      </c>
      <c r="AQ203" s="89" t="str">
        <f t="shared" si="17"/>
        <v/>
      </c>
      <c r="AR203" s="89">
        <f>IFERROR(VLOOKUP(A203,Climatologia!A:U,9+$E$2,FALSE),"")</f>
        <v>7.9932587877038674</v>
      </c>
      <c r="AS203" s="89" t="str">
        <f t="shared" si="18"/>
        <v/>
      </c>
      <c r="AT203" s="90">
        <f t="shared" si="19"/>
        <v>8.4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7.5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4.3</v>
      </c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1</v>
      </c>
      <c r="AQ204" s="89" t="str">
        <f t="shared" si="17"/>
        <v/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4.3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2.2999999999999998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10.4</v>
      </c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</v>
      </c>
      <c r="AQ206" s="89" t="str">
        <f t="shared" si="17"/>
        <v/>
      </c>
      <c r="AR206" s="89">
        <f>IFERROR(VLOOKUP(A206,Climatologia!A:U,9+$E$2,FALSE),"")</f>
        <v>9.3415228944019546</v>
      </c>
      <c r="AS206" s="89" t="str">
        <f t="shared" si="18"/>
        <v/>
      </c>
      <c r="AT206" s="90">
        <f t="shared" si="19"/>
        <v>10.4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9.2000000000000011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0</v>
      </c>
      <c r="AQ207" s="89" t="str">
        <f t="shared" si="17"/>
        <v/>
      </c>
      <c r="AR207" s="89">
        <f>IFERROR(VLOOKUP(A207,Climatologia!A:U,9+$E$2,FALSE),"")</f>
        <v>5.0408940752175297</v>
      </c>
      <c r="AS207" s="89" t="str">
        <f t="shared" si="18"/>
        <v/>
      </c>
      <c r="AT207" s="90" t="str">
        <f t="shared" si="19"/>
        <v/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 t="str">
        <f t="shared" si="20"/>
        <v>NA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20.399999999999999</v>
      </c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11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1</v>
      </c>
      <c r="AQ208" s="89" t="str">
        <f t="shared" si="17"/>
        <v/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20.399999999999999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3.1999999999999993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33" priority="1" operator="equal">
      <formula>""</formula>
    </cfRule>
    <cfRule type="cellIs" dxfId="32" priority="2" stopIfTrue="1" operator="between">
      <formula>40</formula>
      <formula>500</formula>
    </cfRule>
    <cfRule type="cellIs" dxfId="31" priority="3" stopIfTrue="1" operator="between">
      <formula>-9.9</formula>
      <formula>-500</formula>
    </cfRule>
  </conditionalFormatting>
  <conditionalFormatting sqref="U3:U4 W4 Y4 AA4 AC4">
    <cfRule type="cellIs" dxfId="30" priority="8915" stopIfTrue="1" operator="equal">
      <formula>1</formula>
    </cfRule>
  </conditionalFormatting>
  <conditionalFormatting sqref="U209">
    <cfRule type="cellIs" dxfId="29" priority="84" stopIfTrue="1" operator="equal">
      <formula>1</formula>
    </cfRule>
  </conditionalFormatting>
  <conditionalFormatting sqref="AP5:AP208">
    <cfRule type="cellIs" dxfId="28" priority="9" operator="lessThan">
      <formula>14</formula>
    </cfRule>
  </conditionalFormatting>
  <conditionalFormatting sqref="AR1">
    <cfRule type="cellIs" dxfId="27" priority="13609" stopIfTrue="1" operator="between">
      <formula>0.1</formula>
      <formula>10</formula>
    </cfRule>
    <cfRule type="cellIs" dxfId="26" priority="13610" stopIfTrue="1" operator="greaterThan">
      <formula>"0.1"</formula>
    </cfRule>
  </conditionalFormatting>
  <conditionalFormatting sqref="AT5:AT208">
    <cfRule type="cellIs" dxfId="25" priority="17376" stopIfTrue="1" operator="equal">
      <formula>"40.0"</formula>
    </cfRule>
    <cfRule type="cellIs" dxfId="24" priority="17377" stopIfTrue="1" operator="between">
      <formula>-8.1</formula>
      <formula>-10</formula>
    </cfRule>
    <cfRule type="cellIs" dxfId="23" priority="17378" stopIfTrue="1" operator="between">
      <formula>-9.9</formula>
      <formula>-10</formula>
    </cfRule>
    <cfRule type="cellIs" dxfId="22" priority="17379" stopIfTrue="1" operator="between">
      <formula>-9.9</formula>
      <formula>-10</formula>
    </cfRule>
    <cfRule type="cellIs" dxfId="21" priority="17737" stopIfTrue="1" operator="between">
      <formula>0</formula>
      <formula>-8</formula>
    </cfRule>
    <cfRule type="cellIs" dxfId="20" priority="17738" stopIfTrue="1" operator="lessThan">
      <formula>-8</formula>
    </cfRule>
  </conditionalFormatting>
  <conditionalFormatting sqref="AW5:AW208">
    <cfRule type="cellIs" dxfId="19" priority="7" operator="equal">
      <formula>"NA"</formula>
    </cfRule>
    <cfRule type="cellIs" dxfId="18" priority="12294" stopIfTrue="1" operator="lessThan">
      <formula>0</formula>
    </cfRule>
    <cfRule type="cellIs" dxfId="17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46" t="s">
        <v>422</v>
      </c>
      <c r="X1" s="147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51" t="s">
        <v>848</v>
      </c>
      <c r="B1" s="151" t="s">
        <v>8</v>
      </c>
      <c r="C1" s="151" t="s">
        <v>11</v>
      </c>
      <c r="D1" s="151" t="s">
        <v>10</v>
      </c>
      <c r="E1" s="151" t="s">
        <v>12</v>
      </c>
      <c r="F1" s="151" t="s">
        <v>16</v>
      </c>
      <c r="G1" s="151" t="s">
        <v>849</v>
      </c>
      <c r="H1" s="148" t="s">
        <v>850</v>
      </c>
      <c r="I1" s="149"/>
      <c r="J1" s="150"/>
      <c r="K1" s="148" t="s">
        <v>851</v>
      </c>
      <c r="L1" s="149"/>
      <c r="M1" s="150"/>
      <c r="N1" s="148" t="s">
        <v>852</v>
      </c>
      <c r="O1" s="149"/>
      <c r="P1" s="150"/>
      <c r="Q1" s="148" t="s">
        <v>853</v>
      </c>
      <c r="R1" s="149"/>
      <c r="S1" s="150"/>
      <c r="T1" s="148" t="s">
        <v>854</v>
      </c>
      <c r="U1" s="149"/>
      <c r="V1" s="150"/>
      <c r="W1" s="148" t="s">
        <v>855</v>
      </c>
      <c r="X1" s="149"/>
      <c r="Y1" s="150"/>
      <c r="Z1" s="148" t="s">
        <v>856</v>
      </c>
      <c r="AA1" s="149"/>
      <c r="AB1" s="150"/>
      <c r="AC1" s="148" t="s">
        <v>857</v>
      </c>
      <c r="AD1" s="149"/>
      <c r="AE1" s="150"/>
      <c r="AF1" s="148" t="s">
        <v>858</v>
      </c>
      <c r="AG1" s="149"/>
      <c r="AH1" s="150"/>
      <c r="AI1" s="148" t="s">
        <v>859</v>
      </c>
      <c r="AJ1" s="149"/>
      <c r="AK1" s="150"/>
      <c r="AL1" s="148" t="s">
        <v>860</v>
      </c>
      <c r="AM1" s="149"/>
      <c r="AN1" s="150"/>
      <c r="AO1" s="148" t="s">
        <v>861</v>
      </c>
      <c r="AP1" s="149"/>
      <c r="AQ1" s="150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52"/>
      <c r="B2" s="152"/>
      <c r="C2" s="152"/>
      <c r="D2" s="152"/>
      <c r="E2" s="152"/>
      <c r="F2" s="152"/>
      <c r="G2" s="152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209"/>
  <sheetViews>
    <sheetView topLeftCell="S1" zoomScale="80" zoomScaleNormal="80" workbookViewId="0">
      <selection activeCell="AR7" sqref="AR7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4.71093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6.28515625" style="78" customWidth="1"/>
    <col min="43" max="43" width="20.85546875" style="78" customWidth="1"/>
    <col min="44" max="44" width="24.85546875" style="79" customWidth="1"/>
    <col min="45" max="45" width="14.140625" style="80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39" width="32.42578125" style="74" customWidth="1"/>
    <col min="140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4.2</v>
      </c>
      <c r="X2" s="89">
        <f t="shared" si="0"/>
        <v>3.8</v>
      </c>
      <c r="Y2" s="89">
        <f t="shared" si="0"/>
        <v>5.6</v>
      </c>
      <c r="Z2" s="89">
        <f t="shared" si="0"/>
        <v>1.4</v>
      </c>
      <c r="AA2" s="89">
        <f t="shared" si="0"/>
        <v>2</v>
      </c>
      <c r="AB2" s="89">
        <f t="shared" si="0"/>
        <v>3</v>
      </c>
      <c r="AC2" s="89">
        <f t="shared" si="0"/>
        <v>4.5999999999999996</v>
      </c>
      <c r="AD2" s="89">
        <f t="shared" si="0"/>
        <v>3</v>
      </c>
      <c r="AE2" s="89">
        <f t="shared" si="0"/>
        <v>3.4</v>
      </c>
      <c r="AF2" s="89">
        <f t="shared" si="0"/>
        <v>3.8</v>
      </c>
      <c r="AG2" s="89">
        <f t="shared" si="0"/>
        <v>5.4</v>
      </c>
      <c r="AH2" s="89">
        <f t="shared" si="0"/>
        <v>3</v>
      </c>
      <c r="AI2" s="89">
        <f t="shared" si="0"/>
        <v>1.6</v>
      </c>
      <c r="AJ2" s="89">
        <f t="shared" si="0"/>
        <v>4.4000000000000004</v>
      </c>
      <c r="AK2" s="89">
        <f t="shared" si="0"/>
        <v>3.2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123" t="s">
        <v>7</v>
      </c>
      <c r="B4" s="124" t="s">
        <v>8</v>
      </c>
      <c r="C4" s="124" t="s">
        <v>9</v>
      </c>
      <c r="D4" s="125" t="s">
        <v>10</v>
      </c>
      <c r="E4" s="125" t="s">
        <v>11</v>
      </c>
      <c r="F4" s="125" t="s">
        <v>12</v>
      </c>
      <c r="G4" s="124" t="s">
        <v>13</v>
      </c>
      <c r="H4" s="124" t="s">
        <v>14</v>
      </c>
      <c r="I4" s="124" t="s">
        <v>15</v>
      </c>
      <c r="J4" s="124" t="s">
        <v>16</v>
      </c>
      <c r="K4" s="124" t="s">
        <v>1264</v>
      </c>
      <c r="L4" s="124" t="s">
        <v>1265</v>
      </c>
      <c r="M4" s="124" t="s">
        <v>1266</v>
      </c>
      <c r="N4" s="124" t="s">
        <v>1267</v>
      </c>
      <c r="O4" s="124" t="s">
        <v>1268</v>
      </c>
      <c r="P4" s="124" t="s">
        <v>1269</v>
      </c>
      <c r="Q4" s="124" t="s">
        <v>1270</v>
      </c>
      <c r="R4" s="124" t="s">
        <v>1271</v>
      </c>
      <c r="S4" s="124" t="s">
        <v>1272</v>
      </c>
      <c r="T4" s="124" t="s">
        <v>1273</v>
      </c>
      <c r="U4" s="126" t="s">
        <v>1274</v>
      </c>
      <c r="V4" s="124" t="s">
        <v>1275</v>
      </c>
      <c r="W4" s="126" t="s">
        <v>1276</v>
      </c>
      <c r="X4" s="124" t="s">
        <v>1277</v>
      </c>
      <c r="Y4" s="126" t="s">
        <v>1278</v>
      </c>
      <c r="Z4" s="127" t="s">
        <v>1279</v>
      </c>
      <c r="AA4" s="126" t="s">
        <v>1280</v>
      </c>
      <c r="AB4" s="124" t="s">
        <v>1281</v>
      </c>
      <c r="AC4" s="126" t="s">
        <v>1282</v>
      </c>
      <c r="AD4" s="124" t="s">
        <v>1283</v>
      </c>
      <c r="AE4" s="126" t="s">
        <v>1284</v>
      </c>
      <c r="AF4" s="128" t="s">
        <v>1285</v>
      </c>
      <c r="AG4" s="128" t="s">
        <v>1286</v>
      </c>
      <c r="AH4" s="126" t="s">
        <v>1287</v>
      </c>
      <c r="AI4" s="126" t="s">
        <v>1288</v>
      </c>
      <c r="AJ4" s="128" t="s">
        <v>1289</v>
      </c>
      <c r="AK4" s="126" t="s">
        <v>1290</v>
      </c>
      <c r="AL4" s="128" t="s">
        <v>1291</v>
      </c>
      <c r="AM4" s="128" t="s">
        <v>1292</v>
      </c>
      <c r="AN4" s="128" t="s">
        <v>1293</v>
      </c>
      <c r="AO4" s="126" t="s">
        <v>1294</v>
      </c>
      <c r="AP4" s="129" t="s">
        <v>17</v>
      </c>
      <c r="AQ4" s="129" t="s">
        <v>18</v>
      </c>
      <c r="AR4" s="129" t="s">
        <v>19</v>
      </c>
      <c r="AS4" s="130" t="s">
        <v>20</v>
      </c>
      <c r="AT4" s="130" t="s">
        <v>21</v>
      </c>
      <c r="AU4" s="131" t="s">
        <v>22</v>
      </c>
      <c r="AV4" s="131" t="s">
        <v>23</v>
      </c>
      <c r="AW4" s="132" t="s">
        <v>24</v>
      </c>
    </row>
    <row r="5" spans="1:49" ht="15" customHeight="1" x14ac:dyDescent="0.2">
      <c r="A5" s="120">
        <v>35215020</v>
      </c>
      <c r="B5" s="52" t="s">
        <v>253</v>
      </c>
      <c r="C5" s="52" t="s">
        <v>212</v>
      </c>
      <c r="D5" s="53">
        <v>-72.387500000000003</v>
      </c>
      <c r="E5" s="53">
        <v>5.3204444439999996</v>
      </c>
      <c r="F5" s="48">
        <v>325</v>
      </c>
      <c r="G5" s="46">
        <v>85</v>
      </c>
      <c r="H5" s="46">
        <v>85001</v>
      </c>
      <c r="I5" s="55" t="s">
        <v>167</v>
      </c>
      <c r="J5" s="55" t="s">
        <v>254</v>
      </c>
      <c r="K5" s="51">
        <v>19.600000000000001</v>
      </c>
      <c r="L5" s="51">
        <v>19</v>
      </c>
      <c r="M5" s="51">
        <v>19.2</v>
      </c>
      <c r="N5" s="51">
        <v>19.600000000000001</v>
      </c>
      <c r="O5" s="51">
        <v>18.600000000000001</v>
      </c>
      <c r="P5" s="51">
        <v>19.2</v>
      </c>
      <c r="Q5" s="51">
        <v>20.8</v>
      </c>
      <c r="R5" s="51">
        <v>19.600000000000001</v>
      </c>
      <c r="S5" s="51">
        <v>19</v>
      </c>
      <c r="T5" s="51">
        <v>18.600000000000001</v>
      </c>
      <c r="U5" s="51">
        <v>19</v>
      </c>
      <c r="V5" s="51">
        <v>19.600000000000001</v>
      </c>
      <c r="W5" s="51">
        <v>18.8</v>
      </c>
      <c r="X5" s="51">
        <v>20.6</v>
      </c>
      <c r="Y5" s="51">
        <v>20.399999999999999</v>
      </c>
      <c r="Z5" s="111">
        <v>20.6</v>
      </c>
      <c r="AA5" s="51">
        <v>21.2</v>
      </c>
      <c r="AB5" s="51">
        <v>21</v>
      </c>
      <c r="AC5" s="51">
        <v>18.600000000000001</v>
      </c>
      <c r="AD5" s="51">
        <v>19</v>
      </c>
      <c r="AE5" s="51">
        <v>18.8</v>
      </c>
      <c r="AF5" s="51">
        <v>24</v>
      </c>
      <c r="AG5" s="51">
        <v>19.8</v>
      </c>
      <c r="AH5" s="51">
        <v>17.8</v>
      </c>
      <c r="AI5" s="51">
        <v>19.399999999999999</v>
      </c>
      <c r="AJ5" s="51">
        <v>19.2</v>
      </c>
      <c r="AK5" s="51">
        <v>19</v>
      </c>
      <c r="AL5" s="51"/>
      <c r="AM5" s="51"/>
      <c r="AN5" s="51"/>
      <c r="AO5" s="51"/>
      <c r="AP5" s="88">
        <f t="shared" ref="AP5:AP68" si="1">COUNTIF(K5:AO5,"&gt;0")</f>
        <v>27</v>
      </c>
      <c r="AQ5" s="89">
        <f t="shared" ref="AQ5:AQ68" si="2">IF(AP5&gt;14,AVERAGE(K5:AO5),"")</f>
        <v>19.62962962962963</v>
      </c>
      <c r="AR5" s="89">
        <f>IFERROR(VLOOKUP(A5,Climatologia!A:U,9+$E$2,FALSE),"")</f>
        <v>21.8744421098889</v>
      </c>
      <c r="AS5" s="89">
        <f t="shared" ref="AS5:AS68" si="3">IF(OR(AQ5="",AR5=""),"",IFERROR(AQ5-AR5,""))</f>
        <v>-2.2448124802592702</v>
      </c>
      <c r="AT5" s="90">
        <f t="shared" ref="AT5:AT68" si="4">IF(COUNT(K5:AO5)=0,"",MIN(K5:AO5))</f>
        <v>17.8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17.8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5" s="122">
        <f t="shared" ref="AW5:AW68" si="5">IF(OR(AT5="",AU5=""),"NA",IFERROR(AT5-AU5,"NA"))</f>
        <v>0</v>
      </c>
    </row>
    <row r="6" spans="1:49" ht="15" customHeight="1" x14ac:dyDescent="0.2">
      <c r="A6" s="120">
        <v>21205920</v>
      </c>
      <c r="B6" s="52" t="s">
        <v>396</v>
      </c>
      <c r="C6" s="52" t="s">
        <v>383</v>
      </c>
      <c r="D6" s="53">
        <v>-73.963888890000007</v>
      </c>
      <c r="E6" s="53">
        <v>4.8208333330000004</v>
      </c>
      <c r="F6" s="48">
        <v>2650</v>
      </c>
      <c r="G6" s="46">
        <v>25</v>
      </c>
      <c r="H6" s="46">
        <v>25758</v>
      </c>
      <c r="I6" s="55" t="s">
        <v>74</v>
      </c>
      <c r="J6" s="55" t="s">
        <v>397</v>
      </c>
      <c r="K6" s="51">
        <v>5.6</v>
      </c>
      <c r="L6" s="51">
        <v>1.8</v>
      </c>
      <c r="M6" s="51">
        <v>3.8</v>
      </c>
      <c r="N6" s="51">
        <v>5.2</v>
      </c>
      <c r="O6" s="51">
        <v>6.4</v>
      </c>
      <c r="P6" s="51">
        <v>4.8</v>
      </c>
      <c r="Q6" s="51">
        <v>5.2</v>
      </c>
      <c r="R6" s="51">
        <v>5.8</v>
      </c>
      <c r="S6" s="51">
        <v>5.2</v>
      </c>
      <c r="T6" s="51">
        <v>7.2</v>
      </c>
      <c r="U6" s="51">
        <v>4.2</v>
      </c>
      <c r="V6" s="51">
        <v>6.2</v>
      </c>
      <c r="W6" s="51">
        <v>6</v>
      </c>
      <c r="X6" s="51">
        <v>3.8</v>
      </c>
      <c r="Y6" s="51">
        <v>7.1</v>
      </c>
      <c r="Z6" s="111">
        <v>4.8</v>
      </c>
      <c r="AA6" s="51">
        <v>8.1999999999999993</v>
      </c>
      <c r="AB6" s="51">
        <v>10.199999999999999</v>
      </c>
      <c r="AC6" s="51">
        <v>8.4</v>
      </c>
      <c r="AD6" s="51">
        <v>9.6</v>
      </c>
      <c r="AE6" s="51">
        <v>6.4</v>
      </c>
      <c r="AF6" s="51">
        <v>5.8</v>
      </c>
      <c r="AG6" s="51">
        <v>7.4</v>
      </c>
      <c r="AH6" s="51">
        <v>8.1999999999999993</v>
      </c>
      <c r="AI6" s="51">
        <v>3.6</v>
      </c>
      <c r="AJ6" s="51">
        <v>7.6</v>
      </c>
      <c r="AK6" s="51">
        <v>8</v>
      </c>
      <c r="AL6" s="51"/>
      <c r="AM6" s="51"/>
      <c r="AN6" s="51"/>
      <c r="AO6" s="51"/>
      <c r="AP6" s="88">
        <f t="shared" si="1"/>
        <v>27</v>
      </c>
      <c r="AQ6" s="89">
        <f t="shared" si="2"/>
        <v>6.166666666666667</v>
      </c>
      <c r="AR6" s="89">
        <f>IFERROR(VLOOKUP(A6,Climatologia!A:U,9+$E$2,FALSE),"")</f>
        <v>7.7848444585694851</v>
      </c>
      <c r="AS6" s="89">
        <f t="shared" si="3"/>
        <v>-1.6181777919028182</v>
      </c>
      <c r="AT6" s="90">
        <f t="shared" si="4"/>
        <v>1.8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0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6" s="122">
        <f t="shared" si="5"/>
        <v>1.8</v>
      </c>
    </row>
    <row r="7" spans="1:49" ht="15" customHeight="1" x14ac:dyDescent="0.2">
      <c r="A7" s="120">
        <v>28015070</v>
      </c>
      <c r="B7" s="52" t="s">
        <v>205</v>
      </c>
      <c r="C7" s="52" t="s">
        <v>199</v>
      </c>
      <c r="D7" s="53">
        <v>-73.016388890000002</v>
      </c>
      <c r="E7" s="53">
        <v>10.566388890000001</v>
      </c>
      <c r="F7" s="48">
        <v>255</v>
      </c>
      <c r="G7" s="46">
        <v>44</v>
      </c>
      <c r="H7" s="46">
        <v>44855</v>
      </c>
      <c r="I7" s="55" t="s">
        <v>41</v>
      </c>
      <c r="J7" s="55" t="s">
        <v>206</v>
      </c>
      <c r="K7" s="51">
        <v>23.4</v>
      </c>
      <c r="L7" s="51">
        <v>22</v>
      </c>
      <c r="M7" s="51">
        <v>22.8</v>
      </c>
      <c r="N7" s="51">
        <v>21.6</v>
      </c>
      <c r="O7" s="51">
        <v>21</v>
      </c>
      <c r="P7" s="51">
        <v>21.8</v>
      </c>
      <c r="Q7" s="51">
        <v>20.6</v>
      </c>
      <c r="R7" s="51">
        <v>21.8</v>
      </c>
      <c r="S7" s="51">
        <v>21.6</v>
      </c>
      <c r="T7" s="51">
        <v>21.8</v>
      </c>
      <c r="U7" s="51">
        <v>21.6</v>
      </c>
      <c r="V7" s="51">
        <v>22.6</v>
      </c>
      <c r="W7" s="51">
        <v>20.8</v>
      </c>
      <c r="X7" s="51">
        <v>20.6</v>
      </c>
      <c r="Y7" s="51">
        <v>21.6</v>
      </c>
      <c r="Z7" s="111">
        <v>22.2</v>
      </c>
      <c r="AA7" s="51">
        <v>20.8</v>
      </c>
      <c r="AB7" s="51">
        <v>20.399999999999999</v>
      </c>
      <c r="AC7" s="51">
        <v>22.6</v>
      </c>
      <c r="AD7" s="51">
        <v>22</v>
      </c>
      <c r="AE7" s="51">
        <v>20</v>
      </c>
      <c r="AF7" s="51">
        <v>19.8</v>
      </c>
      <c r="AG7" s="51">
        <v>21</v>
      </c>
      <c r="AH7" s="51">
        <v>20.8</v>
      </c>
      <c r="AI7" s="51">
        <v>20.399999999999999</v>
      </c>
      <c r="AJ7" s="51">
        <v>22</v>
      </c>
      <c r="AK7" s="51">
        <v>19.8</v>
      </c>
      <c r="AL7" s="51"/>
      <c r="AM7" s="51"/>
      <c r="AN7" s="51"/>
      <c r="AO7" s="51"/>
      <c r="AP7" s="88">
        <f t="shared" si="1"/>
        <v>27</v>
      </c>
      <c r="AQ7" s="89">
        <f t="shared" si="2"/>
        <v>21.385185185185183</v>
      </c>
      <c r="AR7" s="89">
        <f>IFERROR(VLOOKUP(A7,Climatologia!A:U,9+$E$2,FALSE),"")</f>
        <v>22.830460829493081</v>
      </c>
      <c r="AS7" s="89">
        <f t="shared" si="3"/>
        <v>-1.4452756443078982</v>
      </c>
      <c r="AT7" s="90">
        <f t="shared" si="4"/>
        <v>19.8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16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7" s="122">
        <f t="shared" si="5"/>
        <v>3.8000000000000007</v>
      </c>
    </row>
    <row r="8" spans="1:49" ht="15" customHeight="1" x14ac:dyDescent="0.2">
      <c r="A8" s="120">
        <v>21115100</v>
      </c>
      <c r="B8" s="52" t="s">
        <v>186</v>
      </c>
      <c r="C8" s="52" t="s">
        <v>179</v>
      </c>
      <c r="D8" s="53">
        <v>-75.066388889999999</v>
      </c>
      <c r="E8" s="53">
        <v>2.9426388889999999</v>
      </c>
      <c r="F8" s="48">
        <v>1100</v>
      </c>
      <c r="G8" s="46">
        <v>41</v>
      </c>
      <c r="H8" s="46">
        <v>41001</v>
      </c>
      <c r="I8" s="55" t="s">
        <v>80</v>
      </c>
      <c r="J8" s="55" t="s">
        <v>81</v>
      </c>
      <c r="K8" s="51">
        <v>16.399999999999999</v>
      </c>
      <c r="L8" s="51">
        <v>17.2</v>
      </c>
      <c r="M8" s="51">
        <v>15.6</v>
      </c>
      <c r="N8" s="51">
        <v>16.2</v>
      </c>
      <c r="O8" s="51">
        <v>16</v>
      </c>
      <c r="P8" s="51">
        <v>17</v>
      </c>
      <c r="Q8" s="51">
        <v>18.2</v>
      </c>
      <c r="R8" s="51">
        <v>17.2</v>
      </c>
      <c r="S8" s="51">
        <v>17.8</v>
      </c>
      <c r="T8" s="51">
        <v>15.6</v>
      </c>
      <c r="U8" s="51">
        <v>16.2</v>
      </c>
      <c r="V8" s="51">
        <v>16.600000000000001</v>
      </c>
      <c r="W8" s="51">
        <v>16</v>
      </c>
      <c r="X8" s="51">
        <v>16.8</v>
      </c>
      <c r="Y8" s="51">
        <v>16.8</v>
      </c>
      <c r="Z8" s="111">
        <v>18.8</v>
      </c>
      <c r="AA8" s="51">
        <v>18.2</v>
      </c>
      <c r="AB8" s="51">
        <v>15.4</v>
      </c>
      <c r="AC8" s="51">
        <v>16.8</v>
      </c>
      <c r="AD8" s="51">
        <v>17</v>
      </c>
      <c r="AE8" s="51">
        <v>16.2</v>
      </c>
      <c r="AF8" s="51">
        <v>17.2</v>
      </c>
      <c r="AG8" s="51">
        <v>18</v>
      </c>
      <c r="AH8" s="51">
        <v>16.8</v>
      </c>
      <c r="AI8" s="51">
        <v>16.2</v>
      </c>
      <c r="AJ8" s="51">
        <v>16</v>
      </c>
      <c r="AK8" s="51">
        <v>17.2</v>
      </c>
      <c r="AL8" s="51"/>
      <c r="AM8" s="51"/>
      <c r="AN8" s="51"/>
      <c r="AO8" s="51"/>
      <c r="AP8" s="88">
        <f t="shared" si="1"/>
        <v>27</v>
      </c>
      <c r="AQ8" s="89">
        <f t="shared" si="2"/>
        <v>16.792592592592591</v>
      </c>
      <c r="AR8" s="89">
        <f>IFERROR(VLOOKUP(A8,Climatologia!A:U,9+$E$2,FALSE),"")</f>
        <v>18.21514905534578</v>
      </c>
      <c r="AS8" s="89">
        <f t="shared" si="3"/>
        <v>-1.4225564627531888</v>
      </c>
      <c r="AT8" s="90">
        <f t="shared" si="4"/>
        <v>15.4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14.6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8" s="122">
        <f t="shared" si="5"/>
        <v>0.80000000000000071</v>
      </c>
    </row>
    <row r="9" spans="1:49" ht="15" customHeight="1" x14ac:dyDescent="0.2">
      <c r="A9" s="120">
        <v>22045010</v>
      </c>
      <c r="B9" s="52" t="s">
        <v>373</v>
      </c>
      <c r="C9" s="52" t="s">
        <v>356</v>
      </c>
      <c r="D9" s="53">
        <v>-75.503444439999996</v>
      </c>
      <c r="E9" s="53">
        <v>3.7224444440000002</v>
      </c>
      <c r="F9" s="48">
        <v>895</v>
      </c>
      <c r="G9" s="46">
        <v>73</v>
      </c>
      <c r="H9" s="46">
        <v>73168</v>
      </c>
      <c r="I9" s="55" t="s">
        <v>71</v>
      </c>
      <c r="J9" s="55" t="s">
        <v>374</v>
      </c>
      <c r="K9" s="51">
        <v>18.2</v>
      </c>
      <c r="L9" s="51">
        <v>18.8</v>
      </c>
      <c r="M9" s="51">
        <v>19.600000000000001</v>
      </c>
      <c r="N9" s="51">
        <v>19</v>
      </c>
      <c r="O9" s="51">
        <v>18.600000000000001</v>
      </c>
      <c r="P9" s="51">
        <v>19.600000000000001</v>
      </c>
      <c r="Q9" s="51">
        <v>19</v>
      </c>
      <c r="R9" s="51">
        <v>18.8</v>
      </c>
      <c r="S9" s="51">
        <v>19.399999999999999</v>
      </c>
      <c r="T9" s="51">
        <v>18.8</v>
      </c>
      <c r="U9" s="51">
        <v>17.8</v>
      </c>
      <c r="V9" s="51">
        <v>19.2</v>
      </c>
      <c r="W9" s="51">
        <v>18.8</v>
      </c>
      <c r="X9" s="51">
        <v>19.2</v>
      </c>
      <c r="Y9" s="51">
        <v>18.2</v>
      </c>
      <c r="Z9" s="111">
        <v>19.2</v>
      </c>
      <c r="AA9" s="51">
        <v>19.2</v>
      </c>
      <c r="AB9" s="51">
        <v>19.600000000000001</v>
      </c>
      <c r="AC9" s="51">
        <v>18.8</v>
      </c>
      <c r="AD9" s="51">
        <v>18.8</v>
      </c>
      <c r="AE9" s="51">
        <v>18</v>
      </c>
      <c r="AF9" s="51">
        <v>18.600000000000001</v>
      </c>
      <c r="AG9" s="51">
        <v>19.600000000000001</v>
      </c>
      <c r="AH9" s="51">
        <v>20</v>
      </c>
      <c r="AI9" s="51">
        <v>18.600000000000001</v>
      </c>
      <c r="AJ9" s="51">
        <v>19.600000000000001</v>
      </c>
      <c r="AK9" s="51">
        <v>18.600000000000001</v>
      </c>
      <c r="AL9" s="51"/>
      <c r="AM9" s="51"/>
      <c r="AN9" s="51"/>
      <c r="AO9" s="51"/>
      <c r="AP9" s="88">
        <f t="shared" si="1"/>
        <v>27</v>
      </c>
      <c r="AQ9" s="89">
        <f t="shared" si="2"/>
        <v>18.948148148148153</v>
      </c>
      <c r="AR9" s="89">
        <f>IFERROR(VLOOKUP(A9,Climatologia!A:U,9+$E$2,FALSE),"")</f>
        <v>19.96734366044257</v>
      </c>
      <c r="AS9" s="89">
        <f t="shared" si="3"/>
        <v>-1.0191955122944165</v>
      </c>
      <c r="AT9" s="90">
        <f t="shared" si="4"/>
        <v>17.8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16.8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9" s="122">
        <f t="shared" si="5"/>
        <v>1</v>
      </c>
    </row>
    <row r="10" spans="1:49" ht="15" customHeight="1" x14ac:dyDescent="0.2">
      <c r="A10" s="120">
        <v>35045020</v>
      </c>
      <c r="B10" s="52" t="s">
        <v>164</v>
      </c>
      <c r="C10" s="52" t="s">
        <v>151</v>
      </c>
      <c r="D10" s="53">
        <v>-73.357500000000002</v>
      </c>
      <c r="E10" s="53">
        <v>4.300444444</v>
      </c>
      <c r="F10" s="48">
        <v>310</v>
      </c>
      <c r="G10" s="46">
        <v>50</v>
      </c>
      <c r="H10" s="46">
        <v>50226</v>
      </c>
      <c r="I10" s="55" t="s">
        <v>96</v>
      </c>
      <c r="J10" s="55" t="s">
        <v>165</v>
      </c>
      <c r="K10" s="51">
        <v>20</v>
      </c>
      <c r="L10" s="51">
        <v>21</v>
      </c>
      <c r="M10" s="51">
        <v>19.399999999999999</v>
      </c>
      <c r="N10" s="51">
        <v>20</v>
      </c>
      <c r="O10" s="51">
        <v>20.100000000000001</v>
      </c>
      <c r="P10" s="51">
        <v>20.6</v>
      </c>
      <c r="Q10" s="51">
        <v>20.2</v>
      </c>
      <c r="R10" s="51">
        <v>20</v>
      </c>
      <c r="S10" s="51">
        <v>20.8</v>
      </c>
      <c r="T10" s="51">
        <v>19.399999999999999</v>
      </c>
      <c r="U10" s="51">
        <v>20.6</v>
      </c>
      <c r="V10" s="51">
        <v>20.8</v>
      </c>
      <c r="W10" s="51">
        <v>19.399999999999999</v>
      </c>
      <c r="X10" s="51">
        <v>20</v>
      </c>
      <c r="Y10" s="51">
        <v>20.8</v>
      </c>
      <c r="Z10" s="111">
        <v>20.2</v>
      </c>
      <c r="AA10" s="51">
        <v>21.2</v>
      </c>
      <c r="AB10" s="51">
        <v>20.2</v>
      </c>
      <c r="AC10" s="51">
        <v>20</v>
      </c>
      <c r="AD10" s="51">
        <v>20.8</v>
      </c>
      <c r="AE10" s="51">
        <v>19</v>
      </c>
      <c r="AF10" s="51">
        <v>21</v>
      </c>
      <c r="AG10" s="51">
        <v>19.399999999999999</v>
      </c>
      <c r="AH10" s="51">
        <v>18.399999999999999</v>
      </c>
      <c r="AI10" s="51">
        <v>19.399999999999999</v>
      </c>
      <c r="AJ10" s="51">
        <v>21</v>
      </c>
      <c r="AK10" s="51">
        <v>19</v>
      </c>
      <c r="AL10" s="51"/>
      <c r="AM10" s="51"/>
      <c r="AN10" s="51"/>
      <c r="AO10" s="51"/>
      <c r="AP10" s="88">
        <f t="shared" si="1"/>
        <v>27</v>
      </c>
      <c r="AQ10" s="89">
        <f t="shared" si="2"/>
        <v>20.099999999999998</v>
      </c>
      <c r="AR10" s="89">
        <f>IFERROR(VLOOKUP(A10,Climatologia!A:U,9+$E$2,FALSE),"")</f>
        <v>21.093190044711658</v>
      </c>
      <c r="AS10" s="89">
        <f t="shared" si="3"/>
        <v>-0.99319004471166039</v>
      </c>
      <c r="AT10" s="90">
        <f t="shared" si="4"/>
        <v>18.399999999999999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16.3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10" s="122">
        <f t="shared" si="5"/>
        <v>2.0999999999999979</v>
      </c>
    </row>
    <row r="11" spans="1:49" ht="15" customHeight="1" x14ac:dyDescent="0.2">
      <c r="A11" s="120">
        <v>24015090</v>
      </c>
      <c r="B11" s="52" t="s">
        <v>216</v>
      </c>
      <c r="C11" s="52" t="s">
        <v>212</v>
      </c>
      <c r="D11" s="53">
        <v>-73.602277779999994</v>
      </c>
      <c r="E11" s="53">
        <v>5.7106666669999999</v>
      </c>
      <c r="F11" s="48">
        <v>2300</v>
      </c>
      <c r="G11" s="46">
        <v>15</v>
      </c>
      <c r="H11" s="46">
        <v>15696</v>
      </c>
      <c r="I11" s="55" t="s">
        <v>213</v>
      </c>
      <c r="J11" s="55" t="s">
        <v>217</v>
      </c>
      <c r="K11" s="51">
        <v>10.4</v>
      </c>
      <c r="L11" s="51">
        <v>10.6</v>
      </c>
      <c r="M11" s="51">
        <v>11.6</v>
      </c>
      <c r="N11" s="51">
        <v>11.8</v>
      </c>
      <c r="O11" s="51">
        <v>11.8</v>
      </c>
      <c r="P11" s="51">
        <v>11.6</v>
      </c>
      <c r="Q11" s="51">
        <v>11.6</v>
      </c>
      <c r="R11" s="51">
        <v>11.6</v>
      </c>
      <c r="S11" s="51">
        <v>11.4</v>
      </c>
      <c r="T11" s="51">
        <v>11.6</v>
      </c>
      <c r="U11" s="51">
        <v>11.4</v>
      </c>
      <c r="V11" s="51">
        <v>12.4</v>
      </c>
      <c r="W11" s="51">
        <v>10.4</v>
      </c>
      <c r="X11" s="51">
        <v>10.4</v>
      </c>
      <c r="Y11" s="51">
        <v>10.8</v>
      </c>
      <c r="Z11" s="111">
        <v>10.199999999999999</v>
      </c>
      <c r="AA11" s="51">
        <v>10.4</v>
      </c>
      <c r="AB11" s="51">
        <v>9.6</v>
      </c>
      <c r="AC11" s="51">
        <v>9.8000000000000007</v>
      </c>
      <c r="AD11" s="51">
        <v>10.6</v>
      </c>
      <c r="AE11" s="51">
        <v>9.8000000000000007</v>
      </c>
      <c r="AF11" s="51">
        <v>9.6</v>
      </c>
      <c r="AG11" s="51">
        <v>9.6</v>
      </c>
      <c r="AH11" s="51">
        <v>11.6</v>
      </c>
      <c r="AI11" s="51">
        <v>11.6</v>
      </c>
      <c r="AJ11" s="51">
        <v>8.8000000000000007</v>
      </c>
      <c r="AK11" s="51">
        <v>9</v>
      </c>
      <c r="AL11" s="51"/>
      <c r="AM11" s="51"/>
      <c r="AN11" s="51"/>
      <c r="AO11" s="51"/>
      <c r="AP11" s="88">
        <f t="shared" si="1"/>
        <v>27</v>
      </c>
      <c r="AQ11" s="89">
        <f t="shared" si="2"/>
        <v>10.740740740740742</v>
      </c>
      <c r="AR11" s="89">
        <f>IFERROR(VLOOKUP(A11,Climatologia!A:U,9+$E$2,FALSE),"")</f>
        <v>11.47881802826185</v>
      </c>
      <c r="AS11" s="89">
        <f t="shared" si="3"/>
        <v>-0.73807728752110791</v>
      </c>
      <c r="AT11" s="90">
        <f t="shared" si="4"/>
        <v>8.8000000000000007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5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1" s="122">
        <f t="shared" si="5"/>
        <v>3.8000000000000007</v>
      </c>
    </row>
    <row r="12" spans="1:49" ht="15" customHeight="1" x14ac:dyDescent="0.2">
      <c r="A12" s="120">
        <v>21255120</v>
      </c>
      <c r="B12" s="52" t="s">
        <v>372</v>
      </c>
      <c r="C12" s="52" t="s">
        <v>356</v>
      </c>
      <c r="D12" s="53">
        <v>-75.117336111</v>
      </c>
      <c r="E12" s="53">
        <v>5.0267619440000004</v>
      </c>
      <c r="F12" s="48">
        <v>2069</v>
      </c>
      <c r="G12" s="46">
        <v>73</v>
      </c>
      <c r="H12" s="46">
        <v>73870</v>
      </c>
      <c r="I12" s="55" t="s">
        <v>71</v>
      </c>
      <c r="J12" s="55" t="s">
        <v>372</v>
      </c>
      <c r="K12" s="51">
        <v>14.6</v>
      </c>
      <c r="L12" s="51">
        <v>13.6</v>
      </c>
      <c r="M12" s="51">
        <v>13.8</v>
      </c>
      <c r="N12" s="51">
        <v>13</v>
      </c>
      <c r="O12" s="51">
        <v>13</v>
      </c>
      <c r="P12" s="51">
        <v>14.4</v>
      </c>
      <c r="Q12" s="51">
        <v>13</v>
      </c>
      <c r="R12" s="51">
        <v>14.4</v>
      </c>
      <c r="S12" s="51">
        <v>14</v>
      </c>
      <c r="T12" s="51">
        <v>14.4</v>
      </c>
      <c r="U12" s="51">
        <v>13</v>
      </c>
      <c r="V12" s="51">
        <v>14.6</v>
      </c>
      <c r="W12" s="51">
        <v>12.8</v>
      </c>
      <c r="X12" s="51"/>
      <c r="Y12" s="51">
        <v>13.6</v>
      </c>
      <c r="Z12" s="111">
        <v>13.6</v>
      </c>
      <c r="AA12" s="51">
        <v>14.6</v>
      </c>
      <c r="AB12" s="51">
        <v>16.399999999999999</v>
      </c>
      <c r="AC12" s="51">
        <v>14.4</v>
      </c>
      <c r="AD12" s="51">
        <v>13.8</v>
      </c>
      <c r="AE12" s="51">
        <v>13.2</v>
      </c>
      <c r="AF12" s="51">
        <v>13</v>
      </c>
      <c r="AG12" s="51">
        <v>12.2</v>
      </c>
      <c r="AH12" s="51">
        <v>13.2</v>
      </c>
      <c r="AI12" s="51">
        <v>12</v>
      </c>
      <c r="AJ12" s="51">
        <v>12.2</v>
      </c>
      <c r="AK12" s="51">
        <v>11.8</v>
      </c>
      <c r="AL12" s="51"/>
      <c r="AM12" s="51"/>
      <c r="AN12" s="51"/>
      <c r="AO12" s="51"/>
      <c r="AP12" s="88">
        <f t="shared" si="1"/>
        <v>26</v>
      </c>
      <c r="AQ12" s="89">
        <f t="shared" si="2"/>
        <v>13.56153846153846</v>
      </c>
      <c r="AR12" s="89">
        <f>IFERROR(VLOOKUP(A12,Climatologia!A:U,9+$E$2,FALSE),"")</f>
        <v>14.26104885770514</v>
      </c>
      <c r="AS12" s="89">
        <f t="shared" si="3"/>
        <v>-0.69951039616667998</v>
      </c>
      <c r="AT12" s="90">
        <f t="shared" si="4"/>
        <v>11.8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11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2" s="122">
        <f t="shared" si="5"/>
        <v>0.80000000000000071</v>
      </c>
    </row>
    <row r="13" spans="1:49" ht="15" customHeight="1" x14ac:dyDescent="0.2">
      <c r="A13" s="120">
        <v>16055040</v>
      </c>
      <c r="B13" s="52" t="s">
        <v>310</v>
      </c>
      <c r="C13" s="52" t="s">
        <v>300</v>
      </c>
      <c r="D13" s="53">
        <v>-73.223055560000006</v>
      </c>
      <c r="E13" s="53">
        <v>8.0872222219999994</v>
      </c>
      <c r="F13" s="48">
        <v>1430</v>
      </c>
      <c r="G13" s="46">
        <v>54</v>
      </c>
      <c r="H13" s="46">
        <v>54003</v>
      </c>
      <c r="I13" s="55" t="s">
        <v>301</v>
      </c>
      <c r="J13" s="55" t="s">
        <v>311</v>
      </c>
      <c r="K13" s="51">
        <v>14</v>
      </c>
      <c r="L13" s="51">
        <v>14</v>
      </c>
      <c r="M13" s="51">
        <v>13.8</v>
      </c>
      <c r="N13" s="51">
        <v>13.8</v>
      </c>
      <c r="O13" s="51">
        <v>14</v>
      </c>
      <c r="P13" s="51">
        <v>12</v>
      </c>
      <c r="Q13" s="51">
        <v>13.2</v>
      </c>
      <c r="R13" s="51">
        <v>13.2</v>
      </c>
      <c r="S13" s="51">
        <v>14.8</v>
      </c>
      <c r="T13" s="51">
        <v>12.4</v>
      </c>
      <c r="U13" s="51">
        <v>11.4</v>
      </c>
      <c r="V13" s="51">
        <v>13.2</v>
      </c>
      <c r="W13" s="51">
        <v>13.4</v>
      </c>
      <c r="X13" s="51">
        <v>13.2</v>
      </c>
      <c r="Y13" s="51">
        <v>13.2</v>
      </c>
      <c r="Z13" s="111">
        <v>11.4</v>
      </c>
      <c r="AA13" s="51">
        <v>12.2</v>
      </c>
      <c r="AB13" s="51">
        <v>11.4</v>
      </c>
      <c r="AC13" s="51">
        <v>13.6</v>
      </c>
      <c r="AD13" s="51">
        <v>14.6</v>
      </c>
      <c r="AE13" s="51">
        <v>14.3</v>
      </c>
      <c r="AF13" s="51">
        <v>12.4</v>
      </c>
      <c r="AG13" s="51">
        <v>14</v>
      </c>
      <c r="AH13" s="51">
        <v>15.2</v>
      </c>
      <c r="AI13" s="51"/>
      <c r="AJ13" s="51"/>
      <c r="AK13" s="51">
        <v>11.8</v>
      </c>
      <c r="AL13" s="51"/>
      <c r="AM13" s="51"/>
      <c r="AN13" s="51"/>
      <c r="AO13" s="51"/>
      <c r="AP13" s="88">
        <f t="shared" si="1"/>
        <v>25</v>
      </c>
      <c r="AQ13" s="89">
        <f t="shared" si="2"/>
        <v>13.219999999999997</v>
      </c>
      <c r="AR13" s="89">
        <f>IFERROR(VLOOKUP(A13,Climatologia!A:U,9+$E$2,FALSE),"")</f>
        <v>13.803722366927129</v>
      </c>
      <c r="AS13" s="89">
        <f t="shared" si="3"/>
        <v>-0.58372236692713209</v>
      </c>
      <c r="AT13" s="90">
        <f t="shared" si="4"/>
        <v>11.4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8.1999999999999993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3" s="122">
        <f t="shared" si="5"/>
        <v>3.2000000000000011</v>
      </c>
    </row>
    <row r="14" spans="1:49" ht="15" customHeight="1" x14ac:dyDescent="0.2">
      <c r="A14" s="120">
        <v>22065040</v>
      </c>
      <c r="B14" s="52" t="s">
        <v>377</v>
      </c>
      <c r="C14" s="52" t="s">
        <v>356</v>
      </c>
      <c r="D14" s="53">
        <v>-75.467749999999995</v>
      </c>
      <c r="E14" s="53">
        <v>3.9211999999999998</v>
      </c>
      <c r="F14" s="48">
        <v>1566</v>
      </c>
      <c r="G14" s="46">
        <v>73</v>
      </c>
      <c r="H14" s="46">
        <v>73675</v>
      </c>
      <c r="I14" s="55" t="s">
        <v>71</v>
      </c>
      <c r="J14" s="55" t="s">
        <v>378</v>
      </c>
      <c r="K14" s="51">
        <v>17.2</v>
      </c>
      <c r="L14" s="51">
        <v>16.2</v>
      </c>
      <c r="M14" s="51">
        <v>16.2</v>
      </c>
      <c r="N14" s="51">
        <v>16</v>
      </c>
      <c r="O14" s="51">
        <v>15.8</v>
      </c>
      <c r="P14" s="51">
        <v>17.399999999999999</v>
      </c>
      <c r="Q14" s="51">
        <v>16.399999999999999</v>
      </c>
      <c r="R14" s="51">
        <v>18.399999999999999</v>
      </c>
      <c r="S14" s="51">
        <v>18</v>
      </c>
      <c r="T14" s="51">
        <v>17</v>
      </c>
      <c r="U14" s="51">
        <v>15.6</v>
      </c>
      <c r="V14" s="51">
        <v>15.8</v>
      </c>
      <c r="W14" s="51">
        <v>16.2</v>
      </c>
      <c r="X14" s="51">
        <v>15.4</v>
      </c>
      <c r="Y14" s="51">
        <v>16.399999999999999</v>
      </c>
      <c r="Z14" s="111">
        <v>16.399999999999999</v>
      </c>
      <c r="AA14" s="51">
        <v>16.399999999999999</v>
      </c>
      <c r="AB14" s="51">
        <v>16.2</v>
      </c>
      <c r="AC14" s="51">
        <v>16.2</v>
      </c>
      <c r="AD14" s="51">
        <v>17</v>
      </c>
      <c r="AE14" s="51">
        <v>17</v>
      </c>
      <c r="AF14" s="51">
        <v>15.4</v>
      </c>
      <c r="AG14" s="51">
        <v>17</v>
      </c>
      <c r="AH14" s="51">
        <v>16.8</v>
      </c>
      <c r="AI14" s="51">
        <v>14.2</v>
      </c>
      <c r="AJ14" s="51">
        <v>14.6</v>
      </c>
      <c r="AK14" s="51">
        <v>15.4</v>
      </c>
      <c r="AL14" s="51"/>
      <c r="AM14" s="51"/>
      <c r="AN14" s="51"/>
      <c r="AO14" s="51"/>
      <c r="AP14" s="88">
        <f t="shared" si="1"/>
        <v>27</v>
      </c>
      <c r="AQ14" s="89">
        <f t="shared" si="2"/>
        <v>16.318518518518516</v>
      </c>
      <c r="AR14" s="89">
        <f>IFERROR(VLOOKUP(A14,Climatologia!A:U,9+$E$2,FALSE),"")</f>
        <v>16.78927904074477</v>
      </c>
      <c r="AS14" s="89">
        <f t="shared" si="3"/>
        <v>-0.47076052222625364</v>
      </c>
      <c r="AT14" s="90">
        <f t="shared" si="4"/>
        <v>14.2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4" s="122">
        <f t="shared" si="5"/>
        <v>2.1999999999999993</v>
      </c>
    </row>
    <row r="15" spans="1:49" ht="15" customHeight="1" x14ac:dyDescent="0.2">
      <c r="A15" s="120">
        <v>26185020</v>
      </c>
      <c r="B15" s="52" t="s">
        <v>111</v>
      </c>
      <c r="C15" s="52" t="s">
        <v>102</v>
      </c>
      <c r="D15" s="53">
        <v>-75.318638890000003</v>
      </c>
      <c r="E15" s="53">
        <v>5.8863611110000003</v>
      </c>
      <c r="F15" s="48">
        <v>2408</v>
      </c>
      <c r="G15" s="46">
        <v>5</v>
      </c>
      <c r="H15" s="46">
        <v>5400</v>
      </c>
      <c r="I15" s="55" t="s">
        <v>58</v>
      </c>
      <c r="J15" s="55" t="s">
        <v>112</v>
      </c>
      <c r="K15" s="51">
        <v>11.8</v>
      </c>
      <c r="L15" s="51">
        <v>7.2</v>
      </c>
      <c r="M15" s="51">
        <v>10.8</v>
      </c>
      <c r="N15" s="51">
        <v>6.4</v>
      </c>
      <c r="O15" s="51">
        <v>9.8000000000000007</v>
      </c>
      <c r="P15" s="51">
        <v>7.6</v>
      </c>
      <c r="Q15" s="51">
        <v>10.199999999999999</v>
      </c>
      <c r="R15" s="51">
        <v>11.2</v>
      </c>
      <c r="S15" s="51">
        <v>8.6</v>
      </c>
      <c r="T15" s="51">
        <v>11.4</v>
      </c>
      <c r="U15" s="51">
        <v>6</v>
      </c>
      <c r="V15" s="51">
        <v>10.6</v>
      </c>
      <c r="W15" s="51">
        <v>10.8</v>
      </c>
      <c r="X15" s="51">
        <v>10</v>
      </c>
      <c r="Y15" s="51">
        <v>9.4</v>
      </c>
      <c r="Z15" s="111">
        <v>8.6</v>
      </c>
      <c r="AA15" s="51">
        <v>12</v>
      </c>
      <c r="AB15" s="51">
        <v>7.8</v>
      </c>
      <c r="AC15" s="51">
        <v>9.4</v>
      </c>
      <c r="AD15" s="51">
        <v>8.1999999999999993</v>
      </c>
      <c r="AE15" s="51">
        <v>7.8</v>
      </c>
      <c r="AF15" s="51">
        <v>5.6</v>
      </c>
      <c r="AG15" s="51">
        <v>8.1999999999999993</v>
      </c>
      <c r="AH15" s="51">
        <v>9.1999999999999993</v>
      </c>
      <c r="AI15" s="51">
        <v>6</v>
      </c>
      <c r="AJ15" s="51">
        <v>8.8000000000000007</v>
      </c>
      <c r="AK15" s="51">
        <v>8.6</v>
      </c>
      <c r="AL15" s="51"/>
      <c r="AM15" s="51"/>
      <c r="AN15" s="51"/>
      <c r="AO15" s="51"/>
      <c r="AP15" s="88">
        <f t="shared" si="1"/>
        <v>27</v>
      </c>
      <c r="AQ15" s="89">
        <f t="shared" si="2"/>
        <v>8.9629629629629619</v>
      </c>
      <c r="AR15" s="89">
        <f>IFERROR(VLOOKUP(A15,Climatologia!A:U,9+$E$2,FALSE),"")</f>
        <v>9.3349769585253455</v>
      </c>
      <c r="AS15" s="89">
        <f t="shared" si="3"/>
        <v>-0.37201399556238357</v>
      </c>
      <c r="AT15" s="90">
        <f t="shared" si="4"/>
        <v>5.6</v>
      </c>
      <c r="AU15" s="90" t="str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/>
      </c>
      <c r="AV15" s="91" t="str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" s="122" t="str">
        <f t="shared" si="5"/>
        <v>NA</v>
      </c>
    </row>
    <row r="16" spans="1:49" ht="15" customHeight="1" x14ac:dyDescent="0.2">
      <c r="A16" s="120">
        <v>26175040</v>
      </c>
      <c r="B16" s="52" t="s">
        <v>109</v>
      </c>
      <c r="C16" s="52" t="s">
        <v>102</v>
      </c>
      <c r="D16" s="53">
        <v>-75.65097222</v>
      </c>
      <c r="E16" s="53">
        <v>5.8002500000000001</v>
      </c>
      <c r="F16" s="48">
        <v>604</v>
      </c>
      <c r="G16" s="46">
        <v>5</v>
      </c>
      <c r="H16" s="46">
        <v>5282</v>
      </c>
      <c r="I16" s="55" t="s">
        <v>58</v>
      </c>
      <c r="J16" s="55" t="s">
        <v>110</v>
      </c>
      <c r="K16" s="51">
        <v>20</v>
      </c>
      <c r="L16" s="51">
        <v>19</v>
      </c>
      <c r="M16" s="51">
        <v>18.8</v>
      </c>
      <c r="N16" s="51">
        <v>20.2</v>
      </c>
      <c r="O16" s="51">
        <v>20</v>
      </c>
      <c r="P16" s="51">
        <v>19.399999999999999</v>
      </c>
      <c r="Q16" s="51">
        <v>19.8</v>
      </c>
      <c r="R16" s="51">
        <v>19</v>
      </c>
      <c r="S16" s="51">
        <v>19.8</v>
      </c>
      <c r="T16" s="51">
        <v>20</v>
      </c>
      <c r="U16" s="51">
        <v>18</v>
      </c>
      <c r="V16" s="51">
        <v>19.2</v>
      </c>
      <c r="W16" s="51">
        <v>20.2</v>
      </c>
      <c r="X16" s="51">
        <v>17.2</v>
      </c>
      <c r="Y16" s="51">
        <v>18.600000000000001</v>
      </c>
      <c r="Z16" s="111">
        <v>18</v>
      </c>
      <c r="AA16" s="51">
        <v>17</v>
      </c>
      <c r="AB16" s="51">
        <v>18</v>
      </c>
      <c r="AC16" s="51">
        <v>19.399999999999999</v>
      </c>
      <c r="AD16" s="51">
        <v>20.2</v>
      </c>
      <c r="AE16" s="51">
        <v>20</v>
      </c>
      <c r="AF16" s="51">
        <v>20</v>
      </c>
      <c r="AG16" s="51">
        <v>19.8</v>
      </c>
      <c r="AH16" s="51">
        <v>20.399999999999999</v>
      </c>
      <c r="AI16" s="51">
        <v>18</v>
      </c>
      <c r="AJ16" s="51">
        <v>19.2</v>
      </c>
      <c r="AK16" s="51">
        <v>20</v>
      </c>
      <c r="AL16" s="51"/>
      <c r="AM16" s="51"/>
      <c r="AN16" s="51"/>
      <c r="AO16" s="51"/>
      <c r="AP16" s="88">
        <f t="shared" si="1"/>
        <v>27</v>
      </c>
      <c r="AQ16" s="89">
        <f t="shared" si="2"/>
        <v>19.229629629629631</v>
      </c>
      <c r="AR16" s="89">
        <f>IFERROR(VLOOKUP(A16,Climatologia!A:U,9+$E$2,FALSE),"")</f>
        <v>19.581162337847541</v>
      </c>
      <c r="AS16" s="89">
        <f t="shared" si="3"/>
        <v>-0.35153270821790983</v>
      </c>
      <c r="AT16" s="90">
        <f t="shared" si="4"/>
        <v>17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15.2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16" s="122">
        <f t="shared" si="5"/>
        <v>1.8000000000000007</v>
      </c>
    </row>
    <row r="17" spans="1:49" ht="15" customHeight="1" x14ac:dyDescent="0.2">
      <c r="A17" s="120">
        <v>21145080</v>
      </c>
      <c r="B17" s="52" t="s">
        <v>191</v>
      </c>
      <c r="C17" s="52" t="s">
        <v>179</v>
      </c>
      <c r="D17" s="53">
        <v>-74.702944439999996</v>
      </c>
      <c r="E17" s="53">
        <v>3.5897777780000002</v>
      </c>
      <c r="F17" s="48">
        <v>1410</v>
      </c>
      <c r="G17" s="46">
        <v>41</v>
      </c>
      <c r="H17" s="46">
        <v>41206</v>
      </c>
      <c r="I17" s="55" t="s">
        <v>80</v>
      </c>
      <c r="J17" s="55" t="s">
        <v>192</v>
      </c>
      <c r="K17" s="51">
        <v>16</v>
      </c>
      <c r="L17" s="51">
        <v>14.2</v>
      </c>
      <c r="M17" s="51">
        <v>15.2</v>
      </c>
      <c r="N17" s="51">
        <v>15.4</v>
      </c>
      <c r="O17" s="51">
        <v>14.4</v>
      </c>
      <c r="P17" s="51">
        <v>15.8</v>
      </c>
      <c r="Q17" s="51">
        <v>15.8</v>
      </c>
      <c r="R17" s="51">
        <v>15.6</v>
      </c>
      <c r="S17" s="51">
        <v>15.2</v>
      </c>
      <c r="T17" s="51">
        <v>15.4</v>
      </c>
      <c r="U17" s="51">
        <v>13.6</v>
      </c>
      <c r="V17" s="51">
        <v>15.2</v>
      </c>
      <c r="W17" s="51">
        <v>15</v>
      </c>
      <c r="X17" s="51">
        <v>14.8</v>
      </c>
      <c r="Y17" s="51">
        <v>14.8</v>
      </c>
      <c r="Z17" s="111">
        <v>14.6</v>
      </c>
      <c r="AA17" s="51">
        <v>14.4</v>
      </c>
      <c r="AB17" s="51">
        <v>15.8</v>
      </c>
      <c r="AC17" s="51">
        <v>14.4</v>
      </c>
      <c r="AD17" s="51">
        <v>14.6</v>
      </c>
      <c r="AE17" s="51">
        <v>14.4</v>
      </c>
      <c r="AF17" s="51">
        <v>14.4</v>
      </c>
      <c r="AG17" s="51">
        <v>15.4</v>
      </c>
      <c r="AH17" s="51">
        <v>14.6</v>
      </c>
      <c r="AI17" s="51">
        <v>12.8</v>
      </c>
      <c r="AJ17" s="51">
        <v>14.6</v>
      </c>
      <c r="AK17" s="51"/>
      <c r="AL17" s="51"/>
      <c r="AM17" s="51"/>
      <c r="AN17" s="51"/>
      <c r="AO17" s="51"/>
      <c r="AP17" s="88">
        <f t="shared" si="1"/>
        <v>26</v>
      </c>
      <c r="AQ17" s="89">
        <f t="shared" si="2"/>
        <v>14.86153846153846</v>
      </c>
      <c r="AR17" s="89">
        <f>IFERROR(VLOOKUP(A17,Climatologia!A:U,9+$E$2,FALSE),"")</f>
        <v>15.20904351496088</v>
      </c>
      <c r="AS17" s="89">
        <f t="shared" si="3"/>
        <v>-0.34750505342242022</v>
      </c>
      <c r="AT17" s="90">
        <f t="shared" si="4"/>
        <v>12.8</v>
      </c>
      <c r="AU17" s="90" t="str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/>
      </c>
      <c r="AV17" s="91" t="str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" s="122" t="str">
        <f t="shared" si="5"/>
        <v>NA</v>
      </c>
    </row>
    <row r="18" spans="1:49" ht="15" customHeight="1" x14ac:dyDescent="0.2">
      <c r="A18" s="120">
        <v>24035430</v>
      </c>
      <c r="B18" s="52" t="s">
        <v>238</v>
      </c>
      <c r="C18" s="52" t="s">
        <v>212</v>
      </c>
      <c r="D18" s="53">
        <v>-73.11636</v>
      </c>
      <c r="E18" s="53">
        <v>5.7458299999999998</v>
      </c>
      <c r="F18" s="48">
        <v>2521</v>
      </c>
      <c r="G18" s="46">
        <v>15</v>
      </c>
      <c r="H18" s="46">
        <v>15516</v>
      </c>
      <c r="I18" s="55" t="s">
        <v>213</v>
      </c>
      <c r="J18" s="55" t="s">
        <v>239</v>
      </c>
      <c r="K18" s="51">
        <v>4.2</v>
      </c>
      <c r="L18" s="51">
        <v>4.2</v>
      </c>
      <c r="M18" s="51">
        <v>6.8</v>
      </c>
      <c r="N18" s="51">
        <v>8.1999999999999993</v>
      </c>
      <c r="O18" s="51">
        <v>8.1999999999999993</v>
      </c>
      <c r="P18" s="51">
        <v>8</v>
      </c>
      <c r="Q18" s="51">
        <v>7.6</v>
      </c>
      <c r="R18" s="51">
        <v>9.1999999999999993</v>
      </c>
      <c r="S18" s="51">
        <v>9</v>
      </c>
      <c r="T18" s="51">
        <v>6.4</v>
      </c>
      <c r="U18" s="51">
        <v>4.4000000000000004</v>
      </c>
      <c r="V18" s="51">
        <v>4.2</v>
      </c>
      <c r="W18" s="51">
        <v>4.2</v>
      </c>
      <c r="X18" s="51">
        <v>4.8</v>
      </c>
      <c r="Y18" s="51">
        <v>10</v>
      </c>
      <c r="Z18" s="111">
        <v>5.2</v>
      </c>
      <c r="AA18" s="51">
        <v>5.2</v>
      </c>
      <c r="AB18" s="51">
        <v>4.2</v>
      </c>
      <c r="AC18" s="51">
        <v>8.4</v>
      </c>
      <c r="AD18" s="51">
        <v>5.5</v>
      </c>
      <c r="AE18" s="51">
        <v>8</v>
      </c>
      <c r="AF18" s="51">
        <v>6.4</v>
      </c>
      <c r="AG18" s="51">
        <v>9.8000000000000007</v>
      </c>
      <c r="AH18" s="51">
        <v>4.4000000000000004</v>
      </c>
      <c r="AI18" s="51">
        <v>1.6</v>
      </c>
      <c r="AJ18" s="51">
        <v>10</v>
      </c>
      <c r="AK18" s="51">
        <v>6.8</v>
      </c>
      <c r="AL18" s="51"/>
      <c r="AM18" s="51"/>
      <c r="AN18" s="51"/>
      <c r="AO18" s="51"/>
      <c r="AP18" s="88">
        <f t="shared" si="1"/>
        <v>27</v>
      </c>
      <c r="AQ18" s="89">
        <f t="shared" si="2"/>
        <v>6.4777777777777805</v>
      </c>
      <c r="AR18" s="89">
        <f>IFERROR(VLOOKUP(A18,Climatologia!A:U,9+$E$2,FALSE),"")</f>
        <v>6.7483058935476308</v>
      </c>
      <c r="AS18" s="89">
        <f t="shared" si="3"/>
        <v>-0.27052811576985025</v>
      </c>
      <c r="AT18" s="90">
        <f t="shared" si="4"/>
        <v>1.6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-1.4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8" s="122">
        <f t="shared" si="5"/>
        <v>3</v>
      </c>
    </row>
    <row r="19" spans="1:49" ht="15" customHeight="1" x14ac:dyDescent="0.2">
      <c r="A19" s="120">
        <v>35195050</v>
      </c>
      <c r="B19" s="52" t="s">
        <v>251</v>
      </c>
      <c r="C19" s="52" t="s">
        <v>212</v>
      </c>
      <c r="D19" s="53">
        <v>-72.717222219999996</v>
      </c>
      <c r="E19" s="53">
        <v>5.4072777780000001</v>
      </c>
      <c r="F19" s="48">
        <v>1550</v>
      </c>
      <c r="G19" s="46">
        <v>15</v>
      </c>
      <c r="H19" s="46">
        <v>15518</v>
      </c>
      <c r="I19" s="55" t="s">
        <v>213</v>
      </c>
      <c r="J19" s="55" t="s">
        <v>252</v>
      </c>
      <c r="K19" s="51">
        <v>16.5</v>
      </c>
      <c r="L19" s="51">
        <v>14.8</v>
      </c>
      <c r="M19" s="51">
        <v>16.8</v>
      </c>
      <c r="N19" s="51">
        <v>14.6</v>
      </c>
      <c r="O19" s="51">
        <v>16</v>
      </c>
      <c r="P19" s="51">
        <v>14.6</v>
      </c>
      <c r="Q19" s="51">
        <v>14.4</v>
      </c>
      <c r="R19" s="51">
        <v>14.8</v>
      </c>
      <c r="S19" s="51">
        <v>14.6</v>
      </c>
      <c r="T19" s="51"/>
      <c r="U19" s="51">
        <v>15.8</v>
      </c>
      <c r="V19" s="51">
        <v>14.6</v>
      </c>
      <c r="W19" s="51">
        <v>14.4</v>
      </c>
      <c r="X19" s="51">
        <v>14.2</v>
      </c>
      <c r="Y19" s="51">
        <v>14.2</v>
      </c>
      <c r="Z19" s="111">
        <v>15.4</v>
      </c>
      <c r="AA19" s="51">
        <v>14.6</v>
      </c>
      <c r="AB19" s="51">
        <v>14.4</v>
      </c>
      <c r="AC19" s="51">
        <v>14.6</v>
      </c>
      <c r="AD19" s="51">
        <v>16.5</v>
      </c>
      <c r="AE19" s="51">
        <v>15.6</v>
      </c>
      <c r="AF19" s="51">
        <v>14.2</v>
      </c>
      <c r="AG19" s="51">
        <v>14.6</v>
      </c>
      <c r="AH19" s="51">
        <v>16.5</v>
      </c>
      <c r="AI19" s="51"/>
      <c r="AJ19" s="51">
        <v>15</v>
      </c>
      <c r="AK19" s="51">
        <v>14.2</v>
      </c>
      <c r="AL19" s="51"/>
      <c r="AM19" s="51"/>
      <c r="AN19" s="51"/>
      <c r="AO19" s="51"/>
      <c r="AP19" s="88">
        <f t="shared" si="1"/>
        <v>25</v>
      </c>
      <c r="AQ19" s="89">
        <f t="shared" si="2"/>
        <v>15.036000000000001</v>
      </c>
      <c r="AR19" s="89">
        <f>IFERROR(VLOOKUP(A19,Climatologia!A:U,9+$E$2,FALSE),"")</f>
        <v>15.22725499231951</v>
      </c>
      <c r="AS19" s="89">
        <f t="shared" si="3"/>
        <v>-0.19125499231950904</v>
      </c>
      <c r="AT19" s="90">
        <f t="shared" si="4"/>
        <v>14.2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9.8000000000000007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9" s="122">
        <f t="shared" si="5"/>
        <v>4.3999999999999986</v>
      </c>
    </row>
    <row r="20" spans="1:49" ht="15" customHeight="1" x14ac:dyDescent="0.2">
      <c r="A20" s="119">
        <v>23085270</v>
      </c>
      <c r="B20" s="47" t="s">
        <v>62</v>
      </c>
      <c r="C20" s="52" t="s">
        <v>1295</v>
      </c>
      <c r="D20" s="49">
        <v>-75.430000000000007</v>
      </c>
      <c r="E20" s="49">
        <v>6.17</v>
      </c>
      <c r="F20" s="50">
        <v>2157</v>
      </c>
      <c r="G20" s="50">
        <v>5</v>
      </c>
      <c r="H20" s="50">
        <v>5615</v>
      </c>
      <c r="I20" s="47" t="s">
        <v>58</v>
      </c>
      <c r="J20" s="63" t="s">
        <v>63</v>
      </c>
      <c r="K20" s="51">
        <v>12.1</v>
      </c>
      <c r="L20" s="51">
        <v>11</v>
      </c>
      <c r="M20" s="51">
        <v>11.5</v>
      </c>
      <c r="N20" s="51">
        <v>12.8</v>
      </c>
      <c r="O20" s="51">
        <v>13</v>
      </c>
      <c r="P20" s="51">
        <v>12.7</v>
      </c>
      <c r="Q20" s="51">
        <v>13</v>
      </c>
      <c r="R20" s="51">
        <v>13.8</v>
      </c>
      <c r="S20" s="51">
        <v>14</v>
      </c>
      <c r="T20" s="51">
        <v>10.6</v>
      </c>
      <c r="U20" s="51">
        <v>9.6</v>
      </c>
      <c r="V20" s="51">
        <v>10.4</v>
      </c>
      <c r="W20" s="51">
        <v>12</v>
      </c>
      <c r="X20" s="51">
        <v>10.6</v>
      </c>
      <c r="Y20" s="51">
        <v>10</v>
      </c>
      <c r="Z20" s="111">
        <v>10.3</v>
      </c>
      <c r="AA20" s="51">
        <v>9.4</v>
      </c>
      <c r="AB20" s="51">
        <v>11.8</v>
      </c>
      <c r="AC20" s="51">
        <v>13.3</v>
      </c>
      <c r="AD20" s="51">
        <v>13.1</v>
      </c>
      <c r="AE20" s="51">
        <v>12.7</v>
      </c>
      <c r="AF20" s="51">
        <v>10.6</v>
      </c>
      <c r="AG20" s="51">
        <v>13.4</v>
      </c>
      <c r="AH20" s="51">
        <v>12.4</v>
      </c>
      <c r="AI20" s="51">
        <v>11.8</v>
      </c>
      <c r="AJ20" s="51">
        <v>13.2</v>
      </c>
      <c r="AK20" s="51">
        <v>13.4</v>
      </c>
      <c r="AL20" s="51"/>
      <c r="AM20" s="51"/>
      <c r="AN20" s="51"/>
      <c r="AO20" s="51"/>
      <c r="AP20" s="88">
        <f t="shared" si="1"/>
        <v>27</v>
      </c>
      <c r="AQ20" s="89">
        <f t="shared" si="2"/>
        <v>11.944444444444443</v>
      </c>
      <c r="AR20" s="89">
        <f>IFERROR(VLOOKUP(A20,Climatologia!A:U,9+$E$2,FALSE),"")</f>
        <v>12.078935483870969</v>
      </c>
      <c r="AS20" s="89">
        <f t="shared" si="3"/>
        <v>-0.13449103942652663</v>
      </c>
      <c r="AT20" s="90">
        <f t="shared" si="4"/>
        <v>9.4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5.6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0" s="122">
        <f t="shared" si="5"/>
        <v>3.8000000000000007</v>
      </c>
    </row>
    <row r="21" spans="1:49" ht="15" customHeight="1" x14ac:dyDescent="0.2">
      <c r="A21" s="120">
        <v>24055030</v>
      </c>
      <c r="B21" s="52" t="s">
        <v>329</v>
      </c>
      <c r="C21" s="52" t="s">
        <v>300</v>
      </c>
      <c r="D21" s="53">
        <v>-73.282749999999993</v>
      </c>
      <c r="E21" s="53">
        <v>6.7927777779999996</v>
      </c>
      <c r="F21" s="48">
        <v>1810</v>
      </c>
      <c r="G21" s="46">
        <v>68</v>
      </c>
      <c r="H21" s="46">
        <v>68895</v>
      </c>
      <c r="I21" s="55" t="s">
        <v>50</v>
      </c>
      <c r="J21" s="55" t="s">
        <v>329</v>
      </c>
      <c r="K21" s="51">
        <v>14.4</v>
      </c>
      <c r="L21" s="51">
        <v>14.8</v>
      </c>
      <c r="M21" s="51">
        <v>13</v>
      </c>
      <c r="N21" s="51">
        <v>14.2</v>
      </c>
      <c r="O21" s="51">
        <v>13.8</v>
      </c>
      <c r="P21" s="51">
        <v>13.8</v>
      </c>
      <c r="Q21" s="51">
        <v>15</v>
      </c>
      <c r="R21" s="51">
        <v>14.4</v>
      </c>
      <c r="S21" s="51"/>
      <c r="T21" s="51">
        <v>11.2</v>
      </c>
      <c r="U21" s="51">
        <v>13.2</v>
      </c>
      <c r="V21" s="51">
        <v>14.4</v>
      </c>
      <c r="W21" s="51">
        <v>13.2</v>
      </c>
      <c r="X21" s="51">
        <v>13.2</v>
      </c>
      <c r="Y21" s="51">
        <v>13.6</v>
      </c>
      <c r="Z21" s="111">
        <v>15</v>
      </c>
      <c r="AA21" s="51">
        <v>13</v>
      </c>
      <c r="AB21" s="51">
        <v>14.2</v>
      </c>
      <c r="AC21" s="51">
        <v>14.8</v>
      </c>
      <c r="AD21" s="51">
        <v>14.8</v>
      </c>
      <c r="AE21" s="51">
        <v>14.8</v>
      </c>
      <c r="AF21" s="51">
        <v>13</v>
      </c>
      <c r="AG21" s="51">
        <v>14.4</v>
      </c>
      <c r="AH21" s="51">
        <v>14</v>
      </c>
      <c r="AI21" s="51">
        <v>13.2</v>
      </c>
      <c r="AJ21" s="51">
        <v>13</v>
      </c>
      <c r="AK21" s="51">
        <v>13.6</v>
      </c>
      <c r="AL21" s="51"/>
      <c r="AM21" s="51"/>
      <c r="AN21" s="51"/>
      <c r="AO21" s="51"/>
      <c r="AP21" s="88">
        <f t="shared" si="1"/>
        <v>26</v>
      </c>
      <c r="AQ21" s="89">
        <f t="shared" si="2"/>
        <v>13.846153846153847</v>
      </c>
      <c r="AR21" s="89">
        <f>IFERROR(VLOOKUP(A21,Climatologia!A:U,9+$E$2,FALSE),"")</f>
        <v>13.943843654075909</v>
      </c>
      <c r="AS21" s="89">
        <f t="shared" si="3"/>
        <v>-9.7689807922062499E-2</v>
      </c>
      <c r="AT21" s="90">
        <f t="shared" si="4"/>
        <v>11.2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11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21" s="122">
        <f t="shared" si="5"/>
        <v>0.19999999999999929</v>
      </c>
    </row>
    <row r="22" spans="1:49" ht="15" customHeight="1" x14ac:dyDescent="0.2">
      <c r="A22" s="120">
        <v>24035070</v>
      </c>
      <c r="B22" s="52" t="s">
        <v>226</v>
      </c>
      <c r="C22" s="52" t="s">
        <v>212</v>
      </c>
      <c r="D22" s="53">
        <v>-72.409194439999993</v>
      </c>
      <c r="E22" s="53">
        <v>6.463472222</v>
      </c>
      <c r="F22" s="48">
        <v>2963</v>
      </c>
      <c r="G22" s="46">
        <v>15</v>
      </c>
      <c r="H22" s="46">
        <v>15332</v>
      </c>
      <c r="I22" s="55" t="s">
        <v>213</v>
      </c>
      <c r="J22" s="55" t="s">
        <v>227</v>
      </c>
      <c r="K22" s="51">
        <v>8.9</v>
      </c>
      <c r="L22" s="51">
        <v>9</v>
      </c>
      <c r="M22" s="51">
        <v>9.4</v>
      </c>
      <c r="N22" s="51">
        <v>9</v>
      </c>
      <c r="O22" s="51">
        <v>8</v>
      </c>
      <c r="P22" s="51">
        <v>8.4</v>
      </c>
      <c r="Q22" s="51">
        <v>8</v>
      </c>
      <c r="R22" s="51">
        <v>7.8</v>
      </c>
      <c r="S22" s="51"/>
      <c r="T22" s="51">
        <v>8.6</v>
      </c>
      <c r="U22" s="51">
        <v>9.1999999999999993</v>
      </c>
      <c r="V22" s="51">
        <v>11.4</v>
      </c>
      <c r="W22" s="51">
        <v>7.2</v>
      </c>
      <c r="X22" s="51">
        <v>6.3</v>
      </c>
      <c r="Y22" s="51">
        <v>8.8000000000000007</v>
      </c>
      <c r="Z22" s="111">
        <v>7</v>
      </c>
      <c r="AA22" s="51">
        <v>8.4</v>
      </c>
      <c r="AB22" s="51">
        <v>9</v>
      </c>
      <c r="AC22" s="51">
        <v>8</v>
      </c>
      <c r="AD22" s="51">
        <v>9.6</v>
      </c>
      <c r="AE22" s="51">
        <v>9</v>
      </c>
      <c r="AF22" s="51">
        <v>7</v>
      </c>
      <c r="AG22" s="51">
        <v>7.4</v>
      </c>
      <c r="AH22" s="51">
        <v>7</v>
      </c>
      <c r="AI22" s="51">
        <v>9.1999999999999993</v>
      </c>
      <c r="AJ22" s="51">
        <v>7</v>
      </c>
      <c r="AK22" s="51">
        <v>6.8</v>
      </c>
      <c r="AL22" s="51"/>
      <c r="AM22" s="51"/>
      <c r="AN22" s="51"/>
      <c r="AO22" s="51"/>
      <c r="AP22" s="88">
        <f t="shared" si="1"/>
        <v>26</v>
      </c>
      <c r="AQ22" s="89">
        <f t="shared" si="2"/>
        <v>8.2846153846153854</v>
      </c>
      <c r="AR22" s="89">
        <f>IFERROR(VLOOKUP(A22,Climatologia!A:U,9+$E$2,FALSE),"")</f>
        <v>8.3150202936469455</v>
      </c>
      <c r="AS22" s="89">
        <f t="shared" si="3"/>
        <v>-3.0404909031560123E-2</v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3.6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22" s="122">
        <f t="shared" si="5"/>
        <v>2.6999999999999997</v>
      </c>
    </row>
    <row r="23" spans="1:49" ht="15" customHeight="1" x14ac:dyDescent="0.2">
      <c r="A23" s="120">
        <v>16015020</v>
      </c>
      <c r="B23" s="52" t="s">
        <v>299</v>
      </c>
      <c r="C23" s="52" t="s">
        <v>300</v>
      </c>
      <c r="D23" s="53">
        <v>-72.644999999999996</v>
      </c>
      <c r="E23" s="53">
        <v>7.3731111110000001</v>
      </c>
      <c r="F23" s="48">
        <v>2340</v>
      </c>
      <c r="G23" s="46">
        <v>54</v>
      </c>
      <c r="H23" s="46">
        <v>54518</v>
      </c>
      <c r="I23" s="55" t="s">
        <v>301</v>
      </c>
      <c r="J23" s="55" t="s">
        <v>302</v>
      </c>
      <c r="K23" s="51">
        <v>10.8</v>
      </c>
      <c r="L23" s="51">
        <v>11</v>
      </c>
      <c r="M23" s="51">
        <v>12.2</v>
      </c>
      <c r="N23" s="51">
        <v>12.8</v>
      </c>
      <c r="O23" s="51">
        <v>10.6</v>
      </c>
      <c r="P23" s="51">
        <v>11.8</v>
      </c>
      <c r="Q23" s="51">
        <v>12</v>
      </c>
      <c r="R23" s="51">
        <v>12.6</v>
      </c>
      <c r="S23" s="51">
        <v>11.2</v>
      </c>
      <c r="T23" s="51">
        <v>10.8</v>
      </c>
      <c r="U23" s="51">
        <v>10</v>
      </c>
      <c r="V23" s="51">
        <v>11.6</v>
      </c>
      <c r="W23" s="51">
        <v>11.2</v>
      </c>
      <c r="X23" s="51">
        <v>10.4</v>
      </c>
      <c r="Y23" s="51">
        <v>11</v>
      </c>
      <c r="Z23" s="111">
        <v>9.8000000000000007</v>
      </c>
      <c r="AA23" s="51">
        <v>11.2</v>
      </c>
      <c r="AB23" s="51">
        <v>10.8</v>
      </c>
      <c r="AC23" s="51">
        <v>9.8000000000000007</v>
      </c>
      <c r="AD23" s="51">
        <v>11.4</v>
      </c>
      <c r="AE23" s="51">
        <v>11</v>
      </c>
      <c r="AF23" s="51">
        <v>12</v>
      </c>
      <c r="AG23" s="51">
        <v>12.6</v>
      </c>
      <c r="AH23" s="51">
        <v>10.8</v>
      </c>
      <c r="AI23" s="51"/>
      <c r="AJ23" s="51">
        <v>11.8</v>
      </c>
      <c r="AK23" s="51">
        <v>11</v>
      </c>
      <c r="AL23" s="51"/>
      <c r="AM23" s="51"/>
      <c r="AN23" s="51"/>
      <c r="AO23" s="51"/>
      <c r="AP23" s="88">
        <f t="shared" si="1"/>
        <v>26</v>
      </c>
      <c r="AQ23" s="89">
        <f t="shared" si="2"/>
        <v>11.238461538461539</v>
      </c>
      <c r="AR23" s="89">
        <f>IFERROR(VLOOKUP(A23,Climatologia!A:U,9+$E$2,FALSE),"")</f>
        <v>11.20513978494624</v>
      </c>
      <c r="AS23" s="89">
        <f t="shared" si="3"/>
        <v>3.332175351529898E-2</v>
      </c>
      <c r="AT23" s="90">
        <f t="shared" si="4"/>
        <v>9.8000000000000007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2.6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23" s="122">
        <f t="shared" si="5"/>
        <v>7.2000000000000011</v>
      </c>
    </row>
    <row r="24" spans="1:49" ht="15" customHeight="1" x14ac:dyDescent="0.2">
      <c r="A24" s="120">
        <v>35095110</v>
      </c>
      <c r="B24" s="52" t="s">
        <v>166</v>
      </c>
      <c r="C24" s="52" t="s">
        <v>151</v>
      </c>
      <c r="D24" s="53">
        <v>-72.915458000000001</v>
      </c>
      <c r="E24" s="53">
        <v>4.65144</v>
      </c>
      <c r="F24" s="48">
        <v>345</v>
      </c>
      <c r="G24" s="46">
        <v>85</v>
      </c>
      <c r="H24" s="46">
        <v>85440</v>
      </c>
      <c r="I24" s="55" t="s">
        <v>167</v>
      </c>
      <c r="J24" s="55" t="s">
        <v>168</v>
      </c>
      <c r="K24" s="51">
        <v>20.8</v>
      </c>
      <c r="L24" s="51">
        <v>21.4</v>
      </c>
      <c r="M24" s="51">
        <v>21</v>
      </c>
      <c r="N24" s="51">
        <v>21</v>
      </c>
      <c r="O24" s="51">
        <v>20</v>
      </c>
      <c r="P24" s="51">
        <v>20</v>
      </c>
      <c r="Q24" s="51">
        <v>20.3</v>
      </c>
      <c r="R24" s="51">
        <v>21</v>
      </c>
      <c r="S24" s="51">
        <v>20.3</v>
      </c>
      <c r="T24" s="51">
        <v>20</v>
      </c>
      <c r="U24" s="51">
        <v>21</v>
      </c>
      <c r="V24" s="51">
        <v>20</v>
      </c>
      <c r="W24" s="51">
        <v>20</v>
      </c>
      <c r="X24" s="51">
        <v>22.2</v>
      </c>
      <c r="Y24" s="51">
        <v>21.3</v>
      </c>
      <c r="Z24" s="111">
        <v>21.6</v>
      </c>
      <c r="AA24" s="51">
        <v>22.4</v>
      </c>
      <c r="AB24" s="51">
        <v>22</v>
      </c>
      <c r="AC24" s="51">
        <v>21</v>
      </c>
      <c r="AD24" s="51">
        <v>20.8</v>
      </c>
      <c r="AE24" s="51">
        <v>20.6</v>
      </c>
      <c r="AF24" s="51">
        <v>21.8</v>
      </c>
      <c r="AG24" s="51">
        <v>20.8</v>
      </c>
      <c r="AH24" s="51">
        <v>19.399999999999999</v>
      </c>
      <c r="AI24" s="51">
        <v>21.6</v>
      </c>
      <c r="AJ24" s="51">
        <v>21.4</v>
      </c>
      <c r="AK24" s="51">
        <v>21.6</v>
      </c>
      <c r="AL24" s="51"/>
      <c r="AM24" s="51"/>
      <c r="AN24" s="51"/>
      <c r="AO24" s="51"/>
      <c r="AP24" s="88">
        <f t="shared" si="1"/>
        <v>27</v>
      </c>
      <c r="AQ24" s="89">
        <f t="shared" si="2"/>
        <v>20.93703703703704</v>
      </c>
      <c r="AR24" s="89">
        <f>IFERROR(VLOOKUP(A24,Climatologia!A:U,9+$E$2,FALSE),"")</f>
        <v>20.820880569459899</v>
      </c>
      <c r="AS24" s="89">
        <f t="shared" si="3"/>
        <v>0.1161564675771416</v>
      </c>
      <c r="AT24" s="90">
        <f t="shared" si="4"/>
        <v>19.399999999999999</v>
      </c>
      <c r="AU24" s="90" t="str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/>
      </c>
      <c r="AV24" s="91" t="str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4" s="122" t="str">
        <f t="shared" si="5"/>
        <v>NA</v>
      </c>
    </row>
    <row r="25" spans="1:49" ht="15" customHeight="1" x14ac:dyDescent="0.2">
      <c r="A25" s="120">
        <v>21206600</v>
      </c>
      <c r="B25" s="52" t="s">
        <v>411</v>
      </c>
      <c r="C25" s="52" t="s">
        <v>383</v>
      </c>
      <c r="D25" s="53">
        <v>-74.102247000000006</v>
      </c>
      <c r="E25" s="53">
        <v>4.786594</v>
      </c>
      <c r="F25" s="48">
        <v>2590</v>
      </c>
      <c r="G25" s="46">
        <v>11</v>
      </c>
      <c r="H25" s="46">
        <v>11001</v>
      </c>
      <c r="I25" s="55" t="s">
        <v>409</v>
      </c>
      <c r="J25" s="55" t="s">
        <v>410</v>
      </c>
      <c r="K25" s="51">
        <v>4.5</v>
      </c>
      <c r="L25" s="51">
        <v>4.2</v>
      </c>
      <c r="M25" s="51">
        <v>4.5999999999999996</v>
      </c>
      <c r="N25" s="51">
        <v>4.4000000000000004</v>
      </c>
      <c r="O25" s="51">
        <v>6.8</v>
      </c>
      <c r="P25" s="51">
        <v>4.5</v>
      </c>
      <c r="Q25" s="51">
        <v>4.2</v>
      </c>
      <c r="R25" s="51">
        <v>10.4</v>
      </c>
      <c r="S25" s="51">
        <v>10</v>
      </c>
      <c r="T25" s="51">
        <v>10.8</v>
      </c>
      <c r="U25" s="51">
        <v>9</v>
      </c>
      <c r="V25" s="51">
        <v>9.1999999999999993</v>
      </c>
      <c r="W25" s="51">
        <v>9.1999999999999993</v>
      </c>
      <c r="X25" s="51">
        <v>7.4</v>
      </c>
      <c r="Y25" s="51">
        <v>10.4</v>
      </c>
      <c r="Z25" s="111">
        <v>10.199999999999999</v>
      </c>
      <c r="AA25" s="51">
        <v>8.4</v>
      </c>
      <c r="AB25" s="51">
        <v>10.4</v>
      </c>
      <c r="AC25" s="51">
        <v>11</v>
      </c>
      <c r="AD25" s="51">
        <v>11.2</v>
      </c>
      <c r="AE25" s="51">
        <v>9.8000000000000007</v>
      </c>
      <c r="AF25" s="51">
        <v>9</v>
      </c>
      <c r="AG25" s="51">
        <v>9.4</v>
      </c>
      <c r="AH25" s="51">
        <v>9.8000000000000007</v>
      </c>
      <c r="AI25" s="51">
        <v>4.5999999999999996</v>
      </c>
      <c r="AJ25" s="51">
        <v>8.4</v>
      </c>
      <c r="AK25" s="51">
        <v>8.1999999999999993</v>
      </c>
      <c r="AL25" s="51"/>
      <c r="AM25" s="51"/>
      <c r="AN25" s="51"/>
      <c r="AO25" s="51"/>
      <c r="AP25" s="88">
        <f t="shared" si="1"/>
        <v>27</v>
      </c>
      <c r="AQ25" s="89">
        <f t="shared" si="2"/>
        <v>8.1481481481481488</v>
      </c>
      <c r="AR25" s="89">
        <f>IFERROR(VLOOKUP(A25,Climatologia!A:U,9+$E$2,FALSE),"")</f>
        <v>8.0131665360709121</v>
      </c>
      <c r="AS25" s="89">
        <f t="shared" si="3"/>
        <v>0.13498161207723669</v>
      </c>
      <c r="AT25" s="90">
        <f t="shared" si="4"/>
        <v>4.2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-0.4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5" s="122">
        <f t="shared" si="5"/>
        <v>4.6000000000000005</v>
      </c>
    </row>
    <row r="26" spans="1:49" ht="15" customHeight="1" x14ac:dyDescent="0.2">
      <c r="A26" s="120">
        <v>24035420</v>
      </c>
      <c r="B26" s="52" t="s">
        <v>237</v>
      </c>
      <c r="C26" s="52" t="s">
        <v>212</v>
      </c>
      <c r="D26" s="53">
        <v>-72.938500000000005</v>
      </c>
      <c r="E26" s="53">
        <v>5.96225</v>
      </c>
      <c r="F26" s="48">
        <v>2643</v>
      </c>
      <c r="G26" s="46">
        <v>15</v>
      </c>
      <c r="H26" s="46">
        <v>15162</v>
      </c>
      <c r="I26" s="55" t="s">
        <v>213</v>
      </c>
      <c r="J26" s="55" t="s">
        <v>237</v>
      </c>
      <c r="K26" s="51">
        <v>7.8</v>
      </c>
      <c r="L26" s="109">
        <v>3.6</v>
      </c>
      <c r="M26" s="51"/>
      <c r="N26" s="51">
        <v>7</v>
      </c>
      <c r="O26" s="51"/>
      <c r="P26" s="51">
        <v>7.2</v>
      </c>
      <c r="Q26" s="51">
        <v>6.8</v>
      </c>
      <c r="R26" s="51">
        <v>7.4</v>
      </c>
      <c r="S26" s="51"/>
      <c r="T26" s="51"/>
      <c r="U26" s="51">
        <v>3.2</v>
      </c>
      <c r="V26" s="51"/>
      <c r="W26" s="51"/>
      <c r="X26" s="51">
        <v>4.2</v>
      </c>
      <c r="Y26" s="51">
        <v>7.2</v>
      </c>
      <c r="Z26" s="111">
        <v>1.4</v>
      </c>
      <c r="AA26" s="51">
        <v>2</v>
      </c>
      <c r="AB26" s="51">
        <v>3</v>
      </c>
      <c r="AC26" s="51">
        <v>7.8</v>
      </c>
      <c r="AD26" s="51">
        <v>8.6</v>
      </c>
      <c r="AE26" s="51">
        <v>6.2</v>
      </c>
      <c r="AF26" s="51">
        <v>3.8</v>
      </c>
      <c r="AG26" s="51">
        <v>8.8000000000000007</v>
      </c>
      <c r="AH26" s="51">
        <v>3</v>
      </c>
      <c r="AI26" s="51"/>
      <c r="AJ26" s="51"/>
      <c r="AK26" s="51">
        <v>7.5</v>
      </c>
      <c r="AL26" s="51"/>
      <c r="AM26" s="51"/>
      <c r="AN26" s="51"/>
      <c r="AO26" s="51"/>
      <c r="AP26" s="88">
        <f t="shared" si="1"/>
        <v>19</v>
      </c>
      <c r="AQ26" s="89">
        <f t="shared" si="2"/>
        <v>5.6052631578947372</v>
      </c>
      <c r="AR26" s="89">
        <f>IFERROR(VLOOKUP(A26,Climatologia!A:U,9+$E$2,FALSE),"")</f>
        <v>5.4140939864595783</v>
      </c>
      <c r="AS26" s="89">
        <f t="shared" si="3"/>
        <v>0.19116917143515888</v>
      </c>
      <c r="AT26" s="90">
        <f t="shared" si="4"/>
        <v>1.4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26" s="122">
        <f t="shared" si="5"/>
        <v>2.4</v>
      </c>
    </row>
    <row r="27" spans="1:49" ht="15" customHeight="1" x14ac:dyDescent="0.2">
      <c r="A27" s="120">
        <v>37035010</v>
      </c>
      <c r="B27" s="52" t="s">
        <v>334</v>
      </c>
      <c r="C27" s="52" t="s">
        <v>300</v>
      </c>
      <c r="D27" s="53">
        <v>-72.115833330000001</v>
      </c>
      <c r="E27" s="53">
        <v>7.0061111110000001</v>
      </c>
      <c r="F27" s="48">
        <v>370</v>
      </c>
      <c r="G27" s="46">
        <v>54</v>
      </c>
      <c r="H27" s="46">
        <v>54820</v>
      </c>
      <c r="I27" s="55" t="s">
        <v>301</v>
      </c>
      <c r="J27" s="55" t="s">
        <v>335</v>
      </c>
      <c r="K27" s="51">
        <v>20.8</v>
      </c>
      <c r="L27" s="51"/>
      <c r="M27" s="51"/>
      <c r="N27" s="51">
        <v>20.6</v>
      </c>
      <c r="O27" s="51">
        <v>20.8</v>
      </c>
      <c r="P27" s="51">
        <v>21</v>
      </c>
      <c r="Q27" s="51">
        <v>20.6</v>
      </c>
      <c r="R27" s="51">
        <v>20.8</v>
      </c>
      <c r="S27" s="51">
        <v>21</v>
      </c>
      <c r="T27" s="51">
        <v>20.2</v>
      </c>
      <c r="U27" s="51">
        <v>20.2</v>
      </c>
      <c r="V27" s="51"/>
      <c r="W27" s="51">
        <v>20</v>
      </c>
      <c r="X27" s="51">
        <v>20.2</v>
      </c>
      <c r="Y27" s="51">
        <v>20</v>
      </c>
      <c r="Z27" s="111">
        <v>20.2</v>
      </c>
      <c r="AA27" s="51">
        <v>20.2</v>
      </c>
      <c r="AB27" s="51"/>
      <c r="AC27" s="51"/>
      <c r="AD27" s="51">
        <v>21.8</v>
      </c>
      <c r="AE27" s="51">
        <v>21</v>
      </c>
      <c r="AF27" s="51">
        <v>21.4</v>
      </c>
      <c r="AG27" s="51">
        <v>21.8</v>
      </c>
      <c r="AH27" s="51">
        <v>20</v>
      </c>
      <c r="AI27" s="51">
        <v>21</v>
      </c>
      <c r="AJ27" s="51">
        <v>21</v>
      </c>
      <c r="AK27" s="51">
        <v>20.6</v>
      </c>
      <c r="AL27" s="51"/>
      <c r="AM27" s="51"/>
      <c r="AN27" s="51"/>
      <c r="AO27" s="51"/>
      <c r="AP27" s="88">
        <f t="shared" si="1"/>
        <v>22</v>
      </c>
      <c r="AQ27" s="89">
        <f t="shared" si="2"/>
        <v>20.690909090909091</v>
      </c>
      <c r="AR27" s="89">
        <f>IFERROR(VLOOKUP(A27,Climatologia!A:U,9+$E$2,FALSE),"")</f>
        <v>20.495547320475019</v>
      </c>
      <c r="AS27" s="89">
        <f t="shared" si="3"/>
        <v>0.19536177043407221</v>
      </c>
      <c r="AT27" s="90">
        <f t="shared" si="4"/>
        <v>20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16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27" s="122">
        <f t="shared" si="5"/>
        <v>4</v>
      </c>
    </row>
    <row r="28" spans="1:49" ht="15" customHeight="1" x14ac:dyDescent="0.2">
      <c r="A28" s="119">
        <v>17015010</v>
      </c>
      <c r="B28" s="47" t="s">
        <v>25</v>
      </c>
      <c r="C28" s="52" t="s">
        <v>1295</v>
      </c>
      <c r="D28" s="49">
        <v>-81.703999999999994</v>
      </c>
      <c r="E28" s="49">
        <v>12.587</v>
      </c>
      <c r="F28" s="50">
        <v>1</v>
      </c>
      <c r="G28" s="50">
        <v>88</v>
      </c>
      <c r="H28" s="50">
        <v>88001</v>
      </c>
      <c r="I28" s="47" t="s">
        <v>27</v>
      </c>
      <c r="J28" s="63" t="s">
        <v>28</v>
      </c>
      <c r="K28" s="51">
        <v>26.3</v>
      </c>
      <c r="L28" s="51">
        <v>27.9</v>
      </c>
      <c r="M28" s="51">
        <v>27.5</v>
      </c>
      <c r="N28" s="51">
        <v>26.8</v>
      </c>
      <c r="O28" s="51">
        <v>23.8</v>
      </c>
      <c r="P28" s="51">
        <v>27.5</v>
      </c>
      <c r="Q28" s="51">
        <v>27.5</v>
      </c>
      <c r="R28" s="51">
        <v>26</v>
      </c>
      <c r="S28" s="51">
        <v>27.2</v>
      </c>
      <c r="T28" s="51">
        <v>26.7</v>
      </c>
      <c r="U28" s="51">
        <v>27.4</v>
      </c>
      <c r="V28" s="51">
        <v>27.3</v>
      </c>
      <c r="W28" s="51">
        <v>25.7</v>
      </c>
      <c r="X28" s="51">
        <v>24</v>
      </c>
      <c r="Y28" s="51">
        <v>26.5</v>
      </c>
      <c r="Z28" s="111">
        <v>26.9</v>
      </c>
      <c r="AA28" s="51">
        <v>27.3</v>
      </c>
      <c r="AB28" s="51">
        <v>26.8</v>
      </c>
      <c r="AC28" s="51">
        <v>26.6</v>
      </c>
      <c r="AD28" s="51">
        <v>26.6</v>
      </c>
      <c r="AE28" s="51">
        <v>24.8</v>
      </c>
      <c r="AF28" s="51">
        <v>26.7</v>
      </c>
      <c r="AG28" s="51">
        <v>26.7</v>
      </c>
      <c r="AH28" s="51">
        <v>25.4</v>
      </c>
      <c r="AI28" s="51">
        <v>26.6</v>
      </c>
      <c r="AJ28" s="51">
        <v>27.2</v>
      </c>
      <c r="AK28" s="51">
        <v>27.2</v>
      </c>
      <c r="AL28" s="51"/>
      <c r="AM28" s="51"/>
      <c r="AN28" s="51"/>
      <c r="AO28" s="51"/>
      <c r="AP28" s="88">
        <f t="shared" si="1"/>
        <v>27</v>
      </c>
      <c r="AQ28" s="89">
        <f t="shared" si="2"/>
        <v>26.551851851851854</v>
      </c>
      <c r="AR28" s="89">
        <f>IFERROR(VLOOKUP(A28,Climatologia!A:U,9+$E$2,FALSE),"")</f>
        <v>26.312994914330961</v>
      </c>
      <c r="AS28" s="89">
        <f t="shared" si="3"/>
        <v>0.2388569375208931</v>
      </c>
      <c r="AT28" s="90">
        <f t="shared" si="4"/>
        <v>23.8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21.1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28" s="122">
        <f t="shared" si="5"/>
        <v>2.6999999999999993</v>
      </c>
    </row>
    <row r="29" spans="1:49" ht="15" customHeight="1" x14ac:dyDescent="0.2">
      <c r="A29" s="120">
        <v>23125140</v>
      </c>
      <c r="B29" s="52" t="s">
        <v>214</v>
      </c>
      <c r="C29" s="52" t="s">
        <v>212</v>
      </c>
      <c r="D29" s="53">
        <v>-74.182416669999995</v>
      </c>
      <c r="E29" s="53">
        <v>5.5208333329999997</v>
      </c>
      <c r="F29" s="48">
        <v>1250</v>
      </c>
      <c r="G29" s="46">
        <v>15</v>
      </c>
      <c r="H29" s="46">
        <v>15580</v>
      </c>
      <c r="I29" s="55" t="s">
        <v>213</v>
      </c>
      <c r="J29" s="55" t="s">
        <v>215</v>
      </c>
      <c r="K29" s="51">
        <v>17.399999999999999</v>
      </c>
      <c r="L29" s="51">
        <v>18</v>
      </c>
      <c r="M29" s="51">
        <v>17.600000000000001</v>
      </c>
      <c r="N29" s="51">
        <v>17.399999999999999</v>
      </c>
      <c r="O29" s="51">
        <v>17.2</v>
      </c>
      <c r="P29" s="51">
        <v>17.399999999999999</v>
      </c>
      <c r="Q29" s="51">
        <v>18</v>
      </c>
      <c r="R29" s="51">
        <v>18.399999999999999</v>
      </c>
      <c r="S29" s="51">
        <v>19</v>
      </c>
      <c r="T29" s="51">
        <v>17</v>
      </c>
      <c r="U29" s="51">
        <v>18.399999999999999</v>
      </c>
      <c r="V29" s="51">
        <v>17.399999999999999</v>
      </c>
      <c r="W29" s="51">
        <v>17.2</v>
      </c>
      <c r="X29" s="51">
        <v>18</v>
      </c>
      <c r="Y29" s="51">
        <v>18.2</v>
      </c>
      <c r="Z29" s="111">
        <v>18.399999999999999</v>
      </c>
      <c r="AA29" s="51">
        <v>18.600000000000001</v>
      </c>
      <c r="AB29" s="51">
        <v>19</v>
      </c>
      <c r="AC29" s="51">
        <v>18</v>
      </c>
      <c r="AD29" s="51">
        <v>17.399999999999999</v>
      </c>
      <c r="AE29" s="51">
        <v>17.2</v>
      </c>
      <c r="AF29" s="51">
        <v>18.399999999999999</v>
      </c>
      <c r="AG29" s="51">
        <v>18</v>
      </c>
      <c r="AH29" s="51">
        <v>17.399999999999999</v>
      </c>
      <c r="AI29" s="51">
        <v>18</v>
      </c>
      <c r="AJ29" s="51">
        <v>17.399999999999999</v>
      </c>
      <c r="AK29" s="51">
        <v>18</v>
      </c>
      <c r="AL29" s="51"/>
      <c r="AM29" s="51"/>
      <c r="AN29" s="51"/>
      <c r="AO29" s="51"/>
      <c r="AP29" s="88">
        <f t="shared" si="1"/>
        <v>27</v>
      </c>
      <c r="AQ29" s="89">
        <f t="shared" si="2"/>
        <v>17.866666666666664</v>
      </c>
      <c r="AR29" s="89">
        <f>IFERROR(VLOOKUP(A29,Climatologia!A:U,9+$E$2,FALSE),"")</f>
        <v>17.613159782779519</v>
      </c>
      <c r="AS29" s="89">
        <f t="shared" si="3"/>
        <v>0.2535068838871446</v>
      </c>
      <c r="AT29" s="90">
        <f t="shared" si="4"/>
        <v>17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14.2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29" s="122">
        <f t="shared" si="5"/>
        <v>2.8000000000000007</v>
      </c>
    </row>
    <row r="30" spans="1:49" ht="14.25" customHeight="1" x14ac:dyDescent="0.2">
      <c r="A30" s="120">
        <v>33055010</v>
      </c>
      <c r="B30" s="52" t="s">
        <v>161</v>
      </c>
      <c r="C30" s="52" t="s">
        <v>151</v>
      </c>
      <c r="D30" s="53">
        <v>-69.812306000000007</v>
      </c>
      <c r="E30" s="53">
        <v>4.4948059999999996</v>
      </c>
      <c r="F30" s="48">
        <v>158</v>
      </c>
      <c r="G30" s="46">
        <v>99</v>
      </c>
      <c r="H30" s="46">
        <v>99773</v>
      </c>
      <c r="I30" s="55" t="s">
        <v>93</v>
      </c>
      <c r="J30" s="55" t="s">
        <v>161</v>
      </c>
      <c r="K30" s="51"/>
      <c r="L30" s="51"/>
      <c r="M30" s="51"/>
      <c r="N30" s="51"/>
      <c r="O30" s="51"/>
      <c r="P30" s="51"/>
      <c r="Q30" s="51"/>
      <c r="R30" s="51">
        <v>22</v>
      </c>
      <c r="S30" s="51">
        <v>23.2</v>
      </c>
      <c r="T30" s="51">
        <v>22</v>
      </c>
      <c r="U30" s="51"/>
      <c r="V30" s="51">
        <v>22</v>
      </c>
      <c r="W30" s="51">
        <v>22.4</v>
      </c>
      <c r="X30" s="51">
        <v>22.6</v>
      </c>
      <c r="Y30" s="51">
        <v>23.2</v>
      </c>
      <c r="Z30" s="111">
        <v>22.8</v>
      </c>
      <c r="AA30" s="51">
        <v>23</v>
      </c>
      <c r="AB30" s="51">
        <v>22.4</v>
      </c>
      <c r="AC30" s="51">
        <v>22.6</v>
      </c>
      <c r="AD30" s="51">
        <v>22.8</v>
      </c>
      <c r="AE30" s="51">
        <v>23.4</v>
      </c>
      <c r="AF30" s="51">
        <v>22.6</v>
      </c>
      <c r="AG30" s="51">
        <v>21</v>
      </c>
      <c r="AH30" s="51">
        <v>21.2</v>
      </c>
      <c r="AI30" s="51">
        <v>22.6</v>
      </c>
      <c r="AJ30" s="51">
        <v>21.8</v>
      </c>
      <c r="AK30" s="51">
        <v>21.8</v>
      </c>
      <c r="AL30" s="51"/>
      <c r="AM30" s="51"/>
      <c r="AN30" s="51"/>
      <c r="AO30" s="51"/>
      <c r="AP30" s="88">
        <f t="shared" si="1"/>
        <v>19</v>
      </c>
      <c r="AQ30" s="89">
        <f t="shared" si="2"/>
        <v>22.389473684210529</v>
      </c>
      <c r="AR30" s="89">
        <f>IFERROR(VLOOKUP(A30,Climatologia!A:U,9+$E$2,FALSE),"")</f>
        <v>22.124788357434191</v>
      </c>
      <c r="AS30" s="89">
        <f t="shared" si="3"/>
        <v>0.2646853267763376</v>
      </c>
      <c r="AT30" s="90">
        <f t="shared" si="4"/>
        <v>21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18.8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30" s="122">
        <f t="shared" si="5"/>
        <v>2.1999999999999993</v>
      </c>
    </row>
    <row r="31" spans="1:49" ht="16.149999999999999" customHeight="1" x14ac:dyDescent="0.2">
      <c r="A31" s="119">
        <v>17025020</v>
      </c>
      <c r="B31" s="52" t="s">
        <v>29</v>
      </c>
      <c r="C31" s="52" t="s">
        <v>1295</v>
      </c>
      <c r="D31" s="53">
        <v>-81.358000000000004</v>
      </c>
      <c r="E31" s="53">
        <v>13.36</v>
      </c>
      <c r="F31" s="54">
        <v>7</v>
      </c>
      <c r="G31" s="54">
        <v>88</v>
      </c>
      <c r="H31" s="54">
        <v>88564</v>
      </c>
      <c r="I31" s="55" t="s">
        <v>27</v>
      </c>
      <c r="J31" s="64" t="s">
        <v>30</v>
      </c>
      <c r="K31" s="51">
        <v>27.4</v>
      </c>
      <c r="L31" s="51">
        <v>27.6</v>
      </c>
      <c r="M31" s="51">
        <v>27.8</v>
      </c>
      <c r="N31" s="51">
        <v>26.8</v>
      </c>
      <c r="O31" s="51">
        <v>23.1</v>
      </c>
      <c r="P31" s="51">
        <v>24.8</v>
      </c>
      <c r="Q31" s="51">
        <v>27.7</v>
      </c>
      <c r="R31" s="51">
        <v>27.6</v>
      </c>
      <c r="S31" s="51">
        <v>27.9</v>
      </c>
      <c r="T31" s="51">
        <v>25.4</v>
      </c>
      <c r="U31" s="51">
        <v>26.4</v>
      </c>
      <c r="V31" s="51">
        <v>27.6</v>
      </c>
      <c r="W31" s="51">
        <v>27.1</v>
      </c>
      <c r="X31" s="51">
        <v>26.2</v>
      </c>
      <c r="Y31" s="51">
        <v>26.7</v>
      </c>
      <c r="Z31" s="111">
        <v>27.2</v>
      </c>
      <c r="AA31" s="51">
        <v>27.5</v>
      </c>
      <c r="AB31" s="51">
        <v>27.2</v>
      </c>
      <c r="AC31" s="51">
        <v>27.8</v>
      </c>
      <c r="AD31" s="51">
        <v>27.6</v>
      </c>
      <c r="AE31" s="51">
        <v>25.5</v>
      </c>
      <c r="AF31" s="51">
        <v>26.8</v>
      </c>
      <c r="AG31" s="51">
        <v>27.2</v>
      </c>
      <c r="AH31" s="51">
        <v>24.4</v>
      </c>
      <c r="AI31" s="51">
        <v>26.4</v>
      </c>
      <c r="AJ31" s="51">
        <v>26.8</v>
      </c>
      <c r="AK31" s="51">
        <v>26.1</v>
      </c>
      <c r="AL31" s="51"/>
      <c r="AM31" s="51"/>
      <c r="AN31" s="51"/>
      <c r="AO31" s="51"/>
      <c r="AP31" s="88">
        <f t="shared" si="1"/>
        <v>27</v>
      </c>
      <c r="AQ31" s="89">
        <f t="shared" si="2"/>
        <v>26.688888888888886</v>
      </c>
      <c r="AR31" s="89">
        <f>IFERROR(VLOOKUP(A31,Climatologia!A:U,9+$E$2,FALSE),"")</f>
        <v>26.40894902444402</v>
      </c>
      <c r="AS31" s="89">
        <f t="shared" si="3"/>
        <v>0.27993986444486652</v>
      </c>
      <c r="AT31" s="90">
        <f t="shared" si="4"/>
        <v>23.1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21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31" s="122">
        <f t="shared" si="5"/>
        <v>2.1000000000000014</v>
      </c>
    </row>
    <row r="32" spans="1:49" ht="14.25" customHeight="1" x14ac:dyDescent="0.2">
      <c r="A32" s="119">
        <v>14015080</v>
      </c>
      <c r="B32" s="47" t="s">
        <v>34</v>
      </c>
      <c r="C32" s="52" t="s">
        <v>1295</v>
      </c>
      <c r="D32" s="49">
        <v>-75.516000000000005</v>
      </c>
      <c r="E32" s="49">
        <v>10.446999999999999</v>
      </c>
      <c r="F32" s="50">
        <v>2</v>
      </c>
      <c r="G32" s="50">
        <v>13</v>
      </c>
      <c r="H32" s="50">
        <v>13001</v>
      </c>
      <c r="I32" s="47" t="s">
        <v>35</v>
      </c>
      <c r="J32" s="63" t="s">
        <v>36</v>
      </c>
      <c r="K32" s="51">
        <v>26.1</v>
      </c>
      <c r="L32" s="51">
        <v>25.9</v>
      </c>
      <c r="M32" s="51">
        <v>26.7</v>
      </c>
      <c r="N32" s="51">
        <v>25.9</v>
      </c>
      <c r="O32" s="51">
        <v>26.5</v>
      </c>
      <c r="P32" s="51">
        <v>26.4</v>
      </c>
      <c r="Q32" s="51">
        <v>26.1</v>
      </c>
      <c r="R32" s="51">
        <v>26.8</v>
      </c>
      <c r="S32" s="51">
        <v>27.6</v>
      </c>
      <c r="T32" s="51">
        <v>26</v>
      </c>
      <c r="U32" s="51">
        <v>25.7</v>
      </c>
      <c r="V32" s="51">
        <v>25.9</v>
      </c>
      <c r="W32" s="51">
        <v>26.8</v>
      </c>
      <c r="X32" s="51">
        <v>25.6</v>
      </c>
      <c r="Y32" s="51">
        <v>26.6</v>
      </c>
      <c r="Z32" s="111">
        <v>26.4</v>
      </c>
      <c r="AA32" s="51">
        <v>26.2</v>
      </c>
      <c r="AB32" s="51">
        <v>27</v>
      </c>
      <c r="AC32" s="51">
        <v>26.8</v>
      </c>
      <c r="AD32" s="51">
        <v>26.8</v>
      </c>
      <c r="AE32" s="51">
        <v>25</v>
      </c>
      <c r="AF32" s="51">
        <v>25.3</v>
      </c>
      <c r="AG32" s="51">
        <v>24.2</v>
      </c>
      <c r="AH32" s="51">
        <v>25</v>
      </c>
      <c r="AI32" s="51">
        <v>26</v>
      </c>
      <c r="AJ32" s="51">
        <v>25.9</v>
      </c>
      <c r="AK32" s="51">
        <v>24.3</v>
      </c>
      <c r="AL32" s="51"/>
      <c r="AM32" s="51"/>
      <c r="AN32" s="51"/>
      <c r="AO32" s="51"/>
      <c r="AP32" s="88">
        <f t="shared" si="1"/>
        <v>27</v>
      </c>
      <c r="AQ32" s="89">
        <f t="shared" si="2"/>
        <v>26.05555555555555</v>
      </c>
      <c r="AR32" s="89">
        <f>IFERROR(VLOOKUP(A32,Climatologia!A:U,9+$E$2,FALSE),"")</f>
        <v>25.731714029697901</v>
      </c>
      <c r="AS32" s="89">
        <f t="shared" si="3"/>
        <v>0.3238415258576488</v>
      </c>
      <c r="AT32" s="90">
        <f t="shared" si="4"/>
        <v>24.2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20.399999999999999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32" s="122">
        <f t="shared" si="5"/>
        <v>3.8000000000000007</v>
      </c>
    </row>
    <row r="33" spans="1:49" ht="14.25" customHeight="1" x14ac:dyDescent="0.2">
      <c r="A33" s="119">
        <v>52045020</v>
      </c>
      <c r="B33" s="52" t="s">
        <v>82</v>
      </c>
      <c r="C33" s="52" t="s">
        <v>1295</v>
      </c>
      <c r="D33" s="53">
        <v>-77.290999999999997</v>
      </c>
      <c r="E33" s="53">
        <v>1.3939999999999999</v>
      </c>
      <c r="F33" s="54">
        <v>1796</v>
      </c>
      <c r="G33" s="54">
        <v>52</v>
      </c>
      <c r="H33" s="54">
        <v>52240</v>
      </c>
      <c r="I33" s="55" t="s">
        <v>83</v>
      </c>
      <c r="J33" s="64" t="s">
        <v>84</v>
      </c>
      <c r="K33" s="51">
        <v>14.5</v>
      </c>
      <c r="L33" s="51">
        <v>15.2</v>
      </c>
      <c r="M33" s="51">
        <v>15.1</v>
      </c>
      <c r="N33" s="51">
        <v>14.3</v>
      </c>
      <c r="O33" s="51">
        <v>13.6</v>
      </c>
      <c r="P33" s="51">
        <v>15</v>
      </c>
      <c r="Q33" s="51">
        <v>15.3</v>
      </c>
      <c r="R33" s="51">
        <v>14.5</v>
      </c>
      <c r="S33" s="51">
        <v>14.8</v>
      </c>
      <c r="T33" s="51">
        <v>16.2</v>
      </c>
      <c r="U33" s="51">
        <v>15.8</v>
      </c>
      <c r="V33" s="51">
        <v>13.8</v>
      </c>
      <c r="W33" s="51">
        <v>14.4</v>
      </c>
      <c r="X33" s="51">
        <v>16.100000000000001</v>
      </c>
      <c r="Y33" s="51">
        <v>15.2</v>
      </c>
      <c r="Z33" s="111">
        <v>15.6</v>
      </c>
      <c r="AA33" s="51">
        <v>17.8</v>
      </c>
      <c r="AB33" s="51">
        <v>17</v>
      </c>
      <c r="AC33" s="51">
        <v>13.2</v>
      </c>
      <c r="AD33" s="51">
        <v>13.2</v>
      </c>
      <c r="AE33" s="51">
        <v>13.2</v>
      </c>
      <c r="AF33" s="51">
        <v>14</v>
      </c>
      <c r="AG33" s="51">
        <v>14</v>
      </c>
      <c r="AH33" s="51">
        <v>14</v>
      </c>
      <c r="AI33" s="51">
        <v>14.2</v>
      </c>
      <c r="AJ33" s="51">
        <v>14.4</v>
      </c>
      <c r="AK33" s="51">
        <v>14.8</v>
      </c>
      <c r="AL33" s="51"/>
      <c r="AM33" s="51"/>
      <c r="AN33" s="51"/>
      <c r="AO33" s="51"/>
      <c r="AP33" s="88">
        <f t="shared" si="1"/>
        <v>27</v>
      </c>
      <c r="AQ33" s="89">
        <f t="shared" si="2"/>
        <v>14.785185185185183</v>
      </c>
      <c r="AR33" s="89">
        <f>IFERROR(VLOOKUP(A33,Climatologia!A:U,9+$E$2,FALSE),"")</f>
        <v>14.458778519342481</v>
      </c>
      <c r="AS33" s="89">
        <f t="shared" si="3"/>
        <v>0.32640666584270228</v>
      </c>
      <c r="AT33" s="90">
        <f t="shared" si="4"/>
        <v>13.2</v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10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33" s="122">
        <f t="shared" si="5"/>
        <v>3.1999999999999993</v>
      </c>
    </row>
    <row r="34" spans="1:49" ht="14.25" customHeight="1" x14ac:dyDescent="0.2">
      <c r="A34" s="120">
        <v>26075010</v>
      </c>
      <c r="B34" s="52" t="s">
        <v>341</v>
      </c>
      <c r="C34" s="52" t="s">
        <v>337</v>
      </c>
      <c r="D34" s="53">
        <v>-76.314888889000002</v>
      </c>
      <c r="E34" s="53">
        <v>3.5134722219999999</v>
      </c>
      <c r="F34" s="48">
        <v>1018</v>
      </c>
      <c r="G34" s="46">
        <v>76</v>
      </c>
      <c r="H34" s="46">
        <v>76520</v>
      </c>
      <c r="I34" s="55" t="s">
        <v>342</v>
      </c>
      <c r="J34" s="55" t="s">
        <v>78</v>
      </c>
      <c r="K34" s="51">
        <v>20.6</v>
      </c>
      <c r="L34" s="51">
        <v>19.8</v>
      </c>
      <c r="M34" s="51">
        <v>21.4</v>
      </c>
      <c r="N34" s="51">
        <v>20.6</v>
      </c>
      <c r="O34" s="51">
        <v>19.399999999999999</v>
      </c>
      <c r="P34" s="51">
        <v>19.3</v>
      </c>
      <c r="Q34" s="51">
        <v>19.2</v>
      </c>
      <c r="R34" s="51">
        <v>19</v>
      </c>
      <c r="S34" s="51">
        <v>20.6</v>
      </c>
      <c r="T34" s="51">
        <v>20.6</v>
      </c>
      <c r="U34" s="51">
        <v>19.7</v>
      </c>
      <c r="V34" s="51">
        <v>20.5</v>
      </c>
      <c r="W34" s="51">
        <v>21.1</v>
      </c>
      <c r="X34" s="51">
        <v>16.8</v>
      </c>
      <c r="Y34" s="51">
        <v>19</v>
      </c>
      <c r="Z34" s="111">
        <v>18.8</v>
      </c>
      <c r="AA34" s="51">
        <v>18.399999999999999</v>
      </c>
      <c r="AB34" s="51">
        <v>21.8</v>
      </c>
      <c r="AC34" s="51">
        <v>19.8</v>
      </c>
      <c r="AD34" s="51">
        <v>20</v>
      </c>
      <c r="AE34" s="51">
        <v>20.399999999999999</v>
      </c>
      <c r="AF34" s="51">
        <v>19.2</v>
      </c>
      <c r="AG34" s="51">
        <v>18.600000000000001</v>
      </c>
      <c r="AH34" s="51">
        <v>17</v>
      </c>
      <c r="AI34" s="51">
        <v>18.600000000000001</v>
      </c>
      <c r="AJ34" s="51">
        <v>18.600000000000001</v>
      </c>
      <c r="AK34" s="51">
        <v>18.399999999999999</v>
      </c>
      <c r="AL34" s="51"/>
      <c r="AM34" s="51"/>
      <c r="AN34" s="51"/>
      <c r="AO34" s="51"/>
      <c r="AP34" s="88">
        <f t="shared" si="1"/>
        <v>27</v>
      </c>
      <c r="AQ34" s="89">
        <f t="shared" si="2"/>
        <v>19.525925925925929</v>
      </c>
      <c r="AR34" s="89">
        <f>IFERROR(VLOOKUP(A34,Climatologia!A:U,9+$E$2,FALSE),"")</f>
        <v>19.115674945265461</v>
      </c>
      <c r="AS34" s="89">
        <f t="shared" si="3"/>
        <v>0.41025098066046795</v>
      </c>
      <c r="AT34" s="90">
        <f t="shared" si="4"/>
        <v>16.8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14.7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34" s="122">
        <f t="shared" si="5"/>
        <v>2.1000000000000014</v>
      </c>
    </row>
    <row r="35" spans="1:49" ht="14.25" customHeight="1" x14ac:dyDescent="0.2">
      <c r="A35" s="120">
        <v>21055030</v>
      </c>
      <c r="B35" s="52" t="s">
        <v>181</v>
      </c>
      <c r="C35" s="52" t="s">
        <v>179</v>
      </c>
      <c r="D35" s="53">
        <v>-76.16</v>
      </c>
      <c r="E35" s="53">
        <v>2.2400000000000002</v>
      </c>
      <c r="F35" s="48">
        <v>2085</v>
      </c>
      <c r="G35" s="46">
        <v>19</v>
      </c>
      <c r="H35" s="46">
        <v>19355</v>
      </c>
      <c r="I35" s="55" t="s">
        <v>182</v>
      </c>
      <c r="J35" s="55" t="s">
        <v>183</v>
      </c>
      <c r="K35" s="51">
        <v>13.2</v>
      </c>
      <c r="L35" s="51">
        <v>13.2</v>
      </c>
      <c r="M35" s="51">
        <v>12.4</v>
      </c>
      <c r="N35" s="51">
        <v>12.2</v>
      </c>
      <c r="O35" s="51">
        <v>12.6</v>
      </c>
      <c r="P35" s="51">
        <v>12.4</v>
      </c>
      <c r="Q35" s="51">
        <v>13</v>
      </c>
      <c r="R35" s="51">
        <v>13</v>
      </c>
      <c r="S35" s="51">
        <v>12.8</v>
      </c>
      <c r="T35" s="51">
        <v>12.6</v>
      </c>
      <c r="U35" s="51">
        <v>12.2</v>
      </c>
      <c r="V35" s="51">
        <v>12.6</v>
      </c>
      <c r="W35" s="51">
        <v>12.4</v>
      </c>
      <c r="X35" s="51">
        <v>10.199999999999999</v>
      </c>
      <c r="Y35" s="51">
        <v>11</v>
      </c>
      <c r="Z35" s="111">
        <v>12.4</v>
      </c>
      <c r="AA35" s="51">
        <v>12.2</v>
      </c>
      <c r="AB35" s="51">
        <v>12.8</v>
      </c>
      <c r="AC35" s="51">
        <v>13</v>
      </c>
      <c r="AD35" s="51">
        <v>13</v>
      </c>
      <c r="AE35" s="51">
        <v>12.2</v>
      </c>
      <c r="AF35" s="51">
        <v>11.6</v>
      </c>
      <c r="AG35" s="51">
        <v>13.6</v>
      </c>
      <c r="AH35" s="51">
        <v>11.8</v>
      </c>
      <c r="AI35" s="51">
        <v>9.8000000000000007</v>
      </c>
      <c r="AJ35" s="51">
        <v>10</v>
      </c>
      <c r="AK35" s="51">
        <v>12.2</v>
      </c>
      <c r="AL35" s="51"/>
      <c r="AM35" s="51"/>
      <c r="AN35" s="51"/>
      <c r="AO35" s="51"/>
      <c r="AP35" s="88">
        <f t="shared" si="1"/>
        <v>27</v>
      </c>
      <c r="AQ35" s="89">
        <f t="shared" si="2"/>
        <v>12.237037037037039</v>
      </c>
      <c r="AR35" s="89">
        <f>IFERROR(VLOOKUP(A35,Climatologia!A:U,9+$E$2,FALSE),"")</f>
        <v>11.80563736724846</v>
      </c>
      <c r="AS35" s="89">
        <f t="shared" si="3"/>
        <v>0.43139966978857913</v>
      </c>
      <c r="AT35" s="90">
        <f t="shared" si="4"/>
        <v>9.8000000000000007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8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35" s="122">
        <f t="shared" si="5"/>
        <v>1.8000000000000007</v>
      </c>
    </row>
    <row r="36" spans="1:49" ht="14.25" customHeight="1" x14ac:dyDescent="0.2">
      <c r="A36" s="120">
        <v>35075030</v>
      </c>
      <c r="B36" s="52" t="s">
        <v>243</v>
      </c>
      <c r="C36" s="52" t="s">
        <v>212</v>
      </c>
      <c r="D36" s="53">
        <v>-73.349416669999997</v>
      </c>
      <c r="E36" s="53">
        <v>5.4222222220000003</v>
      </c>
      <c r="F36" s="48">
        <v>2200</v>
      </c>
      <c r="G36" s="46">
        <v>15</v>
      </c>
      <c r="H36" s="46">
        <v>15599</v>
      </c>
      <c r="I36" s="55" t="s">
        <v>213</v>
      </c>
      <c r="J36" s="55" t="s">
        <v>244</v>
      </c>
      <c r="K36" s="51">
        <v>12.4</v>
      </c>
      <c r="L36" s="51">
        <v>11.4</v>
      </c>
      <c r="M36" s="51">
        <v>13</v>
      </c>
      <c r="N36" s="51">
        <v>12.8</v>
      </c>
      <c r="O36" s="51">
        <v>13.6</v>
      </c>
      <c r="P36" s="51">
        <v>13.2</v>
      </c>
      <c r="Q36" s="51">
        <v>14.1</v>
      </c>
      <c r="R36" s="51">
        <v>12.6</v>
      </c>
      <c r="S36" s="51">
        <v>13.8</v>
      </c>
      <c r="T36" s="51">
        <v>11.8</v>
      </c>
      <c r="U36" s="51">
        <v>11.4</v>
      </c>
      <c r="V36" s="51">
        <v>12.6</v>
      </c>
      <c r="W36" s="51">
        <v>12</v>
      </c>
      <c r="X36" s="51">
        <v>10.8</v>
      </c>
      <c r="Y36" s="51">
        <v>13.2</v>
      </c>
      <c r="Z36" s="111">
        <v>13.8</v>
      </c>
      <c r="AA36" s="51">
        <v>11.4</v>
      </c>
      <c r="AB36" s="51">
        <v>9.8000000000000007</v>
      </c>
      <c r="AC36" s="51">
        <v>12</v>
      </c>
      <c r="AD36" s="51">
        <v>13.6</v>
      </c>
      <c r="AE36" s="51">
        <v>12.8</v>
      </c>
      <c r="AF36" s="51">
        <v>13.6</v>
      </c>
      <c r="AG36" s="51">
        <v>13</v>
      </c>
      <c r="AH36" s="51">
        <v>12.2</v>
      </c>
      <c r="AI36" s="51">
        <v>9</v>
      </c>
      <c r="AJ36" s="51">
        <v>12.6</v>
      </c>
      <c r="AK36" s="51">
        <v>11.6</v>
      </c>
      <c r="AL36" s="51"/>
      <c r="AM36" s="51"/>
      <c r="AN36" s="51"/>
      <c r="AO36" s="51"/>
      <c r="AP36" s="88">
        <f t="shared" si="1"/>
        <v>27</v>
      </c>
      <c r="AQ36" s="89">
        <f t="shared" si="2"/>
        <v>12.374074074074077</v>
      </c>
      <c r="AR36" s="89">
        <f>IFERROR(VLOOKUP(A36,Climatologia!A:U,9+$E$2,FALSE),"")</f>
        <v>11.932798761909369</v>
      </c>
      <c r="AS36" s="89">
        <f t="shared" si="3"/>
        <v>0.4412753121647075</v>
      </c>
      <c r="AT36" s="90">
        <f t="shared" si="4"/>
        <v>9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6.2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36" s="122">
        <f t="shared" si="5"/>
        <v>2.8</v>
      </c>
    </row>
    <row r="37" spans="1:49" ht="14.25" customHeight="1" x14ac:dyDescent="0.2">
      <c r="A37" s="120">
        <v>24035040</v>
      </c>
      <c r="B37" s="52" t="s">
        <v>224</v>
      </c>
      <c r="C37" s="52" t="s">
        <v>212</v>
      </c>
      <c r="D37" s="53">
        <v>-73.208777777999998</v>
      </c>
      <c r="E37" s="53">
        <v>5.5791944439999996</v>
      </c>
      <c r="F37" s="48">
        <v>2700</v>
      </c>
      <c r="G37" s="46">
        <v>15</v>
      </c>
      <c r="H37" s="46">
        <v>15814</v>
      </c>
      <c r="I37" s="55" t="s">
        <v>213</v>
      </c>
      <c r="J37" s="55" t="s">
        <v>225</v>
      </c>
      <c r="K37" s="51">
        <v>9</v>
      </c>
      <c r="L37" s="51">
        <v>5.8</v>
      </c>
      <c r="M37" s="51">
        <v>7</v>
      </c>
      <c r="N37" s="51">
        <v>10</v>
      </c>
      <c r="O37" s="51">
        <v>8</v>
      </c>
      <c r="P37" s="51">
        <v>9</v>
      </c>
      <c r="Q37" s="51">
        <v>7.8</v>
      </c>
      <c r="R37" s="51">
        <v>8.8000000000000007</v>
      </c>
      <c r="S37" s="51">
        <v>9.1999999999999993</v>
      </c>
      <c r="T37" s="51">
        <v>8.1999999999999993</v>
      </c>
      <c r="U37" s="51">
        <v>6</v>
      </c>
      <c r="V37" s="51">
        <v>10.199999999999999</v>
      </c>
      <c r="W37" s="51">
        <v>6.8</v>
      </c>
      <c r="X37" s="51">
        <v>6</v>
      </c>
      <c r="Y37" s="51">
        <v>10.8</v>
      </c>
      <c r="Z37" s="111">
        <v>5</v>
      </c>
      <c r="AA37" s="51">
        <v>6.4</v>
      </c>
      <c r="AB37" s="51">
        <v>6</v>
      </c>
      <c r="AC37" s="51">
        <v>10.8</v>
      </c>
      <c r="AD37" s="51">
        <v>10.4</v>
      </c>
      <c r="AE37" s="51">
        <v>8</v>
      </c>
      <c r="AF37" s="51">
        <v>6.6</v>
      </c>
      <c r="AG37" s="51">
        <v>7</v>
      </c>
      <c r="AH37" s="51">
        <v>7.2</v>
      </c>
      <c r="AI37" s="51">
        <v>3</v>
      </c>
      <c r="AJ37" s="51">
        <v>9</v>
      </c>
      <c r="AK37" s="51">
        <v>7.8</v>
      </c>
      <c r="AL37" s="51"/>
      <c r="AM37" s="51"/>
      <c r="AN37" s="51"/>
      <c r="AO37" s="51"/>
      <c r="AP37" s="88">
        <f t="shared" si="1"/>
        <v>27</v>
      </c>
      <c r="AQ37" s="89">
        <f t="shared" si="2"/>
        <v>7.7703703703703706</v>
      </c>
      <c r="AR37" s="89">
        <f>IFERROR(VLOOKUP(A37,Climatologia!A:U,9+$E$2,FALSE),"")</f>
        <v>7.2926861266282854</v>
      </c>
      <c r="AS37" s="89">
        <f t="shared" si="3"/>
        <v>0.47768424374208518</v>
      </c>
      <c r="AT37" s="90">
        <f t="shared" si="4"/>
        <v>3</v>
      </c>
      <c r="AU37" s="90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>1.2</v>
      </c>
      <c r="AV37" s="91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37" s="122">
        <f t="shared" si="5"/>
        <v>1.8</v>
      </c>
    </row>
    <row r="38" spans="1:49" ht="14.25" customHeight="1" x14ac:dyDescent="0.2">
      <c r="A38" s="120">
        <v>26025110</v>
      </c>
      <c r="B38" s="52" t="s">
        <v>339</v>
      </c>
      <c r="C38" s="52" t="s">
        <v>337</v>
      </c>
      <c r="D38" s="53">
        <v>-76.556250000000006</v>
      </c>
      <c r="E38" s="53">
        <v>3.0753888890000001</v>
      </c>
      <c r="F38" s="48">
        <v>1009</v>
      </c>
      <c r="G38" s="46">
        <v>19</v>
      </c>
      <c r="H38" s="46">
        <v>19698</v>
      </c>
      <c r="I38" s="55" t="s">
        <v>182</v>
      </c>
      <c r="J38" s="55" t="s">
        <v>340</v>
      </c>
      <c r="K38" s="51">
        <v>19</v>
      </c>
      <c r="L38" s="51">
        <v>18</v>
      </c>
      <c r="M38" s="51">
        <v>18.600000000000001</v>
      </c>
      <c r="N38" s="51">
        <v>18</v>
      </c>
      <c r="O38" s="51">
        <v>18.600000000000001</v>
      </c>
      <c r="P38" s="51">
        <v>19</v>
      </c>
      <c r="Q38" s="51">
        <v>17.600000000000001</v>
      </c>
      <c r="R38" s="51">
        <v>19.600000000000001</v>
      </c>
      <c r="S38" s="51"/>
      <c r="T38" s="51">
        <v>18</v>
      </c>
      <c r="U38" s="51">
        <v>20</v>
      </c>
      <c r="V38" s="51">
        <v>18.600000000000001</v>
      </c>
      <c r="W38" s="51">
        <v>18</v>
      </c>
      <c r="X38" s="51">
        <v>18.600000000000001</v>
      </c>
      <c r="Y38" s="51">
        <v>18</v>
      </c>
      <c r="Z38" s="111">
        <v>19</v>
      </c>
      <c r="AA38" s="51">
        <v>18.600000000000001</v>
      </c>
      <c r="AB38" s="51">
        <v>18</v>
      </c>
      <c r="AC38" s="51">
        <v>18.600000000000001</v>
      </c>
      <c r="AD38" s="51">
        <v>18</v>
      </c>
      <c r="AE38" s="51">
        <v>18.600000000000001</v>
      </c>
      <c r="AF38" s="51">
        <v>19.600000000000001</v>
      </c>
      <c r="AG38" s="51">
        <v>18.600000000000001</v>
      </c>
      <c r="AH38" s="51">
        <v>19</v>
      </c>
      <c r="AI38" s="51">
        <v>18</v>
      </c>
      <c r="AJ38" s="51">
        <v>18.600000000000001</v>
      </c>
      <c r="AK38" s="51">
        <v>17.600000000000001</v>
      </c>
      <c r="AL38" s="51"/>
      <c r="AM38" s="51"/>
      <c r="AN38" s="51"/>
      <c r="AO38" s="51"/>
      <c r="AP38" s="88">
        <f t="shared" si="1"/>
        <v>26</v>
      </c>
      <c r="AQ38" s="89">
        <f t="shared" si="2"/>
        <v>18.530769230769234</v>
      </c>
      <c r="AR38" s="89">
        <f>IFERROR(VLOOKUP(A38,Climatologia!A:U,9+$E$2,FALSE),"")</f>
        <v>18.04587813620072</v>
      </c>
      <c r="AS38" s="89">
        <f t="shared" si="3"/>
        <v>0.48489109456851409</v>
      </c>
      <c r="AT38" s="90">
        <f t="shared" si="4"/>
        <v>17.600000000000001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14.2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38" s="122">
        <f t="shared" si="5"/>
        <v>3.4000000000000021</v>
      </c>
    </row>
    <row r="39" spans="1:49" ht="14.25" customHeight="1" x14ac:dyDescent="0.2">
      <c r="A39" s="120">
        <v>13015040</v>
      </c>
      <c r="B39" s="52" t="s">
        <v>122</v>
      </c>
      <c r="C39" s="52" t="s">
        <v>119</v>
      </c>
      <c r="D39" s="53">
        <v>-76.203055559999996</v>
      </c>
      <c r="E39" s="53">
        <v>8.0141666669999996</v>
      </c>
      <c r="F39" s="48">
        <v>300</v>
      </c>
      <c r="G39" s="46">
        <v>23</v>
      </c>
      <c r="H39" s="46">
        <v>23807</v>
      </c>
      <c r="I39" s="55" t="s">
        <v>47</v>
      </c>
      <c r="J39" s="55" t="s">
        <v>123</v>
      </c>
      <c r="K39" s="51">
        <v>23.8</v>
      </c>
      <c r="L39" s="51">
        <v>26.6</v>
      </c>
      <c r="M39" s="51">
        <v>23.4</v>
      </c>
      <c r="N39" s="51">
        <v>23.3</v>
      </c>
      <c r="O39" s="51">
        <v>23</v>
      </c>
      <c r="P39" s="51">
        <v>21.8</v>
      </c>
      <c r="Q39" s="51">
        <v>26.4</v>
      </c>
      <c r="R39" s="51">
        <v>27</v>
      </c>
      <c r="S39" s="51">
        <v>22.4</v>
      </c>
      <c r="T39" s="51">
        <v>23.8</v>
      </c>
      <c r="U39" s="51">
        <v>26</v>
      </c>
      <c r="V39" s="51">
        <v>23.4</v>
      </c>
      <c r="W39" s="51">
        <v>24.2</v>
      </c>
      <c r="X39" s="51">
        <v>24</v>
      </c>
      <c r="Y39" s="51">
        <v>26.8</v>
      </c>
      <c r="Z39" s="111">
        <v>26</v>
      </c>
      <c r="AA39" s="51">
        <v>26.4</v>
      </c>
      <c r="AB39" s="51">
        <v>22.2</v>
      </c>
      <c r="AC39" s="51">
        <v>23.3</v>
      </c>
      <c r="AD39" s="51">
        <v>22.5</v>
      </c>
      <c r="AE39" s="51">
        <v>24.4</v>
      </c>
      <c r="AF39" s="51">
        <v>24</v>
      </c>
      <c r="AG39" s="51">
        <v>25.6</v>
      </c>
      <c r="AH39" s="51">
        <v>24.4</v>
      </c>
      <c r="AI39" s="51">
        <v>24.2</v>
      </c>
      <c r="AJ39" s="51">
        <v>22.3</v>
      </c>
      <c r="AK39" s="51">
        <v>22</v>
      </c>
      <c r="AL39" s="51"/>
      <c r="AM39" s="51"/>
      <c r="AN39" s="51"/>
      <c r="AO39" s="51"/>
      <c r="AP39" s="88">
        <f t="shared" si="1"/>
        <v>27</v>
      </c>
      <c r="AQ39" s="89">
        <f t="shared" si="2"/>
        <v>24.19259259259259</v>
      </c>
      <c r="AR39" s="89">
        <f>IFERROR(VLOOKUP(A39,Climatologia!A:U,9+$E$2,FALSE),"")</f>
        <v>23.70475716371773</v>
      </c>
      <c r="AS39" s="89">
        <f t="shared" si="3"/>
        <v>0.48783542887485964</v>
      </c>
      <c r="AT39" s="90">
        <f t="shared" si="4"/>
        <v>21.8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19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39" s="122">
        <f t="shared" si="5"/>
        <v>2.8000000000000007</v>
      </c>
    </row>
    <row r="40" spans="1:49" ht="14.25" customHeight="1" x14ac:dyDescent="0.2">
      <c r="A40" s="120">
        <v>35075020</v>
      </c>
      <c r="B40" s="52" t="s">
        <v>242</v>
      </c>
      <c r="C40" s="52" t="s">
        <v>212</v>
      </c>
      <c r="D40" s="53">
        <v>-73.449166669999997</v>
      </c>
      <c r="E40" s="53">
        <v>5.0222777780000003</v>
      </c>
      <c r="F40" s="48">
        <v>1930</v>
      </c>
      <c r="G40" s="46">
        <v>15</v>
      </c>
      <c r="H40" s="46">
        <v>15778</v>
      </c>
      <c r="I40" s="55" t="s">
        <v>213</v>
      </c>
      <c r="J40" s="55" t="s">
        <v>242</v>
      </c>
      <c r="K40" s="51">
        <v>14.2</v>
      </c>
      <c r="L40" s="51">
        <v>14</v>
      </c>
      <c r="M40" s="51">
        <v>14.2</v>
      </c>
      <c r="N40" s="51">
        <v>14.6</v>
      </c>
      <c r="O40" s="51">
        <v>14.2</v>
      </c>
      <c r="P40" s="51">
        <v>13.2</v>
      </c>
      <c r="Q40" s="51">
        <v>14.8</v>
      </c>
      <c r="R40" s="51">
        <v>14.8</v>
      </c>
      <c r="S40" s="51">
        <v>15.6</v>
      </c>
      <c r="T40" s="51">
        <v>13</v>
      </c>
      <c r="U40" s="51">
        <v>13.6</v>
      </c>
      <c r="V40" s="51">
        <v>13.2</v>
      </c>
      <c r="W40" s="51">
        <v>12.8</v>
      </c>
      <c r="X40" s="51">
        <v>14</v>
      </c>
      <c r="Y40" s="51">
        <v>14.4</v>
      </c>
      <c r="Z40" s="111">
        <v>14.8</v>
      </c>
      <c r="AA40" s="51">
        <v>15</v>
      </c>
      <c r="AB40" s="51">
        <v>15.2</v>
      </c>
      <c r="AC40" s="51">
        <v>14</v>
      </c>
      <c r="AD40" s="51">
        <v>15.8</v>
      </c>
      <c r="AE40" s="51">
        <v>14.6</v>
      </c>
      <c r="AF40" s="51">
        <v>14.2</v>
      </c>
      <c r="AG40" s="51">
        <v>14</v>
      </c>
      <c r="AH40" s="51">
        <v>13.2</v>
      </c>
      <c r="AI40" s="51">
        <v>12.6</v>
      </c>
      <c r="AJ40" s="51">
        <v>15.2</v>
      </c>
      <c r="AK40" s="51">
        <v>14.2</v>
      </c>
      <c r="AL40" s="51"/>
      <c r="AM40" s="51"/>
      <c r="AN40" s="51"/>
      <c r="AO40" s="51"/>
      <c r="AP40" s="88">
        <f t="shared" si="1"/>
        <v>27</v>
      </c>
      <c r="AQ40" s="89">
        <f t="shared" si="2"/>
        <v>14.200000000000001</v>
      </c>
      <c r="AR40" s="89">
        <f>IFERROR(VLOOKUP(A40,Climatologia!A:U,9+$E$2,FALSE),"")</f>
        <v>13.701938132316331</v>
      </c>
      <c r="AS40" s="89">
        <f t="shared" si="3"/>
        <v>0.49806186768367056</v>
      </c>
      <c r="AT40" s="90">
        <f t="shared" si="4"/>
        <v>12.6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7.3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40" s="122">
        <f t="shared" si="5"/>
        <v>5.3</v>
      </c>
    </row>
    <row r="41" spans="1:49" ht="14.25" customHeight="1" x14ac:dyDescent="0.2">
      <c r="A41" s="120">
        <v>21065040</v>
      </c>
      <c r="B41" s="52" t="s">
        <v>184</v>
      </c>
      <c r="C41" s="52" t="s">
        <v>179</v>
      </c>
      <c r="D41" s="53">
        <v>-75.529444440000006</v>
      </c>
      <c r="E41" s="53">
        <v>2.2524999999999999</v>
      </c>
      <c r="F41" s="48">
        <v>1270</v>
      </c>
      <c r="G41" s="46">
        <v>41</v>
      </c>
      <c r="H41" s="46">
        <v>41298</v>
      </c>
      <c r="I41" s="55" t="s">
        <v>80</v>
      </c>
      <c r="J41" s="55" t="s">
        <v>185</v>
      </c>
      <c r="K41" s="51">
        <v>17.2</v>
      </c>
      <c r="L41" s="51">
        <v>17</v>
      </c>
      <c r="M41" s="51">
        <v>16.8</v>
      </c>
      <c r="N41" s="51">
        <v>17</v>
      </c>
      <c r="O41" s="51">
        <v>16.600000000000001</v>
      </c>
      <c r="P41" s="51">
        <v>16.2</v>
      </c>
      <c r="Q41" s="51">
        <v>16</v>
      </c>
      <c r="R41" s="51">
        <v>17.8</v>
      </c>
      <c r="S41" s="51">
        <v>17.2</v>
      </c>
      <c r="T41" s="51">
        <v>17</v>
      </c>
      <c r="U41" s="51">
        <v>17</v>
      </c>
      <c r="V41" s="51">
        <v>17.399999999999999</v>
      </c>
      <c r="W41" s="51">
        <v>17</v>
      </c>
      <c r="X41" s="51">
        <v>14.8</v>
      </c>
      <c r="Y41" s="51">
        <v>15.8</v>
      </c>
      <c r="Z41" s="111">
        <v>17.2</v>
      </c>
      <c r="AA41" s="51">
        <v>16.2</v>
      </c>
      <c r="AB41" s="51">
        <v>16</v>
      </c>
      <c r="AC41" s="51">
        <v>15.2</v>
      </c>
      <c r="AD41" s="51">
        <v>17</v>
      </c>
      <c r="AE41" s="51">
        <v>15.2</v>
      </c>
      <c r="AF41" s="51">
        <v>14.8</v>
      </c>
      <c r="AG41" s="51">
        <v>16.2</v>
      </c>
      <c r="AH41" s="51">
        <v>15.7</v>
      </c>
      <c r="AI41" s="51">
        <v>13</v>
      </c>
      <c r="AJ41" s="51">
        <v>15</v>
      </c>
      <c r="AK41" s="51">
        <v>14.6</v>
      </c>
      <c r="AL41" s="51"/>
      <c r="AM41" s="51"/>
      <c r="AN41" s="51"/>
      <c r="AO41" s="51"/>
      <c r="AP41" s="88">
        <f t="shared" si="1"/>
        <v>27</v>
      </c>
      <c r="AQ41" s="89">
        <f t="shared" si="2"/>
        <v>16.18148148148148</v>
      </c>
      <c r="AR41" s="89">
        <f>IFERROR(VLOOKUP(A41,Climatologia!A:U,9+$E$2,FALSE),"")</f>
        <v>15.64745715221115</v>
      </c>
      <c r="AS41" s="89">
        <f t="shared" si="3"/>
        <v>0.53402432927033061</v>
      </c>
      <c r="AT41" s="90">
        <f t="shared" si="4"/>
        <v>13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10.4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41" s="122">
        <f t="shared" si="5"/>
        <v>2.5999999999999996</v>
      </c>
    </row>
    <row r="42" spans="1:49" ht="14.25" customHeight="1" x14ac:dyDescent="0.2">
      <c r="A42" s="120">
        <v>35225030</v>
      </c>
      <c r="B42" s="52" t="s">
        <v>171</v>
      </c>
      <c r="C42" s="52" t="s">
        <v>151</v>
      </c>
      <c r="D42" s="53">
        <v>-71.433082999999996</v>
      </c>
      <c r="E42" s="53">
        <v>4.9105280000000002</v>
      </c>
      <c r="F42" s="48">
        <v>139</v>
      </c>
      <c r="G42" s="46">
        <v>85</v>
      </c>
      <c r="H42" s="46">
        <v>85230</v>
      </c>
      <c r="I42" s="55" t="s">
        <v>167</v>
      </c>
      <c r="J42" s="55" t="s">
        <v>172</v>
      </c>
      <c r="K42" s="51">
        <v>23.1</v>
      </c>
      <c r="L42" s="51">
        <v>23</v>
      </c>
      <c r="M42" s="51">
        <v>23</v>
      </c>
      <c r="N42" s="51">
        <v>23.1</v>
      </c>
      <c r="O42" s="51">
        <v>22.4</v>
      </c>
      <c r="P42" s="51">
        <v>22.2</v>
      </c>
      <c r="Q42" s="51">
        <v>22.4</v>
      </c>
      <c r="R42" s="51">
        <v>23.2</v>
      </c>
      <c r="S42" s="51">
        <v>23.2</v>
      </c>
      <c r="T42" s="51">
        <v>23.2</v>
      </c>
      <c r="U42" s="51">
        <v>23.4</v>
      </c>
      <c r="V42" s="51">
        <v>24</v>
      </c>
      <c r="W42" s="51">
        <v>22.4</v>
      </c>
      <c r="X42" s="51">
        <v>23.1</v>
      </c>
      <c r="Y42" s="51">
        <v>23.3</v>
      </c>
      <c r="Z42" s="111">
        <v>23.3</v>
      </c>
      <c r="AA42" s="51">
        <v>23.3</v>
      </c>
      <c r="AB42" s="51">
        <v>23.3</v>
      </c>
      <c r="AC42" s="51">
        <v>23.2</v>
      </c>
      <c r="AD42" s="51">
        <v>22.1</v>
      </c>
      <c r="AE42" s="51">
        <v>22.3</v>
      </c>
      <c r="AF42" s="51">
        <v>23</v>
      </c>
      <c r="AG42" s="51">
        <v>23.1</v>
      </c>
      <c r="AH42" s="51">
        <v>21.3</v>
      </c>
      <c r="AI42" s="51">
        <v>23.1</v>
      </c>
      <c r="AJ42" s="51">
        <v>22.4</v>
      </c>
      <c r="AK42" s="51">
        <v>23.1</v>
      </c>
      <c r="AL42" s="51"/>
      <c r="AM42" s="51"/>
      <c r="AN42" s="51"/>
      <c r="AO42" s="51"/>
      <c r="AP42" s="88">
        <f t="shared" si="1"/>
        <v>27</v>
      </c>
      <c r="AQ42" s="89">
        <f t="shared" si="2"/>
        <v>22.907407407407408</v>
      </c>
      <c r="AR42" s="89">
        <f>IFERROR(VLOOKUP(A42,Climatologia!A:U,9+$E$2,FALSE),"")</f>
        <v>22.364932118308101</v>
      </c>
      <c r="AS42" s="89">
        <f t="shared" si="3"/>
        <v>0.54247528909930764</v>
      </c>
      <c r="AT42" s="90">
        <f t="shared" si="4"/>
        <v>21.3</v>
      </c>
      <c r="AU42" s="90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>15.8</v>
      </c>
      <c r="AV42" s="91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42" s="122">
        <f t="shared" si="5"/>
        <v>5.5</v>
      </c>
    </row>
    <row r="43" spans="1:49" ht="14.25" customHeight="1" x14ac:dyDescent="0.2">
      <c r="A43" s="120">
        <v>52045030</v>
      </c>
      <c r="B43" s="52" t="s">
        <v>283</v>
      </c>
      <c r="C43" s="52" t="s">
        <v>262</v>
      </c>
      <c r="D43" s="53">
        <v>-77.032611110000005</v>
      </c>
      <c r="E43" s="53">
        <v>1.5387222220000001</v>
      </c>
      <c r="F43" s="48">
        <v>2190</v>
      </c>
      <c r="G43" s="46">
        <v>52</v>
      </c>
      <c r="H43" s="46">
        <v>52685</v>
      </c>
      <c r="I43" s="55" t="s">
        <v>83</v>
      </c>
      <c r="J43" s="55" t="s">
        <v>283</v>
      </c>
      <c r="K43" s="51">
        <v>12</v>
      </c>
      <c r="L43" s="51"/>
      <c r="M43" s="51">
        <v>11.6</v>
      </c>
      <c r="N43" s="51">
        <v>11</v>
      </c>
      <c r="O43" s="51">
        <v>10.8</v>
      </c>
      <c r="P43" s="51">
        <v>10.199999999999999</v>
      </c>
      <c r="Q43" s="51">
        <v>10</v>
      </c>
      <c r="R43" s="51">
        <v>10.4</v>
      </c>
      <c r="S43" s="51">
        <v>11</v>
      </c>
      <c r="T43" s="51">
        <v>13.4</v>
      </c>
      <c r="U43" s="51">
        <v>13.8</v>
      </c>
      <c r="V43" s="51">
        <v>12.8</v>
      </c>
      <c r="W43" s="51">
        <v>12.4</v>
      </c>
      <c r="X43" s="51">
        <v>10.4</v>
      </c>
      <c r="Y43" s="51">
        <v>11</v>
      </c>
      <c r="Z43" s="111">
        <v>10.199999999999999</v>
      </c>
      <c r="AA43" s="51">
        <v>11.8</v>
      </c>
      <c r="AB43" s="51">
        <v>12.2</v>
      </c>
      <c r="AC43" s="51">
        <v>11.6</v>
      </c>
      <c r="AD43" s="51">
        <v>10.4</v>
      </c>
      <c r="AE43" s="51">
        <v>11.2</v>
      </c>
      <c r="AF43" s="51">
        <v>10</v>
      </c>
      <c r="AG43" s="51">
        <v>11</v>
      </c>
      <c r="AH43" s="51">
        <v>10.6</v>
      </c>
      <c r="AI43" s="51">
        <v>10</v>
      </c>
      <c r="AJ43" s="51">
        <v>10.6</v>
      </c>
      <c r="AK43" s="51">
        <v>9.8000000000000007</v>
      </c>
      <c r="AL43" s="51"/>
      <c r="AM43" s="51"/>
      <c r="AN43" s="51"/>
      <c r="AO43" s="51"/>
      <c r="AP43" s="88">
        <f t="shared" si="1"/>
        <v>26</v>
      </c>
      <c r="AQ43" s="89">
        <f t="shared" si="2"/>
        <v>11.161538461538463</v>
      </c>
      <c r="AR43" s="89">
        <f>IFERROR(VLOOKUP(A43,Climatologia!A:U,9+$E$2,FALSE),"")</f>
        <v>10.61877774246517</v>
      </c>
      <c r="AS43" s="89">
        <f t="shared" si="3"/>
        <v>0.54276071907329282</v>
      </c>
      <c r="AT43" s="90">
        <f t="shared" si="4"/>
        <v>9.8000000000000007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6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43" s="122">
        <f t="shared" si="5"/>
        <v>3.8000000000000007</v>
      </c>
    </row>
    <row r="44" spans="1:49" ht="14.25" customHeight="1" x14ac:dyDescent="0.2">
      <c r="A44" s="120">
        <v>21205960</v>
      </c>
      <c r="B44" s="52" t="s">
        <v>400</v>
      </c>
      <c r="C44" s="52" t="s">
        <v>383</v>
      </c>
      <c r="D44" s="93">
        <v>-74.152583329999999</v>
      </c>
      <c r="E44" s="93">
        <v>4.9390555559999996</v>
      </c>
      <c r="F44" s="48">
        <v>2650</v>
      </c>
      <c r="G44" s="46">
        <v>25</v>
      </c>
      <c r="H44" s="46">
        <v>25769</v>
      </c>
      <c r="I44" s="55" t="s">
        <v>74</v>
      </c>
      <c r="J44" s="55" t="s">
        <v>401</v>
      </c>
      <c r="K44" s="51">
        <v>11.4</v>
      </c>
      <c r="L44" s="51">
        <v>9.1999999999999993</v>
      </c>
      <c r="M44" s="51">
        <v>7.8</v>
      </c>
      <c r="N44" s="51">
        <v>7.2</v>
      </c>
      <c r="O44" s="51">
        <v>6.8</v>
      </c>
      <c r="P44" s="51">
        <v>7.6</v>
      </c>
      <c r="Q44" s="51">
        <v>8.8000000000000007</v>
      </c>
      <c r="R44" s="51">
        <v>11.2</v>
      </c>
      <c r="S44" s="51">
        <v>8</v>
      </c>
      <c r="T44" s="51">
        <v>9.1999999999999993</v>
      </c>
      <c r="U44" s="51">
        <v>7.8</v>
      </c>
      <c r="V44" s="51">
        <v>9.6</v>
      </c>
      <c r="W44" s="51">
        <v>9.1999999999999993</v>
      </c>
      <c r="X44" s="51">
        <v>4</v>
      </c>
      <c r="Y44" s="51">
        <v>10.4</v>
      </c>
      <c r="Z44" s="111">
        <v>7.6</v>
      </c>
      <c r="AA44" s="51">
        <v>11.2</v>
      </c>
      <c r="AB44" s="51">
        <v>8.6</v>
      </c>
      <c r="AC44" s="51">
        <v>8.8000000000000007</v>
      </c>
      <c r="AD44" s="51">
        <v>9.6</v>
      </c>
      <c r="AE44" s="51">
        <v>7.8</v>
      </c>
      <c r="AF44" s="51">
        <v>7.4</v>
      </c>
      <c r="AG44" s="51">
        <v>9.6</v>
      </c>
      <c r="AH44" s="51">
        <v>10.4</v>
      </c>
      <c r="AI44" s="51">
        <v>2.6</v>
      </c>
      <c r="AJ44" s="51"/>
      <c r="AK44" s="51">
        <v>7.8</v>
      </c>
      <c r="AL44" s="51"/>
      <c r="AM44" s="51"/>
      <c r="AN44" s="51"/>
      <c r="AO44" s="51"/>
      <c r="AP44" s="88">
        <f t="shared" si="1"/>
        <v>26</v>
      </c>
      <c r="AQ44" s="89">
        <f t="shared" si="2"/>
        <v>8.4461538461538463</v>
      </c>
      <c r="AR44" s="89">
        <f>IFERROR(VLOOKUP(A44,Climatologia!A:U,9+$E$2,FALSE),"")</f>
        <v>7.8933666539450718</v>
      </c>
      <c r="AS44" s="89">
        <f t="shared" si="3"/>
        <v>0.55278719220877459</v>
      </c>
      <c r="AT44" s="90">
        <f t="shared" si="4"/>
        <v>2.6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0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44" s="122">
        <f t="shared" si="5"/>
        <v>2.6</v>
      </c>
    </row>
    <row r="45" spans="1:49" ht="14.25" customHeight="1" x14ac:dyDescent="0.2">
      <c r="A45" s="120">
        <v>24035130</v>
      </c>
      <c r="B45" s="52" t="s">
        <v>230</v>
      </c>
      <c r="C45" s="52" t="s">
        <v>212</v>
      </c>
      <c r="D45" s="53">
        <v>-73.360813059999998</v>
      </c>
      <c r="E45" s="53">
        <v>5.5430774999999999</v>
      </c>
      <c r="F45" s="48">
        <v>2690</v>
      </c>
      <c r="G45" s="46">
        <v>15</v>
      </c>
      <c r="H45" s="46">
        <v>15001</v>
      </c>
      <c r="I45" s="55" t="s">
        <v>213</v>
      </c>
      <c r="J45" s="55" t="s">
        <v>231</v>
      </c>
      <c r="K45" s="51">
        <v>10</v>
      </c>
      <c r="L45" s="51">
        <v>7.2</v>
      </c>
      <c r="M45" s="51">
        <v>10.199999999999999</v>
      </c>
      <c r="N45" s="51"/>
      <c r="O45" s="51">
        <v>10.199999999999999</v>
      </c>
      <c r="P45" s="51">
        <v>10</v>
      </c>
      <c r="Q45" s="51">
        <v>10.199999999999999</v>
      </c>
      <c r="R45" s="51">
        <v>10.199999999999999</v>
      </c>
      <c r="S45" s="51">
        <v>9.8000000000000007</v>
      </c>
      <c r="T45" s="51">
        <v>8.8000000000000007</v>
      </c>
      <c r="U45" s="51"/>
      <c r="V45" s="51"/>
      <c r="W45" s="51"/>
      <c r="X45" s="51">
        <v>6.4</v>
      </c>
      <c r="Y45" s="51">
        <v>10.4</v>
      </c>
      <c r="Z45" s="111">
        <v>7.8</v>
      </c>
      <c r="AA45" s="51">
        <v>8.6</v>
      </c>
      <c r="AB45" s="51">
        <v>6.4</v>
      </c>
      <c r="AC45" s="51">
        <v>10.199999999999999</v>
      </c>
      <c r="AD45" s="51">
        <v>11</v>
      </c>
      <c r="AE45" s="51">
        <v>9.1999999999999993</v>
      </c>
      <c r="AF45" s="51">
        <v>10.199999999999999</v>
      </c>
      <c r="AG45" s="51">
        <v>10.4</v>
      </c>
      <c r="AH45" s="51">
        <v>9.1999999999999993</v>
      </c>
      <c r="AI45" s="51">
        <v>5</v>
      </c>
      <c r="AJ45" s="51"/>
      <c r="AK45" s="51">
        <v>10.199999999999999</v>
      </c>
      <c r="AL45" s="51"/>
      <c r="AM45" s="51"/>
      <c r="AN45" s="51"/>
      <c r="AO45" s="51"/>
      <c r="AP45" s="88">
        <f t="shared" si="1"/>
        <v>22</v>
      </c>
      <c r="AQ45" s="89">
        <f t="shared" si="2"/>
        <v>9.1636363636363622</v>
      </c>
      <c r="AR45" s="89">
        <f>IFERROR(VLOOKUP(A45,Climatologia!A:U,9+$E$2,FALSE),"")</f>
        <v>8.6035988588983976</v>
      </c>
      <c r="AS45" s="89">
        <f t="shared" si="3"/>
        <v>0.56003750473796465</v>
      </c>
      <c r="AT45" s="90">
        <f t="shared" si="4"/>
        <v>5</v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1.8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45" s="122">
        <f t="shared" si="5"/>
        <v>3.2</v>
      </c>
    </row>
    <row r="46" spans="1:49" ht="14.25" customHeight="1" x14ac:dyDescent="0.2">
      <c r="A46" s="120">
        <v>24035400</v>
      </c>
      <c r="B46" s="52" t="s">
        <v>327</v>
      </c>
      <c r="C46" s="52" t="s">
        <v>300</v>
      </c>
      <c r="D46" s="53">
        <v>-72.67777778</v>
      </c>
      <c r="E46" s="53">
        <v>6.8452777779999998</v>
      </c>
      <c r="F46" s="48">
        <v>2841</v>
      </c>
      <c r="G46" s="46">
        <v>68</v>
      </c>
      <c r="H46" s="46">
        <v>68162</v>
      </c>
      <c r="I46" s="55" t="s">
        <v>50</v>
      </c>
      <c r="J46" s="55" t="s">
        <v>328</v>
      </c>
      <c r="K46" s="51">
        <v>11.2</v>
      </c>
      <c r="L46" s="51">
        <v>11</v>
      </c>
      <c r="M46" s="51">
        <v>10.199999999999999</v>
      </c>
      <c r="N46" s="51">
        <v>10</v>
      </c>
      <c r="O46" s="51">
        <v>10.199999999999999</v>
      </c>
      <c r="P46" s="51">
        <v>10.6</v>
      </c>
      <c r="Q46" s="51">
        <v>10</v>
      </c>
      <c r="R46" s="51"/>
      <c r="S46" s="51">
        <v>10</v>
      </c>
      <c r="T46" s="51">
        <v>10.4</v>
      </c>
      <c r="U46" s="51">
        <v>11</v>
      </c>
      <c r="V46" s="51">
        <v>10.8</v>
      </c>
      <c r="W46" s="51">
        <v>9</v>
      </c>
      <c r="X46" s="51">
        <v>9.4</v>
      </c>
      <c r="Y46" s="51">
        <v>9.1999999999999993</v>
      </c>
      <c r="Z46" s="111">
        <v>9.6</v>
      </c>
      <c r="AA46" s="51"/>
      <c r="AB46" s="51">
        <v>10</v>
      </c>
      <c r="AC46" s="51">
        <v>10</v>
      </c>
      <c r="AD46" s="51">
        <v>9.8000000000000007</v>
      </c>
      <c r="AE46" s="51">
        <v>9.6</v>
      </c>
      <c r="AF46" s="51">
        <v>11</v>
      </c>
      <c r="AG46" s="51">
        <v>11.4</v>
      </c>
      <c r="AH46" s="51">
        <v>10</v>
      </c>
      <c r="AI46" s="51">
        <v>10</v>
      </c>
      <c r="AJ46" s="51">
        <v>9.6</v>
      </c>
      <c r="AK46" s="51">
        <v>9.8000000000000007</v>
      </c>
      <c r="AL46" s="51"/>
      <c r="AM46" s="51"/>
      <c r="AN46" s="51"/>
      <c r="AO46" s="51"/>
      <c r="AP46" s="88">
        <f t="shared" si="1"/>
        <v>25</v>
      </c>
      <c r="AQ46" s="89">
        <f t="shared" si="2"/>
        <v>10.151999999999999</v>
      </c>
      <c r="AR46" s="89">
        <f>IFERROR(VLOOKUP(A46,Climatologia!A:U,9+$E$2,FALSE),"")</f>
        <v>9.5855913978494645</v>
      </c>
      <c r="AS46" s="89">
        <f t="shared" si="3"/>
        <v>0.56640860215053479</v>
      </c>
      <c r="AT46" s="90">
        <f t="shared" si="4"/>
        <v>9</v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6.2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46" s="122">
        <f t="shared" si="5"/>
        <v>2.8</v>
      </c>
    </row>
    <row r="47" spans="1:49" ht="14.25" customHeight="1" x14ac:dyDescent="0.2">
      <c r="A47" s="120">
        <v>26135100</v>
      </c>
      <c r="B47" s="52" t="s">
        <v>350</v>
      </c>
      <c r="C47" s="52" t="s">
        <v>337</v>
      </c>
      <c r="D47" s="53">
        <v>-75.877555560000005</v>
      </c>
      <c r="E47" s="53">
        <v>4.8780277779999999</v>
      </c>
      <c r="F47" s="48">
        <v>995</v>
      </c>
      <c r="G47" s="46">
        <v>66</v>
      </c>
      <c r="H47" s="46">
        <v>66001</v>
      </c>
      <c r="I47" s="55" t="s">
        <v>65</v>
      </c>
      <c r="J47" s="55" t="s">
        <v>66</v>
      </c>
      <c r="K47" s="51">
        <v>20.399999999999999</v>
      </c>
      <c r="L47" s="51">
        <v>19.600000000000001</v>
      </c>
      <c r="M47" s="51">
        <v>19.8</v>
      </c>
      <c r="N47" s="51">
        <v>20.399999999999999</v>
      </c>
      <c r="O47" s="51">
        <v>19.2</v>
      </c>
      <c r="P47" s="51"/>
      <c r="Q47" s="51">
        <v>20.2</v>
      </c>
      <c r="R47" s="51">
        <v>20.6</v>
      </c>
      <c r="S47" s="51">
        <v>20.8</v>
      </c>
      <c r="T47" s="51">
        <v>20.399999999999999</v>
      </c>
      <c r="U47" s="51">
        <v>20.2</v>
      </c>
      <c r="V47" s="51">
        <v>20.399999999999999</v>
      </c>
      <c r="W47" s="51">
        <v>19.8</v>
      </c>
      <c r="X47" s="51">
        <v>18.600000000000001</v>
      </c>
      <c r="Y47" s="51">
        <v>18.8</v>
      </c>
      <c r="Z47" s="111"/>
      <c r="AA47" s="51">
        <v>19.600000000000001</v>
      </c>
      <c r="AB47" s="51">
        <v>19.8</v>
      </c>
      <c r="AC47" s="51"/>
      <c r="AD47" s="51">
        <v>19.8</v>
      </c>
      <c r="AE47" s="51">
        <v>19.399999999999999</v>
      </c>
      <c r="AF47" s="51">
        <v>19.600000000000001</v>
      </c>
      <c r="AG47" s="51">
        <v>19.8</v>
      </c>
      <c r="AH47" s="51">
        <v>20.2</v>
      </c>
      <c r="AI47" s="51">
        <v>18.600000000000001</v>
      </c>
      <c r="AJ47" s="51">
        <v>18.8</v>
      </c>
      <c r="AK47" s="51">
        <v>18.399999999999999</v>
      </c>
      <c r="AL47" s="51"/>
      <c r="AM47" s="51"/>
      <c r="AN47" s="51"/>
      <c r="AO47" s="51"/>
      <c r="AP47" s="88">
        <f t="shared" si="1"/>
        <v>24</v>
      </c>
      <c r="AQ47" s="89">
        <f t="shared" si="2"/>
        <v>19.716666666666672</v>
      </c>
      <c r="AR47" s="89">
        <f>IFERROR(VLOOKUP(A47,Climatologia!A:U,9+$E$2,FALSE),"")</f>
        <v>19.124532286510789</v>
      </c>
      <c r="AS47" s="89">
        <f t="shared" si="3"/>
        <v>0.59213438015588338</v>
      </c>
      <c r="AT47" s="90">
        <f t="shared" si="4"/>
        <v>18.399999999999999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15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47" s="122">
        <f t="shared" si="5"/>
        <v>3.3999999999999986</v>
      </c>
    </row>
    <row r="48" spans="1:49" ht="14.25" customHeight="1" x14ac:dyDescent="0.2">
      <c r="A48" s="120">
        <v>16015100</v>
      </c>
      <c r="B48" s="52" t="s">
        <v>303</v>
      </c>
      <c r="C48" s="52" t="s">
        <v>300</v>
      </c>
      <c r="D48" s="53">
        <v>-72.483888890000003</v>
      </c>
      <c r="E48" s="53">
        <v>7.5766666669999996</v>
      </c>
      <c r="F48" s="48">
        <v>1550</v>
      </c>
      <c r="G48" s="46">
        <v>54</v>
      </c>
      <c r="H48" s="46">
        <v>54599</v>
      </c>
      <c r="I48" s="55" t="s">
        <v>301</v>
      </c>
      <c r="J48" s="55" t="s">
        <v>303</v>
      </c>
      <c r="K48" s="51">
        <v>15</v>
      </c>
      <c r="L48" s="51">
        <v>15.4</v>
      </c>
      <c r="M48" s="51">
        <v>15.2</v>
      </c>
      <c r="N48" s="51">
        <v>15.8</v>
      </c>
      <c r="O48" s="51">
        <v>15</v>
      </c>
      <c r="P48" s="51">
        <v>14.8</v>
      </c>
      <c r="Q48" s="51">
        <v>15</v>
      </c>
      <c r="R48" s="51">
        <v>16.2</v>
      </c>
      <c r="S48" s="51">
        <v>17</v>
      </c>
      <c r="T48" s="51">
        <v>14.4</v>
      </c>
      <c r="U48" s="51">
        <v>13</v>
      </c>
      <c r="V48" s="51">
        <v>15.8</v>
      </c>
      <c r="W48" s="51">
        <v>14.2</v>
      </c>
      <c r="X48" s="51">
        <v>14.2</v>
      </c>
      <c r="Y48" s="51">
        <v>15.8</v>
      </c>
      <c r="Z48" s="111">
        <v>14.6</v>
      </c>
      <c r="AA48" s="51">
        <v>14.2</v>
      </c>
      <c r="AB48" s="51">
        <v>14.4</v>
      </c>
      <c r="AC48" s="51">
        <v>16</v>
      </c>
      <c r="AD48" s="51">
        <v>15.4</v>
      </c>
      <c r="AE48" s="51">
        <v>15</v>
      </c>
      <c r="AF48" s="51">
        <v>14.8</v>
      </c>
      <c r="AG48" s="51">
        <v>14.6</v>
      </c>
      <c r="AH48" s="51">
        <v>14.8</v>
      </c>
      <c r="AI48" s="51">
        <v>15</v>
      </c>
      <c r="AJ48" s="51">
        <v>15.6</v>
      </c>
      <c r="AK48" s="51">
        <v>15</v>
      </c>
      <c r="AL48" s="51"/>
      <c r="AM48" s="51"/>
      <c r="AN48" s="51"/>
      <c r="AO48" s="51"/>
      <c r="AP48" s="88">
        <f t="shared" si="1"/>
        <v>27</v>
      </c>
      <c r="AQ48" s="89">
        <f t="shared" si="2"/>
        <v>15.044444444444444</v>
      </c>
      <c r="AR48" s="89">
        <f>IFERROR(VLOOKUP(A48,Climatologia!A:U,9+$E$2,FALSE),"")</f>
        <v>14.402137736815151</v>
      </c>
      <c r="AS48" s="89">
        <f t="shared" si="3"/>
        <v>0.64230670762929343</v>
      </c>
      <c r="AT48" s="90">
        <f t="shared" si="4"/>
        <v>13</v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11.8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48" s="122">
        <f t="shared" si="5"/>
        <v>1.1999999999999993</v>
      </c>
    </row>
    <row r="49" spans="1:49" ht="14.25" customHeight="1" x14ac:dyDescent="0.2">
      <c r="A49" s="119">
        <v>26075040</v>
      </c>
      <c r="B49" s="47" t="s">
        <v>76</v>
      </c>
      <c r="C49" s="52" t="s">
        <v>1295</v>
      </c>
      <c r="D49" s="49">
        <v>-76.387</v>
      </c>
      <c r="E49" s="49">
        <v>3.5369999999999999</v>
      </c>
      <c r="F49" s="50">
        <v>970</v>
      </c>
      <c r="G49" s="46">
        <v>76</v>
      </c>
      <c r="H49" s="46">
        <v>76520</v>
      </c>
      <c r="I49" s="55" t="s">
        <v>77</v>
      </c>
      <c r="J49" s="55" t="s">
        <v>78</v>
      </c>
      <c r="K49" s="51">
        <v>20.399999999999999</v>
      </c>
      <c r="L49" s="51">
        <v>19.100000000000001</v>
      </c>
      <c r="M49" s="51">
        <v>20.100000000000001</v>
      </c>
      <c r="N49" s="51">
        <v>19.7</v>
      </c>
      <c r="O49" s="51">
        <v>19.2</v>
      </c>
      <c r="P49" s="51">
        <v>18.7</v>
      </c>
      <c r="Q49" s="51">
        <v>18.7</v>
      </c>
      <c r="R49" s="51">
        <v>20</v>
      </c>
      <c r="S49" s="51">
        <v>19.8</v>
      </c>
      <c r="T49" s="51">
        <v>20.3</v>
      </c>
      <c r="U49" s="51">
        <v>19.5</v>
      </c>
      <c r="V49" s="51">
        <v>20.6</v>
      </c>
      <c r="W49" s="51">
        <v>20.9</v>
      </c>
      <c r="X49" s="51">
        <v>16.2</v>
      </c>
      <c r="Y49" s="51">
        <v>16.899999999999999</v>
      </c>
      <c r="Z49" s="111">
        <v>19</v>
      </c>
      <c r="AA49" s="51">
        <v>20.3</v>
      </c>
      <c r="AB49" s="51">
        <v>20.8</v>
      </c>
      <c r="AC49" s="51">
        <v>19.5</v>
      </c>
      <c r="AD49" s="51">
        <v>19.7</v>
      </c>
      <c r="AE49" s="51">
        <v>20.7</v>
      </c>
      <c r="AF49" s="51">
        <v>18.7</v>
      </c>
      <c r="AG49" s="51">
        <v>19.100000000000001</v>
      </c>
      <c r="AH49" s="51">
        <v>19.3</v>
      </c>
      <c r="AI49" s="51">
        <v>16.600000000000001</v>
      </c>
      <c r="AJ49" s="51">
        <v>18.899999999999999</v>
      </c>
      <c r="AK49" s="51">
        <v>18.899999999999999</v>
      </c>
      <c r="AL49" s="51"/>
      <c r="AM49" s="51"/>
      <c r="AN49" s="51"/>
      <c r="AO49" s="51"/>
      <c r="AP49" s="88">
        <f t="shared" si="1"/>
        <v>27</v>
      </c>
      <c r="AQ49" s="89">
        <f t="shared" si="2"/>
        <v>19.31851851851852</v>
      </c>
      <c r="AR49" s="89">
        <f>IFERROR(VLOOKUP(A49,Climatologia!A:U,9+$E$2,FALSE),"")</f>
        <v>18.632546225180629</v>
      </c>
      <c r="AS49" s="89">
        <f t="shared" si="3"/>
        <v>0.68597229333789045</v>
      </c>
      <c r="AT49" s="90">
        <f t="shared" si="4"/>
        <v>16.2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13.6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49" s="122">
        <f t="shared" si="5"/>
        <v>2.5999999999999996</v>
      </c>
    </row>
    <row r="50" spans="1:49" ht="14.25" customHeight="1" x14ac:dyDescent="0.2">
      <c r="A50" s="120">
        <v>35195030</v>
      </c>
      <c r="B50" s="52" t="s">
        <v>250</v>
      </c>
      <c r="C50" s="52" t="s">
        <v>212</v>
      </c>
      <c r="D50" s="53">
        <v>-72.547388889999993</v>
      </c>
      <c r="E50" s="53">
        <v>5.1770833329999997</v>
      </c>
      <c r="F50" s="48">
        <v>380</v>
      </c>
      <c r="G50" s="46">
        <v>85</v>
      </c>
      <c r="H50" s="46">
        <v>85010</v>
      </c>
      <c r="I50" s="55" t="s">
        <v>167</v>
      </c>
      <c r="J50" s="55" t="s">
        <v>250</v>
      </c>
      <c r="K50" s="51">
        <v>22.4</v>
      </c>
      <c r="L50" s="51">
        <v>22.8</v>
      </c>
      <c r="M50" s="51">
        <v>22.8</v>
      </c>
      <c r="N50" s="51">
        <v>23.2</v>
      </c>
      <c r="O50" s="51">
        <v>22.1</v>
      </c>
      <c r="P50" s="51">
        <v>22.8</v>
      </c>
      <c r="Q50" s="51">
        <v>22.8</v>
      </c>
      <c r="R50" s="51">
        <v>23.4</v>
      </c>
      <c r="S50" s="51">
        <v>23.8</v>
      </c>
      <c r="T50" s="51">
        <v>21.8</v>
      </c>
      <c r="U50" s="51">
        <v>22</v>
      </c>
      <c r="V50" s="51">
        <v>22.4</v>
      </c>
      <c r="W50" s="51">
        <v>22.2</v>
      </c>
      <c r="X50" s="51">
        <v>24.2</v>
      </c>
      <c r="Y50" s="51">
        <v>24</v>
      </c>
      <c r="Z50" s="111">
        <v>24</v>
      </c>
      <c r="AA50" s="51">
        <v>24.4</v>
      </c>
      <c r="AB50" s="51">
        <v>24.4</v>
      </c>
      <c r="AC50" s="51">
        <v>22.6</v>
      </c>
      <c r="AD50" s="51">
        <v>21.9</v>
      </c>
      <c r="AE50" s="51">
        <v>22.6</v>
      </c>
      <c r="AF50" s="51">
        <v>23.6</v>
      </c>
      <c r="AG50" s="51">
        <v>23.2</v>
      </c>
      <c r="AH50" s="51">
        <v>21</v>
      </c>
      <c r="AI50" s="51">
        <v>23.2</v>
      </c>
      <c r="AJ50" s="51">
        <v>23.2</v>
      </c>
      <c r="AK50" s="51">
        <v>23.6</v>
      </c>
      <c r="AL50" s="51"/>
      <c r="AM50" s="51"/>
      <c r="AN50" s="51"/>
      <c r="AO50" s="51"/>
      <c r="AP50" s="88">
        <f t="shared" si="1"/>
        <v>27</v>
      </c>
      <c r="AQ50" s="89">
        <f t="shared" si="2"/>
        <v>22.977777777777785</v>
      </c>
      <c r="AR50" s="89">
        <f>IFERROR(VLOOKUP(A50,Climatologia!A:U,9+$E$2,FALSE),"")</f>
        <v>22.231405456385989</v>
      </c>
      <c r="AS50" s="89">
        <f t="shared" si="3"/>
        <v>0.74637232139179588</v>
      </c>
      <c r="AT50" s="90">
        <f t="shared" si="4"/>
        <v>21</v>
      </c>
      <c r="AU50" s="90" t="str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/>
      </c>
      <c r="AV50" s="91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0" s="122" t="str">
        <f t="shared" si="5"/>
        <v>NA</v>
      </c>
    </row>
    <row r="51" spans="1:49" ht="14.25" customHeight="1" x14ac:dyDescent="0.2">
      <c r="A51" s="119">
        <v>35035020</v>
      </c>
      <c r="B51" s="47" t="s">
        <v>95</v>
      </c>
      <c r="C51" s="52" t="s">
        <v>1295</v>
      </c>
      <c r="D51" s="49">
        <v>-73.617999999999995</v>
      </c>
      <c r="E51" s="49">
        <v>4.1619999999999999</v>
      </c>
      <c r="F51" s="50">
        <v>422</v>
      </c>
      <c r="G51" s="50">
        <v>50</v>
      </c>
      <c r="H51" s="50">
        <v>50001</v>
      </c>
      <c r="I51" s="47" t="s">
        <v>96</v>
      </c>
      <c r="J51" s="63" t="s">
        <v>97</v>
      </c>
      <c r="K51" s="51">
        <v>20.100000000000001</v>
      </c>
      <c r="L51" s="51">
        <v>21.3</v>
      </c>
      <c r="M51" s="51">
        <v>20.6</v>
      </c>
      <c r="N51" s="51">
        <v>20.8</v>
      </c>
      <c r="O51" s="51">
        <v>21</v>
      </c>
      <c r="P51" s="51">
        <v>20.8</v>
      </c>
      <c r="Q51" s="51">
        <v>21</v>
      </c>
      <c r="R51" s="51">
        <v>21.7</v>
      </c>
      <c r="S51" s="51">
        <v>21.6</v>
      </c>
      <c r="T51" s="51">
        <v>20.2</v>
      </c>
      <c r="U51" s="51">
        <v>21.2</v>
      </c>
      <c r="V51" s="51">
        <v>22.1</v>
      </c>
      <c r="W51" s="51">
        <v>21</v>
      </c>
      <c r="X51" s="51">
        <v>21.5</v>
      </c>
      <c r="Y51" s="51">
        <v>22</v>
      </c>
      <c r="Z51" s="111">
        <v>21.1</v>
      </c>
      <c r="AA51" s="51">
        <v>22.2</v>
      </c>
      <c r="AB51" s="51">
        <v>21.7</v>
      </c>
      <c r="AC51" s="51">
        <v>20.8</v>
      </c>
      <c r="AD51" s="51">
        <v>21.6</v>
      </c>
      <c r="AE51" s="51">
        <v>19.8</v>
      </c>
      <c r="AF51" s="51">
        <v>21.1</v>
      </c>
      <c r="AG51" s="51">
        <v>22</v>
      </c>
      <c r="AH51" s="51">
        <v>20.100000000000001</v>
      </c>
      <c r="AI51" s="51">
        <v>19.600000000000001</v>
      </c>
      <c r="AJ51" s="51">
        <v>22.2</v>
      </c>
      <c r="AK51" s="51">
        <v>22</v>
      </c>
      <c r="AL51" s="51"/>
      <c r="AM51" s="51"/>
      <c r="AN51" s="51"/>
      <c r="AO51" s="51"/>
      <c r="AP51" s="88">
        <f t="shared" si="1"/>
        <v>27</v>
      </c>
      <c r="AQ51" s="89">
        <f t="shared" si="2"/>
        <v>21.151851851851855</v>
      </c>
      <c r="AR51" s="89">
        <f>IFERROR(VLOOKUP(A51,Climatologia!A:U,9+$E$2,FALSE),"")</f>
        <v>20.397956989247309</v>
      </c>
      <c r="AS51" s="89">
        <f t="shared" si="3"/>
        <v>0.75389486260454674</v>
      </c>
      <c r="AT51" s="90">
        <f t="shared" si="4"/>
        <v>19.600000000000001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16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51" s="122">
        <f t="shared" si="5"/>
        <v>3.6000000000000014</v>
      </c>
    </row>
    <row r="52" spans="1:49" ht="14.25" customHeight="1" x14ac:dyDescent="0.2">
      <c r="A52" s="120">
        <v>22055020</v>
      </c>
      <c r="B52" s="52" t="s">
        <v>375</v>
      </c>
      <c r="C52" s="52" t="s">
        <v>356</v>
      </c>
      <c r="D52" s="53">
        <v>-75.536361110000001</v>
      </c>
      <c r="E52" s="53">
        <v>3.4557777779999999</v>
      </c>
      <c r="F52" s="48">
        <v>699</v>
      </c>
      <c r="G52" s="46">
        <v>73</v>
      </c>
      <c r="H52" s="46">
        <v>73067</v>
      </c>
      <c r="I52" s="55" t="s">
        <v>71</v>
      </c>
      <c r="J52" s="55" t="s">
        <v>376</v>
      </c>
      <c r="K52" s="51"/>
      <c r="L52" s="51">
        <v>22</v>
      </c>
      <c r="M52" s="51">
        <v>21</v>
      </c>
      <c r="N52" s="51">
        <v>21.2</v>
      </c>
      <c r="O52" s="51">
        <v>21.4</v>
      </c>
      <c r="P52" s="51">
        <v>21.6</v>
      </c>
      <c r="Q52" s="51">
        <v>21</v>
      </c>
      <c r="R52" s="51">
        <v>21.8</v>
      </c>
      <c r="S52" s="51">
        <v>22.2</v>
      </c>
      <c r="T52" s="51">
        <v>22</v>
      </c>
      <c r="U52" s="51">
        <v>20.2</v>
      </c>
      <c r="V52" s="51">
        <v>20.8</v>
      </c>
      <c r="W52" s="51">
        <v>21.4</v>
      </c>
      <c r="X52" s="51">
        <v>19</v>
      </c>
      <c r="Y52" s="51">
        <v>20.399999999999999</v>
      </c>
      <c r="Z52" s="111">
        <v>21</v>
      </c>
      <c r="AA52" s="51">
        <v>20.8</v>
      </c>
      <c r="AB52" s="51">
        <v>21</v>
      </c>
      <c r="AC52" s="51">
        <v>20.8</v>
      </c>
      <c r="AD52" s="51">
        <v>21.4</v>
      </c>
      <c r="AE52" s="51"/>
      <c r="AF52" s="51">
        <v>19</v>
      </c>
      <c r="AG52" s="51">
        <v>20</v>
      </c>
      <c r="AH52" s="51">
        <v>21</v>
      </c>
      <c r="AI52" s="51">
        <v>18.2</v>
      </c>
      <c r="AJ52" s="51">
        <v>19.399999999999999</v>
      </c>
      <c r="AK52" s="51">
        <v>20.8</v>
      </c>
      <c r="AL52" s="51"/>
      <c r="AM52" s="51"/>
      <c r="AN52" s="51"/>
      <c r="AO52" s="51"/>
      <c r="AP52" s="88">
        <f t="shared" si="1"/>
        <v>25</v>
      </c>
      <c r="AQ52" s="89">
        <f t="shared" si="2"/>
        <v>20.775999999999996</v>
      </c>
      <c r="AR52" s="89">
        <f>IFERROR(VLOOKUP(A52,Climatologia!A:U,9+$E$2,FALSE),"")</f>
        <v>20.017642373556349</v>
      </c>
      <c r="AS52" s="89">
        <f t="shared" si="3"/>
        <v>0.75835762644364735</v>
      </c>
      <c r="AT52" s="90">
        <f t="shared" si="4"/>
        <v>18.2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16.399999999999999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52" s="122">
        <f t="shared" si="5"/>
        <v>1.8000000000000007</v>
      </c>
    </row>
    <row r="53" spans="1:49" ht="14.25" customHeight="1" x14ac:dyDescent="0.2">
      <c r="A53" s="120">
        <v>35025110</v>
      </c>
      <c r="B53" s="52" t="s">
        <v>163</v>
      </c>
      <c r="C53" s="52" t="s">
        <v>151</v>
      </c>
      <c r="D53" s="53">
        <v>-73.467865000000003</v>
      </c>
      <c r="E53" s="53">
        <v>4.0574149999999998</v>
      </c>
      <c r="F53" s="48">
        <v>340</v>
      </c>
      <c r="G53" s="46">
        <v>50</v>
      </c>
      <c r="H53" s="46">
        <v>50001</v>
      </c>
      <c r="I53" s="55" t="s">
        <v>96</v>
      </c>
      <c r="J53" s="55" t="s">
        <v>97</v>
      </c>
      <c r="K53" s="51">
        <v>22.2</v>
      </c>
      <c r="L53" s="51">
        <v>23.4</v>
      </c>
      <c r="M53" s="51">
        <v>21.6</v>
      </c>
      <c r="N53" s="51">
        <v>21.2</v>
      </c>
      <c r="O53" s="51">
        <v>21.6</v>
      </c>
      <c r="P53" s="51">
        <v>21.8</v>
      </c>
      <c r="Q53" s="51">
        <v>23.2</v>
      </c>
      <c r="R53" s="51">
        <v>22.2</v>
      </c>
      <c r="S53" s="51">
        <v>22.6</v>
      </c>
      <c r="T53" s="51">
        <v>21.8</v>
      </c>
      <c r="U53" s="51">
        <v>23</v>
      </c>
      <c r="V53" s="51">
        <v>23</v>
      </c>
      <c r="W53" s="51">
        <v>21.8</v>
      </c>
      <c r="X53" s="51">
        <v>22.4</v>
      </c>
      <c r="Y53" s="51">
        <v>22.8</v>
      </c>
      <c r="Z53" s="111">
        <v>22.4</v>
      </c>
      <c r="AA53" s="51">
        <v>23</v>
      </c>
      <c r="AB53" s="51">
        <v>22.2</v>
      </c>
      <c r="AC53" s="51">
        <v>22</v>
      </c>
      <c r="AD53" s="51">
        <v>22</v>
      </c>
      <c r="AE53" s="51">
        <v>21.8</v>
      </c>
      <c r="AF53" s="51">
        <v>23.2</v>
      </c>
      <c r="AG53" s="51">
        <v>21.8</v>
      </c>
      <c r="AH53" s="51">
        <v>20.8</v>
      </c>
      <c r="AI53" s="51">
        <v>21.2</v>
      </c>
      <c r="AJ53" s="51">
        <v>21.2</v>
      </c>
      <c r="AK53" s="51">
        <v>22.2</v>
      </c>
      <c r="AL53" s="51"/>
      <c r="AM53" s="51"/>
      <c r="AN53" s="51"/>
      <c r="AO53" s="51"/>
      <c r="AP53" s="88">
        <f t="shared" si="1"/>
        <v>27</v>
      </c>
      <c r="AQ53" s="89">
        <f t="shared" si="2"/>
        <v>22.162962962962965</v>
      </c>
      <c r="AR53" s="89">
        <f>IFERROR(VLOOKUP(A53,Climatologia!A:U,9+$E$2,FALSE),"")</f>
        <v>21.403540366427119</v>
      </c>
      <c r="AS53" s="89">
        <f t="shared" si="3"/>
        <v>0.75942259653584543</v>
      </c>
      <c r="AT53" s="90">
        <f t="shared" si="4"/>
        <v>20.8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17.2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53" s="122">
        <f t="shared" si="5"/>
        <v>3.6000000000000014</v>
      </c>
    </row>
    <row r="54" spans="1:49" ht="14.25" customHeight="1" x14ac:dyDescent="0.2">
      <c r="A54" s="120">
        <v>23085030</v>
      </c>
      <c r="B54" s="52" t="s">
        <v>105</v>
      </c>
      <c r="C54" s="52" t="s">
        <v>102</v>
      </c>
      <c r="D54" s="53">
        <v>-75.143388889999997</v>
      </c>
      <c r="E54" s="53">
        <v>6.3762499999999998</v>
      </c>
      <c r="F54" s="48">
        <v>1712</v>
      </c>
      <c r="G54" s="46">
        <v>5</v>
      </c>
      <c r="H54" s="46">
        <v>5021</v>
      </c>
      <c r="I54" s="55" t="s">
        <v>58</v>
      </c>
      <c r="J54" s="55" t="s">
        <v>106</v>
      </c>
      <c r="K54" s="51">
        <v>15.2</v>
      </c>
      <c r="L54" s="51">
        <v>15</v>
      </c>
      <c r="M54" s="51">
        <v>14.6</v>
      </c>
      <c r="N54" s="51">
        <v>15</v>
      </c>
      <c r="O54" s="51">
        <v>15.2</v>
      </c>
      <c r="P54" s="51">
        <v>16</v>
      </c>
      <c r="Q54" s="51">
        <v>17.2</v>
      </c>
      <c r="R54" s="51">
        <v>15</v>
      </c>
      <c r="S54" s="51">
        <v>16.600000000000001</v>
      </c>
      <c r="T54" s="51">
        <v>14.8</v>
      </c>
      <c r="U54" s="51">
        <v>14.6</v>
      </c>
      <c r="V54" s="51">
        <v>15.8</v>
      </c>
      <c r="W54" s="51">
        <v>16.600000000000001</v>
      </c>
      <c r="X54" s="51">
        <v>15.8</v>
      </c>
      <c r="Y54" s="51">
        <v>14</v>
      </c>
      <c r="Z54" s="111">
        <v>15</v>
      </c>
      <c r="AA54" s="51">
        <v>14.4</v>
      </c>
      <c r="AB54" s="51">
        <v>16</v>
      </c>
      <c r="AC54" s="51">
        <v>16.8</v>
      </c>
      <c r="AD54" s="51">
        <v>16.399999999999999</v>
      </c>
      <c r="AE54" s="51">
        <v>16.399999999999999</v>
      </c>
      <c r="AF54" s="51">
        <v>15</v>
      </c>
      <c r="AG54" s="51">
        <v>16</v>
      </c>
      <c r="AH54" s="51">
        <v>15.8</v>
      </c>
      <c r="AI54" s="51">
        <v>15.6</v>
      </c>
      <c r="AJ54" s="51">
        <v>15.4</v>
      </c>
      <c r="AK54" s="51">
        <v>15.4</v>
      </c>
      <c r="AL54" s="51"/>
      <c r="AM54" s="51"/>
      <c r="AN54" s="51"/>
      <c r="AO54" s="51"/>
      <c r="AP54" s="88">
        <f t="shared" si="1"/>
        <v>27</v>
      </c>
      <c r="AQ54" s="89">
        <f t="shared" si="2"/>
        <v>15.540740740740739</v>
      </c>
      <c r="AR54" s="89">
        <f>IFERROR(VLOOKUP(A54,Climatologia!A:U,9+$E$2,FALSE),"")</f>
        <v>14.773956247682611</v>
      </c>
      <c r="AS54" s="89">
        <f t="shared" si="3"/>
        <v>0.7667844930581289</v>
      </c>
      <c r="AT54" s="90">
        <f t="shared" si="4"/>
        <v>14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9.6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54" s="122">
        <f t="shared" si="5"/>
        <v>4.4000000000000004</v>
      </c>
    </row>
    <row r="55" spans="1:49" ht="14.25" customHeight="1" x14ac:dyDescent="0.2">
      <c r="A55" s="120">
        <v>24035330</v>
      </c>
      <c r="B55" s="52" t="s">
        <v>236</v>
      </c>
      <c r="C55" s="52" t="s">
        <v>212</v>
      </c>
      <c r="D55" s="53">
        <v>-72.582277779999998</v>
      </c>
      <c r="E55" s="53">
        <v>6.328972222</v>
      </c>
      <c r="F55" s="48">
        <v>2150</v>
      </c>
      <c r="G55" s="46">
        <v>15</v>
      </c>
      <c r="H55" s="46">
        <v>15097</v>
      </c>
      <c r="I55" s="55" t="s">
        <v>213</v>
      </c>
      <c r="J55" s="55" t="s">
        <v>236</v>
      </c>
      <c r="K55" s="51">
        <v>12.2</v>
      </c>
      <c r="L55" s="51">
        <v>12</v>
      </c>
      <c r="M55" s="51">
        <v>12</v>
      </c>
      <c r="N55" s="51">
        <v>12</v>
      </c>
      <c r="O55" s="51">
        <v>12.4</v>
      </c>
      <c r="P55" s="51">
        <v>12</v>
      </c>
      <c r="Q55" s="51"/>
      <c r="R55" s="51"/>
      <c r="S55" s="51">
        <v>12</v>
      </c>
      <c r="T55" s="51">
        <v>12.6</v>
      </c>
      <c r="U55" s="51">
        <v>10.8</v>
      </c>
      <c r="V55" s="51">
        <v>12</v>
      </c>
      <c r="W55" s="51">
        <v>11</v>
      </c>
      <c r="X55" s="51">
        <v>11.2</v>
      </c>
      <c r="Y55" s="51">
        <v>12</v>
      </c>
      <c r="Z55" s="111">
        <v>11</v>
      </c>
      <c r="AA55" s="51">
        <v>11.2</v>
      </c>
      <c r="AB55" s="51">
        <v>11</v>
      </c>
      <c r="AC55" s="51">
        <v>14</v>
      </c>
      <c r="AD55" s="51">
        <v>14</v>
      </c>
      <c r="AE55" s="51">
        <v>14.8</v>
      </c>
      <c r="AF55" s="51">
        <v>11.2</v>
      </c>
      <c r="AG55" s="51">
        <v>12.8</v>
      </c>
      <c r="AH55" s="51">
        <v>10.199999999999999</v>
      </c>
      <c r="AI55" s="51">
        <v>11</v>
      </c>
      <c r="AJ55" s="51">
        <v>12</v>
      </c>
      <c r="AK55" s="51">
        <v>14</v>
      </c>
      <c r="AL55" s="51"/>
      <c r="AM55" s="51"/>
      <c r="AN55" s="51"/>
      <c r="AO55" s="51"/>
      <c r="AP55" s="88">
        <f t="shared" si="1"/>
        <v>25</v>
      </c>
      <c r="AQ55" s="89">
        <f t="shared" si="2"/>
        <v>12.055999999999999</v>
      </c>
      <c r="AR55" s="89">
        <f>IFERROR(VLOOKUP(A55,Climatologia!A:U,9+$E$2,FALSE),"")</f>
        <v>11.27595769595214</v>
      </c>
      <c r="AS55" s="89">
        <f t="shared" si="3"/>
        <v>0.78004230404785879</v>
      </c>
      <c r="AT55" s="90">
        <f t="shared" si="4"/>
        <v>10.199999999999999</v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6.6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55" s="122">
        <f t="shared" si="5"/>
        <v>3.5999999999999996</v>
      </c>
    </row>
    <row r="56" spans="1:49" ht="14.25" customHeight="1" x14ac:dyDescent="0.2">
      <c r="A56" s="120">
        <v>24015250</v>
      </c>
      <c r="B56" s="52" t="s">
        <v>323</v>
      </c>
      <c r="C56" s="52" t="s">
        <v>300</v>
      </c>
      <c r="D56" s="53">
        <v>-73.415388890000003</v>
      </c>
      <c r="E56" s="53">
        <v>6.2371666670000003</v>
      </c>
      <c r="F56" s="48">
        <v>1400</v>
      </c>
      <c r="G56" s="46">
        <v>68</v>
      </c>
      <c r="H56" s="46">
        <v>68320</v>
      </c>
      <c r="I56" s="55" t="s">
        <v>50</v>
      </c>
      <c r="J56" s="55" t="s">
        <v>324</v>
      </c>
      <c r="K56" s="51">
        <v>16.8</v>
      </c>
      <c r="L56" s="51">
        <v>17</v>
      </c>
      <c r="M56" s="51">
        <v>15.8</v>
      </c>
      <c r="N56" s="51">
        <v>17.600000000000001</v>
      </c>
      <c r="O56" s="51">
        <v>17.600000000000001</v>
      </c>
      <c r="P56" s="51">
        <v>15.2</v>
      </c>
      <c r="Q56" s="51">
        <v>17</v>
      </c>
      <c r="R56" s="51">
        <v>17.2</v>
      </c>
      <c r="S56" s="51">
        <v>17</v>
      </c>
      <c r="T56" s="51">
        <v>15</v>
      </c>
      <c r="U56" s="51">
        <v>14.8</v>
      </c>
      <c r="V56" s="51">
        <v>16.8</v>
      </c>
      <c r="W56" s="51">
        <v>15</v>
      </c>
      <c r="X56" s="51">
        <v>13.2</v>
      </c>
      <c r="Y56" s="51">
        <v>16.600000000000001</v>
      </c>
      <c r="Z56" s="111">
        <v>15.2</v>
      </c>
      <c r="AA56" s="51">
        <v>16</v>
      </c>
      <c r="AB56" s="51">
        <v>16.399999999999999</v>
      </c>
      <c r="AC56" s="51">
        <v>16.8</v>
      </c>
      <c r="AD56" s="51">
        <v>16.2</v>
      </c>
      <c r="AE56" s="51">
        <v>17.8</v>
      </c>
      <c r="AF56" s="51">
        <v>16.2</v>
      </c>
      <c r="AG56" s="51">
        <v>16.600000000000001</v>
      </c>
      <c r="AH56" s="51">
        <v>16.100000000000001</v>
      </c>
      <c r="AI56" s="51">
        <v>16.2</v>
      </c>
      <c r="AJ56" s="51">
        <v>16</v>
      </c>
      <c r="AK56" s="51">
        <v>16.600000000000001</v>
      </c>
      <c r="AL56" s="51"/>
      <c r="AM56" s="51"/>
      <c r="AN56" s="51"/>
      <c r="AO56" s="51"/>
      <c r="AP56" s="88">
        <f t="shared" si="1"/>
        <v>27</v>
      </c>
      <c r="AQ56" s="89">
        <f t="shared" si="2"/>
        <v>16.24814814814815</v>
      </c>
      <c r="AR56" s="89">
        <f>IFERROR(VLOOKUP(A56,Climatologia!A:U,9+$E$2,FALSE),"")</f>
        <v>15.46093670134405</v>
      </c>
      <c r="AS56" s="89">
        <f t="shared" si="3"/>
        <v>0.78721144680410049</v>
      </c>
      <c r="AT56" s="90">
        <f t="shared" si="4"/>
        <v>13.2</v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56" s="122">
        <f t="shared" si="5"/>
        <v>2.1999999999999993</v>
      </c>
    </row>
    <row r="57" spans="1:49" ht="14.25" customHeight="1" x14ac:dyDescent="0.2">
      <c r="A57" s="120">
        <v>21205420</v>
      </c>
      <c r="B57" s="52" t="s">
        <v>387</v>
      </c>
      <c r="C57" s="52" t="s">
        <v>383</v>
      </c>
      <c r="D57" s="53">
        <v>-74.205625999999995</v>
      </c>
      <c r="E57" s="53">
        <v>4.6886619999999999</v>
      </c>
      <c r="F57" s="48">
        <v>2543</v>
      </c>
      <c r="G57" s="46">
        <v>25</v>
      </c>
      <c r="H57" s="46">
        <v>25473</v>
      </c>
      <c r="I57" s="55" t="s">
        <v>74</v>
      </c>
      <c r="J57" s="55" t="s">
        <v>388</v>
      </c>
      <c r="K57" s="51">
        <v>10</v>
      </c>
      <c r="L57" s="51">
        <v>6</v>
      </c>
      <c r="M57" s="51">
        <v>6</v>
      </c>
      <c r="N57" s="51">
        <v>7</v>
      </c>
      <c r="O57" s="51">
        <v>8</v>
      </c>
      <c r="P57" s="51">
        <v>9.1999999999999993</v>
      </c>
      <c r="Q57" s="51">
        <v>8.6</v>
      </c>
      <c r="R57" s="51">
        <v>9.8000000000000007</v>
      </c>
      <c r="S57" s="51">
        <v>8</v>
      </c>
      <c r="T57" s="51">
        <v>10.6</v>
      </c>
      <c r="U57" s="51">
        <v>4</v>
      </c>
      <c r="V57" s="51">
        <v>8.8000000000000007</v>
      </c>
      <c r="W57" s="51">
        <v>8</v>
      </c>
      <c r="X57" s="51">
        <v>4</v>
      </c>
      <c r="Y57" s="51">
        <v>8.8000000000000007</v>
      </c>
      <c r="Z57" s="111">
        <v>9</v>
      </c>
      <c r="AA57" s="51">
        <v>8</v>
      </c>
      <c r="AB57" s="51">
        <v>9</v>
      </c>
      <c r="AC57" s="51">
        <v>11.6</v>
      </c>
      <c r="AD57" s="51">
        <v>10.4</v>
      </c>
      <c r="AE57" s="51">
        <v>6.8</v>
      </c>
      <c r="AF57" s="51">
        <v>8</v>
      </c>
      <c r="AG57" s="51">
        <v>10.6</v>
      </c>
      <c r="AH57" s="51">
        <v>9</v>
      </c>
      <c r="AI57" s="51">
        <v>4</v>
      </c>
      <c r="AJ57" s="51">
        <v>9.1999999999999993</v>
      </c>
      <c r="AK57" s="51">
        <v>8</v>
      </c>
      <c r="AL57" s="51"/>
      <c r="AM57" s="51"/>
      <c r="AN57" s="51"/>
      <c r="AO57" s="51"/>
      <c r="AP57" s="88">
        <f t="shared" si="1"/>
        <v>27</v>
      </c>
      <c r="AQ57" s="89">
        <f t="shared" si="2"/>
        <v>8.162962962962963</v>
      </c>
      <c r="AR57" s="89">
        <f>IFERROR(VLOOKUP(A57,Climatologia!A:U,9+$E$2,FALSE),"")</f>
        <v>7.3708373411860384</v>
      </c>
      <c r="AS57" s="89">
        <f t="shared" si="3"/>
        <v>0.79212562177692458</v>
      </c>
      <c r="AT57" s="90">
        <f t="shared" si="4"/>
        <v>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-1.8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57" s="122">
        <f t="shared" si="5"/>
        <v>5.8</v>
      </c>
    </row>
    <row r="58" spans="1:49" ht="14.25" customHeight="1" x14ac:dyDescent="0.2">
      <c r="A58" s="119">
        <v>37055010</v>
      </c>
      <c r="B58" s="55" t="s">
        <v>90</v>
      </c>
      <c r="C58" s="52" t="s">
        <v>1295</v>
      </c>
      <c r="D58" s="53">
        <v>-70.738</v>
      </c>
      <c r="E58" s="53">
        <v>7.069</v>
      </c>
      <c r="F58" s="54">
        <v>128</v>
      </c>
      <c r="G58" s="46">
        <v>81</v>
      </c>
      <c r="H58" s="46">
        <v>81001</v>
      </c>
      <c r="I58" s="55" t="s">
        <v>91</v>
      </c>
      <c r="J58" s="55" t="s">
        <v>91</v>
      </c>
      <c r="K58" s="51">
        <v>21.9</v>
      </c>
      <c r="L58" s="51">
        <v>23.4</v>
      </c>
      <c r="M58" s="51">
        <v>23.7</v>
      </c>
      <c r="N58" s="51">
        <v>23.4</v>
      </c>
      <c r="O58" s="51">
        <v>23.7</v>
      </c>
      <c r="P58" s="51">
        <v>23.3</v>
      </c>
      <c r="Q58" s="51">
        <v>24.3</v>
      </c>
      <c r="R58" s="51">
        <v>24.2</v>
      </c>
      <c r="S58" s="51">
        <v>23.6</v>
      </c>
      <c r="T58" s="51">
        <v>22.6</v>
      </c>
      <c r="U58" s="51">
        <v>23.9</v>
      </c>
      <c r="V58" s="51">
        <v>24.1</v>
      </c>
      <c r="W58" s="51">
        <v>20.2</v>
      </c>
      <c r="X58" s="51">
        <v>23</v>
      </c>
      <c r="Y58" s="51">
        <v>22.9</v>
      </c>
      <c r="Z58" s="111">
        <v>24</v>
      </c>
      <c r="AA58" s="51">
        <v>24.9</v>
      </c>
      <c r="AB58" s="51">
        <v>25.3</v>
      </c>
      <c r="AC58" s="51">
        <v>23.9</v>
      </c>
      <c r="AD58" s="51">
        <v>23.1</v>
      </c>
      <c r="AE58" s="51">
        <v>22.6</v>
      </c>
      <c r="AF58" s="51">
        <v>24.3</v>
      </c>
      <c r="AG58" s="51">
        <v>23.2</v>
      </c>
      <c r="AH58" s="51">
        <v>23.3</v>
      </c>
      <c r="AI58" s="51">
        <v>24.5</v>
      </c>
      <c r="AJ58" s="51">
        <v>22.5</v>
      </c>
      <c r="AK58" s="51">
        <v>23</v>
      </c>
      <c r="AL58" s="51"/>
      <c r="AM58" s="51"/>
      <c r="AN58" s="51"/>
      <c r="AO58" s="51"/>
      <c r="AP58" s="88">
        <f t="shared" si="1"/>
        <v>27</v>
      </c>
      <c r="AQ58" s="89">
        <f t="shared" si="2"/>
        <v>23.437037037037037</v>
      </c>
      <c r="AR58" s="89">
        <f>IFERROR(VLOOKUP(A58,Climatologia!A:U,9+$E$2,FALSE),"")</f>
        <v>22.637933865990991</v>
      </c>
      <c r="AS58" s="89">
        <f t="shared" si="3"/>
        <v>0.79910317104604545</v>
      </c>
      <c r="AT58" s="90">
        <f t="shared" si="4"/>
        <v>20.2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18.8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58" s="122">
        <f t="shared" si="5"/>
        <v>1.3999999999999986</v>
      </c>
    </row>
    <row r="59" spans="1:49" ht="14.25" customHeight="1" x14ac:dyDescent="0.2">
      <c r="A59" s="119">
        <v>26125061</v>
      </c>
      <c r="B59" s="47" t="s">
        <v>67</v>
      </c>
      <c r="C59" s="52" t="s">
        <v>1295</v>
      </c>
      <c r="D59" s="49">
        <v>-75.766000000000005</v>
      </c>
      <c r="E59" s="49">
        <v>4.4550000000000001</v>
      </c>
      <c r="F59" s="50">
        <v>1229</v>
      </c>
      <c r="G59" s="50">
        <v>63</v>
      </c>
      <c r="H59" s="50">
        <v>63001</v>
      </c>
      <c r="I59" s="47" t="s">
        <v>68</v>
      </c>
      <c r="J59" s="63" t="s">
        <v>69</v>
      </c>
      <c r="K59" s="51">
        <v>19.3</v>
      </c>
      <c r="L59" s="51">
        <v>18.2</v>
      </c>
      <c r="M59" s="51">
        <v>18.3</v>
      </c>
      <c r="N59" s="51">
        <v>18.2</v>
      </c>
      <c r="O59" s="51">
        <v>18.7</v>
      </c>
      <c r="P59" s="51">
        <v>18</v>
      </c>
      <c r="Q59" s="51">
        <v>17.3</v>
      </c>
      <c r="R59" s="51">
        <v>17.600000000000001</v>
      </c>
      <c r="S59" s="51">
        <v>19.399999999999999</v>
      </c>
      <c r="T59" s="51">
        <v>20.100000000000001</v>
      </c>
      <c r="U59" s="51">
        <v>16.7</v>
      </c>
      <c r="V59" s="51">
        <v>16.8</v>
      </c>
      <c r="W59" s="51">
        <v>19</v>
      </c>
      <c r="X59" s="51">
        <v>14.7</v>
      </c>
      <c r="Y59" s="51">
        <v>16.3</v>
      </c>
      <c r="Z59" s="111">
        <v>18.100000000000001</v>
      </c>
      <c r="AA59" s="51">
        <v>16.8</v>
      </c>
      <c r="AB59" s="51">
        <v>17.8</v>
      </c>
      <c r="AC59" s="51">
        <v>18.600000000000001</v>
      </c>
      <c r="AD59" s="51">
        <v>17.100000000000001</v>
      </c>
      <c r="AE59" s="51">
        <v>17.7</v>
      </c>
      <c r="AF59" s="51">
        <v>17.2</v>
      </c>
      <c r="AG59" s="51">
        <v>17.8</v>
      </c>
      <c r="AH59" s="51">
        <v>19.7</v>
      </c>
      <c r="AI59" s="51">
        <v>16.3</v>
      </c>
      <c r="AJ59" s="51">
        <v>17.2</v>
      </c>
      <c r="AK59" s="51">
        <v>17.100000000000001</v>
      </c>
      <c r="AL59" s="51"/>
      <c r="AM59" s="51"/>
      <c r="AN59" s="51"/>
      <c r="AO59" s="51"/>
      <c r="AP59" s="88">
        <f t="shared" si="1"/>
        <v>27</v>
      </c>
      <c r="AQ59" s="89">
        <f t="shared" si="2"/>
        <v>17.777777777777779</v>
      </c>
      <c r="AR59" s="89">
        <f>IFERROR(VLOOKUP(A59,Climatologia!A:U,9+$E$2,FALSE),"")</f>
        <v>16.97514080901178</v>
      </c>
      <c r="AS59" s="89">
        <f t="shared" si="3"/>
        <v>0.80263696876599866</v>
      </c>
      <c r="AT59" s="90">
        <f t="shared" si="4"/>
        <v>14.7</v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12.4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59" s="122">
        <f t="shared" si="5"/>
        <v>2.2999999999999989</v>
      </c>
    </row>
    <row r="60" spans="1:49" ht="14.25" customHeight="1" x14ac:dyDescent="0.2">
      <c r="A60" s="120">
        <v>47015040</v>
      </c>
      <c r="B60" s="52" t="s">
        <v>267</v>
      </c>
      <c r="C60" s="52" t="s">
        <v>262</v>
      </c>
      <c r="D60" s="53">
        <v>-76.960972220000002</v>
      </c>
      <c r="E60" s="53">
        <v>1.198277778</v>
      </c>
      <c r="F60" s="48">
        <v>2100</v>
      </c>
      <c r="G60" s="46">
        <v>86</v>
      </c>
      <c r="H60" s="46">
        <v>86219</v>
      </c>
      <c r="I60" s="55" t="s">
        <v>265</v>
      </c>
      <c r="J60" s="55" t="s">
        <v>268</v>
      </c>
      <c r="K60" s="51">
        <v>13.3</v>
      </c>
      <c r="L60" s="51">
        <v>12.7</v>
      </c>
      <c r="M60" s="51">
        <v>11.5</v>
      </c>
      <c r="N60" s="51">
        <v>12.1</v>
      </c>
      <c r="O60" s="51">
        <v>11.7</v>
      </c>
      <c r="P60" s="51">
        <v>12.8</v>
      </c>
      <c r="Q60" s="51">
        <v>13.5</v>
      </c>
      <c r="R60" s="51">
        <v>12.9</v>
      </c>
      <c r="S60" s="51">
        <v>13.2</v>
      </c>
      <c r="T60" s="51">
        <v>11.5</v>
      </c>
      <c r="U60" s="51">
        <v>12.3</v>
      </c>
      <c r="V60" s="51"/>
      <c r="W60" s="51">
        <v>11.7</v>
      </c>
      <c r="X60" s="51">
        <v>12.3</v>
      </c>
      <c r="Y60" s="51">
        <v>11.5</v>
      </c>
      <c r="Z60" s="111">
        <v>12.7</v>
      </c>
      <c r="AA60" s="51">
        <v>13.7</v>
      </c>
      <c r="AB60" s="51">
        <v>13</v>
      </c>
      <c r="AC60" s="51">
        <v>11.7</v>
      </c>
      <c r="AD60" s="51">
        <v>12.4</v>
      </c>
      <c r="AE60" s="51">
        <v>13</v>
      </c>
      <c r="AF60" s="51">
        <v>10.3</v>
      </c>
      <c r="AG60" s="51">
        <v>10.9</v>
      </c>
      <c r="AH60" s="51">
        <v>11.7</v>
      </c>
      <c r="AI60" s="51">
        <v>10.4</v>
      </c>
      <c r="AJ60" s="51">
        <v>11</v>
      </c>
      <c r="AK60" s="51">
        <v>10.5</v>
      </c>
      <c r="AL60" s="51"/>
      <c r="AM60" s="51"/>
      <c r="AN60" s="51"/>
      <c r="AO60" s="51"/>
      <c r="AP60" s="88">
        <f t="shared" si="1"/>
        <v>26</v>
      </c>
      <c r="AQ60" s="89">
        <f t="shared" si="2"/>
        <v>12.088461538461534</v>
      </c>
      <c r="AR60" s="89">
        <f>IFERROR(VLOOKUP(A60,Climatologia!A:U,9+$E$2,FALSE),"")</f>
        <v>11.282109879431809</v>
      </c>
      <c r="AS60" s="89">
        <f t="shared" si="3"/>
        <v>0.80635165902972439</v>
      </c>
      <c r="AT60" s="90">
        <f t="shared" si="4"/>
        <v>10.3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2.5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60" s="122">
        <f t="shared" si="5"/>
        <v>7.8000000000000007</v>
      </c>
    </row>
    <row r="61" spans="1:49" ht="14.25" customHeight="1" x14ac:dyDescent="0.2">
      <c r="A61" s="120">
        <v>24035250</v>
      </c>
      <c r="B61" s="52" t="s">
        <v>232</v>
      </c>
      <c r="C61" s="52" t="s">
        <v>212</v>
      </c>
      <c r="D61" s="53">
        <v>-72.465559999999996</v>
      </c>
      <c r="E61" s="53">
        <v>6.1877800000000001</v>
      </c>
      <c r="F61" s="48">
        <v>2961</v>
      </c>
      <c r="G61" s="46">
        <v>15</v>
      </c>
      <c r="H61" s="46">
        <v>15183</v>
      </c>
      <c r="I61" s="55" t="s">
        <v>213</v>
      </c>
      <c r="J61" s="55" t="s">
        <v>233</v>
      </c>
      <c r="K61" s="51">
        <v>9.6</v>
      </c>
      <c r="L61" s="51">
        <v>7.8</v>
      </c>
      <c r="M61" s="51">
        <v>9</v>
      </c>
      <c r="N61" s="51">
        <v>8</v>
      </c>
      <c r="O61" s="51">
        <v>8.1999999999999993</v>
      </c>
      <c r="P61" s="51"/>
      <c r="Q61" s="51">
        <v>9</v>
      </c>
      <c r="R61" s="51">
        <v>9.1999999999999993</v>
      </c>
      <c r="S61" s="51">
        <v>8.8000000000000007</v>
      </c>
      <c r="T61" s="51">
        <v>9.4</v>
      </c>
      <c r="U61" s="51">
        <v>8</v>
      </c>
      <c r="V61" s="51">
        <v>8.8000000000000007</v>
      </c>
      <c r="W61" s="51">
        <v>5.2</v>
      </c>
      <c r="X61" s="51">
        <v>5.2</v>
      </c>
      <c r="Y61" s="51">
        <v>10.199999999999999</v>
      </c>
      <c r="Z61" s="111">
        <v>7.2</v>
      </c>
      <c r="AA61" s="51">
        <v>8.1999999999999993</v>
      </c>
      <c r="AB61" s="51">
        <v>8.1999999999999993</v>
      </c>
      <c r="AC61" s="51">
        <v>8</v>
      </c>
      <c r="AD61" s="51">
        <v>7.8</v>
      </c>
      <c r="AE61" s="51">
        <v>7.6</v>
      </c>
      <c r="AF61" s="51">
        <v>6.6</v>
      </c>
      <c r="AG61" s="51">
        <v>7</v>
      </c>
      <c r="AH61" s="51">
        <v>9.1999999999999993</v>
      </c>
      <c r="AI61" s="51">
        <v>5.6</v>
      </c>
      <c r="AJ61" s="51">
        <v>8.4</v>
      </c>
      <c r="AK61" s="51">
        <v>6.6</v>
      </c>
      <c r="AL61" s="51"/>
      <c r="AM61" s="51"/>
      <c r="AN61" s="51"/>
      <c r="AO61" s="51"/>
      <c r="AP61" s="88">
        <f t="shared" si="1"/>
        <v>26</v>
      </c>
      <c r="AQ61" s="89">
        <f t="shared" si="2"/>
        <v>7.9538461538461531</v>
      </c>
      <c r="AR61" s="89">
        <f>IFERROR(VLOOKUP(A61,Climatologia!A:U,9+$E$2,FALSE),"")</f>
        <v>7.1380787981158749</v>
      </c>
      <c r="AS61" s="89">
        <f t="shared" si="3"/>
        <v>0.81576735573027825</v>
      </c>
      <c r="AT61" s="90">
        <f t="shared" si="4"/>
        <v>5.2</v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122" t="str">
        <f t="shared" si="5"/>
        <v>NA</v>
      </c>
    </row>
    <row r="62" spans="1:49" ht="14.25" customHeight="1" x14ac:dyDescent="0.2">
      <c r="A62" s="120">
        <v>26025090</v>
      </c>
      <c r="B62" s="52" t="s">
        <v>336</v>
      </c>
      <c r="C62" s="52" t="s">
        <v>337</v>
      </c>
      <c r="D62" s="53">
        <v>-76.561833332999996</v>
      </c>
      <c r="E62" s="53">
        <v>2.5847500000000001</v>
      </c>
      <c r="F62" s="48">
        <v>1850</v>
      </c>
      <c r="G62" s="46">
        <v>19</v>
      </c>
      <c r="H62" s="46">
        <v>19130</v>
      </c>
      <c r="I62" s="55" t="s">
        <v>182</v>
      </c>
      <c r="J62" s="55" t="s">
        <v>338</v>
      </c>
      <c r="K62" s="51">
        <v>14.8</v>
      </c>
      <c r="L62" s="51">
        <v>15</v>
      </c>
      <c r="M62" s="51">
        <v>15.8</v>
      </c>
      <c r="N62" s="51">
        <v>14.6</v>
      </c>
      <c r="O62" s="51">
        <v>14.8</v>
      </c>
      <c r="P62" s="51">
        <v>14.6</v>
      </c>
      <c r="Q62" s="51">
        <v>14.8</v>
      </c>
      <c r="R62" s="51">
        <v>14.8</v>
      </c>
      <c r="S62" s="51">
        <v>15</v>
      </c>
      <c r="T62" s="51">
        <v>15</v>
      </c>
      <c r="U62" s="51">
        <v>15</v>
      </c>
      <c r="V62" s="51">
        <v>16</v>
      </c>
      <c r="W62" s="51">
        <v>15</v>
      </c>
      <c r="X62" s="51">
        <v>14.8</v>
      </c>
      <c r="Y62" s="51">
        <v>15</v>
      </c>
      <c r="Z62" s="111">
        <v>15</v>
      </c>
      <c r="AA62" s="51">
        <v>14.2</v>
      </c>
      <c r="AB62" s="51">
        <v>14.8</v>
      </c>
      <c r="AC62" s="51">
        <v>14.4</v>
      </c>
      <c r="AD62" s="51">
        <v>14.2</v>
      </c>
      <c r="AE62" s="51">
        <v>14.4</v>
      </c>
      <c r="AF62" s="51">
        <v>14.2</v>
      </c>
      <c r="AG62" s="51">
        <v>14.4</v>
      </c>
      <c r="AH62" s="51">
        <v>14</v>
      </c>
      <c r="AI62" s="51">
        <v>12.8</v>
      </c>
      <c r="AJ62" s="51">
        <v>12.8</v>
      </c>
      <c r="AK62" s="51">
        <v>15</v>
      </c>
      <c r="AL62" s="51"/>
      <c r="AM62" s="51"/>
      <c r="AN62" s="51"/>
      <c r="AO62" s="51"/>
      <c r="AP62" s="88">
        <f t="shared" si="1"/>
        <v>27</v>
      </c>
      <c r="AQ62" s="89">
        <f t="shared" si="2"/>
        <v>14.637037037037034</v>
      </c>
      <c r="AR62" s="89">
        <f>IFERROR(VLOOKUP(A62,Climatologia!A:U,9+$E$2,FALSE),"")</f>
        <v>13.818785782119109</v>
      </c>
      <c r="AS62" s="89">
        <f t="shared" si="3"/>
        <v>0.81825125491792505</v>
      </c>
      <c r="AT62" s="90">
        <f t="shared" si="4"/>
        <v>12.8</v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10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62" s="122">
        <f t="shared" si="5"/>
        <v>2.8000000000000007</v>
      </c>
    </row>
    <row r="63" spans="1:49" ht="14.25" customHeight="1" x14ac:dyDescent="0.2">
      <c r="A63" s="120">
        <v>35075010</v>
      </c>
      <c r="B63" s="52" t="s">
        <v>240</v>
      </c>
      <c r="C63" s="52" t="s">
        <v>212</v>
      </c>
      <c r="D63" s="53">
        <v>-73.453777779999996</v>
      </c>
      <c r="E63" s="53">
        <v>5.3526944439999999</v>
      </c>
      <c r="F63" s="48">
        <v>2438</v>
      </c>
      <c r="G63" s="46">
        <v>15</v>
      </c>
      <c r="H63" s="46">
        <v>15494</v>
      </c>
      <c r="I63" s="55" t="s">
        <v>213</v>
      </c>
      <c r="J63" s="55" t="s">
        <v>241</v>
      </c>
      <c r="K63" s="51">
        <v>11.2</v>
      </c>
      <c r="L63" s="51">
        <v>11.4</v>
      </c>
      <c r="M63" s="51">
        <v>11.2</v>
      </c>
      <c r="N63" s="51">
        <v>11</v>
      </c>
      <c r="O63" s="51">
        <v>11.2</v>
      </c>
      <c r="P63" s="51">
        <v>11.2</v>
      </c>
      <c r="Q63" s="51">
        <v>11</v>
      </c>
      <c r="R63" s="51">
        <v>11.8</v>
      </c>
      <c r="S63" s="51">
        <v>12.6</v>
      </c>
      <c r="T63" s="51">
        <v>11.2</v>
      </c>
      <c r="U63" s="51">
        <v>10.4</v>
      </c>
      <c r="V63" s="51">
        <v>11.4</v>
      </c>
      <c r="W63" s="51">
        <v>9.8000000000000007</v>
      </c>
      <c r="X63" s="51">
        <v>11.4</v>
      </c>
      <c r="Y63" s="51">
        <v>11.4</v>
      </c>
      <c r="Z63" s="111">
        <v>10.6</v>
      </c>
      <c r="AA63" s="51">
        <v>10.6</v>
      </c>
      <c r="AB63" s="51">
        <v>10.4</v>
      </c>
      <c r="AC63" s="51">
        <v>10.6</v>
      </c>
      <c r="AD63" s="51">
        <v>10.4</v>
      </c>
      <c r="AE63" s="51">
        <v>11</v>
      </c>
      <c r="AF63" s="51">
        <v>11</v>
      </c>
      <c r="AG63" s="51">
        <v>11.2</v>
      </c>
      <c r="AH63" s="51">
        <v>10.199999999999999</v>
      </c>
      <c r="AI63" s="51">
        <v>9</v>
      </c>
      <c r="AJ63" s="51">
        <v>11.4</v>
      </c>
      <c r="AK63" s="51">
        <v>10.8</v>
      </c>
      <c r="AL63" s="51"/>
      <c r="AM63" s="51"/>
      <c r="AN63" s="51"/>
      <c r="AO63" s="51"/>
      <c r="AP63" s="88">
        <f t="shared" si="1"/>
        <v>27</v>
      </c>
      <c r="AQ63" s="89">
        <f t="shared" si="2"/>
        <v>10.94074074074074</v>
      </c>
      <c r="AR63" s="89">
        <f>IFERROR(VLOOKUP(A63,Climatologia!A:U,9+$E$2,FALSE),"")</f>
        <v>10.11868743047831</v>
      </c>
      <c r="AS63" s="89">
        <f t="shared" si="3"/>
        <v>0.82205331026242945</v>
      </c>
      <c r="AT63" s="90">
        <f t="shared" si="4"/>
        <v>9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4.2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63" s="122">
        <f t="shared" si="5"/>
        <v>4.8</v>
      </c>
    </row>
    <row r="64" spans="1:49" ht="14.25" customHeight="1" x14ac:dyDescent="0.2">
      <c r="A64" s="120">
        <v>24015260</v>
      </c>
      <c r="B64" s="52" t="s">
        <v>124</v>
      </c>
      <c r="C64" s="52" t="s">
        <v>300</v>
      </c>
      <c r="D64" s="53">
        <v>-73.368333329999999</v>
      </c>
      <c r="E64" s="53">
        <v>6.3550000000000004</v>
      </c>
      <c r="F64" s="48">
        <v>190</v>
      </c>
      <c r="G64" s="46">
        <v>68</v>
      </c>
      <c r="H64" s="46">
        <v>68176</v>
      </c>
      <c r="I64" s="55" t="s">
        <v>50</v>
      </c>
      <c r="J64" s="55" t="s">
        <v>124</v>
      </c>
      <c r="K64" s="51">
        <v>18.399999999999999</v>
      </c>
      <c r="L64" s="51">
        <v>19</v>
      </c>
      <c r="M64" s="51">
        <v>18.8</v>
      </c>
      <c r="N64" s="51">
        <v>18.600000000000001</v>
      </c>
      <c r="O64" s="51">
        <v>18.2</v>
      </c>
      <c r="P64" s="51">
        <v>18.2</v>
      </c>
      <c r="Q64" s="51">
        <v>19</v>
      </c>
      <c r="R64" s="51">
        <v>19.399999999999999</v>
      </c>
      <c r="S64" s="51">
        <v>18.8</v>
      </c>
      <c r="T64" s="51">
        <v>18</v>
      </c>
      <c r="U64" s="51">
        <v>19</v>
      </c>
      <c r="V64" s="51">
        <v>18.600000000000001</v>
      </c>
      <c r="W64" s="51">
        <v>18.2</v>
      </c>
      <c r="X64" s="51">
        <v>19</v>
      </c>
      <c r="Y64" s="51">
        <v>18.399999999999999</v>
      </c>
      <c r="Z64" s="111">
        <v>18.8</v>
      </c>
      <c r="AA64" s="51">
        <v>18.600000000000001</v>
      </c>
      <c r="AB64" s="51">
        <v>19</v>
      </c>
      <c r="AC64" s="51">
        <v>19.2</v>
      </c>
      <c r="AD64" s="51">
        <v>18.8</v>
      </c>
      <c r="AE64" s="51">
        <v>18.2</v>
      </c>
      <c r="AF64" s="51">
        <v>19</v>
      </c>
      <c r="AG64" s="51">
        <v>19.2</v>
      </c>
      <c r="AH64" s="51">
        <v>18.8</v>
      </c>
      <c r="AI64" s="51">
        <v>18.600000000000001</v>
      </c>
      <c r="AJ64" s="51">
        <v>19</v>
      </c>
      <c r="AK64" s="51">
        <v>18.8</v>
      </c>
      <c r="AL64" s="51"/>
      <c r="AM64" s="51"/>
      <c r="AN64" s="51"/>
      <c r="AO64" s="51"/>
      <c r="AP64" s="88">
        <f t="shared" si="1"/>
        <v>27</v>
      </c>
      <c r="AQ64" s="89">
        <f t="shared" si="2"/>
        <v>18.725925925925928</v>
      </c>
      <c r="AR64" s="89">
        <f>IFERROR(VLOOKUP(A64,Climatologia!A:U,9+$E$2,FALSE),"")</f>
        <v>17.87864592645921</v>
      </c>
      <c r="AS64" s="89">
        <f t="shared" si="3"/>
        <v>0.84727999946671773</v>
      </c>
      <c r="AT64" s="90">
        <f t="shared" si="4"/>
        <v>18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12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64" s="122">
        <f t="shared" si="5"/>
        <v>6</v>
      </c>
    </row>
    <row r="65" spans="1:49" ht="14.25" customHeight="1" x14ac:dyDescent="0.2">
      <c r="A65" s="120">
        <v>37015020</v>
      </c>
      <c r="B65" s="52" t="s">
        <v>332</v>
      </c>
      <c r="C65" s="52" t="s">
        <v>300</v>
      </c>
      <c r="D65" s="53">
        <v>-72.868611110000003</v>
      </c>
      <c r="E65" s="53">
        <v>7.1869444439999999</v>
      </c>
      <c r="F65" s="48">
        <v>3214</v>
      </c>
      <c r="G65" s="46">
        <v>68</v>
      </c>
      <c r="H65" s="46">
        <v>68820</v>
      </c>
      <c r="I65" s="55" t="s">
        <v>50</v>
      </c>
      <c r="J65" s="55" t="s">
        <v>333</v>
      </c>
      <c r="K65" s="51">
        <v>6.8</v>
      </c>
      <c r="L65" s="51">
        <v>6.8</v>
      </c>
      <c r="M65" s="51">
        <v>7.8</v>
      </c>
      <c r="N65" s="51">
        <v>7</v>
      </c>
      <c r="O65" s="51">
        <v>6.8</v>
      </c>
      <c r="P65" s="51">
        <v>3.8</v>
      </c>
      <c r="Q65" s="51">
        <v>7.8</v>
      </c>
      <c r="R65" s="51">
        <v>7.4</v>
      </c>
      <c r="S65" s="51">
        <v>8.1999999999999993</v>
      </c>
      <c r="T65" s="51">
        <v>6</v>
      </c>
      <c r="U65" s="51">
        <v>6.4</v>
      </c>
      <c r="V65" s="51">
        <v>6.4</v>
      </c>
      <c r="W65" s="51">
        <v>5.4</v>
      </c>
      <c r="X65" s="51">
        <v>6.6</v>
      </c>
      <c r="Y65" s="51">
        <v>6.2</v>
      </c>
      <c r="Z65" s="111">
        <v>6.6</v>
      </c>
      <c r="AA65" s="51">
        <v>6.2</v>
      </c>
      <c r="AB65" s="51">
        <v>6.4</v>
      </c>
      <c r="AC65" s="51">
        <v>7.4</v>
      </c>
      <c r="AD65" s="51">
        <v>5.6</v>
      </c>
      <c r="AE65" s="51">
        <v>6.4</v>
      </c>
      <c r="AF65" s="51">
        <v>6.2</v>
      </c>
      <c r="AG65" s="51">
        <v>7.6</v>
      </c>
      <c r="AH65" s="51">
        <v>6</v>
      </c>
      <c r="AI65" s="51">
        <v>4.5999999999999996</v>
      </c>
      <c r="AJ65" s="51">
        <v>5.8</v>
      </c>
      <c r="AK65" s="51">
        <v>6.2</v>
      </c>
      <c r="AL65" s="51"/>
      <c r="AM65" s="51"/>
      <c r="AN65" s="51"/>
      <c r="AO65" s="51"/>
      <c r="AP65" s="88">
        <f t="shared" si="1"/>
        <v>27</v>
      </c>
      <c r="AQ65" s="89">
        <f t="shared" si="2"/>
        <v>6.4592592592592597</v>
      </c>
      <c r="AR65" s="89">
        <f>IFERROR(VLOOKUP(A65,Climatologia!A:U,9+$E$2,FALSE),"")</f>
        <v>5.6003137960461657</v>
      </c>
      <c r="AS65" s="89">
        <f t="shared" si="3"/>
        <v>0.85894546321309395</v>
      </c>
      <c r="AT65" s="90">
        <f t="shared" si="4"/>
        <v>3.8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-3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65" s="122">
        <f t="shared" si="5"/>
        <v>6.8</v>
      </c>
    </row>
    <row r="66" spans="1:49" ht="14.25" customHeight="1" x14ac:dyDescent="0.2">
      <c r="A66" s="120">
        <v>11075020</v>
      </c>
      <c r="B66" s="52" t="s">
        <v>101</v>
      </c>
      <c r="C66" s="52" t="s">
        <v>102</v>
      </c>
      <c r="D66" s="53">
        <v>-76.143305556000001</v>
      </c>
      <c r="E66" s="53">
        <v>6.2983055559999999</v>
      </c>
      <c r="F66" s="48">
        <v>1833</v>
      </c>
      <c r="G66" s="46">
        <v>5</v>
      </c>
      <c r="H66" s="46">
        <v>5847</v>
      </c>
      <c r="I66" s="55" t="s">
        <v>58</v>
      </c>
      <c r="J66" s="55" t="s">
        <v>101</v>
      </c>
      <c r="K66" s="51">
        <v>14.6</v>
      </c>
      <c r="L66" s="51">
        <v>15.2</v>
      </c>
      <c r="M66" s="51">
        <v>15</v>
      </c>
      <c r="N66" s="51">
        <v>12</v>
      </c>
      <c r="O66" s="51">
        <v>14</v>
      </c>
      <c r="P66" s="51">
        <v>14.6</v>
      </c>
      <c r="Q66" s="51">
        <v>15</v>
      </c>
      <c r="R66" s="51">
        <v>14.6</v>
      </c>
      <c r="S66" s="51">
        <v>15.6</v>
      </c>
      <c r="T66" s="51">
        <v>14.2</v>
      </c>
      <c r="U66" s="51">
        <v>13.6</v>
      </c>
      <c r="V66" s="51">
        <v>13.8</v>
      </c>
      <c r="W66" s="51">
        <v>15.6</v>
      </c>
      <c r="X66" s="51">
        <v>12</v>
      </c>
      <c r="Y66" s="51">
        <v>13.6</v>
      </c>
      <c r="Z66" s="111">
        <v>12</v>
      </c>
      <c r="AA66" s="51">
        <v>13</v>
      </c>
      <c r="AB66" s="51">
        <v>14.6</v>
      </c>
      <c r="AC66" s="51">
        <v>15</v>
      </c>
      <c r="AD66" s="51">
        <v>15.4</v>
      </c>
      <c r="AE66" s="51">
        <v>15.4</v>
      </c>
      <c r="AF66" s="51">
        <v>15</v>
      </c>
      <c r="AG66" s="51">
        <v>15</v>
      </c>
      <c r="AH66" s="51">
        <v>14.6</v>
      </c>
      <c r="AI66" s="51">
        <v>15</v>
      </c>
      <c r="AJ66" s="51">
        <v>14</v>
      </c>
      <c r="AK66" s="51">
        <v>14</v>
      </c>
      <c r="AL66" s="51"/>
      <c r="AM66" s="51"/>
      <c r="AN66" s="51"/>
      <c r="AO66" s="51"/>
      <c r="AP66" s="88">
        <f t="shared" si="1"/>
        <v>27</v>
      </c>
      <c r="AQ66" s="89">
        <f t="shared" si="2"/>
        <v>14.31111111111111</v>
      </c>
      <c r="AR66" s="89">
        <f>IFERROR(VLOOKUP(A66,Climatologia!A:U,9+$E$2,FALSE),"")</f>
        <v>13.441294802867381</v>
      </c>
      <c r="AS66" s="89">
        <f t="shared" si="3"/>
        <v>0.86981630824372935</v>
      </c>
      <c r="AT66" s="90">
        <f t="shared" si="4"/>
        <v>12</v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8.8000000000000007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66" s="122">
        <f t="shared" si="5"/>
        <v>3.1999999999999993</v>
      </c>
    </row>
    <row r="67" spans="1:49" ht="14.25" customHeight="1" x14ac:dyDescent="0.2">
      <c r="A67" s="120">
        <v>16025030</v>
      </c>
      <c r="B67" s="52" t="s">
        <v>306</v>
      </c>
      <c r="C67" s="52" t="s">
        <v>300</v>
      </c>
      <c r="D67" s="53">
        <v>-72.830555559999993</v>
      </c>
      <c r="E67" s="53">
        <v>7.7745833329999998</v>
      </c>
      <c r="F67" s="48">
        <v>860</v>
      </c>
      <c r="G67" s="46">
        <v>54</v>
      </c>
      <c r="H67" s="46">
        <v>54660</v>
      </c>
      <c r="I67" s="55" t="s">
        <v>301</v>
      </c>
      <c r="J67" s="55" t="s">
        <v>306</v>
      </c>
      <c r="K67" s="51">
        <v>20.399999999999999</v>
      </c>
      <c r="L67" s="51">
        <v>19.8</v>
      </c>
      <c r="M67" s="51">
        <v>20</v>
      </c>
      <c r="N67" s="51">
        <v>19.600000000000001</v>
      </c>
      <c r="O67" s="51">
        <v>20</v>
      </c>
      <c r="P67" s="51">
        <v>19.8</v>
      </c>
      <c r="Q67" s="51">
        <v>19.2</v>
      </c>
      <c r="R67" s="51">
        <v>20.399999999999999</v>
      </c>
      <c r="S67" s="51">
        <v>20.6</v>
      </c>
      <c r="T67" s="51">
        <v>18.600000000000001</v>
      </c>
      <c r="U67" s="51">
        <v>19.8</v>
      </c>
      <c r="V67" s="51">
        <v>20.8</v>
      </c>
      <c r="W67" s="51">
        <v>19.2</v>
      </c>
      <c r="X67" s="51">
        <v>19.600000000000001</v>
      </c>
      <c r="Y67" s="51">
        <v>20.399999999999999</v>
      </c>
      <c r="Z67" s="111">
        <v>20</v>
      </c>
      <c r="AA67" s="51">
        <v>19.8</v>
      </c>
      <c r="AB67" s="51">
        <v>20.2</v>
      </c>
      <c r="AC67" s="51">
        <v>21.2</v>
      </c>
      <c r="AD67" s="51">
        <v>19</v>
      </c>
      <c r="AE67" s="51">
        <v>20.399999999999999</v>
      </c>
      <c r="AF67" s="51">
        <v>19.600000000000001</v>
      </c>
      <c r="AG67" s="51">
        <v>20.399999999999999</v>
      </c>
      <c r="AH67" s="51">
        <v>20</v>
      </c>
      <c r="AI67" s="51">
        <v>20</v>
      </c>
      <c r="AJ67" s="51">
        <v>19.8</v>
      </c>
      <c r="AK67" s="51">
        <v>19.2</v>
      </c>
      <c r="AL67" s="51"/>
      <c r="AM67" s="51"/>
      <c r="AN67" s="51"/>
      <c r="AO67" s="51"/>
      <c r="AP67" s="88">
        <f t="shared" si="1"/>
        <v>27</v>
      </c>
      <c r="AQ67" s="89">
        <f t="shared" si="2"/>
        <v>19.918518518518521</v>
      </c>
      <c r="AR67" s="89">
        <f>IFERROR(VLOOKUP(A67,Climatologia!A:U,9+$E$2,FALSE),"")</f>
        <v>19.025806451612901</v>
      </c>
      <c r="AS67" s="89">
        <f t="shared" si="3"/>
        <v>0.89271206690562011</v>
      </c>
      <c r="AT67" s="90">
        <f t="shared" si="4"/>
        <v>18.600000000000001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67" s="122">
        <f t="shared" si="5"/>
        <v>5.6000000000000014</v>
      </c>
    </row>
    <row r="68" spans="1:49" ht="14.25" customHeight="1" x14ac:dyDescent="0.2">
      <c r="A68" s="120">
        <v>25025190</v>
      </c>
      <c r="B68" s="52" t="s">
        <v>134</v>
      </c>
      <c r="C68" s="52" t="s">
        <v>119</v>
      </c>
      <c r="D68" s="53">
        <v>-75.583722219999999</v>
      </c>
      <c r="E68" s="53">
        <v>8.3993333329999995</v>
      </c>
      <c r="F68" s="48">
        <v>90</v>
      </c>
      <c r="G68" s="46">
        <v>23</v>
      </c>
      <c r="H68" s="46">
        <v>23555</v>
      </c>
      <c r="I68" s="55" t="s">
        <v>47</v>
      </c>
      <c r="J68" s="55" t="s">
        <v>135</v>
      </c>
      <c r="K68" s="51">
        <v>24.2</v>
      </c>
      <c r="L68" s="51">
        <v>25.4</v>
      </c>
      <c r="M68" s="51">
        <v>24.2</v>
      </c>
      <c r="N68" s="51">
        <v>24</v>
      </c>
      <c r="O68" s="51">
        <v>24.2</v>
      </c>
      <c r="P68" s="51">
        <v>24.8</v>
      </c>
      <c r="Q68" s="51">
        <v>25.4</v>
      </c>
      <c r="R68" s="51">
        <v>26.4</v>
      </c>
      <c r="S68" s="51">
        <v>22.2</v>
      </c>
      <c r="T68" s="51">
        <v>22.4</v>
      </c>
      <c r="U68" s="51">
        <v>25.6</v>
      </c>
      <c r="V68" s="51">
        <v>24.4</v>
      </c>
      <c r="W68" s="51">
        <v>22.4</v>
      </c>
      <c r="X68" s="51">
        <v>23.8</v>
      </c>
      <c r="Y68" s="51">
        <v>25.8</v>
      </c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15</v>
      </c>
      <c r="AQ68" s="89">
        <f t="shared" si="2"/>
        <v>24.346666666666668</v>
      </c>
      <c r="AR68" s="89">
        <f>IFERROR(VLOOKUP(A68,Climatologia!A:U,9+$E$2,FALSE),"")</f>
        <v>23.449985001525519</v>
      </c>
      <c r="AS68" s="89">
        <f t="shared" si="3"/>
        <v>0.89668166514114844</v>
      </c>
      <c r="AT68" s="90">
        <f t="shared" si="4"/>
        <v>22.2</v>
      </c>
      <c r="AU68" s="90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>19.2</v>
      </c>
      <c r="AV68" s="91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68" s="122">
        <f t="shared" si="5"/>
        <v>3</v>
      </c>
    </row>
    <row r="69" spans="1:49" ht="14.25" customHeight="1" x14ac:dyDescent="0.2">
      <c r="A69" s="119">
        <v>21115020</v>
      </c>
      <c r="B69" s="55" t="s">
        <v>79</v>
      </c>
      <c r="C69" s="52" t="s">
        <v>1295</v>
      </c>
      <c r="D69" s="53">
        <v>-75.293000000000006</v>
      </c>
      <c r="E69" s="53">
        <v>2.9489999999999998</v>
      </c>
      <c r="F69" s="54">
        <v>439</v>
      </c>
      <c r="G69" s="46">
        <v>41</v>
      </c>
      <c r="H69" s="46">
        <v>41001</v>
      </c>
      <c r="I69" s="55" t="s">
        <v>80</v>
      </c>
      <c r="J69" s="55" t="s">
        <v>81</v>
      </c>
      <c r="K69" s="51">
        <v>23.5</v>
      </c>
      <c r="L69" s="51">
        <v>23.6</v>
      </c>
      <c r="M69" s="51">
        <v>23.1</v>
      </c>
      <c r="N69" s="51">
        <v>23.1</v>
      </c>
      <c r="O69" s="51">
        <v>23.3</v>
      </c>
      <c r="P69" s="51">
        <v>24.3</v>
      </c>
      <c r="Q69" s="51">
        <v>25</v>
      </c>
      <c r="R69" s="51">
        <v>25.8</v>
      </c>
      <c r="S69" s="51">
        <v>25.2</v>
      </c>
      <c r="T69" s="51">
        <v>23.6</v>
      </c>
      <c r="U69" s="51">
        <v>24</v>
      </c>
      <c r="V69" s="51">
        <v>23.4</v>
      </c>
      <c r="W69" s="51">
        <v>23.2</v>
      </c>
      <c r="X69" s="51">
        <v>23.1</v>
      </c>
      <c r="Y69" s="51">
        <v>23.4</v>
      </c>
      <c r="Z69" s="111">
        <v>25.6</v>
      </c>
      <c r="AA69" s="51">
        <v>24.8</v>
      </c>
      <c r="AB69" s="51">
        <v>23</v>
      </c>
      <c r="AC69" s="51">
        <v>22.6</v>
      </c>
      <c r="AD69" s="51">
        <v>22.8</v>
      </c>
      <c r="AE69" s="51">
        <v>24.4</v>
      </c>
      <c r="AF69" s="51">
        <v>23.6</v>
      </c>
      <c r="AG69" s="51">
        <v>23.6</v>
      </c>
      <c r="AH69" s="51">
        <v>23.6</v>
      </c>
      <c r="AI69" s="51">
        <v>22</v>
      </c>
      <c r="AJ69" s="51">
        <v>22.7</v>
      </c>
      <c r="AK69" s="51">
        <v>22.7</v>
      </c>
      <c r="AL69" s="51"/>
      <c r="AM69" s="51"/>
      <c r="AN69" s="51"/>
      <c r="AO69" s="51"/>
      <c r="AP69" s="88">
        <f t="shared" ref="AP69:AP132" si="6">COUNTIF(K69:AO69,"&gt;0")</f>
        <v>27</v>
      </c>
      <c r="AQ69" s="89">
        <f t="shared" ref="AQ69:AQ132" si="7">IF(AP69&gt;14,AVERAGE(K69:AO69),"")</f>
        <v>23.666666666666671</v>
      </c>
      <c r="AR69" s="89">
        <f>IFERROR(VLOOKUP(A69,Climatologia!A:U,9+$E$2,FALSE),"")</f>
        <v>22.755698924731181</v>
      </c>
      <c r="AS69" s="89">
        <f t="shared" ref="AS69:AS132" si="8">IF(OR(AQ69="",AR69=""),"",IFERROR(AQ69-AR69,""))</f>
        <v>0.91096774193549024</v>
      </c>
      <c r="AT69" s="90">
        <f t="shared" ref="AT69:AT132" si="9">IF(COUNT(K69:AO69)=0,"",MIN(K69:AO69))</f>
        <v>22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18.399999999999999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69" s="122">
        <f t="shared" ref="AW69:AW132" si="10">IF(OR(AT69="",AU69=""),"NA",IFERROR(AT69-AU69,"NA"))</f>
        <v>3.6000000000000014</v>
      </c>
    </row>
    <row r="70" spans="1:49" ht="14.25" customHeight="1" x14ac:dyDescent="0.2">
      <c r="A70" s="120">
        <v>29035110</v>
      </c>
      <c r="B70" s="52" t="s">
        <v>149</v>
      </c>
      <c r="C70" s="52" t="s">
        <v>119</v>
      </c>
      <c r="D70" s="53">
        <v>-75.258611110000004</v>
      </c>
      <c r="E70" s="53">
        <v>10.04316667</v>
      </c>
      <c r="F70" s="48">
        <v>20</v>
      </c>
      <c r="G70" s="46">
        <v>13</v>
      </c>
      <c r="H70" s="46">
        <v>13442</v>
      </c>
      <c r="I70" s="55" t="s">
        <v>35</v>
      </c>
      <c r="J70" s="55" t="s">
        <v>146</v>
      </c>
      <c r="K70" s="51">
        <v>26</v>
      </c>
      <c r="L70" s="51">
        <v>24.8</v>
      </c>
      <c r="M70" s="51">
        <v>26.2</v>
      </c>
      <c r="N70" s="51">
        <v>24.8</v>
      </c>
      <c r="O70" s="51">
        <v>24.4</v>
      </c>
      <c r="P70" s="51">
        <v>24.8</v>
      </c>
      <c r="Q70" s="51">
        <v>25.4</v>
      </c>
      <c r="R70" s="51">
        <v>25.2</v>
      </c>
      <c r="S70" s="51">
        <v>24.8</v>
      </c>
      <c r="T70" s="51">
        <v>25.4</v>
      </c>
      <c r="U70" s="51">
        <v>24.8</v>
      </c>
      <c r="V70" s="51">
        <v>25.6</v>
      </c>
      <c r="W70" s="51">
        <v>24.6</v>
      </c>
      <c r="X70" s="51">
        <v>25</v>
      </c>
      <c r="Y70" s="51">
        <v>24.4</v>
      </c>
      <c r="Z70" s="111">
        <v>25</v>
      </c>
      <c r="AA70" s="51">
        <v>24.6</v>
      </c>
      <c r="AB70" s="51">
        <v>24.4</v>
      </c>
      <c r="AC70" s="51">
        <v>24.6</v>
      </c>
      <c r="AD70" s="51">
        <v>25</v>
      </c>
      <c r="AE70" s="51">
        <v>23.8</v>
      </c>
      <c r="AF70" s="51">
        <v>24.2</v>
      </c>
      <c r="AG70" s="51">
        <v>24</v>
      </c>
      <c r="AH70" s="51">
        <v>24.6</v>
      </c>
      <c r="AI70" s="51">
        <v>25.8</v>
      </c>
      <c r="AJ70" s="51">
        <v>24.6</v>
      </c>
      <c r="AK70" s="51">
        <v>24</v>
      </c>
      <c r="AL70" s="51"/>
      <c r="AM70" s="51"/>
      <c r="AN70" s="51"/>
      <c r="AO70" s="51"/>
      <c r="AP70" s="88">
        <f t="shared" si="6"/>
        <v>27</v>
      </c>
      <c r="AQ70" s="89">
        <f t="shared" si="7"/>
        <v>24.844444444444449</v>
      </c>
      <c r="AR70" s="89">
        <f>IFERROR(VLOOKUP(A70,Climatologia!A:U,9+$E$2,FALSE),"")</f>
        <v>23.929337221065921</v>
      </c>
      <c r="AS70" s="89">
        <f t="shared" si="8"/>
        <v>0.91510722337852712</v>
      </c>
      <c r="AT70" s="90">
        <f t="shared" si="9"/>
        <v>23.8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70" s="122">
        <f t="shared" si="10"/>
        <v>5.8000000000000007</v>
      </c>
    </row>
    <row r="71" spans="1:49" ht="14.25" customHeight="1" x14ac:dyDescent="0.2">
      <c r="A71" s="120">
        <v>47015100</v>
      </c>
      <c r="B71" s="52" t="s">
        <v>271</v>
      </c>
      <c r="C71" s="52" t="s">
        <v>262</v>
      </c>
      <c r="D71" s="53">
        <v>-77.161472219999993</v>
      </c>
      <c r="E71" s="53">
        <v>1.159944444</v>
      </c>
      <c r="F71" s="48">
        <v>2830</v>
      </c>
      <c r="G71" s="46">
        <v>52</v>
      </c>
      <c r="H71" s="46">
        <v>52001</v>
      </c>
      <c r="I71" s="55" t="s">
        <v>83</v>
      </c>
      <c r="J71" s="55" t="s">
        <v>272</v>
      </c>
      <c r="K71" s="51">
        <v>10.199999999999999</v>
      </c>
      <c r="L71" s="51">
        <v>10</v>
      </c>
      <c r="M71" s="51">
        <v>9.8000000000000007</v>
      </c>
      <c r="N71" s="51">
        <v>9.6</v>
      </c>
      <c r="O71" s="51">
        <v>9.6</v>
      </c>
      <c r="P71" s="51">
        <v>10</v>
      </c>
      <c r="Q71" s="51">
        <v>10.199999999999999</v>
      </c>
      <c r="R71" s="51">
        <v>9.6</v>
      </c>
      <c r="S71" s="51">
        <v>10.4</v>
      </c>
      <c r="T71" s="51">
        <v>10.199999999999999</v>
      </c>
      <c r="U71" s="51">
        <v>9.4</v>
      </c>
      <c r="V71" s="51">
        <v>8.6</v>
      </c>
      <c r="W71" s="51">
        <v>6</v>
      </c>
      <c r="X71" s="51">
        <v>9</v>
      </c>
      <c r="Y71" s="51">
        <v>9.4</v>
      </c>
      <c r="Z71" s="111">
        <v>10</v>
      </c>
      <c r="AA71" s="51">
        <v>10</v>
      </c>
      <c r="AB71" s="51">
        <v>9.6</v>
      </c>
      <c r="AC71" s="51">
        <v>9.1999999999999993</v>
      </c>
      <c r="AD71" s="51">
        <v>8.1999999999999993</v>
      </c>
      <c r="AE71" s="51">
        <v>8.4</v>
      </c>
      <c r="AF71" s="51">
        <v>7.2</v>
      </c>
      <c r="AG71" s="51">
        <v>8.8000000000000007</v>
      </c>
      <c r="AH71" s="51">
        <v>9</v>
      </c>
      <c r="AI71" s="51">
        <v>6.4</v>
      </c>
      <c r="AJ71" s="51">
        <v>7.4</v>
      </c>
      <c r="AK71" s="51">
        <v>7</v>
      </c>
      <c r="AL71" s="51"/>
      <c r="AM71" s="51"/>
      <c r="AN71" s="51"/>
      <c r="AO71" s="51"/>
      <c r="AP71" s="88">
        <f t="shared" si="6"/>
        <v>27</v>
      </c>
      <c r="AQ71" s="89">
        <f t="shared" si="7"/>
        <v>9.007407407407408</v>
      </c>
      <c r="AR71" s="89">
        <f>IFERROR(VLOOKUP(A71,Climatologia!A:U,9+$E$2,FALSE),"")</f>
        <v>8.088075663695717</v>
      </c>
      <c r="AS71" s="89">
        <f t="shared" si="8"/>
        <v>0.91933174371169102</v>
      </c>
      <c r="AT71" s="90">
        <f t="shared" si="9"/>
        <v>6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0.8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71" s="122">
        <f t="shared" si="10"/>
        <v>5.2</v>
      </c>
    </row>
    <row r="72" spans="1:49" ht="14.25" customHeight="1" x14ac:dyDescent="0.2">
      <c r="A72" s="120">
        <v>34015010</v>
      </c>
      <c r="B72" s="52" t="s">
        <v>162</v>
      </c>
      <c r="C72" s="52" t="s">
        <v>151</v>
      </c>
      <c r="D72" s="53">
        <v>-70.930224999999993</v>
      </c>
      <c r="E72" s="53">
        <v>4.5538910000000001</v>
      </c>
      <c r="F72" s="48">
        <v>173</v>
      </c>
      <c r="G72" s="46">
        <v>99</v>
      </c>
      <c r="H72" s="46">
        <v>99773</v>
      </c>
      <c r="I72" s="55" t="s">
        <v>93</v>
      </c>
      <c r="J72" s="55" t="s">
        <v>161</v>
      </c>
      <c r="K72" s="51">
        <v>22.4</v>
      </c>
      <c r="L72" s="51">
        <v>23</v>
      </c>
      <c r="M72" s="51">
        <v>22.8</v>
      </c>
      <c r="N72" s="51">
        <v>23.6</v>
      </c>
      <c r="O72" s="51">
        <v>21.4</v>
      </c>
      <c r="P72" s="51">
        <v>22</v>
      </c>
      <c r="Q72" s="51">
        <v>23.2</v>
      </c>
      <c r="R72" s="51">
        <v>22.4</v>
      </c>
      <c r="S72" s="51">
        <v>23.4</v>
      </c>
      <c r="T72" s="51">
        <v>22</v>
      </c>
      <c r="U72" s="51">
        <v>22</v>
      </c>
      <c r="V72" s="51">
        <v>23.2</v>
      </c>
      <c r="W72" s="51">
        <v>22</v>
      </c>
      <c r="X72" s="51">
        <v>22.4</v>
      </c>
      <c r="Y72" s="51">
        <v>23.6</v>
      </c>
      <c r="Z72" s="111">
        <v>22.4</v>
      </c>
      <c r="AA72" s="51">
        <v>24</v>
      </c>
      <c r="AB72" s="51">
        <v>22.2</v>
      </c>
      <c r="AC72" s="51">
        <v>23</v>
      </c>
      <c r="AD72" s="51">
        <v>22.4</v>
      </c>
      <c r="AE72" s="51">
        <v>22.2</v>
      </c>
      <c r="AF72" s="51">
        <v>22.2</v>
      </c>
      <c r="AG72" s="51">
        <v>23</v>
      </c>
      <c r="AH72" s="51">
        <v>20.6</v>
      </c>
      <c r="AI72" s="51">
        <v>23.4</v>
      </c>
      <c r="AJ72" s="51">
        <v>22.8</v>
      </c>
      <c r="AK72" s="51">
        <v>23</v>
      </c>
      <c r="AL72" s="51"/>
      <c r="AM72" s="51"/>
      <c r="AN72" s="51"/>
      <c r="AO72" s="51"/>
      <c r="AP72" s="88">
        <f t="shared" si="6"/>
        <v>27</v>
      </c>
      <c r="AQ72" s="89">
        <f t="shared" si="7"/>
        <v>22.61481481481481</v>
      </c>
      <c r="AR72" s="89">
        <f>IFERROR(VLOOKUP(A72,Climatologia!A:U,9+$E$2,FALSE),"")</f>
        <v>21.690749245193071</v>
      </c>
      <c r="AS72" s="89">
        <f t="shared" si="8"/>
        <v>0.9240655696217388</v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17.399999999999999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72" s="122">
        <f t="shared" si="10"/>
        <v>3.2000000000000028</v>
      </c>
    </row>
    <row r="73" spans="1:49" ht="14.25" customHeight="1" x14ac:dyDescent="0.2">
      <c r="A73" s="120">
        <v>23185010</v>
      </c>
      <c r="B73" s="52" t="s">
        <v>317</v>
      </c>
      <c r="C73" s="52" t="s">
        <v>300</v>
      </c>
      <c r="D73" s="53">
        <v>-73.537222220000004</v>
      </c>
      <c r="E73" s="53">
        <v>7.4561111110000002</v>
      </c>
      <c r="F73" s="48">
        <v>328</v>
      </c>
      <c r="G73" s="46">
        <v>68</v>
      </c>
      <c r="H73" s="46">
        <v>68655</v>
      </c>
      <c r="I73" s="55" t="s">
        <v>50</v>
      </c>
      <c r="J73" s="55" t="s">
        <v>318</v>
      </c>
      <c r="K73" s="51">
        <v>24</v>
      </c>
      <c r="L73" s="51">
        <v>26</v>
      </c>
      <c r="M73" s="51">
        <v>23.8</v>
      </c>
      <c r="N73" s="51"/>
      <c r="O73" s="51">
        <v>24.2</v>
      </c>
      <c r="P73" s="51">
        <v>25.4</v>
      </c>
      <c r="Q73" s="51">
        <v>24.8</v>
      </c>
      <c r="R73" s="51">
        <v>25.6</v>
      </c>
      <c r="S73" s="51">
        <v>23.6</v>
      </c>
      <c r="T73" s="51">
        <v>23.6</v>
      </c>
      <c r="U73" s="51"/>
      <c r="V73" s="51">
        <v>24.4</v>
      </c>
      <c r="W73" s="51">
        <v>24</v>
      </c>
      <c r="X73" s="51">
        <v>24</v>
      </c>
      <c r="Y73" s="51">
        <v>24</v>
      </c>
      <c r="Z73" s="111">
        <v>25.6</v>
      </c>
      <c r="AA73" s="51">
        <v>25.8</v>
      </c>
      <c r="AB73" s="51">
        <v>24</v>
      </c>
      <c r="AC73" s="51">
        <v>25</v>
      </c>
      <c r="AD73" s="51">
        <v>24.4</v>
      </c>
      <c r="AE73" s="51">
        <v>23.4</v>
      </c>
      <c r="AF73" s="51"/>
      <c r="AG73" s="51">
        <v>23.4</v>
      </c>
      <c r="AH73" s="51">
        <v>23.4</v>
      </c>
      <c r="AI73" s="51">
        <v>23.8</v>
      </c>
      <c r="AJ73" s="51">
        <v>23.6</v>
      </c>
      <c r="AK73" s="51">
        <v>24.8</v>
      </c>
      <c r="AL73" s="51"/>
      <c r="AM73" s="51"/>
      <c r="AN73" s="51"/>
      <c r="AO73" s="51"/>
      <c r="AP73" s="88">
        <f t="shared" si="6"/>
        <v>24</v>
      </c>
      <c r="AQ73" s="89">
        <f t="shared" si="7"/>
        <v>24.358333333333331</v>
      </c>
      <c r="AR73" s="89">
        <f>IFERROR(VLOOKUP(A73,Climatologia!A:U,9+$E$2,FALSE),"")</f>
        <v>23.43347279820177</v>
      </c>
      <c r="AS73" s="89">
        <f t="shared" si="8"/>
        <v>0.92486053513156108</v>
      </c>
      <c r="AT73" s="90">
        <f t="shared" si="9"/>
        <v>23.4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17.399999999999999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73" s="122">
        <f t="shared" si="10"/>
        <v>6</v>
      </c>
    </row>
    <row r="74" spans="1:49" ht="14.25" customHeight="1" x14ac:dyDescent="0.2">
      <c r="A74" s="119">
        <v>16015010</v>
      </c>
      <c r="B74" s="47" t="s">
        <v>54</v>
      </c>
      <c r="C74" s="52" t="s">
        <v>1295</v>
      </c>
      <c r="D74" s="49">
        <v>-72.509</v>
      </c>
      <c r="E74" s="49">
        <v>7.93</v>
      </c>
      <c r="F74" s="50">
        <v>250</v>
      </c>
      <c r="G74" s="50">
        <v>54</v>
      </c>
      <c r="H74" s="50">
        <v>54001</v>
      </c>
      <c r="I74" s="47" t="s">
        <v>55</v>
      </c>
      <c r="J74" s="63" t="s">
        <v>56</v>
      </c>
      <c r="K74" s="51">
        <v>26</v>
      </c>
      <c r="L74" s="51">
        <v>20.7</v>
      </c>
      <c r="M74" s="51">
        <v>25.7</v>
      </c>
      <c r="N74" s="51">
        <v>23.3</v>
      </c>
      <c r="O74" s="51">
        <v>22.6</v>
      </c>
      <c r="P74" s="51">
        <v>26</v>
      </c>
      <c r="Q74" s="51">
        <v>27.2</v>
      </c>
      <c r="R74" s="51">
        <v>27.2</v>
      </c>
      <c r="S74" s="51">
        <v>25.8</v>
      </c>
      <c r="T74" s="51">
        <v>25.8</v>
      </c>
      <c r="U74" s="51">
        <v>24.4</v>
      </c>
      <c r="V74" s="51">
        <v>24.8</v>
      </c>
      <c r="W74" s="51">
        <v>24.3</v>
      </c>
      <c r="X74" s="51">
        <v>25.4</v>
      </c>
      <c r="Y74" s="51">
        <v>26.8</v>
      </c>
      <c r="Z74" s="111">
        <v>26.4</v>
      </c>
      <c r="AA74" s="51">
        <v>24.4</v>
      </c>
      <c r="AB74" s="51">
        <v>25</v>
      </c>
      <c r="AC74" s="51">
        <v>22.8</v>
      </c>
      <c r="AD74" s="51">
        <v>23.1</v>
      </c>
      <c r="AE74" s="51">
        <v>22.6</v>
      </c>
      <c r="AF74" s="51">
        <v>23.8</v>
      </c>
      <c r="AG74" s="51">
        <v>24.5</v>
      </c>
      <c r="AH74" s="51">
        <v>24.5</v>
      </c>
      <c r="AI74" s="51">
        <v>24.2</v>
      </c>
      <c r="AJ74" s="51">
        <v>26.4</v>
      </c>
      <c r="AK74" s="51">
        <v>23.5</v>
      </c>
      <c r="AL74" s="51"/>
      <c r="AM74" s="51"/>
      <c r="AN74" s="51"/>
      <c r="AO74" s="51"/>
      <c r="AP74" s="88">
        <f t="shared" si="6"/>
        <v>27</v>
      </c>
      <c r="AQ74" s="89">
        <f t="shared" si="7"/>
        <v>24.711111111111109</v>
      </c>
      <c r="AR74" s="89">
        <f>IFERROR(VLOOKUP(A74,Climatologia!A:U,9+$E$2,FALSE),"")</f>
        <v>23.779123470522801</v>
      </c>
      <c r="AS74" s="89">
        <f t="shared" si="8"/>
        <v>0.93198764058830719</v>
      </c>
      <c r="AT74" s="90">
        <f t="shared" si="9"/>
        <v>20.7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19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74" s="122">
        <f t="shared" si="10"/>
        <v>1.6999999999999993</v>
      </c>
    </row>
    <row r="75" spans="1:49" ht="14.25" customHeight="1" x14ac:dyDescent="0.2">
      <c r="A75" s="120">
        <v>32035010</v>
      </c>
      <c r="B75" s="52" t="s">
        <v>157</v>
      </c>
      <c r="C75" s="52" t="s">
        <v>151</v>
      </c>
      <c r="D75" s="53">
        <v>-73.793471999999994</v>
      </c>
      <c r="E75" s="53">
        <v>2.176139</v>
      </c>
      <c r="F75" s="48">
        <v>227</v>
      </c>
      <c r="G75" s="46">
        <v>50</v>
      </c>
      <c r="H75" s="46">
        <v>50350</v>
      </c>
      <c r="I75" s="55" t="s">
        <v>96</v>
      </c>
      <c r="J75" s="55" t="s">
        <v>157</v>
      </c>
      <c r="K75" s="51">
        <v>21.4</v>
      </c>
      <c r="L75" s="51">
        <v>22.6</v>
      </c>
      <c r="M75" s="51">
        <v>21.6</v>
      </c>
      <c r="N75" s="51">
        <v>22</v>
      </c>
      <c r="O75" s="51">
        <v>23.2</v>
      </c>
      <c r="P75" s="51">
        <v>21.4</v>
      </c>
      <c r="Q75" s="51">
        <v>22.4</v>
      </c>
      <c r="R75" s="51">
        <v>23.2</v>
      </c>
      <c r="S75" s="51">
        <v>22.2</v>
      </c>
      <c r="T75" s="51">
        <v>21.8</v>
      </c>
      <c r="U75" s="51">
        <v>22.4</v>
      </c>
      <c r="V75" s="51">
        <v>22.4</v>
      </c>
      <c r="W75" s="51">
        <v>23</v>
      </c>
      <c r="X75" s="51">
        <v>22.2</v>
      </c>
      <c r="Y75" s="51">
        <v>22.2</v>
      </c>
      <c r="Z75" s="111">
        <v>22</v>
      </c>
      <c r="AA75" s="51">
        <v>23</v>
      </c>
      <c r="AB75" s="51">
        <v>21.6</v>
      </c>
      <c r="AC75" s="51">
        <v>22.6</v>
      </c>
      <c r="AD75" s="51">
        <v>23</v>
      </c>
      <c r="AE75" s="51">
        <v>22.2</v>
      </c>
      <c r="AF75" s="51">
        <v>22.4</v>
      </c>
      <c r="AG75" s="51">
        <v>23.2</v>
      </c>
      <c r="AH75" s="51">
        <v>21.4</v>
      </c>
      <c r="AI75" s="51">
        <v>22.6</v>
      </c>
      <c r="AJ75" s="51">
        <v>22.9</v>
      </c>
      <c r="AK75" s="51">
        <v>21.4</v>
      </c>
      <c r="AL75" s="51"/>
      <c r="AM75" s="51"/>
      <c r="AN75" s="51"/>
      <c r="AO75" s="51"/>
      <c r="AP75" s="88">
        <f t="shared" si="6"/>
        <v>27</v>
      </c>
      <c r="AQ75" s="89">
        <f t="shared" si="7"/>
        <v>22.307407407407407</v>
      </c>
      <c r="AR75" s="89">
        <f>IFERROR(VLOOKUP(A75,Climatologia!A:U,9+$E$2,FALSE),"")</f>
        <v>21.335368281215381</v>
      </c>
      <c r="AS75" s="89">
        <f t="shared" si="8"/>
        <v>0.97203912619202626</v>
      </c>
      <c r="AT75" s="90">
        <f t="shared" si="9"/>
        <v>21.4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17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75" s="122">
        <f t="shared" si="10"/>
        <v>4.3999999999999986</v>
      </c>
    </row>
    <row r="76" spans="1:49" ht="14.25" customHeight="1" x14ac:dyDescent="0.2">
      <c r="A76" s="120">
        <v>35075040</v>
      </c>
      <c r="B76" s="52" t="s">
        <v>245</v>
      </c>
      <c r="C76" s="52" t="s">
        <v>212</v>
      </c>
      <c r="D76" s="53">
        <v>-73.316749999999999</v>
      </c>
      <c r="E76" s="53">
        <v>4.9743611110000003</v>
      </c>
      <c r="F76" s="48">
        <v>1300</v>
      </c>
      <c r="G76" s="46">
        <v>15</v>
      </c>
      <c r="H76" s="46">
        <v>15425</v>
      </c>
      <c r="I76" s="55" t="s">
        <v>213</v>
      </c>
      <c r="J76" s="55" t="s">
        <v>246</v>
      </c>
      <c r="K76" s="51">
        <v>14.6</v>
      </c>
      <c r="L76" s="51">
        <v>14.8</v>
      </c>
      <c r="M76" s="51">
        <v>14.4</v>
      </c>
      <c r="N76" s="51">
        <v>14.6</v>
      </c>
      <c r="O76" s="51">
        <v>14</v>
      </c>
      <c r="P76" s="51">
        <v>13.2</v>
      </c>
      <c r="Q76" s="51">
        <v>15</v>
      </c>
      <c r="R76" s="51">
        <v>14.4</v>
      </c>
      <c r="S76" s="51">
        <v>16.399999999999999</v>
      </c>
      <c r="T76" s="51">
        <v>13</v>
      </c>
      <c r="U76" s="51">
        <v>14</v>
      </c>
      <c r="V76" s="51">
        <v>15.4</v>
      </c>
      <c r="W76" s="51">
        <v>13.4</v>
      </c>
      <c r="X76" s="51">
        <v>14</v>
      </c>
      <c r="Y76" s="51">
        <v>15.2</v>
      </c>
      <c r="Z76" s="111">
        <v>15.4</v>
      </c>
      <c r="AA76" s="51">
        <v>15.8</v>
      </c>
      <c r="AB76" s="51">
        <v>16</v>
      </c>
      <c r="AC76" s="51">
        <v>14.6</v>
      </c>
      <c r="AD76" s="51">
        <v>15.8</v>
      </c>
      <c r="AE76" s="51">
        <v>14</v>
      </c>
      <c r="AF76" s="51">
        <v>14.6</v>
      </c>
      <c r="AG76" s="51">
        <v>14.2</v>
      </c>
      <c r="AH76" s="51">
        <v>13</v>
      </c>
      <c r="AI76" s="51">
        <v>12.8</v>
      </c>
      <c r="AJ76" s="51">
        <v>15.8</v>
      </c>
      <c r="AK76" s="51">
        <v>14</v>
      </c>
      <c r="AL76" s="51"/>
      <c r="AM76" s="51"/>
      <c r="AN76" s="51"/>
      <c r="AO76" s="51"/>
      <c r="AP76" s="88">
        <f t="shared" si="6"/>
        <v>27</v>
      </c>
      <c r="AQ76" s="89">
        <f t="shared" si="7"/>
        <v>14.533333333333337</v>
      </c>
      <c r="AR76" s="89">
        <f>IFERROR(VLOOKUP(A76,Climatologia!A:U,9+$E$2,FALSE),"")</f>
        <v>13.551301836348379</v>
      </c>
      <c r="AS76" s="89">
        <f t="shared" si="8"/>
        <v>0.98203149698495729</v>
      </c>
      <c r="AT76" s="90">
        <f t="shared" si="9"/>
        <v>12.8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9.4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76" s="122">
        <f t="shared" si="10"/>
        <v>3.4000000000000004</v>
      </c>
    </row>
    <row r="77" spans="1:49" ht="14.25" customHeight="1" x14ac:dyDescent="0.2">
      <c r="A77" s="120">
        <v>23195090</v>
      </c>
      <c r="B77" s="52" t="s">
        <v>319</v>
      </c>
      <c r="C77" s="52" t="s">
        <v>300</v>
      </c>
      <c r="D77" s="53">
        <v>-72.987499999999997</v>
      </c>
      <c r="E77" s="53">
        <v>7.3658299999999999</v>
      </c>
      <c r="F77" s="48">
        <v>1791</v>
      </c>
      <c r="G77" s="46">
        <v>68</v>
      </c>
      <c r="H77" s="46">
        <v>68780</v>
      </c>
      <c r="I77" s="55" t="s">
        <v>50</v>
      </c>
      <c r="J77" s="55" t="s">
        <v>320</v>
      </c>
      <c r="K77" s="51">
        <v>16</v>
      </c>
      <c r="L77" s="51"/>
      <c r="M77" s="51">
        <v>15.4</v>
      </c>
      <c r="N77" s="51">
        <v>15</v>
      </c>
      <c r="O77" s="51">
        <v>15.4</v>
      </c>
      <c r="P77" s="51">
        <v>14.4</v>
      </c>
      <c r="Q77" s="51">
        <v>15.8</v>
      </c>
      <c r="R77" s="51">
        <v>16</v>
      </c>
      <c r="S77" s="51">
        <v>16.8</v>
      </c>
      <c r="T77" s="51">
        <v>14.6</v>
      </c>
      <c r="U77" s="51">
        <v>15.6</v>
      </c>
      <c r="V77" s="51">
        <v>16.2</v>
      </c>
      <c r="W77" s="51">
        <v>14.8</v>
      </c>
      <c r="X77" s="51">
        <v>15</v>
      </c>
      <c r="Y77" s="51">
        <v>14.8</v>
      </c>
      <c r="Z77" s="111">
        <v>15.2</v>
      </c>
      <c r="AA77" s="51">
        <v>15.2</v>
      </c>
      <c r="AB77" s="51">
        <v>16</v>
      </c>
      <c r="AC77" s="51">
        <v>16.8</v>
      </c>
      <c r="AD77" s="51">
        <v>16</v>
      </c>
      <c r="AE77" s="51">
        <v>15.4</v>
      </c>
      <c r="AF77" s="51">
        <v>14.2</v>
      </c>
      <c r="AG77" s="51">
        <v>16.399999999999999</v>
      </c>
      <c r="AH77" s="51">
        <v>14</v>
      </c>
      <c r="AI77" s="51">
        <v>14.2</v>
      </c>
      <c r="AJ77" s="51">
        <v>14.4</v>
      </c>
      <c r="AK77" s="51">
        <v>14.6</v>
      </c>
      <c r="AL77" s="51"/>
      <c r="AM77" s="51"/>
      <c r="AN77" s="51"/>
      <c r="AO77" s="51"/>
      <c r="AP77" s="88">
        <f t="shared" si="6"/>
        <v>26</v>
      </c>
      <c r="AQ77" s="89">
        <f t="shared" si="7"/>
        <v>15.315384615384612</v>
      </c>
      <c r="AR77" s="89">
        <f>IFERROR(VLOOKUP(A77,Climatologia!A:U,9+$E$2,FALSE),"")</f>
        <v>14.297625170572489</v>
      </c>
      <c r="AS77" s="89">
        <f t="shared" si="8"/>
        <v>1.017759444812123</v>
      </c>
      <c r="AT77" s="90">
        <f t="shared" si="9"/>
        <v>14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9.4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7" s="122">
        <f t="shared" si="10"/>
        <v>4.5999999999999996</v>
      </c>
    </row>
    <row r="78" spans="1:49" ht="14.25" customHeight="1" x14ac:dyDescent="0.2">
      <c r="A78" s="120">
        <v>21025030</v>
      </c>
      <c r="B78" s="52" t="s">
        <v>178</v>
      </c>
      <c r="C78" s="52" t="s">
        <v>179</v>
      </c>
      <c r="D78" s="53">
        <v>-75.736222220000002</v>
      </c>
      <c r="E78" s="53">
        <v>2.079166667</v>
      </c>
      <c r="F78" s="48">
        <v>1368</v>
      </c>
      <c r="G78" s="46">
        <v>41</v>
      </c>
      <c r="H78" s="46">
        <v>41026</v>
      </c>
      <c r="I78" s="55" t="s">
        <v>80</v>
      </c>
      <c r="J78" s="55" t="s">
        <v>180</v>
      </c>
      <c r="K78" s="51">
        <v>17.2</v>
      </c>
      <c r="L78" s="51">
        <v>16.2</v>
      </c>
      <c r="M78" s="51">
        <v>16.399999999999999</v>
      </c>
      <c r="N78" s="51">
        <v>17</v>
      </c>
      <c r="O78" s="51">
        <v>18.2</v>
      </c>
      <c r="P78" s="51">
        <v>17.2</v>
      </c>
      <c r="Q78" s="51">
        <v>18</v>
      </c>
      <c r="R78" s="51">
        <v>17</v>
      </c>
      <c r="S78" s="51">
        <v>17</v>
      </c>
      <c r="T78" s="51">
        <v>17</v>
      </c>
      <c r="U78" s="51">
        <v>17.399999999999999</v>
      </c>
      <c r="V78" s="51">
        <v>17</v>
      </c>
      <c r="W78" s="51">
        <v>17.2</v>
      </c>
      <c r="X78" s="51">
        <v>18</v>
      </c>
      <c r="Y78" s="51"/>
      <c r="Z78" s="111">
        <v>16.399999999999999</v>
      </c>
      <c r="AA78" s="51">
        <v>18</v>
      </c>
      <c r="AB78" s="51">
        <v>18</v>
      </c>
      <c r="AC78" s="51">
        <v>17</v>
      </c>
      <c r="AD78" s="51">
        <v>17</v>
      </c>
      <c r="AE78" s="51">
        <v>18.2</v>
      </c>
      <c r="AF78" s="51">
        <v>18.2</v>
      </c>
      <c r="AG78" s="51">
        <v>18.2</v>
      </c>
      <c r="AH78" s="51">
        <v>14.4</v>
      </c>
      <c r="AI78" s="51">
        <v>18</v>
      </c>
      <c r="AJ78" s="51">
        <v>18.399999999999999</v>
      </c>
      <c r="AK78" s="51">
        <v>18.2</v>
      </c>
      <c r="AL78" s="51"/>
      <c r="AM78" s="51"/>
      <c r="AN78" s="51"/>
      <c r="AO78" s="51"/>
      <c r="AP78" s="88">
        <f t="shared" si="6"/>
        <v>26</v>
      </c>
      <c r="AQ78" s="89">
        <f t="shared" si="7"/>
        <v>17.338461538461534</v>
      </c>
      <c r="AR78" s="89">
        <f>IFERROR(VLOOKUP(A78,Climatologia!A:U,9+$E$2,FALSE),"")</f>
        <v>16.31980835849356</v>
      </c>
      <c r="AS78" s="89">
        <f t="shared" si="8"/>
        <v>1.0186531799679734</v>
      </c>
      <c r="AT78" s="90">
        <f t="shared" si="9"/>
        <v>14.4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12.8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8" s="122">
        <f t="shared" si="10"/>
        <v>1.5999999999999996</v>
      </c>
    </row>
    <row r="79" spans="1:49" ht="14.25" customHeight="1" x14ac:dyDescent="0.2">
      <c r="A79" s="120">
        <v>21206260</v>
      </c>
      <c r="B79" s="52" t="s">
        <v>408</v>
      </c>
      <c r="C79" s="52" t="s">
        <v>383</v>
      </c>
      <c r="D79" s="93">
        <v>-74.049722220000007</v>
      </c>
      <c r="E79" s="93">
        <v>4.7986388890000002</v>
      </c>
      <c r="F79" s="48">
        <v>2570</v>
      </c>
      <c r="G79" s="46">
        <v>11</v>
      </c>
      <c r="H79" s="46">
        <v>11001</v>
      </c>
      <c r="I79" s="55" t="s">
        <v>409</v>
      </c>
      <c r="J79" s="55" t="s">
        <v>410</v>
      </c>
      <c r="K79" s="51">
        <v>9.8000000000000007</v>
      </c>
      <c r="L79" s="51">
        <v>7.8</v>
      </c>
      <c r="M79" s="51">
        <v>7.6</v>
      </c>
      <c r="N79" s="51">
        <v>9.1999999999999993</v>
      </c>
      <c r="O79" s="51"/>
      <c r="P79" s="51"/>
      <c r="Q79" s="51">
        <v>10</v>
      </c>
      <c r="R79" s="51">
        <v>9.4</v>
      </c>
      <c r="S79" s="51">
        <v>10.4</v>
      </c>
      <c r="T79" s="51">
        <v>10.199999999999999</v>
      </c>
      <c r="U79" s="51">
        <v>6.4</v>
      </c>
      <c r="V79" s="51"/>
      <c r="W79" s="51"/>
      <c r="X79" s="51">
        <v>6.4</v>
      </c>
      <c r="Y79" s="51">
        <v>10</v>
      </c>
      <c r="Z79" s="111">
        <v>10.6</v>
      </c>
      <c r="AA79" s="51">
        <v>10.4</v>
      </c>
      <c r="AB79" s="51"/>
      <c r="AC79" s="51"/>
      <c r="AD79" s="51"/>
      <c r="AE79" s="51">
        <v>10.199999999999999</v>
      </c>
      <c r="AF79" s="51">
        <v>9.4</v>
      </c>
      <c r="AG79" s="51">
        <v>8.4</v>
      </c>
      <c r="AH79" s="51">
        <v>10</v>
      </c>
      <c r="AI79" s="51">
        <v>5</v>
      </c>
      <c r="AJ79" s="51"/>
      <c r="AK79" s="51">
        <v>5.2</v>
      </c>
      <c r="AL79" s="51"/>
      <c r="AM79" s="51"/>
      <c r="AN79" s="51"/>
      <c r="AO79" s="51"/>
      <c r="AP79" s="88">
        <f t="shared" si="6"/>
        <v>19</v>
      </c>
      <c r="AQ79" s="89">
        <f t="shared" si="7"/>
        <v>8.7578947368421058</v>
      </c>
      <c r="AR79" s="89">
        <f>IFERROR(VLOOKUP(A79,Climatologia!A:U,9+$E$2,FALSE),"")</f>
        <v>7.737258054422024</v>
      </c>
      <c r="AS79" s="89">
        <f t="shared" si="8"/>
        <v>1.0206366824200819</v>
      </c>
      <c r="AT79" s="90">
        <f t="shared" si="9"/>
        <v>5</v>
      </c>
      <c r="AU79" s="90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>0.1</v>
      </c>
      <c r="AV79" s="91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79" s="122">
        <f t="shared" si="10"/>
        <v>4.9000000000000004</v>
      </c>
    </row>
    <row r="80" spans="1:49" ht="14.25" customHeight="1" x14ac:dyDescent="0.2">
      <c r="A80" s="119">
        <v>27015330</v>
      </c>
      <c r="B80" s="52" t="s">
        <v>60</v>
      </c>
      <c r="C80" s="52" t="s">
        <v>1295</v>
      </c>
      <c r="D80" s="53">
        <v>-75.59</v>
      </c>
      <c r="E80" s="53">
        <v>6.22</v>
      </c>
      <c r="F80" s="54">
        <v>1490</v>
      </c>
      <c r="G80" s="54">
        <v>5</v>
      </c>
      <c r="H80" s="54">
        <v>5001</v>
      </c>
      <c r="I80" s="55" t="s">
        <v>58</v>
      </c>
      <c r="J80" s="64" t="s">
        <v>61</v>
      </c>
      <c r="K80" s="51">
        <v>19.399999999999999</v>
      </c>
      <c r="L80" s="51">
        <v>18.399999999999999</v>
      </c>
      <c r="M80" s="51">
        <v>18.600000000000001</v>
      </c>
      <c r="N80" s="51">
        <v>18.399999999999999</v>
      </c>
      <c r="O80" s="51">
        <v>18.2</v>
      </c>
      <c r="P80" s="51">
        <v>19.5</v>
      </c>
      <c r="Q80" s="51">
        <v>20.100000000000001</v>
      </c>
      <c r="R80" s="51">
        <v>19.600000000000001</v>
      </c>
      <c r="S80" s="51">
        <v>19.7</v>
      </c>
      <c r="T80" s="51">
        <v>18.600000000000001</v>
      </c>
      <c r="U80" s="51">
        <v>17.7</v>
      </c>
      <c r="V80" s="51">
        <v>18.5</v>
      </c>
      <c r="W80" s="51">
        <v>18.399999999999999</v>
      </c>
      <c r="X80" s="51">
        <v>17.399999999999999</v>
      </c>
      <c r="Y80" s="51">
        <v>17.899999999999999</v>
      </c>
      <c r="Z80" s="111">
        <v>18</v>
      </c>
      <c r="AA80" s="51">
        <v>17.2</v>
      </c>
      <c r="AB80" s="51">
        <v>19.7</v>
      </c>
      <c r="AC80" s="51">
        <v>20.6</v>
      </c>
      <c r="AD80" s="51">
        <v>18.600000000000001</v>
      </c>
      <c r="AE80" s="51">
        <v>18.2</v>
      </c>
      <c r="AF80" s="51">
        <v>19.3</v>
      </c>
      <c r="AG80" s="51">
        <v>16.2</v>
      </c>
      <c r="AH80" s="51">
        <v>17</v>
      </c>
      <c r="AI80" s="51">
        <v>17.5</v>
      </c>
      <c r="AJ80" s="51">
        <v>18</v>
      </c>
      <c r="AK80" s="51">
        <v>19</v>
      </c>
      <c r="AL80" s="51"/>
      <c r="AM80" s="51"/>
      <c r="AN80" s="51"/>
      <c r="AO80" s="51"/>
      <c r="AP80" s="88">
        <f t="shared" si="6"/>
        <v>27</v>
      </c>
      <c r="AQ80" s="89">
        <f t="shared" si="7"/>
        <v>18.507407407407406</v>
      </c>
      <c r="AR80" s="89">
        <f>IFERROR(VLOOKUP(A80,Climatologia!A:U,9+$E$2,FALSE),"")</f>
        <v>17.48384501297738</v>
      </c>
      <c r="AS80" s="89">
        <f t="shared" si="8"/>
        <v>1.0235623944300265</v>
      </c>
      <c r="AT80" s="90">
        <f t="shared" si="9"/>
        <v>16.2</v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11.2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80" s="122">
        <f t="shared" si="10"/>
        <v>5</v>
      </c>
    </row>
    <row r="81" spans="1:49" ht="14.25" customHeight="1" x14ac:dyDescent="0.2">
      <c r="A81" s="120">
        <v>35025060</v>
      </c>
      <c r="B81" s="52" t="s">
        <v>417</v>
      </c>
      <c r="C81" s="52" t="s">
        <v>383</v>
      </c>
      <c r="D81" s="53">
        <v>-73.995885000000001</v>
      </c>
      <c r="E81" s="53">
        <v>4.587059</v>
      </c>
      <c r="F81" s="48">
        <v>3195</v>
      </c>
      <c r="G81" s="46">
        <v>25</v>
      </c>
      <c r="H81" s="46">
        <v>25181</v>
      </c>
      <c r="I81" s="55" t="s">
        <v>74</v>
      </c>
      <c r="J81" s="55" t="s">
        <v>418</v>
      </c>
      <c r="K81" s="51">
        <v>6.8</v>
      </c>
      <c r="L81" s="51">
        <v>6.6</v>
      </c>
      <c r="M81" s="51">
        <v>7</v>
      </c>
      <c r="N81" s="51">
        <v>6.2</v>
      </c>
      <c r="O81" s="51">
        <v>6.4</v>
      </c>
      <c r="P81" s="51">
        <v>6.6</v>
      </c>
      <c r="Q81" s="51">
        <v>7.4</v>
      </c>
      <c r="R81" s="51">
        <v>7</v>
      </c>
      <c r="S81" s="51">
        <v>7.6</v>
      </c>
      <c r="T81" s="51">
        <v>6</v>
      </c>
      <c r="U81" s="51">
        <v>6</v>
      </c>
      <c r="V81" s="51">
        <v>6.6</v>
      </c>
      <c r="W81" s="51">
        <v>4.5999999999999996</v>
      </c>
      <c r="X81" s="51">
        <v>5.2</v>
      </c>
      <c r="Y81" s="51">
        <v>7</v>
      </c>
      <c r="Z81" s="111">
        <v>6.8</v>
      </c>
      <c r="AA81" s="51">
        <v>6.4</v>
      </c>
      <c r="AB81" s="51">
        <v>7.4</v>
      </c>
      <c r="AC81" s="51">
        <v>6.4</v>
      </c>
      <c r="AD81" s="51">
        <v>6.6</v>
      </c>
      <c r="AE81" s="51">
        <v>5</v>
      </c>
      <c r="AF81" s="51">
        <v>6.4</v>
      </c>
      <c r="AG81" s="51">
        <v>7</v>
      </c>
      <c r="AH81" s="51">
        <v>5.8</v>
      </c>
      <c r="AI81" s="51">
        <v>2</v>
      </c>
      <c r="AJ81" s="51"/>
      <c r="AK81" s="51"/>
      <c r="AL81" s="51"/>
      <c r="AM81" s="51"/>
      <c r="AN81" s="51"/>
      <c r="AO81" s="51"/>
      <c r="AP81" s="88">
        <f t="shared" si="6"/>
        <v>25</v>
      </c>
      <c r="AQ81" s="89">
        <f t="shared" si="7"/>
        <v>6.2720000000000002</v>
      </c>
      <c r="AR81" s="89">
        <f>IFERROR(VLOOKUP(A81,Climatologia!A:U,9+$E$2,FALSE),"")</f>
        <v>5.2432824793440451</v>
      </c>
      <c r="AS81" s="89">
        <f t="shared" si="8"/>
        <v>1.0287175206559551</v>
      </c>
      <c r="AT81" s="90">
        <f t="shared" si="9"/>
        <v>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1.2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81" s="122">
        <f t="shared" si="10"/>
        <v>0.8</v>
      </c>
    </row>
    <row r="82" spans="1:49" ht="14.25" customHeight="1" x14ac:dyDescent="0.2">
      <c r="A82" s="120">
        <v>23195110</v>
      </c>
      <c r="B82" s="52" t="s">
        <v>321</v>
      </c>
      <c r="C82" s="52" t="s">
        <v>300</v>
      </c>
      <c r="D82" s="53">
        <v>-73.167222219999999</v>
      </c>
      <c r="E82" s="53">
        <v>7.0255555559999996</v>
      </c>
      <c r="F82" s="48">
        <v>777</v>
      </c>
      <c r="G82" s="46">
        <v>68</v>
      </c>
      <c r="H82" s="46">
        <v>68307</v>
      </c>
      <c r="I82" s="55" t="s">
        <v>50</v>
      </c>
      <c r="J82" s="55" t="s">
        <v>322</v>
      </c>
      <c r="K82" s="51">
        <v>20.8</v>
      </c>
      <c r="L82" s="51">
        <v>21.4</v>
      </c>
      <c r="M82" s="51">
        <v>19.8</v>
      </c>
      <c r="N82" s="51">
        <v>20</v>
      </c>
      <c r="O82" s="51">
        <v>21</v>
      </c>
      <c r="P82" s="51">
        <v>21.4</v>
      </c>
      <c r="Q82" s="51">
        <v>21.2</v>
      </c>
      <c r="R82" s="51">
        <v>20.399999999999999</v>
      </c>
      <c r="S82" s="51">
        <v>22</v>
      </c>
      <c r="T82" s="51">
        <v>18.399999999999999</v>
      </c>
      <c r="U82" s="51">
        <v>18.8</v>
      </c>
      <c r="V82" s="51">
        <v>20.8</v>
      </c>
      <c r="W82" s="51">
        <v>19.399999999999999</v>
      </c>
      <c r="X82" s="51">
        <v>19.2</v>
      </c>
      <c r="Y82" s="51">
        <v>19.2</v>
      </c>
      <c r="Z82" s="111">
        <v>19.399999999999999</v>
      </c>
      <c r="AA82" s="51">
        <v>21.2</v>
      </c>
      <c r="AB82" s="51">
        <v>21.2</v>
      </c>
      <c r="AC82" s="51">
        <v>21.8</v>
      </c>
      <c r="AD82" s="51">
        <v>21.2</v>
      </c>
      <c r="AE82" s="51">
        <v>20.399999999999999</v>
      </c>
      <c r="AF82" s="51">
        <v>18.8</v>
      </c>
      <c r="AG82" s="51">
        <v>20.8</v>
      </c>
      <c r="AH82" s="51">
        <v>20.8</v>
      </c>
      <c r="AI82" s="51">
        <v>19.399999999999999</v>
      </c>
      <c r="AJ82" s="51">
        <v>20.2</v>
      </c>
      <c r="AK82" s="51">
        <v>21</v>
      </c>
      <c r="AL82" s="51"/>
      <c r="AM82" s="51"/>
      <c r="AN82" s="51"/>
      <c r="AO82" s="51"/>
      <c r="AP82" s="88">
        <f t="shared" si="6"/>
        <v>27</v>
      </c>
      <c r="AQ82" s="89">
        <f t="shared" si="7"/>
        <v>20.37037037037037</v>
      </c>
      <c r="AR82" s="89">
        <f>IFERROR(VLOOKUP(A82,Climatologia!A:U,9+$E$2,FALSE),"")</f>
        <v>19.338408533503909</v>
      </c>
      <c r="AS82" s="89">
        <f t="shared" si="8"/>
        <v>1.0319618368664614</v>
      </c>
      <c r="AT82" s="90">
        <f t="shared" si="9"/>
        <v>18.399999999999999</v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14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82" s="122">
        <f t="shared" si="10"/>
        <v>4.3999999999999986</v>
      </c>
    </row>
    <row r="83" spans="1:49" ht="14.25" customHeight="1" x14ac:dyDescent="0.2">
      <c r="A83" s="119">
        <v>29045190</v>
      </c>
      <c r="B83" s="47" t="s">
        <v>37</v>
      </c>
      <c r="C83" s="52" t="s">
        <v>1295</v>
      </c>
      <c r="D83" s="49">
        <v>-74.78</v>
      </c>
      <c r="E83" s="49">
        <v>10.917999999999999</v>
      </c>
      <c r="F83" s="50">
        <v>14</v>
      </c>
      <c r="G83" s="50">
        <v>8</v>
      </c>
      <c r="H83" s="50">
        <v>8758</v>
      </c>
      <c r="I83" s="47" t="s">
        <v>38</v>
      </c>
      <c r="J83" s="63" t="s">
        <v>39</v>
      </c>
      <c r="K83" s="51">
        <v>26.1</v>
      </c>
      <c r="L83" s="51">
        <v>26</v>
      </c>
      <c r="M83" s="51">
        <v>25.9</v>
      </c>
      <c r="N83" s="51">
        <v>25.6</v>
      </c>
      <c r="O83" s="51">
        <v>25.6</v>
      </c>
      <c r="P83" s="51">
        <v>26.4</v>
      </c>
      <c r="Q83" s="51">
        <v>26.6</v>
      </c>
      <c r="R83" s="51">
        <v>26.7</v>
      </c>
      <c r="S83" s="51">
        <v>26.5</v>
      </c>
      <c r="T83" s="51">
        <v>25.7</v>
      </c>
      <c r="U83" s="51">
        <v>26.5</v>
      </c>
      <c r="V83" s="51">
        <v>26.6</v>
      </c>
      <c r="W83" s="51">
        <v>25.5</v>
      </c>
      <c r="X83" s="51">
        <v>26.2</v>
      </c>
      <c r="Y83" s="51">
        <v>26.8</v>
      </c>
      <c r="Z83" s="111">
        <v>26.4</v>
      </c>
      <c r="AA83" s="51">
        <v>26.5</v>
      </c>
      <c r="AB83" s="51">
        <v>26.5</v>
      </c>
      <c r="AC83" s="51">
        <v>25.7</v>
      </c>
      <c r="AD83" s="51">
        <v>25.2</v>
      </c>
      <c r="AE83" s="51">
        <v>23.7</v>
      </c>
      <c r="AF83" s="51">
        <v>26.6</v>
      </c>
      <c r="AG83" s="51">
        <v>26.1</v>
      </c>
      <c r="AH83" s="51">
        <v>25.1</v>
      </c>
      <c r="AI83" s="51">
        <v>25.9</v>
      </c>
      <c r="AJ83" s="51">
        <v>25.8</v>
      </c>
      <c r="AK83" s="51">
        <v>23.7</v>
      </c>
      <c r="AL83" s="51"/>
      <c r="AM83" s="51"/>
      <c r="AN83" s="51"/>
      <c r="AO83" s="51"/>
      <c r="AP83" s="88">
        <f t="shared" si="6"/>
        <v>27</v>
      </c>
      <c r="AQ83" s="89">
        <f t="shared" si="7"/>
        <v>25.922222222222224</v>
      </c>
      <c r="AR83" s="89">
        <f>IFERROR(VLOOKUP(A83,Climatologia!A:U,9+$E$2,FALSE),"")</f>
        <v>24.84616941928422</v>
      </c>
      <c r="AS83" s="89">
        <f t="shared" si="8"/>
        <v>1.0760528029380048</v>
      </c>
      <c r="AT83" s="90">
        <f t="shared" si="9"/>
        <v>23.7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21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83" s="122">
        <f t="shared" si="10"/>
        <v>2.6999999999999993</v>
      </c>
    </row>
    <row r="84" spans="1:49" ht="14.25" customHeight="1" x14ac:dyDescent="0.2">
      <c r="A84" s="120">
        <v>23125100</v>
      </c>
      <c r="B84" s="52" t="s">
        <v>211</v>
      </c>
      <c r="C84" s="52" t="s">
        <v>212</v>
      </c>
      <c r="D84" s="53">
        <v>-73.943111110000004</v>
      </c>
      <c r="E84" s="53">
        <v>5.5149166669999996</v>
      </c>
      <c r="F84" s="48">
        <v>2200</v>
      </c>
      <c r="G84" s="46">
        <v>15</v>
      </c>
      <c r="H84" s="46">
        <v>15109</v>
      </c>
      <c r="I84" s="55" t="s">
        <v>213</v>
      </c>
      <c r="J84" s="55" t="s">
        <v>211</v>
      </c>
      <c r="K84" s="51">
        <v>13.8</v>
      </c>
      <c r="L84" s="51">
        <v>12</v>
      </c>
      <c r="M84" s="51">
        <v>12</v>
      </c>
      <c r="N84" s="51">
        <v>11.4</v>
      </c>
      <c r="O84" s="51">
        <v>11.4</v>
      </c>
      <c r="P84" s="51">
        <v>12.2</v>
      </c>
      <c r="Q84" s="51">
        <v>11.2</v>
      </c>
      <c r="R84" s="51">
        <v>14</v>
      </c>
      <c r="S84" s="51">
        <v>13</v>
      </c>
      <c r="T84" s="51">
        <v>14.2</v>
      </c>
      <c r="U84" s="51">
        <v>13.2</v>
      </c>
      <c r="V84" s="51">
        <v>11.4</v>
      </c>
      <c r="W84" s="51">
        <v>14</v>
      </c>
      <c r="X84" s="51">
        <v>12.4</v>
      </c>
      <c r="Y84" s="51">
        <v>12.4</v>
      </c>
      <c r="Z84" s="111">
        <v>13</v>
      </c>
      <c r="AA84" s="51"/>
      <c r="AB84" s="51">
        <v>13</v>
      </c>
      <c r="AC84" s="51">
        <v>12.8</v>
      </c>
      <c r="AD84" s="51">
        <v>12.8</v>
      </c>
      <c r="AE84" s="51">
        <v>12</v>
      </c>
      <c r="AF84" s="51">
        <v>10.4</v>
      </c>
      <c r="AG84" s="51">
        <v>13.6</v>
      </c>
      <c r="AH84" s="51">
        <v>11.8</v>
      </c>
      <c r="AI84" s="51">
        <v>9.1999999999999993</v>
      </c>
      <c r="AJ84" s="51">
        <v>11.2</v>
      </c>
      <c r="AK84" s="51">
        <v>11.2</v>
      </c>
      <c r="AL84" s="51"/>
      <c r="AM84" s="51"/>
      <c r="AN84" s="51"/>
      <c r="AO84" s="51"/>
      <c r="AP84" s="88">
        <f t="shared" si="6"/>
        <v>26</v>
      </c>
      <c r="AQ84" s="89">
        <f t="shared" si="7"/>
        <v>12.292307692307693</v>
      </c>
      <c r="AR84" s="89">
        <f>IFERROR(VLOOKUP(A84,Climatologia!A:U,9+$E$2,FALSE),"")</f>
        <v>11.21</v>
      </c>
      <c r="AS84" s="89">
        <f t="shared" si="8"/>
        <v>1.0823076923076922</v>
      </c>
      <c r="AT84" s="90">
        <f t="shared" si="9"/>
        <v>9.1999999999999993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4.4000000000000004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4" s="122">
        <f t="shared" si="10"/>
        <v>4.7999999999999989</v>
      </c>
    </row>
    <row r="85" spans="1:49" ht="14.25" customHeight="1" x14ac:dyDescent="0.2">
      <c r="A85" s="120">
        <v>52015010</v>
      </c>
      <c r="B85" s="52" t="s">
        <v>277</v>
      </c>
      <c r="C85" s="52" t="s">
        <v>262</v>
      </c>
      <c r="D85" s="53">
        <v>-76.611944440000002</v>
      </c>
      <c r="E85" s="53">
        <v>2.2497222219999999</v>
      </c>
      <c r="F85" s="48">
        <v>2450</v>
      </c>
      <c r="G85" s="46">
        <v>19</v>
      </c>
      <c r="H85" s="46">
        <v>19760</v>
      </c>
      <c r="I85" s="55" t="s">
        <v>182</v>
      </c>
      <c r="J85" s="55" t="s">
        <v>278</v>
      </c>
      <c r="K85" s="51">
        <v>13.6</v>
      </c>
      <c r="L85" s="51">
        <v>13.4</v>
      </c>
      <c r="M85" s="51">
        <v>12.5</v>
      </c>
      <c r="N85" s="51">
        <v>11.2</v>
      </c>
      <c r="O85" s="51">
        <v>12.5</v>
      </c>
      <c r="P85" s="51">
        <v>12.8</v>
      </c>
      <c r="Q85" s="51">
        <v>13.4</v>
      </c>
      <c r="R85" s="51">
        <v>13.9</v>
      </c>
      <c r="S85" s="51">
        <v>12.4</v>
      </c>
      <c r="T85" s="51">
        <v>14.2</v>
      </c>
      <c r="U85" s="51">
        <v>14.2</v>
      </c>
      <c r="V85" s="51">
        <v>12.6</v>
      </c>
      <c r="W85" s="51">
        <v>12.5</v>
      </c>
      <c r="X85" s="51">
        <v>12.3</v>
      </c>
      <c r="Y85" s="51">
        <v>13.2</v>
      </c>
      <c r="Z85" s="111">
        <v>14.3</v>
      </c>
      <c r="AA85" s="51">
        <v>14.2</v>
      </c>
      <c r="AB85" s="51">
        <v>13.3</v>
      </c>
      <c r="AC85" s="51">
        <v>11.4</v>
      </c>
      <c r="AD85" s="51">
        <v>10.3</v>
      </c>
      <c r="AE85" s="51">
        <v>10.8</v>
      </c>
      <c r="AF85" s="51">
        <v>11.2</v>
      </c>
      <c r="AG85" s="51">
        <v>13.6</v>
      </c>
      <c r="AH85" s="51">
        <v>12.8</v>
      </c>
      <c r="AI85" s="51">
        <v>11.7</v>
      </c>
      <c r="AJ85" s="51">
        <v>11.9</v>
      </c>
      <c r="AK85" s="51">
        <v>12.2</v>
      </c>
      <c r="AL85" s="51"/>
      <c r="AM85" s="51"/>
      <c r="AN85" s="51"/>
      <c r="AO85" s="51"/>
      <c r="AP85" s="88">
        <f t="shared" si="6"/>
        <v>27</v>
      </c>
      <c r="AQ85" s="89">
        <f t="shared" si="7"/>
        <v>12.68148148148148</v>
      </c>
      <c r="AR85" s="89">
        <f>IFERROR(VLOOKUP(A85,Climatologia!A:U,9+$E$2,FALSE),"")</f>
        <v>11.599107526881721</v>
      </c>
      <c r="AS85" s="89">
        <f t="shared" si="8"/>
        <v>1.0823739545997597</v>
      </c>
      <c r="AT85" s="90">
        <f t="shared" si="9"/>
        <v>10.3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5.4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85" s="122">
        <f t="shared" si="10"/>
        <v>4.9000000000000004</v>
      </c>
    </row>
    <row r="86" spans="1:49" ht="14.25" customHeight="1" x14ac:dyDescent="0.2">
      <c r="A86" s="120">
        <v>24055040</v>
      </c>
      <c r="B86" s="52" t="s">
        <v>330</v>
      </c>
      <c r="C86" s="52" t="s">
        <v>300</v>
      </c>
      <c r="D86" s="53">
        <v>-73.292000000000002</v>
      </c>
      <c r="E86" s="53">
        <v>6.5497222219999998</v>
      </c>
      <c r="F86" s="48">
        <v>940</v>
      </c>
      <c r="G86" s="46">
        <v>68</v>
      </c>
      <c r="H86" s="46">
        <v>68522</v>
      </c>
      <c r="I86" s="55" t="s">
        <v>50</v>
      </c>
      <c r="J86" s="55" t="s">
        <v>331</v>
      </c>
      <c r="K86" s="51">
        <v>20.399999999999999</v>
      </c>
      <c r="L86" s="51">
        <v>22</v>
      </c>
      <c r="M86" s="51">
        <v>20.6</v>
      </c>
      <c r="N86" s="51">
        <v>21.8</v>
      </c>
      <c r="O86" s="51">
        <v>21.2</v>
      </c>
      <c r="P86" s="51">
        <v>20</v>
      </c>
      <c r="Q86" s="51">
        <v>21</v>
      </c>
      <c r="R86" s="51">
        <v>21.8</v>
      </c>
      <c r="S86" s="51">
        <v>20.8</v>
      </c>
      <c r="T86" s="51">
        <v>19.2</v>
      </c>
      <c r="U86" s="51">
        <v>20.399999999999999</v>
      </c>
      <c r="V86" s="51">
        <v>21.2</v>
      </c>
      <c r="W86" s="51">
        <v>21.6</v>
      </c>
      <c r="X86" s="51">
        <v>21.2</v>
      </c>
      <c r="Y86" s="51">
        <v>20.8</v>
      </c>
      <c r="Z86" s="111">
        <v>20.6</v>
      </c>
      <c r="AA86" s="51"/>
      <c r="AB86" s="51"/>
      <c r="AC86" s="51">
        <v>21.2</v>
      </c>
      <c r="AD86" s="51">
        <v>20.8</v>
      </c>
      <c r="AE86" s="51">
        <v>21.8</v>
      </c>
      <c r="AF86" s="51">
        <v>21</v>
      </c>
      <c r="AG86" s="51">
        <v>21.2</v>
      </c>
      <c r="AH86" s="51">
        <v>21</v>
      </c>
      <c r="AI86" s="51">
        <v>20.2</v>
      </c>
      <c r="AJ86" s="51">
        <v>20</v>
      </c>
      <c r="AK86" s="51">
        <v>21.2</v>
      </c>
      <c r="AL86" s="51"/>
      <c r="AM86" s="51"/>
      <c r="AN86" s="51"/>
      <c r="AO86" s="51"/>
      <c r="AP86" s="88">
        <f t="shared" si="6"/>
        <v>25</v>
      </c>
      <c r="AQ86" s="89">
        <f t="shared" si="7"/>
        <v>20.92</v>
      </c>
      <c r="AR86" s="89">
        <f>IFERROR(VLOOKUP(A86,Climatologia!A:U,9+$E$2,FALSE),"")</f>
        <v>19.834386821064239</v>
      </c>
      <c r="AS86" s="89">
        <f t="shared" si="8"/>
        <v>1.0856131789357626</v>
      </c>
      <c r="AT86" s="90">
        <f t="shared" si="9"/>
        <v>19.2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15.6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86" s="122">
        <f t="shared" si="10"/>
        <v>3.5999999999999996</v>
      </c>
    </row>
    <row r="87" spans="1:49" ht="14.25" customHeight="1" x14ac:dyDescent="0.2">
      <c r="A87" s="120">
        <v>23055040</v>
      </c>
      <c r="B87" s="52" t="s">
        <v>380</v>
      </c>
      <c r="C87" s="52" t="s">
        <v>356</v>
      </c>
      <c r="D87" s="53">
        <v>-74.992927777999995</v>
      </c>
      <c r="E87" s="53">
        <v>5.4182880559999997</v>
      </c>
      <c r="F87" s="48">
        <v>1532</v>
      </c>
      <c r="G87" s="46">
        <v>17</v>
      </c>
      <c r="H87" s="46">
        <v>17662</v>
      </c>
      <c r="I87" s="55" t="s">
        <v>117</v>
      </c>
      <c r="J87" s="55" t="s">
        <v>381</v>
      </c>
      <c r="K87" s="51">
        <v>18.600000000000001</v>
      </c>
      <c r="L87" s="51">
        <v>18.2</v>
      </c>
      <c r="M87" s="51">
        <v>17.2</v>
      </c>
      <c r="N87" s="51">
        <v>18</v>
      </c>
      <c r="O87" s="51">
        <v>18</v>
      </c>
      <c r="P87" s="51">
        <v>17.8</v>
      </c>
      <c r="Q87" s="51">
        <v>18</v>
      </c>
      <c r="R87" s="51">
        <v>15.4</v>
      </c>
      <c r="S87" s="51">
        <v>18.2</v>
      </c>
      <c r="T87" s="51">
        <v>19.2</v>
      </c>
      <c r="U87" s="51">
        <v>19.2</v>
      </c>
      <c r="V87" s="51">
        <v>17.8</v>
      </c>
      <c r="W87" s="51">
        <v>18.2</v>
      </c>
      <c r="X87" s="51">
        <v>17</v>
      </c>
      <c r="Y87" s="51">
        <v>19.399999999999999</v>
      </c>
      <c r="Z87" s="111">
        <v>19.8</v>
      </c>
      <c r="AA87" s="51"/>
      <c r="AB87" s="51">
        <v>19.8</v>
      </c>
      <c r="AC87" s="51">
        <v>18</v>
      </c>
      <c r="AD87" s="51">
        <v>17.2</v>
      </c>
      <c r="AE87" s="51">
        <v>16.8</v>
      </c>
      <c r="AF87" s="51">
        <v>16.600000000000001</v>
      </c>
      <c r="AG87" s="51">
        <v>16.399999999999999</v>
      </c>
      <c r="AH87" s="51">
        <v>17.2</v>
      </c>
      <c r="AI87" s="51">
        <v>17.2</v>
      </c>
      <c r="AJ87" s="51">
        <v>18</v>
      </c>
      <c r="AK87" s="51">
        <v>17.600000000000001</v>
      </c>
      <c r="AL87" s="51"/>
      <c r="AM87" s="51"/>
      <c r="AN87" s="51"/>
      <c r="AO87" s="51"/>
      <c r="AP87" s="88">
        <f t="shared" si="6"/>
        <v>26</v>
      </c>
      <c r="AQ87" s="89">
        <f t="shared" si="7"/>
        <v>17.876923076923074</v>
      </c>
      <c r="AR87" s="89">
        <f>IFERROR(VLOOKUP(A87,Climatologia!A:U,9+$E$2,FALSE),"")</f>
        <v>16.78852483149106</v>
      </c>
      <c r="AS87" s="89">
        <f t="shared" si="8"/>
        <v>1.088398245432014</v>
      </c>
      <c r="AT87" s="90">
        <f t="shared" si="9"/>
        <v>15.4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14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87" s="122">
        <f t="shared" si="10"/>
        <v>1.4000000000000004</v>
      </c>
    </row>
    <row r="88" spans="1:49" ht="14.25" customHeight="1" x14ac:dyDescent="0.2">
      <c r="A88" s="120">
        <v>16025040</v>
      </c>
      <c r="B88" s="52" t="s">
        <v>307</v>
      </c>
      <c r="C88" s="52" t="s">
        <v>300</v>
      </c>
      <c r="D88" s="53">
        <v>-72.47878</v>
      </c>
      <c r="E88" s="53">
        <v>8.1672799999999999</v>
      </c>
      <c r="F88" s="48">
        <v>96</v>
      </c>
      <c r="G88" s="46">
        <v>54</v>
      </c>
      <c r="H88" s="46">
        <v>54001</v>
      </c>
      <c r="I88" s="55" t="s">
        <v>301</v>
      </c>
      <c r="J88" s="55" t="s">
        <v>305</v>
      </c>
      <c r="K88" s="51">
        <v>26.2</v>
      </c>
      <c r="L88" s="51">
        <v>23.4</v>
      </c>
      <c r="M88" s="51">
        <v>24.6</v>
      </c>
      <c r="N88" s="51">
        <v>23.4</v>
      </c>
      <c r="O88" s="51">
        <v>25</v>
      </c>
      <c r="P88" s="51">
        <v>23.4</v>
      </c>
      <c r="Q88" s="51">
        <v>25.2</v>
      </c>
      <c r="R88" s="51">
        <v>25</v>
      </c>
      <c r="S88" s="51">
        <v>26</v>
      </c>
      <c r="T88" s="51">
        <v>23.2</v>
      </c>
      <c r="U88" s="51">
        <v>22.6</v>
      </c>
      <c r="V88" s="51">
        <v>23.4</v>
      </c>
      <c r="W88" s="51">
        <v>22.6</v>
      </c>
      <c r="X88" s="51">
        <v>23.6</v>
      </c>
      <c r="Y88" s="51">
        <v>25.2</v>
      </c>
      <c r="Z88" s="111">
        <v>24.6</v>
      </c>
      <c r="AA88" s="51">
        <v>24.2</v>
      </c>
      <c r="AB88" s="51">
        <v>25.2</v>
      </c>
      <c r="AC88" s="51">
        <v>24</v>
      </c>
      <c r="AD88" s="51">
        <v>22.6</v>
      </c>
      <c r="AE88" s="51">
        <v>24.2</v>
      </c>
      <c r="AF88" s="51">
        <v>23.6</v>
      </c>
      <c r="AG88" s="51">
        <v>24.8</v>
      </c>
      <c r="AH88" s="51">
        <v>23.6</v>
      </c>
      <c r="AI88" s="51">
        <v>24.4</v>
      </c>
      <c r="AJ88" s="51">
        <v>23.8</v>
      </c>
      <c r="AK88" s="51">
        <v>24.2</v>
      </c>
      <c r="AL88" s="51"/>
      <c r="AM88" s="51"/>
      <c r="AN88" s="51"/>
      <c r="AO88" s="51"/>
      <c r="AP88" s="88">
        <f t="shared" si="6"/>
        <v>27</v>
      </c>
      <c r="AQ88" s="89">
        <f t="shared" si="7"/>
        <v>24.148148148148149</v>
      </c>
      <c r="AR88" s="89">
        <f>IFERROR(VLOOKUP(A88,Climatologia!A:U,9+$E$2,FALSE),"")</f>
        <v>23.058077373350361</v>
      </c>
      <c r="AS88" s="89">
        <f t="shared" si="8"/>
        <v>1.0900707747977876</v>
      </c>
      <c r="AT88" s="90">
        <f t="shared" si="9"/>
        <v>22.6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88" s="122">
        <f t="shared" si="10"/>
        <v>6.6000000000000014</v>
      </c>
    </row>
    <row r="89" spans="1:49" s="118" customFormat="1" ht="14.25" customHeight="1" x14ac:dyDescent="0.2">
      <c r="A89" s="119">
        <v>38015030</v>
      </c>
      <c r="B89" s="55" t="s">
        <v>92</v>
      </c>
      <c r="C89" s="52" t="s">
        <v>1295</v>
      </c>
      <c r="D89" s="53">
        <v>-67.491</v>
      </c>
      <c r="E89" s="53">
        <v>6.1820000000000004</v>
      </c>
      <c r="F89" s="54">
        <v>57</v>
      </c>
      <c r="G89" s="54">
        <v>99</v>
      </c>
      <c r="H89" s="54">
        <v>99001</v>
      </c>
      <c r="I89" s="55" t="s">
        <v>93</v>
      </c>
      <c r="J89" s="64" t="s">
        <v>94</v>
      </c>
      <c r="K89" s="51">
        <v>24.8</v>
      </c>
      <c r="L89" s="51">
        <v>25</v>
      </c>
      <c r="M89" s="51">
        <v>24.8</v>
      </c>
      <c r="N89" s="51">
        <v>22.8</v>
      </c>
      <c r="O89" s="51">
        <v>22.9</v>
      </c>
      <c r="P89" s="51">
        <v>22.4</v>
      </c>
      <c r="Q89" s="51">
        <v>22.4</v>
      </c>
      <c r="R89" s="51">
        <v>25.4</v>
      </c>
      <c r="S89" s="51">
        <v>24</v>
      </c>
      <c r="T89" s="51">
        <v>24.8</v>
      </c>
      <c r="U89" s="51">
        <v>24</v>
      </c>
      <c r="V89" s="51">
        <v>23.2</v>
      </c>
      <c r="W89" s="51">
        <v>24</v>
      </c>
      <c r="X89" s="51">
        <v>24.2</v>
      </c>
      <c r="Y89" s="51">
        <v>25.4</v>
      </c>
      <c r="Z89" s="111">
        <v>25.4</v>
      </c>
      <c r="AA89" s="51">
        <v>25.8</v>
      </c>
      <c r="AB89" s="51">
        <v>25.4</v>
      </c>
      <c r="AC89" s="51">
        <v>24.4</v>
      </c>
      <c r="AD89" s="51">
        <v>24.4</v>
      </c>
      <c r="AE89" s="51">
        <v>25</v>
      </c>
      <c r="AF89" s="51">
        <v>25.2</v>
      </c>
      <c r="AG89" s="51">
        <v>24.6</v>
      </c>
      <c r="AH89" s="51">
        <v>25.2</v>
      </c>
      <c r="AI89" s="51">
        <v>25.8</v>
      </c>
      <c r="AJ89" s="51">
        <v>25.4</v>
      </c>
      <c r="AK89" s="51">
        <v>23.8</v>
      </c>
      <c r="AL89" s="51"/>
      <c r="AM89" s="51"/>
      <c r="AN89" s="51"/>
      <c r="AO89" s="51"/>
      <c r="AP89" s="88">
        <f t="shared" si="6"/>
        <v>27</v>
      </c>
      <c r="AQ89" s="89">
        <f t="shared" si="7"/>
        <v>24.462962962962958</v>
      </c>
      <c r="AR89" s="89">
        <f>IFERROR(VLOOKUP(A89,Climatologia!A:U,9+$E$2,FALSE),"")</f>
        <v>23.3590368608799</v>
      </c>
      <c r="AS89" s="89">
        <f t="shared" si="8"/>
        <v>1.103926102083058</v>
      </c>
      <c r="AT89" s="90">
        <f t="shared" si="9"/>
        <v>22.4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19.2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89" s="122">
        <f t="shared" si="10"/>
        <v>3.1999999999999993</v>
      </c>
    </row>
    <row r="90" spans="1:49" ht="14.25" customHeight="1" x14ac:dyDescent="0.2">
      <c r="A90" s="120">
        <v>52025020</v>
      </c>
      <c r="B90" s="52" t="s">
        <v>279</v>
      </c>
      <c r="C90" s="52" t="s">
        <v>262</v>
      </c>
      <c r="D90" s="53">
        <v>-76.891666670000006</v>
      </c>
      <c r="E90" s="53">
        <v>1.753333333</v>
      </c>
      <c r="F90" s="48">
        <v>2300</v>
      </c>
      <c r="G90" s="46">
        <v>19</v>
      </c>
      <c r="H90" s="46">
        <v>19100</v>
      </c>
      <c r="I90" s="55" t="s">
        <v>182</v>
      </c>
      <c r="J90" s="55" t="s">
        <v>35</v>
      </c>
      <c r="K90" s="51">
        <v>15.2</v>
      </c>
      <c r="L90" s="51">
        <v>13.6</v>
      </c>
      <c r="M90" s="51">
        <v>14.2</v>
      </c>
      <c r="N90" s="51">
        <v>13.2</v>
      </c>
      <c r="O90" s="51">
        <v>13.6</v>
      </c>
      <c r="P90" s="51">
        <v>15.4</v>
      </c>
      <c r="Q90" s="51">
        <v>15</v>
      </c>
      <c r="R90" s="51">
        <v>15.2</v>
      </c>
      <c r="S90" s="51">
        <v>14.4</v>
      </c>
      <c r="T90" s="51">
        <v>15.6</v>
      </c>
      <c r="U90" s="51">
        <v>15.4</v>
      </c>
      <c r="V90" s="51">
        <v>13.6</v>
      </c>
      <c r="W90" s="51">
        <v>14.4</v>
      </c>
      <c r="X90" s="51">
        <v>13.8</v>
      </c>
      <c r="Y90" s="51">
        <v>14.2</v>
      </c>
      <c r="Z90" s="111">
        <v>15.2</v>
      </c>
      <c r="AA90" s="51">
        <v>15.6</v>
      </c>
      <c r="AB90" s="51">
        <v>16</v>
      </c>
      <c r="AC90" s="51">
        <v>13.4</v>
      </c>
      <c r="AD90" s="51">
        <v>12.4</v>
      </c>
      <c r="AE90" s="51">
        <v>12.6</v>
      </c>
      <c r="AF90" s="51">
        <v>13.2</v>
      </c>
      <c r="AG90" s="51">
        <v>14.6</v>
      </c>
      <c r="AH90" s="51">
        <v>14.4</v>
      </c>
      <c r="AI90" s="51">
        <v>14</v>
      </c>
      <c r="AJ90" s="51">
        <v>14.2</v>
      </c>
      <c r="AK90" s="51"/>
      <c r="AL90" s="51"/>
      <c r="AM90" s="51"/>
      <c r="AN90" s="51"/>
      <c r="AO90" s="51"/>
      <c r="AP90" s="88">
        <f t="shared" si="6"/>
        <v>26</v>
      </c>
      <c r="AQ90" s="89">
        <f t="shared" si="7"/>
        <v>14.323076923076922</v>
      </c>
      <c r="AR90" s="89">
        <f>IFERROR(VLOOKUP(A90,Climatologia!A:U,9+$E$2,FALSE),"")</f>
        <v>13.19300778642936</v>
      </c>
      <c r="AS90" s="89">
        <f t="shared" si="8"/>
        <v>1.1300691366475615</v>
      </c>
      <c r="AT90" s="90">
        <f t="shared" si="9"/>
        <v>12.4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8.1999999999999993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90" s="122">
        <f t="shared" si="10"/>
        <v>4.2000000000000011</v>
      </c>
    </row>
    <row r="91" spans="1:49" ht="14.25" customHeight="1" x14ac:dyDescent="0.2">
      <c r="A91" s="120">
        <v>21185080</v>
      </c>
      <c r="B91" s="52" t="s">
        <v>361</v>
      </c>
      <c r="C91" s="52" t="s">
        <v>356</v>
      </c>
      <c r="D91" s="53">
        <v>-75.104611110999997</v>
      </c>
      <c r="E91" s="53">
        <v>4.2164583330000003</v>
      </c>
      <c r="F91" s="48">
        <v>591</v>
      </c>
      <c r="G91" s="46">
        <v>73</v>
      </c>
      <c r="H91" s="46">
        <v>73854</v>
      </c>
      <c r="I91" s="55" t="s">
        <v>71</v>
      </c>
      <c r="J91" s="55" t="s">
        <v>361</v>
      </c>
      <c r="K91" s="51">
        <v>22</v>
      </c>
      <c r="L91" s="51">
        <v>20.6</v>
      </c>
      <c r="M91" s="51">
        <v>20</v>
      </c>
      <c r="N91" s="51">
        <v>19.8</v>
      </c>
      <c r="O91" s="51">
        <v>21</v>
      </c>
      <c r="P91" s="51">
        <v>20.8</v>
      </c>
      <c r="Q91" s="51">
        <v>22</v>
      </c>
      <c r="R91" s="51">
        <v>23.8</v>
      </c>
      <c r="S91" s="51">
        <v>22</v>
      </c>
      <c r="T91" s="51">
        <v>21</v>
      </c>
      <c r="U91" s="51">
        <v>19.399999999999999</v>
      </c>
      <c r="V91" s="51">
        <v>22</v>
      </c>
      <c r="W91" s="51">
        <v>21</v>
      </c>
      <c r="X91" s="51">
        <v>19.2</v>
      </c>
      <c r="Y91" s="51">
        <v>21.2</v>
      </c>
      <c r="Z91" s="111">
        <v>21.4</v>
      </c>
      <c r="AA91" s="51">
        <v>21.6</v>
      </c>
      <c r="AB91" s="51">
        <v>21.8</v>
      </c>
      <c r="AC91" s="51">
        <v>21</v>
      </c>
      <c r="AD91" s="51">
        <v>22.8</v>
      </c>
      <c r="AE91" s="51">
        <v>21.2</v>
      </c>
      <c r="AF91" s="51">
        <v>21.4</v>
      </c>
      <c r="AG91" s="51">
        <v>22.2</v>
      </c>
      <c r="AH91" s="51">
        <v>22</v>
      </c>
      <c r="AI91" s="51">
        <v>20</v>
      </c>
      <c r="AJ91" s="51">
        <v>23.2</v>
      </c>
      <c r="AK91" s="51">
        <v>19</v>
      </c>
      <c r="AL91" s="51"/>
      <c r="AM91" s="51"/>
      <c r="AN91" s="51"/>
      <c r="AO91" s="51"/>
      <c r="AP91" s="88">
        <f t="shared" si="6"/>
        <v>27</v>
      </c>
      <c r="AQ91" s="89">
        <f t="shared" si="7"/>
        <v>21.237037037037037</v>
      </c>
      <c r="AR91" s="89">
        <f>IFERROR(VLOOKUP(A91,Climatologia!A:U,9+$E$2,FALSE),"")</f>
        <v>20.105130783418979</v>
      </c>
      <c r="AS91" s="89">
        <f t="shared" si="8"/>
        <v>1.1319062536180589</v>
      </c>
      <c r="AT91" s="90">
        <f t="shared" si="9"/>
        <v>19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16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91" s="122">
        <f t="shared" si="10"/>
        <v>3</v>
      </c>
    </row>
    <row r="92" spans="1:49" ht="14.25" customHeight="1" x14ac:dyDescent="0.2">
      <c r="A92" s="120">
        <v>12045020</v>
      </c>
      <c r="B92" s="52" t="s">
        <v>120</v>
      </c>
      <c r="C92" s="52" t="s">
        <v>119</v>
      </c>
      <c r="D92" s="53">
        <v>-76.224444439999999</v>
      </c>
      <c r="E92" s="53">
        <v>9.0711111110000004</v>
      </c>
      <c r="F92" s="48">
        <v>15</v>
      </c>
      <c r="G92" s="46">
        <v>23</v>
      </c>
      <c r="H92" s="46">
        <v>23574</v>
      </c>
      <c r="I92" s="55" t="s">
        <v>47</v>
      </c>
      <c r="J92" s="55" t="s">
        <v>121</v>
      </c>
      <c r="K92" s="51">
        <v>25.4</v>
      </c>
      <c r="L92" s="51">
        <v>27</v>
      </c>
      <c r="M92" s="51"/>
      <c r="N92" s="51">
        <v>23</v>
      </c>
      <c r="O92" s="51">
        <v>26.2</v>
      </c>
      <c r="P92" s="51">
        <v>26.8</v>
      </c>
      <c r="Q92" s="51">
        <v>26.4</v>
      </c>
      <c r="R92" s="51">
        <v>27.2</v>
      </c>
      <c r="S92" s="51">
        <v>24</v>
      </c>
      <c r="T92" s="51">
        <v>25.6</v>
      </c>
      <c r="U92" s="51">
        <v>27.2</v>
      </c>
      <c r="V92" s="51">
        <v>25.2</v>
      </c>
      <c r="W92" s="51">
        <v>23.8</v>
      </c>
      <c r="X92" s="51">
        <v>25.6</v>
      </c>
      <c r="Y92" s="51">
        <v>27</v>
      </c>
      <c r="Z92" s="111">
        <v>27.2</v>
      </c>
      <c r="AA92" s="51">
        <v>26.8</v>
      </c>
      <c r="AB92" s="51">
        <v>27.2</v>
      </c>
      <c r="AC92" s="51">
        <v>25</v>
      </c>
      <c r="AD92" s="51">
        <v>25.2</v>
      </c>
      <c r="AE92" s="51">
        <v>24.2</v>
      </c>
      <c r="AF92" s="51">
        <v>26.6</v>
      </c>
      <c r="AG92" s="51">
        <v>25.4</v>
      </c>
      <c r="AH92" s="51">
        <v>22.2</v>
      </c>
      <c r="AI92" s="51">
        <v>26.4</v>
      </c>
      <c r="AJ92" s="51">
        <v>24</v>
      </c>
      <c r="AK92" s="51">
        <v>24.2</v>
      </c>
      <c r="AL92" s="51"/>
      <c r="AM92" s="51"/>
      <c r="AN92" s="51"/>
      <c r="AO92" s="51"/>
      <c r="AP92" s="88">
        <f t="shared" si="6"/>
        <v>26</v>
      </c>
      <c r="AQ92" s="89">
        <f t="shared" si="7"/>
        <v>25.569230769230771</v>
      </c>
      <c r="AR92" s="89">
        <f>IFERROR(VLOOKUP(A92,Climatologia!A:U,9+$E$2,FALSE),"")</f>
        <v>24.432895496420521</v>
      </c>
      <c r="AS92" s="89">
        <f t="shared" si="8"/>
        <v>1.1363352728102498</v>
      </c>
      <c r="AT92" s="90">
        <f t="shared" si="9"/>
        <v>22.2</v>
      </c>
      <c r="AU92" s="90" t="str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/>
      </c>
      <c r="AV92" s="91" t="str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2" s="122" t="str">
        <f t="shared" si="10"/>
        <v>NA</v>
      </c>
    </row>
    <row r="93" spans="1:49" ht="14.25" customHeight="1" x14ac:dyDescent="0.2">
      <c r="A93" s="119">
        <v>21205791</v>
      </c>
      <c r="B93" s="52" t="s">
        <v>73</v>
      </c>
      <c r="C93" s="52" t="s">
        <v>1295</v>
      </c>
      <c r="D93" s="53">
        <v>-74.150999999999996</v>
      </c>
      <c r="E93" s="53">
        <v>4.7060000000000004</v>
      </c>
      <c r="F93" s="54">
        <v>2547</v>
      </c>
      <c r="G93" s="54">
        <v>25</v>
      </c>
      <c r="H93" s="54">
        <v>11001</v>
      </c>
      <c r="I93" s="55" t="s">
        <v>74</v>
      </c>
      <c r="J93" s="64" t="s">
        <v>75</v>
      </c>
      <c r="K93" s="51">
        <v>11</v>
      </c>
      <c r="L93" s="51">
        <v>6.1</v>
      </c>
      <c r="M93" s="51">
        <v>11.4</v>
      </c>
      <c r="N93" s="51">
        <v>9.5</v>
      </c>
      <c r="O93" s="51">
        <v>8.3000000000000007</v>
      </c>
      <c r="P93" s="51">
        <v>10.7</v>
      </c>
      <c r="Q93" s="51">
        <v>9.5</v>
      </c>
      <c r="R93" s="51">
        <v>11</v>
      </c>
      <c r="S93" s="51">
        <v>10.1</v>
      </c>
      <c r="T93" s="51">
        <v>11.1</v>
      </c>
      <c r="U93" s="51">
        <v>7</v>
      </c>
      <c r="V93" s="51">
        <v>10.3</v>
      </c>
      <c r="W93" s="51">
        <v>9.1999999999999993</v>
      </c>
      <c r="X93" s="51">
        <v>5.0999999999999996</v>
      </c>
      <c r="Y93" s="51">
        <v>10.199999999999999</v>
      </c>
      <c r="Z93" s="111">
        <v>9.3000000000000007</v>
      </c>
      <c r="AA93" s="51">
        <v>11.3</v>
      </c>
      <c r="AB93" s="51">
        <v>11.9</v>
      </c>
      <c r="AC93" s="51">
        <v>10.199999999999999</v>
      </c>
      <c r="AD93" s="51">
        <v>10</v>
      </c>
      <c r="AE93" s="51">
        <v>9</v>
      </c>
      <c r="AF93" s="51">
        <v>9.8000000000000007</v>
      </c>
      <c r="AG93" s="51">
        <v>11.5</v>
      </c>
      <c r="AH93" s="51">
        <v>10.6</v>
      </c>
      <c r="AI93" s="51">
        <v>9</v>
      </c>
      <c r="AJ93" s="51">
        <v>9.4</v>
      </c>
      <c r="AK93" s="51">
        <v>9.8000000000000007</v>
      </c>
      <c r="AL93" s="51"/>
      <c r="AM93" s="51"/>
      <c r="AN93" s="51"/>
      <c r="AO93" s="51"/>
      <c r="AP93" s="88">
        <f t="shared" si="6"/>
        <v>27</v>
      </c>
      <c r="AQ93" s="89">
        <f t="shared" si="7"/>
        <v>9.7148148148148152</v>
      </c>
      <c r="AR93" s="89">
        <f>IFERROR(VLOOKUP(A93,Climatologia!A:U,9+$E$2,FALSE),"")</f>
        <v>8.5669829725335838</v>
      </c>
      <c r="AS93" s="89">
        <f t="shared" si="8"/>
        <v>1.1478318422812315</v>
      </c>
      <c r="AT93" s="90">
        <f t="shared" si="9"/>
        <v>5.0999999999999996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93" s="122">
        <f t="shared" si="10"/>
        <v>4.6999999999999993</v>
      </c>
    </row>
    <row r="94" spans="1:49" ht="14.25" customHeight="1" x14ac:dyDescent="0.2">
      <c r="A94" s="119">
        <v>23155030</v>
      </c>
      <c r="B94" s="52" t="s">
        <v>49</v>
      </c>
      <c r="C94" s="52" t="s">
        <v>1295</v>
      </c>
      <c r="D94" s="53">
        <v>-73.808999999999997</v>
      </c>
      <c r="E94" s="53">
        <v>7.0259999999999998</v>
      </c>
      <c r="F94" s="54">
        <v>126</v>
      </c>
      <c r="G94" s="54">
        <v>68</v>
      </c>
      <c r="H94" s="54">
        <v>68081</v>
      </c>
      <c r="I94" s="55" t="s">
        <v>50</v>
      </c>
      <c r="J94" s="64" t="s">
        <v>51</v>
      </c>
      <c r="K94" s="51">
        <v>24</v>
      </c>
      <c r="L94" s="51">
        <v>24.2</v>
      </c>
      <c r="M94" s="51">
        <v>24.4</v>
      </c>
      <c r="N94" s="51">
        <v>23.4</v>
      </c>
      <c r="O94" s="51">
        <v>24.6</v>
      </c>
      <c r="P94" s="51">
        <v>24.8</v>
      </c>
      <c r="Q94" s="51">
        <v>26</v>
      </c>
      <c r="R94" s="51">
        <v>27</v>
      </c>
      <c r="S94" s="51">
        <v>23.8</v>
      </c>
      <c r="T94" s="51">
        <v>24</v>
      </c>
      <c r="U94" s="51">
        <v>24.2</v>
      </c>
      <c r="V94" s="51">
        <v>25.2</v>
      </c>
      <c r="W94" s="51">
        <v>24.8</v>
      </c>
      <c r="X94" s="51">
        <v>25.8</v>
      </c>
      <c r="Y94" s="51">
        <v>25.2</v>
      </c>
      <c r="Z94" s="111">
        <v>25.6</v>
      </c>
      <c r="AA94" s="51">
        <v>27.2</v>
      </c>
      <c r="AB94" s="51">
        <v>24.8</v>
      </c>
      <c r="AC94" s="51">
        <v>25</v>
      </c>
      <c r="AD94" s="51">
        <v>22.8</v>
      </c>
      <c r="AE94" s="51">
        <v>23</v>
      </c>
      <c r="AF94" s="51">
        <v>23.1</v>
      </c>
      <c r="AG94" s="51">
        <v>23.4</v>
      </c>
      <c r="AH94" s="51">
        <v>24</v>
      </c>
      <c r="AI94" s="51">
        <v>24.4</v>
      </c>
      <c r="AJ94" s="51">
        <v>23.8</v>
      </c>
      <c r="AK94" s="51">
        <v>24.8</v>
      </c>
      <c r="AL94" s="51"/>
      <c r="AM94" s="51"/>
      <c r="AN94" s="51"/>
      <c r="AO94" s="51"/>
      <c r="AP94" s="88">
        <f t="shared" si="6"/>
        <v>27</v>
      </c>
      <c r="AQ94" s="89">
        <f t="shared" si="7"/>
        <v>24.566666666666666</v>
      </c>
      <c r="AR94" s="89">
        <f>IFERROR(VLOOKUP(A94,Climatologia!A:U,9+$E$2,FALSE),"")</f>
        <v>23.41727263096562</v>
      </c>
      <c r="AS94" s="89">
        <f t="shared" si="8"/>
        <v>1.1493940357010466</v>
      </c>
      <c r="AT94" s="90">
        <f t="shared" si="9"/>
        <v>22.8</v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20.100000000000001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94" s="122">
        <f t="shared" si="10"/>
        <v>2.6999999999999993</v>
      </c>
    </row>
    <row r="95" spans="1:49" ht="14.25" customHeight="1" x14ac:dyDescent="0.2">
      <c r="A95" s="120">
        <v>26145020</v>
      </c>
      <c r="B95" s="52" t="s">
        <v>351</v>
      </c>
      <c r="C95" s="52" t="s">
        <v>337</v>
      </c>
      <c r="D95" s="53">
        <v>-75.800138888999996</v>
      </c>
      <c r="E95" s="53">
        <v>5.2759444440000003</v>
      </c>
      <c r="F95" s="48">
        <v>1984</v>
      </c>
      <c r="G95" s="46">
        <v>17</v>
      </c>
      <c r="H95" s="46">
        <v>17042</v>
      </c>
      <c r="I95" s="55" t="s">
        <v>117</v>
      </c>
      <c r="J95" s="55" t="s">
        <v>352</v>
      </c>
      <c r="K95" s="51">
        <v>14.8</v>
      </c>
      <c r="L95" s="51">
        <v>15.2</v>
      </c>
      <c r="M95" s="51">
        <v>14.8</v>
      </c>
      <c r="N95" s="51">
        <v>14.8</v>
      </c>
      <c r="O95" s="51">
        <v>14</v>
      </c>
      <c r="P95" s="51">
        <v>15.2</v>
      </c>
      <c r="Q95" s="51"/>
      <c r="R95" s="51">
        <v>15.4</v>
      </c>
      <c r="S95" s="51">
        <v>16</v>
      </c>
      <c r="T95" s="51"/>
      <c r="U95" s="51">
        <v>14.2</v>
      </c>
      <c r="V95" s="51">
        <v>15.8</v>
      </c>
      <c r="W95" s="51">
        <v>14.8</v>
      </c>
      <c r="X95" s="51">
        <v>13</v>
      </c>
      <c r="Y95" s="51">
        <v>15.4</v>
      </c>
      <c r="Z95" s="111">
        <v>13.8</v>
      </c>
      <c r="AA95" s="51">
        <v>15.4</v>
      </c>
      <c r="AB95" s="51">
        <v>15</v>
      </c>
      <c r="AC95" s="51">
        <v>15</v>
      </c>
      <c r="AD95" s="51">
        <v>15</v>
      </c>
      <c r="AE95" s="51">
        <v>14.2</v>
      </c>
      <c r="AF95" s="51">
        <v>14.2</v>
      </c>
      <c r="AG95" s="51">
        <v>15.8</v>
      </c>
      <c r="AH95" s="51">
        <v>15</v>
      </c>
      <c r="AI95" s="51">
        <v>13.8</v>
      </c>
      <c r="AJ95" s="51">
        <v>15</v>
      </c>
      <c r="AK95" s="51">
        <v>14</v>
      </c>
      <c r="AL95" s="51"/>
      <c r="AM95" s="51"/>
      <c r="AN95" s="51"/>
      <c r="AO95" s="51"/>
      <c r="AP95" s="88">
        <f t="shared" si="6"/>
        <v>25</v>
      </c>
      <c r="AQ95" s="89">
        <f t="shared" si="7"/>
        <v>14.784000000000001</v>
      </c>
      <c r="AR95" s="89">
        <f>IFERROR(VLOOKUP(A95,Climatologia!A:U,9+$E$2,FALSE),"")</f>
        <v>13.62930109243467</v>
      </c>
      <c r="AS95" s="89">
        <f t="shared" si="8"/>
        <v>1.1546989075653311</v>
      </c>
      <c r="AT95" s="90">
        <f t="shared" si="9"/>
        <v>13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7.2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95" s="122">
        <f t="shared" si="10"/>
        <v>5.8</v>
      </c>
    </row>
    <row r="96" spans="1:49" ht="14.25" customHeight="1" x14ac:dyDescent="0.2">
      <c r="A96" s="120">
        <v>21255080</v>
      </c>
      <c r="B96" s="52" t="s">
        <v>368</v>
      </c>
      <c r="C96" s="52" t="s">
        <v>356</v>
      </c>
      <c r="D96" s="53">
        <v>-74.767944439999994</v>
      </c>
      <c r="E96" s="53">
        <v>4.7837779999999999</v>
      </c>
      <c r="F96" s="48">
        <v>308</v>
      </c>
      <c r="G96" s="46">
        <v>73</v>
      </c>
      <c r="H96" s="46">
        <v>73030</v>
      </c>
      <c r="I96" s="55" t="s">
        <v>71</v>
      </c>
      <c r="J96" s="55" t="s">
        <v>369</v>
      </c>
      <c r="K96" s="51">
        <v>23.8</v>
      </c>
      <c r="L96" s="51">
        <v>24</v>
      </c>
      <c r="M96" s="51">
        <v>24.8</v>
      </c>
      <c r="N96" s="51">
        <v>23.8</v>
      </c>
      <c r="O96" s="51">
        <v>24.2</v>
      </c>
      <c r="P96" s="51">
        <v>24.2</v>
      </c>
      <c r="Q96" s="51">
        <v>24.8</v>
      </c>
      <c r="R96" s="51">
        <v>24.6</v>
      </c>
      <c r="S96" s="51"/>
      <c r="T96" s="51">
        <v>25.6</v>
      </c>
      <c r="U96" s="51">
        <v>24.2</v>
      </c>
      <c r="V96" s="51">
        <v>25.6</v>
      </c>
      <c r="W96" s="51">
        <v>24.2</v>
      </c>
      <c r="X96" s="51">
        <v>23.2</v>
      </c>
      <c r="Y96" s="51">
        <v>23.8</v>
      </c>
      <c r="Z96" s="111">
        <v>25.8</v>
      </c>
      <c r="AA96" s="51"/>
      <c r="AB96" s="51"/>
      <c r="AC96" s="51">
        <v>25.4</v>
      </c>
      <c r="AD96" s="51">
        <v>24.8</v>
      </c>
      <c r="AE96" s="51">
        <v>22.8</v>
      </c>
      <c r="AF96" s="51">
        <v>23.2</v>
      </c>
      <c r="AG96" s="51">
        <v>22.2</v>
      </c>
      <c r="AH96" s="51">
        <v>23</v>
      </c>
      <c r="AI96" s="51">
        <v>23.8</v>
      </c>
      <c r="AJ96" s="51">
        <v>23.8</v>
      </c>
      <c r="AK96" s="51">
        <v>24.8</v>
      </c>
      <c r="AL96" s="51"/>
      <c r="AM96" s="51"/>
      <c r="AN96" s="51"/>
      <c r="AO96" s="51"/>
      <c r="AP96" s="88">
        <f t="shared" si="6"/>
        <v>24</v>
      </c>
      <c r="AQ96" s="89">
        <f t="shared" si="7"/>
        <v>24.183333333333326</v>
      </c>
      <c r="AR96" s="89">
        <f>IFERROR(VLOOKUP(A96,Climatologia!A:U,9+$E$2,FALSE),"")</f>
        <v>22.996377049496669</v>
      </c>
      <c r="AS96" s="89">
        <f t="shared" si="8"/>
        <v>1.1869562838366576</v>
      </c>
      <c r="AT96" s="90">
        <f t="shared" si="9"/>
        <v>22.2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19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96" s="122">
        <f t="shared" si="10"/>
        <v>3.1999999999999993</v>
      </c>
    </row>
    <row r="97" spans="1:49" ht="14.25" customHeight="1" x14ac:dyDescent="0.2">
      <c r="A97" s="119">
        <v>23195502</v>
      </c>
      <c r="B97" s="52" t="s">
        <v>52</v>
      </c>
      <c r="C97" s="52" t="s">
        <v>1295</v>
      </c>
      <c r="D97" s="53">
        <v>-73.185000000000002</v>
      </c>
      <c r="E97" s="53">
        <v>7.1210000000000004</v>
      </c>
      <c r="F97" s="54">
        <v>1189</v>
      </c>
      <c r="G97" s="54">
        <v>68</v>
      </c>
      <c r="H97" s="54">
        <v>68406</v>
      </c>
      <c r="I97" s="55" t="s">
        <v>50</v>
      </c>
      <c r="J97" s="64" t="s">
        <v>53</v>
      </c>
      <c r="K97" s="51">
        <v>18.7</v>
      </c>
      <c r="L97" s="51">
        <v>21</v>
      </c>
      <c r="M97" s="51">
        <v>20</v>
      </c>
      <c r="N97" s="51">
        <v>20</v>
      </c>
      <c r="O97" s="51">
        <v>19.899999999999999</v>
      </c>
      <c r="P97" s="51">
        <v>19.100000000000001</v>
      </c>
      <c r="Q97" s="51">
        <v>19.899999999999999</v>
      </c>
      <c r="R97" s="51">
        <v>19.399999999999999</v>
      </c>
      <c r="S97" s="51">
        <v>19.399999999999999</v>
      </c>
      <c r="T97" s="51">
        <v>19.100000000000001</v>
      </c>
      <c r="U97" s="51">
        <v>19.8</v>
      </c>
      <c r="V97" s="51">
        <v>20.399999999999999</v>
      </c>
      <c r="W97" s="51">
        <v>20.3</v>
      </c>
      <c r="X97" s="51">
        <v>20.3</v>
      </c>
      <c r="Y97" s="51">
        <v>21.1</v>
      </c>
      <c r="Z97" s="111">
        <v>20.9</v>
      </c>
      <c r="AA97" s="51">
        <v>21.4</v>
      </c>
      <c r="AB97" s="51">
        <v>20.9</v>
      </c>
      <c r="AC97" s="51">
        <v>20</v>
      </c>
      <c r="AD97" s="51">
        <v>19.2</v>
      </c>
      <c r="AE97" s="51">
        <v>18.899999999999999</v>
      </c>
      <c r="AF97" s="51">
        <v>18.7</v>
      </c>
      <c r="AG97" s="51">
        <v>18.8</v>
      </c>
      <c r="AH97" s="51">
        <v>18.899999999999999</v>
      </c>
      <c r="AI97" s="51">
        <v>19.100000000000001</v>
      </c>
      <c r="AJ97" s="51">
        <v>19.8</v>
      </c>
      <c r="AK97" s="51">
        <v>19.7</v>
      </c>
      <c r="AL97" s="51"/>
      <c r="AM97" s="51"/>
      <c r="AN97" s="51"/>
      <c r="AO97" s="51"/>
      <c r="AP97" s="88">
        <f t="shared" si="6"/>
        <v>27</v>
      </c>
      <c r="AQ97" s="89">
        <f t="shared" si="7"/>
        <v>19.8037037037037</v>
      </c>
      <c r="AR97" s="89">
        <f>IFERROR(VLOOKUP(A97,Climatologia!A:U,9+$E$2,FALSE),"")</f>
        <v>18.607906136078171</v>
      </c>
      <c r="AS97" s="89">
        <f t="shared" si="8"/>
        <v>1.1957975676255295</v>
      </c>
      <c r="AT97" s="90">
        <f t="shared" si="9"/>
        <v>18.7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15.2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97" s="122">
        <f t="shared" si="10"/>
        <v>3.5</v>
      </c>
    </row>
    <row r="98" spans="1:49" ht="14.25" customHeight="1" x14ac:dyDescent="0.2">
      <c r="A98" s="120">
        <v>42075010</v>
      </c>
      <c r="B98" s="52" t="s">
        <v>173</v>
      </c>
      <c r="C98" s="52" t="s">
        <v>151</v>
      </c>
      <c r="D98" s="53">
        <v>-70.239204000000001</v>
      </c>
      <c r="E98" s="53">
        <v>1.2597020000000001</v>
      </c>
      <c r="F98" s="48">
        <v>168</v>
      </c>
      <c r="G98" s="46">
        <v>97</v>
      </c>
      <c r="H98" s="46">
        <v>97001</v>
      </c>
      <c r="I98" s="55" t="s">
        <v>174</v>
      </c>
      <c r="J98" s="55" t="s">
        <v>175</v>
      </c>
      <c r="K98" s="51">
        <v>23.2</v>
      </c>
      <c r="L98" s="51">
        <v>23.2</v>
      </c>
      <c r="M98" s="51">
        <v>23</v>
      </c>
      <c r="N98" s="51">
        <v>23</v>
      </c>
      <c r="O98" s="51">
        <v>23</v>
      </c>
      <c r="P98" s="51">
        <v>22.3</v>
      </c>
      <c r="Q98" s="51">
        <v>23</v>
      </c>
      <c r="R98" s="51">
        <v>23.3</v>
      </c>
      <c r="S98" s="51">
        <v>23.2</v>
      </c>
      <c r="T98" s="51">
        <v>22.3</v>
      </c>
      <c r="U98" s="51">
        <v>22.3</v>
      </c>
      <c r="V98" s="51">
        <v>23</v>
      </c>
      <c r="W98" s="51">
        <v>23.1</v>
      </c>
      <c r="X98" s="51">
        <v>23</v>
      </c>
      <c r="Y98" s="51">
        <v>23</v>
      </c>
      <c r="Z98" s="111">
        <v>23.3</v>
      </c>
      <c r="AA98" s="51">
        <v>22.3</v>
      </c>
      <c r="AB98" s="51">
        <v>23.1</v>
      </c>
      <c r="AC98" s="51">
        <v>22.2</v>
      </c>
      <c r="AD98" s="51">
        <v>22.3</v>
      </c>
      <c r="AE98" s="51">
        <v>23</v>
      </c>
      <c r="AF98" s="51">
        <v>23.2</v>
      </c>
      <c r="AG98" s="51">
        <v>23.2</v>
      </c>
      <c r="AH98" s="51">
        <v>22.2</v>
      </c>
      <c r="AI98" s="51">
        <v>23</v>
      </c>
      <c r="AJ98" s="51">
        <v>23</v>
      </c>
      <c r="AK98" s="51">
        <v>22.4</v>
      </c>
      <c r="AL98" s="51"/>
      <c r="AM98" s="51"/>
      <c r="AN98" s="51"/>
      <c r="AO98" s="51"/>
      <c r="AP98" s="88">
        <f t="shared" si="6"/>
        <v>27</v>
      </c>
      <c r="AQ98" s="89">
        <f t="shared" si="7"/>
        <v>22.855555555555561</v>
      </c>
      <c r="AR98" s="89">
        <f>IFERROR(VLOOKUP(A98,Climatologia!A:U,9+$E$2,FALSE),"")</f>
        <v>21.655481553578049</v>
      </c>
      <c r="AS98" s="89">
        <f t="shared" si="8"/>
        <v>1.2000740019775122</v>
      </c>
      <c r="AT98" s="90">
        <f t="shared" si="9"/>
        <v>22.2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17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98" s="122">
        <f t="shared" si="10"/>
        <v>5.1999999999999993</v>
      </c>
    </row>
    <row r="99" spans="1:49" ht="14.25" customHeight="1" x14ac:dyDescent="0.2">
      <c r="A99" s="119">
        <v>11045010</v>
      </c>
      <c r="B99" s="55" t="s">
        <v>87</v>
      </c>
      <c r="C99" s="52" t="s">
        <v>1295</v>
      </c>
      <c r="D99" s="53">
        <v>-76.644000000000005</v>
      </c>
      <c r="E99" s="53">
        <v>5.6909999999999998</v>
      </c>
      <c r="F99" s="54">
        <v>75</v>
      </c>
      <c r="G99" s="46">
        <v>27</v>
      </c>
      <c r="H99" s="46">
        <v>27001</v>
      </c>
      <c r="I99" s="55" t="s">
        <v>88</v>
      </c>
      <c r="J99" s="55" t="s">
        <v>89</v>
      </c>
      <c r="K99" s="51">
        <v>24</v>
      </c>
      <c r="L99" s="51">
        <v>24.2</v>
      </c>
      <c r="M99" s="51">
        <v>24.8</v>
      </c>
      <c r="N99" s="51">
        <v>23.6</v>
      </c>
      <c r="O99" s="51">
        <v>24.4</v>
      </c>
      <c r="P99" s="51">
        <v>25.6</v>
      </c>
      <c r="Q99" s="51">
        <v>25.6</v>
      </c>
      <c r="R99" s="51">
        <v>25.6</v>
      </c>
      <c r="S99" s="51">
        <v>25.8</v>
      </c>
      <c r="T99" s="51">
        <v>24.2</v>
      </c>
      <c r="U99" s="51">
        <v>24.2</v>
      </c>
      <c r="V99" s="51">
        <v>23.4</v>
      </c>
      <c r="W99" s="51">
        <v>23.6</v>
      </c>
      <c r="X99" s="51">
        <v>24</v>
      </c>
      <c r="Y99" s="51">
        <v>26</v>
      </c>
      <c r="Z99" s="111">
        <v>26</v>
      </c>
      <c r="AA99" s="51">
        <v>26.2</v>
      </c>
      <c r="AB99" s="51">
        <v>25.6</v>
      </c>
      <c r="AC99" s="51">
        <v>23.6</v>
      </c>
      <c r="AD99" s="51">
        <v>22.8</v>
      </c>
      <c r="AE99" s="51">
        <v>23.4</v>
      </c>
      <c r="AF99" s="51">
        <v>24</v>
      </c>
      <c r="AG99" s="51">
        <v>23.6</v>
      </c>
      <c r="AH99" s="51">
        <v>23.5</v>
      </c>
      <c r="AI99" s="51">
        <v>24</v>
      </c>
      <c r="AJ99" s="51">
        <v>24</v>
      </c>
      <c r="AK99" s="51">
        <v>23.6</v>
      </c>
      <c r="AL99" s="51"/>
      <c r="AM99" s="51"/>
      <c r="AN99" s="51"/>
      <c r="AO99" s="51"/>
      <c r="AP99" s="88">
        <f t="shared" si="6"/>
        <v>27</v>
      </c>
      <c r="AQ99" s="89">
        <f t="shared" si="7"/>
        <v>24.418518518518521</v>
      </c>
      <c r="AR99" s="89">
        <f>IFERROR(VLOOKUP(A99,Climatologia!A:U,9+$E$2,FALSE),"")</f>
        <v>23.205806451612911</v>
      </c>
      <c r="AS99" s="89">
        <f t="shared" si="8"/>
        <v>1.2127120669056097</v>
      </c>
      <c r="AT99" s="90">
        <f t="shared" si="9"/>
        <v>22.8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19.8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99" s="122">
        <f t="shared" si="10"/>
        <v>3</v>
      </c>
    </row>
    <row r="100" spans="1:49" ht="14.25" customHeight="1" x14ac:dyDescent="0.2">
      <c r="A100" s="120">
        <v>52055210</v>
      </c>
      <c r="B100" s="52" t="s">
        <v>294</v>
      </c>
      <c r="C100" s="52" t="s">
        <v>262</v>
      </c>
      <c r="D100" s="53">
        <v>-77.278805559999995</v>
      </c>
      <c r="E100" s="53">
        <v>1.1599999999999999</v>
      </c>
      <c r="F100" s="48">
        <v>2820</v>
      </c>
      <c r="G100" s="46">
        <v>52</v>
      </c>
      <c r="H100" s="46">
        <v>52001</v>
      </c>
      <c r="I100" s="55" t="s">
        <v>83</v>
      </c>
      <c r="J100" s="55" t="s">
        <v>272</v>
      </c>
      <c r="K100" s="51">
        <v>12.2</v>
      </c>
      <c r="L100" s="51">
        <v>11</v>
      </c>
      <c r="M100" s="51">
        <v>10.6</v>
      </c>
      <c r="N100" s="51">
        <v>10.4</v>
      </c>
      <c r="O100" s="51">
        <v>10.8</v>
      </c>
      <c r="P100" s="51">
        <v>11.8</v>
      </c>
      <c r="Q100" s="51">
        <v>11.6</v>
      </c>
      <c r="R100" s="51">
        <v>11.4</v>
      </c>
      <c r="S100" s="51">
        <v>9.6</v>
      </c>
      <c r="T100" s="51">
        <v>11.6</v>
      </c>
      <c r="U100" s="51">
        <v>10.199999999999999</v>
      </c>
      <c r="V100" s="51">
        <v>9.6</v>
      </c>
      <c r="W100" s="51">
        <v>8</v>
      </c>
      <c r="X100" s="51">
        <v>10.4</v>
      </c>
      <c r="Y100" s="51">
        <v>11.6</v>
      </c>
      <c r="Z100" s="111">
        <v>11.8</v>
      </c>
      <c r="AA100" s="51">
        <v>11.4</v>
      </c>
      <c r="AB100" s="51">
        <v>10.199999999999999</v>
      </c>
      <c r="AC100" s="51">
        <v>9.1999999999999993</v>
      </c>
      <c r="AD100" s="51">
        <v>7.6</v>
      </c>
      <c r="AE100" s="51">
        <v>9.6</v>
      </c>
      <c r="AF100" s="51">
        <v>7.6</v>
      </c>
      <c r="AG100" s="51">
        <v>10.199999999999999</v>
      </c>
      <c r="AH100" s="51">
        <v>9.8000000000000007</v>
      </c>
      <c r="AI100" s="51">
        <v>9.4</v>
      </c>
      <c r="AJ100" s="51">
        <v>8.4</v>
      </c>
      <c r="AK100" s="51">
        <v>8.1999999999999993</v>
      </c>
      <c r="AL100" s="51"/>
      <c r="AM100" s="51"/>
      <c r="AN100" s="51"/>
      <c r="AO100" s="51"/>
      <c r="AP100" s="88">
        <f t="shared" si="6"/>
        <v>27</v>
      </c>
      <c r="AQ100" s="89">
        <f t="shared" si="7"/>
        <v>10.155555555555553</v>
      </c>
      <c r="AR100" s="89">
        <f>IFERROR(VLOOKUP(A100,Climatologia!A:U,9+$E$2,FALSE),"")</f>
        <v>8.9132299851098509</v>
      </c>
      <c r="AS100" s="89">
        <f t="shared" si="8"/>
        <v>1.2423255704457024</v>
      </c>
      <c r="AT100" s="90">
        <f t="shared" si="9"/>
        <v>7.6</v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3.1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00" s="122">
        <f t="shared" si="10"/>
        <v>4.5</v>
      </c>
    </row>
    <row r="101" spans="1:49" ht="14.25" customHeight="1" x14ac:dyDescent="0.2">
      <c r="A101" s="120">
        <v>21195060</v>
      </c>
      <c r="B101" s="52" t="s">
        <v>382</v>
      </c>
      <c r="C101" s="52" t="s">
        <v>383</v>
      </c>
      <c r="D101" s="93">
        <v>-74.487416670000002</v>
      </c>
      <c r="E101" s="93">
        <v>4.1927222220000004</v>
      </c>
      <c r="F101" s="48">
        <v>950</v>
      </c>
      <c r="G101" s="46">
        <v>25</v>
      </c>
      <c r="H101" s="46">
        <v>25524</v>
      </c>
      <c r="I101" s="55" t="s">
        <v>74</v>
      </c>
      <c r="J101" s="55" t="s">
        <v>382</v>
      </c>
      <c r="K101" s="51">
        <v>20.6</v>
      </c>
      <c r="L101" s="51">
        <v>21.2</v>
      </c>
      <c r="M101" s="51">
        <v>21.6</v>
      </c>
      <c r="N101" s="51">
        <v>20.2</v>
      </c>
      <c r="O101" s="51">
        <v>20.399999999999999</v>
      </c>
      <c r="P101" s="51">
        <v>21.4</v>
      </c>
      <c r="Q101" s="51">
        <v>21.6</v>
      </c>
      <c r="R101" s="51">
        <v>22.8</v>
      </c>
      <c r="S101" s="51">
        <v>21.4</v>
      </c>
      <c r="T101" s="51">
        <v>20.8</v>
      </c>
      <c r="U101" s="51">
        <v>21.2</v>
      </c>
      <c r="V101" s="51">
        <v>22.6</v>
      </c>
      <c r="W101" s="51">
        <v>20.2</v>
      </c>
      <c r="X101" s="51">
        <v>21.2</v>
      </c>
      <c r="Y101" s="51">
        <v>21.8</v>
      </c>
      <c r="Z101" s="111">
        <v>22.6</v>
      </c>
      <c r="AA101" s="51">
        <v>22.2</v>
      </c>
      <c r="AB101" s="51">
        <v>21.8</v>
      </c>
      <c r="AC101" s="51">
        <v>22.2</v>
      </c>
      <c r="AD101" s="51">
        <v>20.8</v>
      </c>
      <c r="AE101" s="51">
        <v>20.2</v>
      </c>
      <c r="AF101" s="51">
        <v>21.2</v>
      </c>
      <c r="AG101" s="51">
        <v>21.4</v>
      </c>
      <c r="AH101" s="51">
        <v>20.6</v>
      </c>
      <c r="AI101" s="51">
        <v>20.8</v>
      </c>
      <c r="AJ101" s="51">
        <v>20.6</v>
      </c>
      <c r="AK101" s="51">
        <v>21.4</v>
      </c>
      <c r="AL101" s="51"/>
      <c r="AM101" s="51"/>
      <c r="AN101" s="51"/>
      <c r="AO101" s="51"/>
      <c r="AP101" s="88">
        <f t="shared" si="6"/>
        <v>27</v>
      </c>
      <c r="AQ101" s="89">
        <f t="shared" si="7"/>
        <v>21.288888888888888</v>
      </c>
      <c r="AR101" s="89">
        <f>IFERROR(VLOOKUP(A101,Climatologia!A:U,9+$E$2,FALSE),"")</f>
        <v>20.02675378177625</v>
      </c>
      <c r="AS101" s="89">
        <f t="shared" si="8"/>
        <v>1.2621351071126377</v>
      </c>
      <c r="AT101" s="90">
        <f t="shared" si="9"/>
        <v>20.2</v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16.8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01" s="122">
        <f t="shared" si="10"/>
        <v>3.3999999999999986</v>
      </c>
    </row>
    <row r="102" spans="1:49" ht="14.25" customHeight="1" x14ac:dyDescent="0.2">
      <c r="A102" s="120">
        <v>21245040</v>
      </c>
      <c r="B102" s="55" t="s">
        <v>70</v>
      </c>
      <c r="C102" s="52" t="s">
        <v>1295</v>
      </c>
      <c r="D102" s="53">
        <v>-75.138999999999996</v>
      </c>
      <c r="E102" s="53">
        <v>4.4240000000000004</v>
      </c>
      <c r="F102" s="54">
        <v>943</v>
      </c>
      <c r="G102" s="46">
        <v>73</v>
      </c>
      <c r="H102" s="46">
        <v>73001</v>
      </c>
      <c r="I102" s="55" t="s">
        <v>71</v>
      </c>
      <c r="J102" s="55" t="s">
        <v>72</v>
      </c>
      <c r="K102" s="51">
        <v>20.399999999999999</v>
      </c>
      <c r="L102" s="51">
        <v>20.8</v>
      </c>
      <c r="M102" s="51">
        <v>20.100000000000001</v>
      </c>
      <c r="N102" s="51">
        <v>20</v>
      </c>
      <c r="O102" s="51">
        <v>20</v>
      </c>
      <c r="P102" s="51">
        <v>21.4</v>
      </c>
      <c r="Q102" s="51">
        <v>21.3</v>
      </c>
      <c r="R102" s="51">
        <v>21.6</v>
      </c>
      <c r="S102" s="51">
        <v>21.2</v>
      </c>
      <c r="T102" s="51">
        <v>19.899999999999999</v>
      </c>
      <c r="U102" s="51">
        <v>20.399999999999999</v>
      </c>
      <c r="V102" s="51">
        <v>20.100000000000001</v>
      </c>
      <c r="W102" s="51">
        <v>20</v>
      </c>
      <c r="X102" s="51">
        <v>21.3</v>
      </c>
      <c r="Y102" s="51">
        <v>21.4</v>
      </c>
      <c r="Z102" s="111">
        <v>21.2</v>
      </c>
      <c r="AA102" s="51">
        <v>21.1</v>
      </c>
      <c r="AB102" s="51">
        <v>21.2</v>
      </c>
      <c r="AC102" s="51">
        <v>22</v>
      </c>
      <c r="AD102" s="51">
        <v>20.399999999999999</v>
      </c>
      <c r="AE102" s="51">
        <v>19.2</v>
      </c>
      <c r="AF102" s="51">
        <v>19.600000000000001</v>
      </c>
      <c r="AG102" s="51">
        <v>20.100000000000001</v>
      </c>
      <c r="AH102" s="51">
        <v>19.399999999999999</v>
      </c>
      <c r="AI102" s="51">
        <v>19.8</v>
      </c>
      <c r="AJ102" s="51">
        <v>20.7</v>
      </c>
      <c r="AK102" s="51">
        <v>19</v>
      </c>
      <c r="AL102" s="51"/>
      <c r="AM102" s="51"/>
      <c r="AN102" s="51"/>
      <c r="AO102" s="51"/>
      <c r="AP102" s="88">
        <f t="shared" si="6"/>
        <v>27</v>
      </c>
      <c r="AQ102" s="89">
        <f t="shared" si="7"/>
        <v>20.503703703703703</v>
      </c>
      <c r="AR102" s="89">
        <f>IFERROR(VLOOKUP(A102,Climatologia!A:U,9+$E$2,FALSE),"")</f>
        <v>19.23867916144334</v>
      </c>
      <c r="AS102" s="89">
        <f t="shared" si="8"/>
        <v>1.2650245422603632</v>
      </c>
      <c r="AT102" s="90">
        <f t="shared" si="9"/>
        <v>19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15.2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102" s="122">
        <f t="shared" si="10"/>
        <v>3.8000000000000007</v>
      </c>
    </row>
    <row r="103" spans="1:49" ht="14.25" customHeight="1" x14ac:dyDescent="0.2">
      <c r="A103" s="120">
        <v>24015220</v>
      </c>
      <c r="B103" s="52" t="s">
        <v>218</v>
      </c>
      <c r="C103" s="52" t="s">
        <v>212</v>
      </c>
      <c r="D103" s="53">
        <v>-73.495777779999997</v>
      </c>
      <c r="E103" s="53">
        <v>5.5093888890000002</v>
      </c>
      <c r="F103" s="48">
        <v>2600</v>
      </c>
      <c r="G103" s="46">
        <v>15</v>
      </c>
      <c r="H103" s="46">
        <v>15646</v>
      </c>
      <c r="I103" s="55" t="s">
        <v>213</v>
      </c>
      <c r="J103" s="55" t="s">
        <v>219</v>
      </c>
      <c r="K103" s="51">
        <v>10.6</v>
      </c>
      <c r="L103" s="51">
        <v>10</v>
      </c>
      <c r="M103" s="51">
        <v>10.6</v>
      </c>
      <c r="N103" s="51">
        <v>10.6</v>
      </c>
      <c r="O103" s="51">
        <v>9.6</v>
      </c>
      <c r="P103" s="51">
        <v>11</v>
      </c>
      <c r="Q103" s="51">
        <v>11.2</v>
      </c>
      <c r="R103" s="51">
        <v>11</v>
      </c>
      <c r="S103" s="51">
        <v>11.2</v>
      </c>
      <c r="T103" s="51">
        <v>10.199999999999999</v>
      </c>
      <c r="U103" s="51">
        <v>9.6</v>
      </c>
      <c r="V103" s="51">
        <v>9.8000000000000007</v>
      </c>
      <c r="W103" s="51">
        <v>9</v>
      </c>
      <c r="X103" s="51">
        <v>9.6</v>
      </c>
      <c r="Y103" s="51">
        <v>11.6</v>
      </c>
      <c r="Z103" s="111">
        <v>10.8</v>
      </c>
      <c r="AA103" s="51">
        <v>10.199999999999999</v>
      </c>
      <c r="AB103" s="51">
        <v>8.1999999999999993</v>
      </c>
      <c r="AC103" s="51">
        <v>10.6</v>
      </c>
      <c r="AD103" s="51">
        <v>11</v>
      </c>
      <c r="AE103" s="51">
        <v>9.8000000000000007</v>
      </c>
      <c r="AF103" s="51">
        <v>10.199999999999999</v>
      </c>
      <c r="AG103" s="51">
        <v>11</v>
      </c>
      <c r="AH103" s="51">
        <v>11</v>
      </c>
      <c r="AI103" s="51">
        <v>4.8</v>
      </c>
      <c r="AJ103" s="51">
        <v>11.2</v>
      </c>
      <c r="AK103" s="51">
        <v>10.4</v>
      </c>
      <c r="AL103" s="51"/>
      <c r="AM103" s="51"/>
      <c r="AN103" s="51"/>
      <c r="AO103" s="51"/>
      <c r="AP103" s="88">
        <f t="shared" si="6"/>
        <v>27</v>
      </c>
      <c r="AQ103" s="89">
        <f t="shared" si="7"/>
        <v>10.177777777777775</v>
      </c>
      <c r="AR103" s="89">
        <f>IFERROR(VLOOKUP(A103,Climatologia!A:U,9+$E$2,FALSE),"")</f>
        <v>8.9015099398191726</v>
      </c>
      <c r="AS103" s="89">
        <f t="shared" si="8"/>
        <v>1.2762678379586028</v>
      </c>
      <c r="AT103" s="90">
        <f t="shared" si="9"/>
        <v>4.8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-1.4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103" s="122">
        <f t="shared" si="10"/>
        <v>6.1999999999999993</v>
      </c>
    </row>
    <row r="104" spans="1:49" ht="14.25" customHeight="1" x14ac:dyDescent="0.2">
      <c r="A104" s="120">
        <v>24035120</v>
      </c>
      <c r="B104" s="52" t="s">
        <v>228</v>
      </c>
      <c r="C104" s="52" t="s">
        <v>212</v>
      </c>
      <c r="D104" s="53">
        <v>-73.074472220000004</v>
      </c>
      <c r="E104" s="53">
        <v>5.8024444439999998</v>
      </c>
      <c r="F104" s="48">
        <v>2485</v>
      </c>
      <c r="G104" s="46">
        <v>15</v>
      </c>
      <c r="H104" s="46">
        <v>15238</v>
      </c>
      <c r="I104" s="55" t="s">
        <v>213</v>
      </c>
      <c r="J104" s="55" t="s">
        <v>229</v>
      </c>
      <c r="K104" s="51"/>
      <c r="L104" s="51"/>
      <c r="M104" s="51"/>
      <c r="N104" s="51">
        <v>6.2</v>
      </c>
      <c r="O104" s="51">
        <v>9.6</v>
      </c>
      <c r="P104" s="51">
        <v>12.8</v>
      </c>
      <c r="Q104" s="51">
        <v>9.4</v>
      </c>
      <c r="R104" s="51">
        <v>9.6</v>
      </c>
      <c r="S104" s="51">
        <v>10.199999999999999</v>
      </c>
      <c r="T104" s="51">
        <v>8.6</v>
      </c>
      <c r="U104" s="51">
        <v>5.2</v>
      </c>
      <c r="V104" s="51">
        <v>9.4</v>
      </c>
      <c r="W104" s="51">
        <v>5.2</v>
      </c>
      <c r="X104" s="51">
        <v>8.6</v>
      </c>
      <c r="Y104" s="51">
        <v>12.8</v>
      </c>
      <c r="Z104" s="111">
        <v>4.2</v>
      </c>
      <c r="AA104" s="51">
        <v>5.8</v>
      </c>
      <c r="AB104" s="51">
        <v>5.4</v>
      </c>
      <c r="AC104" s="51"/>
      <c r="AD104" s="51"/>
      <c r="AE104" s="51">
        <v>9.8000000000000007</v>
      </c>
      <c r="AF104" s="51">
        <v>8.1999999999999993</v>
      </c>
      <c r="AG104" s="51">
        <v>10</v>
      </c>
      <c r="AH104" s="51">
        <v>5</v>
      </c>
      <c r="AI104" s="51">
        <v>3</v>
      </c>
      <c r="AJ104" s="51"/>
      <c r="AK104" s="51">
        <v>6.8</v>
      </c>
      <c r="AL104" s="51"/>
      <c r="AM104" s="51"/>
      <c r="AN104" s="51"/>
      <c r="AO104" s="51"/>
      <c r="AP104" s="88">
        <f t="shared" si="6"/>
        <v>21</v>
      </c>
      <c r="AQ104" s="89">
        <f t="shared" si="7"/>
        <v>7.8952380952380956</v>
      </c>
      <c r="AR104" s="89">
        <f>IFERROR(VLOOKUP(A104,Climatologia!A:U,9+$E$2,FALSE),"")</f>
        <v>6.6085478664622164</v>
      </c>
      <c r="AS104" s="89">
        <f t="shared" si="8"/>
        <v>1.2866902287758792</v>
      </c>
      <c r="AT104" s="90">
        <f t="shared" si="9"/>
        <v>3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104" s="122">
        <f t="shared" si="10"/>
        <v>4.4000000000000004</v>
      </c>
    </row>
    <row r="105" spans="1:49" ht="14.25" customHeight="1" x14ac:dyDescent="0.2">
      <c r="A105" s="120">
        <v>13075010</v>
      </c>
      <c r="B105" s="52" t="s">
        <v>124</v>
      </c>
      <c r="C105" s="52" t="s">
        <v>119</v>
      </c>
      <c r="D105" s="53">
        <v>-75.622083329999995</v>
      </c>
      <c r="E105" s="53">
        <v>9.1507500000000004</v>
      </c>
      <c r="F105" s="48">
        <v>20</v>
      </c>
      <c r="G105" s="46">
        <v>5</v>
      </c>
      <c r="H105" s="46">
        <v>5172</v>
      </c>
      <c r="I105" s="55" t="s">
        <v>58</v>
      </c>
      <c r="J105" s="55" t="s">
        <v>125</v>
      </c>
      <c r="K105" s="51">
        <v>25.4</v>
      </c>
      <c r="L105" s="51">
        <v>25.8</v>
      </c>
      <c r="M105" s="51">
        <v>24.2</v>
      </c>
      <c r="N105" s="51">
        <v>23.8</v>
      </c>
      <c r="O105" s="51">
        <v>23.4</v>
      </c>
      <c r="P105" s="51">
        <v>25.6</v>
      </c>
      <c r="Q105" s="51">
        <v>25.2</v>
      </c>
      <c r="R105" s="51">
        <v>25.8</v>
      </c>
      <c r="S105" s="51">
        <v>23.8</v>
      </c>
      <c r="T105" s="51">
        <v>24.2</v>
      </c>
      <c r="U105" s="51">
        <v>25.4</v>
      </c>
      <c r="V105" s="51">
        <v>24.2</v>
      </c>
      <c r="W105" s="51">
        <v>23.6</v>
      </c>
      <c r="X105" s="51">
        <v>24.4</v>
      </c>
      <c r="Y105" s="51">
        <v>23.8</v>
      </c>
      <c r="Z105" s="111">
        <v>25.6</v>
      </c>
      <c r="AA105" s="51">
        <v>25.8</v>
      </c>
      <c r="AB105" s="51">
        <v>25.4</v>
      </c>
      <c r="AC105" s="51">
        <v>24.2</v>
      </c>
      <c r="AD105" s="51">
        <v>24.4</v>
      </c>
      <c r="AE105" s="51">
        <v>25</v>
      </c>
      <c r="AF105" s="51">
        <v>25</v>
      </c>
      <c r="AG105" s="51">
        <v>24.4</v>
      </c>
      <c r="AH105" s="51">
        <v>24</v>
      </c>
      <c r="AI105" s="51">
        <v>24.6</v>
      </c>
      <c r="AJ105" s="51">
        <v>23.4</v>
      </c>
      <c r="AK105" s="51">
        <v>23</v>
      </c>
      <c r="AL105" s="51"/>
      <c r="AM105" s="51"/>
      <c r="AN105" s="51"/>
      <c r="AO105" s="51"/>
      <c r="AP105" s="88">
        <f t="shared" si="6"/>
        <v>27</v>
      </c>
      <c r="AQ105" s="89">
        <f t="shared" si="7"/>
        <v>24.57037037037037</v>
      </c>
      <c r="AR105" s="89">
        <f>IFERROR(VLOOKUP(A105,Climatologia!A:U,9+$E$2,FALSE),"")</f>
        <v>23.278211411491501</v>
      </c>
      <c r="AS105" s="89">
        <f t="shared" si="8"/>
        <v>1.2921589588788684</v>
      </c>
      <c r="AT105" s="90">
        <f t="shared" si="9"/>
        <v>23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17.2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105" s="122">
        <f t="shared" si="10"/>
        <v>5.8000000000000007</v>
      </c>
    </row>
    <row r="106" spans="1:49" ht="14.25" customHeight="1" x14ac:dyDescent="0.2">
      <c r="A106" s="120">
        <v>52045040</v>
      </c>
      <c r="B106" s="52" t="s">
        <v>284</v>
      </c>
      <c r="C106" s="52" t="s">
        <v>262</v>
      </c>
      <c r="D106" s="53">
        <v>-77.267499999999998</v>
      </c>
      <c r="E106" s="53">
        <v>1.5491666669999999</v>
      </c>
      <c r="F106" s="48">
        <v>1875</v>
      </c>
      <c r="G106" s="46">
        <v>52</v>
      </c>
      <c r="H106" s="46">
        <v>52786</v>
      </c>
      <c r="I106" s="55" t="s">
        <v>83</v>
      </c>
      <c r="J106" s="55" t="s">
        <v>284</v>
      </c>
      <c r="K106" s="51">
        <v>17.2</v>
      </c>
      <c r="L106" s="51">
        <v>16.399999999999999</v>
      </c>
      <c r="M106" s="51">
        <v>15.8</v>
      </c>
      <c r="N106" s="51">
        <v>15.4</v>
      </c>
      <c r="O106" s="51">
        <v>15.8</v>
      </c>
      <c r="P106" s="51">
        <v>16.399999999999999</v>
      </c>
      <c r="Q106" s="51">
        <v>17</v>
      </c>
      <c r="R106" s="51">
        <v>16.8</v>
      </c>
      <c r="S106" s="51">
        <v>16</v>
      </c>
      <c r="T106" s="51">
        <v>17.2</v>
      </c>
      <c r="U106" s="51">
        <v>16</v>
      </c>
      <c r="V106" s="51">
        <v>15</v>
      </c>
      <c r="W106" s="51">
        <v>15.2</v>
      </c>
      <c r="X106" s="51">
        <v>16.399999999999999</v>
      </c>
      <c r="Y106" s="51">
        <v>17</v>
      </c>
      <c r="Z106" s="111">
        <v>17.8</v>
      </c>
      <c r="AA106" s="51">
        <v>17</v>
      </c>
      <c r="AB106" s="51">
        <v>16.399999999999999</v>
      </c>
      <c r="AC106" s="51">
        <v>15.2</v>
      </c>
      <c r="AD106" s="51">
        <v>14.8</v>
      </c>
      <c r="AE106" s="51">
        <v>15</v>
      </c>
      <c r="AF106" s="51">
        <v>14.8</v>
      </c>
      <c r="AG106" s="51">
        <v>15</v>
      </c>
      <c r="AH106" s="51">
        <v>14.6</v>
      </c>
      <c r="AI106" s="51">
        <v>16</v>
      </c>
      <c r="AJ106" s="51">
        <v>15.8</v>
      </c>
      <c r="AK106" s="51">
        <v>16</v>
      </c>
      <c r="AL106" s="51"/>
      <c r="AM106" s="51"/>
      <c r="AN106" s="51"/>
      <c r="AO106" s="51"/>
      <c r="AP106" s="88">
        <f t="shared" si="6"/>
        <v>27</v>
      </c>
      <c r="AQ106" s="89">
        <f t="shared" si="7"/>
        <v>16</v>
      </c>
      <c r="AR106" s="89">
        <f>IFERROR(VLOOKUP(A106,Climatologia!A:U,9+$E$2,FALSE),"")</f>
        <v>14.704271801089879</v>
      </c>
      <c r="AS106" s="89">
        <f t="shared" si="8"/>
        <v>1.2957281989101208</v>
      </c>
      <c r="AT106" s="90">
        <f t="shared" si="9"/>
        <v>14.6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11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06" s="122">
        <f t="shared" si="10"/>
        <v>3.5999999999999996</v>
      </c>
    </row>
    <row r="107" spans="1:49" ht="14.25" customHeight="1" x14ac:dyDescent="0.2">
      <c r="A107" s="120">
        <v>52055220</v>
      </c>
      <c r="B107" s="52" t="s">
        <v>295</v>
      </c>
      <c r="C107" s="52" t="s">
        <v>262</v>
      </c>
      <c r="D107" s="53">
        <v>-77.636935688999998</v>
      </c>
      <c r="E107" s="53">
        <v>1.070707855</v>
      </c>
      <c r="F107" s="48">
        <v>3033</v>
      </c>
      <c r="G107" s="46">
        <v>52</v>
      </c>
      <c r="H107" s="46">
        <v>52838</v>
      </c>
      <c r="I107" s="55" t="s">
        <v>83</v>
      </c>
      <c r="J107" s="55" t="s">
        <v>296</v>
      </c>
      <c r="K107" s="51">
        <v>9</v>
      </c>
      <c r="L107" s="51">
        <v>9.4</v>
      </c>
      <c r="M107" s="51">
        <v>8.6</v>
      </c>
      <c r="N107" s="51">
        <v>9</v>
      </c>
      <c r="O107" s="51">
        <v>7.8</v>
      </c>
      <c r="P107" s="51">
        <v>9.1999999999999993</v>
      </c>
      <c r="Q107" s="51">
        <v>8</v>
      </c>
      <c r="R107" s="51">
        <v>8.4</v>
      </c>
      <c r="S107" s="51">
        <v>9</v>
      </c>
      <c r="T107" s="51">
        <v>9.8000000000000007</v>
      </c>
      <c r="U107" s="51">
        <v>7.8</v>
      </c>
      <c r="V107" s="51">
        <v>8</v>
      </c>
      <c r="W107" s="51">
        <v>7.6</v>
      </c>
      <c r="X107" s="51">
        <v>7.2</v>
      </c>
      <c r="Y107" s="51">
        <v>8.6</v>
      </c>
      <c r="Z107" s="111">
        <v>7.8</v>
      </c>
      <c r="AA107" s="51">
        <v>9</v>
      </c>
      <c r="AB107" s="51">
        <v>8.4</v>
      </c>
      <c r="AC107" s="51">
        <v>7.4</v>
      </c>
      <c r="AD107" s="51">
        <v>5</v>
      </c>
      <c r="AE107" s="51">
        <v>7.2</v>
      </c>
      <c r="AF107" s="51">
        <v>7.4</v>
      </c>
      <c r="AG107" s="51">
        <v>8.1999999999999993</v>
      </c>
      <c r="AH107" s="51">
        <v>8</v>
      </c>
      <c r="AI107" s="51">
        <v>7.2</v>
      </c>
      <c r="AJ107" s="51">
        <v>7</v>
      </c>
      <c r="AK107" s="51">
        <v>7.4</v>
      </c>
      <c r="AL107" s="51"/>
      <c r="AM107" s="51"/>
      <c r="AN107" s="51"/>
      <c r="AO107" s="51"/>
      <c r="AP107" s="88">
        <f t="shared" si="6"/>
        <v>27</v>
      </c>
      <c r="AQ107" s="89">
        <f t="shared" si="7"/>
        <v>8.0518518518518505</v>
      </c>
      <c r="AR107" s="89">
        <f>IFERROR(VLOOKUP(A107,Climatologia!A:U,9+$E$2,FALSE),"")</f>
        <v>6.7529781105990789</v>
      </c>
      <c r="AS107" s="89">
        <f t="shared" si="8"/>
        <v>1.2988737412527716</v>
      </c>
      <c r="AT107" s="90">
        <f t="shared" si="9"/>
        <v>5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1.6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07" s="122">
        <f t="shared" si="10"/>
        <v>3.4</v>
      </c>
    </row>
    <row r="108" spans="1:49" ht="14.25" customHeight="1" x14ac:dyDescent="0.2">
      <c r="A108" s="119">
        <v>52055230</v>
      </c>
      <c r="B108" s="52" t="s">
        <v>85</v>
      </c>
      <c r="C108" s="52" t="s">
        <v>1295</v>
      </c>
      <c r="D108" s="53">
        <v>-77.677999999999997</v>
      </c>
      <c r="E108" s="53">
        <v>0.85699999999999998</v>
      </c>
      <c r="F108" s="54">
        <v>2961</v>
      </c>
      <c r="G108" s="54">
        <v>52</v>
      </c>
      <c r="H108" s="54">
        <v>52022</v>
      </c>
      <c r="I108" s="55" t="s">
        <v>83</v>
      </c>
      <c r="J108" s="64" t="s">
        <v>86</v>
      </c>
      <c r="K108" s="51">
        <v>9.4</v>
      </c>
      <c r="L108" s="51">
        <v>8.6</v>
      </c>
      <c r="M108" s="51">
        <v>8.6</v>
      </c>
      <c r="N108" s="51">
        <v>8.8000000000000007</v>
      </c>
      <c r="O108" s="51">
        <v>8.6</v>
      </c>
      <c r="P108" s="51">
        <v>8.4</v>
      </c>
      <c r="Q108" s="51">
        <v>7</v>
      </c>
      <c r="R108" s="51">
        <v>8.4</v>
      </c>
      <c r="S108" s="51">
        <v>5.6</v>
      </c>
      <c r="T108" s="51">
        <v>8.1999999999999993</v>
      </c>
      <c r="U108" s="51">
        <v>7.2</v>
      </c>
      <c r="V108" s="51">
        <v>5.8</v>
      </c>
      <c r="W108" s="51">
        <v>5.6</v>
      </c>
      <c r="X108" s="51">
        <v>7</v>
      </c>
      <c r="Y108" s="51">
        <v>5.6</v>
      </c>
      <c r="Z108" s="111">
        <v>7.8</v>
      </c>
      <c r="AA108" s="51">
        <v>9.4</v>
      </c>
      <c r="AB108" s="51">
        <v>8</v>
      </c>
      <c r="AC108" s="51">
        <v>6.4</v>
      </c>
      <c r="AD108" s="51">
        <v>3</v>
      </c>
      <c r="AE108" s="51">
        <v>3.4</v>
      </c>
      <c r="AF108" s="51">
        <v>5.4</v>
      </c>
      <c r="AG108" s="51">
        <v>7.2</v>
      </c>
      <c r="AH108" s="51">
        <v>6.6</v>
      </c>
      <c r="AI108" s="51">
        <v>5.8</v>
      </c>
      <c r="AJ108" s="51">
        <v>6.4</v>
      </c>
      <c r="AK108" s="51">
        <v>3.2</v>
      </c>
      <c r="AL108" s="51"/>
      <c r="AM108" s="51"/>
      <c r="AN108" s="51"/>
      <c r="AO108" s="51"/>
      <c r="AP108" s="88">
        <f t="shared" si="6"/>
        <v>27</v>
      </c>
      <c r="AQ108" s="89">
        <f t="shared" si="7"/>
        <v>6.8666666666666671</v>
      </c>
      <c r="AR108" s="89">
        <f>IFERROR(VLOOKUP(A108,Climatologia!A:U,9+$E$2,FALSE),"")</f>
        <v>5.5482835334279477</v>
      </c>
      <c r="AS108" s="89">
        <f t="shared" si="8"/>
        <v>1.3183831332387195</v>
      </c>
      <c r="AT108" s="90">
        <f t="shared" si="9"/>
        <v>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-1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08" s="122">
        <f t="shared" si="10"/>
        <v>4</v>
      </c>
    </row>
    <row r="109" spans="1:49" ht="14.25" customHeight="1" x14ac:dyDescent="0.2">
      <c r="A109" s="120">
        <v>44045020</v>
      </c>
      <c r="B109" s="52" t="s">
        <v>196</v>
      </c>
      <c r="C109" s="52" t="s">
        <v>179</v>
      </c>
      <c r="D109" s="53">
        <v>-75.70447222</v>
      </c>
      <c r="E109" s="53">
        <v>1.1952499999999999</v>
      </c>
      <c r="F109" s="48">
        <v>270</v>
      </c>
      <c r="G109" s="46">
        <v>18</v>
      </c>
      <c r="H109" s="46">
        <v>18860</v>
      </c>
      <c r="I109" s="55" t="s">
        <v>194</v>
      </c>
      <c r="J109" s="55" t="s">
        <v>197</v>
      </c>
      <c r="K109" s="51"/>
      <c r="L109" s="51">
        <v>22.6</v>
      </c>
      <c r="M109" s="51">
        <v>22.8</v>
      </c>
      <c r="N109" s="51"/>
      <c r="O109" s="51">
        <v>22.6</v>
      </c>
      <c r="P109" s="51">
        <v>23</v>
      </c>
      <c r="Q109" s="51">
        <v>23</v>
      </c>
      <c r="R109" s="51">
        <v>23</v>
      </c>
      <c r="S109" s="51">
        <v>22.6</v>
      </c>
      <c r="T109" s="51">
        <v>23</v>
      </c>
      <c r="U109" s="51">
        <v>23.4</v>
      </c>
      <c r="V109" s="51">
        <v>22.4</v>
      </c>
      <c r="W109" s="51">
        <v>23</v>
      </c>
      <c r="X109" s="51">
        <v>22.6</v>
      </c>
      <c r="Y109" s="51">
        <v>22.2</v>
      </c>
      <c r="Z109" s="111">
        <v>22.4</v>
      </c>
      <c r="AA109" s="51">
        <v>23</v>
      </c>
      <c r="AB109" s="51">
        <v>22.2</v>
      </c>
      <c r="AC109" s="51">
        <v>22.8</v>
      </c>
      <c r="AD109" s="51">
        <v>22.6</v>
      </c>
      <c r="AE109" s="51">
        <v>22.8</v>
      </c>
      <c r="AF109" s="51">
        <v>23.2</v>
      </c>
      <c r="AG109" s="51">
        <v>24</v>
      </c>
      <c r="AH109" s="51">
        <v>23.6</v>
      </c>
      <c r="AI109" s="51">
        <v>23.2</v>
      </c>
      <c r="AJ109" s="51">
        <v>23.4</v>
      </c>
      <c r="AK109" s="51">
        <v>23.8</v>
      </c>
      <c r="AL109" s="51"/>
      <c r="AM109" s="51"/>
      <c r="AN109" s="51"/>
      <c r="AO109" s="51"/>
      <c r="AP109" s="88">
        <f t="shared" si="6"/>
        <v>25</v>
      </c>
      <c r="AQ109" s="89">
        <f t="shared" si="7"/>
        <v>22.927999999999997</v>
      </c>
      <c r="AR109" s="89">
        <f>IFERROR(VLOOKUP(A109,Climatologia!A:U,9+$E$2,FALSE),"")</f>
        <v>21.607376978198339</v>
      </c>
      <c r="AS109" s="89">
        <f t="shared" si="8"/>
        <v>1.3206230218016586</v>
      </c>
      <c r="AT109" s="90">
        <f t="shared" si="9"/>
        <v>22.2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17.600000000000001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109" s="122">
        <f t="shared" si="10"/>
        <v>4.5999999999999979</v>
      </c>
    </row>
    <row r="110" spans="1:49" ht="14.25" customHeight="1" x14ac:dyDescent="0.2">
      <c r="A110" s="119">
        <v>26135040</v>
      </c>
      <c r="B110" s="47" t="s">
        <v>64</v>
      </c>
      <c r="C110" s="52" t="s">
        <v>1295</v>
      </c>
      <c r="D110" s="49">
        <v>-75.736999999999995</v>
      </c>
      <c r="E110" s="49">
        <v>4.8159999999999998</v>
      </c>
      <c r="F110" s="50">
        <v>1342</v>
      </c>
      <c r="G110" s="50">
        <v>66</v>
      </c>
      <c r="H110" s="50">
        <v>66001</v>
      </c>
      <c r="I110" s="47" t="s">
        <v>65</v>
      </c>
      <c r="J110" s="63" t="s">
        <v>66</v>
      </c>
      <c r="K110" s="51">
        <v>19.8</v>
      </c>
      <c r="L110" s="51">
        <v>18.899999999999999</v>
      </c>
      <c r="M110" s="51">
        <v>19.399999999999999</v>
      </c>
      <c r="N110" s="51">
        <v>17.8</v>
      </c>
      <c r="O110" s="51">
        <v>19</v>
      </c>
      <c r="P110" s="51">
        <v>19</v>
      </c>
      <c r="Q110" s="51">
        <v>19.399999999999999</v>
      </c>
      <c r="R110" s="51">
        <v>19.8</v>
      </c>
      <c r="S110" s="51">
        <v>19.7</v>
      </c>
      <c r="T110" s="51">
        <v>19.8</v>
      </c>
      <c r="U110" s="51">
        <v>19.399999999999999</v>
      </c>
      <c r="V110" s="51">
        <v>19.600000000000001</v>
      </c>
      <c r="W110" s="51">
        <v>18.3</v>
      </c>
      <c r="X110" s="51">
        <v>18.100000000000001</v>
      </c>
      <c r="Y110" s="51">
        <v>18.8</v>
      </c>
      <c r="Z110" s="111">
        <v>19</v>
      </c>
      <c r="AA110" s="51">
        <v>19</v>
      </c>
      <c r="AB110" s="51">
        <v>19.899999999999999</v>
      </c>
      <c r="AC110" s="51">
        <v>19.899999999999999</v>
      </c>
      <c r="AD110" s="51">
        <v>18.399999999999999</v>
      </c>
      <c r="AE110" s="51">
        <v>18.2</v>
      </c>
      <c r="AF110" s="51">
        <v>18.399999999999999</v>
      </c>
      <c r="AG110" s="51">
        <v>19.3</v>
      </c>
      <c r="AH110" s="51">
        <v>19.2</v>
      </c>
      <c r="AI110" s="51">
        <v>17.8</v>
      </c>
      <c r="AJ110" s="51">
        <v>17.899999999999999</v>
      </c>
      <c r="AK110" s="51">
        <v>17.600000000000001</v>
      </c>
      <c r="AL110" s="51"/>
      <c r="AM110" s="51"/>
      <c r="AN110" s="51"/>
      <c r="AO110" s="51"/>
      <c r="AP110" s="88">
        <f t="shared" si="6"/>
        <v>27</v>
      </c>
      <c r="AQ110" s="89">
        <f t="shared" si="7"/>
        <v>18.94074074074074</v>
      </c>
      <c r="AR110" s="89">
        <f>IFERROR(VLOOKUP(A110,Climatologia!A:U,9+$E$2,FALSE),"")</f>
        <v>17.615136476426802</v>
      </c>
      <c r="AS110" s="89">
        <f t="shared" si="8"/>
        <v>1.3256042643139381</v>
      </c>
      <c r="AT110" s="90">
        <f t="shared" si="9"/>
        <v>17.600000000000001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13.4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10" s="122">
        <f t="shared" si="10"/>
        <v>4.2000000000000011</v>
      </c>
    </row>
    <row r="111" spans="1:49" ht="14.25" customHeight="1" x14ac:dyDescent="0.2">
      <c r="A111" s="120">
        <v>21205720</v>
      </c>
      <c r="B111" s="52" t="s">
        <v>392</v>
      </c>
      <c r="C111" s="52" t="s">
        <v>383</v>
      </c>
      <c r="D111" s="53">
        <v>-74.189277779999998</v>
      </c>
      <c r="E111" s="53">
        <v>4.5057499999999999</v>
      </c>
      <c r="F111" s="48">
        <v>2900</v>
      </c>
      <c r="G111" s="46">
        <v>25</v>
      </c>
      <c r="H111" s="46">
        <v>25754</v>
      </c>
      <c r="I111" s="55" t="s">
        <v>74</v>
      </c>
      <c r="J111" s="55" t="s">
        <v>393</v>
      </c>
      <c r="K111" s="51">
        <v>11.2</v>
      </c>
      <c r="L111" s="51">
        <v>10.199999999999999</v>
      </c>
      <c r="M111" s="51">
        <v>11</v>
      </c>
      <c r="N111" s="51">
        <v>8.6</v>
      </c>
      <c r="O111" s="51">
        <v>8</v>
      </c>
      <c r="P111" s="51">
        <v>11</v>
      </c>
      <c r="Q111" s="51">
        <v>9.8000000000000007</v>
      </c>
      <c r="R111" s="51">
        <v>11.2</v>
      </c>
      <c r="S111" s="51">
        <v>9</v>
      </c>
      <c r="T111" s="51"/>
      <c r="U111" s="51">
        <v>7.4</v>
      </c>
      <c r="V111" s="51">
        <v>9.6</v>
      </c>
      <c r="W111" s="51">
        <v>9.4</v>
      </c>
      <c r="X111" s="51">
        <v>5.6</v>
      </c>
      <c r="Y111" s="51">
        <v>11</v>
      </c>
      <c r="Z111" s="111">
        <v>10.199999999999999</v>
      </c>
      <c r="AA111" s="51">
        <v>10.4</v>
      </c>
      <c r="AB111" s="51">
        <v>9.4</v>
      </c>
      <c r="AC111" s="51">
        <v>10</v>
      </c>
      <c r="AD111" s="51">
        <v>9</v>
      </c>
      <c r="AE111" s="51">
        <v>7</v>
      </c>
      <c r="AF111" s="51">
        <v>8.1999999999999993</v>
      </c>
      <c r="AG111" s="51">
        <v>10.6</v>
      </c>
      <c r="AH111" s="51">
        <v>8</v>
      </c>
      <c r="AI111" s="51">
        <v>3.6</v>
      </c>
      <c r="AJ111" s="51"/>
      <c r="AK111" s="51">
        <v>7</v>
      </c>
      <c r="AL111" s="51"/>
      <c r="AM111" s="51"/>
      <c r="AN111" s="51"/>
      <c r="AO111" s="51"/>
      <c r="AP111" s="88">
        <f t="shared" si="6"/>
        <v>25</v>
      </c>
      <c r="AQ111" s="89">
        <f t="shared" si="7"/>
        <v>9.0559999999999992</v>
      </c>
      <c r="AR111" s="89">
        <f>IFERROR(VLOOKUP(A111,Climatologia!A:U,9+$E$2,FALSE),"")</f>
        <v>7.7278206554291087</v>
      </c>
      <c r="AS111" s="89">
        <f t="shared" si="8"/>
        <v>1.3281793445708905</v>
      </c>
      <c r="AT111" s="90">
        <f t="shared" si="9"/>
        <v>3.6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1.2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11" s="122">
        <f t="shared" si="10"/>
        <v>2.4000000000000004</v>
      </c>
    </row>
    <row r="112" spans="1:49" ht="14.25" customHeight="1" x14ac:dyDescent="0.2">
      <c r="A112" s="120">
        <v>21145040</v>
      </c>
      <c r="B112" s="52" t="s">
        <v>189</v>
      </c>
      <c r="C112" s="52" t="s">
        <v>179</v>
      </c>
      <c r="D112" s="53">
        <v>-75.110111110000005</v>
      </c>
      <c r="E112" s="53">
        <v>3.3733611109999999</v>
      </c>
      <c r="F112" s="48">
        <v>440</v>
      </c>
      <c r="G112" s="46">
        <v>41</v>
      </c>
      <c r="H112" s="46">
        <v>41872</v>
      </c>
      <c r="I112" s="55" t="s">
        <v>80</v>
      </c>
      <c r="J112" s="55" t="s">
        <v>190</v>
      </c>
      <c r="K112" s="51">
        <v>23.4</v>
      </c>
      <c r="L112" s="51">
        <v>23.6</v>
      </c>
      <c r="M112" s="51">
        <v>23.4</v>
      </c>
      <c r="N112" s="51">
        <v>24.2</v>
      </c>
      <c r="O112" s="51">
        <v>22.4</v>
      </c>
      <c r="P112" s="51">
        <v>23.6</v>
      </c>
      <c r="Q112" s="51">
        <v>25</v>
      </c>
      <c r="R112" s="51">
        <v>27</v>
      </c>
      <c r="S112" s="51">
        <v>26</v>
      </c>
      <c r="T112" s="51">
        <v>23.6</v>
      </c>
      <c r="U112" s="51">
        <v>24.8</v>
      </c>
      <c r="V112" s="51"/>
      <c r="W112" s="51">
        <v>24.2</v>
      </c>
      <c r="X112" s="51">
        <v>25.2</v>
      </c>
      <c r="Y112" s="51">
        <v>25</v>
      </c>
      <c r="Z112" s="111">
        <v>25.2</v>
      </c>
      <c r="AA112" s="51">
        <v>25</v>
      </c>
      <c r="AB112" s="51">
        <v>23.6</v>
      </c>
      <c r="AC112" s="51">
        <v>23.6</v>
      </c>
      <c r="AD112" s="51">
        <v>24</v>
      </c>
      <c r="AE112" s="51">
        <v>24.4</v>
      </c>
      <c r="AF112" s="51">
        <v>25</v>
      </c>
      <c r="AG112" s="51">
        <v>27</v>
      </c>
      <c r="AH112" s="51">
        <v>23.6</v>
      </c>
      <c r="AI112" s="51">
        <v>22.4</v>
      </c>
      <c r="AJ112" s="51">
        <v>24.4</v>
      </c>
      <c r="AK112" s="51">
        <v>24</v>
      </c>
      <c r="AL112" s="51"/>
      <c r="AM112" s="51"/>
      <c r="AN112" s="51"/>
      <c r="AO112" s="51"/>
      <c r="AP112" s="88">
        <f t="shared" si="6"/>
        <v>26</v>
      </c>
      <c r="AQ112" s="89">
        <f t="shared" si="7"/>
        <v>24.369230769230771</v>
      </c>
      <c r="AR112" s="89">
        <f>IFERROR(VLOOKUP(A112,Climatologia!A:U,9+$E$2,FALSE),"")</f>
        <v>23.030800614819611</v>
      </c>
      <c r="AS112" s="89">
        <f t="shared" si="8"/>
        <v>1.3384301544111601</v>
      </c>
      <c r="AT112" s="90">
        <f t="shared" si="9"/>
        <v>22.4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18.2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2" s="122">
        <f t="shared" si="10"/>
        <v>4.1999999999999993</v>
      </c>
    </row>
    <row r="113" spans="1:49" ht="14.25" customHeight="1" x14ac:dyDescent="0.2">
      <c r="A113" s="120">
        <v>44015030</v>
      </c>
      <c r="B113" s="52" t="s">
        <v>261</v>
      </c>
      <c r="C113" s="52" t="s">
        <v>262</v>
      </c>
      <c r="D113" s="53">
        <v>-76.668750000000003</v>
      </c>
      <c r="E113" s="53">
        <v>1.900416667</v>
      </c>
      <c r="F113" s="48">
        <v>2900</v>
      </c>
      <c r="G113" s="46">
        <v>19</v>
      </c>
      <c r="H113" s="46">
        <v>19693</v>
      </c>
      <c r="I113" s="55" t="s">
        <v>182</v>
      </c>
      <c r="J113" s="55" t="s">
        <v>263</v>
      </c>
      <c r="K113" s="51">
        <v>9.1999999999999993</v>
      </c>
      <c r="L113" s="51">
        <v>10.4</v>
      </c>
      <c r="M113" s="51">
        <v>9.6</v>
      </c>
      <c r="N113" s="51">
        <v>8.6</v>
      </c>
      <c r="O113" s="51">
        <v>7</v>
      </c>
      <c r="P113" s="51">
        <v>6.2</v>
      </c>
      <c r="Q113" s="51">
        <v>7.6</v>
      </c>
      <c r="R113" s="51">
        <v>10</v>
      </c>
      <c r="S113" s="51">
        <v>8.4</v>
      </c>
      <c r="T113" s="51">
        <v>9.6</v>
      </c>
      <c r="U113" s="51">
        <v>9</v>
      </c>
      <c r="V113" s="51">
        <v>7.6</v>
      </c>
      <c r="W113" s="51">
        <v>9.4</v>
      </c>
      <c r="X113" s="51">
        <v>8.1999999999999993</v>
      </c>
      <c r="Y113" s="51">
        <v>7</v>
      </c>
      <c r="Z113" s="111">
        <v>10</v>
      </c>
      <c r="AA113" s="51">
        <v>10.6</v>
      </c>
      <c r="AB113" s="51">
        <v>9.1999999999999993</v>
      </c>
      <c r="AC113" s="51">
        <v>5.8</v>
      </c>
      <c r="AD113" s="51">
        <v>6.4</v>
      </c>
      <c r="AE113" s="51">
        <v>5.2</v>
      </c>
      <c r="AF113" s="51">
        <v>4</v>
      </c>
      <c r="AG113" s="51">
        <v>8.4</v>
      </c>
      <c r="AH113" s="51">
        <v>7.6</v>
      </c>
      <c r="AI113" s="51">
        <v>7.6</v>
      </c>
      <c r="AJ113" s="51">
        <v>6.2</v>
      </c>
      <c r="AK113" s="51"/>
      <c r="AL113" s="51"/>
      <c r="AM113" s="51"/>
      <c r="AN113" s="51"/>
      <c r="AO113" s="51"/>
      <c r="AP113" s="88">
        <f t="shared" si="6"/>
        <v>26</v>
      </c>
      <c r="AQ113" s="89">
        <f t="shared" si="7"/>
        <v>8.0307692307692307</v>
      </c>
      <c r="AR113" s="89">
        <f>IFERROR(VLOOKUP(A113,Climatologia!A:U,9+$E$2,FALSE),"")</f>
        <v>6.6382228524164031</v>
      </c>
      <c r="AS113" s="89">
        <f t="shared" si="8"/>
        <v>1.3925463783528276</v>
      </c>
      <c r="AT113" s="90">
        <f t="shared" si="9"/>
        <v>4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-1.8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3" s="122">
        <f t="shared" si="10"/>
        <v>5.8</v>
      </c>
    </row>
    <row r="114" spans="1:49" ht="14.25" customHeight="1" x14ac:dyDescent="0.2">
      <c r="A114" s="120">
        <v>52055060</v>
      </c>
      <c r="B114" s="52" t="s">
        <v>289</v>
      </c>
      <c r="C114" s="52" t="s">
        <v>262</v>
      </c>
      <c r="D114" s="53">
        <v>-77.583055560000005</v>
      </c>
      <c r="E114" s="53">
        <v>1.3735555559999999</v>
      </c>
      <c r="F114" s="48">
        <v>1500</v>
      </c>
      <c r="G114" s="46">
        <v>52</v>
      </c>
      <c r="H114" s="46">
        <v>52678</v>
      </c>
      <c r="I114" s="55" t="s">
        <v>83</v>
      </c>
      <c r="J114" s="55" t="s">
        <v>290</v>
      </c>
      <c r="K114" s="51">
        <v>14.8</v>
      </c>
      <c r="L114" s="51">
        <v>15.8</v>
      </c>
      <c r="M114" s="51">
        <v>14.6</v>
      </c>
      <c r="N114" s="51">
        <v>16.2</v>
      </c>
      <c r="O114" s="51">
        <v>15.2</v>
      </c>
      <c r="P114" s="51">
        <v>14.2</v>
      </c>
      <c r="Q114" s="51">
        <v>15.8</v>
      </c>
      <c r="R114" s="51">
        <v>16</v>
      </c>
      <c r="S114" s="51">
        <v>15.6</v>
      </c>
      <c r="T114" s="51">
        <v>16.2</v>
      </c>
      <c r="U114" s="51">
        <v>15.8</v>
      </c>
      <c r="V114" s="51">
        <v>14.8</v>
      </c>
      <c r="W114" s="51">
        <v>15.2</v>
      </c>
      <c r="X114" s="51">
        <v>14.4</v>
      </c>
      <c r="Y114" s="51">
        <v>15</v>
      </c>
      <c r="Z114" s="111">
        <v>15.4</v>
      </c>
      <c r="AA114" s="51">
        <v>16.2</v>
      </c>
      <c r="AB114" s="51">
        <v>15.8</v>
      </c>
      <c r="AC114" s="51">
        <v>15.2</v>
      </c>
      <c r="AD114" s="51">
        <v>14.4</v>
      </c>
      <c r="AE114" s="51">
        <v>13.8</v>
      </c>
      <c r="AF114" s="51">
        <v>14.6</v>
      </c>
      <c r="AG114" s="51">
        <v>15.8</v>
      </c>
      <c r="AH114" s="51">
        <v>14.2</v>
      </c>
      <c r="AI114" s="51">
        <v>14.8</v>
      </c>
      <c r="AJ114" s="51">
        <v>15</v>
      </c>
      <c r="AK114" s="51">
        <v>14</v>
      </c>
      <c r="AL114" s="51"/>
      <c r="AM114" s="51"/>
      <c r="AN114" s="51"/>
      <c r="AO114" s="51"/>
      <c r="AP114" s="88">
        <f t="shared" si="6"/>
        <v>27</v>
      </c>
      <c r="AQ114" s="89">
        <f t="shared" si="7"/>
        <v>15.140740740740743</v>
      </c>
      <c r="AR114" s="89">
        <f>IFERROR(VLOOKUP(A114,Climatologia!A:U,9+$E$2,FALSE),"")</f>
        <v>13.71360869121677</v>
      </c>
      <c r="AS114" s="89">
        <f t="shared" si="8"/>
        <v>1.4271320495239728</v>
      </c>
      <c r="AT114" s="90">
        <f t="shared" si="9"/>
        <v>13.8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6.8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14" s="122">
        <f t="shared" si="10"/>
        <v>7.0000000000000009</v>
      </c>
    </row>
    <row r="115" spans="1:49" ht="14.25" customHeight="1" x14ac:dyDescent="0.2">
      <c r="A115" s="120">
        <v>52045010</v>
      </c>
      <c r="B115" s="52" t="s">
        <v>282</v>
      </c>
      <c r="C115" s="52" t="s">
        <v>262</v>
      </c>
      <c r="D115" s="53">
        <v>-77.303083330000007</v>
      </c>
      <c r="E115" s="53">
        <v>1.1982222220000001</v>
      </c>
      <c r="F115" s="48">
        <v>2710</v>
      </c>
      <c r="G115" s="46">
        <v>52</v>
      </c>
      <c r="H115" s="46">
        <v>52001</v>
      </c>
      <c r="I115" s="55" t="s">
        <v>83</v>
      </c>
      <c r="J115" s="55" t="s">
        <v>272</v>
      </c>
      <c r="K115" s="51">
        <v>12</v>
      </c>
      <c r="L115" s="51">
        <v>11.4</v>
      </c>
      <c r="M115" s="51">
        <v>10.8</v>
      </c>
      <c r="N115" s="51">
        <v>11.4</v>
      </c>
      <c r="O115" s="51">
        <v>11.2</v>
      </c>
      <c r="P115" s="51">
        <v>12.4</v>
      </c>
      <c r="Q115" s="51">
        <v>11.8</v>
      </c>
      <c r="R115" s="51">
        <v>12.2</v>
      </c>
      <c r="S115" s="51">
        <v>11.6</v>
      </c>
      <c r="T115" s="51">
        <v>11.4</v>
      </c>
      <c r="U115" s="51">
        <v>11.6</v>
      </c>
      <c r="V115" s="51">
        <v>9.8000000000000007</v>
      </c>
      <c r="W115" s="51">
        <v>10.9</v>
      </c>
      <c r="X115" s="51">
        <v>10</v>
      </c>
      <c r="Y115" s="51">
        <v>11.8</v>
      </c>
      <c r="Z115" s="111">
        <v>12.1</v>
      </c>
      <c r="AA115" s="51">
        <v>11.1</v>
      </c>
      <c r="AB115" s="51">
        <v>10</v>
      </c>
      <c r="AC115" s="51">
        <v>9</v>
      </c>
      <c r="AD115" s="51">
        <v>8.6999999999999993</v>
      </c>
      <c r="AE115" s="51">
        <v>9.4</v>
      </c>
      <c r="AF115" s="51">
        <v>9.1999999999999993</v>
      </c>
      <c r="AG115" s="51">
        <v>10.4</v>
      </c>
      <c r="AH115" s="51">
        <v>10.5</v>
      </c>
      <c r="AI115" s="51">
        <v>10.3</v>
      </c>
      <c r="AJ115" s="51">
        <v>9.9</v>
      </c>
      <c r="AK115" s="51">
        <v>10</v>
      </c>
      <c r="AL115" s="51"/>
      <c r="AM115" s="51"/>
      <c r="AN115" s="51"/>
      <c r="AO115" s="51"/>
      <c r="AP115" s="88">
        <f t="shared" si="6"/>
        <v>27</v>
      </c>
      <c r="AQ115" s="89">
        <f t="shared" si="7"/>
        <v>10.774074074074074</v>
      </c>
      <c r="AR115" s="89">
        <f>IFERROR(VLOOKUP(A115,Climatologia!A:U,9+$E$2,FALSE),"")</f>
        <v>9.339817613927293</v>
      </c>
      <c r="AS115" s="89">
        <f t="shared" si="8"/>
        <v>1.4342564601467807</v>
      </c>
      <c r="AT115" s="90">
        <f t="shared" si="9"/>
        <v>8.6999999999999993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4.5999999999999996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15" s="122">
        <f t="shared" si="10"/>
        <v>4.0999999999999996</v>
      </c>
    </row>
    <row r="116" spans="1:49" ht="14.25" customHeight="1" x14ac:dyDescent="0.2">
      <c r="A116" s="120">
        <v>21215080</v>
      </c>
      <c r="B116" s="52" t="s">
        <v>362</v>
      </c>
      <c r="C116" s="52" t="s">
        <v>356</v>
      </c>
      <c r="D116" s="53">
        <v>-74.995361110000005</v>
      </c>
      <c r="E116" s="53">
        <v>4.2315277780000002</v>
      </c>
      <c r="F116" s="48">
        <v>432</v>
      </c>
      <c r="G116" s="46">
        <v>73</v>
      </c>
      <c r="H116" s="46">
        <v>73268</v>
      </c>
      <c r="I116" s="55" t="s">
        <v>71</v>
      </c>
      <c r="J116" s="55" t="s">
        <v>363</v>
      </c>
      <c r="K116" s="51">
        <v>22.6</v>
      </c>
      <c r="L116" s="51">
        <v>21.2</v>
      </c>
      <c r="M116" s="51">
        <v>21.2</v>
      </c>
      <c r="N116" s="51">
        <v>21.4</v>
      </c>
      <c r="O116" s="51">
        <v>22.6</v>
      </c>
      <c r="P116" s="51">
        <v>22.8</v>
      </c>
      <c r="Q116" s="51">
        <v>22</v>
      </c>
      <c r="R116" s="51">
        <v>22.4</v>
      </c>
      <c r="S116" s="51">
        <v>22.6</v>
      </c>
      <c r="T116" s="51">
        <v>23.4</v>
      </c>
      <c r="U116" s="51">
        <v>20.6</v>
      </c>
      <c r="V116" s="51"/>
      <c r="W116" s="51"/>
      <c r="X116" s="51"/>
      <c r="Y116" s="51">
        <v>23</v>
      </c>
      <c r="Z116" s="111">
        <v>22.8</v>
      </c>
      <c r="AA116" s="51">
        <v>22.2</v>
      </c>
      <c r="AB116" s="51">
        <v>24</v>
      </c>
      <c r="AC116" s="51">
        <v>22.2</v>
      </c>
      <c r="AD116" s="51">
        <v>24.4</v>
      </c>
      <c r="AE116" s="51">
        <v>23.6</v>
      </c>
      <c r="AF116" s="51">
        <v>23.6</v>
      </c>
      <c r="AG116" s="51">
        <v>23.8</v>
      </c>
      <c r="AH116" s="51">
        <v>23.6</v>
      </c>
      <c r="AI116" s="51">
        <v>22</v>
      </c>
      <c r="AJ116" s="51">
        <v>22.4</v>
      </c>
      <c r="AK116" s="51">
        <v>22.8</v>
      </c>
      <c r="AL116" s="51"/>
      <c r="AM116" s="51"/>
      <c r="AN116" s="51"/>
      <c r="AO116" s="51"/>
      <c r="AP116" s="88">
        <f t="shared" si="6"/>
        <v>24</v>
      </c>
      <c r="AQ116" s="89">
        <f t="shared" si="7"/>
        <v>22.633333333333336</v>
      </c>
      <c r="AR116" s="89">
        <f>IFERROR(VLOOKUP(A116,Climatologia!A:U,9+$E$2,FALSE),"")</f>
        <v>21.16664011681932</v>
      </c>
      <c r="AS116" s="89">
        <f t="shared" si="8"/>
        <v>1.4666932165140167</v>
      </c>
      <c r="AT116" s="90">
        <f t="shared" si="9"/>
        <v>20.6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16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16" s="122">
        <f t="shared" si="10"/>
        <v>4.6000000000000014</v>
      </c>
    </row>
    <row r="117" spans="1:49" ht="14.25" customHeight="1" x14ac:dyDescent="0.2">
      <c r="A117" s="120">
        <v>16055010</v>
      </c>
      <c r="B117" s="52" t="s">
        <v>308</v>
      </c>
      <c r="C117" s="52" t="s">
        <v>300</v>
      </c>
      <c r="D117" s="53">
        <v>-73.357500000000002</v>
      </c>
      <c r="E117" s="53">
        <v>8.3152777780000005</v>
      </c>
      <c r="F117" s="48">
        <v>1435</v>
      </c>
      <c r="G117" s="46">
        <v>54</v>
      </c>
      <c r="H117" s="46">
        <v>54498</v>
      </c>
      <c r="I117" s="55" t="s">
        <v>301</v>
      </c>
      <c r="J117" s="55" t="s">
        <v>309</v>
      </c>
      <c r="K117" s="51">
        <v>16.8</v>
      </c>
      <c r="L117" s="51">
        <v>18</v>
      </c>
      <c r="M117" s="51">
        <v>16.8</v>
      </c>
      <c r="N117" s="51">
        <v>17</v>
      </c>
      <c r="O117" s="51">
        <v>16.600000000000001</v>
      </c>
      <c r="P117" s="51">
        <v>16.399999999999999</v>
      </c>
      <c r="Q117" s="51">
        <v>17.600000000000001</v>
      </c>
      <c r="R117" s="51">
        <v>15.8</v>
      </c>
      <c r="S117" s="51">
        <v>19</v>
      </c>
      <c r="T117" s="51">
        <v>14.8</v>
      </c>
      <c r="U117" s="51">
        <v>16.2</v>
      </c>
      <c r="V117" s="51">
        <v>19</v>
      </c>
      <c r="W117" s="51">
        <v>16.8</v>
      </c>
      <c r="X117" s="51">
        <v>16.600000000000001</v>
      </c>
      <c r="Y117" s="51">
        <v>15.6</v>
      </c>
      <c r="Z117" s="111">
        <v>16.2</v>
      </c>
      <c r="AA117" s="51">
        <v>16.2</v>
      </c>
      <c r="AB117" s="51">
        <v>19.2</v>
      </c>
      <c r="AC117" s="51">
        <v>17.600000000000001</v>
      </c>
      <c r="AD117" s="51">
        <v>19</v>
      </c>
      <c r="AE117" s="51">
        <v>18.399999999999999</v>
      </c>
      <c r="AF117" s="51">
        <v>16.399999999999999</v>
      </c>
      <c r="AG117" s="51">
        <v>18.2</v>
      </c>
      <c r="AH117" s="51">
        <v>17.399999999999999</v>
      </c>
      <c r="AI117" s="51">
        <v>16.600000000000001</v>
      </c>
      <c r="AJ117" s="51">
        <v>18.2</v>
      </c>
      <c r="AK117" s="51">
        <v>18.2</v>
      </c>
      <c r="AL117" s="51"/>
      <c r="AM117" s="51"/>
      <c r="AN117" s="51"/>
      <c r="AO117" s="51"/>
      <c r="AP117" s="88">
        <f t="shared" si="6"/>
        <v>27</v>
      </c>
      <c r="AQ117" s="89">
        <f t="shared" si="7"/>
        <v>17.207407407407405</v>
      </c>
      <c r="AR117" s="89">
        <f>IFERROR(VLOOKUP(A117,Climatologia!A:U,9+$E$2,FALSE),"")</f>
        <v>15.740161290322581</v>
      </c>
      <c r="AS117" s="89">
        <f t="shared" si="8"/>
        <v>1.4672461170848248</v>
      </c>
      <c r="AT117" s="90">
        <f t="shared" si="9"/>
        <v>14.8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10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17" s="122">
        <f t="shared" si="10"/>
        <v>4.8000000000000007</v>
      </c>
    </row>
    <row r="118" spans="1:49" ht="14.25" customHeight="1" x14ac:dyDescent="0.2">
      <c r="A118" s="120">
        <v>52055090</v>
      </c>
      <c r="B118" s="52" t="s">
        <v>291</v>
      </c>
      <c r="C118" s="52" t="s">
        <v>262</v>
      </c>
      <c r="D118" s="53">
        <v>-77.389361109999996</v>
      </c>
      <c r="E118" s="53">
        <v>1.107583333</v>
      </c>
      <c r="F118" s="48">
        <v>2800</v>
      </c>
      <c r="G118" s="46">
        <v>52</v>
      </c>
      <c r="H118" s="46">
        <v>52788</v>
      </c>
      <c r="I118" s="55" t="s">
        <v>83</v>
      </c>
      <c r="J118" s="55" t="s">
        <v>292</v>
      </c>
      <c r="K118" s="51">
        <v>11.4</v>
      </c>
      <c r="L118" s="51">
        <v>10.199999999999999</v>
      </c>
      <c r="M118" s="51">
        <v>10.1</v>
      </c>
      <c r="N118" s="51">
        <v>10.199999999999999</v>
      </c>
      <c r="O118" s="51">
        <v>11</v>
      </c>
      <c r="P118" s="51">
        <v>12</v>
      </c>
      <c r="Q118" s="51">
        <v>10.199999999999999</v>
      </c>
      <c r="R118" s="51">
        <v>10</v>
      </c>
      <c r="S118" s="51">
        <v>10.199999999999999</v>
      </c>
      <c r="T118" s="51">
        <v>11.2</v>
      </c>
      <c r="U118" s="51">
        <v>11.2</v>
      </c>
      <c r="V118" s="51">
        <v>10.4</v>
      </c>
      <c r="W118" s="51">
        <v>10.1</v>
      </c>
      <c r="X118" s="51">
        <v>11.4</v>
      </c>
      <c r="Y118" s="51">
        <v>8.8000000000000007</v>
      </c>
      <c r="Z118" s="111">
        <v>12</v>
      </c>
      <c r="AA118" s="51">
        <v>12.2</v>
      </c>
      <c r="AB118" s="51">
        <v>11.4</v>
      </c>
      <c r="AC118" s="51">
        <v>10.1</v>
      </c>
      <c r="AD118" s="51">
        <v>10</v>
      </c>
      <c r="AE118" s="51">
        <v>10.199999999999999</v>
      </c>
      <c r="AF118" s="51">
        <v>10.1</v>
      </c>
      <c r="AG118" s="51">
        <v>11.4</v>
      </c>
      <c r="AH118" s="51">
        <v>11.2</v>
      </c>
      <c r="AI118" s="51">
        <v>10.6</v>
      </c>
      <c r="AJ118" s="51">
        <v>9.9</v>
      </c>
      <c r="AK118" s="51">
        <v>10.199999999999999</v>
      </c>
      <c r="AL118" s="51"/>
      <c r="AM118" s="51"/>
      <c r="AN118" s="51"/>
      <c r="AO118" s="51"/>
      <c r="AP118" s="88">
        <f t="shared" si="6"/>
        <v>27</v>
      </c>
      <c r="AQ118" s="89">
        <f t="shared" si="7"/>
        <v>10.655555555555555</v>
      </c>
      <c r="AR118" s="89">
        <f>IFERROR(VLOOKUP(A118,Climatologia!A:U,9+$E$2,FALSE),"")</f>
        <v>9.1551700301922789</v>
      </c>
      <c r="AS118" s="89">
        <f t="shared" si="8"/>
        <v>1.5003855253632761</v>
      </c>
      <c r="AT118" s="90">
        <f t="shared" si="9"/>
        <v>8.8000000000000007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5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18" s="122">
        <f t="shared" si="10"/>
        <v>3.8000000000000007</v>
      </c>
    </row>
    <row r="119" spans="1:49" ht="14.25" customHeight="1" x14ac:dyDescent="0.2">
      <c r="A119" s="120">
        <v>31015010</v>
      </c>
      <c r="B119" s="52" t="s">
        <v>150</v>
      </c>
      <c r="C119" s="52" t="s">
        <v>151</v>
      </c>
      <c r="D119" s="53">
        <v>-72.639860999999996</v>
      </c>
      <c r="E119" s="53">
        <v>2.372592</v>
      </c>
      <c r="F119" s="48">
        <v>216</v>
      </c>
      <c r="G119" s="46">
        <v>95</v>
      </c>
      <c r="H119" s="46">
        <v>95025</v>
      </c>
      <c r="I119" s="55" t="s">
        <v>152</v>
      </c>
      <c r="J119" s="55" t="s">
        <v>153</v>
      </c>
      <c r="K119" s="51">
        <v>22.8</v>
      </c>
      <c r="L119" s="51">
        <v>23.4</v>
      </c>
      <c r="M119" s="51">
        <v>22.2</v>
      </c>
      <c r="N119" s="51">
        <v>20.6</v>
      </c>
      <c r="O119" s="51">
        <v>21.4</v>
      </c>
      <c r="P119" s="51">
        <v>21.8</v>
      </c>
      <c r="Q119" s="51">
        <v>23.2</v>
      </c>
      <c r="R119" s="51">
        <v>23.6</v>
      </c>
      <c r="S119" s="51">
        <v>23</v>
      </c>
      <c r="T119" s="51">
        <v>23.2</v>
      </c>
      <c r="U119" s="51">
        <v>23.4</v>
      </c>
      <c r="V119" s="51">
        <v>23.2</v>
      </c>
      <c r="W119" s="51">
        <v>22.8</v>
      </c>
      <c r="X119" s="51">
        <v>23.6</v>
      </c>
      <c r="Y119" s="51">
        <v>23.4</v>
      </c>
      <c r="Z119" s="111">
        <v>24.8</v>
      </c>
      <c r="AA119" s="51">
        <v>23.4</v>
      </c>
      <c r="AB119" s="51">
        <v>20.6</v>
      </c>
      <c r="AC119" s="51">
        <v>22.4</v>
      </c>
      <c r="AD119" s="51">
        <v>21.8</v>
      </c>
      <c r="AE119" s="51">
        <v>22.4</v>
      </c>
      <c r="AF119" s="51">
        <v>23.6</v>
      </c>
      <c r="AG119" s="51">
        <v>22.6</v>
      </c>
      <c r="AH119" s="51">
        <v>21.8</v>
      </c>
      <c r="AI119" s="51">
        <v>21.6</v>
      </c>
      <c r="AJ119" s="51">
        <v>21.4</v>
      </c>
      <c r="AK119" s="51">
        <v>23.2</v>
      </c>
      <c r="AL119" s="51"/>
      <c r="AM119" s="51"/>
      <c r="AN119" s="51"/>
      <c r="AO119" s="51"/>
      <c r="AP119" s="88">
        <f t="shared" si="6"/>
        <v>27</v>
      </c>
      <c r="AQ119" s="89">
        <f t="shared" si="7"/>
        <v>22.63703703703704</v>
      </c>
      <c r="AR119" s="89">
        <f>IFERROR(VLOOKUP(A119,Climatologia!A:U,9+$E$2,FALSE),"")</f>
        <v>21.121835024190759</v>
      </c>
      <c r="AS119" s="89">
        <f t="shared" si="8"/>
        <v>1.5152020128462809</v>
      </c>
      <c r="AT119" s="90">
        <f t="shared" si="9"/>
        <v>20.6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15.2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119" s="122">
        <f t="shared" si="10"/>
        <v>5.4000000000000021</v>
      </c>
    </row>
    <row r="120" spans="1:49" ht="14.25" customHeight="1" x14ac:dyDescent="0.2">
      <c r="A120" s="120">
        <v>23085110</v>
      </c>
      <c r="B120" s="52" t="s">
        <v>107</v>
      </c>
      <c r="C120" s="52" t="s">
        <v>102</v>
      </c>
      <c r="D120" s="53">
        <v>-75.241388889000007</v>
      </c>
      <c r="E120" s="53">
        <v>6.2138888999999997</v>
      </c>
      <c r="F120" s="48">
        <v>2022</v>
      </c>
      <c r="G120" s="46">
        <v>5</v>
      </c>
      <c r="H120" s="46">
        <v>5541</v>
      </c>
      <c r="I120" s="55" t="s">
        <v>58</v>
      </c>
      <c r="J120" s="55" t="s">
        <v>108</v>
      </c>
      <c r="K120" s="51">
        <v>15.8</v>
      </c>
      <c r="L120" s="51">
        <v>14.4</v>
      </c>
      <c r="M120" s="51">
        <v>15</v>
      </c>
      <c r="N120" s="51">
        <v>14.6</v>
      </c>
      <c r="O120" s="51">
        <v>14.4</v>
      </c>
      <c r="P120" s="51">
        <v>14.8</v>
      </c>
      <c r="Q120" s="51">
        <v>16.2</v>
      </c>
      <c r="R120" s="51">
        <v>16</v>
      </c>
      <c r="S120" s="51">
        <v>15.4</v>
      </c>
      <c r="T120" s="51">
        <v>15.8</v>
      </c>
      <c r="U120" s="51">
        <v>14.2</v>
      </c>
      <c r="V120" s="51">
        <v>14.8</v>
      </c>
      <c r="W120" s="51">
        <v>14.4</v>
      </c>
      <c r="X120" s="51">
        <v>14.8</v>
      </c>
      <c r="Y120" s="51">
        <v>13.8</v>
      </c>
      <c r="Z120" s="111">
        <v>14.8</v>
      </c>
      <c r="AA120" s="51">
        <v>15</v>
      </c>
      <c r="AB120" s="51">
        <v>14.8</v>
      </c>
      <c r="AC120" s="51">
        <v>14.6</v>
      </c>
      <c r="AD120" s="51">
        <v>14.8</v>
      </c>
      <c r="AE120" s="51">
        <v>13.6</v>
      </c>
      <c r="AF120" s="51">
        <v>14</v>
      </c>
      <c r="AG120" s="51">
        <v>14.4</v>
      </c>
      <c r="AH120" s="51">
        <v>14.2</v>
      </c>
      <c r="AI120" s="51">
        <v>14.8</v>
      </c>
      <c r="AJ120" s="51">
        <v>14.6</v>
      </c>
      <c r="AK120" s="51">
        <v>15</v>
      </c>
      <c r="AL120" s="51"/>
      <c r="AM120" s="51"/>
      <c r="AN120" s="51"/>
      <c r="AO120" s="51"/>
      <c r="AP120" s="88">
        <f t="shared" si="6"/>
        <v>27</v>
      </c>
      <c r="AQ120" s="89">
        <f t="shared" si="7"/>
        <v>14.777777777777782</v>
      </c>
      <c r="AR120" s="89">
        <f>IFERROR(VLOOKUP(A120,Climatologia!A:U,9+$E$2,FALSE),"")</f>
        <v>13.253440860215051</v>
      </c>
      <c r="AS120" s="89">
        <f t="shared" si="8"/>
        <v>1.5243369175627315</v>
      </c>
      <c r="AT120" s="90">
        <f t="shared" si="9"/>
        <v>13.6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9.1999999999999993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120" s="122">
        <f t="shared" si="10"/>
        <v>4.4000000000000004</v>
      </c>
    </row>
    <row r="121" spans="1:49" ht="14.25" customHeight="1" x14ac:dyDescent="0.2">
      <c r="A121" s="120">
        <v>21205700</v>
      </c>
      <c r="B121" s="52" t="s">
        <v>391</v>
      </c>
      <c r="C121" s="52" t="s">
        <v>383</v>
      </c>
      <c r="D121" s="53">
        <v>-73.864452999999997</v>
      </c>
      <c r="E121" s="53">
        <v>4.8779529999999998</v>
      </c>
      <c r="F121" s="48">
        <v>2750</v>
      </c>
      <c r="G121" s="46">
        <v>25</v>
      </c>
      <c r="H121" s="46">
        <v>25322</v>
      </c>
      <c r="I121" s="55" t="s">
        <v>74</v>
      </c>
      <c r="J121" s="55" t="s">
        <v>391</v>
      </c>
      <c r="K121" s="51">
        <v>11.4</v>
      </c>
      <c r="L121" s="51">
        <v>10.199999999999999</v>
      </c>
      <c r="M121" s="51">
        <v>10.4</v>
      </c>
      <c r="N121" s="51">
        <v>9.6</v>
      </c>
      <c r="O121" s="51">
        <v>9</v>
      </c>
      <c r="P121" s="51">
        <v>9.6</v>
      </c>
      <c r="Q121" s="51">
        <v>10.4</v>
      </c>
      <c r="R121" s="51">
        <v>10.8</v>
      </c>
      <c r="S121" s="51">
        <v>10.199999999999999</v>
      </c>
      <c r="T121" s="51">
        <v>11.6</v>
      </c>
      <c r="U121" s="51">
        <v>9.6</v>
      </c>
      <c r="V121" s="51">
        <v>10.4</v>
      </c>
      <c r="W121" s="51">
        <v>9.4</v>
      </c>
      <c r="X121" s="51">
        <v>8.1999999999999993</v>
      </c>
      <c r="Y121" s="51">
        <v>10.4</v>
      </c>
      <c r="Z121" s="111">
        <v>10.4</v>
      </c>
      <c r="AA121" s="51">
        <v>10.199999999999999</v>
      </c>
      <c r="AB121" s="51">
        <v>10.199999999999999</v>
      </c>
      <c r="AC121" s="51">
        <v>10.199999999999999</v>
      </c>
      <c r="AD121" s="51">
        <v>10.4</v>
      </c>
      <c r="AE121" s="51">
        <v>9.4</v>
      </c>
      <c r="AF121" s="51">
        <v>9.6</v>
      </c>
      <c r="AG121" s="51">
        <v>10.199999999999999</v>
      </c>
      <c r="AH121" s="51">
        <v>10.4</v>
      </c>
      <c r="AI121" s="51">
        <v>4.2</v>
      </c>
      <c r="AJ121" s="51"/>
      <c r="AK121" s="51"/>
      <c r="AL121" s="51"/>
      <c r="AM121" s="51"/>
      <c r="AN121" s="51"/>
      <c r="AO121" s="51"/>
      <c r="AP121" s="88">
        <f t="shared" si="6"/>
        <v>25</v>
      </c>
      <c r="AQ121" s="89">
        <f t="shared" si="7"/>
        <v>9.8559999999999981</v>
      </c>
      <c r="AR121" s="89">
        <f>IFERROR(VLOOKUP(A121,Climatologia!A:U,9+$E$2,FALSE),"")</f>
        <v>8.3038288971873495</v>
      </c>
      <c r="AS121" s="89">
        <f t="shared" si="8"/>
        <v>1.5521711028126486</v>
      </c>
      <c r="AT121" s="90">
        <f t="shared" si="9"/>
        <v>4.2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2.4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21" s="122">
        <f t="shared" si="10"/>
        <v>1.8000000000000003</v>
      </c>
    </row>
    <row r="122" spans="1:49" ht="14.25" customHeight="1" x14ac:dyDescent="0.2">
      <c r="A122" s="120">
        <v>21135030</v>
      </c>
      <c r="B122" s="52" t="s">
        <v>187</v>
      </c>
      <c r="C122" s="52" t="s">
        <v>179</v>
      </c>
      <c r="D122" s="53">
        <v>-75.108999999999995</v>
      </c>
      <c r="E122" s="53">
        <v>3.5738333330000001</v>
      </c>
      <c r="F122" s="48">
        <v>415</v>
      </c>
      <c r="G122" s="46">
        <v>73</v>
      </c>
      <c r="H122" s="46">
        <v>73483</v>
      </c>
      <c r="I122" s="55" t="s">
        <v>71</v>
      </c>
      <c r="J122" s="55" t="s">
        <v>188</v>
      </c>
      <c r="K122" s="51">
        <v>24.8</v>
      </c>
      <c r="L122" s="51">
        <v>26.2</v>
      </c>
      <c r="M122" s="51">
        <v>25.2</v>
      </c>
      <c r="N122" s="51">
        <v>25.6</v>
      </c>
      <c r="O122" s="51">
        <v>23.4</v>
      </c>
      <c r="P122" s="51">
        <v>27.2</v>
      </c>
      <c r="Q122" s="51">
        <v>27.4</v>
      </c>
      <c r="R122" s="51">
        <v>27.6</v>
      </c>
      <c r="S122" s="51">
        <v>25.4</v>
      </c>
      <c r="T122" s="51">
        <v>25.4</v>
      </c>
      <c r="U122" s="51">
        <v>25.6</v>
      </c>
      <c r="V122" s="51">
        <v>25.8</v>
      </c>
      <c r="W122" s="51">
        <v>25</v>
      </c>
      <c r="X122" s="51">
        <v>26.6</v>
      </c>
      <c r="Y122" s="51">
        <v>27</v>
      </c>
      <c r="Z122" s="111">
        <v>28.2</v>
      </c>
      <c r="AA122" s="51">
        <v>27.2</v>
      </c>
      <c r="AB122" s="51">
        <v>23.8</v>
      </c>
      <c r="AC122" s="51">
        <v>24</v>
      </c>
      <c r="AD122" s="51">
        <v>23.8</v>
      </c>
      <c r="AE122" s="51">
        <v>24.8</v>
      </c>
      <c r="AF122" s="51">
        <v>24.4</v>
      </c>
      <c r="AG122" s="51">
        <v>25.4</v>
      </c>
      <c r="AH122" s="51">
        <v>24.6</v>
      </c>
      <c r="AI122" s="51">
        <v>23.2</v>
      </c>
      <c r="AJ122" s="51">
        <v>27</v>
      </c>
      <c r="AK122" s="51">
        <v>25</v>
      </c>
      <c r="AL122" s="51"/>
      <c r="AM122" s="51"/>
      <c r="AN122" s="51"/>
      <c r="AO122" s="51"/>
      <c r="AP122" s="88">
        <f t="shared" si="6"/>
        <v>27</v>
      </c>
      <c r="AQ122" s="89">
        <f t="shared" si="7"/>
        <v>25.540740740740741</v>
      </c>
      <c r="AR122" s="89">
        <f>IFERROR(VLOOKUP(A122,Climatologia!A:U,9+$E$2,FALSE),"")</f>
        <v>23.98594554377442</v>
      </c>
      <c r="AS122" s="89">
        <f t="shared" si="8"/>
        <v>1.554795196966321</v>
      </c>
      <c r="AT122" s="90">
        <f t="shared" si="9"/>
        <v>23.2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19.399999999999999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122" s="122">
        <f t="shared" si="10"/>
        <v>3.8000000000000007</v>
      </c>
    </row>
    <row r="123" spans="1:49" ht="14.25" customHeight="1" x14ac:dyDescent="0.2">
      <c r="A123" s="121">
        <v>48015050</v>
      </c>
      <c r="B123" s="99" t="s">
        <v>98</v>
      </c>
      <c r="C123" s="100" t="s">
        <v>1295</v>
      </c>
      <c r="D123" s="101">
        <v>-69.941000000000003</v>
      </c>
      <c r="E123" s="101">
        <v>-4.194</v>
      </c>
      <c r="F123" s="102">
        <v>84</v>
      </c>
      <c r="G123" s="102">
        <v>91</v>
      </c>
      <c r="H123" s="102">
        <v>91001</v>
      </c>
      <c r="I123" s="99" t="s">
        <v>99</v>
      </c>
      <c r="J123" s="103" t="s">
        <v>100</v>
      </c>
      <c r="K123" s="108">
        <v>22.8</v>
      </c>
      <c r="L123" s="108">
        <v>23.2</v>
      </c>
      <c r="M123" s="108">
        <v>23.6</v>
      </c>
      <c r="N123" s="108">
        <v>24</v>
      </c>
      <c r="O123" s="108">
        <v>20.5</v>
      </c>
      <c r="P123" s="108">
        <v>22.7</v>
      </c>
      <c r="Q123" s="108">
        <v>22.9</v>
      </c>
      <c r="R123" s="108">
        <v>23.4</v>
      </c>
      <c r="S123" s="108">
        <v>22</v>
      </c>
      <c r="T123" s="108">
        <v>23.9</v>
      </c>
      <c r="U123" s="108">
        <v>22.7</v>
      </c>
      <c r="V123" s="108">
        <v>23</v>
      </c>
      <c r="W123" s="108">
        <v>23.8</v>
      </c>
      <c r="X123" s="108">
        <v>23</v>
      </c>
      <c r="Y123" s="108">
        <v>23.5</v>
      </c>
      <c r="Z123" s="115">
        <v>23.9</v>
      </c>
      <c r="AA123" s="108">
        <v>23.1</v>
      </c>
      <c r="AB123" s="108">
        <v>22.7</v>
      </c>
      <c r="AC123" s="108">
        <v>23.2</v>
      </c>
      <c r="AD123" s="108">
        <v>23</v>
      </c>
      <c r="AE123" s="108">
        <v>23.3</v>
      </c>
      <c r="AF123" s="108">
        <v>23.9</v>
      </c>
      <c r="AG123" s="108">
        <v>22.2</v>
      </c>
      <c r="AH123" s="108">
        <v>24.5</v>
      </c>
      <c r="AI123" s="108">
        <v>23.6</v>
      </c>
      <c r="AJ123" s="108">
        <v>23.6</v>
      </c>
      <c r="AK123" s="108">
        <v>23.1</v>
      </c>
      <c r="AL123" s="108"/>
      <c r="AM123" s="108"/>
      <c r="AN123" s="108"/>
      <c r="AO123" s="108"/>
      <c r="AP123" s="88">
        <f t="shared" si="6"/>
        <v>27</v>
      </c>
      <c r="AQ123" s="89">
        <f t="shared" si="7"/>
        <v>23.151851851851852</v>
      </c>
      <c r="AR123" s="89">
        <f>IFERROR(VLOOKUP(A123,Climatologia!A:U,9+$E$2,FALSE),"")</f>
        <v>21.59281959378734</v>
      </c>
      <c r="AS123" s="89">
        <f t="shared" si="8"/>
        <v>1.5590322580645122</v>
      </c>
      <c r="AT123" s="90">
        <f t="shared" si="9"/>
        <v>20.5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14.5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123" s="122">
        <f t="shared" si="10"/>
        <v>6</v>
      </c>
    </row>
    <row r="124" spans="1:49" ht="14.25" customHeight="1" x14ac:dyDescent="0.2">
      <c r="A124" s="119">
        <v>15065180</v>
      </c>
      <c r="B124" s="47" t="s">
        <v>40</v>
      </c>
      <c r="C124" s="52" t="s">
        <v>1295</v>
      </c>
      <c r="D124" s="49">
        <v>-72.918000000000006</v>
      </c>
      <c r="E124" s="49">
        <v>11.53</v>
      </c>
      <c r="F124" s="50">
        <v>4</v>
      </c>
      <c r="G124" s="50">
        <v>44</v>
      </c>
      <c r="H124" s="50">
        <v>44001</v>
      </c>
      <c r="I124" s="47" t="s">
        <v>41</v>
      </c>
      <c r="J124" s="63" t="s">
        <v>42</v>
      </c>
      <c r="K124" s="51">
        <v>28.2</v>
      </c>
      <c r="L124" s="51">
        <v>27.3</v>
      </c>
      <c r="M124" s="51">
        <v>27.9</v>
      </c>
      <c r="N124" s="51">
        <v>27.7</v>
      </c>
      <c r="O124" s="51">
        <v>27.6</v>
      </c>
      <c r="P124" s="51">
        <v>27.4</v>
      </c>
      <c r="Q124" s="51">
        <v>28</v>
      </c>
      <c r="R124" s="51">
        <v>27.9</v>
      </c>
      <c r="S124" s="51">
        <v>28.2</v>
      </c>
      <c r="T124" s="51">
        <v>28.2</v>
      </c>
      <c r="U124" s="51">
        <v>27.9</v>
      </c>
      <c r="V124" s="51">
        <v>27.8</v>
      </c>
      <c r="W124" s="51">
        <v>27.7</v>
      </c>
      <c r="X124" s="51">
        <v>27.9</v>
      </c>
      <c r="Y124" s="51">
        <v>27.8</v>
      </c>
      <c r="Z124" s="111">
        <v>27.4</v>
      </c>
      <c r="AA124" s="51">
        <v>27.5</v>
      </c>
      <c r="AB124" s="51">
        <v>27.7</v>
      </c>
      <c r="AC124" s="51">
        <v>27.7</v>
      </c>
      <c r="AD124" s="51">
        <v>27.8</v>
      </c>
      <c r="AE124" s="51">
        <v>27.8</v>
      </c>
      <c r="AF124" s="51">
        <v>27</v>
      </c>
      <c r="AG124" s="51">
        <v>26.1</v>
      </c>
      <c r="AH124" s="51">
        <v>26.9</v>
      </c>
      <c r="AI124" s="51">
        <v>27.4</v>
      </c>
      <c r="AJ124" s="51">
        <v>27.3</v>
      </c>
      <c r="AK124" s="51">
        <v>23.6</v>
      </c>
      <c r="AL124" s="51"/>
      <c r="AM124" s="51"/>
      <c r="AN124" s="51"/>
      <c r="AO124" s="51"/>
      <c r="AP124" s="88">
        <f t="shared" si="6"/>
        <v>27</v>
      </c>
      <c r="AQ124" s="89">
        <f t="shared" si="7"/>
        <v>27.470370370370365</v>
      </c>
      <c r="AR124" s="89">
        <f>IFERROR(VLOOKUP(A124,Climatologia!A:U,9+$E$2,FALSE),"")</f>
        <v>25.91025682931615</v>
      </c>
      <c r="AS124" s="89">
        <f t="shared" si="8"/>
        <v>1.5601135410542142</v>
      </c>
      <c r="AT124" s="90">
        <f t="shared" si="9"/>
        <v>23.6</v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20.2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24" s="122">
        <f t="shared" si="10"/>
        <v>3.4000000000000021</v>
      </c>
    </row>
    <row r="125" spans="1:49" ht="14.25" customHeight="1" x14ac:dyDescent="0.2">
      <c r="A125" s="120">
        <v>27015260</v>
      </c>
      <c r="B125" s="52" t="s">
        <v>116</v>
      </c>
      <c r="C125" s="52" t="s">
        <v>102</v>
      </c>
      <c r="D125" s="53">
        <v>-75.624666669999996</v>
      </c>
      <c r="E125" s="53">
        <v>6.0483611110000002</v>
      </c>
      <c r="F125" s="48">
        <v>1923</v>
      </c>
      <c r="G125" s="46">
        <v>5</v>
      </c>
      <c r="H125" s="46">
        <v>5129</v>
      </c>
      <c r="I125" s="55" t="s">
        <v>58</v>
      </c>
      <c r="J125" s="55" t="s">
        <v>117</v>
      </c>
      <c r="K125" s="51">
        <v>15</v>
      </c>
      <c r="L125" s="51">
        <v>13.2</v>
      </c>
      <c r="M125" s="51">
        <v>13</v>
      </c>
      <c r="N125" s="51">
        <v>14.8</v>
      </c>
      <c r="O125" s="51">
        <v>13.8</v>
      </c>
      <c r="P125" s="51">
        <v>14.4</v>
      </c>
      <c r="Q125" s="51">
        <v>15.4</v>
      </c>
      <c r="R125" s="51">
        <v>15.2</v>
      </c>
      <c r="S125" s="51">
        <v>15.2</v>
      </c>
      <c r="T125" s="51">
        <v>14.4</v>
      </c>
      <c r="U125" s="51">
        <v>13.2</v>
      </c>
      <c r="V125" s="51">
        <v>14.4</v>
      </c>
      <c r="W125" s="51">
        <v>14.6</v>
      </c>
      <c r="X125" s="51">
        <v>14.6</v>
      </c>
      <c r="Y125" s="51">
        <v>14.2</v>
      </c>
      <c r="Z125" s="111">
        <v>14.6</v>
      </c>
      <c r="AA125" s="51">
        <v>14</v>
      </c>
      <c r="AB125" s="51">
        <v>14.9</v>
      </c>
      <c r="AC125" s="51">
        <v>14.6</v>
      </c>
      <c r="AD125" s="51">
        <v>15.4</v>
      </c>
      <c r="AE125" s="51">
        <v>15</v>
      </c>
      <c r="AF125" s="51">
        <v>14.2</v>
      </c>
      <c r="AG125" s="51">
        <v>14</v>
      </c>
      <c r="AH125" s="51">
        <v>14.8</v>
      </c>
      <c r="AI125" s="51">
        <v>15.2</v>
      </c>
      <c r="AJ125" s="51">
        <v>15.4</v>
      </c>
      <c r="AK125" s="51">
        <v>14.8</v>
      </c>
      <c r="AL125" s="51"/>
      <c r="AM125" s="51"/>
      <c r="AN125" s="51"/>
      <c r="AO125" s="51"/>
      <c r="AP125" s="88">
        <f t="shared" si="6"/>
        <v>27</v>
      </c>
      <c r="AQ125" s="89">
        <f t="shared" si="7"/>
        <v>14.529629629629628</v>
      </c>
      <c r="AR125" s="89">
        <f>IFERROR(VLOOKUP(A125,Climatologia!A:U,9+$E$2,FALSE),"")</f>
        <v>12.94546489563567</v>
      </c>
      <c r="AS125" s="89">
        <f t="shared" si="8"/>
        <v>1.5841647339939584</v>
      </c>
      <c r="AT125" s="90">
        <f t="shared" si="9"/>
        <v>13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9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125" s="122">
        <f t="shared" si="10"/>
        <v>4</v>
      </c>
    </row>
    <row r="126" spans="1:49" ht="14.25" customHeight="1" x14ac:dyDescent="0.2">
      <c r="A126" s="120">
        <v>23025040</v>
      </c>
      <c r="B126" s="52" t="s">
        <v>312</v>
      </c>
      <c r="C126" s="52" t="s">
        <v>356</v>
      </c>
      <c r="D126" s="53">
        <v>-74.914580556000004</v>
      </c>
      <c r="E126" s="53">
        <v>5.301108889</v>
      </c>
      <c r="F126" s="48">
        <v>788</v>
      </c>
      <c r="G126" s="46">
        <v>73</v>
      </c>
      <c r="H126" s="46">
        <v>73443</v>
      </c>
      <c r="I126" s="55" t="s">
        <v>71</v>
      </c>
      <c r="J126" s="55" t="s">
        <v>379</v>
      </c>
      <c r="K126" s="51">
        <v>24.2</v>
      </c>
      <c r="L126" s="51">
        <v>22.6</v>
      </c>
      <c r="M126" s="51">
        <v>23</v>
      </c>
      <c r="N126" s="51">
        <v>20.6</v>
      </c>
      <c r="O126" s="51">
        <v>21.8</v>
      </c>
      <c r="P126" s="51">
        <v>24</v>
      </c>
      <c r="Q126" s="51">
        <v>22.6</v>
      </c>
      <c r="R126" s="51">
        <v>24</v>
      </c>
      <c r="S126" s="51">
        <v>23.4</v>
      </c>
      <c r="T126" s="51">
        <v>22.6</v>
      </c>
      <c r="U126" s="51">
        <v>21.2</v>
      </c>
      <c r="V126" s="51">
        <v>22.8</v>
      </c>
      <c r="W126" s="51">
        <v>20.8</v>
      </c>
      <c r="X126" s="51">
        <v>21.6</v>
      </c>
      <c r="Y126" s="51">
        <v>22</v>
      </c>
      <c r="Z126" s="111">
        <v>24</v>
      </c>
      <c r="AA126" s="51">
        <v>25.6</v>
      </c>
      <c r="AB126" s="51">
        <v>25.6</v>
      </c>
      <c r="AC126" s="51">
        <v>21.6</v>
      </c>
      <c r="AD126" s="51">
        <v>21.4</v>
      </c>
      <c r="AE126" s="51">
        <v>20.6</v>
      </c>
      <c r="AF126" s="51">
        <v>21</v>
      </c>
      <c r="AG126" s="51">
        <v>20</v>
      </c>
      <c r="AH126" s="51">
        <v>20.6</v>
      </c>
      <c r="AI126" s="51">
        <v>21.4</v>
      </c>
      <c r="AJ126" s="51">
        <v>20.8</v>
      </c>
      <c r="AK126" s="51">
        <v>21.6</v>
      </c>
      <c r="AL126" s="51"/>
      <c r="AM126" s="51"/>
      <c r="AN126" s="51"/>
      <c r="AO126" s="51"/>
      <c r="AP126" s="88">
        <f t="shared" si="6"/>
        <v>27</v>
      </c>
      <c r="AQ126" s="89">
        <f t="shared" si="7"/>
        <v>22.274074074074072</v>
      </c>
      <c r="AR126" s="89">
        <f>IFERROR(VLOOKUP(A126,Climatologia!A:U,9+$E$2,FALSE),"")</f>
        <v>20.659011266682761</v>
      </c>
      <c r="AS126" s="89">
        <f t="shared" si="8"/>
        <v>1.6150628073913111</v>
      </c>
      <c r="AT126" s="90">
        <f t="shared" si="9"/>
        <v>20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17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26" s="122">
        <f t="shared" si="10"/>
        <v>3</v>
      </c>
    </row>
    <row r="127" spans="1:49" ht="14.25" customHeight="1" x14ac:dyDescent="0.2">
      <c r="A127" s="119">
        <v>12015070</v>
      </c>
      <c r="B127" s="52" t="s">
        <v>57</v>
      </c>
      <c r="C127" s="52" t="s">
        <v>1295</v>
      </c>
      <c r="D127" s="53">
        <v>-76.718000000000004</v>
      </c>
      <c r="E127" s="53">
        <v>7.8159999999999998</v>
      </c>
      <c r="F127" s="54">
        <v>41</v>
      </c>
      <c r="G127" s="54">
        <v>5</v>
      </c>
      <c r="H127" s="54">
        <v>5147</v>
      </c>
      <c r="I127" s="55" t="s">
        <v>58</v>
      </c>
      <c r="J127" s="64" t="s">
        <v>59</v>
      </c>
      <c r="K127" s="51">
        <v>27.3</v>
      </c>
      <c r="L127" s="51">
        <v>25.4</v>
      </c>
      <c r="M127" s="51">
        <v>24.5</v>
      </c>
      <c r="N127" s="51">
        <v>23.4</v>
      </c>
      <c r="O127" s="51">
        <v>24.3</v>
      </c>
      <c r="P127" s="51">
        <v>26.6</v>
      </c>
      <c r="Q127" s="51">
        <v>26.6</v>
      </c>
      <c r="R127" s="51">
        <v>27.4</v>
      </c>
      <c r="S127" s="51">
        <v>23.1</v>
      </c>
      <c r="T127" s="51">
        <v>24.4</v>
      </c>
      <c r="U127" s="51">
        <v>26.1</v>
      </c>
      <c r="V127" s="51">
        <v>23.7</v>
      </c>
      <c r="W127" s="51">
        <v>24.8</v>
      </c>
      <c r="X127" s="51">
        <v>25.2</v>
      </c>
      <c r="Y127" s="51">
        <v>27.3</v>
      </c>
      <c r="Z127" s="111">
        <v>27.2</v>
      </c>
      <c r="AA127" s="51">
        <v>25.6</v>
      </c>
      <c r="AB127" s="51">
        <v>23.2</v>
      </c>
      <c r="AC127" s="51">
        <v>24</v>
      </c>
      <c r="AD127" s="51">
        <v>24.2</v>
      </c>
      <c r="AE127" s="51">
        <v>24.1</v>
      </c>
      <c r="AF127" s="51">
        <v>24.4</v>
      </c>
      <c r="AG127" s="51">
        <v>24.5</v>
      </c>
      <c r="AH127" s="51">
        <v>23.8</v>
      </c>
      <c r="AI127" s="51">
        <v>25.6</v>
      </c>
      <c r="AJ127" s="51">
        <v>23.8</v>
      </c>
      <c r="AK127" s="51">
        <v>24.3</v>
      </c>
      <c r="AL127" s="51"/>
      <c r="AM127" s="51"/>
      <c r="AN127" s="51"/>
      <c r="AO127" s="51"/>
      <c r="AP127" s="88">
        <f t="shared" si="6"/>
        <v>27</v>
      </c>
      <c r="AQ127" s="89">
        <f t="shared" si="7"/>
        <v>24.992592592592587</v>
      </c>
      <c r="AR127" s="89">
        <f>IFERROR(VLOOKUP(A127,Climatologia!A:U,9+$E$2,FALSE),"")</f>
        <v>23.317825682382139</v>
      </c>
      <c r="AS127" s="89">
        <f t="shared" si="8"/>
        <v>1.6747669102104474</v>
      </c>
      <c r="AT127" s="90">
        <f t="shared" si="9"/>
        <v>23.1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19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27" s="122">
        <f t="shared" si="10"/>
        <v>4.1000000000000014</v>
      </c>
    </row>
    <row r="128" spans="1:49" ht="14.25" customHeight="1" x14ac:dyDescent="0.2">
      <c r="A128" s="120">
        <v>25025270</v>
      </c>
      <c r="B128" s="52" t="s">
        <v>137</v>
      </c>
      <c r="C128" s="52" t="s">
        <v>119</v>
      </c>
      <c r="D128" s="53">
        <v>-75.387500000000003</v>
      </c>
      <c r="E128" s="53">
        <v>9.3163888890000006</v>
      </c>
      <c r="F128" s="48">
        <v>160</v>
      </c>
      <c r="G128" s="46">
        <v>70</v>
      </c>
      <c r="H128" s="46">
        <v>70670</v>
      </c>
      <c r="I128" s="55" t="s">
        <v>130</v>
      </c>
      <c r="J128" s="55" t="s">
        <v>138</v>
      </c>
      <c r="K128" s="51">
        <v>26.6</v>
      </c>
      <c r="L128" s="51">
        <v>26.4</v>
      </c>
      <c r="M128" s="51">
        <v>24.2</v>
      </c>
      <c r="N128" s="51">
        <v>23.8</v>
      </c>
      <c r="O128" s="51">
        <v>24.2</v>
      </c>
      <c r="P128" s="51">
        <v>26</v>
      </c>
      <c r="Q128" s="51">
        <v>26.2</v>
      </c>
      <c r="R128" s="51">
        <v>27</v>
      </c>
      <c r="S128" s="51">
        <v>25</v>
      </c>
      <c r="T128" s="51">
        <v>24.2</v>
      </c>
      <c r="U128" s="51">
        <v>26</v>
      </c>
      <c r="V128" s="51">
        <v>25.2</v>
      </c>
      <c r="W128" s="51">
        <v>22.8</v>
      </c>
      <c r="X128" s="51">
        <v>23.4</v>
      </c>
      <c r="Y128" s="51">
        <v>26</v>
      </c>
      <c r="Z128" s="111">
        <v>26.6</v>
      </c>
      <c r="AA128" s="51">
        <v>26.2</v>
      </c>
      <c r="AB128" s="51">
        <v>26.6</v>
      </c>
      <c r="AC128" s="51">
        <v>23</v>
      </c>
      <c r="AD128" s="51">
        <v>25</v>
      </c>
      <c r="AE128" s="51">
        <v>23.8</v>
      </c>
      <c r="AF128" s="51">
        <v>24.2</v>
      </c>
      <c r="AG128" s="51">
        <v>24.4</v>
      </c>
      <c r="AH128" s="51">
        <v>24</v>
      </c>
      <c r="AI128" s="51">
        <v>24.6</v>
      </c>
      <c r="AJ128" s="51">
        <v>24.4</v>
      </c>
      <c r="AK128" s="51">
        <v>22.6</v>
      </c>
      <c r="AL128" s="51"/>
      <c r="AM128" s="51"/>
      <c r="AN128" s="51"/>
      <c r="AO128" s="51"/>
      <c r="AP128" s="88">
        <f t="shared" si="6"/>
        <v>27</v>
      </c>
      <c r="AQ128" s="89">
        <f t="shared" si="7"/>
        <v>24.903703703703702</v>
      </c>
      <c r="AR128" s="89">
        <f>IFERROR(VLOOKUP(A128,Climatologia!A:U,9+$E$2,FALSE),"")</f>
        <v>23.209114934289129</v>
      </c>
      <c r="AS128" s="89">
        <f t="shared" si="8"/>
        <v>1.6945887694145725</v>
      </c>
      <c r="AT128" s="90">
        <f t="shared" si="9"/>
        <v>22.6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17.8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128" s="122">
        <f t="shared" si="10"/>
        <v>4.8000000000000007</v>
      </c>
    </row>
    <row r="129" spans="1:49" ht="14.25" customHeight="1" x14ac:dyDescent="0.2">
      <c r="A129" s="120">
        <v>35105050</v>
      </c>
      <c r="B129" s="52" t="s">
        <v>169</v>
      </c>
      <c r="C129" s="52" t="s">
        <v>151</v>
      </c>
      <c r="D129" s="53">
        <v>-72.953639999999993</v>
      </c>
      <c r="E129" s="53">
        <v>4.4686500000000002</v>
      </c>
      <c r="F129" s="48">
        <v>199</v>
      </c>
      <c r="G129" s="46">
        <v>50</v>
      </c>
      <c r="H129" s="46">
        <v>50110</v>
      </c>
      <c r="I129" s="55" t="s">
        <v>96</v>
      </c>
      <c r="J129" s="55" t="s">
        <v>170</v>
      </c>
      <c r="K129" s="51">
        <v>22.2</v>
      </c>
      <c r="L129" s="51">
        <v>23</v>
      </c>
      <c r="M129" s="51">
        <v>22.2</v>
      </c>
      <c r="N129" s="51">
        <v>22.2</v>
      </c>
      <c r="O129" s="51"/>
      <c r="P129" s="51">
        <v>22.6</v>
      </c>
      <c r="Q129" s="51">
        <v>23.2</v>
      </c>
      <c r="R129" s="51">
        <v>22</v>
      </c>
      <c r="S129" s="51">
        <v>23.4</v>
      </c>
      <c r="T129" s="51">
        <v>22.2</v>
      </c>
      <c r="U129" s="51">
        <v>22.8</v>
      </c>
      <c r="V129" s="51">
        <v>23.6</v>
      </c>
      <c r="W129" s="51"/>
      <c r="X129" s="51">
        <v>21.2</v>
      </c>
      <c r="Y129" s="51">
        <v>22.8</v>
      </c>
      <c r="Z129" s="111">
        <v>23.6</v>
      </c>
      <c r="AA129" s="51">
        <v>23.4</v>
      </c>
      <c r="AB129" s="51">
        <v>22.4</v>
      </c>
      <c r="AC129" s="51"/>
      <c r="AD129" s="51"/>
      <c r="AE129" s="51">
        <v>21.8</v>
      </c>
      <c r="AF129" s="51">
        <v>22.4</v>
      </c>
      <c r="AG129" s="51">
        <v>22</v>
      </c>
      <c r="AH129" s="51">
        <v>21.2</v>
      </c>
      <c r="AI129" s="51">
        <v>22</v>
      </c>
      <c r="AJ129" s="51">
        <v>23.6</v>
      </c>
      <c r="AK129" s="51">
        <v>22.4</v>
      </c>
      <c r="AL129" s="51"/>
      <c r="AM129" s="51"/>
      <c r="AN129" s="51"/>
      <c r="AO129" s="51"/>
      <c r="AP129" s="88">
        <f t="shared" si="6"/>
        <v>23</v>
      </c>
      <c r="AQ129" s="89">
        <f t="shared" si="7"/>
        <v>22.530434782608697</v>
      </c>
      <c r="AR129" s="89">
        <f>IFERROR(VLOOKUP(A129,Climatologia!A:U,9+$E$2,FALSE),"")</f>
        <v>20.779327975046829</v>
      </c>
      <c r="AS129" s="89">
        <f t="shared" si="8"/>
        <v>1.7511068075618681</v>
      </c>
      <c r="AT129" s="90">
        <f t="shared" si="9"/>
        <v>21.2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16.8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129" s="122">
        <f t="shared" si="10"/>
        <v>4.3999999999999986</v>
      </c>
    </row>
    <row r="130" spans="1:49" ht="14.25" customHeight="1" x14ac:dyDescent="0.2">
      <c r="A130" s="120">
        <v>21205660</v>
      </c>
      <c r="B130" s="52" t="s">
        <v>389</v>
      </c>
      <c r="C130" s="52" t="s">
        <v>383</v>
      </c>
      <c r="D130" s="93">
        <v>-74.523179999999996</v>
      </c>
      <c r="E130" s="93">
        <v>4.5791000000000004</v>
      </c>
      <c r="F130" s="48">
        <v>765</v>
      </c>
      <c r="G130" s="46">
        <v>25</v>
      </c>
      <c r="H130" s="46">
        <v>25035</v>
      </c>
      <c r="I130" s="55" t="s">
        <v>74</v>
      </c>
      <c r="J130" s="55" t="s">
        <v>390</v>
      </c>
      <c r="K130" s="51">
        <v>21.2</v>
      </c>
      <c r="L130" s="51">
        <v>20.2</v>
      </c>
      <c r="M130" s="51">
        <v>21</v>
      </c>
      <c r="N130" s="51">
        <v>21.6</v>
      </c>
      <c r="O130" s="51">
        <v>21.4</v>
      </c>
      <c r="P130" s="51">
        <v>21.2</v>
      </c>
      <c r="Q130" s="51">
        <v>22.2</v>
      </c>
      <c r="R130" s="51">
        <v>22.4</v>
      </c>
      <c r="S130" s="51">
        <v>21.8</v>
      </c>
      <c r="T130" s="51">
        <v>22.6</v>
      </c>
      <c r="U130" s="51">
        <v>20.6</v>
      </c>
      <c r="V130" s="51">
        <v>22.8</v>
      </c>
      <c r="W130" s="51">
        <v>21.2</v>
      </c>
      <c r="X130" s="51">
        <v>20.8</v>
      </c>
      <c r="Y130" s="51">
        <v>22</v>
      </c>
      <c r="Z130" s="111">
        <v>22.8</v>
      </c>
      <c r="AA130" s="51">
        <v>22</v>
      </c>
      <c r="AB130" s="51">
        <v>22.6</v>
      </c>
      <c r="AC130" s="51">
        <v>21</v>
      </c>
      <c r="AD130" s="51">
        <v>21.6</v>
      </c>
      <c r="AE130" s="51">
        <v>21.2</v>
      </c>
      <c r="AF130" s="51">
        <v>21.6</v>
      </c>
      <c r="AG130" s="51">
        <v>20.6</v>
      </c>
      <c r="AH130" s="51">
        <v>20.8</v>
      </c>
      <c r="AI130" s="51">
        <v>20.2</v>
      </c>
      <c r="AJ130" s="51">
        <v>22</v>
      </c>
      <c r="AK130" s="51">
        <v>21.6</v>
      </c>
      <c r="AL130" s="51"/>
      <c r="AM130" s="51"/>
      <c r="AN130" s="51"/>
      <c r="AO130" s="51"/>
      <c r="AP130" s="88">
        <f t="shared" si="6"/>
        <v>27</v>
      </c>
      <c r="AQ130" s="89">
        <f t="shared" si="7"/>
        <v>21.518518518518523</v>
      </c>
      <c r="AR130" s="89">
        <f>IFERROR(VLOOKUP(A130,Climatologia!A:U,9+$E$2,FALSE),"")</f>
        <v>19.76640571428571</v>
      </c>
      <c r="AS130" s="89">
        <f t="shared" si="8"/>
        <v>1.7521128042328122</v>
      </c>
      <c r="AT130" s="90">
        <f t="shared" si="9"/>
        <v>20.2</v>
      </c>
      <c r="AU130" s="90" t="str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/>
      </c>
      <c r="AV130" s="91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0" s="122" t="str">
        <f t="shared" si="10"/>
        <v>NA</v>
      </c>
    </row>
    <row r="131" spans="1:49" ht="14.25" customHeight="1" x14ac:dyDescent="0.2">
      <c r="A131" s="120">
        <v>27015090</v>
      </c>
      <c r="B131" s="52" t="s">
        <v>114</v>
      </c>
      <c r="C131" s="52" t="s">
        <v>102</v>
      </c>
      <c r="D131" s="53">
        <v>-75.553250000000006</v>
      </c>
      <c r="E131" s="53">
        <v>6.3196944439999996</v>
      </c>
      <c r="F131" s="48">
        <v>1453</v>
      </c>
      <c r="G131" s="46">
        <v>5</v>
      </c>
      <c r="H131" s="46">
        <v>5088</v>
      </c>
      <c r="I131" s="55" t="s">
        <v>58</v>
      </c>
      <c r="J131" s="55" t="s">
        <v>115</v>
      </c>
      <c r="K131" s="51">
        <v>19.399999999999999</v>
      </c>
      <c r="L131" s="51">
        <v>18.399999999999999</v>
      </c>
      <c r="M131" s="51">
        <v>19.2</v>
      </c>
      <c r="N131" s="51">
        <v>18.8</v>
      </c>
      <c r="O131" s="51">
        <v>18.399999999999999</v>
      </c>
      <c r="P131" s="51">
        <v>19.8</v>
      </c>
      <c r="Q131" s="51">
        <v>20.6</v>
      </c>
      <c r="R131" s="51">
        <v>20</v>
      </c>
      <c r="S131" s="51">
        <v>20.8</v>
      </c>
      <c r="T131" s="51">
        <v>18.600000000000001</v>
      </c>
      <c r="U131" s="51">
        <v>18</v>
      </c>
      <c r="V131" s="51">
        <v>18.8</v>
      </c>
      <c r="W131" s="51">
        <v>18.600000000000001</v>
      </c>
      <c r="X131" s="51">
        <v>19</v>
      </c>
      <c r="Y131" s="51">
        <v>18.600000000000001</v>
      </c>
      <c r="Z131" s="111">
        <v>20</v>
      </c>
      <c r="AA131" s="51">
        <v>18.399999999999999</v>
      </c>
      <c r="AB131" s="51">
        <v>20.6</v>
      </c>
      <c r="AC131" s="51">
        <v>20.6</v>
      </c>
      <c r="AD131" s="51">
        <v>18.8</v>
      </c>
      <c r="AE131" s="51">
        <v>18.2</v>
      </c>
      <c r="AF131" s="51">
        <v>19</v>
      </c>
      <c r="AG131" s="51">
        <v>18.2</v>
      </c>
      <c r="AH131" s="51">
        <v>17.600000000000001</v>
      </c>
      <c r="AI131" s="51">
        <v>18</v>
      </c>
      <c r="AJ131" s="51">
        <v>18.399999999999999</v>
      </c>
      <c r="AK131" s="51">
        <v>17.2</v>
      </c>
      <c r="AL131" s="51"/>
      <c r="AM131" s="51"/>
      <c r="AN131" s="51"/>
      <c r="AO131" s="51"/>
      <c r="AP131" s="88">
        <f t="shared" si="6"/>
        <v>27</v>
      </c>
      <c r="AQ131" s="89">
        <f t="shared" si="7"/>
        <v>18.962962962962962</v>
      </c>
      <c r="AR131" s="89">
        <f>IFERROR(VLOOKUP(A131,Climatologia!A:U,9+$E$2,FALSE),"")</f>
        <v>17.20506668314588</v>
      </c>
      <c r="AS131" s="89">
        <f t="shared" si="8"/>
        <v>1.7578962798170821</v>
      </c>
      <c r="AT131" s="90">
        <f t="shared" si="9"/>
        <v>17.2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11.2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31" s="122">
        <f t="shared" si="10"/>
        <v>6</v>
      </c>
    </row>
    <row r="132" spans="1:49" ht="14.25" customHeight="1" x14ac:dyDescent="0.2">
      <c r="A132" s="120">
        <v>21206060</v>
      </c>
      <c r="B132" s="52" t="s">
        <v>406</v>
      </c>
      <c r="C132" s="52" t="s">
        <v>383</v>
      </c>
      <c r="D132" s="53">
        <v>-74.253333330000004</v>
      </c>
      <c r="E132" s="53">
        <v>4.7171111110000004</v>
      </c>
      <c r="F132" s="48">
        <v>2575</v>
      </c>
      <c r="G132" s="46">
        <v>25</v>
      </c>
      <c r="H132" s="46">
        <v>25430</v>
      </c>
      <c r="I132" s="55" t="s">
        <v>74</v>
      </c>
      <c r="J132" s="55" t="s">
        <v>407</v>
      </c>
      <c r="K132" s="51">
        <v>8</v>
      </c>
      <c r="L132" s="51">
        <v>6.8</v>
      </c>
      <c r="M132" s="51">
        <v>11</v>
      </c>
      <c r="N132" s="51">
        <v>9.4</v>
      </c>
      <c r="O132" s="51">
        <v>10</v>
      </c>
      <c r="P132" s="51">
        <v>8</v>
      </c>
      <c r="Q132" s="51">
        <v>9.4</v>
      </c>
      <c r="R132" s="51">
        <v>10.199999999999999</v>
      </c>
      <c r="S132" s="51">
        <v>9</v>
      </c>
      <c r="T132" s="51">
        <v>11</v>
      </c>
      <c r="U132" s="51">
        <v>4</v>
      </c>
      <c r="V132" s="51">
        <v>9</v>
      </c>
      <c r="W132" s="51">
        <v>8.6</v>
      </c>
      <c r="X132" s="51">
        <v>4.4000000000000004</v>
      </c>
      <c r="Y132" s="51">
        <v>9.1999999999999993</v>
      </c>
      <c r="Z132" s="111">
        <v>9</v>
      </c>
      <c r="AA132" s="51">
        <v>7.2</v>
      </c>
      <c r="AB132" s="51">
        <v>10</v>
      </c>
      <c r="AC132" s="51">
        <v>8</v>
      </c>
      <c r="AD132" s="51"/>
      <c r="AE132" s="51"/>
      <c r="AF132" s="51">
        <v>10</v>
      </c>
      <c r="AG132" s="51">
        <v>10.199999999999999</v>
      </c>
      <c r="AH132" s="51"/>
      <c r="AI132" s="51">
        <v>3.7</v>
      </c>
      <c r="AJ132" s="51">
        <v>10</v>
      </c>
      <c r="AK132" s="51">
        <v>7.4</v>
      </c>
      <c r="AL132" s="51"/>
      <c r="AM132" s="51"/>
      <c r="AN132" s="51"/>
      <c r="AO132" s="51"/>
      <c r="AP132" s="88">
        <f t="shared" si="6"/>
        <v>24</v>
      </c>
      <c r="AQ132" s="89">
        <f t="shared" si="7"/>
        <v>8.4791666666666661</v>
      </c>
      <c r="AR132" s="89">
        <f>IFERROR(VLOOKUP(A132,Climatologia!A:U,9+$E$2,FALSE),"")</f>
        <v>6.7196341375857118</v>
      </c>
      <c r="AS132" s="89">
        <f t="shared" si="8"/>
        <v>1.7595325290809543</v>
      </c>
      <c r="AT132" s="90">
        <f t="shared" si="9"/>
        <v>3.7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0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132" s="122">
        <f t="shared" si="10"/>
        <v>3.7</v>
      </c>
    </row>
    <row r="133" spans="1:49" ht="14.25" customHeight="1" x14ac:dyDescent="0.2">
      <c r="A133" s="120">
        <v>21255090</v>
      </c>
      <c r="B133" s="52" t="s">
        <v>370</v>
      </c>
      <c r="C133" s="52" t="s">
        <v>356</v>
      </c>
      <c r="D133" s="53">
        <v>-74.899991666999995</v>
      </c>
      <c r="E133" s="53">
        <v>5</v>
      </c>
      <c r="F133" s="48">
        <v>321</v>
      </c>
      <c r="G133" s="46">
        <v>73</v>
      </c>
      <c r="H133" s="46">
        <v>73055</v>
      </c>
      <c r="I133" s="55" t="s">
        <v>71</v>
      </c>
      <c r="J133" s="55" t="s">
        <v>371</v>
      </c>
      <c r="K133" s="51">
        <v>24.6</v>
      </c>
      <c r="L133" s="51">
        <v>21.6</v>
      </c>
      <c r="M133" s="51">
        <v>22.4</v>
      </c>
      <c r="N133" s="51">
        <v>23.4</v>
      </c>
      <c r="O133" s="51">
        <v>23.6</v>
      </c>
      <c r="P133" s="51">
        <v>23.4</v>
      </c>
      <c r="Q133" s="51">
        <v>22.4</v>
      </c>
      <c r="R133" s="51">
        <v>25.4</v>
      </c>
      <c r="S133" s="51">
        <v>22.8</v>
      </c>
      <c r="T133" s="51">
        <v>26.4</v>
      </c>
      <c r="U133" s="51">
        <v>21.2</v>
      </c>
      <c r="V133" s="51">
        <v>24.6</v>
      </c>
      <c r="W133" s="51">
        <v>21.8</v>
      </c>
      <c r="X133" s="51">
        <v>22.2</v>
      </c>
      <c r="Y133" s="51">
        <v>24.6</v>
      </c>
      <c r="Z133" s="111">
        <v>22.8</v>
      </c>
      <c r="AA133" s="51">
        <v>25.4</v>
      </c>
      <c r="AB133" s="51">
        <v>25.2</v>
      </c>
      <c r="AC133" s="51">
        <v>23.2</v>
      </c>
      <c r="AD133" s="51">
        <v>24.2</v>
      </c>
      <c r="AE133" s="51">
        <v>22.6</v>
      </c>
      <c r="AF133" s="51">
        <v>22.4</v>
      </c>
      <c r="AG133" s="51">
        <v>22</v>
      </c>
      <c r="AH133" s="51">
        <v>23.4</v>
      </c>
      <c r="AI133" s="51">
        <v>22.8</v>
      </c>
      <c r="AJ133" s="51">
        <v>23.4</v>
      </c>
      <c r="AK133" s="51">
        <v>23.2</v>
      </c>
      <c r="AL133" s="51"/>
      <c r="AM133" s="51"/>
      <c r="AN133" s="51"/>
      <c r="AO133" s="51"/>
      <c r="AP133" s="88">
        <f t="shared" ref="AP133:AP196" si="11">COUNTIF(K133:AO133,"&gt;0")</f>
        <v>27</v>
      </c>
      <c r="AQ133" s="89">
        <f t="shared" ref="AQ133:AQ196" si="12">IF(AP133&gt;14,AVERAGE(K133:AO133),"")</f>
        <v>23.37037037037037</v>
      </c>
      <c r="AR133" s="89">
        <f>IFERROR(VLOOKUP(A133,Climatologia!A:U,9+$E$2,FALSE),"")</f>
        <v>21.595820289739919</v>
      </c>
      <c r="AS133" s="89">
        <f t="shared" ref="AS133:AS196" si="13">IF(OR(AQ133="",AR133=""),"",IFERROR(AQ133-AR133,""))</f>
        <v>1.7745500806304513</v>
      </c>
      <c r="AT133" s="90">
        <f t="shared" ref="AT133:AT196" si="14">IF(COUNT(K133:AO133)=0,"",MIN(K133:AO133))</f>
        <v>21.2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16.8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33" s="122">
        <f t="shared" ref="AW133:AW196" si="15">IF(OR(AT133="",AU133=""),"NA",IFERROR(AT133-AU133,"NA"))</f>
        <v>4.3999999999999986</v>
      </c>
    </row>
    <row r="134" spans="1:49" ht="14.25" customHeight="1" x14ac:dyDescent="0.2">
      <c r="A134" s="120">
        <v>25025002</v>
      </c>
      <c r="B134" s="52" t="s">
        <v>203</v>
      </c>
      <c r="C134" s="52" t="s">
        <v>199</v>
      </c>
      <c r="D134" s="53">
        <v>-74.273638890000001</v>
      </c>
      <c r="E134" s="53">
        <v>9.3040555559999998</v>
      </c>
      <c r="F134" s="48">
        <v>25</v>
      </c>
      <c r="G134" s="46">
        <v>47</v>
      </c>
      <c r="H134" s="46">
        <v>47692</v>
      </c>
      <c r="I134" s="55" t="s">
        <v>32</v>
      </c>
      <c r="J134" s="55" t="s">
        <v>204</v>
      </c>
      <c r="K134" s="51">
        <v>25</v>
      </c>
      <c r="L134" s="51">
        <v>26</v>
      </c>
      <c r="M134" s="51">
        <v>25.6</v>
      </c>
      <c r="N134" s="51">
        <v>25</v>
      </c>
      <c r="O134" s="51">
        <v>25.4</v>
      </c>
      <c r="P134" s="51">
        <v>25.4</v>
      </c>
      <c r="Q134" s="51">
        <v>26.8</v>
      </c>
      <c r="R134" s="51">
        <v>25.2</v>
      </c>
      <c r="S134" s="51">
        <v>25.2</v>
      </c>
      <c r="T134" s="51">
        <v>24.6</v>
      </c>
      <c r="U134" s="51">
        <v>24.6</v>
      </c>
      <c r="V134" s="51">
        <v>25.4</v>
      </c>
      <c r="W134" s="51">
        <v>25</v>
      </c>
      <c r="X134" s="51">
        <v>24.4</v>
      </c>
      <c r="Y134" s="51">
        <v>25.6</v>
      </c>
      <c r="Z134" s="111">
        <v>24.6</v>
      </c>
      <c r="AA134" s="51">
        <v>24</v>
      </c>
      <c r="AB134" s="51">
        <v>25</v>
      </c>
      <c r="AC134" s="51">
        <v>25.2</v>
      </c>
      <c r="AD134" s="51">
        <v>24.4</v>
      </c>
      <c r="AE134" s="51">
        <v>25.2</v>
      </c>
      <c r="AF134" s="51">
        <v>25.6</v>
      </c>
      <c r="AG134" s="51">
        <v>25.6</v>
      </c>
      <c r="AH134" s="51">
        <v>25.6</v>
      </c>
      <c r="AI134" s="51">
        <v>25.2</v>
      </c>
      <c r="AJ134" s="51">
        <v>23.4</v>
      </c>
      <c r="AK134" s="51">
        <v>24.2</v>
      </c>
      <c r="AL134" s="51"/>
      <c r="AM134" s="51"/>
      <c r="AN134" s="51"/>
      <c r="AO134" s="51"/>
      <c r="AP134" s="88">
        <f t="shared" si="11"/>
        <v>27</v>
      </c>
      <c r="AQ134" s="89">
        <f t="shared" si="12"/>
        <v>25.081481481481486</v>
      </c>
      <c r="AR134" s="89">
        <f>IFERROR(VLOOKUP(A134,Climatologia!A:U,9+$E$2,FALSE),"")</f>
        <v>23.305497603590929</v>
      </c>
      <c r="AS134" s="89">
        <f t="shared" si="13"/>
        <v>1.7759838778905568</v>
      </c>
      <c r="AT134" s="90">
        <f t="shared" si="14"/>
        <v>23.4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18.8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134" s="122">
        <f t="shared" si="15"/>
        <v>4.5999999999999979</v>
      </c>
    </row>
    <row r="135" spans="1:49" ht="14.25" customHeight="1" x14ac:dyDescent="0.2">
      <c r="A135" s="120">
        <v>23125060</v>
      </c>
      <c r="B135" s="52" t="s">
        <v>312</v>
      </c>
      <c r="C135" s="52" t="s">
        <v>300</v>
      </c>
      <c r="D135" s="53">
        <v>-73.91333333</v>
      </c>
      <c r="E135" s="53">
        <v>5.7583333330000004</v>
      </c>
      <c r="F135" s="48">
        <v>1690</v>
      </c>
      <c r="G135" s="46">
        <v>68</v>
      </c>
      <c r="H135" s="46">
        <v>68020</v>
      </c>
      <c r="I135" s="55" t="s">
        <v>50</v>
      </c>
      <c r="J135" s="55" t="s">
        <v>312</v>
      </c>
      <c r="K135" s="51">
        <v>17.399999999999999</v>
      </c>
      <c r="L135" s="51">
        <v>16</v>
      </c>
      <c r="M135" s="51">
        <v>16.399999999999999</v>
      </c>
      <c r="N135" s="51">
        <v>15.6</v>
      </c>
      <c r="O135" s="51">
        <v>16.2</v>
      </c>
      <c r="P135" s="51">
        <v>16.399999999999999</v>
      </c>
      <c r="Q135" s="51">
        <v>17.399999999999999</v>
      </c>
      <c r="R135" s="51">
        <v>17</v>
      </c>
      <c r="S135" s="51">
        <v>17.2</v>
      </c>
      <c r="T135" s="51">
        <v>15.4</v>
      </c>
      <c r="U135" s="51">
        <v>16.600000000000001</v>
      </c>
      <c r="V135" s="51">
        <v>16.399999999999999</v>
      </c>
      <c r="W135" s="51">
        <v>15</v>
      </c>
      <c r="X135" s="51">
        <v>16</v>
      </c>
      <c r="Y135" s="51">
        <v>17</v>
      </c>
      <c r="Z135" s="111">
        <v>14.6</v>
      </c>
      <c r="AA135" s="51">
        <v>16.399999999999999</v>
      </c>
      <c r="AB135" s="51">
        <v>17.2</v>
      </c>
      <c r="AC135" s="51">
        <v>16.2</v>
      </c>
      <c r="AD135" s="51">
        <v>16.600000000000001</v>
      </c>
      <c r="AE135" s="51">
        <v>17.399999999999999</v>
      </c>
      <c r="AF135" s="51">
        <v>15.2</v>
      </c>
      <c r="AG135" s="51">
        <v>17</v>
      </c>
      <c r="AH135" s="51">
        <v>15.6</v>
      </c>
      <c r="AI135" s="51">
        <v>15.4</v>
      </c>
      <c r="AJ135" s="51">
        <v>16.399999999999999</v>
      </c>
      <c r="AK135" s="51">
        <v>16.2</v>
      </c>
      <c r="AL135" s="51"/>
      <c r="AM135" s="51"/>
      <c r="AN135" s="51"/>
      <c r="AO135" s="51"/>
      <c r="AP135" s="88">
        <f t="shared" si="11"/>
        <v>27</v>
      </c>
      <c r="AQ135" s="89">
        <f t="shared" si="12"/>
        <v>16.3037037037037</v>
      </c>
      <c r="AR135" s="89">
        <f>IFERROR(VLOOKUP(A135,Climatologia!A:U,9+$E$2,FALSE),"")</f>
        <v>14.51408071669195</v>
      </c>
      <c r="AS135" s="89">
        <f t="shared" si="13"/>
        <v>1.7896229870117502</v>
      </c>
      <c r="AT135" s="90">
        <f t="shared" si="14"/>
        <v>14.6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10.4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35" s="122">
        <f t="shared" si="15"/>
        <v>4.1999999999999993</v>
      </c>
    </row>
    <row r="136" spans="1:49" ht="14.25" customHeight="1" x14ac:dyDescent="0.2">
      <c r="A136" s="120">
        <v>24015120</v>
      </c>
      <c r="B136" s="52" t="s">
        <v>415</v>
      </c>
      <c r="C136" s="52" t="s">
        <v>383</v>
      </c>
      <c r="D136" s="53">
        <v>-73.734805559999998</v>
      </c>
      <c r="E136" s="53">
        <v>5.4672777779999997</v>
      </c>
      <c r="F136" s="48">
        <v>2580</v>
      </c>
      <c r="G136" s="46">
        <v>25</v>
      </c>
      <c r="H136" s="46">
        <v>25288</v>
      </c>
      <c r="I136" s="55" t="s">
        <v>74</v>
      </c>
      <c r="J136" s="55" t="s">
        <v>416</v>
      </c>
      <c r="K136" s="51">
        <v>11.4</v>
      </c>
      <c r="L136" s="51">
        <v>10</v>
      </c>
      <c r="M136" s="51">
        <v>11.2</v>
      </c>
      <c r="N136" s="51">
        <v>11.6</v>
      </c>
      <c r="O136" s="51">
        <v>11.2</v>
      </c>
      <c r="P136" s="51">
        <v>11.6</v>
      </c>
      <c r="Q136" s="51">
        <v>12</v>
      </c>
      <c r="R136" s="51">
        <v>11.6</v>
      </c>
      <c r="S136" s="51">
        <v>11.8</v>
      </c>
      <c r="T136" s="51">
        <v>12.2</v>
      </c>
      <c r="U136" s="51">
        <v>10.199999999999999</v>
      </c>
      <c r="V136" s="51">
        <v>12</v>
      </c>
      <c r="W136" s="51">
        <v>10.199999999999999</v>
      </c>
      <c r="X136" s="51">
        <v>10.199999999999999</v>
      </c>
      <c r="Y136" s="51">
        <v>11.8</v>
      </c>
      <c r="Z136" s="111">
        <v>11.6</v>
      </c>
      <c r="AA136" s="51">
        <v>11</v>
      </c>
      <c r="AB136" s="51">
        <v>10.199999999999999</v>
      </c>
      <c r="AC136" s="51">
        <v>11.8</v>
      </c>
      <c r="AD136" s="51">
        <v>12.2</v>
      </c>
      <c r="AE136" s="51">
        <v>10.8</v>
      </c>
      <c r="AF136" s="51">
        <v>11.4</v>
      </c>
      <c r="AG136" s="51">
        <v>11.8</v>
      </c>
      <c r="AH136" s="51">
        <v>9.8000000000000007</v>
      </c>
      <c r="AI136" s="51"/>
      <c r="AJ136" s="51"/>
      <c r="AK136" s="51"/>
      <c r="AL136" s="51"/>
      <c r="AM136" s="51"/>
      <c r="AN136" s="51"/>
      <c r="AO136" s="51"/>
      <c r="AP136" s="88">
        <f t="shared" si="11"/>
        <v>24</v>
      </c>
      <c r="AQ136" s="89">
        <f t="shared" si="12"/>
        <v>11.233333333333333</v>
      </c>
      <c r="AR136" s="89">
        <f>IFERROR(VLOOKUP(A136,Climatologia!A:U,9+$E$2,FALSE),"")</f>
        <v>9.4398271387109567</v>
      </c>
      <c r="AS136" s="89">
        <f t="shared" si="13"/>
        <v>1.7935061946223758</v>
      </c>
      <c r="AT136" s="90">
        <f t="shared" si="14"/>
        <v>9.8000000000000007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2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136" s="122">
        <f t="shared" si="15"/>
        <v>7.8000000000000007</v>
      </c>
    </row>
    <row r="137" spans="1:49" ht="14.25" customHeight="1" x14ac:dyDescent="0.2">
      <c r="A137" s="120">
        <v>21195190</v>
      </c>
      <c r="B137" s="52" t="s">
        <v>386</v>
      </c>
      <c r="C137" s="52" t="s">
        <v>383</v>
      </c>
      <c r="D137" s="53">
        <v>-74.308398999999994</v>
      </c>
      <c r="E137" s="53">
        <v>4.3071890000000002</v>
      </c>
      <c r="F137" s="48">
        <v>2187</v>
      </c>
      <c r="G137" s="46">
        <v>25</v>
      </c>
      <c r="H137" s="46">
        <v>25535</v>
      </c>
      <c r="I137" s="55" t="s">
        <v>74</v>
      </c>
      <c r="J137" s="55" t="s">
        <v>386</v>
      </c>
      <c r="K137" s="51">
        <v>14.8</v>
      </c>
      <c r="L137" s="51">
        <v>12.2</v>
      </c>
      <c r="M137" s="51">
        <v>14</v>
      </c>
      <c r="N137" s="51">
        <v>13.4</v>
      </c>
      <c r="O137" s="51">
        <v>13.4</v>
      </c>
      <c r="P137" s="51">
        <v>13.8</v>
      </c>
      <c r="Q137" s="51">
        <v>12.2</v>
      </c>
      <c r="R137" s="51">
        <v>14.2</v>
      </c>
      <c r="S137" s="51">
        <v>12.8</v>
      </c>
      <c r="T137" s="51">
        <v>14.4</v>
      </c>
      <c r="U137" s="51">
        <v>13.2</v>
      </c>
      <c r="V137" s="51">
        <v>13.4</v>
      </c>
      <c r="W137" s="51">
        <v>12.8</v>
      </c>
      <c r="X137" s="51">
        <v>12.2</v>
      </c>
      <c r="Y137" s="51">
        <v>14</v>
      </c>
      <c r="Z137" s="111">
        <v>14.4</v>
      </c>
      <c r="AA137" s="51">
        <v>13.8</v>
      </c>
      <c r="AB137" s="51">
        <v>13.6</v>
      </c>
      <c r="AC137" s="51">
        <v>14</v>
      </c>
      <c r="AD137" s="51">
        <v>12.6</v>
      </c>
      <c r="AE137" s="51">
        <v>11.8</v>
      </c>
      <c r="AF137" s="51">
        <v>14.6</v>
      </c>
      <c r="AG137" s="51">
        <v>14</v>
      </c>
      <c r="AH137" s="51">
        <v>13.6</v>
      </c>
      <c r="AI137" s="51">
        <v>12.6</v>
      </c>
      <c r="AJ137" s="51">
        <v>13.6</v>
      </c>
      <c r="AK137" s="51">
        <v>11.2</v>
      </c>
      <c r="AL137" s="51"/>
      <c r="AM137" s="51"/>
      <c r="AN137" s="51"/>
      <c r="AO137" s="51"/>
      <c r="AP137" s="88">
        <f t="shared" si="11"/>
        <v>27</v>
      </c>
      <c r="AQ137" s="89">
        <f t="shared" si="12"/>
        <v>13.355555555555561</v>
      </c>
      <c r="AR137" s="89">
        <f>IFERROR(VLOOKUP(A137,Climatologia!A:U,9+$E$2,FALSE),"")</f>
        <v>11.488216794380589</v>
      </c>
      <c r="AS137" s="89">
        <f t="shared" si="13"/>
        <v>1.8673387611749721</v>
      </c>
      <c r="AT137" s="90">
        <f t="shared" si="14"/>
        <v>11.2</v>
      </c>
      <c r="AU137" s="90" t="str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/>
      </c>
      <c r="AV137" s="91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7" s="122" t="str">
        <f t="shared" si="15"/>
        <v>NA</v>
      </c>
    </row>
    <row r="138" spans="1:49" ht="14.25" customHeight="1" x14ac:dyDescent="0.2">
      <c r="A138" s="120">
        <v>26105150</v>
      </c>
      <c r="B138" s="52" t="s">
        <v>345</v>
      </c>
      <c r="C138" s="52" t="s">
        <v>337</v>
      </c>
      <c r="D138" s="53">
        <v>-76.033055555999994</v>
      </c>
      <c r="E138" s="53">
        <v>4.2389166669999998</v>
      </c>
      <c r="F138" s="48">
        <v>1011</v>
      </c>
      <c r="G138" s="46">
        <v>76</v>
      </c>
      <c r="H138" s="46">
        <v>76113</v>
      </c>
      <c r="I138" s="55" t="s">
        <v>342</v>
      </c>
      <c r="J138" s="55" t="s">
        <v>346</v>
      </c>
      <c r="K138" s="51">
        <v>20.399999999999999</v>
      </c>
      <c r="L138" s="51">
        <v>19.2</v>
      </c>
      <c r="M138" s="51">
        <v>20</v>
      </c>
      <c r="N138" s="51">
        <v>19</v>
      </c>
      <c r="O138" s="51">
        <v>19.399999999999999</v>
      </c>
      <c r="P138" s="51"/>
      <c r="Q138" s="51">
        <v>19</v>
      </c>
      <c r="R138" s="51">
        <v>18.2</v>
      </c>
      <c r="S138" s="51">
        <v>20.2</v>
      </c>
      <c r="T138" s="51">
        <v>18</v>
      </c>
      <c r="U138" s="51">
        <v>19</v>
      </c>
      <c r="V138" s="51">
        <v>19.600000000000001</v>
      </c>
      <c r="W138" s="51">
        <v>20</v>
      </c>
      <c r="X138" s="51">
        <v>18.2</v>
      </c>
      <c r="Y138" s="51">
        <v>19</v>
      </c>
      <c r="Z138" s="111">
        <v>20.2</v>
      </c>
      <c r="AA138" s="51">
        <v>19.2</v>
      </c>
      <c r="AB138" s="51"/>
      <c r="AC138" s="51">
        <v>19</v>
      </c>
      <c r="AD138" s="51">
        <v>19</v>
      </c>
      <c r="AE138" s="51">
        <v>18</v>
      </c>
      <c r="AF138" s="51">
        <v>18.600000000000001</v>
      </c>
      <c r="AG138" s="51">
        <v>19</v>
      </c>
      <c r="AH138" s="51">
        <v>19.600000000000001</v>
      </c>
      <c r="AI138" s="51"/>
      <c r="AJ138" s="51"/>
      <c r="AK138" s="51"/>
      <c r="AL138" s="51"/>
      <c r="AM138" s="51"/>
      <c r="AN138" s="51"/>
      <c r="AO138" s="51"/>
      <c r="AP138" s="88">
        <f t="shared" si="11"/>
        <v>22</v>
      </c>
      <c r="AQ138" s="89">
        <f t="shared" si="12"/>
        <v>19.172727272727272</v>
      </c>
      <c r="AR138" s="89">
        <f>IFERROR(VLOOKUP(A138,Climatologia!A:U,9+$E$2,FALSE),"")</f>
        <v>17.28229674415218</v>
      </c>
      <c r="AS138" s="89">
        <f t="shared" si="13"/>
        <v>1.8904305285750915</v>
      </c>
      <c r="AT138" s="90">
        <f t="shared" si="14"/>
        <v>18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12.2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38" s="122">
        <f t="shared" si="15"/>
        <v>5.8000000000000007</v>
      </c>
    </row>
    <row r="139" spans="1:49" ht="14.25" customHeight="1" x14ac:dyDescent="0.2">
      <c r="A139" s="120">
        <v>35085040</v>
      </c>
      <c r="B139" s="52" t="s">
        <v>247</v>
      </c>
      <c r="C139" s="52" t="s">
        <v>212</v>
      </c>
      <c r="D139" s="53">
        <v>-73.144777779999998</v>
      </c>
      <c r="E139" s="53">
        <v>5.1925555560000003</v>
      </c>
      <c r="F139" s="48">
        <v>1640</v>
      </c>
      <c r="G139" s="46">
        <v>15</v>
      </c>
      <c r="H139" s="46">
        <v>15455</v>
      </c>
      <c r="I139" s="55" t="s">
        <v>213</v>
      </c>
      <c r="J139" s="55" t="s">
        <v>248</v>
      </c>
      <c r="K139" s="51">
        <v>15.2</v>
      </c>
      <c r="L139" s="51">
        <v>15.6</v>
      </c>
      <c r="M139" s="51">
        <v>15.4</v>
      </c>
      <c r="N139" s="51">
        <v>15.8</v>
      </c>
      <c r="O139" s="51">
        <v>15.8</v>
      </c>
      <c r="P139" s="51">
        <v>15.4</v>
      </c>
      <c r="Q139" s="51">
        <v>15.4</v>
      </c>
      <c r="R139" s="51">
        <v>15.6</v>
      </c>
      <c r="S139" s="51">
        <v>16.600000000000001</v>
      </c>
      <c r="T139" s="51">
        <v>14.6</v>
      </c>
      <c r="U139" s="51">
        <v>14.6</v>
      </c>
      <c r="V139" s="51">
        <v>16.2</v>
      </c>
      <c r="W139" s="51">
        <v>14.2</v>
      </c>
      <c r="X139" s="51">
        <v>15.2</v>
      </c>
      <c r="Y139" s="51">
        <v>15.2</v>
      </c>
      <c r="Z139" s="111">
        <v>16.8</v>
      </c>
      <c r="AA139" s="51">
        <v>16.8</v>
      </c>
      <c r="AB139" s="51">
        <v>16.399999999999999</v>
      </c>
      <c r="AC139" s="51">
        <v>15.6</v>
      </c>
      <c r="AD139" s="51">
        <v>16.399999999999999</v>
      </c>
      <c r="AE139" s="51">
        <v>15.6</v>
      </c>
      <c r="AF139" s="51">
        <v>16.2</v>
      </c>
      <c r="AG139" s="51">
        <v>14.8</v>
      </c>
      <c r="AH139" s="51">
        <v>13.6</v>
      </c>
      <c r="AI139" s="51">
        <v>15</v>
      </c>
      <c r="AJ139" s="51">
        <v>16.600000000000001</v>
      </c>
      <c r="AK139" s="51">
        <v>15.2</v>
      </c>
      <c r="AL139" s="51"/>
      <c r="AM139" s="51"/>
      <c r="AN139" s="51"/>
      <c r="AO139" s="51"/>
      <c r="AP139" s="88">
        <f t="shared" si="11"/>
        <v>27</v>
      </c>
      <c r="AQ139" s="89">
        <f t="shared" si="12"/>
        <v>15.548148148148149</v>
      </c>
      <c r="AR139" s="89">
        <f>IFERROR(VLOOKUP(A139,Climatologia!A:U,9+$E$2,FALSE),"")</f>
        <v>13.61231765453679</v>
      </c>
      <c r="AS139" s="89">
        <f t="shared" si="13"/>
        <v>1.9358304936113591</v>
      </c>
      <c r="AT139" s="90">
        <f t="shared" si="14"/>
        <v>13.6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8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39" s="122">
        <f t="shared" si="15"/>
        <v>5.6</v>
      </c>
    </row>
    <row r="140" spans="1:49" ht="14.25" customHeight="1" x14ac:dyDescent="0.2">
      <c r="A140" s="120">
        <v>21205980</v>
      </c>
      <c r="B140" s="52" t="s">
        <v>402</v>
      </c>
      <c r="C140" s="52" t="s">
        <v>383</v>
      </c>
      <c r="D140" s="93">
        <v>-74.200916669999998</v>
      </c>
      <c r="E140" s="93">
        <v>4.7923888889999997</v>
      </c>
      <c r="F140" s="48">
        <v>2560</v>
      </c>
      <c r="G140" s="46">
        <v>47</v>
      </c>
      <c r="H140" s="46">
        <v>47798</v>
      </c>
      <c r="I140" s="55" t="s">
        <v>32</v>
      </c>
      <c r="J140" s="55" t="s">
        <v>403</v>
      </c>
      <c r="K140" s="51">
        <v>11</v>
      </c>
      <c r="L140" s="51">
        <v>7.4</v>
      </c>
      <c r="M140" s="51">
        <v>11</v>
      </c>
      <c r="N140" s="51">
        <v>10</v>
      </c>
      <c r="O140" s="51">
        <v>8.1999999999999993</v>
      </c>
      <c r="P140" s="51">
        <v>10</v>
      </c>
      <c r="Q140" s="51">
        <v>11</v>
      </c>
      <c r="R140" s="51">
        <v>10.8</v>
      </c>
      <c r="S140" s="51">
        <v>10.4</v>
      </c>
      <c r="T140" s="51">
        <v>11.4</v>
      </c>
      <c r="U140" s="51">
        <v>4.2</v>
      </c>
      <c r="V140" s="51">
        <v>10.6</v>
      </c>
      <c r="W140" s="51">
        <v>9.1999999999999993</v>
      </c>
      <c r="X140" s="51">
        <v>6.4</v>
      </c>
      <c r="Y140" s="51">
        <v>10</v>
      </c>
      <c r="Z140" s="111">
        <v>10.199999999999999</v>
      </c>
      <c r="AA140" s="51">
        <v>9.4</v>
      </c>
      <c r="AB140" s="51">
        <v>11</v>
      </c>
      <c r="AC140" s="51">
        <v>11.6</v>
      </c>
      <c r="AD140" s="51">
        <v>10.4</v>
      </c>
      <c r="AE140" s="51">
        <v>9.6</v>
      </c>
      <c r="AF140" s="51">
        <v>9</v>
      </c>
      <c r="AG140" s="51">
        <v>11.4</v>
      </c>
      <c r="AH140" s="51">
        <v>11.6</v>
      </c>
      <c r="AI140" s="51">
        <v>5</v>
      </c>
      <c r="AJ140" s="51">
        <v>12</v>
      </c>
      <c r="AK140" s="51">
        <v>9</v>
      </c>
      <c r="AL140" s="51"/>
      <c r="AM140" s="51"/>
      <c r="AN140" s="51"/>
      <c r="AO140" s="51"/>
      <c r="AP140" s="88">
        <f t="shared" si="11"/>
        <v>27</v>
      </c>
      <c r="AQ140" s="89">
        <f t="shared" si="12"/>
        <v>9.6962962962962944</v>
      </c>
      <c r="AR140" s="89">
        <f>IFERROR(VLOOKUP(A140,Climatologia!A:U,9+$E$2,FALSE),"")</f>
        <v>7.7598125606935424</v>
      </c>
      <c r="AS140" s="89">
        <f t="shared" si="13"/>
        <v>1.936483735602752</v>
      </c>
      <c r="AT140" s="90">
        <f t="shared" si="14"/>
        <v>4.2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-1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40" s="122">
        <f t="shared" si="15"/>
        <v>5.2</v>
      </c>
    </row>
    <row r="141" spans="1:49" ht="14.25" customHeight="1" x14ac:dyDescent="0.2">
      <c r="A141" s="119">
        <v>13035501</v>
      </c>
      <c r="B141" s="47" t="s">
        <v>46</v>
      </c>
      <c r="C141" s="52" t="s">
        <v>1295</v>
      </c>
      <c r="D141" s="49">
        <v>-75.825000000000003</v>
      </c>
      <c r="E141" s="49">
        <v>8.8260000000000005</v>
      </c>
      <c r="F141" s="50">
        <v>20</v>
      </c>
      <c r="G141" s="50">
        <v>23</v>
      </c>
      <c r="H141" s="50">
        <v>23001</v>
      </c>
      <c r="I141" s="47" t="s">
        <v>47</v>
      </c>
      <c r="J141" s="63" t="s">
        <v>48</v>
      </c>
      <c r="K141" s="51">
        <v>25.1</v>
      </c>
      <c r="L141" s="51">
        <v>27.3</v>
      </c>
      <c r="M141" s="51">
        <v>24</v>
      </c>
      <c r="N141" s="51">
        <v>23.8</v>
      </c>
      <c r="O141" s="51">
        <v>25.8</v>
      </c>
      <c r="P141" s="51">
        <v>26.6</v>
      </c>
      <c r="Q141" s="51">
        <v>26.9</v>
      </c>
      <c r="R141" s="51">
        <v>27.5</v>
      </c>
      <c r="S141" s="51">
        <v>23.4</v>
      </c>
      <c r="T141" s="51">
        <v>25.5</v>
      </c>
      <c r="U141" s="51">
        <v>26.5</v>
      </c>
      <c r="V141" s="51">
        <v>25.3</v>
      </c>
      <c r="W141" s="51">
        <v>23.1</v>
      </c>
      <c r="X141" s="51">
        <v>25.7</v>
      </c>
      <c r="Y141" s="51">
        <v>26.7</v>
      </c>
      <c r="Z141" s="111">
        <v>26.8</v>
      </c>
      <c r="AA141" s="51">
        <v>26.9</v>
      </c>
      <c r="AB141" s="51">
        <v>27.1</v>
      </c>
      <c r="AC141" s="51">
        <v>22.9</v>
      </c>
      <c r="AD141" s="51">
        <v>26</v>
      </c>
      <c r="AE141" s="51">
        <v>24.4</v>
      </c>
      <c r="AF141" s="51">
        <v>26.4</v>
      </c>
      <c r="AG141" s="51">
        <v>25.1</v>
      </c>
      <c r="AH141" s="51">
        <v>24.3</v>
      </c>
      <c r="AI141" s="51">
        <v>25.7</v>
      </c>
      <c r="AJ141" s="51">
        <v>23.3</v>
      </c>
      <c r="AK141" s="51">
        <v>23.1</v>
      </c>
      <c r="AL141" s="51"/>
      <c r="AM141" s="51"/>
      <c r="AN141" s="51"/>
      <c r="AO141" s="51"/>
      <c r="AP141" s="88">
        <f t="shared" si="11"/>
        <v>27</v>
      </c>
      <c r="AQ141" s="89">
        <f t="shared" si="12"/>
        <v>25.377777777777776</v>
      </c>
      <c r="AR141" s="89">
        <f>IFERROR(VLOOKUP(A141,Climatologia!A:U,9+$E$2,FALSE),"")</f>
        <v>23.380527878729861</v>
      </c>
      <c r="AS141" s="89">
        <f t="shared" si="13"/>
        <v>1.9972498990479153</v>
      </c>
      <c r="AT141" s="90">
        <f t="shared" si="14"/>
        <v>22.9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19.8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41" s="122">
        <f t="shared" si="15"/>
        <v>3.0999999999999979</v>
      </c>
    </row>
    <row r="142" spans="1:49" ht="14.25" customHeight="1" x14ac:dyDescent="0.2">
      <c r="A142" s="119">
        <v>28025502</v>
      </c>
      <c r="B142" s="55" t="s">
        <v>43</v>
      </c>
      <c r="C142" s="52" t="s">
        <v>1295</v>
      </c>
      <c r="D142" s="53">
        <v>-73.248000000000005</v>
      </c>
      <c r="E142" s="53">
        <v>10.436</v>
      </c>
      <c r="F142" s="54">
        <v>138</v>
      </c>
      <c r="G142" s="46">
        <v>20</v>
      </c>
      <c r="H142" s="46">
        <v>20001</v>
      </c>
      <c r="I142" s="55" t="s">
        <v>44</v>
      </c>
      <c r="J142" s="55" t="s">
        <v>45</v>
      </c>
      <c r="K142" s="51">
        <v>28</v>
      </c>
      <c r="L142" s="51">
        <v>27.3</v>
      </c>
      <c r="M142" s="51">
        <v>27.2</v>
      </c>
      <c r="N142" s="51">
        <v>26.9</v>
      </c>
      <c r="O142" s="51">
        <v>27</v>
      </c>
      <c r="P142" s="51">
        <v>26.3</v>
      </c>
      <c r="Q142" s="51">
        <v>27.2</v>
      </c>
      <c r="R142" s="51">
        <v>28</v>
      </c>
      <c r="S142" s="51">
        <v>27.8</v>
      </c>
      <c r="T142" s="51">
        <v>27.6</v>
      </c>
      <c r="U142" s="51">
        <v>28.2</v>
      </c>
      <c r="V142" s="51">
        <v>27</v>
      </c>
      <c r="W142" s="51">
        <v>26.6</v>
      </c>
      <c r="X142" s="51">
        <v>26.9</v>
      </c>
      <c r="Y142" s="51">
        <v>27.9</v>
      </c>
      <c r="Z142" s="111">
        <v>27.8</v>
      </c>
      <c r="AA142" s="51">
        <v>27.4</v>
      </c>
      <c r="AB142" s="51">
        <v>27.2</v>
      </c>
      <c r="AC142" s="51">
        <v>28</v>
      </c>
      <c r="AD142" s="51">
        <v>24.8</v>
      </c>
      <c r="AE142" s="51">
        <v>24</v>
      </c>
      <c r="AF142" s="51">
        <v>25.4</v>
      </c>
      <c r="AG142" s="51">
        <v>26.4</v>
      </c>
      <c r="AH142" s="51">
        <v>23.9</v>
      </c>
      <c r="AI142" s="51">
        <v>24.6</v>
      </c>
      <c r="AJ142" s="51">
        <v>26.9</v>
      </c>
      <c r="AK142" s="51">
        <v>23.6</v>
      </c>
      <c r="AL142" s="51"/>
      <c r="AM142" s="51"/>
      <c r="AN142" s="51"/>
      <c r="AO142" s="51"/>
      <c r="AP142" s="88">
        <f t="shared" si="11"/>
        <v>27</v>
      </c>
      <c r="AQ142" s="89">
        <f t="shared" si="12"/>
        <v>26.662962962962958</v>
      </c>
      <c r="AR142" s="89">
        <f>IFERROR(VLOOKUP(A142,Climatologia!A:U,9+$E$2,FALSE),"")</f>
        <v>24.65002483348788</v>
      </c>
      <c r="AS142" s="89">
        <f t="shared" si="13"/>
        <v>2.0129381294750779</v>
      </c>
      <c r="AT142" s="90">
        <f t="shared" si="14"/>
        <v>23.6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20.8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42" s="122">
        <f t="shared" si="15"/>
        <v>2.8000000000000007</v>
      </c>
    </row>
    <row r="143" spans="1:49" ht="14.25" customHeight="1" x14ac:dyDescent="0.2">
      <c r="A143" s="120">
        <v>26105140</v>
      </c>
      <c r="B143" s="52" t="s">
        <v>343</v>
      </c>
      <c r="C143" s="52" t="s">
        <v>337</v>
      </c>
      <c r="D143" s="53">
        <v>-75.888027777999994</v>
      </c>
      <c r="E143" s="53">
        <v>4.0330555559999999</v>
      </c>
      <c r="F143" s="48">
        <v>2902</v>
      </c>
      <c r="G143" s="46">
        <v>76</v>
      </c>
      <c r="H143" s="46">
        <v>76834</v>
      </c>
      <c r="I143" s="55" t="s">
        <v>342</v>
      </c>
      <c r="J143" s="55" t="s">
        <v>344</v>
      </c>
      <c r="K143" s="51">
        <v>11.2</v>
      </c>
      <c r="L143" s="51">
        <v>11.2</v>
      </c>
      <c r="M143" s="51">
        <v>10</v>
      </c>
      <c r="N143" s="51">
        <v>9.8000000000000007</v>
      </c>
      <c r="O143" s="51">
        <v>10.6</v>
      </c>
      <c r="P143" s="51">
        <v>11.4</v>
      </c>
      <c r="Q143" s="51">
        <v>10.8</v>
      </c>
      <c r="R143" s="51">
        <v>11.2</v>
      </c>
      <c r="S143" s="51">
        <v>10.6</v>
      </c>
      <c r="T143" s="51">
        <v>10.199999999999999</v>
      </c>
      <c r="U143" s="51">
        <v>9</v>
      </c>
      <c r="V143" s="51">
        <v>8.6</v>
      </c>
      <c r="W143" s="51">
        <v>10</v>
      </c>
      <c r="X143" s="51">
        <v>11</v>
      </c>
      <c r="Y143" s="51">
        <v>10.8</v>
      </c>
      <c r="Z143" s="111">
        <v>9</v>
      </c>
      <c r="AA143" s="51">
        <v>10</v>
      </c>
      <c r="AB143" s="51">
        <v>10.8</v>
      </c>
      <c r="AC143" s="51">
        <v>11.8</v>
      </c>
      <c r="AD143" s="51">
        <v>9.8000000000000007</v>
      </c>
      <c r="AE143" s="51">
        <v>10.8</v>
      </c>
      <c r="AF143" s="51">
        <v>10</v>
      </c>
      <c r="AG143" s="51">
        <v>9.8000000000000007</v>
      </c>
      <c r="AH143" s="51">
        <v>10.8</v>
      </c>
      <c r="AI143" s="51">
        <v>9.8000000000000007</v>
      </c>
      <c r="AJ143" s="51">
        <v>10</v>
      </c>
      <c r="AK143" s="51">
        <v>10.6</v>
      </c>
      <c r="AL143" s="51"/>
      <c r="AM143" s="51"/>
      <c r="AN143" s="51"/>
      <c r="AO143" s="51"/>
      <c r="AP143" s="88">
        <f t="shared" si="11"/>
        <v>27</v>
      </c>
      <c r="AQ143" s="89">
        <f t="shared" si="12"/>
        <v>10.355555555555558</v>
      </c>
      <c r="AR143" s="89">
        <f>IFERROR(VLOOKUP(A143,Climatologia!A:U,9+$E$2,FALSE),"")</f>
        <v>8.3170988717622762</v>
      </c>
      <c r="AS143" s="89">
        <f t="shared" si="13"/>
        <v>2.0384566837932816</v>
      </c>
      <c r="AT143" s="90">
        <f t="shared" si="14"/>
        <v>8.6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43" s="122">
        <f t="shared" si="15"/>
        <v>6.6</v>
      </c>
    </row>
    <row r="144" spans="1:49" ht="14.25" customHeight="1" x14ac:dyDescent="0.2">
      <c r="A144" s="120">
        <v>25025080</v>
      </c>
      <c r="B144" s="52" t="s">
        <v>129</v>
      </c>
      <c r="C144" s="52" t="s">
        <v>119</v>
      </c>
      <c r="D144" s="53">
        <v>-75.283055559999994</v>
      </c>
      <c r="E144" s="53">
        <v>9.3338888890000007</v>
      </c>
      <c r="F144" s="48">
        <v>166</v>
      </c>
      <c r="G144" s="46">
        <v>70</v>
      </c>
      <c r="H144" s="46">
        <v>70215</v>
      </c>
      <c r="I144" s="55" t="s">
        <v>130</v>
      </c>
      <c r="J144" s="55" t="s">
        <v>131</v>
      </c>
      <c r="K144" s="51">
        <v>25.4</v>
      </c>
      <c r="L144" s="51">
        <v>26.6</v>
      </c>
      <c r="M144" s="51">
        <v>24.8</v>
      </c>
      <c r="N144" s="51">
        <v>24.6</v>
      </c>
      <c r="O144" s="51">
        <v>25.2</v>
      </c>
      <c r="P144" s="51">
        <v>26.2</v>
      </c>
      <c r="Q144" s="51">
        <v>26</v>
      </c>
      <c r="R144" s="51">
        <v>26</v>
      </c>
      <c r="S144" s="51">
        <v>26.2</v>
      </c>
      <c r="T144" s="51">
        <v>24.8</v>
      </c>
      <c r="U144" s="51">
        <v>25.8</v>
      </c>
      <c r="V144" s="51">
        <v>26.4</v>
      </c>
      <c r="W144" s="51">
        <v>23</v>
      </c>
      <c r="X144" s="51">
        <v>24</v>
      </c>
      <c r="Y144" s="51">
        <v>25.4</v>
      </c>
      <c r="Z144" s="111">
        <v>26.4</v>
      </c>
      <c r="AA144" s="51">
        <v>25.2</v>
      </c>
      <c r="AB144" s="51">
        <v>27</v>
      </c>
      <c r="AC144" s="51">
        <v>23.2</v>
      </c>
      <c r="AD144" s="51">
        <v>24</v>
      </c>
      <c r="AE144" s="51">
        <v>24.2</v>
      </c>
      <c r="AF144" s="51">
        <v>25</v>
      </c>
      <c r="AG144" s="51">
        <v>24.8</v>
      </c>
      <c r="AH144" s="51">
        <v>24.6</v>
      </c>
      <c r="AI144" s="51">
        <v>25.6</v>
      </c>
      <c r="AJ144" s="51">
        <v>24.8</v>
      </c>
      <c r="AK144" s="51">
        <v>23</v>
      </c>
      <c r="AL144" s="51"/>
      <c r="AM144" s="51"/>
      <c r="AN144" s="51"/>
      <c r="AO144" s="51"/>
      <c r="AP144" s="88">
        <f t="shared" si="11"/>
        <v>27</v>
      </c>
      <c r="AQ144" s="89">
        <f t="shared" si="12"/>
        <v>25.118518518518517</v>
      </c>
      <c r="AR144" s="89">
        <f>IFERROR(VLOOKUP(A144,Climatologia!A:U,9+$E$2,FALSE),"")</f>
        <v>23.077912101041139</v>
      </c>
      <c r="AS144" s="89">
        <f t="shared" si="13"/>
        <v>2.0406064174773775</v>
      </c>
      <c r="AT144" s="90">
        <f t="shared" si="14"/>
        <v>23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17.8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144" s="122">
        <f t="shared" si="15"/>
        <v>5.1999999999999993</v>
      </c>
    </row>
    <row r="145" spans="1:49" ht="14.25" customHeight="1" x14ac:dyDescent="0.2">
      <c r="A145" s="120">
        <v>35235050</v>
      </c>
      <c r="B145" s="52" t="s">
        <v>257</v>
      </c>
      <c r="C145" s="52" t="s">
        <v>212</v>
      </c>
      <c r="D145" s="53">
        <v>-72.166777780000004</v>
      </c>
      <c r="E145" s="53">
        <v>5.8185833330000003</v>
      </c>
      <c r="F145" s="48">
        <v>117</v>
      </c>
      <c r="G145" s="46">
        <v>85</v>
      </c>
      <c r="H145" s="46">
        <v>85400</v>
      </c>
      <c r="I145" s="55" t="s">
        <v>167</v>
      </c>
      <c r="J145" s="55" t="s">
        <v>258</v>
      </c>
      <c r="K145" s="51">
        <v>19.399999999999999</v>
      </c>
      <c r="L145" s="51">
        <v>19.2</v>
      </c>
      <c r="M145" s="51">
        <v>20.2</v>
      </c>
      <c r="N145" s="51">
        <v>19.600000000000001</v>
      </c>
      <c r="O145" s="51">
        <v>20.399999999999999</v>
      </c>
      <c r="P145" s="51">
        <v>21.4</v>
      </c>
      <c r="Q145" s="51">
        <v>20.2</v>
      </c>
      <c r="R145" s="51">
        <v>19.399999999999999</v>
      </c>
      <c r="S145" s="51">
        <v>20.2</v>
      </c>
      <c r="T145" s="51">
        <v>20.2</v>
      </c>
      <c r="U145" s="51">
        <v>21.6</v>
      </c>
      <c r="V145" s="51">
        <v>19.2</v>
      </c>
      <c r="W145" s="51">
        <v>20.399999999999999</v>
      </c>
      <c r="X145" s="51">
        <v>19.2</v>
      </c>
      <c r="Y145" s="51">
        <v>20.2</v>
      </c>
      <c r="Z145" s="111">
        <v>21.4</v>
      </c>
      <c r="AA145" s="51">
        <v>22.4</v>
      </c>
      <c r="AB145" s="51">
        <v>20.2</v>
      </c>
      <c r="AC145" s="51">
        <v>21.2</v>
      </c>
      <c r="AD145" s="51">
        <v>20.399999999999999</v>
      </c>
      <c r="AE145" s="51">
        <v>19.2</v>
      </c>
      <c r="AF145" s="51">
        <v>22.6</v>
      </c>
      <c r="AG145" s="51">
        <v>19.2</v>
      </c>
      <c r="AH145" s="51">
        <v>20.2</v>
      </c>
      <c r="AI145" s="51">
        <v>21.4</v>
      </c>
      <c r="AJ145" s="51">
        <v>20.2</v>
      </c>
      <c r="AK145" s="51">
        <v>20.2</v>
      </c>
      <c r="AL145" s="51"/>
      <c r="AM145" s="51"/>
      <c r="AN145" s="51"/>
      <c r="AO145" s="51"/>
      <c r="AP145" s="88">
        <f t="shared" si="11"/>
        <v>27</v>
      </c>
      <c r="AQ145" s="89">
        <f t="shared" si="12"/>
        <v>20.348148148148145</v>
      </c>
      <c r="AR145" s="89">
        <f>IFERROR(VLOOKUP(A145,Climatologia!A:U,9+$E$2,FALSE),"")</f>
        <v>18.265873654442618</v>
      </c>
      <c r="AS145" s="89">
        <f t="shared" si="13"/>
        <v>2.0822744937055262</v>
      </c>
      <c r="AT145" s="90">
        <f t="shared" si="14"/>
        <v>19.2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16.100000000000001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45" s="122">
        <f t="shared" si="15"/>
        <v>3.0999999999999979</v>
      </c>
    </row>
    <row r="146" spans="1:49" ht="14.25" customHeight="1" x14ac:dyDescent="0.2">
      <c r="A146" s="120">
        <v>25025380</v>
      </c>
      <c r="B146" s="52" t="s">
        <v>139</v>
      </c>
      <c r="C146" s="52" t="s">
        <v>119</v>
      </c>
      <c r="D146" s="53">
        <v>-75.044722219999997</v>
      </c>
      <c r="E146" s="53">
        <v>9.1638888890000008</v>
      </c>
      <c r="F146" s="48">
        <v>20</v>
      </c>
      <c r="G146" s="46">
        <v>70</v>
      </c>
      <c r="H146" s="46">
        <v>70678</v>
      </c>
      <c r="I146" s="55" t="s">
        <v>130</v>
      </c>
      <c r="J146" s="55" t="s">
        <v>140</v>
      </c>
      <c r="K146" s="51">
        <v>26.8</v>
      </c>
      <c r="L146" s="51">
        <v>26.8</v>
      </c>
      <c r="M146" s="51">
        <v>25</v>
      </c>
      <c r="N146" s="51">
        <v>25</v>
      </c>
      <c r="O146" s="51">
        <v>25.4</v>
      </c>
      <c r="P146" s="51">
        <v>26.8</v>
      </c>
      <c r="Q146" s="51">
        <v>26.8</v>
      </c>
      <c r="R146" s="51">
        <v>26.8</v>
      </c>
      <c r="S146" s="51">
        <v>25</v>
      </c>
      <c r="T146" s="51">
        <v>24.4</v>
      </c>
      <c r="U146" s="51">
        <v>24.6</v>
      </c>
      <c r="V146" s="51">
        <v>25.4</v>
      </c>
      <c r="W146" s="51">
        <v>24</v>
      </c>
      <c r="X146" s="51">
        <v>24</v>
      </c>
      <c r="Y146" s="51">
        <v>23.8</v>
      </c>
      <c r="Z146" s="111">
        <v>24</v>
      </c>
      <c r="AA146" s="51">
        <v>26.4</v>
      </c>
      <c r="AB146" s="51">
        <v>27.4</v>
      </c>
      <c r="AC146" s="51">
        <v>23.2</v>
      </c>
      <c r="AD146" s="51">
        <v>25.2</v>
      </c>
      <c r="AE146" s="51">
        <v>25</v>
      </c>
      <c r="AF146" s="51">
        <v>23.2</v>
      </c>
      <c r="AG146" s="51">
        <v>23.6</v>
      </c>
      <c r="AH146" s="51">
        <v>24</v>
      </c>
      <c r="AI146" s="51">
        <v>23.2</v>
      </c>
      <c r="AJ146" s="51">
        <v>24</v>
      </c>
      <c r="AK146" s="51">
        <v>23.2</v>
      </c>
      <c r="AL146" s="51"/>
      <c r="AM146" s="51"/>
      <c r="AN146" s="51"/>
      <c r="AO146" s="51"/>
      <c r="AP146" s="88">
        <f t="shared" si="11"/>
        <v>27</v>
      </c>
      <c r="AQ146" s="89">
        <f t="shared" si="12"/>
        <v>24.925925925925931</v>
      </c>
      <c r="AR146" s="89">
        <f>IFERROR(VLOOKUP(A146,Climatologia!A:U,9+$E$2,FALSE),"")</f>
        <v>22.730537765699061</v>
      </c>
      <c r="AS146" s="89">
        <f t="shared" si="13"/>
        <v>2.1953881602268694</v>
      </c>
      <c r="AT146" s="90">
        <f t="shared" si="14"/>
        <v>23.2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18.399999999999999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146" s="122">
        <f t="shared" si="15"/>
        <v>4.8000000000000007</v>
      </c>
    </row>
    <row r="147" spans="1:49" ht="14.25" customHeight="1" x14ac:dyDescent="0.2">
      <c r="A147" s="119">
        <v>15015050</v>
      </c>
      <c r="B147" s="52" t="s">
        <v>31</v>
      </c>
      <c r="C147" s="52" t="s">
        <v>1295</v>
      </c>
      <c r="D147" s="53">
        <v>-74.228999999999999</v>
      </c>
      <c r="E147" s="53">
        <v>11.128</v>
      </c>
      <c r="F147" s="54">
        <v>4</v>
      </c>
      <c r="G147" s="54">
        <v>47</v>
      </c>
      <c r="H147" s="54">
        <v>47001</v>
      </c>
      <c r="I147" s="55" t="s">
        <v>32</v>
      </c>
      <c r="J147" s="64" t="s">
        <v>33</v>
      </c>
      <c r="K147" s="51">
        <v>27.4</v>
      </c>
      <c r="L147" s="51">
        <v>26.4</v>
      </c>
      <c r="M147" s="51">
        <v>28.2</v>
      </c>
      <c r="N147" s="51">
        <v>27.8</v>
      </c>
      <c r="O147" s="51">
        <v>27</v>
      </c>
      <c r="P147" s="51">
        <v>27</v>
      </c>
      <c r="Q147" s="51">
        <v>27</v>
      </c>
      <c r="R147" s="51">
        <v>27.5</v>
      </c>
      <c r="S147" s="51">
        <v>27.8</v>
      </c>
      <c r="T147" s="51">
        <v>27.6</v>
      </c>
      <c r="U147" s="51">
        <v>27.4</v>
      </c>
      <c r="V147" s="51">
        <v>28.4</v>
      </c>
      <c r="W147" s="51">
        <v>27.6</v>
      </c>
      <c r="X147" s="51">
        <v>26.3</v>
      </c>
      <c r="Y147" s="51">
        <v>27.8</v>
      </c>
      <c r="Z147" s="111">
        <v>28.1</v>
      </c>
      <c r="AA147" s="51">
        <v>27.6</v>
      </c>
      <c r="AB147" s="51">
        <v>27.6</v>
      </c>
      <c r="AC147" s="51">
        <v>28.3</v>
      </c>
      <c r="AD147" s="51">
        <v>27.7</v>
      </c>
      <c r="AE147" s="51">
        <v>24.8</v>
      </c>
      <c r="AF147" s="51">
        <v>26.4</v>
      </c>
      <c r="AG147" s="51">
        <v>27.4</v>
      </c>
      <c r="AH147" s="51">
        <v>25.5</v>
      </c>
      <c r="AI147" s="51">
        <v>26.4</v>
      </c>
      <c r="AJ147" s="51">
        <v>26.6</v>
      </c>
      <c r="AK147" s="51">
        <v>25.8</v>
      </c>
      <c r="AL147" s="51"/>
      <c r="AM147" s="51"/>
      <c r="AN147" s="51"/>
      <c r="AO147" s="51"/>
      <c r="AP147" s="88">
        <f t="shared" si="11"/>
        <v>27</v>
      </c>
      <c r="AQ147" s="89">
        <f t="shared" si="12"/>
        <v>27.162962962962961</v>
      </c>
      <c r="AR147" s="89">
        <f>IFERROR(VLOOKUP(A147,Climatologia!A:U,9+$E$2,FALSE),"")</f>
        <v>24.967211716722289</v>
      </c>
      <c r="AS147" s="89">
        <f t="shared" si="13"/>
        <v>2.1957512462406719</v>
      </c>
      <c r="AT147" s="90">
        <f t="shared" si="14"/>
        <v>24.8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20.6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47" s="122">
        <f t="shared" si="15"/>
        <v>4.1999999999999993</v>
      </c>
    </row>
    <row r="148" spans="1:49" ht="14.25" customHeight="1" x14ac:dyDescent="0.2">
      <c r="A148" s="120">
        <v>21205940</v>
      </c>
      <c r="B148" s="52" t="s">
        <v>398</v>
      </c>
      <c r="C148" s="52" t="s">
        <v>383</v>
      </c>
      <c r="D148" s="53">
        <v>-74.380560000000003</v>
      </c>
      <c r="E148" s="53">
        <v>4.8321100000000001</v>
      </c>
      <c r="F148" s="48">
        <v>2590</v>
      </c>
      <c r="G148" s="46">
        <v>25</v>
      </c>
      <c r="H148" s="46">
        <v>25269</v>
      </c>
      <c r="I148" s="55" t="s">
        <v>74</v>
      </c>
      <c r="J148" s="55" t="s">
        <v>399</v>
      </c>
      <c r="K148" s="51">
        <v>9.8000000000000007</v>
      </c>
      <c r="L148" s="51">
        <v>4.5999999999999996</v>
      </c>
      <c r="M148" s="51">
        <v>7.8</v>
      </c>
      <c r="N148" s="51">
        <v>10.4</v>
      </c>
      <c r="O148" s="51">
        <v>10.4</v>
      </c>
      <c r="P148" s="51">
        <v>10</v>
      </c>
      <c r="Q148" s="51">
        <v>10</v>
      </c>
      <c r="R148" s="51">
        <v>10.4</v>
      </c>
      <c r="S148" s="51">
        <v>9.8000000000000007</v>
      </c>
      <c r="T148" s="51">
        <v>9.8000000000000007</v>
      </c>
      <c r="U148" s="51">
        <v>3.4</v>
      </c>
      <c r="V148" s="51">
        <v>9.6</v>
      </c>
      <c r="W148" s="51">
        <v>8</v>
      </c>
      <c r="X148" s="51">
        <v>6</v>
      </c>
      <c r="Y148" s="51">
        <v>10</v>
      </c>
      <c r="Z148" s="111">
        <v>10</v>
      </c>
      <c r="AA148" s="51">
        <v>10</v>
      </c>
      <c r="AB148" s="51">
        <v>8.8000000000000007</v>
      </c>
      <c r="AC148" s="51">
        <v>11</v>
      </c>
      <c r="AD148" s="51">
        <v>9.8000000000000007</v>
      </c>
      <c r="AE148" s="51">
        <v>8.1999999999999993</v>
      </c>
      <c r="AF148" s="51">
        <v>9.8000000000000007</v>
      </c>
      <c r="AG148" s="51">
        <v>10</v>
      </c>
      <c r="AH148" s="51"/>
      <c r="AI148" s="51"/>
      <c r="AJ148" s="51"/>
      <c r="AK148" s="51">
        <v>9.8000000000000007</v>
      </c>
      <c r="AL148" s="51"/>
      <c r="AM148" s="51"/>
      <c r="AN148" s="51"/>
      <c r="AO148" s="51"/>
      <c r="AP148" s="88">
        <f t="shared" si="11"/>
        <v>24</v>
      </c>
      <c r="AQ148" s="89">
        <f t="shared" si="12"/>
        <v>9.0583333333333353</v>
      </c>
      <c r="AR148" s="89">
        <f>IFERROR(VLOOKUP(A148,Climatologia!A:U,9+$E$2,FALSE),"")</f>
        <v>6.8173462365591373</v>
      </c>
      <c r="AS148" s="89">
        <f t="shared" si="13"/>
        <v>2.2409870967741981</v>
      </c>
      <c r="AT148" s="90">
        <f t="shared" si="14"/>
        <v>3.4</v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-0.4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48" s="122">
        <f t="shared" si="15"/>
        <v>3.8</v>
      </c>
    </row>
    <row r="149" spans="1:49" ht="14.25" customHeight="1" x14ac:dyDescent="0.2">
      <c r="A149" s="120">
        <v>16025010</v>
      </c>
      <c r="B149" s="52" t="s">
        <v>304</v>
      </c>
      <c r="C149" s="52" t="s">
        <v>300</v>
      </c>
      <c r="D149" s="53">
        <v>-72.566111109999994</v>
      </c>
      <c r="E149" s="53">
        <v>7.8488888890000004</v>
      </c>
      <c r="F149" s="48">
        <v>285</v>
      </c>
      <c r="G149" s="46">
        <v>54</v>
      </c>
      <c r="H149" s="46">
        <v>54001</v>
      </c>
      <c r="I149" s="55" t="s">
        <v>301</v>
      </c>
      <c r="J149" s="55" t="s">
        <v>305</v>
      </c>
      <c r="K149" s="51">
        <v>25.8</v>
      </c>
      <c r="L149" s="51">
        <v>24.2</v>
      </c>
      <c r="M149" s="51">
        <v>26</v>
      </c>
      <c r="N149" s="51">
        <v>23</v>
      </c>
      <c r="O149" s="51">
        <v>22.4</v>
      </c>
      <c r="P149" s="51">
        <v>24.6</v>
      </c>
      <c r="Q149" s="51">
        <v>25.4</v>
      </c>
      <c r="R149" s="51">
        <v>24.6</v>
      </c>
      <c r="S149" s="51">
        <v>24.8</v>
      </c>
      <c r="T149" s="51">
        <v>27.2</v>
      </c>
      <c r="U149" s="51">
        <v>23</v>
      </c>
      <c r="V149" s="51">
        <v>24.8</v>
      </c>
      <c r="W149" s="51">
        <v>25</v>
      </c>
      <c r="X149" s="51">
        <v>25.8</v>
      </c>
      <c r="Y149" s="51">
        <v>27.2</v>
      </c>
      <c r="Z149" s="111">
        <v>27</v>
      </c>
      <c r="AA149" s="51">
        <v>25.2</v>
      </c>
      <c r="AB149" s="51">
        <v>25</v>
      </c>
      <c r="AC149" s="51">
        <v>23.8</v>
      </c>
      <c r="AD149" s="51">
        <v>22.2</v>
      </c>
      <c r="AE149" s="51">
        <v>22.8</v>
      </c>
      <c r="AF149" s="51">
        <v>23.6</v>
      </c>
      <c r="AG149" s="51">
        <v>25.4</v>
      </c>
      <c r="AH149" s="51">
        <v>22.8</v>
      </c>
      <c r="AI149" s="51">
        <v>23.6</v>
      </c>
      <c r="AJ149" s="51">
        <v>24</v>
      </c>
      <c r="AK149" s="51">
        <v>23.8</v>
      </c>
      <c r="AL149" s="51"/>
      <c r="AM149" s="51"/>
      <c r="AN149" s="51"/>
      <c r="AO149" s="51"/>
      <c r="AP149" s="88">
        <f t="shared" si="11"/>
        <v>27</v>
      </c>
      <c r="AQ149" s="89">
        <f t="shared" si="12"/>
        <v>24.55555555555555</v>
      </c>
      <c r="AR149" s="89">
        <f>IFERROR(VLOOKUP(A149,Climatologia!A:U,9+$E$2,FALSE),"")</f>
        <v>22.245834878259799</v>
      </c>
      <c r="AS149" s="89">
        <f t="shared" si="13"/>
        <v>2.3097206772957506</v>
      </c>
      <c r="AT149" s="90">
        <f t="shared" si="14"/>
        <v>22.2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17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9" s="122">
        <f t="shared" si="15"/>
        <v>5.1999999999999993</v>
      </c>
    </row>
    <row r="150" spans="1:49" ht="14.25" customHeight="1" x14ac:dyDescent="0.2">
      <c r="A150" s="120">
        <v>21206020</v>
      </c>
      <c r="B150" s="52" t="s">
        <v>404</v>
      </c>
      <c r="C150" s="52" t="s">
        <v>383</v>
      </c>
      <c r="D150" s="93">
        <v>-74.104833330000005</v>
      </c>
      <c r="E150" s="93">
        <v>4.8985277780000001</v>
      </c>
      <c r="F150" s="48">
        <v>2575</v>
      </c>
      <c r="G150" s="46">
        <v>25</v>
      </c>
      <c r="H150" s="46">
        <v>25785</v>
      </c>
      <c r="I150" s="55" t="s">
        <v>74</v>
      </c>
      <c r="J150" s="55" t="s">
        <v>405</v>
      </c>
      <c r="K150" s="51">
        <v>11</v>
      </c>
      <c r="L150" s="51">
        <v>7</v>
      </c>
      <c r="M150" s="51">
        <v>9.4</v>
      </c>
      <c r="N150" s="51">
        <v>9</v>
      </c>
      <c r="O150" s="51">
        <v>9.6</v>
      </c>
      <c r="P150" s="51">
        <v>9</v>
      </c>
      <c r="Q150" s="51">
        <v>10</v>
      </c>
      <c r="R150" s="51">
        <v>11</v>
      </c>
      <c r="S150" s="51">
        <v>10</v>
      </c>
      <c r="T150" s="51">
        <v>10.8</v>
      </c>
      <c r="U150" s="51">
        <v>7</v>
      </c>
      <c r="V150" s="51">
        <v>11</v>
      </c>
      <c r="W150" s="51">
        <v>9.8000000000000007</v>
      </c>
      <c r="X150" s="51">
        <v>6.8</v>
      </c>
      <c r="Y150" s="51">
        <v>12</v>
      </c>
      <c r="Z150" s="111">
        <v>9</v>
      </c>
      <c r="AA150" s="51">
        <v>9.8000000000000007</v>
      </c>
      <c r="AB150" s="51">
        <v>11</v>
      </c>
      <c r="AC150" s="51"/>
      <c r="AD150" s="51">
        <v>10</v>
      </c>
      <c r="AE150" s="51">
        <v>10.6</v>
      </c>
      <c r="AF150" s="51">
        <v>9</v>
      </c>
      <c r="AG150" s="51">
        <v>11.2</v>
      </c>
      <c r="AH150" s="51">
        <v>10</v>
      </c>
      <c r="AI150" s="51">
        <v>10.8</v>
      </c>
      <c r="AJ150" s="51"/>
      <c r="AK150" s="51">
        <v>11</v>
      </c>
      <c r="AL150" s="51"/>
      <c r="AM150" s="51"/>
      <c r="AN150" s="51"/>
      <c r="AO150" s="51"/>
      <c r="AP150" s="88">
        <f t="shared" si="11"/>
        <v>25</v>
      </c>
      <c r="AQ150" s="89">
        <f t="shared" si="12"/>
        <v>9.8320000000000007</v>
      </c>
      <c r="AR150" s="89">
        <f>IFERROR(VLOOKUP(A150,Climatologia!A:U,9+$E$2,FALSE),"")</f>
        <v>7.4125279631689516</v>
      </c>
      <c r="AS150" s="89">
        <f t="shared" si="13"/>
        <v>2.4194720368310492</v>
      </c>
      <c r="AT150" s="90">
        <f t="shared" si="14"/>
        <v>6.8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0.5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50" s="122">
        <f t="shared" si="15"/>
        <v>6.3</v>
      </c>
    </row>
    <row r="151" spans="1:49" ht="14.25" customHeight="1" x14ac:dyDescent="0.2">
      <c r="A151" s="120">
        <v>23155040</v>
      </c>
      <c r="B151" s="52" t="s">
        <v>316</v>
      </c>
      <c r="C151" s="52" t="s">
        <v>300</v>
      </c>
      <c r="D151" s="53">
        <v>-73.765083329999996</v>
      </c>
      <c r="E151" s="53">
        <v>6.8595555560000001</v>
      </c>
      <c r="F151" s="48">
        <v>114</v>
      </c>
      <c r="G151" s="46">
        <v>68</v>
      </c>
      <c r="H151" s="46">
        <v>68081</v>
      </c>
      <c r="I151" s="55" t="s">
        <v>50</v>
      </c>
      <c r="J151" s="55" t="s">
        <v>51</v>
      </c>
      <c r="K151" s="51">
        <v>24.2</v>
      </c>
      <c r="L151" s="51">
        <v>25.2</v>
      </c>
      <c r="M151" s="51">
        <v>24.2</v>
      </c>
      <c r="N151" s="51">
        <v>23.8</v>
      </c>
      <c r="O151" s="51">
        <v>23.8</v>
      </c>
      <c r="P151" s="51">
        <v>25</v>
      </c>
      <c r="Q151" s="51">
        <v>25.6</v>
      </c>
      <c r="R151" s="51">
        <v>26.7</v>
      </c>
      <c r="S151" s="51">
        <v>24.2</v>
      </c>
      <c r="T151" s="51">
        <v>24</v>
      </c>
      <c r="U151" s="51">
        <v>25.8</v>
      </c>
      <c r="V151" s="51">
        <v>24.6</v>
      </c>
      <c r="W151" s="51">
        <v>23.4</v>
      </c>
      <c r="X151" s="51">
        <v>25.8</v>
      </c>
      <c r="Y151" s="51">
        <v>25.8</v>
      </c>
      <c r="Z151" s="111">
        <v>26.4</v>
      </c>
      <c r="AA151" s="51">
        <v>26.8</v>
      </c>
      <c r="AB151" s="51">
        <v>24.8</v>
      </c>
      <c r="AC151" s="51">
        <v>24.8</v>
      </c>
      <c r="AD151" s="51">
        <v>24.2</v>
      </c>
      <c r="AE151" s="51">
        <v>23.2</v>
      </c>
      <c r="AF151" s="51">
        <v>23.8</v>
      </c>
      <c r="AG151" s="51">
        <v>24</v>
      </c>
      <c r="AH151" s="51">
        <v>24</v>
      </c>
      <c r="AI151" s="51">
        <v>24.8</v>
      </c>
      <c r="AJ151" s="51">
        <v>23.4</v>
      </c>
      <c r="AK151" s="51">
        <v>23.2</v>
      </c>
      <c r="AL151" s="51"/>
      <c r="AM151" s="51"/>
      <c r="AN151" s="51"/>
      <c r="AO151" s="51"/>
      <c r="AP151" s="88">
        <f t="shared" si="11"/>
        <v>27</v>
      </c>
      <c r="AQ151" s="89">
        <f t="shared" si="12"/>
        <v>24.648148148148145</v>
      </c>
      <c r="AR151" s="89">
        <f>IFERROR(VLOOKUP(A151,Climatologia!A:U,9+$E$2,FALSE),"")</f>
        <v>22.18387110738724</v>
      </c>
      <c r="AS151" s="89">
        <f t="shared" si="13"/>
        <v>2.4642770407609049</v>
      </c>
      <c r="AT151" s="90">
        <f t="shared" si="14"/>
        <v>23.2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19.2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51" s="122">
        <f t="shared" si="15"/>
        <v>4</v>
      </c>
    </row>
    <row r="152" spans="1:49" ht="14.25" customHeight="1" x14ac:dyDescent="0.2">
      <c r="A152" s="120">
        <v>21195120</v>
      </c>
      <c r="B152" s="52" t="s">
        <v>384</v>
      </c>
      <c r="C152" s="52" t="s">
        <v>383</v>
      </c>
      <c r="D152" s="53">
        <v>-74.392719999999997</v>
      </c>
      <c r="E152" s="53">
        <v>4.3929200000000002</v>
      </c>
      <c r="F152" s="48">
        <v>1421</v>
      </c>
      <c r="G152" s="46">
        <v>25</v>
      </c>
      <c r="H152" s="46">
        <v>25743</v>
      </c>
      <c r="I152" s="55" t="s">
        <v>74</v>
      </c>
      <c r="J152" s="55" t="s">
        <v>385</v>
      </c>
      <c r="K152" s="51">
        <v>18.399999999999999</v>
      </c>
      <c r="L152" s="51">
        <v>17.600000000000001</v>
      </c>
      <c r="M152" s="51">
        <v>18.399999999999999</v>
      </c>
      <c r="N152" s="51">
        <v>17.600000000000001</v>
      </c>
      <c r="O152" s="51">
        <v>18</v>
      </c>
      <c r="P152" s="51">
        <v>18.399999999999999</v>
      </c>
      <c r="Q152" s="51">
        <v>17.8</v>
      </c>
      <c r="R152" s="51">
        <v>19</v>
      </c>
      <c r="S152" s="51">
        <v>17.600000000000001</v>
      </c>
      <c r="T152" s="51">
        <v>18</v>
      </c>
      <c r="U152" s="51">
        <v>17.8</v>
      </c>
      <c r="V152" s="51">
        <v>18.8</v>
      </c>
      <c r="W152" s="51">
        <v>16.8</v>
      </c>
      <c r="X152" s="51">
        <v>18</v>
      </c>
      <c r="Y152" s="51">
        <v>18.2</v>
      </c>
      <c r="Z152" s="111">
        <v>19.2</v>
      </c>
      <c r="AA152" s="51">
        <v>19</v>
      </c>
      <c r="AB152" s="51">
        <v>18.600000000000001</v>
      </c>
      <c r="AC152" s="51">
        <v>18.399999999999999</v>
      </c>
      <c r="AD152" s="51">
        <v>17.8</v>
      </c>
      <c r="AE152" s="51">
        <v>16.8</v>
      </c>
      <c r="AF152" s="51">
        <v>18</v>
      </c>
      <c r="AG152" s="51">
        <v>18.600000000000001</v>
      </c>
      <c r="AH152" s="51">
        <v>18</v>
      </c>
      <c r="AI152" s="51">
        <v>16.399999999999999</v>
      </c>
      <c r="AJ152" s="51">
        <v>18.600000000000001</v>
      </c>
      <c r="AK152" s="51">
        <v>17.2</v>
      </c>
      <c r="AL152" s="51"/>
      <c r="AM152" s="51"/>
      <c r="AN152" s="51"/>
      <c r="AO152" s="51"/>
      <c r="AP152" s="88">
        <f t="shared" si="11"/>
        <v>27</v>
      </c>
      <c r="AQ152" s="89">
        <f t="shared" si="12"/>
        <v>18.037037037037038</v>
      </c>
      <c r="AR152" s="89">
        <f>IFERROR(VLOOKUP(A152,Climatologia!A:U,9+$E$2,FALSE),"")</f>
        <v>15.545325140809011</v>
      </c>
      <c r="AS152" s="89">
        <f t="shared" si="13"/>
        <v>2.4917118962280274</v>
      </c>
      <c r="AT152" s="90">
        <f t="shared" si="14"/>
        <v>16.399999999999999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11.2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52" s="122">
        <f t="shared" si="15"/>
        <v>5.1999999999999993</v>
      </c>
    </row>
    <row r="153" spans="1:49" ht="14.25" customHeight="1" x14ac:dyDescent="0.2">
      <c r="A153" s="120">
        <v>15085030</v>
      </c>
      <c r="B153" s="52" t="s">
        <v>201</v>
      </c>
      <c r="C153" s="52" t="s">
        <v>199</v>
      </c>
      <c r="D153" s="53">
        <v>-72.359944440000007</v>
      </c>
      <c r="E153" s="53">
        <v>11.216749999999999</v>
      </c>
      <c r="F153" s="48">
        <v>118</v>
      </c>
      <c r="G153" s="46">
        <v>44</v>
      </c>
      <c r="H153" s="46">
        <v>44430</v>
      </c>
      <c r="I153" s="55" t="s">
        <v>41</v>
      </c>
      <c r="J153" s="55" t="s">
        <v>202</v>
      </c>
      <c r="K153" s="51">
        <v>26.6</v>
      </c>
      <c r="L153" s="51">
        <v>25.6</v>
      </c>
      <c r="M153" s="51">
        <v>26.4</v>
      </c>
      <c r="N153" s="51">
        <v>25.8</v>
      </c>
      <c r="O153" s="51">
        <v>26</v>
      </c>
      <c r="P153" s="51">
        <v>25.4</v>
      </c>
      <c r="Q153" s="51">
        <v>26.8</v>
      </c>
      <c r="R153" s="51">
        <v>26.2</v>
      </c>
      <c r="S153" s="51">
        <v>26.6</v>
      </c>
      <c r="T153" s="51">
        <v>26</v>
      </c>
      <c r="U153" s="51">
        <v>27</v>
      </c>
      <c r="V153" s="51">
        <v>26.2</v>
      </c>
      <c r="W153" s="51">
        <v>25.8</v>
      </c>
      <c r="X153" s="51">
        <v>25.4</v>
      </c>
      <c r="Y153" s="51">
        <v>26.4</v>
      </c>
      <c r="Z153" s="111">
        <v>26.2</v>
      </c>
      <c r="AA153" s="51">
        <v>26</v>
      </c>
      <c r="AB153" s="51">
        <v>26.6</v>
      </c>
      <c r="AC153" s="51">
        <v>25.8</v>
      </c>
      <c r="AD153" s="51">
        <v>26.4</v>
      </c>
      <c r="AE153" s="51">
        <v>26.8</v>
      </c>
      <c r="AF153" s="51">
        <v>25.6</v>
      </c>
      <c r="AG153" s="51">
        <v>26.6</v>
      </c>
      <c r="AH153" s="51">
        <v>27</v>
      </c>
      <c r="AI153" s="51">
        <v>26.6</v>
      </c>
      <c r="AJ153" s="51">
        <v>25.8</v>
      </c>
      <c r="AK153" s="51">
        <v>24.8</v>
      </c>
      <c r="AL153" s="51"/>
      <c r="AM153" s="51"/>
      <c r="AN153" s="51"/>
      <c r="AO153" s="51"/>
      <c r="AP153" s="88">
        <f t="shared" si="11"/>
        <v>27</v>
      </c>
      <c r="AQ153" s="89">
        <f t="shared" si="12"/>
        <v>26.162962962962958</v>
      </c>
      <c r="AR153" s="89">
        <f>IFERROR(VLOOKUP(A153,Climatologia!A:U,9+$E$2,FALSE),"")</f>
        <v>23.66046866958937</v>
      </c>
      <c r="AS153" s="89">
        <f t="shared" si="13"/>
        <v>2.5024942933735872</v>
      </c>
      <c r="AT153" s="90">
        <f t="shared" si="14"/>
        <v>24.8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15.2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153" s="122">
        <f t="shared" si="15"/>
        <v>9.6000000000000014</v>
      </c>
    </row>
    <row r="154" spans="1:49" ht="14.25" customHeight="1" x14ac:dyDescent="0.2">
      <c r="A154" s="120">
        <v>25025330</v>
      </c>
      <c r="B154" s="52" t="s">
        <v>209</v>
      </c>
      <c r="C154" s="52" t="s">
        <v>199</v>
      </c>
      <c r="D154" s="53">
        <v>-73.630083330000005</v>
      </c>
      <c r="E154" s="53">
        <v>8.9542222220000003</v>
      </c>
      <c r="F154" s="48">
        <v>50</v>
      </c>
      <c r="G154" s="46">
        <v>20</v>
      </c>
      <c r="H154" s="46">
        <v>20517</v>
      </c>
      <c r="I154" s="55" t="s">
        <v>44</v>
      </c>
      <c r="J154" s="55" t="s">
        <v>210</v>
      </c>
      <c r="K154" s="116">
        <v>26.4</v>
      </c>
      <c r="L154" s="116">
        <v>26</v>
      </c>
      <c r="M154" s="116">
        <v>26.2</v>
      </c>
      <c r="N154" s="116">
        <v>26.2</v>
      </c>
      <c r="O154" s="116">
        <v>26.4</v>
      </c>
      <c r="P154" s="116">
        <v>25.4</v>
      </c>
      <c r="Q154" s="116">
        <v>25.6</v>
      </c>
      <c r="R154" s="116">
        <v>26.6</v>
      </c>
      <c r="S154" s="116">
        <v>25.2</v>
      </c>
      <c r="T154" s="116">
        <v>24.8</v>
      </c>
      <c r="U154" s="116">
        <v>24.4</v>
      </c>
      <c r="V154" s="116">
        <v>28</v>
      </c>
      <c r="W154" s="116">
        <v>25</v>
      </c>
      <c r="X154" s="116">
        <v>25</v>
      </c>
      <c r="Y154" s="116">
        <v>24.2</v>
      </c>
      <c r="Z154" s="117">
        <v>26.2</v>
      </c>
      <c r="AA154" s="116">
        <v>25.6</v>
      </c>
      <c r="AB154" s="116">
        <v>25.2</v>
      </c>
      <c r="AC154" s="116">
        <v>25</v>
      </c>
      <c r="AD154" s="116"/>
      <c r="AE154" s="116">
        <v>25.2</v>
      </c>
      <c r="AF154" s="116">
        <v>25</v>
      </c>
      <c r="AG154" s="116"/>
      <c r="AH154" s="116"/>
      <c r="AI154" s="116">
        <v>26</v>
      </c>
      <c r="AJ154" s="116"/>
      <c r="AK154" s="116"/>
      <c r="AL154" s="116"/>
      <c r="AM154" s="116"/>
      <c r="AN154" s="116"/>
      <c r="AO154" s="116"/>
      <c r="AP154" s="88">
        <f t="shared" si="11"/>
        <v>22</v>
      </c>
      <c r="AQ154" s="89">
        <f t="shared" si="12"/>
        <v>25.618181818181814</v>
      </c>
      <c r="AR154" s="89">
        <f>IFERROR(VLOOKUP(A154,Climatologia!A:U,9+$E$2,FALSE),"")</f>
        <v>22.923826107655049</v>
      </c>
      <c r="AS154" s="89">
        <f t="shared" si="13"/>
        <v>2.6943557105267644</v>
      </c>
      <c r="AT154" s="90">
        <f t="shared" si="14"/>
        <v>24.2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17.600000000000001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33811</v>
      </c>
      <c r="AW154" s="122">
        <f t="shared" si="15"/>
        <v>6.5999999999999979</v>
      </c>
    </row>
    <row r="155" spans="1:49" ht="14.25" customHeight="1" x14ac:dyDescent="0.2">
      <c r="A155" s="120">
        <v>28035010</v>
      </c>
      <c r="B155" s="52" t="s">
        <v>207</v>
      </c>
      <c r="C155" s="52" t="s">
        <v>199</v>
      </c>
      <c r="D155" s="53">
        <v>-73.547388889999993</v>
      </c>
      <c r="E155" s="53">
        <v>10.190666670000001</v>
      </c>
      <c r="F155" s="48">
        <v>70</v>
      </c>
      <c r="G155" s="46">
        <v>20</v>
      </c>
      <c r="H155" s="46">
        <v>20001</v>
      </c>
      <c r="I155" s="55" t="s">
        <v>44</v>
      </c>
      <c r="J155" s="55" t="s">
        <v>45</v>
      </c>
      <c r="K155" s="51">
        <v>27.6</v>
      </c>
      <c r="L155" s="51">
        <v>28.2</v>
      </c>
      <c r="M155" s="51">
        <v>26.8</v>
      </c>
      <c r="N155" s="51">
        <v>26</v>
      </c>
      <c r="O155" s="51">
        <v>27</v>
      </c>
      <c r="P155" s="51">
        <v>24.4</v>
      </c>
      <c r="Q155" s="51">
        <v>27.6</v>
      </c>
      <c r="R155" s="51"/>
      <c r="S155" s="51"/>
      <c r="T155" s="51">
        <v>25.4</v>
      </c>
      <c r="U155" s="51">
        <v>25.8</v>
      </c>
      <c r="V155" s="51">
        <v>27.6</v>
      </c>
      <c r="W155" s="51">
        <v>26.8</v>
      </c>
      <c r="X155" s="51">
        <v>27</v>
      </c>
      <c r="Y155" s="51">
        <v>27</v>
      </c>
      <c r="Z155" s="111">
        <v>28.4</v>
      </c>
      <c r="AA155" s="51">
        <v>27.8</v>
      </c>
      <c r="AB155" s="51">
        <v>29</v>
      </c>
      <c r="AC155" s="51">
        <v>28.8</v>
      </c>
      <c r="AD155" s="51">
        <v>27.2</v>
      </c>
      <c r="AE155" s="51">
        <v>24.2</v>
      </c>
      <c r="AF155" s="51">
        <v>24.2</v>
      </c>
      <c r="AG155" s="51">
        <v>26.6</v>
      </c>
      <c r="AH155" s="51">
        <v>24.6</v>
      </c>
      <c r="AI155" s="51">
        <v>25.4</v>
      </c>
      <c r="AJ155" s="51">
        <v>27.6</v>
      </c>
      <c r="AK155" s="51">
        <v>24.6</v>
      </c>
      <c r="AL155" s="51"/>
      <c r="AM155" s="51"/>
      <c r="AN155" s="51"/>
      <c r="AO155" s="51"/>
      <c r="AP155" s="88">
        <f t="shared" si="11"/>
        <v>25</v>
      </c>
      <c r="AQ155" s="89">
        <f t="shared" si="12"/>
        <v>26.624000000000006</v>
      </c>
      <c r="AR155" s="89">
        <f>IFERROR(VLOOKUP(A155,Climatologia!A:U,9+$E$2,FALSE),"")</f>
        <v>23.82157476757439</v>
      </c>
      <c r="AS155" s="89">
        <f t="shared" si="13"/>
        <v>2.802425232425616</v>
      </c>
      <c r="AT155" s="90">
        <f t="shared" si="14"/>
        <v>24.2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18.2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155" s="122">
        <f t="shared" si="15"/>
        <v>6</v>
      </c>
    </row>
    <row r="156" spans="1:49" ht="14.25" customHeight="1" x14ac:dyDescent="0.2">
      <c r="A156" s="120">
        <v>28035020</v>
      </c>
      <c r="B156" s="52" t="s">
        <v>208</v>
      </c>
      <c r="C156" s="52" t="s">
        <v>199</v>
      </c>
      <c r="D156" s="53">
        <v>-73.319444439999998</v>
      </c>
      <c r="E156" s="53">
        <v>10.363055559999999</v>
      </c>
      <c r="F156" s="48">
        <v>110</v>
      </c>
      <c r="G156" s="46">
        <v>20</v>
      </c>
      <c r="H156" s="46">
        <v>20001</v>
      </c>
      <c r="I156" s="55" t="s">
        <v>44</v>
      </c>
      <c r="J156" s="55" t="s">
        <v>45</v>
      </c>
      <c r="K156" s="51">
        <v>28.4</v>
      </c>
      <c r="L156" s="51">
        <v>27.4</v>
      </c>
      <c r="M156" s="51">
        <v>27.6</v>
      </c>
      <c r="N156" s="51">
        <v>26.6</v>
      </c>
      <c r="O156" s="51">
        <v>26.4</v>
      </c>
      <c r="P156" s="51">
        <v>25.6</v>
      </c>
      <c r="Q156" s="51">
        <v>26.8</v>
      </c>
      <c r="R156" s="51">
        <v>28.4</v>
      </c>
      <c r="S156" s="51">
        <v>28.4</v>
      </c>
      <c r="T156" s="51">
        <v>27.6</v>
      </c>
      <c r="U156" s="51">
        <v>27.6</v>
      </c>
      <c r="V156" s="51">
        <v>27.4</v>
      </c>
      <c r="W156" s="51">
        <v>25.6</v>
      </c>
      <c r="X156" s="51">
        <v>26.6</v>
      </c>
      <c r="Y156" s="51">
        <v>27.6</v>
      </c>
      <c r="Z156" s="111">
        <v>27.4</v>
      </c>
      <c r="AA156" s="51">
        <v>27.6</v>
      </c>
      <c r="AB156" s="51">
        <v>27.8</v>
      </c>
      <c r="AC156" s="51">
        <v>28.4</v>
      </c>
      <c r="AD156" s="51"/>
      <c r="AE156" s="51"/>
      <c r="AF156" s="51"/>
      <c r="AG156" s="51">
        <v>26.6</v>
      </c>
      <c r="AH156" s="51">
        <v>24.4</v>
      </c>
      <c r="AI156" s="51">
        <v>25.4</v>
      </c>
      <c r="AJ156" s="51">
        <v>27.2</v>
      </c>
      <c r="AK156" s="51">
        <v>24.8</v>
      </c>
      <c r="AL156" s="51"/>
      <c r="AM156" s="51"/>
      <c r="AN156" s="51"/>
      <c r="AO156" s="51"/>
      <c r="AP156" s="88">
        <f t="shared" si="11"/>
        <v>24</v>
      </c>
      <c r="AQ156" s="89">
        <f t="shared" si="12"/>
        <v>26.983333333333338</v>
      </c>
      <c r="AR156" s="89">
        <f>IFERROR(VLOOKUP(A156,Climatologia!A:U,9+$E$2,FALSE),"")</f>
        <v>23.447051220933311</v>
      </c>
      <c r="AS156" s="89">
        <f t="shared" si="13"/>
        <v>3.536282112400027</v>
      </c>
      <c r="AT156" s="90">
        <f t="shared" si="14"/>
        <v>24.4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16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156" s="122">
        <f t="shared" si="15"/>
        <v>8.3999999999999986</v>
      </c>
    </row>
    <row r="157" spans="1:49" ht="14.25" customHeight="1" x14ac:dyDescent="0.2">
      <c r="A157" s="120">
        <v>12015020</v>
      </c>
      <c r="B157" s="52" t="s">
        <v>103</v>
      </c>
      <c r="C157" s="52" t="s">
        <v>102</v>
      </c>
      <c r="D157" s="53">
        <v>-76.65133333</v>
      </c>
      <c r="E157" s="53">
        <v>7.8259166670000004</v>
      </c>
      <c r="F157" s="48">
        <v>43</v>
      </c>
      <c r="G157" s="46">
        <v>5</v>
      </c>
      <c r="H157" s="46">
        <v>5045</v>
      </c>
      <c r="I157" s="55" t="s">
        <v>58</v>
      </c>
      <c r="J157" s="55" t="s">
        <v>104</v>
      </c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0</v>
      </c>
      <c r="AQ157" s="89" t="str">
        <f t="shared" si="12"/>
        <v/>
      </c>
      <c r="AR157" s="89">
        <f>IFERROR(VLOOKUP(A157,Climatologia!A:U,9+$E$2,FALSE),"")</f>
        <v>23.317238592830801</v>
      </c>
      <c r="AS157" s="89" t="str">
        <f t="shared" si="13"/>
        <v/>
      </c>
      <c r="AT157" s="90" t="str">
        <f t="shared" si="14"/>
        <v/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18.2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157" s="122" t="str">
        <f t="shared" si="15"/>
        <v>NA</v>
      </c>
    </row>
    <row r="158" spans="1:49" ht="14.25" customHeight="1" x14ac:dyDescent="0.2">
      <c r="A158" s="120">
        <v>26205080</v>
      </c>
      <c r="B158" s="52" t="s">
        <v>113</v>
      </c>
      <c r="C158" s="52" t="s">
        <v>102</v>
      </c>
      <c r="D158" s="53">
        <v>-75.700944440000001</v>
      </c>
      <c r="E158" s="53">
        <v>6.3410555559999997</v>
      </c>
      <c r="F158" s="48">
        <v>1737</v>
      </c>
      <c r="G158" s="46">
        <v>5</v>
      </c>
      <c r="H158" s="46">
        <v>5001</v>
      </c>
      <c r="I158" s="55" t="s">
        <v>58</v>
      </c>
      <c r="J158" s="55" t="s">
        <v>61</v>
      </c>
      <c r="K158" s="51">
        <v>18</v>
      </c>
      <c r="L158" s="51">
        <v>17.399999999999999</v>
      </c>
      <c r="M158" s="51">
        <v>17</v>
      </c>
      <c r="N158" s="51">
        <v>16.399999999999999</v>
      </c>
      <c r="O158" s="51">
        <v>16</v>
      </c>
      <c r="P158" s="51">
        <v>17.2</v>
      </c>
      <c r="Q158" s="51">
        <v>18</v>
      </c>
      <c r="R158" s="51">
        <v>18.399999999999999</v>
      </c>
      <c r="S158" s="51">
        <v>18</v>
      </c>
      <c r="T158" s="51">
        <v>17</v>
      </c>
      <c r="U158" s="51">
        <v>16.399999999999999</v>
      </c>
      <c r="V158" s="51">
        <v>16.2</v>
      </c>
      <c r="W158" s="51">
        <v>16.399999999999999</v>
      </c>
      <c r="X158" s="51">
        <v>16.8</v>
      </c>
      <c r="Y158" s="51">
        <v>17.399999999999999</v>
      </c>
      <c r="Z158" s="111">
        <v>17.2</v>
      </c>
      <c r="AA158" s="51">
        <v>17.8</v>
      </c>
      <c r="AB158" s="51">
        <v>18</v>
      </c>
      <c r="AC158" s="51">
        <v>18.2</v>
      </c>
      <c r="AD158" s="51">
        <v>16.2</v>
      </c>
      <c r="AE158" s="51">
        <v>16.2</v>
      </c>
      <c r="AF158" s="51">
        <v>16.399999999999999</v>
      </c>
      <c r="AG158" s="51">
        <v>15.8</v>
      </c>
      <c r="AH158" s="51">
        <v>16.2</v>
      </c>
      <c r="AI158" s="51">
        <v>16.2</v>
      </c>
      <c r="AJ158" s="51">
        <v>15.6</v>
      </c>
      <c r="AK158" s="51">
        <v>16</v>
      </c>
      <c r="AL158" s="51"/>
      <c r="AM158" s="51"/>
      <c r="AN158" s="51"/>
      <c r="AO158" s="51"/>
      <c r="AP158" s="88">
        <f t="shared" si="11"/>
        <v>27</v>
      </c>
      <c r="AQ158" s="89">
        <f t="shared" si="12"/>
        <v>16.903703703703702</v>
      </c>
      <c r="AR158" s="89" t="str">
        <f>IFERROR(VLOOKUP(A158,Climatologia!A:U,9+$E$2,FALSE),"")</f>
        <v/>
      </c>
      <c r="AS158" s="89" t="str">
        <f t="shared" si="13"/>
        <v/>
      </c>
      <c r="AT158" s="90">
        <f t="shared" si="14"/>
        <v>15.6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14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158" s="122">
        <f t="shared" si="15"/>
        <v>1.5999999999999996</v>
      </c>
    </row>
    <row r="159" spans="1:49" ht="14.25" customHeight="1" x14ac:dyDescent="0.2">
      <c r="A159" s="120">
        <v>12045010</v>
      </c>
      <c r="B159" s="52" t="s">
        <v>118</v>
      </c>
      <c r="C159" s="52" t="s">
        <v>119</v>
      </c>
      <c r="D159" s="53">
        <v>-76.431944439999995</v>
      </c>
      <c r="E159" s="53">
        <v>8.846944444</v>
      </c>
      <c r="F159" s="48">
        <v>4</v>
      </c>
      <c r="G159" s="46">
        <v>5</v>
      </c>
      <c r="H159" s="46">
        <v>5051</v>
      </c>
      <c r="I159" s="55" t="s">
        <v>58</v>
      </c>
      <c r="J159" s="55" t="s">
        <v>118</v>
      </c>
      <c r="K159" s="51">
        <v>26.8</v>
      </c>
      <c r="L159" s="51">
        <v>26.2</v>
      </c>
      <c r="M159" s="51">
        <v>22.8</v>
      </c>
      <c r="N159" s="51">
        <v>22.6</v>
      </c>
      <c r="O159" s="51">
        <v>23</v>
      </c>
      <c r="P159" s="51">
        <v>26.2</v>
      </c>
      <c r="Q159" s="51">
        <v>26</v>
      </c>
      <c r="R159" s="51">
        <v>26.8</v>
      </c>
      <c r="S159" s="51">
        <v>22.4</v>
      </c>
      <c r="T159" s="51">
        <v>22.8</v>
      </c>
      <c r="U159" s="51">
        <v>26</v>
      </c>
      <c r="V159" s="51">
        <v>24.2</v>
      </c>
      <c r="W159" s="51">
        <v>22.6</v>
      </c>
      <c r="X159" s="51">
        <v>24.8</v>
      </c>
      <c r="Y159" s="51">
        <v>26.8</v>
      </c>
      <c r="Z159" s="111">
        <v>27</v>
      </c>
      <c r="AA159" s="51">
        <v>26.8</v>
      </c>
      <c r="AB159" s="51">
        <v>26.8</v>
      </c>
      <c r="AC159" s="51">
        <v>25</v>
      </c>
      <c r="AD159" s="51">
        <v>25</v>
      </c>
      <c r="AE159" s="51">
        <v>24</v>
      </c>
      <c r="AF159" s="51">
        <v>25</v>
      </c>
      <c r="AG159" s="51">
        <v>24.8</v>
      </c>
      <c r="AH159" s="51">
        <v>23.2</v>
      </c>
      <c r="AI159" s="51">
        <v>23.8</v>
      </c>
      <c r="AJ159" s="51">
        <v>24.2</v>
      </c>
      <c r="AK159" s="51">
        <v>24</v>
      </c>
      <c r="AL159" s="51"/>
      <c r="AM159" s="51"/>
      <c r="AN159" s="51"/>
      <c r="AO159" s="51"/>
      <c r="AP159" s="88">
        <f t="shared" si="11"/>
        <v>27</v>
      </c>
      <c r="AQ159" s="89">
        <f t="shared" si="12"/>
        <v>24.800000000000004</v>
      </c>
      <c r="AR159" s="89" t="str">
        <f>IFERROR(VLOOKUP(A159,Climatologia!A:U,9+$E$2,FALSE),"")</f>
        <v/>
      </c>
      <c r="AS159" s="89" t="str">
        <f t="shared" si="13"/>
        <v/>
      </c>
      <c r="AT159" s="90">
        <f t="shared" si="14"/>
        <v>22.4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18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159" s="122">
        <f t="shared" si="15"/>
        <v>4.3999999999999986</v>
      </c>
    </row>
    <row r="160" spans="1:49" ht="14.25" customHeight="1" x14ac:dyDescent="0.2">
      <c r="A160" s="120">
        <v>13075020</v>
      </c>
      <c r="B160" s="52" t="s">
        <v>126</v>
      </c>
      <c r="C160" s="52" t="s">
        <v>119</v>
      </c>
      <c r="D160" s="53">
        <v>-75.582222220000006</v>
      </c>
      <c r="E160" s="53">
        <v>8.9138888890000008</v>
      </c>
      <c r="F160" s="48">
        <v>40</v>
      </c>
      <c r="G160" s="46">
        <v>23</v>
      </c>
      <c r="H160" s="46">
        <v>23189</v>
      </c>
      <c r="I160" s="55" t="s">
        <v>47</v>
      </c>
      <c r="J160" s="55" t="s">
        <v>127</v>
      </c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0</v>
      </c>
      <c r="AQ160" s="89" t="str">
        <f t="shared" si="12"/>
        <v/>
      </c>
      <c r="AR160" s="89">
        <f>IFERROR(VLOOKUP(A160,Climatologia!A:U,9+$E$2,FALSE),"")</f>
        <v>23.564830290111161</v>
      </c>
      <c r="AS160" s="89" t="str">
        <f t="shared" si="13"/>
        <v/>
      </c>
      <c r="AT160" s="90" t="str">
        <f t="shared" si="14"/>
        <v/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160" s="122" t="str">
        <f t="shared" si="15"/>
        <v>NA</v>
      </c>
    </row>
    <row r="161" spans="1:49" ht="14.25" customHeight="1" x14ac:dyDescent="0.2">
      <c r="A161" s="120">
        <v>13085030</v>
      </c>
      <c r="B161" s="52" t="s">
        <v>128</v>
      </c>
      <c r="C161" s="52" t="s">
        <v>119</v>
      </c>
      <c r="D161" s="53">
        <v>-75.95</v>
      </c>
      <c r="E161" s="53">
        <v>9.3699999999999992</v>
      </c>
      <c r="F161" s="48">
        <v>22</v>
      </c>
      <c r="G161" s="46">
        <v>23</v>
      </c>
      <c r="H161" s="46">
        <v>23675</v>
      </c>
      <c r="I161" s="55" t="s">
        <v>47</v>
      </c>
      <c r="J161" s="55" t="s">
        <v>128</v>
      </c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0</v>
      </c>
      <c r="AQ161" s="89" t="str">
        <f t="shared" si="12"/>
        <v/>
      </c>
      <c r="AR161" s="89">
        <f>IFERROR(VLOOKUP(A161,Climatologia!A:U,9+$E$2,FALSE),"")</f>
        <v>22.25813524492235</v>
      </c>
      <c r="AS161" s="89" t="str">
        <f t="shared" si="13"/>
        <v/>
      </c>
      <c r="AT161" s="90" t="str">
        <f t="shared" si="14"/>
        <v/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17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161" s="122" t="str">
        <f t="shared" si="15"/>
        <v>NA</v>
      </c>
    </row>
    <row r="162" spans="1:49" ht="14.25" customHeight="1" x14ac:dyDescent="0.2">
      <c r="A162" s="120">
        <v>25025160</v>
      </c>
      <c r="B162" s="52" t="s">
        <v>132</v>
      </c>
      <c r="C162" s="52" t="s">
        <v>119</v>
      </c>
      <c r="D162" s="53">
        <v>-75.402777779999994</v>
      </c>
      <c r="E162" s="53">
        <v>8.0038888890000006</v>
      </c>
      <c r="F162" s="48">
        <v>50</v>
      </c>
      <c r="G162" s="46">
        <v>23</v>
      </c>
      <c r="H162" s="46">
        <v>23466</v>
      </c>
      <c r="I162" s="55" t="s">
        <v>47</v>
      </c>
      <c r="J162" s="55" t="s">
        <v>133</v>
      </c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0</v>
      </c>
      <c r="AQ162" s="89" t="str">
        <f t="shared" si="12"/>
        <v/>
      </c>
      <c r="AR162" s="89">
        <f>IFERROR(VLOOKUP(A162,Climatologia!A:U,9+$E$2,FALSE),"")</f>
        <v>22.959666935925281</v>
      </c>
      <c r="AS162" s="89" t="str">
        <f t="shared" si="13"/>
        <v/>
      </c>
      <c r="AT162" s="90" t="str">
        <f t="shared" si="14"/>
        <v/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19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162" s="122" t="str">
        <f t="shared" si="15"/>
        <v>NA</v>
      </c>
    </row>
    <row r="163" spans="1:49" ht="14.25" customHeight="1" x14ac:dyDescent="0.2">
      <c r="A163" s="120">
        <v>25025210</v>
      </c>
      <c r="B163" s="52" t="s">
        <v>136</v>
      </c>
      <c r="C163" s="52" t="s">
        <v>119</v>
      </c>
      <c r="D163" s="53">
        <v>-74.457777780000001</v>
      </c>
      <c r="E163" s="53">
        <v>8.9113888889999995</v>
      </c>
      <c r="F163" s="48">
        <v>10</v>
      </c>
      <c r="G163" s="46">
        <v>13</v>
      </c>
      <c r="H163" s="46">
        <v>13549</v>
      </c>
      <c r="I163" s="55" t="s">
        <v>35</v>
      </c>
      <c r="J163" s="55" t="s">
        <v>136</v>
      </c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0</v>
      </c>
      <c r="AQ163" s="89" t="str">
        <f t="shared" si="12"/>
        <v/>
      </c>
      <c r="AR163" s="89" t="str">
        <f>IFERROR(VLOOKUP(A163,Climatologia!A:U,9+$E$2,FALSE),"")</f>
        <v/>
      </c>
      <c r="AS163" s="89" t="str">
        <f t="shared" si="13"/>
        <v/>
      </c>
      <c r="AT163" s="90" t="str">
        <f t="shared" si="14"/>
        <v/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20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163" s="122" t="str">
        <f t="shared" si="15"/>
        <v>NA</v>
      </c>
    </row>
    <row r="164" spans="1:49" ht="14.25" customHeight="1" x14ac:dyDescent="0.2">
      <c r="A164" s="120">
        <v>29015000</v>
      </c>
      <c r="B164" s="52" t="s">
        <v>141</v>
      </c>
      <c r="C164" s="52" t="s">
        <v>119</v>
      </c>
      <c r="D164" s="53">
        <v>-74.976637999999994</v>
      </c>
      <c r="E164" s="53">
        <v>10.034606999999999</v>
      </c>
      <c r="F164" s="48">
        <v>75</v>
      </c>
      <c r="G164" s="46">
        <v>13</v>
      </c>
      <c r="H164" s="46">
        <v>13248</v>
      </c>
      <c r="I164" s="55" t="s">
        <v>35</v>
      </c>
      <c r="J164" s="55" t="s">
        <v>142</v>
      </c>
      <c r="K164" s="51">
        <v>25.8</v>
      </c>
      <c r="L164" s="51">
        <v>25.4</v>
      </c>
      <c r="M164" s="51">
        <v>25.8</v>
      </c>
      <c r="N164" s="51"/>
      <c r="O164" s="51"/>
      <c r="P164" s="51"/>
      <c r="Q164" s="51">
        <v>25</v>
      </c>
      <c r="R164" s="51">
        <v>25.6</v>
      </c>
      <c r="S164" s="51"/>
      <c r="T164" s="51"/>
      <c r="U164" s="51">
        <v>25.2</v>
      </c>
      <c r="V164" s="51">
        <v>25.2</v>
      </c>
      <c r="W164" s="51">
        <v>25</v>
      </c>
      <c r="X164" s="51">
        <v>24.4</v>
      </c>
      <c r="Y164" s="51">
        <v>25.2</v>
      </c>
      <c r="Z164" s="111">
        <v>24.8</v>
      </c>
      <c r="AA164" s="51">
        <v>24.2</v>
      </c>
      <c r="AB164" s="51">
        <v>24.8</v>
      </c>
      <c r="AC164" s="51">
        <v>26.2</v>
      </c>
      <c r="AD164" s="51">
        <v>26.4</v>
      </c>
      <c r="AE164" s="51">
        <v>24.4</v>
      </c>
      <c r="AF164" s="51">
        <v>25.4</v>
      </c>
      <c r="AG164" s="51">
        <v>24.2</v>
      </c>
      <c r="AH164" s="51">
        <v>25.4</v>
      </c>
      <c r="AI164" s="51">
        <v>25</v>
      </c>
      <c r="AJ164" s="51">
        <v>25</v>
      </c>
      <c r="AK164" s="51">
        <v>22.8</v>
      </c>
      <c r="AL164" s="51"/>
      <c r="AM164" s="51"/>
      <c r="AN164" s="51"/>
      <c r="AO164" s="51"/>
      <c r="AP164" s="88">
        <f t="shared" si="11"/>
        <v>22</v>
      </c>
      <c r="AQ164" s="89">
        <f t="shared" si="12"/>
        <v>25.054545454545448</v>
      </c>
      <c r="AR164" s="89" t="str">
        <f>IFERROR(VLOOKUP(A164,Climatologia!A:U,9+$E$2,FALSE),"")</f>
        <v/>
      </c>
      <c r="AS164" s="89" t="str">
        <f t="shared" si="13"/>
        <v/>
      </c>
      <c r="AT164" s="90">
        <f t="shared" si="14"/>
        <v>22.8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19.399999999999999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164" s="122">
        <f t="shared" si="15"/>
        <v>3.4000000000000021</v>
      </c>
    </row>
    <row r="165" spans="1:49" ht="14.25" customHeight="1" x14ac:dyDescent="0.2">
      <c r="A165" s="120">
        <v>29035000</v>
      </c>
      <c r="B165" s="52" t="s">
        <v>143</v>
      </c>
      <c r="C165" s="52" t="s">
        <v>119</v>
      </c>
      <c r="D165" s="53">
        <v>-75.278277779999996</v>
      </c>
      <c r="E165" s="53">
        <v>10.142583330000001</v>
      </c>
      <c r="F165" s="48">
        <v>10</v>
      </c>
      <c r="G165" s="46">
        <v>13</v>
      </c>
      <c r="H165" s="46">
        <v>13052</v>
      </c>
      <c r="I165" s="55" t="s">
        <v>35</v>
      </c>
      <c r="J165" s="55" t="s">
        <v>144</v>
      </c>
      <c r="K165" s="51">
        <v>22.2</v>
      </c>
      <c r="L165" s="51">
        <v>27.4</v>
      </c>
      <c r="M165" s="51">
        <v>21.5</v>
      </c>
      <c r="N165" s="51">
        <v>22</v>
      </c>
      <c r="O165" s="51">
        <v>22.2</v>
      </c>
      <c r="P165" s="51">
        <v>22.4</v>
      </c>
      <c r="Q165" s="51">
        <v>22.8</v>
      </c>
      <c r="R165" s="51">
        <v>22.2</v>
      </c>
      <c r="S165" s="51">
        <v>23</v>
      </c>
      <c r="T165" s="51">
        <v>23.6</v>
      </c>
      <c r="U165" s="51">
        <v>24.2</v>
      </c>
      <c r="V165" s="51">
        <v>24</v>
      </c>
      <c r="W165" s="51">
        <v>23.2</v>
      </c>
      <c r="X165" s="51">
        <v>24.4</v>
      </c>
      <c r="Y165" s="51">
        <v>23.8</v>
      </c>
      <c r="Z165" s="111">
        <v>24</v>
      </c>
      <c r="AA165" s="51">
        <v>23.6</v>
      </c>
      <c r="AB165" s="51">
        <v>23.4</v>
      </c>
      <c r="AC165" s="51">
        <v>24.2</v>
      </c>
      <c r="AD165" s="51">
        <v>23.6</v>
      </c>
      <c r="AE165" s="51">
        <v>23.2</v>
      </c>
      <c r="AF165" s="51">
        <v>21</v>
      </c>
      <c r="AG165" s="51">
        <v>20.8</v>
      </c>
      <c r="AH165" s="51">
        <v>20.2</v>
      </c>
      <c r="AI165" s="51">
        <v>22</v>
      </c>
      <c r="AJ165" s="51">
        <v>21.6</v>
      </c>
      <c r="AK165" s="51">
        <v>21</v>
      </c>
      <c r="AL165" s="51"/>
      <c r="AM165" s="51"/>
      <c r="AN165" s="51"/>
      <c r="AO165" s="51"/>
      <c r="AP165" s="88">
        <f t="shared" si="11"/>
        <v>27</v>
      </c>
      <c r="AQ165" s="89">
        <f t="shared" si="12"/>
        <v>22.87037037037037</v>
      </c>
      <c r="AR165" s="89" t="str">
        <f>IFERROR(VLOOKUP(A165,Climatologia!A:U,9+$E$2,FALSE),"")</f>
        <v/>
      </c>
      <c r="AS165" s="89" t="str">
        <f t="shared" si="13"/>
        <v/>
      </c>
      <c r="AT165" s="90">
        <f t="shared" si="14"/>
        <v>20.2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20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165" s="122">
        <f t="shared" si="15"/>
        <v>0.19999999999999929</v>
      </c>
    </row>
    <row r="166" spans="1:49" ht="14.25" customHeight="1" x14ac:dyDescent="0.2">
      <c r="A166" s="120">
        <v>29035030</v>
      </c>
      <c r="B166" s="52" t="s">
        <v>145</v>
      </c>
      <c r="C166" s="52" t="s">
        <v>119</v>
      </c>
      <c r="D166" s="53">
        <v>-75.326301000000001</v>
      </c>
      <c r="E166" s="53">
        <v>9.8796339999999994</v>
      </c>
      <c r="F166" s="48">
        <v>60</v>
      </c>
      <c r="G166" s="46">
        <v>13</v>
      </c>
      <c r="H166" s="46">
        <v>13442</v>
      </c>
      <c r="I166" s="55" t="s">
        <v>35</v>
      </c>
      <c r="J166" s="55" t="s">
        <v>146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 t="str">
        <f>IFERROR(VLOOKUP(A166,Climatologia!A:U,9+$E$2,FALSE),"")</f>
        <v/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18.600000000000001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166" s="122" t="str">
        <f t="shared" si="15"/>
        <v>NA</v>
      </c>
    </row>
    <row r="167" spans="1:49" ht="14.25" customHeight="1" x14ac:dyDescent="0.2">
      <c r="A167" s="120">
        <v>29035080</v>
      </c>
      <c r="B167" s="52" t="s">
        <v>147</v>
      </c>
      <c r="C167" s="52" t="s">
        <v>119</v>
      </c>
      <c r="D167" s="53">
        <v>-74.954725999999994</v>
      </c>
      <c r="E167" s="53">
        <v>10.453965999999999</v>
      </c>
      <c r="F167" s="48">
        <v>10</v>
      </c>
      <c r="G167" s="46">
        <v>8</v>
      </c>
      <c r="H167" s="46">
        <v>8436</v>
      </c>
      <c r="I167" s="55" t="s">
        <v>38</v>
      </c>
      <c r="J167" s="55" t="s">
        <v>148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24.29282246073495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18.8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167" s="122" t="str">
        <f t="shared" si="15"/>
        <v>NA</v>
      </c>
    </row>
    <row r="168" spans="1:49" ht="14.25" customHeight="1" x14ac:dyDescent="0.2">
      <c r="A168" s="120">
        <v>31095030</v>
      </c>
      <c r="B168" s="52" t="s">
        <v>154</v>
      </c>
      <c r="C168" s="52" t="s">
        <v>151</v>
      </c>
      <c r="D168" s="53">
        <v>-67.919111110000003</v>
      </c>
      <c r="E168" s="53">
        <v>3.874444</v>
      </c>
      <c r="F168" s="48">
        <v>98</v>
      </c>
      <c r="G168" s="46">
        <v>94</v>
      </c>
      <c r="H168" s="46">
        <v>94001</v>
      </c>
      <c r="I168" s="55" t="s">
        <v>155</v>
      </c>
      <c r="J168" s="55" t="s">
        <v>156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22.316915376058869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17.399999999999999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68" s="122" t="str">
        <f t="shared" si="15"/>
        <v>NA</v>
      </c>
    </row>
    <row r="169" spans="1:49" ht="14.25" customHeight="1" x14ac:dyDescent="0.2">
      <c r="A169" s="120">
        <v>32075050</v>
      </c>
      <c r="B169" s="52" t="s">
        <v>158</v>
      </c>
      <c r="C169" s="52" t="s">
        <v>151</v>
      </c>
      <c r="D169" s="53">
        <v>-74.043000000000006</v>
      </c>
      <c r="E169" s="53">
        <v>3.38008</v>
      </c>
      <c r="F169" s="48">
        <v>556</v>
      </c>
      <c r="G169" s="46">
        <v>50</v>
      </c>
      <c r="H169" s="46">
        <v>50330</v>
      </c>
      <c r="I169" s="55" t="s">
        <v>96</v>
      </c>
      <c r="J169" s="55" t="s">
        <v>158</v>
      </c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0</v>
      </c>
      <c r="AQ169" s="89" t="str">
        <f t="shared" si="12"/>
        <v/>
      </c>
      <c r="AR169" s="89">
        <f>IFERROR(VLOOKUP(A169,Climatologia!A:U,9+$E$2,FALSE),"")</f>
        <v>19.17653476427855</v>
      </c>
      <c r="AS169" s="89" t="str">
        <f t="shared" si="13"/>
        <v/>
      </c>
      <c r="AT169" s="90" t="str">
        <f t="shared" si="14"/>
        <v/>
      </c>
      <c r="AU169" s="90" t="str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/>
      </c>
      <c r="AV169" s="91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9" s="122" t="str">
        <f t="shared" si="15"/>
        <v>NA</v>
      </c>
    </row>
    <row r="170" spans="1:49" ht="14.25" customHeight="1" x14ac:dyDescent="0.2">
      <c r="A170" s="120">
        <v>32155010</v>
      </c>
      <c r="B170" s="52" t="s">
        <v>159</v>
      </c>
      <c r="C170" s="52" t="s">
        <v>151</v>
      </c>
      <c r="D170" s="53">
        <v>-70.475138999999999</v>
      </c>
      <c r="E170" s="53">
        <v>2.8117779999999999</v>
      </c>
      <c r="F170" s="48">
        <v>154</v>
      </c>
      <c r="G170" s="46">
        <v>94</v>
      </c>
      <c r="H170" s="46">
        <v>94343</v>
      </c>
      <c r="I170" s="55" t="s">
        <v>155</v>
      </c>
      <c r="J170" s="55" t="s">
        <v>160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21.93480657520702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17.399999999999999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170" s="122" t="str">
        <f t="shared" si="15"/>
        <v>NA</v>
      </c>
    </row>
    <row r="171" spans="1:49" ht="14.25" customHeight="1" x14ac:dyDescent="0.2">
      <c r="A171" s="120">
        <v>35035020</v>
      </c>
      <c r="B171" s="52" t="s">
        <v>95</v>
      </c>
      <c r="C171" s="52" t="s">
        <v>151</v>
      </c>
      <c r="D171" s="53">
        <v>-73.617582999999996</v>
      </c>
      <c r="E171" s="53">
        <v>4.1619169999999999</v>
      </c>
      <c r="F171" s="48">
        <v>420</v>
      </c>
      <c r="G171" s="46">
        <v>50</v>
      </c>
      <c r="H171" s="46">
        <v>50001</v>
      </c>
      <c r="I171" s="55" t="s">
        <v>96</v>
      </c>
      <c r="J171" s="55" t="s">
        <v>97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20.397956989247309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16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171" s="122" t="str">
        <f t="shared" si="15"/>
        <v>NA</v>
      </c>
    </row>
    <row r="172" spans="1:49" ht="14.25" customHeight="1" x14ac:dyDescent="0.2">
      <c r="A172" s="120">
        <v>3502500006</v>
      </c>
      <c r="B172" s="52" t="s">
        <v>176</v>
      </c>
      <c r="C172" s="52" t="s">
        <v>151</v>
      </c>
      <c r="D172" s="53">
        <v>-73.242963888999995</v>
      </c>
      <c r="E172" s="53">
        <v>3.9325472220000002</v>
      </c>
      <c r="F172" s="48">
        <v>277</v>
      </c>
      <c r="G172" s="46">
        <v>50</v>
      </c>
      <c r="H172" s="46">
        <v>50680</v>
      </c>
      <c r="I172" s="55" t="s">
        <v>96</v>
      </c>
      <c r="J172" s="55" t="s">
        <v>177</v>
      </c>
      <c r="K172" s="51">
        <v>21.6</v>
      </c>
      <c r="L172" s="51">
        <v>21.6</v>
      </c>
      <c r="M172" s="51">
        <v>21</v>
      </c>
      <c r="N172" s="51">
        <v>21.4</v>
      </c>
      <c r="O172" s="51"/>
      <c r="P172" s="51">
        <v>21.3</v>
      </c>
      <c r="Q172" s="51">
        <v>22</v>
      </c>
      <c r="R172" s="51">
        <v>21.2</v>
      </c>
      <c r="S172" s="51">
        <v>21.6</v>
      </c>
      <c r="T172" s="51">
        <v>20.8</v>
      </c>
      <c r="U172" s="51">
        <v>21.8</v>
      </c>
      <c r="V172" s="51">
        <v>22</v>
      </c>
      <c r="W172" s="51"/>
      <c r="X172" s="51">
        <v>20.399999999999999</v>
      </c>
      <c r="Y172" s="51">
        <v>21.8</v>
      </c>
      <c r="Z172" s="111">
        <v>22.2</v>
      </c>
      <c r="AA172" s="51">
        <v>21.6</v>
      </c>
      <c r="AB172" s="51">
        <v>21.8</v>
      </c>
      <c r="AC172" s="51"/>
      <c r="AD172" s="51">
        <v>21.4</v>
      </c>
      <c r="AE172" s="51">
        <v>21.2</v>
      </c>
      <c r="AF172" s="51">
        <v>21.2</v>
      </c>
      <c r="AG172" s="51">
        <v>21.2</v>
      </c>
      <c r="AH172" s="51">
        <v>19.399999999999999</v>
      </c>
      <c r="AI172" s="51">
        <v>21</v>
      </c>
      <c r="AJ172" s="51"/>
      <c r="AK172" s="51"/>
      <c r="AL172" s="51"/>
      <c r="AM172" s="51"/>
      <c r="AN172" s="51"/>
      <c r="AO172" s="51"/>
      <c r="AP172" s="88">
        <f t="shared" si="11"/>
        <v>22</v>
      </c>
      <c r="AQ172" s="89">
        <f t="shared" si="12"/>
        <v>21.34090909090909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19.399999999999999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19.2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172" s="122">
        <f t="shared" si="15"/>
        <v>0.19999999999999929</v>
      </c>
    </row>
    <row r="173" spans="1:49" ht="14.25" customHeight="1" x14ac:dyDescent="0.2">
      <c r="A173" s="120">
        <v>44045010</v>
      </c>
      <c r="B173" s="52" t="s">
        <v>193</v>
      </c>
      <c r="C173" s="52" t="s">
        <v>179</v>
      </c>
      <c r="D173" s="53">
        <v>-75.961500000000001</v>
      </c>
      <c r="E173" s="53">
        <v>1.325138889</v>
      </c>
      <c r="F173" s="48">
        <v>320</v>
      </c>
      <c r="G173" s="46">
        <v>18</v>
      </c>
      <c r="H173" s="46">
        <v>18610</v>
      </c>
      <c r="I173" s="55" t="s">
        <v>194</v>
      </c>
      <c r="J173" s="55" t="s">
        <v>195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20.420246040574181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15.4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173" s="122" t="str">
        <f t="shared" si="15"/>
        <v>NA</v>
      </c>
    </row>
    <row r="174" spans="1:49" ht="14.25" customHeight="1" x14ac:dyDescent="0.2">
      <c r="A174" s="120">
        <v>15045010</v>
      </c>
      <c r="B174" s="52" t="s">
        <v>198</v>
      </c>
      <c r="C174" s="52" t="s">
        <v>199</v>
      </c>
      <c r="D174" s="53">
        <v>-73.030277780000006</v>
      </c>
      <c r="E174" s="53">
        <v>11.26388889</v>
      </c>
      <c r="F174" s="48">
        <v>20</v>
      </c>
      <c r="G174" s="46">
        <v>44</v>
      </c>
      <c r="H174" s="46">
        <v>44001</v>
      </c>
      <c r="I174" s="55" t="s">
        <v>41</v>
      </c>
      <c r="J174" s="55" t="s">
        <v>42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 t="str">
        <f>IFERROR(VLOOKUP(A174,Climatologia!A:U,9+$E$2,FALSE),"")</f>
        <v/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17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174" s="122" t="str">
        <f t="shared" si="15"/>
        <v>NA</v>
      </c>
    </row>
    <row r="175" spans="1:49" ht="14.25" customHeight="1" x14ac:dyDescent="0.2">
      <c r="A175" s="120">
        <v>15075030</v>
      </c>
      <c r="B175" s="52" t="s">
        <v>200</v>
      </c>
      <c r="C175" s="52" t="s">
        <v>199</v>
      </c>
      <c r="D175" s="53">
        <v>-72.463499999999996</v>
      </c>
      <c r="E175" s="53">
        <v>11.78105556</v>
      </c>
      <c r="F175" s="48">
        <v>1</v>
      </c>
      <c r="G175" s="46">
        <v>44</v>
      </c>
      <c r="H175" s="46">
        <v>44560</v>
      </c>
      <c r="I175" s="55" t="s">
        <v>41</v>
      </c>
      <c r="J175" s="55" t="s">
        <v>200</v>
      </c>
      <c r="K175" s="51">
        <v>26.2</v>
      </c>
      <c r="L175" s="51">
        <v>27.6</v>
      </c>
      <c r="M175" s="51">
        <v>25</v>
      </c>
      <c r="N175" s="51">
        <v>25.2</v>
      </c>
      <c r="O175" s="51">
        <v>25.2</v>
      </c>
      <c r="P175" s="51">
        <v>26</v>
      </c>
      <c r="Q175" s="51">
        <v>27.6</v>
      </c>
      <c r="R175" s="51">
        <v>25.8</v>
      </c>
      <c r="S175" s="51"/>
      <c r="T175" s="51">
        <v>27.4</v>
      </c>
      <c r="U175" s="51">
        <v>27.2</v>
      </c>
      <c r="V175" s="51"/>
      <c r="W175" s="51"/>
      <c r="X175" s="51">
        <v>27.4</v>
      </c>
      <c r="Y175" s="51"/>
      <c r="Z175" s="111">
        <v>27.2</v>
      </c>
      <c r="AA175" s="51">
        <v>27.4</v>
      </c>
      <c r="AB175" s="51"/>
      <c r="AC175" s="51">
        <v>26.8</v>
      </c>
      <c r="AD175" s="51">
        <v>27.2</v>
      </c>
      <c r="AE175" s="51">
        <v>26.2</v>
      </c>
      <c r="AF175" s="51">
        <v>27.2</v>
      </c>
      <c r="AG175" s="51">
        <v>27.8</v>
      </c>
      <c r="AH175" s="51">
        <v>27</v>
      </c>
      <c r="AI175" s="51">
        <v>26</v>
      </c>
      <c r="AJ175" s="51">
        <v>27.4</v>
      </c>
      <c r="AK175" s="51">
        <v>24</v>
      </c>
      <c r="AL175" s="51"/>
      <c r="AM175" s="51"/>
      <c r="AN175" s="51"/>
      <c r="AO175" s="51"/>
      <c r="AP175" s="88">
        <f t="shared" si="11"/>
        <v>22</v>
      </c>
      <c r="AQ175" s="89">
        <f t="shared" si="12"/>
        <v>26.581818181818175</v>
      </c>
      <c r="AR175" s="89" t="str">
        <f>IFERROR(VLOOKUP(A175,Climatologia!A:U,9+$E$2,FALSE),"")</f>
        <v/>
      </c>
      <c r="AS175" s="89" t="str">
        <f t="shared" si="13"/>
        <v/>
      </c>
      <c r="AT175" s="90">
        <f t="shared" si="14"/>
        <v>24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17.600000000000001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175" s="122">
        <f t="shared" si="15"/>
        <v>6.3999999999999986</v>
      </c>
    </row>
    <row r="176" spans="1:49" ht="14.25" customHeight="1" x14ac:dyDescent="0.2">
      <c r="A176" s="120">
        <v>24015300</v>
      </c>
      <c r="B176" s="52" t="s">
        <v>220</v>
      </c>
      <c r="C176" s="52" t="s">
        <v>212</v>
      </c>
      <c r="D176" s="53">
        <v>-73.517740000000003</v>
      </c>
      <c r="E176" s="53">
        <v>5.6432599999999997</v>
      </c>
      <c r="F176" s="48">
        <v>2174</v>
      </c>
      <c r="G176" s="46">
        <v>15</v>
      </c>
      <c r="H176" s="46">
        <v>15407</v>
      </c>
      <c r="I176" s="55" t="s">
        <v>213</v>
      </c>
      <c r="J176" s="55" t="s">
        <v>221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>
        <f>IFERROR(VLOOKUP(A176,Climatologia!A:U,9+$E$2,FALSE),"")</f>
        <v>10.516628421304731</v>
      </c>
      <c r="AS176" s="89" t="str">
        <f t="shared" si="13"/>
        <v/>
      </c>
      <c r="AT176" s="90" t="str">
        <f t="shared" si="14"/>
        <v/>
      </c>
      <c r="AU176" s="90" t="str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/>
      </c>
      <c r="AV176" s="91" t="str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6" s="122" t="str">
        <f t="shared" si="15"/>
        <v>NA</v>
      </c>
    </row>
    <row r="177" spans="1:49" ht="14.25" customHeight="1" x14ac:dyDescent="0.2">
      <c r="A177" s="120">
        <v>24015360</v>
      </c>
      <c r="B177" s="52" t="s">
        <v>222</v>
      </c>
      <c r="C177" s="52" t="s">
        <v>212</v>
      </c>
      <c r="D177" s="53">
        <v>-73.759</v>
      </c>
      <c r="E177" s="53">
        <v>5.6962222220000003</v>
      </c>
      <c r="F177" s="48">
        <v>2550</v>
      </c>
      <c r="G177" s="46">
        <v>15</v>
      </c>
      <c r="H177" s="46">
        <v>15632</v>
      </c>
      <c r="I177" s="55" t="s">
        <v>213</v>
      </c>
      <c r="J177" s="55" t="s">
        <v>223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-0.6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177" s="122" t="str">
        <f t="shared" si="15"/>
        <v>NA</v>
      </c>
    </row>
    <row r="178" spans="1:49" ht="14.25" customHeight="1" x14ac:dyDescent="0.2">
      <c r="A178" s="120">
        <v>24035260</v>
      </c>
      <c r="B178" s="52" t="s">
        <v>234</v>
      </c>
      <c r="C178" s="52" t="s">
        <v>212</v>
      </c>
      <c r="D178" s="53">
        <v>-72.696611110000006</v>
      </c>
      <c r="E178" s="53">
        <v>6.5207222219999998</v>
      </c>
      <c r="F178" s="48">
        <v>1160</v>
      </c>
      <c r="G178" s="46">
        <v>68</v>
      </c>
      <c r="H178" s="46">
        <v>68147</v>
      </c>
      <c r="I178" s="55" t="s">
        <v>50</v>
      </c>
      <c r="J178" s="55" t="s">
        <v>234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>
        <f>IFERROR(VLOOKUP(A178,Climatologia!A:U,9+$E$2,FALSE),"")</f>
        <v>17.58747112704102</v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78" s="122" t="str">
        <f t="shared" si="15"/>
        <v>NA</v>
      </c>
    </row>
    <row r="179" spans="1:49" ht="14.25" customHeight="1" x14ac:dyDescent="0.2">
      <c r="A179" s="120">
        <v>24035310</v>
      </c>
      <c r="B179" s="52" t="s">
        <v>235</v>
      </c>
      <c r="C179" s="52" t="s">
        <v>212</v>
      </c>
      <c r="D179" s="53">
        <v>-72.504722220000005</v>
      </c>
      <c r="E179" s="53">
        <v>6.5495277779999999</v>
      </c>
      <c r="F179" s="48">
        <v>2350</v>
      </c>
      <c r="G179" s="46">
        <v>15</v>
      </c>
      <c r="H179" s="46">
        <v>15180</v>
      </c>
      <c r="I179" s="55" t="s">
        <v>213</v>
      </c>
      <c r="J179" s="55" t="s">
        <v>235</v>
      </c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0</v>
      </c>
      <c r="AQ179" s="89" t="str">
        <f t="shared" si="12"/>
        <v/>
      </c>
      <c r="AR179" s="89">
        <f>IFERROR(VLOOKUP(A179,Climatologia!A:U,9+$E$2,FALSE),"")</f>
        <v>10.726671292953201</v>
      </c>
      <c r="AS179" s="89" t="str">
        <f t="shared" si="13"/>
        <v/>
      </c>
      <c r="AT179" s="90" t="str">
        <f t="shared" si="14"/>
        <v/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5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79" s="122" t="str">
        <f t="shared" si="15"/>
        <v>NA</v>
      </c>
    </row>
    <row r="180" spans="1:49" ht="14.25" customHeight="1" x14ac:dyDescent="0.2">
      <c r="A180" s="120">
        <v>35085050</v>
      </c>
      <c r="B180" s="52" t="s">
        <v>249</v>
      </c>
      <c r="C180" s="52" t="s">
        <v>212</v>
      </c>
      <c r="D180" s="53">
        <v>-73.103666669999996</v>
      </c>
      <c r="E180" s="53">
        <v>5.0345000000000004</v>
      </c>
      <c r="F180" s="48">
        <v>1300</v>
      </c>
      <c r="G180" s="46">
        <v>15</v>
      </c>
      <c r="H180" s="46">
        <v>15135</v>
      </c>
      <c r="I180" s="55" t="s">
        <v>213</v>
      </c>
      <c r="J180" s="55" t="s">
        <v>249</v>
      </c>
      <c r="K180" s="51">
        <v>18.2</v>
      </c>
      <c r="L180" s="51">
        <v>18.399999999999999</v>
      </c>
      <c r="M180" s="51">
        <v>17.600000000000001</v>
      </c>
      <c r="N180" s="51">
        <v>18.2</v>
      </c>
      <c r="O180" s="51"/>
      <c r="P180" s="51"/>
      <c r="Q180" s="51">
        <v>19.2</v>
      </c>
      <c r="R180" s="51">
        <v>17.8</v>
      </c>
      <c r="S180" s="51">
        <v>19.600000000000001</v>
      </c>
      <c r="T180" s="51">
        <v>16.600000000000001</v>
      </c>
      <c r="U180" s="51">
        <v>18</v>
      </c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>
        <v>16.2</v>
      </c>
      <c r="AI180" s="51">
        <v>18.2</v>
      </c>
      <c r="AJ180" s="51">
        <v>19.399999999999999</v>
      </c>
      <c r="AK180" s="51">
        <v>17.8</v>
      </c>
      <c r="AL180" s="51"/>
      <c r="AM180" s="51"/>
      <c r="AN180" s="51"/>
      <c r="AO180" s="51"/>
      <c r="AP180" s="88">
        <f t="shared" si="11"/>
        <v>13</v>
      </c>
      <c r="AQ180" s="89" t="str">
        <f t="shared" si="12"/>
        <v/>
      </c>
      <c r="AR180" s="89">
        <f>IFERROR(VLOOKUP(A180,Climatologia!A:U,9+$E$2,FALSE),"")</f>
        <v>16.896189639584598</v>
      </c>
      <c r="AS180" s="89" t="str">
        <f t="shared" si="13"/>
        <v/>
      </c>
      <c r="AT180" s="90">
        <f t="shared" si="14"/>
        <v>16.2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11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80" s="122">
        <f t="shared" si="15"/>
        <v>5.1999999999999993</v>
      </c>
    </row>
    <row r="181" spans="1:49" ht="14.25" customHeight="1" x14ac:dyDescent="0.2">
      <c r="A181" s="120">
        <v>35235040</v>
      </c>
      <c r="B181" s="52" t="s">
        <v>255</v>
      </c>
      <c r="C181" s="52" t="s">
        <v>212</v>
      </c>
      <c r="D181" s="53">
        <v>-71.666166669999996</v>
      </c>
      <c r="E181" s="53">
        <v>5.4190277780000002</v>
      </c>
      <c r="F181" s="48">
        <v>265</v>
      </c>
      <c r="G181" s="46">
        <v>85</v>
      </c>
      <c r="H181" s="46">
        <v>85430</v>
      </c>
      <c r="I181" s="55" t="s">
        <v>167</v>
      </c>
      <c r="J181" s="55" t="s">
        <v>256</v>
      </c>
      <c r="K181" s="51">
        <v>22.4</v>
      </c>
      <c r="L181" s="51">
        <v>22</v>
      </c>
      <c r="M181" s="51">
        <v>22.8</v>
      </c>
      <c r="N181" s="51">
        <v>23</v>
      </c>
      <c r="O181" s="51">
        <v>22.2</v>
      </c>
      <c r="P181" s="51">
        <v>22.4</v>
      </c>
      <c r="Q181" s="51">
        <v>23.8</v>
      </c>
      <c r="R181" s="51">
        <v>23.4</v>
      </c>
      <c r="S181" s="51">
        <v>22.8</v>
      </c>
      <c r="T181" s="51">
        <v>23</v>
      </c>
      <c r="U181" s="51">
        <v>23.4</v>
      </c>
      <c r="V181" s="51">
        <v>23.2</v>
      </c>
      <c r="W181" s="51">
        <v>22.8</v>
      </c>
      <c r="X181" s="51">
        <v>24</v>
      </c>
      <c r="Y181" s="51">
        <v>23.6</v>
      </c>
      <c r="Z181" s="111">
        <v>22.8</v>
      </c>
      <c r="AA181" s="51">
        <v>23.8</v>
      </c>
      <c r="AB181" s="51">
        <v>25</v>
      </c>
      <c r="AC181" s="51">
        <v>22.4</v>
      </c>
      <c r="AD181" s="51">
        <v>21.6</v>
      </c>
      <c r="AE181" s="51">
        <v>23</v>
      </c>
      <c r="AF181" s="51">
        <v>23.2</v>
      </c>
      <c r="AG181" s="51">
        <v>23</v>
      </c>
      <c r="AH181" s="51">
        <v>21.4</v>
      </c>
      <c r="AI181" s="51">
        <v>24</v>
      </c>
      <c r="AJ181" s="51">
        <v>22.8</v>
      </c>
      <c r="AK181" s="51">
        <v>22.6</v>
      </c>
      <c r="AL181" s="51"/>
      <c r="AM181" s="51"/>
      <c r="AN181" s="51"/>
      <c r="AO181" s="51"/>
      <c r="AP181" s="88">
        <f t="shared" si="11"/>
        <v>27</v>
      </c>
      <c r="AQ181" s="89">
        <f t="shared" si="12"/>
        <v>22.977777777777781</v>
      </c>
      <c r="AR181" s="89" t="str">
        <f>IFERROR(VLOOKUP(A181,Climatologia!A:U,9+$E$2,FALSE),"")</f>
        <v/>
      </c>
      <c r="AS181" s="89" t="str">
        <f t="shared" si="13"/>
        <v/>
      </c>
      <c r="AT181" s="90">
        <f t="shared" si="14"/>
        <v>21.4</v>
      </c>
      <c r="AU181" s="90" t="str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/>
      </c>
      <c r="AV181" s="91" t="str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1" s="122" t="str">
        <f t="shared" si="15"/>
        <v>NA</v>
      </c>
    </row>
    <row r="182" spans="1:49" ht="14.25" customHeight="1" x14ac:dyDescent="0.2">
      <c r="A182" s="120">
        <v>36015010</v>
      </c>
      <c r="B182" s="52" t="s">
        <v>259</v>
      </c>
      <c r="C182" s="52" t="s">
        <v>212</v>
      </c>
      <c r="D182" s="53">
        <v>-71.887194440000002</v>
      </c>
      <c r="E182" s="53">
        <v>5.8785277779999996</v>
      </c>
      <c r="F182" s="48">
        <v>342</v>
      </c>
      <c r="G182" s="46">
        <v>85</v>
      </c>
      <c r="H182" s="46">
        <v>85250</v>
      </c>
      <c r="I182" s="55" t="s">
        <v>167</v>
      </c>
      <c r="J182" s="55" t="s">
        <v>259</v>
      </c>
      <c r="K182" s="51"/>
      <c r="L182" s="51">
        <v>22</v>
      </c>
      <c r="M182" s="51">
        <v>22.4</v>
      </c>
      <c r="N182" s="51">
        <v>23</v>
      </c>
      <c r="O182" s="51">
        <v>20.8</v>
      </c>
      <c r="P182" s="51">
        <v>23</v>
      </c>
      <c r="Q182" s="51"/>
      <c r="R182" s="51"/>
      <c r="S182" s="51">
        <v>20</v>
      </c>
      <c r="T182" s="51">
        <v>20</v>
      </c>
      <c r="U182" s="51">
        <v>23.2</v>
      </c>
      <c r="V182" s="51">
        <v>23.2</v>
      </c>
      <c r="W182" s="51">
        <v>22</v>
      </c>
      <c r="X182" s="51">
        <v>22.4</v>
      </c>
      <c r="Y182" s="51">
        <v>24.4</v>
      </c>
      <c r="Z182" s="111">
        <v>24.4</v>
      </c>
      <c r="AA182" s="51">
        <v>24.2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14</v>
      </c>
      <c r="AQ182" s="89" t="str">
        <f t="shared" si="12"/>
        <v/>
      </c>
      <c r="AR182" s="89">
        <f>IFERROR(VLOOKUP(A182,Climatologia!A:U,9+$E$2,FALSE),"")</f>
        <v>22.029592386602399</v>
      </c>
      <c r="AS182" s="89" t="str">
        <f t="shared" si="13"/>
        <v/>
      </c>
      <c r="AT182" s="90">
        <f t="shared" si="14"/>
        <v>20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18.8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82" s="122">
        <f t="shared" si="15"/>
        <v>1.1999999999999993</v>
      </c>
    </row>
    <row r="183" spans="1:49" ht="14.25" customHeight="1" x14ac:dyDescent="0.2">
      <c r="A183" s="120">
        <v>36025010</v>
      </c>
      <c r="B183" s="52" t="s">
        <v>260</v>
      </c>
      <c r="C183" s="52" t="s">
        <v>212</v>
      </c>
      <c r="D183" s="53">
        <v>-71.745027780000001</v>
      </c>
      <c r="E183" s="53">
        <v>6.4561944440000003</v>
      </c>
      <c r="F183" s="48">
        <v>350</v>
      </c>
      <c r="G183" s="46">
        <v>81</v>
      </c>
      <c r="H183" s="46">
        <v>81794</v>
      </c>
      <c r="I183" s="55" t="s">
        <v>91</v>
      </c>
      <c r="J183" s="55" t="s">
        <v>260</v>
      </c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0</v>
      </c>
      <c r="AQ183" s="89" t="str">
        <f t="shared" si="12"/>
        <v/>
      </c>
      <c r="AR183" s="89">
        <f>IFERROR(VLOOKUP(A183,Climatologia!A:U,9+$E$2,FALSE),"")</f>
        <v>21.674986479595521</v>
      </c>
      <c r="AS183" s="89" t="str">
        <f t="shared" si="13"/>
        <v/>
      </c>
      <c r="AT183" s="90" t="str">
        <f t="shared" si="14"/>
        <v/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13.2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83" s="122" t="str">
        <f t="shared" si="15"/>
        <v>NA</v>
      </c>
    </row>
    <row r="184" spans="1:49" ht="14.25" customHeight="1" x14ac:dyDescent="0.2">
      <c r="A184" s="120">
        <v>44015060</v>
      </c>
      <c r="B184" s="52" t="s">
        <v>264</v>
      </c>
      <c r="C184" s="52" t="s">
        <v>262</v>
      </c>
      <c r="D184" s="53">
        <v>-76.651833330000002</v>
      </c>
      <c r="E184" s="53">
        <v>1.157333333</v>
      </c>
      <c r="F184" s="48">
        <v>650</v>
      </c>
      <c r="G184" s="46">
        <v>86</v>
      </c>
      <c r="H184" s="46">
        <v>86001</v>
      </c>
      <c r="I184" s="55" t="s">
        <v>265</v>
      </c>
      <c r="J184" s="55" t="s">
        <v>266</v>
      </c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0</v>
      </c>
      <c r="AQ184" s="89" t="str">
        <f t="shared" si="12"/>
        <v/>
      </c>
      <c r="AR184" s="89">
        <f>IFERROR(VLOOKUP(A184,Climatologia!A:U,9+$E$2,FALSE),"")</f>
        <v>19.276408602150539</v>
      </c>
      <c r="AS184" s="89" t="str">
        <f t="shared" si="13"/>
        <v/>
      </c>
      <c r="AT184" s="90" t="str">
        <f t="shared" si="14"/>
        <v/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15.4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84" s="122" t="str">
        <f t="shared" si="15"/>
        <v>NA</v>
      </c>
    </row>
    <row r="185" spans="1:49" ht="14.25" customHeight="1" x14ac:dyDescent="0.2">
      <c r="A185" s="120">
        <v>47015080</v>
      </c>
      <c r="B185" s="52" t="s">
        <v>269</v>
      </c>
      <c r="C185" s="52" t="s">
        <v>262</v>
      </c>
      <c r="D185" s="53">
        <v>-77.303611110000006</v>
      </c>
      <c r="E185" s="53">
        <v>0.80491666699999997</v>
      </c>
      <c r="F185" s="48">
        <v>1776</v>
      </c>
      <c r="G185" s="46">
        <v>52</v>
      </c>
      <c r="H185" s="46">
        <v>52573</v>
      </c>
      <c r="I185" s="55" t="s">
        <v>83</v>
      </c>
      <c r="J185" s="55" t="s">
        <v>270</v>
      </c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0</v>
      </c>
      <c r="AQ185" s="89" t="str">
        <f t="shared" si="12"/>
        <v/>
      </c>
      <c r="AR185" s="89">
        <f>IFERROR(VLOOKUP(A185,Climatologia!A:U,9+$E$2,FALSE),"")</f>
        <v>13.328919783739719</v>
      </c>
      <c r="AS185" s="89" t="str">
        <f t="shared" si="13"/>
        <v/>
      </c>
      <c r="AT185" s="90" t="str">
        <f t="shared" si="14"/>
        <v/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8.5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85" s="122" t="str">
        <f t="shared" si="15"/>
        <v>NA</v>
      </c>
    </row>
    <row r="186" spans="1:49" ht="14.25" customHeight="1" x14ac:dyDescent="0.2">
      <c r="A186" s="120">
        <v>47035020</v>
      </c>
      <c r="B186" s="52" t="s">
        <v>273</v>
      </c>
      <c r="C186" s="52" t="s">
        <v>262</v>
      </c>
      <c r="D186" s="53">
        <v>-75.851111110000005</v>
      </c>
      <c r="E186" s="53">
        <v>0.132861111</v>
      </c>
      <c r="F186" s="48">
        <v>190</v>
      </c>
      <c r="G186" s="46">
        <v>86</v>
      </c>
      <c r="H186" s="46">
        <v>86573</v>
      </c>
      <c r="I186" s="55" t="s">
        <v>265</v>
      </c>
      <c r="J186" s="55" t="s">
        <v>274</v>
      </c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0</v>
      </c>
      <c r="AQ186" s="89" t="str">
        <f t="shared" si="12"/>
        <v/>
      </c>
      <c r="AR186" s="89">
        <f>IFERROR(VLOOKUP(A186,Climatologia!A:U,9+$E$2,FALSE),"")</f>
        <v>20.704813297844161</v>
      </c>
      <c r="AS186" s="89" t="str">
        <f t="shared" si="13"/>
        <v/>
      </c>
      <c r="AT186" s="90" t="str">
        <f t="shared" si="14"/>
        <v/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16.5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86" s="122" t="str">
        <f t="shared" si="15"/>
        <v>NA</v>
      </c>
    </row>
    <row r="187" spans="1:49" ht="14.25" customHeight="1" x14ac:dyDescent="0.2">
      <c r="A187" s="120">
        <v>51025090</v>
      </c>
      <c r="B187" s="52" t="s">
        <v>275</v>
      </c>
      <c r="C187" s="52" t="s">
        <v>262</v>
      </c>
      <c r="D187" s="53">
        <v>-78.695583330000005</v>
      </c>
      <c r="E187" s="53">
        <v>1.5501944439999999</v>
      </c>
      <c r="F187" s="48">
        <v>16</v>
      </c>
      <c r="G187" s="46">
        <v>52</v>
      </c>
      <c r="H187" s="46">
        <v>52835</v>
      </c>
      <c r="I187" s="55" t="s">
        <v>83</v>
      </c>
      <c r="J187" s="55" t="s">
        <v>276</v>
      </c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0</v>
      </c>
      <c r="AQ187" s="89" t="str">
        <f t="shared" si="12"/>
        <v/>
      </c>
      <c r="AR187" s="89">
        <f>IFERROR(VLOOKUP(A187,Climatologia!A:U,9+$E$2,FALSE),"")</f>
        <v>23.186679533131141</v>
      </c>
      <c r="AS187" s="89" t="str">
        <f t="shared" si="13"/>
        <v/>
      </c>
      <c r="AT187" s="90" t="str">
        <f t="shared" si="14"/>
        <v/>
      </c>
      <c r="AU187" s="90" t="str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/>
      </c>
      <c r="AV187" s="91" t="str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7" s="122" t="str">
        <f t="shared" si="15"/>
        <v>NA</v>
      </c>
    </row>
    <row r="188" spans="1:49" ht="14.25" customHeight="1" x14ac:dyDescent="0.2">
      <c r="A188" s="120">
        <v>52025090</v>
      </c>
      <c r="B188" s="52" t="s">
        <v>280</v>
      </c>
      <c r="C188" s="52" t="s">
        <v>262</v>
      </c>
      <c r="D188" s="53">
        <v>-76.750333330000004</v>
      </c>
      <c r="E188" s="53">
        <v>2.1938333330000002</v>
      </c>
      <c r="F188" s="48">
        <v>1870</v>
      </c>
      <c r="G188" s="46">
        <v>19</v>
      </c>
      <c r="H188" s="46">
        <v>19392</v>
      </c>
      <c r="I188" s="55" t="s">
        <v>182</v>
      </c>
      <c r="J188" s="55" t="s">
        <v>281</v>
      </c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0</v>
      </c>
      <c r="AQ188" s="89" t="str">
        <f t="shared" si="12"/>
        <v/>
      </c>
      <c r="AR188" s="89">
        <f>IFERROR(VLOOKUP(A188,Climatologia!A:U,9+$E$2,FALSE),"")</f>
        <v>15.06265897802605</v>
      </c>
      <c r="AS188" s="89" t="str">
        <f t="shared" si="13"/>
        <v/>
      </c>
      <c r="AT188" s="90" t="str">
        <f t="shared" si="14"/>
        <v/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10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88" s="122" t="str">
        <f t="shared" si="15"/>
        <v>NA</v>
      </c>
    </row>
    <row r="189" spans="1:49" ht="14.25" customHeight="1" x14ac:dyDescent="0.2">
      <c r="A189" s="120">
        <v>52045090</v>
      </c>
      <c r="B189" s="52" t="s">
        <v>285</v>
      </c>
      <c r="C189" s="52" t="s">
        <v>262</v>
      </c>
      <c r="D189" s="53">
        <v>-77.629583330000003</v>
      </c>
      <c r="E189" s="53">
        <v>0.93263888900000003</v>
      </c>
      <c r="F189" s="48">
        <v>3141</v>
      </c>
      <c r="G189" s="46">
        <v>52</v>
      </c>
      <c r="H189" s="46">
        <v>52585</v>
      </c>
      <c r="I189" s="55" t="s">
        <v>83</v>
      </c>
      <c r="J189" s="55" t="s">
        <v>286</v>
      </c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>
        <v>4.2</v>
      </c>
      <c r="AG189" s="51">
        <v>6</v>
      </c>
      <c r="AH189" s="51">
        <v>6.4</v>
      </c>
      <c r="AI189" s="51">
        <v>4.5999999999999996</v>
      </c>
      <c r="AJ189" s="51"/>
      <c r="AK189" s="51">
        <v>4.8</v>
      </c>
      <c r="AL189" s="51"/>
      <c r="AM189" s="51"/>
      <c r="AN189" s="51"/>
      <c r="AO189" s="51"/>
      <c r="AP189" s="88">
        <f t="shared" si="11"/>
        <v>5</v>
      </c>
      <c r="AQ189" s="89" t="str">
        <f t="shared" si="12"/>
        <v/>
      </c>
      <c r="AR189" s="89">
        <f>IFERROR(VLOOKUP(A189,Climatologia!A:U,9+$E$2,FALSE),"")</f>
        <v>6.2159888004715604</v>
      </c>
      <c r="AS189" s="89" t="str">
        <f t="shared" si="13"/>
        <v/>
      </c>
      <c r="AT189" s="90">
        <f t="shared" si="14"/>
        <v>4.2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0.1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89" s="122">
        <f t="shared" si="15"/>
        <v>4.1000000000000005</v>
      </c>
    </row>
    <row r="190" spans="1:49" ht="14.25" customHeight="1" x14ac:dyDescent="0.2">
      <c r="A190" s="120">
        <v>52055030</v>
      </c>
      <c r="B190" s="52" t="s">
        <v>287</v>
      </c>
      <c r="C190" s="52" t="s">
        <v>262</v>
      </c>
      <c r="D190" s="53">
        <v>-77.465111109999995</v>
      </c>
      <c r="E190" s="53">
        <v>1.1843611110000001</v>
      </c>
      <c r="F190" s="48">
        <v>1493</v>
      </c>
      <c r="G190" s="46">
        <v>52</v>
      </c>
      <c r="H190" s="46">
        <v>52207</v>
      </c>
      <c r="I190" s="55" t="s">
        <v>83</v>
      </c>
      <c r="J190" s="55" t="s">
        <v>288</v>
      </c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0</v>
      </c>
      <c r="AQ190" s="89" t="str">
        <f t="shared" si="12"/>
        <v/>
      </c>
      <c r="AR190" s="89">
        <f>IFERROR(VLOOKUP(A190,Climatologia!A:U,9+$E$2,FALSE),"")</f>
        <v>15.45201870390969</v>
      </c>
      <c r="AS190" s="89" t="str">
        <f t="shared" si="13"/>
        <v/>
      </c>
      <c r="AT190" s="90" t="str">
        <f t="shared" si="14"/>
        <v/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8.6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90" s="122" t="str">
        <f t="shared" si="15"/>
        <v>NA</v>
      </c>
    </row>
    <row r="191" spans="1:49" ht="14.25" customHeight="1" x14ac:dyDescent="0.2">
      <c r="A191" s="120">
        <v>52055200</v>
      </c>
      <c r="B191" s="52" t="s">
        <v>293</v>
      </c>
      <c r="C191" s="52" t="s">
        <v>262</v>
      </c>
      <c r="D191" s="53">
        <v>-77.445805559999997</v>
      </c>
      <c r="E191" s="53">
        <v>1.0042222220000001</v>
      </c>
      <c r="F191" s="48">
        <v>2181</v>
      </c>
      <c r="G191" s="46">
        <v>52</v>
      </c>
      <c r="H191" s="46">
        <v>52287</v>
      </c>
      <c r="I191" s="55" t="s">
        <v>83</v>
      </c>
      <c r="J191" s="55" t="s">
        <v>293</v>
      </c>
      <c r="K191" s="51">
        <v>15</v>
      </c>
      <c r="L191" s="51">
        <v>15.4</v>
      </c>
      <c r="M191" s="51">
        <v>13</v>
      </c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>
        <v>14.6</v>
      </c>
      <c r="AI191" s="51">
        <v>8.8000000000000007</v>
      </c>
      <c r="AJ191" s="51">
        <v>13.4</v>
      </c>
      <c r="AK191" s="51">
        <v>12.6</v>
      </c>
      <c r="AL191" s="51"/>
      <c r="AM191" s="51"/>
      <c r="AN191" s="51"/>
      <c r="AO191" s="51"/>
      <c r="AP191" s="88">
        <f t="shared" si="11"/>
        <v>7</v>
      </c>
      <c r="AQ191" s="89" t="str">
        <f t="shared" si="12"/>
        <v/>
      </c>
      <c r="AR191" s="89">
        <f>IFERROR(VLOOKUP(A191,Climatologia!A:U,9+$E$2,FALSE),"")</f>
        <v>12.553464872786339</v>
      </c>
      <c r="AS191" s="89" t="str">
        <f t="shared" si="13"/>
        <v/>
      </c>
      <c r="AT191" s="90">
        <f t="shared" si="14"/>
        <v>8.8000000000000007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8.6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91" s="122">
        <f t="shared" si="15"/>
        <v>0.20000000000000107</v>
      </c>
    </row>
    <row r="192" spans="1:49" ht="14.25" customHeight="1" x14ac:dyDescent="0.2">
      <c r="A192" s="120">
        <v>53045040</v>
      </c>
      <c r="B192" s="52" t="s">
        <v>297</v>
      </c>
      <c r="C192" s="52" t="s">
        <v>262</v>
      </c>
      <c r="D192" s="53">
        <v>-77.894750000000002</v>
      </c>
      <c r="E192" s="53">
        <v>2.5744166669999999</v>
      </c>
      <c r="F192" s="48">
        <v>42</v>
      </c>
      <c r="G192" s="46">
        <v>19</v>
      </c>
      <c r="H192" s="46">
        <v>19318</v>
      </c>
      <c r="I192" s="55" t="s">
        <v>182</v>
      </c>
      <c r="J192" s="55" t="s">
        <v>298</v>
      </c>
      <c r="K192" s="51">
        <v>24.2</v>
      </c>
      <c r="L192" s="51">
        <v>24.2</v>
      </c>
      <c r="M192" s="51">
        <v>24.4</v>
      </c>
      <c r="N192" s="51">
        <v>24.6</v>
      </c>
      <c r="O192" s="51">
        <v>24.6</v>
      </c>
      <c r="P192" s="51">
        <v>25</v>
      </c>
      <c r="Q192" s="51">
        <v>25.8</v>
      </c>
      <c r="R192" s="51">
        <v>25.6</v>
      </c>
      <c r="S192" s="51">
        <v>25.6</v>
      </c>
      <c r="T192" s="51">
        <v>24.2</v>
      </c>
      <c r="U192" s="51">
        <v>24</v>
      </c>
      <c r="V192" s="51">
        <v>23.8</v>
      </c>
      <c r="W192" s="51">
        <v>23.6</v>
      </c>
      <c r="X192" s="51">
        <v>24.2</v>
      </c>
      <c r="Y192" s="51">
        <v>24.4</v>
      </c>
      <c r="Z192" s="111">
        <v>24.2</v>
      </c>
      <c r="AA192" s="51">
        <v>25.8</v>
      </c>
      <c r="AB192" s="51">
        <v>25</v>
      </c>
      <c r="AC192" s="51">
        <v>23.6</v>
      </c>
      <c r="AD192" s="51">
        <v>23</v>
      </c>
      <c r="AE192" s="51">
        <v>23.6</v>
      </c>
      <c r="AF192" s="51">
        <v>24.4</v>
      </c>
      <c r="AG192" s="51">
        <v>24.2</v>
      </c>
      <c r="AH192" s="51">
        <v>23.2</v>
      </c>
      <c r="AI192" s="51">
        <v>24</v>
      </c>
      <c r="AJ192" s="51">
        <v>24.8</v>
      </c>
      <c r="AK192" s="51">
        <v>24.6</v>
      </c>
      <c r="AL192" s="51"/>
      <c r="AM192" s="51"/>
      <c r="AN192" s="51"/>
      <c r="AO192" s="51"/>
      <c r="AP192" s="88">
        <f t="shared" si="11"/>
        <v>27</v>
      </c>
      <c r="AQ192" s="89">
        <f t="shared" si="12"/>
        <v>24.392592592592592</v>
      </c>
      <c r="AR192" s="89" t="str">
        <f>IFERROR(VLOOKUP(A192,Climatologia!A:U,9+$E$2,FALSE),"")</f>
        <v/>
      </c>
      <c r="AS192" s="89" t="str">
        <f t="shared" si="13"/>
        <v/>
      </c>
      <c r="AT192" s="90">
        <f t="shared" si="14"/>
        <v>23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122" t="str">
        <f t="shared" si="15"/>
        <v>NA</v>
      </c>
    </row>
    <row r="193" spans="1:49" ht="14.25" customHeight="1" x14ac:dyDescent="0.2">
      <c r="A193" s="120">
        <v>23125120</v>
      </c>
      <c r="B193" s="52" t="s">
        <v>313</v>
      </c>
      <c r="C193" s="52" t="s">
        <v>300</v>
      </c>
      <c r="D193" s="53">
        <v>-73.952222219999996</v>
      </c>
      <c r="E193" s="53">
        <v>6.3086111110000003</v>
      </c>
      <c r="F193" s="48">
        <v>198</v>
      </c>
      <c r="G193" s="46">
        <v>68</v>
      </c>
      <c r="H193" s="46">
        <v>68190</v>
      </c>
      <c r="I193" s="55" t="s">
        <v>50</v>
      </c>
      <c r="J193" s="55" t="s">
        <v>313</v>
      </c>
      <c r="K193" s="51"/>
      <c r="L193" s="51"/>
      <c r="M193" s="51"/>
      <c r="N193" s="51"/>
      <c r="O193" s="51"/>
      <c r="P193" s="51"/>
      <c r="Q193" s="51">
        <v>35</v>
      </c>
      <c r="R193" s="51"/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</v>
      </c>
      <c r="AQ193" s="89" t="str">
        <f t="shared" si="12"/>
        <v/>
      </c>
      <c r="AR193" s="89">
        <f>IFERROR(VLOOKUP(A193,Climatologia!A:U,9+$E$2,FALSE),"")</f>
        <v>22.195180230256881</v>
      </c>
      <c r="AS193" s="89" t="str">
        <f t="shared" si="13"/>
        <v/>
      </c>
      <c r="AT193" s="90">
        <f t="shared" si="14"/>
        <v>35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16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93" s="122">
        <f t="shared" si="15"/>
        <v>19</v>
      </c>
    </row>
    <row r="194" spans="1:49" ht="14.25" customHeight="1" x14ac:dyDescent="0.2">
      <c r="A194" s="120">
        <v>23145020</v>
      </c>
      <c r="B194" s="52" t="s">
        <v>314</v>
      </c>
      <c r="C194" s="52" t="s">
        <v>300</v>
      </c>
      <c r="D194" s="53">
        <v>-73.510000000000005</v>
      </c>
      <c r="E194" s="53">
        <v>6.6963888889999996</v>
      </c>
      <c r="F194" s="48">
        <v>805</v>
      </c>
      <c r="G194" s="46">
        <v>68</v>
      </c>
      <c r="H194" s="46">
        <v>68235</v>
      </c>
      <c r="I194" s="55" t="s">
        <v>50</v>
      </c>
      <c r="J194" s="55" t="s">
        <v>315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0</v>
      </c>
      <c r="AQ194" s="89" t="str">
        <f t="shared" si="12"/>
        <v/>
      </c>
      <c r="AR194" s="89">
        <f>IFERROR(VLOOKUP(A194,Climatologia!A:U,9+$E$2,FALSE),"")</f>
        <v>19.655086355667251</v>
      </c>
      <c r="AS194" s="89" t="str">
        <f t="shared" si="13"/>
        <v/>
      </c>
      <c r="AT194" s="90" t="str">
        <f t="shared" si="14"/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16.8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94" s="122" t="str">
        <f t="shared" si="15"/>
        <v>NA</v>
      </c>
    </row>
    <row r="195" spans="1:49" ht="14.25" customHeight="1" x14ac:dyDescent="0.2">
      <c r="A195" s="120">
        <v>24025040</v>
      </c>
      <c r="B195" s="52" t="s">
        <v>325</v>
      </c>
      <c r="C195" s="52" t="s">
        <v>300</v>
      </c>
      <c r="D195" s="53">
        <v>-72.968888890000002</v>
      </c>
      <c r="E195" s="53">
        <v>6.47</v>
      </c>
      <c r="F195" s="48">
        <v>1673</v>
      </c>
      <c r="G195" s="46">
        <v>68</v>
      </c>
      <c r="H195" s="46">
        <v>68464</v>
      </c>
      <c r="I195" s="55" t="s">
        <v>50</v>
      </c>
      <c r="J195" s="55" t="s">
        <v>326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13.12444319775596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7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95" s="122" t="str">
        <f t="shared" si="15"/>
        <v>NA</v>
      </c>
    </row>
    <row r="196" spans="1:49" ht="14.25" customHeight="1" x14ac:dyDescent="0.2">
      <c r="A196" s="120">
        <v>26105230</v>
      </c>
      <c r="B196" s="52" t="s">
        <v>347</v>
      </c>
      <c r="C196" s="52" t="s">
        <v>337</v>
      </c>
      <c r="D196" s="53">
        <v>-76.168527780000005</v>
      </c>
      <c r="E196" s="53">
        <v>4.028333333</v>
      </c>
      <c r="F196" s="48">
        <v>1119</v>
      </c>
      <c r="G196" s="46">
        <v>76</v>
      </c>
      <c r="H196" s="46">
        <v>76834</v>
      </c>
      <c r="I196" s="55" t="s">
        <v>342</v>
      </c>
      <c r="J196" s="55" t="s">
        <v>344</v>
      </c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0</v>
      </c>
      <c r="AQ196" s="89" t="str">
        <f t="shared" si="12"/>
        <v/>
      </c>
      <c r="AR196" s="89">
        <f>IFERROR(VLOOKUP(A196,Climatologia!A:U,9+$E$2,FALSE),"")</f>
        <v>17.38684419195932</v>
      </c>
      <c r="AS196" s="89" t="str">
        <f t="shared" si="13"/>
        <v/>
      </c>
      <c r="AT196" s="90" t="str">
        <f t="shared" si="14"/>
        <v/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11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96" s="122" t="str">
        <f t="shared" si="15"/>
        <v>NA</v>
      </c>
    </row>
    <row r="197" spans="1:49" ht="14.25" customHeight="1" x14ac:dyDescent="0.2">
      <c r="A197" s="120">
        <v>26125130</v>
      </c>
      <c r="B197" s="52" t="s">
        <v>348</v>
      </c>
      <c r="C197" s="52" t="s">
        <v>337</v>
      </c>
      <c r="D197" s="53">
        <v>-75.832361109999994</v>
      </c>
      <c r="E197" s="53">
        <v>4.185055556</v>
      </c>
      <c r="F197" s="48">
        <v>1749</v>
      </c>
      <c r="G197" s="46">
        <v>76</v>
      </c>
      <c r="H197" s="46">
        <v>76736</v>
      </c>
      <c r="I197" s="55" t="s">
        <v>342</v>
      </c>
      <c r="J197" s="55" t="s">
        <v>349</v>
      </c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0</v>
      </c>
      <c r="AQ197" s="89" t="str">
        <f t="shared" ref="AQ197:AQ260" si="17">IF(AP197&gt;14,AVERAGE(K197:AO197),"")</f>
        <v/>
      </c>
      <c r="AR197" s="89">
        <f>IFERROR(VLOOKUP(A197,Climatologia!A:U,9+$E$2,FALSE),"")</f>
        <v>15.704746922128139</v>
      </c>
      <c r="AS197" s="89" t="str">
        <f t="shared" ref="AS197:AS260" si="18">IF(OR(AQ197="",AR197=""),"",IFERROR(AQ197-AR197,""))</f>
        <v/>
      </c>
      <c r="AT197" s="90" t="str">
        <f t="shared" ref="AT197:AT208" si="19">IF(COUNT(K197:AO197)=0,"",MIN(K197:AO197))</f>
        <v/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6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97" s="122" t="str">
        <f t="shared" ref="AW197:AW208" si="20">IF(OR(AT197="",AU197=""),"NA",IFERROR(AT197-AU197,"NA"))</f>
        <v>NA</v>
      </c>
    </row>
    <row r="198" spans="1:49" ht="14.25" customHeight="1" x14ac:dyDescent="0.2">
      <c r="A198" s="120">
        <v>26155170</v>
      </c>
      <c r="B198" s="52" t="s">
        <v>353</v>
      </c>
      <c r="C198" s="52" t="s">
        <v>337</v>
      </c>
      <c r="D198" s="53">
        <v>-75.438333330000006</v>
      </c>
      <c r="E198" s="53">
        <v>5.0322222219999997</v>
      </c>
      <c r="F198" s="48">
        <v>2325</v>
      </c>
      <c r="G198" s="46">
        <v>17</v>
      </c>
      <c r="H198" s="46">
        <v>17001</v>
      </c>
      <c r="I198" s="55" t="s">
        <v>117</v>
      </c>
      <c r="J198" s="55" t="s">
        <v>354</v>
      </c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0</v>
      </c>
      <c r="AQ198" s="89" t="str">
        <f t="shared" si="17"/>
        <v/>
      </c>
      <c r="AR198" s="89">
        <f>IFERROR(VLOOKUP(A198,Climatologia!A:U,9+$E$2,FALSE),"")</f>
        <v>11.72508648901356</v>
      </c>
      <c r="AS198" s="89" t="str">
        <f t="shared" si="18"/>
        <v/>
      </c>
      <c r="AT198" s="90" t="str">
        <f t="shared" si="19"/>
        <v/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9.4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98" s="122" t="str">
        <f t="shared" si="20"/>
        <v>NA</v>
      </c>
    </row>
    <row r="199" spans="1:49" ht="14.25" customHeight="1" x14ac:dyDescent="0.2">
      <c r="A199" s="120">
        <v>21135020</v>
      </c>
      <c r="B199" s="52" t="s">
        <v>355</v>
      </c>
      <c r="C199" s="52" t="s">
        <v>356</v>
      </c>
      <c r="D199" s="53">
        <v>-75.015749999999997</v>
      </c>
      <c r="E199" s="53">
        <v>3.85575</v>
      </c>
      <c r="F199" s="48">
        <v>313</v>
      </c>
      <c r="G199" s="46">
        <v>73</v>
      </c>
      <c r="H199" s="46">
        <v>73671</v>
      </c>
      <c r="I199" s="55" t="s">
        <v>71</v>
      </c>
      <c r="J199" s="55" t="s">
        <v>357</v>
      </c>
      <c r="K199" s="51">
        <v>24</v>
      </c>
      <c r="L199" s="51">
        <v>23.2</v>
      </c>
      <c r="M199" s="51">
        <v>23.2</v>
      </c>
      <c r="N199" s="51">
        <v>23.4</v>
      </c>
      <c r="O199" s="51">
        <v>23</v>
      </c>
      <c r="P199" s="51">
        <v>24</v>
      </c>
      <c r="Q199" s="51">
        <v>24.2</v>
      </c>
      <c r="R199" s="51">
        <v>24.6</v>
      </c>
      <c r="S199" s="51">
        <v>25.6</v>
      </c>
      <c r="T199" s="51">
        <v>25.6</v>
      </c>
      <c r="U199" s="51">
        <v>23.6</v>
      </c>
      <c r="V199" s="51">
        <v>24.4</v>
      </c>
      <c r="W199" s="51">
        <v>24.8</v>
      </c>
      <c r="X199" s="51">
        <v>23.6</v>
      </c>
      <c r="Y199" s="51">
        <v>24</v>
      </c>
      <c r="Z199" s="111">
        <v>24.2</v>
      </c>
      <c r="AA199" s="51">
        <v>24.8</v>
      </c>
      <c r="AB199" s="51">
        <v>24.6</v>
      </c>
      <c r="AC199" s="51">
        <v>23.6</v>
      </c>
      <c r="AD199" s="51">
        <v>24.2</v>
      </c>
      <c r="AE199" s="51">
        <v>23.2</v>
      </c>
      <c r="AF199" s="51">
        <v>23.4</v>
      </c>
      <c r="AG199" s="51">
        <v>24</v>
      </c>
      <c r="AH199" s="51">
        <v>24.4</v>
      </c>
      <c r="AI199" s="51">
        <v>23</v>
      </c>
      <c r="AJ199" s="51">
        <v>23.4</v>
      </c>
      <c r="AK199" s="51">
        <v>22.4</v>
      </c>
      <c r="AL199" s="51"/>
      <c r="AM199" s="51"/>
      <c r="AN199" s="51"/>
      <c r="AO199" s="51"/>
      <c r="AP199" s="88">
        <f t="shared" si="16"/>
        <v>27</v>
      </c>
      <c r="AQ199" s="89">
        <f t="shared" si="17"/>
        <v>23.94074074074074</v>
      </c>
      <c r="AR199" s="89" t="str">
        <f>IFERROR(VLOOKUP(A199,Climatologia!A:U,9+$E$2,FALSE),"")</f>
        <v/>
      </c>
      <c r="AS199" s="89" t="str">
        <f t="shared" si="18"/>
        <v/>
      </c>
      <c r="AT199" s="90">
        <f t="shared" si="19"/>
        <v>22.4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18.600000000000001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99" s="122">
        <f t="shared" si="20"/>
        <v>3.7999999999999972</v>
      </c>
    </row>
    <row r="200" spans="1:49" ht="14.25" customHeight="1" x14ac:dyDescent="0.2">
      <c r="A200" s="120">
        <v>21165010</v>
      </c>
      <c r="B200" s="52" t="s">
        <v>358</v>
      </c>
      <c r="C200" s="52" t="s">
        <v>356</v>
      </c>
      <c r="D200" s="53">
        <v>-74.917027779999998</v>
      </c>
      <c r="E200" s="53">
        <v>3.7876111109999999</v>
      </c>
      <c r="F200" s="48">
        <v>311</v>
      </c>
      <c r="G200" s="46">
        <v>73</v>
      </c>
      <c r="H200" s="46">
        <v>73563</v>
      </c>
      <c r="I200" s="55" t="s">
        <v>71</v>
      </c>
      <c r="J200" s="55" t="s">
        <v>359</v>
      </c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0</v>
      </c>
      <c r="AQ200" s="89" t="str">
        <f t="shared" si="17"/>
        <v/>
      </c>
      <c r="AR200" s="89">
        <f>IFERROR(VLOOKUP(A200,Climatologia!A:U,9+$E$2,FALSE),"")</f>
        <v>21.613415216113999</v>
      </c>
      <c r="AS200" s="89" t="str">
        <f t="shared" si="18"/>
        <v/>
      </c>
      <c r="AT200" s="90" t="str">
        <f t="shared" si="19"/>
        <v/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19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200" s="122" t="str">
        <f t="shared" si="20"/>
        <v>NA</v>
      </c>
    </row>
    <row r="201" spans="1:49" ht="14.25" customHeight="1" x14ac:dyDescent="0.2">
      <c r="A201" s="120">
        <v>21185030</v>
      </c>
      <c r="B201" s="52" t="s">
        <v>360</v>
      </c>
      <c r="C201" s="52" t="s">
        <v>356</v>
      </c>
      <c r="D201" s="53">
        <v>-74.981388890000005</v>
      </c>
      <c r="E201" s="53">
        <v>4.0088333330000001</v>
      </c>
      <c r="F201" s="48">
        <v>332</v>
      </c>
      <c r="G201" s="46">
        <v>73</v>
      </c>
      <c r="H201" s="46">
        <v>73319</v>
      </c>
      <c r="I201" s="55" t="s">
        <v>71</v>
      </c>
      <c r="J201" s="55" t="s">
        <v>360</v>
      </c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0</v>
      </c>
      <c r="AQ201" s="89" t="str">
        <f t="shared" si="17"/>
        <v/>
      </c>
      <c r="AR201" s="89">
        <f>IFERROR(VLOOKUP(A201,Climatologia!A:U,9+$E$2,FALSE),"")</f>
        <v>22.329466444879628</v>
      </c>
      <c r="AS201" s="89" t="str">
        <f t="shared" si="18"/>
        <v/>
      </c>
      <c r="AT201" s="90" t="str">
        <f t="shared" si="19"/>
        <v/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18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201" s="122" t="str">
        <f t="shared" si="20"/>
        <v>NA</v>
      </c>
    </row>
    <row r="202" spans="1:49" ht="14.25" customHeight="1" x14ac:dyDescent="0.2">
      <c r="A202" s="120">
        <v>21235010</v>
      </c>
      <c r="B202" s="52" t="s">
        <v>364</v>
      </c>
      <c r="C202" s="52" t="s">
        <v>356</v>
      </c>
      <c r="D202" s="53">
        <v>-74.702388889999995</v>
      </c>
      <c r="E202" s="53">
        <v>4.5618055560000004</v>
      </c>
      <c r="F202" s="48">
        <v>297</v>
      </c>
      <c r="G202" s="46">
        <v>25</v>
      </c>
      <c r="H202" s="46">
        <v>25368</v>
      </c>
      <c r="I202" s="55" t="s">
        <v>74</v>
      </c>
      <c r="J202" s="55" t="s">
        <v>365</v>
      </c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0</v>
      </c>
      <c r="AQ202" s="89" t="str">
        <f t="shared" si="17"/>
        <v/>
      </c>
      <c r="AR202" s="89" t="str">
        <f>IFERROR(VLOOKUP(A202,Climatologia!A:U,9+$E$2,FALSE),"")</f>
        <v/>
      </c>
      <c r="AS202" s="89" t="str">
        <f t="shared" si="18"/>
        <v/>
      </c>
      <c r="AT202" s="90" t="str">
        <f t="shared" si="19"/>
        <v/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18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202" s="122" t="str">
        <f t="shared" si="20"/>
        <v>NA</v>
      </c>
    </row>
    <row r="203" spans="1:49" ht="14.25" customHeight="1" x14ac:dyDescent="0.2">
      <c r="A203" s="120">
        <v>21245010</v>
      </c>
      <c r="B203" s="52" t="s">
        <v>366</v>
      </c>
      <c r="C203" s="52" t="s">
        <v>356</v>
      </c>
      <c r="D203" s="53">
        <v>-75.200522219999996</v>
      </c>
      <c r="E203" s="53">
        <v>4.4296666670000002</v>
      </c>
      <c r="F203" s="48">
        <v>826</v>
      </c>
      <c r="G203" s="46">
        <v>73</v>
      </c>
      <c r="H203" s="46">
        <v>73001</v>
      </c>
      <c r="I203" s="55" t="s">
        <v>71</v>
      </c>
      <c r="J203" s="55" t="s">
        <v>72</v>
      </c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0</v>
      </c>
      <c r="AQ203" s="89" t="str">
        <f t="shared" si="17"/>
        <v/>
      </c>
      <c r="AR203" s="89" t="str">
        <f>IFERROR(VLOOKUP(A203,Climatologia!A:U,9+$E$2,FALSE),"")</f>
        <v/>
      </c>
      <c r="AS203" s="89" t="str">
        <f t="shared" si="18"/>
        <v/>
      </c>
      <c r="AT203" s="90" t="str">
        <f t="shared" si="19"/>
        <v/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16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203" s="122" t="str">
        <f t="shared" si="20"/>
        <v>NA</v>
      </c>
    </row>
    <row r="204" spans="1:49" ht="14.25" customHeight="1" x14ac:dyDescent="0.2">
      <c r="A204" s="120">
        <v>21245140</v>
      </c>
      <c r="B204" s="52" t="s">
        <v>367</v>
      </c>
      <c r="C204" s="52" t="s">
        <v>356</v>
      </c>
      <c r="D204" s="53">
        <v>-75.09445556</v>
      </c>
      <c r="E204" s="53">
        <v>4.7118611110000002</v>
      </c>
      <c r="F204" s="48">
        <v>2288</v>
      </c>
      <c r="G204" s="46">
        <v>73</v>
      </c>
      <c r="H204" s="46">
        <v>73686</v>
      </c>
      <c r="I204" s="55" t="s">
        <v>71</v>
      </c>
      <c r="J204" s="55" t="s">
        <v>367</v>
      </c>
      <c r="K204" s="51">
        <v>15.4</v>
      </c>
      <c r="L204" s="51">
        <v>14</v>
      </c>
      <c r="M204" s="51">
        <v>14</v>
      </c>
      <c r="N204" s="51">
        <v>12</v>
      </c>
      <c r="O204" s="51">
        <v>13.2</v>
      </c>
      <c r="P204" s="51">
        <v>13.8</v>
      </c>
      <c r="Q204" s="51">
        <v>13.4</v>
      </c>
      <c r="R204" s="51">
        <v>13.8</v>
      </c>
      <c r="S204" s="51">
        <v>14</v>
      </c>
      <c r="T204" s="51">
        <v>14</v>
      </c>
      <c r="U204" s="51">
        <v>14.2</v>
      </c>
      <c r="V204" s="51">
        <v>13.6</v>
      </c>
      <c r="W204" s="51">
        <v>12.4</v>
      </c>
      <c r="X204" s="51">
        <v>12</v>
      </c>
      <c r="Y204" s="51">
        <v>14.4</v>
      </c>
      <c r="Z204" s="111">
        <v>14.6</v>
      </c>
      <c r="AA204" s="51">
        <v>15.2</v>
      </c>
      <c r="AB204" s="51">
        <v>16.600000000000001</v>
      </c>
      <c r="AC204" s="51">
        <v>14.2</v>
      </c>
      <c r="AD204" s="51">
        <v>13.6</v>
      </c>
      <c r="AE204" s="51">
        <v>13.2</v>
      </c>
      <c r="AF204" s="51">
        <v>13</v>
      </c>
      <c r="AG204" s="51">
        <v>13.2</v>
      </c>
      <c r="AH204" s="51">
        <v>13</v>
      </c>
      <c r="AI204" s="51">
        <v>13</v>
      </c>
      <c r="AJ204" s="51">
        <v>12.6</v>
      </c>
      <c r="AK204" s="51">
        <v>12.4</v>
      </c>
      <c r="AL204" s="51"/>
      <c r="AM204" s="51"/>
      <c r="AN204" s="51"/>
      <c r="AO204" s="51"/>
      <c r="AP204" s="88">
        <f t="shared" si="16"/>
        <v>27</v>
      </c>
      <c r="AQ204" s="89">
        <f t="shared" si="17"/>
        <v>13.659259259259258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12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10.199999999999999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204" s="122">
        <f t="shared" si="20"/>
        <v>1.8000000000000007</v>
      </c>
    </row>
    <row r="205" spans="1:49" ht="14.25" customHeight="1" x14ac:dyDescent="0.2">
      <c r="A205" s="120">
        <v>21205740</v>
      </c>
      <c r="B205" s="52" t="s">
        <v>394</v>
      </c>
      <c r="C205" s="52" t="s">
        <v>383</v>
      </c>
      <c r="D205" s="53">
        <v>-73.70141667</v>
      </c>
      <c r="E205" s="53">
        <v>5.1177222220000003</v>
      </c>
      <c r="F205" s="48">
        <v>2709</v>
      </c>
      <c r="G205" s="46">
        <v>25</v>
      </c>
      <c r="H205" s="46">
        <v>25183</v>
      </c>
      <c r="I205" s="55" t="s">
        <v>74</v>
      </c>
      <c r="J205" s="55" t="s">
        <v>395</v>
      </c>
      <c r="K205" s="51">
        <v>7.8</v>
      </c>
      <c r="L205" s="51">
        <v>8.1999999999999993</v>
      </c>
      <c r="M205" s="51">
        <v>8.6</v>
      </c>
      <c r="N205" s="51">
        <v>9.1999999999999993</v>
      </c>
      <c r="O205" s="51">
        <v>10</v>
      </c>
      <c r="P205" s="51">
        <v>10.4</v>
      </c>
      <c r="Q205" s="51">
        <v>10.6</v>
      </c>
      <c r="R205" s="51">
        <v>11</v>
      </c>
      <c r="S205" s="51">
        <v>11.2</v>
      </c>
      <c r="T205" s="51">
        <v>11.6</v>
      </c>
      <c r="U205" s="51">
        <v>6.4</v>
      </c>
      <c r="V205" s="51">
        <v>7.2</v>
      </c>
      <c r="W205" s="51">
        <v>7.4</v>
      </c>
      <c r="X205" s="51">
        <v>7.8</v>
      </c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14</v>
      </c>
      <c r="AQ205" s="89" t="str">
        <f t="shared" si="17"/>
        <v/>
      </c>
      <c r="AR205" s="89">
        <f>IFERROR(VLOOKUP(A205,Climatologia!A:U,9+$E$2,FALSE),"")</f>
        <v>8.1093100992191847</v>
      </c>
      <c r="AS205" s="89" t="str">
        <f t="shared" si="18"/>
        <v/>
      </c>
      <c r="AT205" s="90">
        <f t="shared" si="19"/>
        <v>6.4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0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205" s="122">
        <f t="shared" si="20"/>
        <v>6.4</v>
      </c>
    </row>
    <row r="206" spans="1:49" ht="14.25" customHeight="1" x14ac:dyDescent="0.2">
      <c r="A206" s="120">
        <v>21206650</v>
      </c>
      <c r="B206" s="52" t="s">
        <v>412</v>
      </c>
      <c r="C206" s="52" t="s">
        <v>383</v>
      </c>
      <c r="D206" s="53">
        <v>-74.088222221999999</v>
      </c>
      <c r="E206" s="53">
        <v>4.5167527779999999</v>
      </c>
      <c r="F206" s="48">
        <v>3100</v>
      </c>
      <c r="G206" s="46">
        <v>11</v>
      </c>
      <c r="H206" s="46">
        <v>11001</v>
      </c>
      <c r="I206" s="55" t="s">
        <v>409</v>
      </c>
      <c r="J206" s="55" t="s">
        <v>410</v>
      </c>
      <c r="K206" s="51">
        <v>5</v>
      </c>
      <c r="L206" s="51">
        <v>5.4</v>
      </c>
      <c r="M206" s="51">
        <v>5.8</v>
      </c>
      <c r="N206" s="51">
        <v>5.2</v>
      </c>
      <c r="O206" s="51">
        <v>5.6</v>
      </c>
      <c r="P206" s="51">
        <v>5</v>
      </c>
      <c r="Q206" s="51">
        <v>4.8</v>
      </c>
      <c r="R206" s="51">
        <v>4.4000000000000004</v>
      </c>
      <c r="S206" s="51">
        <v>4.8</v>
      </c>
      <c r="T206" s="51">
        <v>4.4000000000000004</v>
      </c>
      <c r="U206" s="51">
        <v>5.2</v>
      </c>
      <c r="V206" s="51">
        <v>5.6</v>
      </c>
      <c r="W206" s="51">
        <v>5.2</v>
      </c>
      <c r="X206" s="51">
        <v>5.4</v>
      </c>
      <c r="Y206" s="51">
        <v>5.8</v>
      </c>
      <c r="Z206" s="111">
        <v>5</v>
      </c>
      <c r="AA206" s="51">
        <v>5.2</v>
      </c>
      <c r="AB206" s="51">
        <v>5</v>
      </c>
      <c r="AC206" s="51">
        <v>4.5999999999999996</v>
      </c>
      <c r="AD206" s="51">
        <v>5.4</v>
      </c>
      <c r="AE206" s="51">
        <v>6</v>
      </c>
      <c r="AF206" s="51">
        <v>6.4</v>
      </c>
      <c r="AG206" s="51">
        <v>5.4</v>
      </c>
      <c r="AH206" s="51">
        <v>5</v>
      </c>
      <c r="AI206" s="51">
        <v>5.2</v>
      </c>
      <c r="AJ206" s="51">
        <v>4.4000000000000004</v>
      </c>
      <c r="AK206" s="51">
        <v>4.5999999999999996</v>
      </c>
      <c r="AL206" s="51"/>
      <c r="AM206" s="51"/>
      <c r="AN206" s="51"/>
      <c r="AO206" s="51"/>
      <c r="AP206" s="88">
        <f t="shared" si="16"/>
        <v>27</v>
      </c>
      <c r="AQ206" s="89">
        <f t="shared" si="17"/>
        <v>5.177777777777778</v>
      </c>
      <c r="AR206" s="89" t="str">
        <f>IFERROR(VLOOKUP(A206,Climatologia!A:U,9+$E$2,FALSE),"")</f>
        <v/>
      </c>
      <c r="AS206" s="89" t="str">
        <f t="shared" si="18"/>
        <v/>
      </c>
      <c r="AT206" s="90">
        <f t="shared" si="19"/>
        <v>4.4000000000000004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6" s="122">
        <f t="shared" si="20"/>
        <v>2.4000000000000004</v>
      </c>
    </row>
    <row r="207" spans="1:49" ht="14.25" customHeight="1" x14ac:dyDescent="0.2">
      <c r="A207" s="120">
        <v>23065110</v>
      </c>
      <c r="B207" s="52" t="s">
        <v>413</v>
      </c>
      <c r="C207" s="52" t="s">
        <v>383</v>
      </c>
      <c r="D207" s="53">
        <v>-74.351249999999993</v>
      </c>
      <c r="E207" s="53">
        <v>5.4812099999999999</v>
      </c>
      <c r="F207" s="48">
        <v>1347</v>
      </c>
      <c r="G207" s="46">
        <v>25</v>
      </c>
      <c r="H207" s="46">
        <v>25885</v>
      </c>
      <c r="I207" s="55" t="s">
        <v>74</v>
      </c>
      <c r="J207" s="55" t="s">
        <v>414</v>
      </c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0</v>
      </c>
      <c r="AQ207" s="89" t="str">
        <f t="shared" si="17"/>
        <v/>
      </c>
      <c r="AR207" s="89">
        <f>IFERROR(VLOOKUP(A207,Climatologia!A:U,9+$E$2,FALSE),"")</f>
        <v>17.563073923478811</v>
      </c>
      <c r="AS207" s="89" t="str">
        <f t="shared" si="18"/>
        <v/>
      </c>
      <c r="AT207" s="90" t="str">
        <f t="shared" si="19"/>
        <v/>
      </c>
      <c r="AU207" s="90" t="str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/>
      </c>
      <c r="AV207" s="91" t="str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7" s="122" t="str">
        <f t="shared" si="20"/>
        <v>NA</v>
      </c>
    </row>
    <row r="208" spans="1:49" ht="14.25" customHeight="1" x14ac:dyDescent="0.2">
      <c r="A208" s="133">
        <v>47075010</v>
      </c>
      <c r="B208" s="134" t="s">
        <v>419</v>
      </c>
      <c r="C208" s="134" t="s">
        <v>383</v>
      </c>
      <c r="D208" s="135">
        <v>-72.789583332999996</v>
      </c>
      <c r="E208" s="135">
        <v>-1.4446111109999999</v>
      </c>
      <c r="F208" s="136">
        <v>160</v>
      </c>
      <c r="G208" s="137">
        <v>91</v>
      </c>
      <c r="H208" s="137">
        <v>91405</v>
      </c>
      <c r="I208" s="138" t="s">
        <v>99</v>
      </c>
      <c r="J208" s="138" t="s">
        <v>419</v>
      </c>
      <c r="K208" s="139">
        <v>20</v>
      </c>
      <c r="L208" s="139">
        <v>20.399999999999999</v>
      </c>
      <c r="M208" s="139">
        <v>19.8</v>
      </c>
      <c r="N208" s="139">
        <v>19.600000000000001</v>
      </c>
      <c r="O208" s="139">
        <v>20.399999999999999</v>
      </c>
      <c r="P208" s="139">
        <v>20.6</v>
      </c>
      <c r="Q208" s="139">
        <v>20.399999999999999</v>
      </c>
      <c r="R208" s="139">
        <v>20</v>
      </c>
      <c r="S208" s="139">
        <v>20.8</v>
      </c>
      <c r="T208" s="139">
        <v>21</v>
      </c>
      <c r="U208" s="139">
        <v>21.2</v>
      </c>
      <c r="V208" s="139">
        <v>21</v>
      </c>
      <c r="W208" s="139">
        <v>20</v>
      </c>
      <c r="X208" s="139">
        <v>19</v>
      </c>
      <c r="Y208" s="139">
        <v>20</v>
      </c>
      <c r="Z208" s="140">
        <v>20.399999999999999</v>
      </c>
      <c r="AA208" s="139">
        <v>20.8</v>
      </c>
      <c r="AB208" s="139">
        <v>20.2</v>
      </c>
      <c r="AC208" s="139">
        <v>20.8</v>
      </c>
      <c r="AD208" s="139">
        <v>21.4</v>
      </c>
      <c r="AE208" s="139">
        <v>20.8</v>
      </c>
      <c r="AF208" s="139">
        <v>21</v>
      </c>
      <c r="AG208" s="139">
        <v>21.4</v>
      </c>
      <c r="AH208" s="139">
        <v>22</v>
      </c>
      <c r="AI208" s="139">
        <v>22.4</v>
      </c>
      <c r="AJ208" s="139">
        <v>22.8</v>
      </c>
      <c r="AK208" s="139">
        <v>22</v>
      </c>
      <c r="AL208" s="139"/>
      <c r="AM208" s="139"/>
      <c r="AN208" s="139"/>
      <c r="AO208" s="139"/>
      <c r="AP208" s="141">
        <f t="shared" si="16"/>
        <v>27</v>
      </c>
      <c r="AQ208" s="142">
        <f t="shared" si="17"/>
        <v>20.748148148148147</v>
      </c>
      <c r="AR208" s="142" t="str">
        <f>IFERROR(VLOOKUP(A208,Climatologia!A:U,9+$E$2,FALSE),"")</f>
        <v/>
      </c>
      <c r="AS208" s="142" t="str">
        <f t="shared" si="18"/>
        <v/>
      </c>
      <c r="AT208" s="143">
        <f t="shared" si="19"/>
        <v>19</v>
      </c>
      <c r="AU208" s="143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144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8" s="145">
        <f t="shared" si="20"/>
        <v>1.8000000000000007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7" stopIfTrue="1" operator="equal">
      <formula>1</formula>
    </cfRule>
  </conditionalFormatting>
  <conditionalFormatting sqref="U209">
    <cfRule type="cellIs" dxfId="12" priority="6" stopIfTrue="1" operator="equal">
      <formula>1</formula>
    </cfRule>
  </conditionalFormatting>
  <conditionalFormatting sqref="AP5:AP208">
    <cfRule type="cellIs" dxfId="11" priority="5" operator="lessThan">
      <formula>14</formula>
    </cfRule>
  </conditionalFormatting>
  <conditionalFormatting sqref="AR1">
    <cfRule type="cellIs" dxfId="10" priority="10" stopIfTrue="1" operator="between">
      <formula>0.1</formula>
      <formula>10</formula>
    </cfRule>
    <cfRule type="cellIs" dxfId="9" priority="11" stopIfTrue="1" operator="greaterThan">
      <formula>"0.1"</formula>
    </cfRule>
  </conditionalFormatting>
  <conditionalFormatting sqref="AT5:AT208">
    <cfRule type="cellIs" dxfId="8" priority="12" stopIfTrue="1" operator="equal">
      <formula>"40.0"</formula>
    </cfRule>
    <cfRule type="cellIs" dxfId="7" priority="13" stopIfTrue="1" operator="between">
      <formula>-8.1</formula>
      <formula>-10</formula>
    </cfRule>
    <cfRule type="cellIs" dxfId="6" priority="14" stopIfTrue="1" operator="between">
      <formula>-9.9</formula>
      <formula>-10</formula>
    </cfRule>
    <cfRule type="cellIs" dxfId="5" priority="15" stopIfTrue="1" operator="between">
      <formula>-9.9</formula>
      <formula>-10</formula>
    </cfRule>
    <cfRule type="cellIs" dxfId="4" priority="16" stopIfTrue="1" operator="between">
      <formula>0</formula>
      <formula>-8</formula>
    </cfRule>
    <cfRule type="cellIs" dxfId="3" priority="17" stopIfTrue="1" operator="lessThan">
      <formula>-8</formula>
    </cfRule>
  </conditionalFormatting>
  <conditionalFormatting sqref="AW5:AW208">
    <cfRule type="cellIs" dxfId="2" priority="4" operator="equal">
      <formula>"NA"</formula>
    </cfRule>
    <cfRule type="cellIs" dxfId="1" priority="8" stopIfTrue="1" operator="lessThan">
      <formula>0</formula>
    </cfRule>
    <cfRule type="cellIs" dxfId="0" priority="9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1296</v>
      </c>
      <c r="B1" s="45" t="s">
        <v>1297</v>
      </c>
      <c r="C1" s="45" t="s">
        <v>1298</v>
      </c>
      <c r="D1" s="45" t="s">
        <v>1299</v>
      </c>
    </row>
    <row r="2" spans="1:4" ht="38.25" customHeight="1" x14ac:dyDescent="0.2">
      <c r="A2" s="34">
        <v>46071</v>
      </c>
      <c r="B2" s="33" t="s">
        <v>1300</v>
      </c>
      <c r="C2" s="32" t="s">
        <v>1301</v>
      </c>
      <c r="D2" s="33" t="s">
        <v>1302</v>
      </c>
    </row>
    <row r="3" spans="1:4" ht="51" customHeight="1" x14ac:dyDescent="0.2">
      <c r="A3" s="60">
        <v>46076</v>
      </c>
      <c r="B3" s="61" t="s">
        <v>1300</v>
      </c>
      <c r="C3" s="62" t="s">
        <v>1303</v>
      </c>
      <c r="D3" s="61" t="s">
        <v>1302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Temperatura</vt:lpstr>
      <vt:lpstr>Climatologia</vt:lpstr>
      <vt:lpstr>Minimos</vt:lpstr>
      <vt:lpstr>Temperatura (2)</vt:lpstr>
      <vt:lpstr>Control_Cambios</vt:lpstr>
      <vt:lpstr>Temperatura!Área_de_impresión</vt:lpstr>
      <vt:lpstr>'Temperatura (2)'!Área_de_impresión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2026-08-01T15:28:17Z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2026-08-01T15:28:17Z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930f2596-48fd-42c9-8333-f53268470f5c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