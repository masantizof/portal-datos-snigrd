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8433808-27B3-45FB-8393-5CBB1BA79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Temperatura!$U$1:$U$472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W284" i="1" s="1"/>
  <c r="AT284" i="1"/>
  <c r="AR284" i="1"/>
  <c r="AP284" i="1"/>
  <c r="AQ284" i="1" s="1"/>
  <c r="AV283" i="1" a="1"/>
  <c r="AV283" i="1" s="1"/>
  <c r="AU283" i="1" a="1"/>
  <c r="AU283" i="1" s="1"/>
  <c r="AW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W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W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W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W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W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S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W239" i="1" s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W236" i="1" s="1"/>
  <c r="AT236" i="1"/>
  <c r="AR236" i="1"/>
  <c r="AP236" i="1"/>
  <c r="AQ236" i="1" s="1"/>
  <c r="AV235" i="1" a="1"/>
  <c r="AV235" i="1" s="1"/>
  <c r="AU235" i="1" a="1"/>
  <c r="AU235" i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S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S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S205" i="1" s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W200" i="1" s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W190" i="1" s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W170" i="1" s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W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W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W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W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W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W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/>
  <c r="AW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W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W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W49" i="1" s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W25" i="1" s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W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6" i="1" l="1"/>
  <c r="AS9" i="1"/>
  <c r="AW158" i="1"/>
  <c r="AW238" i="1"/>
  <c r="AW9" i="1"/>
  <c r="AW104" i="1"/>
  <c r="AW286" i="1"/>
  <c r="AW167" i="1"/>
  <c r="AW175" i="1"/>
  <c r="AW183" i="1"/>
  <c r="AW195" i="1"/>
  <c r="AW203" i="1"/>
  <c r="AS251" i="1"/>
  <c r="AS259" i="1"/>
  <c r="AS271" i="1"/>
  <c r="AW6" i="1"/>
  <c r="AS30" i="1"/>
  <c r="AW73" i="1"/>
  <c r="AW81" i="1"/>
  <c r="AW97" i="1"/>
  <c r="AW132" i="1"/>
  <c r="AW144" i="1"/>
  <c r="AW156" i="1"/>
  <c r="AW160" i="1"/>
  <c r="AS11" i="1"/>
  <c r="AW196" i="1"/>
  <c r="AW220" i="1"/>
  <c r="AS133" i="1"/>
  <c r="AW133" i="1"/>
  <c r="AS161" i="1"/>
  <c r="AS169" i="1"/>
  <c r="AS189" i="1"/>
  <c r="AS35" i="1"/>
  <c r="AS39" i="1"/>
  <c r="AS43" i="1"/>
  <c r="AW110" i="1"/>
  <c r="AS221" i="1"/>
  <c r="AS63" i="1"/>
  <c r="AW141" i="1"/>
  <c r="AS75" i="1"/>
  <c r="AS265" i="1"/>
  <c r="AS186" i="1"/>
  <c r="AS56" i="1"/>
  <c r="AW152" i="1"/>
  <c r="AW114" i="1"/>
  <c r="AW17" i="1"/>
  <c r="AS25" i="1"/>
  <c r="AW48" i="1"/>
  <c r="AS103" i="1"/>
  <c r="AS130" i="1"/>
  <c r="AS137" i="1"/>
  <c r="AW222" i="1"/>
  <c r="AW230" i="1"/>
  <c r="AW95" i="1"/>
  <c r="AW126" i="1"/>
  <c r="AW130" i="1"/>
  <c r="AW258" i="1"/>
  <c r="AW270" i="1"/>
  <c r="AW274" i="1"/>
  <c r="AS18" i="1"/>
  <c r="AW29" i="1"/>
  <c r="AW41" i="1"/>
  <c r="AS53" i="1"/>
  <c r="AS57" i="1"/>
  <c r="AW107" i="1"/>
  <c r="AS115" i="1"/>
  <c r="AS184" i="1"/>
  <c r="AS104" i="1"/>
  <c r="AW115" i="1"/>
  <c r="AW134" i="1"/>
  <c r="AS142" i="1"/>
  <c r="AW176" i="1"/>
  <c r="AS196" i="1"/>
  <c r="AW215" i="1"/>
  <c r="AS287" i="1"/>
  <c r="AW14" i="1"/>
  <c r="AW92" i="1"/>
  <c r="AW138" i="1"/>
  <c r="AS181" i="1"/>
  <c r="AS216" i="1"/>
  <c r="AS15" i="1"/>
  <c r="AS26" i="1"/>
  <c r="AW34" i="1"/>
  <c r="AW108" i="1"/>
  <c r="AS27" i="1"/>
  <c r="AW46" i="1"/>
  <c r="AW50" i="1"/>
  <c r="AS101" i="1"/>
  <c r="AS124" i="1"/>
  <c r="AS193" i="1"/>
  <c r="AW216" i="1"/>
  <c r="AW228" i="1"/>
  <c r="AW232" i="1"/>
  <c r="AS252" i="1"/>
  <c r="AS272" i="1"/>
  <c r="AS151" i="1"/>
  <c r="AW240" i="1"/>
  <c r="AW93" i="1"/>
  <c r="AS174" i="1"/>
  <c r="AS178" i="1"/>
  <c r="AS209" i="1"/>
  <c r="AW260" i="1"/>
  <c r="AW264" i="1"/>
  <c r="AW268" i="1"/>
  <c r="AW272" i="1"/>
  <c r="AS288" i="1"/>
  <c r="AW58" i="1"/>
  <c r="AW23" i="1"/>
  <c r="AW155" i="1"/>
  <c r="AS32" i="1"/>
  <c r="AW82" i="1"/>
  <c r="AW86" i="1"/>
  <c r="AS140" i="1"/>
  <c r="AW225" i="1"/>
  <c r="AS245" i="1"/>
  <c r="AS249" i="1"/>
  <c r="AS257" i="1"/>
  <c r="AS179" i="1"/>
  <c r="AS210" i="1"/>
  <c r="AW90" i="1"/>
  <c r="AW24" i="1"/>
  <c r="AW32" i="1"/>
  <c r="AS187" i="1"/>
  <c r="AS40" i="1"/>
  <c r="AW210" i="1"/>
  <c r="AS246" i="1"/>
  <c r="AS250" i="1"/>
  <c r="AS52" i="1"/>
  <c r="AS67" i="1"/>
  <c r="AS82" i="1"/>
  <c r="AW85" i="1"/>
  <c r="AW122" i="1"/>
  <c r="AS7" i="1"/>
  <c r="AS29" i="1"/>
  <c r="AW36" i="1"/>
  <c r="AW40" i="1"/>
  <c r="AW44" i="1"/>
  <c r="AW63" i="1"/>
  <c r="AS71" i="1"/>
  <c r="AS108" i="1"/>
  <c r="AS119" i="1"/>
  <c r="AW148" i="1"/>
  <c r="AW212" i="1"/>
  <c r="AW186" i="1"/>
  <c r="AW243" i="1"/>
  <c r="AW247" i="1"/>
  <c r="AS267" i="1"/>
  <c r="AS37" i="1"/>
  <c r="AS41" i="1"/>
  <c r="AS64" i="1"/>
  <c r="AS79" i="1"/>
  <c r="AW137" i="1"/>
  <c r="AS141" i="1"/>
  <c r="AW224" i="1"/>
  <c r="AW267" i="1"/>
  <c r="AS49" i="1"/>
  <c r="AS68" i="1"/>
  <c r="AS90" i="1"/>
  <c r="AS94" i="1"/>
  <c r="AS105" i="1"/>
  <c r="AW205" i="1"/>
  <c r="AW112" i="1"/>
  <c r="AW123" i="1"/>
  <c r="AW271" i="1"/>
  <c r="AW105" i="1"/>
  <c r="AS120" i="1"/>
  <c r="AW145" i="1"/>
  <c r="AW149" i="1"/>
  <c r="AS153" i="1"/>
  <c r="AS229" i="1"/>
  <c r="AS233" i="1"/>
  <c r="AS264" i="1"/>
  <c r="AS8" i="1"/>
  <c r="AS168" i="1"/>
  <c r="AW198" i="1"/>
  <c r="AW252" i="1"/>
  <c r="AW287" i="1"/>
  <c r="AW68" i="1"/>
  <c r="AS19" i="1"/>
  <c r="AW26" i="1"/>
  <c r="AS38" i="1"/>
  <c r="AS42" i="1"/>
  <c r="AS61" i="1"/>
  <c r="AW72" i="1"/>
  <c r="AS76" i="1"/>
  <c r="AS83" i="1"/>
  <c r="AS102" i="1"/>
  <c r="AW120" i="1"/>
  <c r="AS128" i="1"/>
  <c r="AW164" i="1"/>
  <c r="AS23" i="1"/>
  <c r="AS46" i="1"/>
  <c r="AS50" i="1"/>
  <c r="AW57" i="1"/>
  <c r="AW168" i="1"/>
  <c r="AW187" i="1"/>
  <c r="AS191" i="1"/>
  <c r="AS195" i="1"/>
  <c r="AS214" i="1"/>
  <c r="AS218" i="1"/>
  <c r="AW80" i="1"/>
  <c r="AW157" i="1"/>
  <c r="AW33" i="1"/>
  <c r="AW19" i="1"/>
  <c r="AS31" i="1"/>
  <c r="AW38" i="1"/>
  <c r="AW42" i="1"/>
  <c r="AW61" i="1"/>
  <c r="AW65" i="1"/>
  <c r="AW76" i="1"/>
  <c r="AS99" i="1"/>
  <c r="AW102" i="1"/>
  <c r="AW106" i="1"/>
  <c r="AS110" i="1"/>
  <c r="AS165" i="1"/>
  <c r="AW180" i="1"/>
  <c r="AW191" i="1"/>
  <c r="AW214" i="1"/>
  <c r="AW218" i="1"/>
  <c r="AS234" i="1"/>
  <c r="AW245" i="1"/>
  <c r="AW276" i="1"/>
  <c r="AW280" i="1"/>
  <c r="AW12" i="1"/>
  <c r="AW27" i="1"/>
  <c r="AW253" i="1"/>
  <c r="AW265" i="1"/>
  <c r="AS269" i="1"/>
  <c r="AS273" i="1"/>
  <c r="AW150" i="1"/>
  <c r="AW31" i="1"/>
  <c r="AS47" i="1"/>
  <c r="AS51" i="1"/>
  <c r="AS66" i="1"/>
  <c r="AS81" i="1"/>
  <c r="AW88" i="1"/>
  <c r="AS125" i="1"/>
  <c r="AS173" i="1"/>
  <c r="AS192" i="1"/>
  <c r="AW207" i="1"/>
  <c r="AS211" i="1"/>
  <c r="AW269" i="1"/>
  <c r="AS147" i="1"/>
  <c r="AS285" i="1"/>
  <c r="AW96" i="1"/>
  <c r="AW103" i="1"/>
  <c r="AW125" i="1"/>
  <c r="AS185" i="1"/>
  <c r="AS204" i="1"/>
  <c r="AS227" i="1"/>
  <c r="AW246" i="1"/>
  <c r="AS266" i="1"/>
  <c r="AW273" i="1"/>
  <c r="AW285" i="1"/>
  <c r="AW35" i="1"/>
  <c r="AW62" i="1"/>
  <c r="AW47" i="1"/>
  <c r="AW51" i="1"/>
  <c r="AS59" i="1"/>
  <c r="AW66" i="1"/>
  <c r="AS85" i="1"/>
  <c r="AW136" i="1"/>
  <c r="AW162" i="1"/>
  <c r="AS10" i="1"/>
  <c r="AS36" i="1"/>
  <c r="AW185" i="1"/>
  <c r="AW204" i="1"/>
  <c r="AS208" i="1"/>
  <c r="AW266" i="1"/>
  <c r="AS274" i="1"/>
  <c r="AW227" i="1"/>
  <c r="AS28" i="1"/>
  <c r="AS55" i="1"/>
  <c r="AS111" i="1"/>
  <c r="AS118" i="1"/>
  <c r="AS121" i="1"/>
  <c r="AW127" i="1"/>
  <c r="AW140" i="1"/>
  <c r="AS148" i="1"/>
  <c r="AS158" i="1"/>
  <c r="AS176" i="1"/>
  <c r="AW208" i="1"/>
  <c r="AS244" i="1"/>
  <c r="AS254" i="1"/>
  <c r="AS279" i="1"/>
  <c r="AS286" i="1"/>
  <c r="AS131" i="1"/>
  <c r="AS134" i="1"/>
  <c r="AW165" i="1"/>
  <c r="AW172" i="1"/>
  <c r="AW194" i="1"/>
  <c r="AS198" i="1"/>
  <c r="AW219" i="1"/>
  <c r="AS223" i="1"/>
  <c r="AW226" i="1"/>
  <c r="AW229" i="1"/>
  <c r="AS258" i="1"/>
  <c r="AW20" i="1"/>
  <c r="AS212" i="1"/>
  <c r="AS237" i="1"/>
  <c r="AW244" i="1"/>
  <c r="AW254" i="1"/>
  <c r="AS283" i="1"/>
  <c r="AW10" i="1"/>
  <c r="AS45" i="1"/>
  <c r="AS72" i="1"/>
  <c r="AW21" i="1"/>
  <c r="AS22" i="1"/>
  <c r="AW45" i="1"/>
  <c r="AW98" i="1"/>
  <c r="AW101" i="1"/>
  <c r="AW169" i="1"/>
  <c r="AW223" i="1"/>
  <c r="AW233" i="1"/>
  <c r="AW28" i="1"/>
  <c r="AW91" i="1"/>
  <c r="AW111" i="1"/>
  <c r="AW11" i="1"/>
  <c r="AS69" i="1"/>
  <c r="AW75" i="1"/>
  <c r="AS92" i="1"/>
  <c r="AS112" i="1"/>
  <c r="AS122" i="1"/>
  <c r="AW128" i="1"/>
  <c r="AS159" i="1"/>
  <c r="AS166" i="1"/>
  <c r="AS177" i="1"/>
  <c r="AW184" i="1"/>
  <c r="AS188" i="1"/>
  <c r="AW202" i="1"/>
  <c r="AS206" i="1"/>
  <c r="AS230" i="1"/>
  <c r="AW241" i="1"/>
  <c r="AS248" i="1"/>
  <c r="AS255" i="1"/>
  <c r="AW262" i="1"/>
  <c r="AS276" i="1"/>
  <c r="AW209" i="1"/>
  <c r="AW78" i="1"/>
  <c r="AW18" i="1"/>
  <c r="AW55" i="1"/>
  <c r="AW118" i="1"/>
  <c r="AW8" i="1"/>
  <c r="AS12" i="1"/>
  <c r="AW15" i="1"/>
  <c r="AS156" i="1"/>
  <c r="AW159" i="1"/>
  <c r="AS163" i="1"/>
  <c r="AW166" i="1"/>
  <c r="AW173" i="1"/>
  <c r="AW177" i="1"/>
  <c r="AW188" i="1"/>
  <c r="AW206" i="1"/>
  <c r="AS213" i="1"/>
  <c r="AS224" i="1"/>
  <c r="AS238" i="1"/>
  <c r="AW251" i="1"/>
  <c r="AW255" i="1"/>
  <c r="AW22" i="1"/>
  <c r="AW39" i="1"/>
  <c r="AW5" i="1"/>
  <c r="AS16" i="1"/>
  <c r="AS33" i="1"/>
  <c r="AW59" i="1"/>
  <c r="AW69" i="1"/>
  <c r="AS73" i="1"/>
  <c r="AW79" i="1"/>
  <c r="AS86" i="1"/>
  <c r="AS96" i="1"/>
  <c r="AS109" i="1"/>
  <c r="AS116" i="1"/>
  <c r="AW119" i="1"/>
  <c r="AS132" i="1"/>
  <c r="AS170" i="1"/>
  <c r="AW181" i="1"/>
  <c r="AS203" i="1"/>
  <c r="AS217" i="1"/>
  <c r="AW234" i="1"/>
  <c r="AS263" i="1"/>
  <c r="AS284" i="1"/>
  <c r="AS6" i="1"/>
  <c r="AS60" i="1"/>
  <c r="AS70" i="1"/>
  <c r="AS80" i="1"/>
  <c r="AS106" i="1"/>
  <c r="AS113" i="1"/>
  <c r="AW163" i="1"/>
  <c r="AW213" i="1"/>
  <c r="AW217" i="1"/>
  <c r="AS277" i="1"/>
  <c r="AS126" i="1"/>
  <c r="AW142" i="1"/>
  <c r="AW146" i="1"/>
  <c r="AW174" i="1"/>
  <c r="AW192" i="1"/>
  <c r="AS231" i="1"/>
  <c r="AS235" i="1"/>
  <c r="AW242" i="1"/>
  <c r="AS256" i="1"/>
  <c r="AS281" i="1"/>
  <c r="AS13" i="1"/>
  <c r="AW43" i="1"/>
  <c r="AW53" i="1"/>
  <c r="AW99" i="1"/>
  <c r="AW178" i="1"/>
  <c r="AW221" i="1"/>
  <c r="AS270" i="1"/>
  <c r="AS150" i="1"/>
  <c r="AS157" i="1"/>
  <c r="AS164" i="1"/>
  <c r="AW189" i="1"/>
  <c r="AS225" i="1"/>
  <c r="AW235" i="1"/>
  <c r="AW281" i="1"/>
  <c r="AW70" i="1"/>
  <c r="AW113" i="1"/>
  <c r="AS123" i="1"/>
  <c r="AP2" i="1"/>
  <c r="AS17" i="1"/>
  <c r="AW30" i="1"/>
  <c r="AS34" i="1"/>
  <c r="AS44" i="1"/>
  <c r="AS54" i="1"/>
  <c r="AS74" i="1"/>
  <c r="AW83" i="1"/>
  <c r="AS100" i="1"/>
  <c r="AS136" i="1"/>
  <c r="AS139" i="1"/>
  <c r="AS143" i="1"/>
  <c r="AS171" i="1"/>
  <c r="AS175" i="1"/>
  <c r="AW182" i="1"/>
  <c r="AW249" i="1"/>
  <c r="AS97" i="1"/>
  <c r="AS114" i="1"/>
  <c r="AS117" i="1"/>
  <c r="AW139" i="1"/>
  <c r="AS197" i="1"/>
  <c r="AS253" i="1"/>
  <c r="AS278" i="1"/>
  <c r="AW288" i="1"/>
  <c r="AW37" i="1"/>
  <c r="AW64" i="1"/>
  <c r="AW67" i="1"/>
  <c r="AW147" i="1"/>
  <c r="AS14" i="1"/>
  <c r="AS48" i="1"/>
  <c r="AW54" i="1"/>
  <c r="AS58" i="1"/>
  <c r="AW74" i="1"/>
  <c r="AW77" i="1"/>
  <c r="AW87" i="1"/>
  <c r="AW100" i="1"/>
  <c r="AW154" i="1"/>
  <c r="AW171" i="1"/>
  <c r="AW179" i="1"/>
  <c r="AS183" i="1"/>
  <c r="AS190" i="1"/>
  <c r="AW193" i="1"/>
  <c r="AW197" i="1"/>
  <c r="AS201" i="1"/>
  <c r="AS215" i="1"/>
  <c r="AS236" i="1"/>
  <c r="AS261" i="1"/>
  <c r="AW278" i="1"/>
  <c r="AS24" i="1"/>
  <c r="AW161" i="1"/>
  <c r="AW117" i="1"/>
  <c r="AS127" i="1"/>
  <c r="AW7" i="1"/>
  <c r="AS21" i="1"/>
  <c r="AS65" i="1"/>
  <c r="AW71" i="1"/>
  <c r="AS78" i="1"/>
  <c r="AS88" i="1"/>
  <c r="AS172" i="1"/>
  <c r="AS194" i="1"/>
  <c r="AW201" i="1"/>
  <c r="AW211" i="1"/>
  <c r="AS219" i="1"/>
  <c r="AS226" i="1"/>
  <c r="AW261" i="1"/>
  <c r="AS268" i="1"/>
  <c r="AS275" i="1"/>
  <c r="AW282" i="1"/>
  <c r="AW131" i="1"/>
  <c r="AW151" i="1"/>
  <c r="AW279" i="1"/>
  <c r="AW237" i="1"/>
  <c r="AS129" i="1"/>
  <c r="AW129" i="1"/>
  <c r="AW199" i="1"/>
  <c r="AW259" i="1"/>
  <c r="AW153" i="1"/>
  <c r="AW277" i="1"/>
  <c r="AW231" i="1"/>
  <c r="AW121" i="1"/>
  <c r="AW124" i="1"/>
  <c r="AW143" i="1"/>
  <c r="AW257" i="1"/>
  <c r="AS162" i="1"/>
  <c r="AS182" i="1"/>
  <c r="AS202" i="1"/>
  <c r="AS222" i="1"/>
  <c r="AS242" i="1"/>
  <c r="AS262" i="1"/>
  <c r="AS282" i="1"/>
  <c r="AS138" i="1"/>
  <c r="AS146" i="1"/>
  <c r="AS154" i="1"/>
  <c r="AS144" i="1"/>
  <c r="AS152" i="1"/>
  <c r="AS160" i="1"/>
  <c r="AS180" i="1"/>
  <c r="AS200" i="1"/>
  <c r="AS220" i="1"/>
  <c r="AS240" i="1"/>
  <c r="AS260" i="1"/>
  <c r="AS280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<sst xmlns="http://schemas.openxmlformats.org/spreadsheetml/2006/main" count="3701" uniqueCount="1289">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</sst>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zoomScale="80" zoomScaleNormal="80" workbookViewId="0">
      <selection activeCell="X474" sqref="X474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93" width="32.42578125" style="51" customWidth="1"/>
    <col min="194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39.6</v>
      </c>
      <c r="O2" s="92">
        <f t="shared" si="0"/>
        <v>40</v>
      </c>
      <c r="P2" s="92">
        <f t="shared" si="0"/>
        <v>40.200000000000003</v>
      </c>
      <c r="Q2" s="92">
        <f t="shared" si="0"/>
        <v>39</v>
      </c>
      <c r="R2" s="92">
        <f t="shared" si="0"/>
        <v>41.4</v>
      </c>
      <c r="S2" s="92">
        <f t="shared" si="0"/>
        <v>42</v>
      </c>
      <c r="T2" s="92">
        <f t="shared" si="0"/>
        <v>41.4</v>
      </c>
      <c r="U2" s="92">
        <f t="shared" si="0"/>
        <v>39.4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>
        <v>32.4</v>
      </c>
      <c r="O5" s="66">
        <v>32.6</v>
      </c>
      <c r="P5" s="66">
        <v>32.4</v>
      </c>
      <c r="Q5" s="66">
        <v>32</v>
      </c>
      <c r="R5" s="66">
        <v>32.200000000000003</v>
      </c>
      <c r="S5" s="66">
        <v>32.1</v>
      </c>
      <c r="T5" s="66">
        <v>32.200000000000003</v>
      </c>
      <c r="U5" s="66">
        <v>32.700000000000003</v>
      </c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11</v>
      </c>
      <c r="AQ5" s="68" t="str">
        <f t="shared" ref="AQ5:AQ68" si="2">IF(AP5&gt;14,AVERAGE(K5:AO5),"")</f>
        <v/>
      </c>
      <c r="AR5" s="68">
        <f>IFERROR(VLOOKUP(A5,Climatologia_TMAX!A:U,9+$E$2,FALSE),"")</f>
        <v>30.837144120247562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32.700000000000003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-0.69999999999999574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>
        <v>32.5</v>
      </c>
      <c r="O6" s="66">
        <v>32.200000000000003</v>
      </c>
      <c r="P6" s="66">
        <v>32.4</v>
      </c>
      <c r="Q6" s="66">
        <v>32.4</v>
      </c>
      <c r="R6" s="66">
        <v>32.799999999999997</v>
      </c>
      <c r="S6" s="66">
        <v>32.6</v>
      </c>
      <c r="T6" s="66">
        <v>32.4</v>
      </c>
      <c r="U6" s="66">
        <v>32.200000000000003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11</v>
      </c>
      <c r="AQ6" s="68" t="str">
        <f t="shared" si="2"/>
        <v/>
      </c>
      <c r="AR6" s="68">
        <f>IFERROR(VLOOKUP(A6,Climatologia_TMAX!A:U,9+$E$2,FALSE),"")</f>
        <v>31.213724845269681</v>
      </c>
      <c r="AS6" s="68" t="str">
        <f t="shared" si="3"/>
        <v/>
      </c>
      <c r="AT6" s="74">
        <f t="shared" si="4"/>
        <v>32.799999999999997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-0.40000000000000568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>
        <v>35.200000000000003</v>
      </c>
      <c r="O7" s="66">
        <v>37</v>
      </c>
      <c r="P7" s="66">
        <v>35.200000000000003</v>
      </c>
      <c r="Q7" s="66">
        <v>33.5</v>
      </c>
      <c r="R7" s="66">
        <v>35</v>
      </c>
      <c r="S7" s="66">
        <v>36.9</v>
      </c>
      <c r="T7" s="66">
        <v>34.4</v>
      </c>
      <c r="U7" s="66">
        <v>35.200000000000003</v>
      </c>
      <c r="V7" s="66"/>
      <c r="W7" s="66"/>
      <c r="X7" s="66"/>
      <c r="Y7" s="66"/>
      <c r="Z7" s="66"/>
      <c r="AA7" s="66"/>
      <c r="AB7" s="66"/>
      <c r="AC7" s="66"/>
      <c r="AD7" s="66"/>
      <c r="AE7" s="117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11</v>
      </c>
      <c r="AQ7" s="68" t="str">
        <f t="shared" si="2"/>
        <v/>
      </c>
      <c r="AR7" s="68">
        <f>IFERROR(VLOOKUP(A7,Climatologia_TMAX!A:U,9+$E$2,FALSE),"")</f>
        <v>32.888880131362889</v>
      </c>
      <c r="AS7" s="68" t="str">
        <f t="shared" si="3"/>
        <v/>
      </c>
      <c r="AT7" s="74">
        <f t="shared" si="4"/>
        <v>37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>
        <v>34.299999999999997</v>
      </c>
      <c r="O8" s="66">
        <v>34.200000000000003</v>
      </c>
      <c r="P8" s="66">
        <v>36.1</v>
      </c>
      <c r="Q8" s="66">
        <v>33.9</v>
      </c>
      <c r="R8" s="66">
        <v>38.299999999999997</v>
      </c>
      <c r="S8" s="66">
        <v>35.5</v>
      </c>
      <c r="T8" s="66">
        <v>34.1</v>
      </c>
      <c r="U8" s="66">
        <v>32.799999999999997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11</v>
      </c>
      <c r="AQ8" s="68" t="str">
        <f t="shared" si="2"/>
        <v/>
      </c>
      <c r="AR8" s="68">
        <f>IFERROR(VLOOKUP(A8,Climatologia_TMAX!A:U,9+$E$2,FALSE),"")</f>
        <v>32.066531113753463</v>
      </c>
      <c r="AS8" s="68" t="str">
        <f t="shared" si="3"/>
        <v/>
      </c>
      <c r="AT8" s="74">
        <f t="shared" si="4"/>
        <v>38.299999999999997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1.5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>
        <v>35.6</v>
      </c>
      <c r="O9" s="66">
        <v>36.5</v>
      </c>
      <c r="P9" s="66">
        <v>38</v>
      </c>
      <c r="Q9" s="66">
        <v>34.799999999999997</v>
      </c>
      <c r="R9" s="66">
        <v>35.6</v>
      </c>
      <c r="S9" s="66">
        <v>36.1</v>
      </c>
      <c r="T9" s="66">
        <v>35.700000000000003</v>
      </c>
      <c r="U9" s="66">
        <v>34.700000000000003</v>
      </c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11</v>
      </c>
      <c r="AQ9" s="68" t="str">
        <f t="shared" si="2"/>
        <v/>
      </c>
      <c r="AR9" s="68">
        <f>IFERROR(VLOOKUP(A9,Climatologia_TMAX!A:U,9+$E$2,FALSE),"")</f>
        <v>33.308997701149423</v>
      </c>
      <c r="AS9" s="68" t="str">
        <f t="shared" si="3"/>
        <v/>
      </c>
      <c r="AT9" s="74">
        <f t="shared" si="4"/>
        <v>38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-0.39999999999999858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>
        <v>36.799999999999997</v>
      </c>
      <c r="O10" s="66">
        <v>38.5</v>
      </c>
      <c r="P10" s="66">
        <v>39.6</v>
      </c>
      <c r="Q10" s="66">
        <v>37.799999999999997</v>
      </c>
      <c r="R10" s="66">
        <v>38.1</v>
      </c>
      <c r="S10" s="66">
        <v>37.9</v>
      </c>
      <c r="T10" s="66">
        <v>38.200000000000003</v>
      </c>
      <c r="U10" s="66">
        <v>36.5</v>
      </c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11</v>
      </c>
      <c r="AQ10" s="68" t="str">
        <f t="shared" si="2"/>
        <v/>
      </c>
      <c r="AR10" s="68">
        <f>IFERROR(VLOOKUP(A10,Climatologia_TMAX!A:U,9+$E$2,FALSE),"")</f>
        <v>33.75991221422256</v>
      </c>
      <c r="AS10" s="68" t="str">
        <f t="shared" si="3"/>
        <v/>
      </c>
      <c r="AT10" s="74">
        <f t="shared" si="4"/>
        <v>39.6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0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>
        <v>39</v>
      </c>
      <c r="O11" s="66">
        <v>38.9</v>
      </c>
      <c r="P11" s="66">
        <v>40.1</v>
      </c>
      <c r="Q11" s="66">
        <v>35.9</v>
      </c>
      <c r="R11" s="66">
        <v>40</v>
      </c>
      <c r="S11" s="66">
        <v>39.799999999999997</v>
      </c>
      <c r="T11" s="66">
        <v>37.700000000000003</v>
      </c>
      <c r="U11" s="66">
        <v>38.9</v>
      </c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11</v>
      </c>
      <c r="AQ11" s="68" t="str">
        <f t="shared" si="2"/>
        <v/>
      </c>
      <c r="AR11" s="68">
        <f>IFERROR(VLOOKUP(A11,Climatologia_TMAX!A:U,9+$E$2,FALSE),"")</f>
        <v>34.012164961475307</v>
      </c>
      <c r="AS11" s="68" t="str">
        <f t="shared" si="3"/>
        <v/>
      </c>
      <c r="AT11" s="112">
        <f t="shared" si="4"/>
        <v>40.1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-0.10000000000000142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>
        <v>35</v>
      </c>
      <c r="O12" s="66">
        <v>36.200000000000003</v>
      </c>
      <c r="P12" s="66">
        <v>30.6</v>
      </c>
      <c r="Q12" s="66">
        <v>32.6</v>
      </c>
      <c r="R12" s="66">
        <v>37.4</v>
      </c>
      <c r="S12" s="66">
        <v>36.4</v>
      </c>
      <c r="T12" s="66">
        <v>33.4</v>
      </c>
      <c r="U12" s="116">
        <v>31.9</v>
      </c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11</v>
      </c>
      <c r="AQ12" s="68" t="str">
        <f t="shared" si="2"/>
        <v/>
      </c>
      <c r="AR12" s="68">
        <f>IFERROR(VLOOKUP(A12,Climatologia_TMAX!A:U,9+$E$2,FALSE),"")</f>
        <v>32.561237881007962</v>
      </c>
      <c r="AS12" s="68" t="str">
        <f t="shared" si="3"/>
        <v/>
      </c>
      <c r="AT12" s="74">
        <f t="shared" si="4"/>
        <v>37.4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-0.10000000000000142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>
        <v>35.4</v>
      </c>
      <c r="O13" s="66">
        <v>36.6</v>
      </c>
      <c r="P13" s="66">
        <v>32.200000000000003</v>
      </c>
      <c r="Q13" s="66">
        <v>34</v>
      </c>
      <c r="R13" s="66">
        <v>36.4</v>
      </c>
      <c r="S13" s="66">
        <v>37.6</v>
      </c>
      <c r="T13" s="66">
        <v>35.799999999999997</v>
      </c>
      <c r="U13" s="66">
        <v>33</v>
      </c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11</v>
      </c>
      <c r="AQ13" s="68" t="str">
        <f t="shared" si="2"/>
        <v/>
      </c>
      <c r="AR13" s="68">
        <f>IFERROR(VLOOKUP(A13,Climatologia_TMAX!A:U,9+$E$2,FALSE),"")</f>
        <v>32.028002378121293</v>
      </c>
      <c r="AS13" s="68" t="str">
        <f t="shared" si="3"/>
        <v/>
      </c>
      <c r="AT13" s="74">
        <f t="shared" si="4"/>
        <v>37.6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1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5">
        <v>26.3</v>
      </c>
      <c r="M14" s="66">
        <v>29.2</v>
      </c>
      <c r="N14" s="66">
        <v>29.8</v>
      </c>
      <c r="O14" s="66">
        <v>31.3</v>
      </c>
      <c r="P14" s="66">
        <v>26.7</v>
      </c>
      <c r="Q14" s="66">
        <v>29.2</v>
      </c>
      <c r="R14" s="115">
        <v>29.4</v>
      </c>
      <c r="S14" s="66">
        <v>29.6</v>
      </c>
      <c r="T14" s="66">
        <v>30.2</v>
      </c>
      <c r="U14" s="66">
        <v>28.6</v>
      </c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11</v>
      </c>
      <c r="AQ14" s="68" t="str">
        <f t="shared" si="2"/>
        <v/>
      </c>
      <c r="AR14" s="68">
        <f>IFERROR(VLOOKUP(A14,Climatologia_TMAX!A:U,9+$E$2,FALSE),"")</f>
        <v>26.245613553113561</v>
      </c>
      <c r="AS14" s="68" t="str">
        <f t="shared" si="3"/>
        <v/>
      </c>
      <c r="AT14" s="74">
        <f t="shared" si="4"/>
        <v>31.3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-0.5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>
        <v>37.200000000000003</v>
      </c>
      <c r="O15" s="66">
        <v>36</v>
      </c>
      <c r="P15" s="66">
        <v>34.200000000000003</v>
      </c>
      <c r="Q15" s="66">
        <v>36.200000000000003</v>
      </c>
      <c r="R15" s="66">
        <v>33.4</v>
      </c>
      <c r="S15" s="66">
        <v>35.4</v>
      </c>
      <c r="T15" s="66">
        <v>35.200000000000003</v>
      </c>
      <c r="U15" s="66">
        <v>35.5</v>
      </c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11</v>
      </c>
      <c r="AQ15" s="68" t="str">
        <f t="shared" si="2"/>
        <v/>
      </c>
      <c r="AR15" s="68">
        <f>IFERROR(VLOOKUP(A15,Climatologia_TMAX!A:U,9+$E$2,FALSE),"")</f>
        <v>34.362535919540242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-1.1999999999999957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>
        <v>32.9</v>
      </c>
      <c r="O16" s="66">
        <v>30.8</v>
      </c>
      <c r="P16" s="66">
        <v>30.5</v>
      </c>
      <c r="Q16" s="66">
        <v>31.8</v>
      </c>
      <c r="R16" s="66">
        <v>34.1</v>
      </c>
      <c r="S16" s="66">
        <v>32.299999999999997</v>
      </c>
      <c r="T16" s="66">
        <v>33.200000000000003</v>
      </c>
      <c r="U16" s="66">
        <v>29.9</v>
      </c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11</v>
      </c>
      <c r="AQ16" s="68" t="str">
        <f t="shared" si="2"/>
        <v/>
      </c>
      <c r="AR16" s="68">
        <f>IFERROR(VLOOKUP(A16,Climatologia_TMAX!A:U,9+$E$2,FALSE),"")</f>
        <v>31.91844417077176</v>
      </c>
      <c r="AS16" s="68" t="str">
        <f t="shared" si="3"/>
        <v/>
      </c>
      <c r="AT16" s="74">
        <f t="shared" si="4"/>
        <v>34.1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-1.2999999999999972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>
        <v>32</v>
      </c>
      <c r="O17" s="66">
        <v>30.8</v>
      </c>
      <c r="P17" s="66">
        <v>30.1</v>
      </c>
      <c r="Q17" s="66">
        <v>28.9</v>
      </c>
      <c r="R17" s="66">
        <v>31.2</v>
      </c>
      <c r="S17" s="66">
        <v>32.4</v>
      </c>
      <c r="T17" s="66">
        <v>32</v>
      </c>
      <c r="U17" s="66">
        <v>29</v>
      </c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11</v>
      </c>
      <c r="AQ17" s="68" t="str">
        <f t="shared" si="2"/>
        <v/>
      </c>
      <c r="AR17" s="68">
        <f>IFERROR(VLOOKUP(A17,Climatologia_TMAX!A:U,9+$E$2,FALSE),"")</f>
        <v>28.140217569786529</v>
      </c>
      <c r="AS17" s="68" t="str">
        <f t="shared" si="3"/>
        <v/>
      </c>
      <c r="AT17" s="74">
        <f t="shared" si="4"/>
        <v>32.4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-0.70000000000000284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>
        <v>25</v>
      </c>
      <c r="O18" s="66">
        <v>24</v>
      </c>
      <c r="P18" s="66">
        <v>23.2</v>
      </c>
      <c r="Q18" s="66">
        <v>22.8</v>
      </c>
      <c r="R18" s="66">
        <v>24.9</v>
      </c>
      <c r="S18" s="66">
        <v>25</v>
      </c>
      <c r="T18" s="66">
        <v>25.3</v>
      </c>
      <c r="U18" s="66">
        <v>25</v>
      </c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11</v>
      </c>
      <c r="AQ18" s="68" t="str">
        <f t="shared" si="2"/>
        <v/>
      </c>
      <c r="AR18" s="68">
        <f>IFERROR(VLOOKUP(A18,Climatologia_TMAX!A:U,9+$E$2,FALSE),"")</f>
        <v>22.564435196194999</v>
      </c>
      <c r="AS18" s="68" t="str">
        <f t="shared" si="3"/>
        <v/>
      </c>
      <c r="AT18" s="74">
        <f t="shared" si="4"/>
        <v>25.3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-1.5999999999999979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>
        <v>29.2</v>
      </c>
      <c r="O19" s="66">
        <v>29.2</v>
      </c>
      <c r="P19" s="66">
        <v>28.2</v>
      </c>
      <c r="Q19" s="66">
        <v>27.8</v>
      </c>
      <c r="R19" s="66">
        <v>32.799999999999997</v>
      </c>
      <c r="S19" s="66">
        <v>30.6</v>
      </c>
      <c r="T19" s="66">
        <v>30.8</v>
      </c>
      <c r="U19" s="116">
        <v>27.2</v>
      </c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11</v>
      </c>
      <c r="AQ19" s="68" t="str">
        <f t="shared" si="2"/>
        <v/>
      </c>
      <c r="AR19" s="68">
        <f>IFERROR(VLOOKUP(A19,Climatologia_TMAX!A:U,9+$E$2,FALSE),"")</f>
        <v>27.03996905393457</v>
      </c>
      <c r="AS19" s="68" t="str">
        <f t="shared" si="3"/>
        <v/>
      </c>
      <c r="AT19" s="74">
        <f t="shared" si="4"/>
        <v>32.799999999999997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0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>
        <v>32</v>
      </c>
      <c r="O20" s="66">
        <v>33.1</v>
      </c>
      <c r="P20" s="66">
        <v>32.299999999999997</v>
      </c>
      <c r="Q20" s="66">
        <v>26.9</v>
      </c>
      <c r="R20" s="66">
        <v>34.6</v>
      </c>
      <c r="S20" s="66">
        <v>31.7</v>
      </c>
      <c r="T20" s="66">
        <v>31.7</v>
      </c>
      <c r="U20" s="66">
        <v>28.3</v>
      </c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11</v>
      </c>
      <c r="AQ20" s="68" t="str">
        <f t="shared" si="2"/>
        <v/>
      </c>
      <c r="AR20" s="68">
        <f>IFERROR(VLOOKUP(A20,Climatologia_TMAX!A:U,9+$E$2,FALSE),"")</f>
        <v>28.21960773581463</v>
      </c>
      <c r="AS20" s="68" t="str">
        <f t="shared" si="3"/>
        <v/>
      </c>
      <c r="AT20" s="74">
        <f t="shared" si="4"/>
        <v>34.6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-0.39999999999999858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>
        <v>33.700000000000003</v>
      </c>
      <c r="O21" s="66">
        <v>33.9</v>
      </c>
      <c r="P21" s="66">
        <v>33.299999999999997</v>
      </c>
      <c r="Q21" s="66">
        <v>32.799999999999997</v>
      </c>
      <c r="R21" s="66">
        <v>35.799999999999997</v>
      </c>
      <c r="S21" s="66">
        <v>35.4</v>
      </c>
      <c r="T21" s="66">
        <v>36</v>
      </c>
      <c r="U21" s="66">
        <v>34.1</v>
      </c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11</v>
      </c>
      <c r="AQ21" s="68" t="str">
        <f t="shared" si="2"/>
        <v/>
      </c>
      <c r="AR21" s="68">
        <f>IFERROR(VLOOKUP(A21,Climatologia_TMAX!A:U,9+$E$2,FALSE),"")</f>
        <v>30.83648877941982</v>
      </c>
      <c r="AS21" s="68" t="str">
        <f t="shared" si="3"/>
        <v/>
      </c>
      <c r="AT21" s="74">
        <f t="shared" si="4"/>
        <v>36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>
        <v>19.899999999999999</v>
      </c>
      <c r="O22" s="66">
        <v>19.8</v>
      </c>
      <c r="P22" s="66">
        <v>19.7</v>
      </c>
      <c r="Q22" s="66">
        <v>17.2</v>
      </c>
      <c r="R22" s="66">
        <v>19.8</v>
      </c>
      <c r="S22" s="66">
        <v>21.4</v>
      </c>
      <c r="T22" s="66">
        <v>21</v>
      </c>
      <c r="U22" s="66">
        <v>20.6</v>
      </c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11</v>
      </c>
      <c r="AQ22" s="68" t="str">
        <f t="shared" si="2"/>
        <v/>
      </c>
      <c r="AR22" s="68">
        <f>IFERROR(VLOOKUP(A22,Climatologia_TMAX!A:U,9+$E$2,FALSE),"")</f>
        <v>19.205027672249159</v>
      </c>
      <c r="AS22" s="68" t="str">
        <f t="shared" si="3"/>
        <v/>
      </c>
      <c r="AT22" s="74">
        <f t="shared" si="4"/>
        <v>21.4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>
        <v>32.5</v>
      </c>
      <c r="O23" s="66">
        <v>32.700000000000003</v>
      </c>
      <c r="P23" s="66">
        <v>34</v>
      </c>
      <c r="Q23" s="66">
        <v>32.799999999999997</v>
      </c>
      <c r="R23" s="66">
        <v>35</v>
      </c>
      <c r="S23" s="66">
        <v>34.799999999999997</v>
      </c>
      <c r="T23" s="66">
        <v>34.5</v>
      </c>
      <c r="U23" s="66">
        <v>30.7</v>
      </c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11</v>
      </c>
      <c r="AQ23" s="68" t="str">
        <f t="shared" si="2"/>
        <v/>
      </c>
      <c r="AR23" s="68">
        <f>IFERROR(VLOOKUP(A23,Climatologia_TMAX!A:U,9+$E$2,FALSE),"")</f>
        <v>30.640448440448441</v>
      </c>
      <c r="AS23" s="68" t="str">
        <f t="shared" si="3"/>
        <v/>
      </c>
      <c r="AT23" s="74">
        <f t="shared" si="4"/>
        <v>35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-0.10000000000000142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>
        <v>36.4</v>
      </c>
      <c r="O24" s="66">
        <v>35.799999999999997</v>
      </c>
      <c r="P24" s="66">
        <v>36.700000000000003</v>
      </c>
      <c r="Q24" s="66">
        <v>36.4</v>
      </c>
      <c r="R24" s="66">
        <v>38.200000000000003</v>
      </c>
      <c r="S24" s="66">
        <v>38.200000000000003</v>
      </c>
      <c r="T24" s="66">
        <v>35.6</v>
      </c>
      <c r="U24" s="66">
        <v>35</v>
      </c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11</v>
      </c>
      <c r="AQ24" s="68" t="str">
        <f t="shared" si="2"/>
        <v/>
      </c>
      <c r="AR24" s="68">
        <f>IFERROR(VLOOKUP(A24,Climatologia_TMAX!A:U,9+$E$2,FALSE),"")</f>
        <v>34.911888888888889</v>
      </c>
      <c r="AS24" s="68" t="str">
        <f t="shared" si="3"/>
        <v/>
      </c>
      <c r="AT24" s="74">
        <f t="shared" si="4"/>
        <v>38.200000000000003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-2.2999999999999972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>
        <v>28.5</v>
      </c>
      <c r="O25" s="66">
        <v>27.4</v>
      </c>
      <c r="P25" s="66">
        <v>27.4</v>
      </c>
      <c r="Q25" s="66">
        <v>26.8</v>
      </c>
      <c r="R25" s="66">
        <v>28.1</v>
      </c>
      <c r="S25" s="66">
        <v>27.8</v>
      </c>
      <c r="T25" s="66">
        <v>29.8</v>
      </c>
      <c r="U25" s="66">
        <v>28.2</v>
      </c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11</v>
      </c>
      <c r="AQ25" s="68" t="str">
        <f t="shared" si="2"/>
        <v/>
      </c>
      <c r="AR25" s="68">
        <f>IFERROR(VLOOKUP(A25,Climatologia_TMAX!A:U,9+$E$2,FALSE),"")</f>
        <v>25.982387369533619</v>
      </c>
      <c r="AS25" s="68" t="str">
        <f t="shared" si="3"/>
        <v/>
      </c>
      <c r="AT25" s="74">
        <f t="shared" si="4"/>
        <v>29.8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-1.3999999999999986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>
        <v>15.2</v>
      </c>
      <c r="O26" s="66">
        <v>14.2</v>
      </c>
      <c r="P26" s="66">
        <v>16.8</v>
      </c>
      <c r="Q26" s="66">
        <v>16.2</v>
      </c>
      <c r="R26" s="66">
        <v>15.2</v>
      </c>
      <c r="S26" s="66">
        <v>16.399999999999999</v>
      </c>
      <c r="T26" s="66">
        <v>17.8</v>
      </c>
      <c r="U26" s="66">
        <v>16.8</v>
      </c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11</v>
      </c>
      <c r="AQ26" s="68" t="str">
        <f t="shared" si="2"/>
        <v/>
      </c>
      <c r="AR26" s="68">
        <f>IFERROR(VLOOKUP(A26,Climatologia_TMAX!A:U,9+$E$2,FALSE),"")</f>
        <v>15.930309706257979</v>
      </c>
      <c r="AS26" s="68" t="str">
        <f t="shared" si="3"/>
        <v/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>
        <v>33.4</v>
      </c>
      <c r="O27" s="66">
        <v>32.200000000000003</v>
      </c>
      <c r="P27" s="66">
        <v>31</v>
      </c>
      <c r="Q27" s="66">
        <v>31.4</v>
      </c>
      <c r="R27" s="66">
        <v>33.6</v>
      </c>
      <c r="S27" s="66">
        <v>31</v>
      </c>
      <c r="T27" s="66">
        <v>33.4</v>
      </c>
      <c r="U27" s="116">
        <v>29.2</v>
      </c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11</v>
      </c>
      <c r="AQ27" s="68" t="str">
        <f t="shared" si="2"/>
        <v/>
      </c>
      <c r="AR27" s="68">
        <f>IFERROR(VLOOKUP(A27,Climatologia_TMAX!A:U,9+$E$2,FALSE),"")</f>
        <v>30.947113847837979</v>
      </c>
      <c r="AS27" s="68" t="str">
        <f t="shared" si="3"/>
        <v/>
      </c>
      <c r="AT27" s="74">
        <f t="shared" si="4"/>
        <v>33.6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>
        <v>31.6</v>
      </c>
      <c r="O28" s="66">
        <v>34.1</v>
      </c>
      <c r="P28" s="66">
        <v>33.1</v>
      </c>
      <c r="Q28" s="66">
        <v>33.4</v>
      </c>
      <c r="R28" s="66">
        <v>32.299999999999997</v>
      </c>
      <c r="S28" s="66">
        <v>33.5</v>
      </c>
      <c r="T28" s="66">
        <v>32.4</v>
      </c>
      <c r="U28" s="66">
        <v>32.9</v>
      </c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11</v>
      </c>
      <c r="AQ28" s="68" t="str">
        <f t="shared" si="2"/>
        <v/>
      </c>
      <c r="AR28" s="68">
        <f>IFERROR(VLOOKUP(A28,Climatologia_TMAX!A:U,9+$E$2,FALSE),"")</f>
        <v>31.67147144681628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-1.5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>
        <v>33.799999999999997</v>
      </c>
      <c r="O29" s="66">
        <v>34.6</v>
      </c>
      <c r="P29" s="66">
        <v>32</v>
      </c>
      <c r="Q29" s="66">
        <v>33</v>
      </c>
      <c r="R29" s="66">
        <v>34.200000000000003</v>
      </c>
      <c r="S29" s="66">
        <v>34.799999999999997</v>
      </c>
      <c r="T29" s="66">
        <v>32.4</v>
      </c>
      <c r="U29" s="66">
        <v>34.4</v>
      </c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11</v>
      </c>
      <c r="AQ29" s="68" t="str">
        <f t="shared" si="2"/>
        <v/>
      </c>
      <c r="AR29" s="68">
        <f>IFERROR(VLOOKUP(A29,Climatologia_TMAX!A:U,9+$E$2,FALSE),"")</f>
        <v>32.684863258026162</v>
      </c>
      <c r="AS29" s="68" t="str">
        <f t="shared" si="3"/>
        <v/>
      </c>
      <c r="AT29" s="74">
        <f t="shared" si="4"/>
        <v>35.200000000000003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-1.1999999999999957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>
        <v>31.3</v>
      </c>
      <c r="O30" s="66">
        <v>31.9</v>
      </c>
      <c r="P30" s="66">
        <v>33.200000000000003</v>
      </c>
      <c r="Q30" s="66">
        <v>30.6</v>
      </c>
      <c r="R30" s="66">
        <v>30.4</v>
      </c>
      <c r="S30" s="66">
        <v>31.7</v>
      </c>
      <c r="T30" s="66">
        <v>31</v>
      </c>
      <c r="U30" s="66">
        <v>32.1</v>
      </c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11</v>
      </c>
      <c r="AQ30" s="68" t="str">
        <f t="shared" si="2"/>
        <v/>
      </c>
      <c r="AR30" s="68">
        <f>IFERROR(VLOOKUP(A30,Climatologia_TMAX!A:U,9+$E$2,FALSE),"")</f>
        <v>30.79898193760263</v>
      </c>
      <c r="AS30" s="68" t="str">
        <f t="shared" si="3"/>
        <v/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-1.7999999999999972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>
        <v>33.299999999999997</v>
      </c>
      <c r="O31" s="105">
        <v>32.6</v>
      </c>
      <c r="P31" s="105">
        <v>32.6</v>
      </c>
      <c r="Q31" s="105">
        <v>30.3</v>
      </c>
      <c r="R31" s="105">
        <v>30.2</v>
      </c>
      <c r="S31" s="105">
        <v>32.9</v>
      </c>
      <c r="T31" s="105">
        <v>33.299999999999997</v>
      </c>
      <c r="U31" s="105">
        <v>31.5</v>
      </c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11</v>
      </c>
      <c r="AQ31" s="68" t="str">
        <f t="shared" si="2"/>
        <v/>
      </c>
      <c r="AR31" s="68">
        <f>IFERROR(VLOOKUP(A31,Climatologia_TMAX!A:U,9+$E$2,FALSE),"")</f>
        <v>31.98844385499557</v>
      </c>
      <c r="AS31" s="68" t="str">
        <f t="shared" si="3"/>
        <v/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>
        <v>26.4</v>
      </c>
      <c r="O33" s="66">
        <v>26.2</v>
      </c>
      <c r="P33" s="66">
        <v>25</v>
      </c>
      <c r="Q33" s="66">
        <v>25.8</v>
      </c>
      <c r="R33" s="66">
        <v>26.4</v>
      </c>
      <c r="S33" s="66">
        <v>27</v>
      </c>
      <c r="T33" s="66">
        <v>26.8</v>
      </c>
      <c r="U33" s="66">
        <v>24.8</v>
      </c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11</v>
      </c>
      <c r="AQ33" s="68" t="str">
        <f t="shared" si="2"/>
        <v/>
      </c>
      <c r="AR33" s="68">
        <f>IFERROR(VLOOKUP(A33,Climatologia_TMAX!A:U,9+$E$2,FALSE),"")</f>
        <v>24.23233678727139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-3.3000000000000007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>
        <v>39.4</v>
      </c>
      <c r="O36" s="66">
        <v>38.200000000000003</v>
      </c>
      <c r="P36" s="66">
        <v>38.200000000000003</v>
      </c>
      <c r="Q36" s="66">
        <v>37</v>
      </c>
      <c r="R36" s="66">
        <v>41.4</v>
      </c>
      <c r="S36" s="66">
        <v>39.799999999999997</v>
      </c>
      <c r="T36" s="66">
        <v>40</v>
      </c>
      <c r="U36" s="66">
        <v>34</v>
      </c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11</v>
      </c>
      <c r="AQ36" s="68" t="str">
        <f t="shared" si="2"/>
        <v/>
      </c>
      <c r="AR36" s="68">
        <f>IFERROR(VLOOKUP(A36,Climatologia_TMAX!A:U,9+$E$2,FALSE),"")</f>
        <v>33.454009491466387</v>
      </c>
      <c r="AS36" s="68" t="str">
        <f t="shared" si="3"/>
        <v/>
      </c>
      <c r="AT36" s="74">
        <f t="shared" si="4"/>
        <v>41.4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1.1999999999999957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>
        <v>29</v>
      </c>
      <c r="O38" s="66">
        <v>27.6</v>
      </c>
      <c r="P38" s="66">
        <v>27.2</v>
      </c>
      <c r="Q38" s="66">
        <v>27.6</v>
      </c>
      <c r="R38" s="115">
        <v>30</v>
      </c>
      <c r="S38" s="66">
        <v>29</v>
      </c>
      <c r="T38" s="66">
        <v>31</v>
      </c>
      <c r="U38" s="66">
        <v>25</v>
      </c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11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1.6000000000000014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>
        <v>26</v>
      </c>
      <c r="O39" s="66">
        <v>27.4</v>
      </c>
      <c r="P39" s="66">
        <v>26.4</v>
      </c>
      <c r="Q39" s="66">
        <v>26.2</v>
      </c>
      <c r="R39" s="66">
        <v>28.4</v>
      </c>
      <c r="S39" s="66">
        <v>27.6</v>
      </c>
      <c r="T39" s="66">
        <v>28</v>
      </c>
      <c r="U39" s="66">
        <v>29</v>
      </c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11</v>
      </c>
      <c r="AQ39" s="68" t="str">
        <f t="shared" si="2"/>
        <v/>
      </c>
      <c r="AR39" s="68">
        <f>IFERROR(VLOOKUP(A39,Climatologia_TMAX!A:U,9+$E$2,FALSE),"")</f>
        <v>23.447134238213408</v>
      </c>
      <c r="AS39" s="68" t="str">
        <f t="shared" si="3"/>
        <v/>
      </c>
      <c r="AT39" s="74">
        <f t="shared" si="4"/>
        <v>29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0.60000000000000142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>
        <v>22.2</v>
      </c>
      <c r="O40" s="66">
        <v>21.8</v>
      </c>
      <c r="P40" s="66">
        <v>21.8</v>
      </c>
      <c r="Q40" s="66">
        <v>20.6</v>
      </c>
      <c r="R40" s="66">
        <v>22.8</v>
      </c>
      <c r="S40" s="66">
        <v>22.6</v>
      </c>
      <c r="T40" s="66">
        <v>25.4</v>
      </c>
      <c r="U40" s="66">
        <v>23.2</v>
      </c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11</v>
      </c>
      <c r="AQ40" s="68" t="str">
        <f t="shared" si="2"/>
        <v/>
      </c>
      <c r="AR40" s="68">
        <f>IFERROR(VLOOKUP(A40,Climatologia_TMAX!A:U,9+$E$2,FALSE),"")</f>
        <v>20.702408866995071</v>
      </c>
      <c r="AS40" s="68" t="str">
        <f t="shared" si="3"/>
        <v/>
      </c>
      <c r="AT40" s="74">
        <f t="shared" si="4"/>
        <v>25.4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>
        <v>33.4</v>
      </c>
      <c r="O42" s="66">
        <v>32.200000000000003</v>
      </c>
      <c r="P42" s="66">
        <v>31</v>
      </c>
      <c r="Q42" s="66">
        <v>30</v>
      </c>
      <c r="R42" s="115">
        <v>33.4</v>
      </c>
      <c r="S42" s="66">
        <v>33</v>
      </c>
      <c r="T42" s="66">
        <v>33.6</v>
      </c>
      <c r="U42" s="66">
        <v>30.8</v>
      </c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11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>
        <v>33</v>
      </c>
      <c r="O43" s="66">
        <v>31</v>
      </c>
      <c r="P43" s="66">
        <v>31.8</v>
      </c>
      <c r="Q43" s="66">
        <v>32</v>
      </c>
      <c r="R43" s="66">
        <v>33.799999999999997</v>
      </c>
      <c r="S43" s="66">
        <v>33.4</v>
      </c>
      <c r="T43" s="66">
        <v>33.799999999999997</v>
      </c>
      <c r="U43" s="66">
        <v>31.2</v>
      </c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11</v>
      </c>
      <c r="AQ43" s="68" t="str">
        <f t="shared" si="2"/>
        <v/>
      </c>
      <c r="AR43" s="68">
        <f>IFERROR(VLOOKUP(A43,Climatologia_TMAX!A:U,9+$E$2,FALSE),"")</f>
        <v>31.718826815519439</v>
      </c>
      <c r="AS43" s="68" t="str">
        <f t="shared" si="3"/>
        <v/>
      </c>
      <c r="AT43" s="74">
        <f t="shared" si="4"/>
        <v>33.799999999999997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-1.4000000000000057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>
        <v>27</v>
      </c>
      <c r="O44" s="66">
        <v>27.2</v>
      </c>
      <c r="P44" s="66">
        <v>28</v>
      </c>
      <c r="Q44" s="66">
        <v>27.8</v>
      </c>
      <c r="R44" s="66">
        <v>29.2</v>
      </c>
      <c r="S44" s="66">
        <v>27.4</v>
      </c>
      <c r="T44" s="66">
        <v>26</v>
      </c>
      <c r="U44" s="66">
        <v>25.4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11</v>
      </c>
      <c r="AQ44" s="68" t="str">
        <f t="shared" si="2"/>
        <v/>
      </c>
      <c r="AR44" s="68">
        <f>IFERROR(VLOOKUP(A44,Climatologia_TMAX!A:U,9+$E$2,FALSE),"")</f>
        <v>22.451263483642791</v>
      </c>
      <c r="AS44" s="68" t="str">
        <f t="shared" si="3"/>
        <v/>
      </c>
      <c r="AT44" s="74">
        <f t="shared" si="4"/>
        <v>29.2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0.80000000000000071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>
        <v>36.200000000000003</v>
      </c>
      <c r="O45" s="66">
        <v>35.6</v>
      </c>
      <c r="P45" s="66">
        <v>33.6</v>
      </c>
      <c r="Q45" s="66">
        <v>32.6</v>
      </c>
      <c r="R45" s="66">
        <v>36.200000000000003</v>
      </c>
      <c r="S45" s="66">
        <v>37.200000000000003</v>
      </c>
      <c r="T45" s="66">
        <v>36.799999999999997</v>
      </c>
      <c r="U45" s="66">
        <v>33.6</v>
      </c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11</v>
      </c>
      <c r="AQ45" s="68" t="str">
        <f t="shared" si="2"/>
        <v/>
      </c>
      <c r="AR45" s="68">
        <f>IFERROR(VLOOKUP(A45,Climatologia_TMAX!A:U,9+$E$2,FALSE),"")</f>
        <v>32.199781609195398</v>
      </c>
      <c r="AS45" s="68" t="str">
        <f t="shared" si="3"/>
        <v/>
      </c>
      <c r="AT45" s="74">
        <f t="shared" si="4"/>
        <v>37.200000000000003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-0.19999999999999574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>
        <v>32</v>
      </c>
      <c r="O46" s="66">
        <v>31.8</v>
      </c>
      <c r="P46" s="66">
        <v>31.2</v>
      </c>
      <c r="Q46" s="66">
        <v>30.2</v>
      </c>
      <c r="R46" s="66">
        <v>32.6</v>
      </c>
      <c r="S46" s="66">
        <v>33.200000000000003</v>
      </c>
      <c r="T46" s="66">
        <v>31.6</v>
      </c>
      <c r="U46" s="66">
        <v>30.2</v>
      </c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11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-4.7999999999999972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>
        <v>35.799999999999997</v>
      </c>
      <c r="O49" s="66">
        <v>36.200000000000003</v>
      </c>
      <c r="P49" s="66">
        <v>31.8</v>
      </c>
      <c r="Q49" s="66">
        <v>33.799999999999997</v>
      </c>
      <c r="R49" s="66">
        <v>34.200000000000003</v>
      </c>
      <c r="S49" s="66">
        <v>37.200000000000003</v>
      </c>
      <c r="T49" s="66">
        <v>34.4</v>
      </c>
      <c r="U49" s="66">
        <v>33</v>
      </c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11</v>
      </c>
      <c r="AQ49" s="68" t="str">
        <f t="shared" si="2"/>
        <v/>
      </c>
      <c r="AR49" s="68">
        <f>IFERROR(VLOOKUP(A49,Climatologia_TMAX!A:U,9+$E$2,FALSE),"")</f>
        <v>32.006441202475692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0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>
        <v>33</v>
      </c>
      <c r="O52" s="66">
        <v>33.4</v>
      </c>
      <c r="P52" s="66">
        <v>31.4</v>
      </c>
      <c r="Q52" s="66">
        <v>32.200000000000003</v>
      </c>
      <c r="R52" s="66">
        <v>34.200000000000003</v>
      </c>
      <c r="S52" s="66">
        <v>34.4</v>
      </c>
      <c r="T52" s="66">
        <v>31</v>
      </c>
      <c r="U52" s="66">
        <v>30</v>
      </c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11</v>
      </c>
      <c r="AQ52" s="68" t="str">
        <f t="shared" si="2"/>
        <v/>
      </c>
      <c r="AR52" s="68">
        <f>IFERROR(VLOOKUP(A52,Climatologia_TMAX!A:U,9+$E$2,FALSE),"")</f>
        <v>30.893504627065631</v>
      </c>
      <c r="AS52" s="68" t="str">
        <f t="shared" si="3"/>
        <v/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>
        <v>34</v>
      </c>
      <c r="O53" s="66">
        <v>33.799999999999997</v>
      </c>
      <c r="P53" s="66">
        <v>29.8</v>
      </c>
      <c r="Q53" s="66">
        <v>33.799999999999997</v>
      </c>
      <c r="R53" s="66">
        <v>35</v>
      </c>
      <c r="S53" s="66">
        <v>35.200000000000003</v>
      </c>
      <c r="T53" s="66">
        <v>33.200000000000003</v>
      </c>
      <c r="U53" s="66">
        <v>31.8</v>
      </c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11</v>
      </c>
      <c r="AQ53" s="68" t="str">
        <f t="shared" si="2"/>
        <v/>
      </c>
      <c r="AR53" s="68">
        <f>IFERROR(VLOOKUP(A53,Climatologia_TMAX!A:U,9+$E$2,FALSE),"")</f>
        <v>32.425316548075173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-3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>
        <v>37.799999999999997</v>
      </c>
      <c r="O54" s="66">
        <v>38.6</v>
      </c>
      <c r="P54" s="66">
        <v>32.4</v>
      </c>
      <c r="Q54" s="66">
        <v>33.4</v>
      </c>
      <c r="R54" s="66">
        <v>38</v>
      </c>
      <c r="S54" s="66">
        <v>38.799999999999997</v>
      </c>
      <c r="T54" s="66">
        <v>37</v>
      </c>
      <c r="U54" s="66">
        <v>35.4</v>
      </c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11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-0.80000000000000426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>
        <v>36.200000000000003</v>
      </c>
      <c r="O55" s="66">
        <v>36.799999999999997</v>
      </c>
      <c r="P55" s="66">
        <v>32.6</v>
      </c>
      <c r="Q55" s="66">
        <v>33.200000000000003</v>
      </c>
      <c r="R55" s="66">
        <v>37.6</v>
      </c>
      <c r="S55" s="66">
        <v>37.200000000000003</v>
      </c>
      <c r="T55" s="66">
        <v>33</v>
      </c>
      <c r="U55" s="66">
        <v>33.200000000000003</v>
      </c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11</v>
      </c>
      <c r="AQ55" s="68" t="str">
        <f t="shared" si="2"/>
        <v/>
      </c>
      <c r="AR55" s="68">
        <f>IFERROR(VLOOKUP(A55,Climatologia_TMAX!A:U,9+$E$2,FALSE),"")</f>
        <v>32.47634846306795</v>
      </c>
      <c r="AS55" s="68" t="str">
        <f t="shared" si="3"/>
        <v/>
      </c>
      <c r="AT55" s="112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-1.6999999999999957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>
        <v>33.6</v>
      </c>
      <c r="O67" s="66">
        <v>32</v>
      </c>
      <c r="P67" s="66">
        <v>29</v>
      </c>
      <c r="Q67" s="66">
        <v>31.6</v>
      </c>
      <c r="R67" s="66">
        <v>33.799999999999997</v>
      </c>
      <c r="S67" s="66">
        <v>33.6</v>
      </c>
      <c r="T67" s="66">
        <v>33.1</v>
      </c>
      <c r="U67" s="66">
        <v>33.1</v>
      </c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11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33.799999999999997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-1.2000000000000028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32.969054004743647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>
        <v>35</v>
      </c>
      <c r="O76" s="66">
        <v>35.4</v>
      </c>
      <c r="P76" s="66">
        <v>32.4</v>
      </c>
      <c r="Q76" s="66">
        <v>32.799999999999997</v>
      </c>
      <c r="R76" s="66">
        <v>35.4</v>
      </c>
      <c r="S76" s="66">
        <v>36.6</v>
      </c>
      <c r="T76" s="66">
        <v>35.200000000000003</v>
      </c>
      <c r="U76" s="66">
        <v>32.6</v>
      </c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11</v>
      </c>
      <c r="AQ76" s="68" t="str">
        <f t="shared" si="7"/>
        <v/>
      </c>
      <c r="AR76" s="68">
        <f>IFERROR(VLOOKUP(A76,Climatologia_TMAX!A:U,9+$E$2,FALSE),"")</f>
        <v>31.452593153972469</v>
      </c>
      <c r="AS76" s="68" t="str">
        <f t="shared" si="8"/>
        <v/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0.60000000000000142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>
        <v>30</v>
      </c>
      <c r="M77" s="66">
        <v>32.6</v>
      </c>
      <c r="N77" s="66">
        <v>31.8</v>
      </c>
      <c r="O77" s="66">
        <v>34</v>
      </c>
      <c r="P77" s="66">
        <v>31.4</v>
      </c>
      <c r="Q77" s="66">
        <v>32.200000000000003</v>
      </c>
      <c r="R77" s="66">
        <v>32</v>
      </c>
      <c r="S77" s="66">
        <v>33.200000000000003</v>
      </c>
      <c r="T77" s="109">
        <v>25.4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10</v>
      </c>
      <c r="AQ77" s="68" t="str">
        <f t="shared" si="7"/>
        <v/>
      </c>
      <c r="AR77" s="68">
        <f>IFERROR(VLOOKUP(A77,Climatologia_TMAX!A:U,9+$E$2,FALSE),"")</f>
        <v>31.66925925925926</v>
      </c>
      <c r="AS77" s="68" t="str">
        <f t="shared" si="8"/>
        <v/>
      </c>
      <c r="AT77" s="74">
        <f t="shared" si="9"/>
        <v>34.200000000000003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-2.3999999999999986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>
        <v>33</v>
      </c>
      <c r="N79" s="66">
        <v>32.200000000000003</v>
      </c>
      <c r="O79" s="66">
        <v>32.799999999999997</v>
      </c>
      <c r="P79" s="66">
        <v>33.200000000000003</v>
      </c>
      <c r="Q79" s="66">
        <v>32.6</v>
      </c>
      <c r="R79" s="66">
        <v>33</v>
      </c>
      <c r="S79" s="66">
        <v>31.8</v>
      </c>
      <c r="T79" s="66">
        <v>31.8</v>
      </c>
      <c r="U79" s="66">
        <v>32.200000000000003</v>
      </c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11</v>
      </c>
      <c r="AQ79" s="68" t="str">
        <f t="shared" si="7"/>
        <v/>
      </c>
      <c r="AR79" s="68">
        <f>IFERROR(VLOOKUP(A79,Climatologia_TMAX!A:U,9+$E$2,FALSE),"")</f>
        <v>31.542409364140131</v>
      </c>
      <c r="AS79" s="68" t="str">
        <f t="shared" si="8"/>
        <v/>
      </c>
      <c r="AT79" s="74">
        <f t="shared" si="9"/>
        <v>33.200000000000003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-1.7999999999999972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>
        <v>32.6</v>
      </c>
      <c r="P80" s="66">
        <v>33</v>
      </c>
      <c r="Q80" s="66">
        <v>31.2</v>
      </c>
      <c r="R80" s="66">
        <v>32.4</v>
      </c>
      <c r="S80" s="66">
        <v>32</v>
      </c>
      <c r="T80" s="66">
        <v>29</v>
      </c>
      <c r="U80" s="66">
        <v>32.200000000000003</v>
      </c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10</v>
      </c>
      <c r="AQ80" s="68" t="str">
        <f t="shared" si="7"/>
        <v/>
      </c>
      <c r="AR80" s="68">
        <f>IFERROR(VLOOKUP(A80,Climatologia_TMAX!A:U,9+$E$2,FALSE),"")</f>
        <v>31.501529678282552</v>
      </c>
      <c r="AS80" s="68" t="str">
        <f t="shared" si="8"/>
        <v/>
      </c>
      <c r="AT80" s="74">
        <f t="shared" si="9"/>
        <v>33.4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>
        <v>32.799999999999997</v>
      </c>
      <c r="O81" s="66">
        <v>32</v>
      </c>
      <c r="P81" s="66">
        <v>33.200000000000003</v>
      </c>
      <c r="Q81" s="66">
        <v>30</v>
      </c>
      <c r="R81" s="66">
        <v>31.6</v>
      </c>
      <c r="S81" s="66">
        <v>32.6</v>
      </c>
      <c r="T81" s="66">
        <v>30.2</v>
      </c>
      <c r="U81" s="66">
        <v>32.4</v>
      </c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11</v>
      </c>
      <c r="AQ81" s="68" t="str">
        <f t="shared" si="7"/>
        <v/>
      </c>
      <c r="AR81" s="68">
        <f>IFERROR(VLOOKUP(A81,Climatologia_TMAX!A:U,9+$E$2,FALSE),"")</f>
        <v>31.10612903516844</v>
      </c>
      <c r="AS81" s="68" t="str">
        <f t="shared" si="8"/>
        <v/>
      </c>
      <c r="AT81" s="74">
        <f t="shared" si="9"/>
        <v>33.200000000000003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-1.7999999999999972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>
        <v>32.4</v>
      </c>
      <c r="O83" s="66">
        <v>32.200000000000003</v>
      </c>
      <c r="P83" s="66">
        <v>33.200000000000003</v>
      </c>
      <c r="Q83" s="66">
        <v>32.200000000000003</v>
      </c>
      <c r="R83" s="66">
        <v>32.4</v>
      </c>
      <c r="S83" s="66">
        <v>30.2</v>
      </c>
      <c r="T83" s="66">
        <v>30.2</v>
      </c>
      <c r="U83" s="66">
        <v>34</v>
      </c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11</v>
      </c>
      <c r="AQ83" s="68" t="str">
        <f t="shared" si="7"/>
        <v/>
      </c>
      <c r="AR83" s="68">
        <f>IFERROR(VLOOKUP(A83,Climatologia_TMAX!A:U,9+$E$2,FALSE),"")</f>
        <v>31.067557033171731</v>
      </c>
      <c r="AS83" s="68" t="str">
        <f t="shared" si="8"/>
        <v/>
      </c>
      <c r="AT83" s="74">
        <f t="shared" si="9"/>
        <v>34.6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>
        <v>31</v>
      </c>
      <c r="O85" s="66">
        <v>32.4</v>
      </c>
      <c r="P85" s="66">
        <v>32.6</v>
      </c>
      <c r="Q85" s="66">
        <v>31.2</v>
      </c>
      <c r="R85" s="66">
        <v>31</v>
      </c>
      <c r="S85" s="66">
        <v>32</v>
      </c>
      <c r="T85" s="66">
        <v>30.2</v>
      </c>
      <c r="U85" s="66">
        <v>32</v>
      </c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11</v>
      </c>
      <c r="AQ85" s="68" t="str">
        <f t="shared" si="7"/>
        <v/>
      </c>
      <c r="AR85" s="68">
        <f>IFERROR(VLOOKUP(A85,Climatologia_TMAX!A:U,9+$E$2,FALSE),"")</f>
        <v>31.130077169796991</v>
      </c>
      <c r="AS85" s="68" t="str">
        <f t="shared" si="8"/>
        <v/>
      </c>
      <c r="AT85" s="74">
        <f t="shared" si="9"/>
        <v>33.200000000000003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-1.7999999999999972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34</v>
      </c>
      <c r="L86" s="66">
        <v>33.799999999999997</v>
      </c>
      <c r="M86" s="66">
        <v>34.6</v>
      </c>
      <c r="N86" s="66">
        <v>32.799999999999997</v>
      </c>
      <c r="O86" s="66">
        <v>33.6</v>
      </c>
      <c r="P86" s="66">
        <v>31.6</v>
      </c>
      <c r="Q86" s="66">
        <v>33.6</v>
      </c>
      <c r="R86" s="66">
        <v>32.6</v>
      </c>
      <c r="S86" s="66">
        <v>29.6</v>
      </c>
      <c r="T86" s="66">
        <v>30.2</v>
      </c>
      <c r="U86" s="66">
        <v>31.6</v>
      </c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11</v>
      </c>
      <c r="AQ86" s="68" t="str">
        <f t="shared" si="7"/>
        <v/>
      </c>
      <c r="AR86" s="68">
        <f>IFERROR(VLOOKUP(A86,Climatologia_TMAX!A:U,9+$E$2,FALSE),"")</f>
        <v>31.174760699298879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>
        <v>33.200000000000003</v>
      </c>
      <c r="O87" s="66">
        <v>33.4</v>
      </c>
      <c r="P87" s="66">
        <v>31.8</v>
      </c>
      <c r="Q87" s="66">
        <v>33.200000000000003</v>
      </c>
      <c r="R87" s="66">
        <v>31.2</v>
      </c>
      <c r="S87" s="66">
        <v>31.6</v>
      </c>
      <c r="T87" s="66">
        <v>27.4</v>
      </c>
      <c r="U87" s="66">
        <v>32.6</v>
      </c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11</v>
      </c>
      <c r="AQ87" s="68" t="str">
        <f t="shared" si="7"/>
        <v/>
      </c>
      <c r="AR87" s="68">
        <f>IFERROR(VLOOKUP(A87,Climatologia_TMAX!A:U,9+$E$2,FALSE),"")</f>
        <v>31.478230462470751</v>
      </c>
      <c r="AS87" s="68" t="str">
        <f t="shared" si="8"/>
        <v/>
      </c>
      <c r="AT87" s="74">
        <f t="shared" si="9"/>
        <v>33.799999999999997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-1.8000000000000043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>
        <v>32.299999999999997</v>
      </c>
      <c r="O90" s="66">
        <v>30</v>
      </c>
      <c r="P90" s="66">
        <v>32.1</v>
      </c>
      <c r="Q90" s="66">
        <v>33</v>
      </c>
      <c r="R90" s="66">
        <v>29.2</v>
      </c>
      <c r="S90" s="66">
        <v>33.1</v>
      </c>
      <c r="T90" s="66">
        <v>31.4</v>
      </c>
      <c r="U90" s="66">
        <v>33.200000000000003</v>
      </c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11</v>
      </c>
      <c r="AQ90" s="68" t="str">
        <f t="shared" si="7"/>
        <v/>
      </c>
      <c r="AR90" s="68">
        <f>IFERROR(VLOOKUP(A90,Climatologia_TMAX!A:U,9+$E$2,FALSE),"")</f>
        <v>31.099937562083159</v>
      </c>
      <c r="AS90" s="68" t="str">
        <f t="shared" si="8"/>
        <v/>
      </c>
      <c r="AT90" s="74">
        <f t="shared" si="9"/>
        <v>33.200000000000003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-1.5999999999999943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>
        <v>31.3</v>
      </c>
      <c r="O91" s="66"/>
      <c r="P91" s="66">
        <v>33.1</v>
      </c>
      <c r="Q91" s="66">
        <v>33</v>
      </c>
      <c r="R91" s="66">
        <v>32.299999999999997</v>
      </c>
      <c r="S91" s="66">
        <v>32.1</v>
      </c>
      <c r="T91" s="66">
        <v>28</v>
      </c>
      <c r="U91" s="66">
        <v>32.4</v>
      </c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10</v>
      </c>
      <c r="AQ91" s="68" t="str">
        <f t="shared" si="7"/>
        <v/>
      </c>
      <c r="AR91" s="68">
        <f>IFERROR(VLOOKUP(A91,Climatologia_TMAX!A:U,9+$E$2,FALSE),"")</f>
        <v>31.92355343062879</v>
      </c>
      <c r="AS91" s="68" t="str">
        <f t="shared" si="8"/>
        <v/>
      </c>
      <c r="AT91" s="74">
        <f t="shared" si="9"/>
        <v>34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-1.7999999999999972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>
        <v>32.4</v>
      </c>
      <c r="O94" s="66">
        <v>34</v>
      </c>
      <c r="P94" s="66">
        <v>29.4</v>
      </c>
      <c r="Q94" s="66">
        <v>33.4</v>
      </c>
      <c r="R94" s="66">
        <v>32.200000000000003</v>
      </c>
      <c r="S94" s="66">
        <v>33.4</v>
      </c>
      <c r="T94" s="66">
        <v>30.6</v>
      </c>
      <c r="U94" s="66">
        <v>31.6</v>
      </c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11</v>
      </c>
      <c r="AQ94" s="68" t="str">
        <f t="shared" si="7"/>
        <v/>
      </c>
      <c r="AR94" s="68">
        <f>IFERROR(VLOOKUP(A94,Climatologia_TMAX!A:U,9+$E$2,FALSE),"")</f>
        <v>31.991304063769562</v>
      </c>
      <c r="AS94" s="68" t="str">
        <f t="shared" si="8"/>
        <v/>
      </c>
      <c r="AT94" s="74">
        <f t="shared" si="9"/>
        <v>34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-1.6000000000000014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>
        <v>26.2</v>
      </c>
      <c r="O99" s="66">
        <v>26.4</v>
      </c>
      <c r="P99" s="66">
        <v>28</v>
      </c>
      <c r="Q99" s="66">
        <v>27</v>
      </c>
      <c r="R99" s="66">
        <v>29</v>
      </c>
      <c r="S99" s="66">
        <v>29.2</v>
      </c>
      <c r="T99" s="66">
        <v>28</v>
      </c>
      <c r="U99" s="109">
        <v>26.2</v>
      </c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11</v>
      </c>
      <c r="AQ99" s="68" t="str">
        <f t="shared" si="7"/>
        <v/>
      </c>
      <c r="AR99" s="68">
        <f>IFERROR(VLOOKUP(A99,Climatologia_TMAX!A:U,9+$E$2,FALSE),"")</f>
        <v>25.859893128991061</v>
      </c>
      <c r="AS99" s="68" t="str">
        <f t="shared" si="8"/>
        <v/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-2.1000000000000014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>
        <v>39.200000000000003</v>
      </c>
      <c r="O100" s="66">
        <v>40</v>
      </c>
      <c r="P100" s="66">
        <v>40.200000000000003</v>
      </c>
      <c r="Q100" s="66">
        <v>38.4</v>
      </c>
      <c r="R100" s="66">
        <v>41.2</v>
      </c>
      <c r="S100" s="66">
        <v>41.2</v>
      </c>
      <c r="T100" s="66">
        <v>41</v>
      </c>
      <c r="U100" s="66">
        <v>39.200000000000003</v>
      </c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11</v>
      </c>
      <c r="AQ100" s="68" t="str">
        <f t="shared" si="7"/>
        <v/>
      </c>
      <c r="AR100" s="68">
        <f>IFERROR(VLOOKUP(A100,Climatologia_TMAX!A:U,9+$E$2,FALSE),"")</f>
        <v>36.623448411009093</v>
      </c>
      <c r="AS100" s="68" t="str">
        <f t="shared" si="8"/>
        <v/>
      </c>
      <c r="AT100" s="74">
        <f t="shared" si="9"/>
        <v>41.2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-2.7999999999999972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>
        <v>29.6</v>
      </c>
      <c r="O102" s="66">
        <v>29.8</v>
      </c>
      <c r="P102" s="66">
        <v>31</v>
      </c>
      <c r="Q102" s="66">
        <v>30.6</v>
      </c>
      <c r="R102" s="66">
        <v>31.6</v>
      </c>
      <c r="S102" s="66">
        <v>31</v>
      </c>
      <c r="T102" s="66">
        <v>29.6</v>
      </c>
      <c r="U102" s="66">
        <v>30.6</v>
      </c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11</v>
      </c>
      <c r="AQ102" s="68" t="str">
        <f t="shared" si="7"/>
        <v/>
      </c>
      <c r="AR102" s="68">
        <f>IFERROR(VLOOKUP(A102,Climatologia_TMAX!A:U,9+$E$2,FALSE),"")</f>
        <v>28.401216931216929</v>
      </c>
      <c r="AS102" s="68" t="str">
        <f t="shared" si="8"/>
        <v/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>
        <v>38.6</v>
      </c>
      <c r="O104" s="66">
        <v>39.200000000000003</v>
      </c>
      <c r="P104" s="66">
        <v>39.4</v>
      </c>
      <c r="Q104" s="66">
        <v>37.6</v>
      </c>
      <c r="R104" s="66">
        <v>39.6</v>
      </c>
      <c r="S104" s="66">
        <v>38.6</v>
      </c>
      <c r="T104" s="66">
        <v>39</v>
      </c>
      <c r="U104" s="66">
        <v>37.6</v>
      </c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11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-1.3999999999999986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>
        <v>32.6</v>
      </c>
      <c r="O105" s="66">
        <v>32.5</v>
      </c>
      <c r="P105" s="66">
        <v>32.799999999999997</v>
      </c>
      <c r="Q105" s="66">
        <v>32</v>
      </c>
      <c r="R105" s="66">
        <v>30.8</v>
      </c>
      <c r="S105" s="66">
        <v>29.6</v>
      </c>
      <c r="T105" s="66">
        <v>34</v>
      </c>
      <c r="U105" s="66">
        <v>32</v>
      </c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11</v>
      </c>
      <c r="AQ105" s="68" t="str">
        <f t="shared" si="7"/>
        <v/>
      </c>
      <c r="AR105" s="68">
        <f>IFERROR(VLOOKUP(A105,Climatologia_TMAX!A:U,9+$E$2,FALSE),"")</f>
        <v>31.333378216621981</v>
      </c>
      <c r="AS105" s="68" t="str">
        <f t="shared" si="8"/>
        <v/>
      </c>
      <c r="AT105" s="74">
        <f t="shared" si="9"/>
        <v>35.200000000000003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>
        <v>28</v>
      </c>
      <c r="M106" s="66">
        <v>25.8</v>
      </c>
      <c r="N106" s="66">
        <v>25.6</v>
      </c>
      <c r="O106" s="66">
        <v>28.6</v>
      </c>
      <c r="P106" s="66">
        <v>27</v>
      </c>
      <c r="Q106" s="66">
        <v>25.8</v>
      </c>
      <c r="R106" s="66">
        <v>27.8</v>
      </c>
      <c r="S106" s="66">
        <v>27.8</v>
      </c>
      <c r="T106" s="66">
        <v>27.8</v>
      </c>
      <c r="U106" s="66">
        <v>26.6</v>
      </c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11</v>
      </c>
      <c r="AQ106" s="68" t="str">
        <f t="shared" si="7"/>
        <v/>
      </c>
      <c r="AR106" s="68">
        <f>IFERROR(VLOOKUP(A106,Climatologia_TMAX!A:U,9+$E$2,FALSE),"")</f>
        <v>25.893091954022989</v>
      </c>
      <c r="AS106" s="68" t="str">
        <f t="shared" si="8"/>
        <v/>
      </c>
      <c r="AT106" s="74">
        <f t="shared" si="9"/>
        <v>28.6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>
        <v>32.6</v>
      </c>
      <c r="O108" s="66">
        <v>33.4</v>
      </c>
      <c r="P108" s="66">
        <v>33.799999999999997</v>
      </c>
      <c r="Q108" s="66">
        <v>32.799999999999997</v>
      </c>
      <c r="R108" s="66">
        <v>31.6</v>
      </c>
      <c r="S108" s="66">
        <v>31.2</v>
      </c>
      <c r="T108" s="66">
        <v>32.4</v>
      </c>
      <c r="U108" s="66">
        <v>31.6</v>
      </c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11</v>
      </c>
      <c r="AQ108" s="68" t="str">
        <f t="shared" si="7"/>
        <v/>
      </c>
      <c r="AR108" s="68">
        <f>IFERROR(VLOOKUP(A108,Climatologia_TMAX!A:U,9+$E$2,FALSE),"")</f>
        <v>31.57003010399562</v>
      </c>
      <c r="AS108" s="68" t="str">
        <f t="shared" si="8"/>
        <v/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>
        <v>28.6</v>
      </c>
      <c r="O109" s="66">
        <v>26.2</v>
      </c>
      <c r="P109" s="66">
        <v>26.8</v>
      </c>
      <c r="Q109" s="66">
        <v>28.2</v>
      </c>
      <c r="R109" s="66">
        <v>29.4</v>
      </c>
      <c r="S109" s="66">
        <v>30</v>
      </c>
      <c r="T109" s="66">
        <v>27.8</v>
      </c>
      <c r="U109" s="66">
        <v>27.2</v>
      </c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11</v>
      </c>
      <c r="AQ109" s="68" t="str">
        <f t="shared" si="7"/>
        <v/>
      </c>
      <c r="AR109" s="68">
        <f>IFERROR(VLOOKUP(A109,Climatologia_TMAX!A:U,9+$E$2,FALSE),"")</f>
        <v>26.601765290194411</v>
      </c>
      <c r="AS109" s="68" t="str">
        <f t="shared" si="8"/>
        <v/>
      </c>
      <c r="AT109" s="74">
        <f t="shared" si="9"/>
        <v>31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-1.7999999999999972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>
        <v>38.200000000000003</v>
      </c>
      <c r="O111" s="66">
        <v>37.6</v>
      </c>
      <c r="P111" s="66">
        <v>40.200000000000003</v>
      </c>
      <c r="Q111" s="66">
        <v>34.4</v>
      </c>
      <c r="R111" s="66">
        <v>37.799999999999997</v>
      </c>
      <c r="S111" s="66">
        <v>39.4</v>
      </c>
      <c r="T111" s="66">
        <v>38.4</v>
      </c>
      <c r="U111" s="66">
        <v>39.4</v>
      </c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11</v>
      </c>
      <c r="AQ111" s="68" t="str">
        <f t="shared" si="7"/>
        <v/>
      </c>
      <c r="AR111" s="68">
        <f>IFERROR(VLOOKUP(A111,Climatologia_TMAX!A:U,9+$E$2,FALSE),"")</f>
        <v>33.956722503192843</v>
      </c>
      <c r="AS111" s="68" t="str">
        <f t="shared" si="8"/>
        <v/>
      </c>
      <c r="AT111" s="74">
        <f t="shared" si="9"/>
        <v>40.200000000000003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0.40000000000000568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>
        <v>37</v>
      </c>
      <c r="O112" s="66">
        <v>36.799999999999997</v>
      </c>
      <c r="P112" s="66">
        <v>38.200000000000003</v>
      </c>
      <c r="Q112" s="66">
        <v>37.799999999999997</v>
      </c>
      <c r="R112" s="66">
        <v>36.6</v>
      </c>
      <c r="S112" s="66">
        <v>37.200000000000003</v>
      </c>
      <c r="T112" s="66">
        <v>37.6</v>
      </c>
      <c r="U112" s="66">
        <v>36.799999999999997</v>
      </c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11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-1.7999999999999972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>
        <v>36.200000000000003</v>
      </c>
      <c r="O114" s="66">
        <v>37.4</v>
      </c>
      <c r="P114" s="66">
        <v>34.6</v>
      </c>
      <c r="Q114" s="66">
        <v>33</v>
      </c>
      <c r="R114" s="115">
        <v>39</v>
      </c>
      <c r="S114" s="66">
        <v>39.4</v>
      </c>
      <c r="T114" s="66">
        <v>37</v>
      </c>
      <c r="U114" s="66">
        <v>36.4</v>
      </c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11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0.60000000000000142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>
        <v>37.4</v>
      </c>
      <c r="O115" s="66">
        <v>38.4</v>
      </c>
      <c r="P115" s="66">
        <v>39.200000000000003</v>
      </c>
      <c r="Q115" s="66">
        <v>37.4</v>
      </c>
      <c r="R115" s="66">
        <v>38</v>
      </c>
      <c r="S115" s="66">
        <v>38.4</v>
      </c>
      <c r="T115" s="66">
        <v>38.4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10</v>
      </c>
      <c r="AQ115" s="68" t="str">
        <f t="shared" si="7"/>
        <v/>
      </c>
      <c r="AR115" s="68">
        <f>IFERROR(VLOOKUP(A115,Climatologia_TMAX!A:U,9+$E$2,FALSE),"")</f>
        <v>34.78786103005671</v>
      </c>
      <c r="AS115" s="68" t="str">
        <f t="shared" si="8"/>
        <v/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-1.1999999999999957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>
        <v>38.4</v>
      </c>
      <c r="O118" s="66">
        <v>37.4</v>
      </c>
      <c r="P118" s="66">
        <v>38</v>
      </c>
      <c r="Q118" s="66">
        <v>34.200000000000003</v>
      </c>
      <c r="R118" s="66">
        <v>38</v>
      </c>
      <c r="S118" s="66">
        <v>38.200000000000003</v>
      </c>
      <c r="T118" s="66">
        <v>36.4</v>
      </c>
      <c r="U118" s="66">
        <v>37.6</v>
      </c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11</v>
      </c>
      <c r="AQ118" s="68" t="str">
        <f t="shared" si="7"/>
        <v/>
      </c>
      <c r="AR118" s="68">
        <f>IFERROR(VLOOKUP(A118,Climatologia_TMAX!A:U,9+$E$2,FALSE),"")</f>
        <v>33.363033585720373</v>
      </c>
      <c r="AS118" s="68" t="str">
        <f t="shared" si="8"/>
        <v/>
      </c>
      <c r="AT118" s="74">
        <f t="shared" si="9"/>
        <v>38.4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-1.3999999999999986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>
        <v>36.799999999999997</v>
      </c>
      <c r="O119" s="66">
        <v>37</v>
      </c>
      <c r="P119" s="66">
        <v>38</v>
      </c>
      <c r="Q119" s="66">
        <v>32.6</v>
      </c>
      <c r="R119" s="66">
        <v>39.200000000000003</v>
      </c>
      <c r="S119" s="66">
        <v>40.4</v>
      </c>
      <c r="T119" s="66">
        <v>39</v>
      </c>
      <c r="U119" s="66">
        <v>38.200000000000003</v>
      </c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11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40.4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0.79999999999999716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>
        <v>37</v>
      </c>
      <c r="O120" s="66">
        <v>39.200000000000003</v>
      </c>
      <c r="P120" s="66">
        <v>36.799999999999997</v>
      </c>
      <c r="Q120" s="66">
        <v>35.4</v>
      </c>
      <c r="R120" s="66">
        <v>39.799999999999997</v>
      </c>
      <c r="S120" s="66">
        <v>42</v>
      </c>
      <c r="T120" s="66">
        <v>37.4</v>
      </c>
      <c r="U120" s="66">
        <v>37.4</v>
      </c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11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3.7999999999999972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>
        <v>29.2</v>
      </c>
      <c r="O122" s="66">
        <v>32.4</v>
      </c>
      <c r="P122" s="66">
        <v>30.2</v>
      </c>
      <c r="Q122" s="66">
        <v>27.8</v>
      </c>
      <c r="R122" s="66">
        <v>29.8</v>
      </c>
      <c r="S122" s="66">
        <v>30.4</v>
      </c>
      <c r="T122" s="66">
        <v>31.4</v>
      </c>
      <c r="U122" s="66">
        <v>32.4</v>
      </c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11</v>
      </c>
      <c r="AQ122" s="68" t="str">
        <f t="shared" si="7"/>
        <v/>
      </c>
      <c r="AR122" s="68">
        <f>IFERROR(VLOOKUP(A122,Climatologia_TMAX!A:U,9+$E$2,FALSE),"")</f>
        <v>28.13066666666667</v>
      </c>
      <c r="AS122" s="68" t="str">
        <f t="shared" si="8"/>
        <v/>
      </c>
      <c r="AT122" s="74">
        <f t="shared" si="9"/>
        <v>32.4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-0.80000000000000426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>
        <v>32.200000000000003</v>
      </c>
      <c r="O123" s="66">
        <v>32</v>
      </c>
      <c r="P123" s="66">
        <v>30.8</v>
      </c>
      <c r="Q123" s="66">
        <v>32.799999999999997</v>
      </c>
      <c r="R123" s="66">
        <v>31.4</v>
      </c>
      <c r="S123" s="66">
        <v>32.799999999999997</v>
      </c>
      <c r="T123" s="66">
        <v>29</v>
      </c>
      <c r="U123" s="66">
        <v>32.200000000000003</v>
      </c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11</v>
      </c>
      <c r="AQ123" s="68" t="str">
        <f t="shared" si="7"/>
        <v/>
      </c>
      <c r="AR123" s="68">
        <f>IFERROR(VLOOKUP(A123,Climatologia_TMAX!A:U,9+$E$2,FALSE),"")</f>
        <v>30.61551559934319</v>
      </c>
      <c r="AS123" s="68" t="str">
        <f t="shared" si="8"/>
        <v/>
      </c>
      <c r="AT123" s="74">
        <f t="shared" si="9"/>
        <v>33.200000000000003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>
        <v>32.6</v>
      </c>
      <c r="O124" s="66">
        <v>33.4</v>
      </c>
      <c r="P124" s="66">
        <v>31.8</v>
      </c>
      <c r="Q124" s="66">
        <v>33.6</v>
      </c>
      <c r="R124" s="66">
        <v>32.4</v>
      </c>
      <c r="S124" s="66">
        <v>33.799999999999997</v>
      </c>
      <c r="T124" s="66">
        <v>31</v>
      </c>
      <c r="U124" s="66">
        <v>33</v>
      </c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11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>
        <v>27.2</v>
      </c>
      <c r="O127" s="66">
        <v>27</v>
      </c>
      <c r="P127" s="66">
        <v>25.4</v>
      </c>
      <c r="Q127" s="66">
        <v>28.6</v>
      </c>
      <c r="R127" s="66">
        <v>27</v>
      </c>
      <c r="S127" s="66">
        <v>29</v>
      </c>
      <c r="T127" s="66">
        <v>26.4</v>
      </c>
      <c r="U127" s="66">
        <v>25.2</v>
      </c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11</v>
      </c>
      <c r="AQ127" s="68" t="str">
        <f t="shared" si="7"/>
        <v/>
      </c>
      <c r="AR127" s="68">
        <f>IFERROR(VLOOKUP(A127,Climatologia_TMAX!A:U,9+$E$2,FALSE),"")</f>
        <v>24.09794521944821</v>
      </c>
      <c r="AS127" s="68" t="str">
        <f t="shared" si="8"/>
        <v/>
      </c>
      <c r="AT127" s="74">
        <f t="shared" si="9"/>
        <v>29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0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>
        <v>23</v>
      </c>
      <c r="O128" s="66">
        <v>23.4</v>
      </c>
      <c r="P128" s="66">
        <v>23.8</v>
      </c>
      <c r="Q128" s="66">
        <v>21</v>
      </c>
      <c r="R128" s="66">
        <v>25.2</v>
      </c>
      <c r="S128" s="66">
        <v>25.4</v>
      </c>
      <c r="T128" s="66">
        <v>23</v>
      </c>
      <c r="U128" s="66">
        <v>24.8</v>
      </c>
      <c r="V128" s="66"/>
      <c r="W128" s="115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11</v>
      </c>
      <c r="AQ128" s="68" t="str">
        <f t="shared" si="7"/>
        <v/>
      </c>
      <c r="AR128" s="68">
        <f>IFERROR(VLOOKUP(A128,Climatologia_TMAX!A:U,9+$E$2,FALSE),"")</f>
        <v>19.967338391365981</v>
      </c>
      <c r="AS128" s="68" t="str">
        <f t="shared" si="8"/>
        <v/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-0.80000000000000071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>
        <v>27.4</v>
      </c>
      <c r="R129" s="66">
        <v>25.6</v>
      </c>
      <c r="S129" s="66">
        <v>27.8</v>
      </c>
      <c r="T129" s="66">
        <v>24.5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7</v>
      </c>
      <c r="AQ129" s="68" t="str">
        <f t="shared" si="7"/>
        <v/>
      </c>
      <c r="AR129" s="68">
        <f>IFERROR(VLOOKUP(A129,Climatologia_TMAX!A:U,9+$E$2,FALSE),"")</f>
        <v>26.02358363374416</v>
      </c>
      <c r="AS129" s="68" t="str">
        <f t="shared" si="8"/>
        <v/>
      </c>
      <c r="AT129" s="74">
        <f t="shared" si="9"/>
        <v>28.6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-2.3999999999999986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20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>
        <v>19</v>
      </c>
      <c r="P133" s="66"/>
      <c r="Q133" s="66">
        <v>18.399999999999999</v>
      </c>
      <c r="R133" s="66">
        <v>17.8</v>
      </c>
      <c r="S133" s="66">
        <v>17.8</v>
      </c>
      <c r="T133" s="66">
        <v>19</v>
      </c>
      <c r="U133" s="66">
        <v>18.600000000000001</v>
      </c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8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16.79442268577645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>
        <v>23.4</v>
      </c>
      <c r="O135" s="66">
        <v>24.6</v>
      </c>
      <c r="P135" s="66">
        <v>23.8</v>
      </c>
      <c r="Q135" s="66">
        <v>24.2</v>
      </c>
      <c r="R135" s="66">
        <v>23.4</v>
      </c>
      <c r="S135" s="66">
        <v>22.4</v>
      </c>
      <c r="T135" s="66">
        <v>23.8</v>
      </c>
      <c r="U135" s="66">
        <v>24</v>
      </c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11</v>
      </c>
      <c r="AQ135" s="68" t="str">
        <f t="shared" si="12"/>
        <v/>
      </c>
      <c r="AR135" s="68">
        <f>IFERROR(VLOOKUP(A135,Climatologia_TMAX!A:U,9+$E$2,FALSE),"")</f>
        <v>24.414423280423279</v>
      </c>
      <c r="AS135" s="68" t="str">
        <f t="shared" si="13"/>
        <v/>
      </c>
      <c r="AT135" s="74">
        <f t="shared" si="14"/>
        <v>24.6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-3.7999999999999972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>
        <v>23</v>
      </c>
      <c r="O138" s="66">
        <v>22.4</v>
      </c>
      <c r="P138" s="66">
        <v>20.8</v>
      </c>
      <c r="Q138" s="66">
        <v>19.7</v>
      </c>
      <c r="R138" s="115">
        <v>23.6</v>
      </c>
      <c r="S138" s="66">
        <v>24</v>
      </c>
      <c r="T138" s="66">
        <v>23</v>
      </c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10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24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0.39999999999999858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>
        <v>21.2</v>
      </c>
      <c r="O139" s="66">
        <v>23</v>
      </c>
      <c r="P139" s="66">
        <v>22.8</v>
      </c>
      <c r="Q139" s="66">
        <v>22.6</v>
      </c>
      <c r="R139" s="66">
        <v>20.6</v>
      </c>
      <c r="S139" s="66">
        <v>22.2</v>
      </c>
      <c r="T139" s="66">
        <v>20.399999999999999</v>
      </c>
      <c r="U139" s="66">
        <v>22.6</v>
      </c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11</v>
      </c>
      <c r="AQ139" s="68" t="str">
        <f t="shared" si="12"/>
        <v/>
      </c>
      <c r="AR139" s="68">
        <f>IFERROR(VLOOKUP(A139,Climatologia_TMAX!A:U,9+$E$2,FALSE),"")</f>
        <v>21.860804597701151</v>
      </c>
      <c r="AS139" s="68" t="str">
        <f t="shared" si="13"/>
        <v/>
      </c>
      <c r="AT139" s="74">
        <f t="shared" si="14"/>
        <v>23.8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-2.8000000000000007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>
        <v>19.8</v>
      </c>
      <c r="O141" s="66">
        <v>17.600000000000001</v>
      </c>
      <c r="P141" s="66">
        <v>17.2</v>
      </c>
      <c r="Q141" s="66">
        <v>18.600000000000001</v>
      </c>
      <c r="R141" s="66">
        <v>19.600000000000001</v>
      </c>
      <c r="S141" s="66">
        <v>20.6</v>
      </c>
      <c r="T141" s="66">
        <v>19.8</v>
      </c>
      <c r="U141" s="66">
        <v>19.399999999999999</v>
      </c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11</v>
      </c>
      <c r="AQ141" s="68" t="str">
        <f t="shared" si="12"/>
        <v/>
      </c>
      <c r="AR141" s="68">
        <f>IFERROR(VLOOKUP(A141,Climatologia_TMAX!A:U,9+$E$2,FALSE),"")</f>
        <v>18.581666666666671</v>
      </c>
      <c r="AS141" s="68" t="str">
        <f t="shared" si="13"/>
        <v/>
      </c>
      <c r="AT141" s="74">
        <f t="shared" si="14"/>
        <v>20.6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>
        <v>16.2</v>
      </c>
      <c r="O142" s="66">
        <v>17.600000000000001</v>
      </c>
      <c r="P142" s="66">
        <v>17.399999999999999</v>
      </c>
      <c r="Q142" s="66">
        <v>18.2</v>
      </c>
      <c r="R142" s="66">
        <v>16</v>
      </c>
      <c r="S142" s="66">
        <v>19.600000000000001</v>
      </c>
      <c r="T142" s="66">
        <v>17.600000000000001</v>
      </c>
      <c r="U142" s="66">
        <v>18.399999999999999</v>
      </c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11</v>
      </c>
      <c r="AQ142" s="68" t="str">
        <f t="shared" si="12"/>
        <v/>
      </c>
      <c r="AR142" s="68">
        <f>IFERROR(VLOOKUP(A142,Climatologia_TMAX!A:U,9+$E$2,FALSE),"")</f>
        <v>18.785310944301099</v>
      </c>
      <c r="AS142" s="68" t="str">
        <f t="shared" si="13"/>
        <v/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-4.1999999999999993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>
        <v>33.4</v>
      </c>
      <c r="N143" s="66">
        <v>34</v>
      </c>
      <c r="O143" s="66">
        <v>32.200000000000003</v>
      </c>
      <c r="P143" s="66"/>
      <c r="Q143" s="66">
        <v>33</v>
      </c>
      <c r="R143" s="66">
        <v>32</v>
      </c>
      <c r="S143" s="66">
        <v>33</v>
      </c>
      <c r="T143" s="66">
        <v>29.4</v>
      </c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8</v>
      </c>
      <c r="AQ143" s="68" t="str">
        <f t="shared" si="12"/>
        <v/>
      </c>
      <c r="AR143" s="68">
        <f>IFERROR(VLOOKUP(A143,Climatologia_TMAX!A:U,9+$E$2,FALSE),"")</f>
        <v>31.481520525451561</v>
      </c>
      <c r="AS143" s="68" t="str">
        <f t="shared" si="13"/>
        <v/>
      </c>
      <c r="AT143" s="74">
        <f t="shared" si="14"/>
        <v>34.200000000000003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-1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>
        <v>22.2</v>
      </c>
      <c r="O145" s="66">
        <v>22.2</v>
      </c>
      <c r="P145" s="66">
        <v>21.4</v>
      </c>
      <c r="Q145" s="66">
        <v>23</v>
      </c>
      <c r="R145" s="66">
        <v>23.4</v>
      </c>
      <c r="S145" s="66">
        <v>24.4</v>
      </c>
      <c r="T145" s="66">
        <v>24.2</v>
      </c>
      <c r="U145" s="66">
        <v>23.2</v>
      </c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11</v>
      </c>
      <c r="AQ145" s="68" t="str">
        <f t="shared" si="12"/>
        <v/>
      </c>
      <c r="AR145" s="68">
        <f>IFERROR(VLOOKUP(A145,Climatologia_TMAX!A:U,9+$E$2,FALSE),"")</f>
        <v>21.467271711366539</v>
      </c>
      <c r="AS145" s="68" t="str">
        <f t="shared" si="13"/>
        <v/>
      </c>
      <c r="AT145" s="74">
        <f t="shared" si="14"/>
        <v>24.4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-1.8000000000000007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>
        <v>21.8</v>
      </c>
      <c r="O146" s="66">
        <v>21</v>
      </c>
      <c r="P146" s="66">
        <v>20.6</v>
      </c>
      <c r="Q146" s="66">
        <v>20.8</v>
      </c>
      <c r="R146" s="66">
        <v>22.6</v>
      </c>
      <c r="S146" s="66">
        <v>23</v>
      </c>
      <c r="T146" s="66">
        <v>22.8</v>
      </c>
      <c r="U146" s="66">
        <v>21.6</v>
      </c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11</v>
      </c>
      <c r="AQ146" s="68" t="str">
        <f t="shared" si="12"/>
        <v/>
      </c>
      <c r="AR146" s="68">
        <f>IFERROR(VLOOKUP(A146,Climatologia_TMAX!A:U,9+$E$2,FALSE),"")</f>
        <v>21.55397335070656</v>
      </c>
      <c r="AS146" s="68" t="str">
        <f t="shared" si="13"/>
        <v/>
      </c>
      <c r="AT146" s="74">
        <f t="shared" si="14"/>
        <v>23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-3.8000000000000007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>
        <v>21.6</v>
      </c>
      <c r="O147" s="66">
        <v>23.6</v>
      </c>
      <c r="P147" s="66"/>
      <c r="Q147" s="66">
        <v>21.6</v>
      </c>
      <c r="R147" s="66">
        <v>21</v>
      </c>
      <c r="S147" s="66">
        <v>23</v>
      </c>
      <c r="T147" s="66">
        <v>20.399999999999999</v>
      </c>
      <c r="U147" s="66">
        <v>22.6</v>
      </c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10</v>
      </c>
      <c r="AQ147" s="68" t="str">
        <f t="shared" si="12"/>
        <v/>
      </c>
      <c r="AR147" s="68">
        <f>IFERROR(VLOOKUP(A147,Climatologia_TMAX!A:U,9+$E$2,FALSE),"")</f>
        <v>23.05814951651158</v>
      </c>
      <c r="AS147" s="68" t="str">
        <f t="shared" si="13"/>
        <v/>
      </c>
      <c r="AT147" s="74">
        <f t="shared" si="14"/>
        <v>23.8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-4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>
        <v>27.2</v>
      </c>
      <c r="O148" s="66">
        <v>26.2</v>
      </c>
      <c r="P148" s="66">
        <v>26.2</v>
      </c>
      <c r="Q148" s="66">
        <v>27.6</v>
      </c>
      <c r="R148" s="66">
        <v>25.2</v>
      </c>
      <c r="S148" s="66">
        <v>26.2</v>
      </c>
      <c r="T148" s="66"/>
      <c r="U148" s="66">
        <v>27.2</v>
      </c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10</v>
      </c>
      <c r="AQ148" s="68" t="str">
        <f t="shared" si="12"/>
        <v/>
      </c>
      <c r="AR148" s="68">
        <f>IFERROR(VLOOKUP(A148,Climatologia_TMAX!A:U,9+$E$2,FALSE),"")</f>
        <v>26.452733077905489</v>
      </c>
      <c r="AS148" s="68" t="str">
        <f t="shared" si="13"/>
        <v/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>
        <v>35</v>
      </c>
      <c r="P151" s="66">
        <v>34</v>
      </c>
      <c r="Q151" s="66">
        <v>34.6</v>
      </c>
      <c r="R151" s="66">
        <v>34</v>
      </c>
      <c r="S151" s="66">
        <v>34.799999999999997</v>
      </c>
      <c r="T151" s="66">
        <v>33</v>
      </c>
      <c r="U151" s="66">
        <v>34.4</v>
      </c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8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>
        <v>20.8</v>
      </c>
      <c r="O153" s="66">
        <v>19.600000000000001</v>
      </c>
      <c r="P153" s="66">
        <v>20.6</v>
      </c>
      <c r="Q153" s="66">
        <v>19.8</v>
      </c>
      <c r="R153" s="66">
        <v>20.6</v>
      </c>
      <c r="S153" s="66">
        <v>21.8</v>
      </c>
      <c r="T153" s="109">
        <v>22</v>
      </c>
      <c r="U153" s="66">
        <v>21</v>
      </c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11</v>
      </c>
      <c r="AQ153" s="68" t="str">
        <f t="shared" si="12"/>
        <v/>
      </c>
      <c r="AR153" s="68">
        <f>IFERROR(VLOOKUP(A153,Climatologia_TMAX!A:U,9+$E$2,FALSE),"")</f>
        <v>18.093990147783249</v>
      </c>
      <c r="AS153" s="68" t="str">
        <f t="shared" si="13"/>
        <v/>
      </c>
      <c r="AT153" s="74">
        <f t="shared" si="14"/>
        <v>22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-1.3999999999999986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>
        <v>18.399999999999999</v>
      </c>
      <c r="O154" s="66">
        <v>16.8</v>
      </c>
      <c r="P154" s="66">
        <v>17.8</v>
      </c>
      <c r="Q154" s="66">
        <v>17.8</v>
      </c>
      <c r="R154" s="66">
        <v>18.399999999999999</v>
      </c>
      <c r="S154" s="66">
        <v>20.2</v>
      </c>
      <c r="T154" s="66">
        <v>18</v>
      </c>
      <c r="U154" s="66">
        <v>19</v>
      </c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11</v>
      </c>
      <c r="AQ154" s="68" t="str">
        <f t="shared" si="12"/>
        <v/>
      </c>
      <c r="AR154" s="68">
        <f>IFERROR(VLOOKUP(A154,Climatologia_TMAX!A:U,9+$E$2,FALSE),"")</f>
        <v>18.64260102992246</v>
      </c>
      <c r="AS154" s="68" t="str">
        <f t="shared" si="13"/>
        <v/>
      </c>
      <c r="AT154" s="74">
        <f t="shared" si="14"/>
        <v>20.2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-3.1999999999999993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>
        <v>21.4</v>
      </c>
      <c r="O156" s="66">
        <v>19.8</v>
      </c>
      <c r="P156" s="66">
        <v>20.399999999999999</v>
      </c>
      <c r="Q156" s="66">
        <v>21.8</v>
      </c>
      <c r="R156" s="66">
        <v>19.600000000000001</v>
      </c>
      <c r="S156" s="66">
        <v>22</v>
      </c>
      <c r="T156" s="66">
        <v>19.2</v>
      </c>
      <c r="U156" s="66">
        <v>22</v>
      </c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11</v>
      </c>
      <c r="AQ156" s="68" t="str">
        <f t="shared" si="12"/>
        <v/>
      </c>
      <c r="AR156" s="68">
        <f>IFERROR(VLOOKUP(A156,Climatologia_TMAX!A:U,9+$E$2,FALSE),"")</f>
        <v>21.040558620689659</v>
      </c>
      <c r="AS156" s="68" t="str">
        <f t="shared" si="13"/>
        <v/>
      </c>
      <c r="AT156" s="74">
        <f t="shared" si="14"/>
        <v>22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-3.1999999999999993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>
        <v>21.8</v>
      </c>
      <c r="O158" s="66">
        <v>23.4</v>
      </c>
      <c r="P158" s="66">
        <v>24.4</v>
      </c>
      <c r="Q158" s="66">
        <v>24.4</v>
      </c>
      <c r="R158" s="66">
        <v>22.6</v>
      </c>
      <c r="S158" s="66">
        <v>24.2</v>
      </c>
      <c r="T158" s="66">
        <v>21.8</v>
      </c>
      <c r="U158" s="66">
        <v>24</v>
      </c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11</v>
      </c>
      <c r="AQ158" s="68" t="str">
        <f t="shared" si="12"/>
        <v/>
      </c>
      <c r="AR158" s="68">
        <f>IFERROR(VLOOKUP(A158,Climatologia_TMAX!A:U,9+$E$2,FALSE),"")</f>
        <v>23.69400067733557</v>
      </c>
      <c r="AS158" s="68" t="str">
        <f t="shared" si="13"/>
        <v/>
      </c>
      <c r="AT158" s="74">
        <f t="shared" si="14"/>
        <v>25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-4.6000000000000014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>
        <v>29.6</v>
      </c>
      <c r="O160" s="66">
        <v>32.4</v>
      </c>
      <c r="P160" s="66">
        <v>31.8</v>
      </c>
      <c r="Q160" s="66">
        <v>31.4</v>
      </c>
      <c r="R160" s="66">
        <v>31.6</v>
      </c>
      <c r="S160" s="66">
        <v>32.4</v>
      </c>
      <c r="T160" s="66">
        <v>31.2</v>
      </c>
      <c r="U160" s="66">
        <v>29.2</v>
      </c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11</v>
      </c>
      <c r="AQ160" s="68" t="str">
        <f t="shared" si="12"/>
        <v/>
      </c>
      <c r="AR160" s="68">
        <f>IFERROR(VLOOKUP(A160,Climatologia_TMAX!A:U,9+$E$2,FALSE),"")</f>
        <v>29.810556198187779</v>
      </c>
      <c r="AS160" s="68" t="str">
        <f t="shared" si="13"/>
        <v/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>
        <v>17.399999999999999</v>
      </c>
      <c r="O164" s="66">
        <v>17.600000000000001</v>
      </c>
      <c r="P164" s="66">
        <v>18.8</v>
      </c>
      <c r="Q164" s="66">
        <v>17</v>
      </c>
      <c r="R164" s="66">
        <v>18</v>
      </c>
      <c r="S164" s="66">
        <v>18.8</v>
      </c>
      <c r="T164" s="66">
        <v>21</v>
      </c>
      <c r="U164" s="109">
        <v>18.2</v>
      </c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11</v>
      </c>
      <c r="AQ164" s="68" t="str">
        <f t="shared" si="12"/>
        <v/>
      </c>
      <c r="AR164" s="68">
        <f>IFERROR(VLOOKUP(A164,Climatologia_TMAX!A:U,9+$E$2,FALSE),"")</f>
        <v>17.33622330219147</v>
      </c>
      <c r="AS164" s="68" t="str">
        <f t="shared" si="13"/>
        <v/>
      </c>
      <c r="AT164" s="74">
        <f t="shared" si="14"/>
        <v>21.2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>
        <v>14.8</v>
      </c>
      <c r="N165" s="66">
        <v>15.2</v>
      </c>
      <c r="O165" s="66">
        <v>14.6</v>
      </c>
      <c r="P165" s="66">
        <v>14</v>
      </c>
      <c r="Q165" s="66">
        <v>14.8</v>
      </c>
      <c r="R165" s="66">
        <v>14.2</v>
      </c>
      <c r="S165" s="66">
        <v>14.8</v>
      </c>
      <c r="T165" s="66">
        <v>15.4</v>
      </c>
      <c r="U165" s="66">
        <v>15</v>
      </c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10</v>
      </c>
      <c r="AQ165" s="68" t="str">
        <f t="shared" si="12"/>
        <v/>
      </c>
      <c r="AR165" s="68">
        <f>IFERROR(VLOOKUP(A165,Climatologia_TMAX!A:U,9+$E$2,FALSE),"")</f>
        <v>13.83966666666667</v>
      </c>
      <c r="AS165" s="68" t="str">
        <f t="shared" si="13"/>
        <v/>
      </c>
      <c r="AT165" s="74">
        <f t="shared" si="14"/>
        <v>15.8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-4.0999999999999979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>
        <v>15.6</v>
      </c>
      <c r="O166" s="66">
        <v>14.8</v>
      </c>
      <c r="P166" s="66">
        <v>15.2</v>
      </c>
      <c r="Q166" s="66">
        <v>15</v>
      </c>
      <c r="R166" s="66">
        <v>14.4</v>
      </c>
      <c r="S166" s="66">
        <v>16.8</v>
      </c>
      <c r="T166" s="66">
        <v>17.2</v>
      </c>
      <c r="U166" s="66">
        <v>16.2</v>
      </c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11</v>
      </c>
      <c r="AQ166" s="68" t="str">
        <f t="shared" si="12"/>
        <v/>
      </c>
      <c r="AR166" s="68">
        <f>IFERROR(VLOOKUP(A166,Climatologia_TMAX!A:U,9+$E$2,FALSE),"")</f>
        <v>15.254814574724669</v>
      </c>
      <c r="AS166" s="68" t="str">
        <f t="shared" si="13"/>
        <v/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>
        <v>18.2</v>
      </c>
      <c r="O167" s="66">
        <v>16.399999999999999</v>
      </c>
      <c r="P167" s="66">
        <v>17.8</v>
      </c>
      <c r="Q167" s="66">
        <v>16</v>
      </c>
      <c r="R167" s="66">
        <v>18.8</v>
      </c>
      <c r="S167" s="66">
        <v>17</v>
      </c>
      <c r="T167" s="66">
        <v>18.600000000000001</v>
      </c>
      <c r="U167" s="109">
        <v>17.2</v>
      </c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11</v>
      </c>
      <c r="AQ167" s="68" t="str">
        <f t="shared" si="12"/>
        <v/>
      </c>
      <c r="AR167" s="68">
        <f>IFERROR(VLOOKUP(A167,Climatologia_TMAX!A:U,9+$E$2,FALSE),"")</f>
        <v>16.18561379310345</v>
      </c>
      <c r="AS167" s="68" t="str">
        <f t="shared" si="13"/>
        <v/>
      </c>
      <c r="AT167" s="74">
        <f t="shared" si="14"/>
        <v>20.2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>
        <v>21.2</v>
      </c>
      <c r="O168" s="66">
        <v>22.6</v>
      </c>
      <c r="P168" s="66">
        <v>22.2</v>
      </c>
      <c r="Q168" s="66">
        <v>22.8</v>
      </c>
      <c r="R168" s="66">
        <v>23.8</v>
      </c>
      <c r="S168" s="66">
        <v>24.2</v>
      </c>
      <c r="T168" s="66">
        <v>24.8</v>
      </c>
      <c r="U168" s="109">
        <v>21.6</v>
      </c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11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>
        <v>24.6</v>
      </c>
      <c r="O172" s="66">
        <v>22.4</v>
      </c>
      <c r="P172" s="66">
        <v>23.2</v>
      </c>
      <c r="Q172" s="66">
        <v>22.6</v>
      </c>
      <c r="R172" s="66">
        <v>23.4</v>
      </c>
      <c r="S172" s="66">
        <v>23.6</v>
      </c>
      <c r="T172" s="66">
        <v>25.6</v>
      </c>
      <c r="U172" s="66">
        <v>24.8</v>
      </c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11</v>
      </c>
      <c r="AQ172" s="68" t="str">
        <f t="shared" si="12"/>
        <v/>
      </c>
      <c r="AR172" s="68">
        <f>IFERROR(VLOOKUP(A172,Climatologia_TMAX!A:U,9+$E$2,FALSE),"")</f>
        <v>21.815994501380949</v>
      </c>
      <c r="AS172" s="68" t="str">
        <f t="shared" si="13"/>
        <v/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>
        <v>21</v>
      </c>
      <c r="O173" s="66">
        <v>18.8</v>
      </c>
      <c r="P173" s="66">
        <v>19.8</v>
      </c>
      <c r="Q173" s="66">
        <v>19.399999999999999</v>
      </c>
      <c r="R173" s="66">
        <v>20.6</v>
      </c>
      <c r="S173" s="66">
        <v>21.6</v>
      </c>
      <c r="T173" s="66">
        <v>22.2</v>
      </c>
      <c r="U173" s="66">
        <v>19.600000000000001</v>
      </c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11</v>
      </c>
      <c r="AQ173" s="68" t="str">
        <f t="shared" si="12"/>
        <v/>
      </c>
      <c r="AR173" s="68">
        <f>IFERROR(VLOOKUP(A173,Climatologia_TMAX!A:U,9+$E$2,FALSE),"")</f>
        <v>20.099785014899961</v>
      </c>
      <c r="AS173" s="68" t="str">
        <f t="shared" si="13"/>
        <v/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>
        <v>19.399999999999999</v>
      </c>
      <c r="O175" s="66">
        <v>17</v>
      </c>
      <c r="P175" s="66">
        <v>16.399999999999999</v>
      </c>
      <c r="Q175" s="66">
        <v>19.399999999999999</v>
      </c>
      <c r="R175" s="66">
        <v>19.5</v>
      </c>
      <c r="S175" s="66">
        <v>19.3</v>
      </c>
      <c r="T175" s="66">
        <v>21.2</v>
      </c>
      <c r="U175" s="109">
        <v>18</v>
      </c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11</v>
      </c>
      <c r="AQ175" s="68" t="str">
        <f t="shared" si="12"/>
        <v/>
      </c>
      <c r="AR175" s="68">
        <f>IFERROR(VLOOKUP(A175,Climatologia_TMAX!A:U,9+$E$2,FALSE),"")</f>
        <v>17.642557374659329</v>
      </c>
      <c r="AS175" s="68" t="str">
        <f t="shared" si="13"/>
        <v/>
      </c>
      <c r="AT175" s="74">
        <f t="shared" si="14"/>
        <v>22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-1.8000000000000007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>
        <v>20.9</v>
      </c>
      <c r="O176" s="66">
        <v>20.5</v>
      </c>
      <c r="P176" s="66">
        <v>19.2</v>
      </c>
      <c r="Q176" s="66">
        <v>18.899999999999999</v>
      </c>
      <c r="R176" s="66">
        <v>20.5</v>
      </c>
      <c r="S176" s="66">
        <v>21.9</v>
      </c>
      <c r="T176" s="66">
        <v>22.5</v>
      </c>
      <c r="U176" s="109">
        <v>20.6</v>
      </c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11</v>
      </c>
      <c r="AQ176" s="68" t="str">
        <f t="shared" si="12"/>
        <v/>
      </c>
      <c r="AR176" s="68">
        <f>IFERROR(VLOOKUP(A176,Climatologia_TMAX!A:U,9+$E$2,FALSE),"")</f>
        <v>19.335880952380951</v>
      </c>
      <c r="AS176" s="68" t="str">
        <f t="shared" si="13"/>
        <v/>
      </c>
      <c r="AT176" s="74">
        <f t="shared" si="14"/>
        <v>22.5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-0.5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>
        <v>26.4</v>
      </c>
      <c r="O180" s="66">
        <v>25.4</v>
      </c>
      <c r="P180" s="66">
        <v>24.4</v>
      </c>
      <c r="Q180" s="66">
        <v>23</v>
      </c>
      <c r="R180" s="66">
        <v>27.4</v>
      </c>
      <c r="S180" s="66">
        <v>26</v>
      </c>
      <c r="T180" s="66">
        <v>27.2</v>
      </c>
      <c r="U180" s="109">
        <v>24.8</v>
      </c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11</v>
      </c>
      <c r="AQ180" s="68" t="str">
        <f t="shared" si="12"/>
        <v/>
      </c>
      <c r="AR180" s="68">
        <f>IFERROR(VLOOKUP(A180,Climatologia_TMAX!A:U,9+$E$2,FALSE),"")</f>
        <v>22.8164890530925</v>
      </c>
      <c r="AS180" s="68" t="str">
        <f t="shared" si="13"/>
        <v/>
      </c>
      <c r="AT180" s="74">
        <f t="shared" si="14"/>
        <v>27.6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-1.1999999999999993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>
        <v>19.899999999999999</v>
      </c>
      <c r="Q181" s="66">
        <v>18.100000000000001</v>
      </c>
      <c r="R181" s="66">
        <v>18.2</v>
      </c>
      <c r="S181" s="66">
        <v>19.899999999999999</v>
      </c>
      <c r="T181" s="66">
        <v>21</v>
      </c>
      <c r="U181" s="109">
        <v>19</v>
      </c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9</v>
      </c>
      <c r="AQ181" s="68" t="str">
        <f t="shared" si="12"/>
        <v/>
      </c>
      <c r="AR181" s="68">
        <f>IFERROR(VLOOKUP(A181,Climatologia_TMAX!A:U,9+$E$2,FALSE),"")</f>
        <v>18.29491428068123</v>
      </c>
      <c r="AS181" s="68" t="str">
        <f t="shared" si="13"/>
        <v/>
      </c>
      <c r="AT181" s="74">
        <f t="shared" si="14"/>
        <v>22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>
        <v>29.6</v>
      </c>
      <c r="O182" s="66">
        <v>28.4</v>
      </c>
      <c r="P182" s="66">
        <v>28</v>
      </c>
      <c r="Q182" s="66">
        <v>25.8</v>
      </c>
      <c r="R182" s="66">
        <v>27</v>
      </c>
      <c r="S182" s="66">
        <v>30</v>
      </c>
      <c r="T182" s="66">
        <v>28</v>
      </c>
      <c r="U182" s="66">
        <v>26.8</v>
      </c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11</v>
      </c>
      <c r="AQ182" s="68" t="str">
        <f t="shared" si="12"/>
        <v/>
      </c>
      <c r="AR182" s="68">
        <f>IFERROR(VLOOKUP(A182,Climatologia_TMAX!A:U,9+$E$2,FALSE),"")</f>
        <v>24.92273106468112</v>
      </c>
      <c r="AS182" s="68" t="str">
        <f t="shared" si="13"/>
        <v/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>
        <v>31.6</v>
      </c>
      <c r="O183" s="66">
        <v>28.8</v>
      </c>
      <c r="P183" s="66">
        <v>31.8</v>
      </c>
      <c r="Q183" s="66">
        <v>29.8</v>
      </c>
      <c r="R183" s="66">
        <v>32</v>
      </c>
      <c r="S183" s="66">
        <v>31.8</v>
      </c>
      <c r="T183" s="66">
        <v>32</v>
      </c>
      <c r="U183" s="66">
        <v>29.2</v>
      </c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11</v>
      </c>
      <c r="AQ183" s="68" t="str">
        <f t="shared" si="12"/>
        <v/>
      </c>
      <c r="AR183" s="68">
        <f>IFERROR(VLOOKUP(A183,Climatologia_TMAX!A:U,9+$E$2,FALSE),"")</f>
        <v>27.352242768241581</v>
      </c>
      <c r="AS183" s="68" t="str">
        <f t="shared" si="13"/>
        <v/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-0.39999999999999858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>
        <v>17.600000000000001</v>
      </c>
      <c r="O184" s="66">
        <v>16.600000000000001</v>
      </c>
      <c r="P184" s="66">
        <v>15.8</v>
      </c>
      <c r="Q184" s="66">
        <v>13.8</v>
      </c>
      <c r="R184" s="66">
        <v>16.399999999999999</v>
      </c>
      <c r="S184" s="66">
        <v>15.6</v>
      </c>
      <c r="T184" s="66">
        <v>18.8</v>
      </c>
      <c r="U184" s="109">
        <v>17.2</v>
      </c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11</v>
      </c>
      <c r="AQ184" s="68" t="str">
        <f t="shared" si="12"/>
        <v/>
      </c>
      <c r="AR184" s="68">
        <f>IFERROR(VLOOKUP(A184,Climatologia_TMAX!A:U,9+$E$2,FALSE),"")</f>
        <v>15.3996091954023</v>
      </c>
      <c r="AS184" s="68" t="str">
        <f t="shared" si="13"/>
        <v/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-4.8000000000000007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>
        <v>29.6</v>
      </c>
      <c r="N185" s="66">
        <v>30.4</v>
      </c>
      <c r="O185" s="66">
        <v>31.2</v>
      </c>
      <c r="P185" s="66">
        <v>30</v>
      </c>
      <c r="Q185" s="66">
        <v>31.4</v>
      </c>
      <c r="R185" s="66">
        <v>31.8</v>
      </c>
      <c r="S185" s="66">
        <v>32</v>
      </c>
      <c r="T185" s="66">
        <v>32</v>
      </c>
      <c r="U185" s="66">
        <v>32.6</v>
      </c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11</v>
      </c>
      <c r="AQ185" s="68" t="str">
        <f t="shared" si="12"/>
        <v/>
      </c>
      <c r="AR185" s="68">
        <f>IFERROR(VLOOKUP(A185,Climatologia_TMAX!A:U,9+$E$2,FALSE),"")</f>
        <v>27.69362790770483</v>
      </c>
      <c r="AS185" s="68" t="str">
        <f t="shared" si="13"/>
        <v/>
      </c>
      <c r="AT185" s="74">
        <f t="shared" si="14"/>
        <v>32.6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0.60000000000000142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>
        <v>29.4</v>
      </c>
      <c r="O186" s="66">
        <v>29.4</v>
      </c>
      <c r="P186" s="66">
        <v>30.8</v>
      </c>
      <c r="Q186" s="66">
        <v>32.200000000000003</v>
      </c>
      <c r="R186" s="66">
        <v>31.4</v>
      </c>
      <c r="S186" s="66">
        <v>32.200000000000003</v>
      </c>
      <c r="T186" s="66">
        <v>30.2</v>
      </c>
      <c r="U186" s="66">
        <v>28.4</v>
      </c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11</v>
      </c>
      <c r="AQ186" s="68" t="str">
        <f t="shared" si="12"/>
        <v/>
      </c>
      <c r="AR186" s="68">
        <f>IFERROR(VLOOKUP(A186,Climatologia_TMAX!A:U,9+$E$2,FALSE),"")</f>
        <v>27.282753147235908</v>
      </c>
      <c r="AS186" s="68" t="str">
        <f t="shared" si="13"/>
        <v/>
      </c>
      <c r="AT186" s="74">
        <f t="shared" si="14"/>
        <v>32.200000000000003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1.6000000000000014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>
        <v>27.6</v>
      </c>
      <c r="O187" s="66">
        <v>27.8</v>
      </c>
      <c r="P187" s="66">
        <v>29</v>
      </c>
      <c r="Q187" s="66">
        <v>26</v>
      </c>
      <c r="R187" s="66">
        <v>28.6</v>
      </c>
      <c r="S187" s="66">
        <v>28.6</v>
      </c>
      <c r="T187" s="66">
        <v>28</v>
      </c>
      <c r="U187" s="66">
        <v>29.2</v>
      </c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11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0.80000000000000071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>
        <v>12.8</v>
      </c>
      <c r="O188" s="66">
        <v>12.4</v>
      </c>
      <c r="P188" s="66">
        <v>11.4</v>
      </c>
      <c r="Q188" s="66">
        <v>12.6</v>
      </c>
      <c r="R188" s="66">
        <v>11</v>
      </c>
      <c r="S188" s="66">
        <v>11.8</v>
      </c>
      <c r="T188" s="66">
        <v>12.6</v>
      </c>
      <c r="U188" s="66">
        <v>11.4</v>
      </c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11</v>
      </c>
      <c r="AQ188" s="68" t="str">
        <f t="shared" si="12"/>
        <v/>
      </c>
      <c r="AR188" s="68">
        <f>IFERROR(VLOOKUP(A188,Climatologia_TMAX!A:U,9+$E$2,FALSE),"")</f>
        <v>13.71344968140675</v>
      </c>
      <c r="AS188" s="68" t="str">
        <f t="shared" si="13"/>
        <v/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-2.5999999999999979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>
        <v>37</v>
      </c>
      <c r="O191" s="66">
        <v>37.4</v>
      </c>
      <c r="P191" s="66">
        <v>35</v>
      </c>
      <c r="Q191" s="66">
        <v>37.6</v>
      </c>
      <c r="R191" s="66">
        <v>34.799999999999997</v>
      </c>
      <c r="S191" s="66">
        <v>35.200000000000003</v>
      </c>
      <c r="T191" s="66">
        <v>36.200000000000003</v>
      </c>
      <c r="U191" s="66">
        <v>37.4</v>
      </c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11</v>
      </c>
      <c r="AQ191" s="68" t="str">
        <f t="shared" si="12"/>
        <v/>
      </c>
      <c r="AR191" s="68">
        <f>IFERROR(VLOOKUP(A191,Climatologia_TMAX!A:U,9+$E$2,FALSE),"")</f>
        <v>34.685813415236723</v>
      </c>
      <c r="AS191" s="68" t="str">
        <f t="shared" si="13"/>
        <v/>
      </c>
      <c r="AT191" s="74">
        <f t="shared" si="14"/>
        <v>37.6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-2.3999999999999986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>
        <v>31.6</v>
      </c>
      <c r="O192" s="66">
        <v>33</v>
      </c>
      <c r="P192" s="66">
        <v>27.6</v>
      </c>
      <c r="Q192" s="66">
        <v>30</v>
      </c>
      <c r="R192" s="66">
        <v>32.4</v>
      </c>
      <c r="S192" s="66">
        <v>33</v>
      </c>
      <c r="T192" s="66">
        <v>31.8</v>
      </c>
      <c r="U192" s="66">
        <v>30</v>
      </c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11</v>
      </c>
      <c r="AQ192" s="68" t="str">
        <f t="shared" si="12"/>
        <v/>
      </c>
      <c r="AR192" s="68">
        <f>IFERROR(VLOOKUP(A192,Climatologia_TMAX!A:U,9+$E$2,FALSE),"")</f>
        <v>30.4095652173913</v>
      </c>
      <c r="AS192" s="68" t="str">
        <f t="shared" si="13"/>
        <v/>
      </c>
      <c r="AT192" s="74">
        <f t="shared" si="14"/>
        <v>33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-1.2000000000000028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>
        <v>35.6</v>
      </c>
      <c r="O193" s="66">
        <v>35.200000000000003</v>
      </c>
      <c r="P193" s="66">
        <v>33</v>
      </c>
      <c r="Q193" s="66">
        <v>34.6</v>
      </c>
      <c r="R193" s="66">
        <v>37</v>
      </c>
      <c r="S193" s="66">
        <v>38.200000000000003</v>
      </c>
      <c r="T193" s="66">
        <v>35.6</v>
      </c>
      <c r="U193" s="116">
        <v>34.200000000000003</v>
      </c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11</v>
      </c>
      <c r="AQ193" s="68" t="str">
        <f t="shared" si="12"/>
        <v/>
      </c>
      <c r="AR193" s="68">
        <f>IFERROR(VLOOKUP(A193,Climatologia_TMAX!A:U,9+$E$2,FALSE),"")</f>
        <v>32.380779918578327</v>
      </c>
      <c r="AS193" s="68" t="str">
        <f t="shared" si="13"/>
        <v/>
      </c>
      <c r="AT193" s="74">
        <f t="shared" si="14"/>
        <v>38.200000000000003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1.4000000000000057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>
        <v>35.6</v>
      </c>
      <c r="O194" s="66">
        <v>37.6</v>
      </c>
      <c r="P194" s="66">
        <v>36.4</v>
      </c>
      <c r="Q194" s="66">
        <v>37</v>
      </c>
      <c r="R194" s="66">
        <v>36</v>
      </c>
      <c r="S194" s="66">
        <v>36.4</v>
      </c>
      <c r="T194" s="66">
        <v>35.799999999999997</v>
      </c>
      <c r="U194" s="66">
        <v>35.4</v>
      </c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11</v>
      </c>
      <c r="AQ194" s="68" t="str">
        <f t="shared" si="12"/>
        <v/>
      </c>
      <c r="AR194" s="68">
        <f>IFERROR(VLOOKUP(A194,Climatologia_TMAX!A:U,9+$E$2,FALSE),"")</f>
        <v>33.541315599343193</v>
      </c>
      <c r="AS194" s="68" t="str">
        <f t="shared" si="13"/>
        <v/>
      </c>
      <c r="AT194" s="74">
        <f t="shared" si="14"/>
        <v>37.6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-2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>
        <v>36.799999999999997</v>
      </c>
      <c r="N197" s="66">
        <v>37.4</v>
      </c>
      <c r="O197" s="66"/>
      <c r="P197" s="66">
        <v>37.799999999999997</v>
      </c>
      <c r="Q197" s="66">
        <v>35.799999999999997</v>
      </c>
      <c r="R197" s="66">
        <v>37.799999999999997</v>
      </c>
      <c r="S197" s="66">
        <v>39.200000000000003</v>
      </c>
      <c r="T197" s="66">
        <v>38.4</v>
      </c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9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32.992364601630797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39.200000000000003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2.4000000000000057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>
        <v>36.200000000000003</v>
      </c>
      <c r="O199" s="66">
        <v>36.6</v>
      </c>
      <c r="P199" s="66">
        <v>33</v>
      </c>
      <c r="Q199" s="66">
        <v>34.799999999999997</v>
      </c>
      <c r="R199" s="66">
        <v>36.200000000000003</v>
      </c>
      <c r="S199" s="66">
        <v>38</v>
      </c>
      <c r="T199" s="66">
        <v>37.6</v>
      </c>
      <c r="U199" s="66">
        <v>34.200000000000003</v>
      </c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11</v>
      </c>
      <c r="AQ199" s="68" t="str">
        <f t="shared" si="17"/>
        <v/>
      </c>
      <c r="AR199" s="68">
        <f>IFERROR(VLOOKUP(A199,Climatologia_TMAX!A:U,9+$E$2,FALSE),"")</f>
        <v>32.209496897641714</v>
      </c>
      <c r="AS199" s="68" t="str">
        <f t="shared" si="18"/>
        <v/>
      </c>
      <c r="AT199" s="74">
        <f t="shared" si="19"/>
        <v>38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>
        <v>19.2</v>
      </c>
      <c r="O200" s="66">
        <v>19</v>
      </c>
      <c r="P200" s="66">
        <v>18.600000000000001</v>
      </c>
      <c r="Q200" s="66">
        <v>17.8</v>
      </c>
      <c r="R200" s="66">
        <v>18</v>
      </c>
      <c r="S200" s="66">
        <v>20</v>
      </c>
      <c r="T200" s="66">
        <v>19</v>
      </c>
      <c r="U200" s="66">
        <v>19.8</v>
      </c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11</v>
      </c>
      <c r="AQ200" s="68" t="str">
        <f t="shared" si="17"/>
        <v/>
      </c>
      <c r="AR200" s="68">
        <f>IFERROR(VLOOKUP(A200,Climatologia_TMAX!A:U,9+$E$2,FALSE),"")</f>
        <v>17.974891443167309</v>
      </c>
      <c r="AS200" s="68" t="str">
        <f t="shared" si="18"/>
        <v/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>
        <v>21.2</v>
      </c>
      <c r="O203" s="66">
        <v>20</v>
      </c>
      <c r="P203" s="66">
        <v>19.399999999999999</v>
      </c>
      <c r="Q203" s="66">
        <v>19.600000000000001</v>
      </c>
      <c r="R203" s="66">
        <v>17.2</v>
      </c>
      <c r="S203" s="66">
        <v>21.4</v>
      </c>
      <c r="T203" s="66">
        <v>20.2</v>
      </c>
      <c r="U203" s="66">
        <v>19.2</v>
      </c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11</v>
      </c>
      <c r="AQ203" s="68" t="str">
        <f t="shared" si="17"/>
        <v/>
      </c>
      <c r="AR203" s="68">
        <f>IFERROR(VLOOKUP(A203,Climatologia_TMAX!A:U,9+$E$2,FALSE),"")</f>
        <v>20.392161330049259</v>
      </c>
      <c r="AS203" s="68" t="str">
        <f t="shared" si="18"/>
        <v/>
      </c>
      <c r="AT203" s="74">
        <f t="shared" si="19"/>
        <v>23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>
        <v>28</v>
      </c>
      <c r="O205" s="66">
        <v>28.2</v>
      </c>
      <c r="P205" s="66">
        <v>25.4</v>
      </c>
      <c r="Q205" s="66">
        <v>27.8</v>
      </c>
      <c r="R205" s="66">
        <v>28.8</v>
      </c>
      <c r="S205" s="66">
        <v>29</v>
      </c>
      <c r="T205" s="66">
        <v>27.8</v>
      </c>
      <c r="U205" s="66">
        <v>28</v>
      </c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11</v>
      </c>
      <c r="AQ205" s="68" t="str">
        <f t="shared" si="17"/>
        <v/>
      </c>
      <c r="AR205" s="68">
        <f>IFERROR(VLOOKUP(A205,Climatologia_TMAX!A:U,9+$E$2,FALSE),"")</f>
        <v>26.57162068965517</v>
      </c>
      <c r="AS205" s="68" t="str">
        <f t="shared" si="18"/>
        <v/>
      </c>
      <c r="AT205" s="74">
        <f t="shared" si="19"/>
        <v>29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-1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>
        <v>34</v>
      </c>
      <c r="O208" s="66">
        <v>35.4</v>
      </c>
      <c r="P208" s="66">
        <v>31.2</v>
      </c>
      <c r="Q208" s="66">
        <v>33.799999999999997</v>
      </c>
      <c r="R208" s="66">
        <v>34.299999999999997</v>
      </c>
      <c r="S208" s="66">
        <v>35.200000000000003</v>
      </c>
      <c r="T208" s="66">
        <v>34.799999999999997</v>
      </c>
      <c r="U208" s="66">
        <v>33.200000000000003</v>
      </c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11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>
        <v>24.8</v>
      </c>
      <c r="O209" s="66">
        <v>25.6</v>
      </c>
      <c r="P209" s="66">
        <v>23.4</v>
      </c>
      <c r="Q209" s="66">
        <v>25.6</v>
      </c>
      <c r="R209" s="66">
        <v>22</v>
      </c>
      <c r="S209" s="66">
        <v>24.2</v>
      </c>
      <c r="T209" s="66">
        <v>25.6</v>
      </c>
      <c r="U209" s="66">
        <v>24.6</v>
      </c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11</v>
      </c>
      <c r="AQ209" s="68" t="str">
        <f t="shared" si="17"/>
        <v/>
      </c>
      <c r="AR209" s="68">
        <f>IFERROR(VLOOKUP(A209,Climatologia_TMAX!A:U,9+$E$2,FALSE),"")</f>
        <v>24.245733077905491</v>
      </c>
      <c r="AS209" s="68" t="str">
        <f t="shared" si="18"/>
        <v/>
      </c>
      <c r="AT209" s="74">
        <f t="shared" si="19"/>
        <v>25.6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-3.6999999999999993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>
        <v>31.8</v>
      </c>
      <c r="O210" s="66">
        <v>32</v>
      </c>
      <c r="P210" s="66">
        <v>30.2</v>
      </c>
      <c r="Q210" s="66">
        <v>32.4</v>
      </c>
      <c r="R210" s="66">
        <v>29</v>
      </c>
      <c r="S210" s="66">
        <v>30.4</v>
      </c>
      <c r="T210" s="66">
        <v>31</v>
      </c>
      <c r="U210" s="66">
        <v>31.2</v>
      </c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11</v>
      </c>
      <c r="AQ210" s="68" t="str">
        <f t="shared" si="17"/>
        <v/>
      </c>
      <c r="AR210" s="68">
        <f>IFERROR(VLOOKUP(A210,Climatologia_TMAX!A:U,9+$E$2,FALSE),"")</f>
        <v>29.646482393723769</v>
      </c>
      <c r="AS210" s="68" t="str">
        <f t="shared" si="18"/>
        <v/>
      </c>
      <c r="AT210" s="74">
        <f t="shared" si="19"/>
        <v>32.4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-2.3999999999999986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>
        <v>31.6</v>
      </c>
      <c r="O214" s="66">
        <v>30</v>
      </c>
      <c r="P214" s="66">
        <v>29.6</v>
      </c>
      <c r="Q214" s="66">
        <v>33</v>
      </c>
      <c r="R214" s="66">
        <v>27</v>
      </c>
      <c r="S214" s="66">
        <v>32</v>
      </c>
      <c r="T214" s="109">
        <v>31.6</v>
      </c>
      <c r="U214" s="66">
        <v>28</v>
      </c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11</v>
      </c>
      <c r="AQ214" s="68" t="str">
        <f t="shared" si="17"/>
        <v/>
      </c>
      <c r="AR214" s="68">
        <f>IFERROR(VLOOKUP(A214,Climatologia_TMAX!A:U,9+$E$2,FALSE),"")</f>
        <v>29.972884729064042</v>
      </c>
      <c r="AS214" s="68" t="str">
        <f t="shared" si="18"/>
        <v/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>
        <v>27.4</v>
      </c>
      <c r="O216" s="66">
        <v>27.4</v>
      </c>
      <c r="P216" s="66">
        <v>25.2</v>
      </c>
      <c r="Q216" s="66">
        <v>27.4</v>
      </c>
      <c r="R216" s="66">
        <v>27.4</v>
      </c>
      <c r="S216" s="66">
        <v>28.8</v>
      </c>
      <c r="T216" s="66">
        <v>28.8</v>
      </c>
      <c r="U216" s="66">
        <v>27</v>
      </c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11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28.8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-1.1999999999999993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>
        <v>26.6</v>
      </c>
      <c r="O217" s="66">
        <v>26.6</v>
      </c>
      <c r="P217" s="66">
        <v>27</v>
      </c>
      <c r="Q217" s="66">
        <v>24.2</v>
      </c>
      <c r="R217" s="66">
        <v>27.6</v>
      </c>
      <c r="S217" s="66">
        <v>28</v>
      </c>
      <c r="T217" s="66">
        <v>27.8</v>
      </c>
      <c r="U217" s="66">
        <v>27.6</v>
      </c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11</v>
      </c>
      <c r="AQ217" s="68" t="str">
        <f t="shared" si="17"/>
        <v/>
      </c>
      <c r="AR217" s="68">
        <f>IFERROR(VLOOKUP(A217,Climatologia_TMAX!A:U,9+$E$2,FALSE),"")</f>
        <v>23.75456916901744</v>
      </c>
      <c r="AS217" s="68" t="str">
        <f t="shared" si="18"/>
        <v/>
      </c>
      <c r="AT217" s="74">
        <f t="shared" si="19"/>
        <v>28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0.19999999999999929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>
        <v>15.2</v>
      </c>
      <c r="O221" s="66">
        <v>18</v>
      </c>
      <c r="P221" s="66">
        <v>16</v>
      </c>
      <c r="Q221" s="66">
        <v>14.8</v>
      </c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-3.1999999999999993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>
        <v>24</v>
      </c>
      <c r="O222" s="66">
        <v>23.4</v>
      </c>
      <c r="P222" s="66">
        <v>24</v>
      </c>
      <c r="Q222" s="66">
        <v>24</v>
      </c>
      <c r="R222" s="66">
        <v>27.4</v>
      </c>
      <c r="S222" s="66">
        <v>25</v>
      </c>
      <c r="T222" s="66">
        <v>25</v>
      </c>
      <c r="U222" s="66">
        <v>22</v>
      </c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11</v>
      </c>
      <c r="AQ222" s="68" t="str">
        <f t="shared" si="17"/>
        <v/>
      </c>
      <c r="AR222" s="68">
        <f>IFERROR(VLOOKUP(A222,Climatologia_TMAX!A:U,9+$E$2,FALSE),"")</f>
        <v>22.364222333277809</v>
      </c>
      <c r="AS222" s="68" t="str">
        <f t="shared" si="18"/>
        <v/>
      </c>
      <c r="AT222" s="74">
        <f t="shared" si="19"/>
        <v>27.4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-0.40000000000000213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>
        <v>33.4</v>
      </c>
      <c r="O224" s="66">
        <v>34.200000000000003</v>
      </c>
      <c r="P224" s="66">
        <v>33.4</v>
      </c>
      <c r="Q224" s="66">
        <v>35.299999999999997</v>
      </c>
      <c r="R224" s="66">
        <v>34.4</v>
      </c>
      <c r="S224" s="66">
        <v>33.799999999999997</v>
      </c>
      <c r="T224" s="66">
        <v>36</v>
      </c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10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>
        <v>29.4</v>
      </c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1</v>
      </c>
      <c r="AQ229" s="68" t="str">
        <f t="shared" si="17"/>
        <v/>
      </c>
      <c r="AR229" s="68">
        <f>IFERROR(VLOOKUP(A229,Climatologia_TMAX!A:U,9+$E$2,FALSE),"")</f>
        <v>30.62928735632185</v>
      </c>
      <c r="AS229" s="68" t="str">
        <f t="shared" si="18"/>
        <v/>
      </c>
      <c r="AT229" s="74">
        <f t="shared" si="19"/>
        <v>29.4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>
        <f t="shared" si="20"/>
        <v>-7.6000000000000014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>
        <v>31.2</v>
      </c>
      <c r="O231" s="66">
        <v>34.200000000000003</v>
      </c>
      <c r="P231" s="66">
        <v>33.6</v>
      </c>
      <c r="Q231" s="66">
        <v>31.2</v>
      </c>
      <c r="R231" s="66">
        <v>34.6</v>
      </c>
      <c r="S231" s="66">
        <v>33.799999999999997</v>
      </c>
      <c r="T231" s="66">
        <v>32.6</v>
      </c>
      <c r="U231" s="66">
        <v>30.2</v>
      </c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11</v>
      </c>
      <c r="AQ231" s="68" t="str">
        <f t="shared" si="17"/>
        <v/>
      </c>
      <c r="AR231" s="68">
        <f>IFERROR(VLOOKUP(A231,Climatologia_TMAX!A:U,9+$E$2,FALSE),"")</f>
        <v>30.222298052824382</v>
      </c>
      <c r="AS231" s="68" t="str">
        <f t="shared" si="18"/>
        <v/>
      </c>
      <c r="AT231" s="74">
        <f t="shared" si="19"/>
        <v>34.6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0.39999999999999858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>
        <v>32.200000000000003</v>
      </c>
      <c r="O235" s="66">
        <v>33.200000000000003</v>
      </c>
      <c r="P235" s="66">
        <v>33.6</v>
      </c>
      <c r="Q235" s="66">
        <v>30</v>
      </c>
      <c r="R235" s="66">
        <v>34.4</v>
      </c>
      <c r="S235" s="66">
        <v>34.799999999999997</v>
      </c>
      <c r="T235" s="66">
        <v>33.200000000000003</v>
      </c>
      <c r="U235" s="66">
        <v>29.8</v>
      </c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11</v>
      </c>
      <c r="AQ235" s="68" t="str">
        <f t="shared" si="17"/>
        <v/>
      </c>
      <c r="AR235" s="68">
        <f>IFERROR(VLOOKUP(A235,Climatologia_TMAX!A:U,9+$E$2,FALSE),"")</f>
        <v>30.25025408348457</v>
      </c>
      <c r="AS235" s="68" t="str">
        <f t="shared" si="18"/>
        <v/>
      </c>
      <c r="AT235" s="74">
        <f t="shared" si="19"/>
        <v>34.799999999999997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-0.30000000000000426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29.4</v>
      </c>
      <c r="L238" s="66">
        <v>30.2</v>
      </c>
      <c r="M238" s="66">
        <v>31</v>
      </c>
      <c r="N238" s="66">
        <v>33.6</v>
      </c>
      <c r="O238" s="66"/>
      <c r="P238" s="66"/>
      <c r="Q238" s="66"/>
      <c r="R238" s="66">
        <v>31.4</v>
      </c>
      <c r="S238" s="66">
        <v>32.4</v>
      </c>
      <c r="T238" s="66">
        <v>32.4</v>
      </c>
      <c r="U238" s="66">
        <v>30.2</v>
      </c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8</v>
      </c>
      <c r="AQ238" s="68" t="str">
        <f t="shared" si="17"/>
        <v/>
      </c>
      <c r="AR238" s="68">
        <f>IFERROR(VLOOKUP(A238,Climatologia_TMAX!A:U,9+$E$2,FALSE),"")</f>
        <v>30.51577690763898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>
        <f t="shared" si="20"/>
        <v>-2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>
        <v>29</v>
      </c>
      <c r="O244" s="66"/>
      <c r="P244" s="66"/>
      <c r="Q244" s="66">
        <v>29.2</v>
      </c>
      <c r="R244" s="66">
        <v>30</v>
      </c>
      <c r="S244" s="66">
        <v>30</v>
      </c>
      <c r="T244" s="66">
        <v>30.2</v>
      </c>
      <c r="U244" s="66">
        <v>27</v>
      </c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9</v>
      </c>
      <c r="AQ244" s="68" t="str">
        <f t="shared" si="17"/>
        <v/>
      </c>
      <c r="AR244" s="68">
        <f>IFERROR(VLOOKUP(A244,Climatologia_TMAX!A:U,9+$E$2,FALSE),"")</f>
        <v>25.891908045977011</v>
      </c>
      <c r="AS244" s="68" t="str">
        <f t="shared" si="18"/>
        <v/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-1.6000000000000014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>
        <v>35.4</v>
      </c>
      <c r="P246" s="66">
        <v>34</v>
      </c>
      <c r="Q246" s="66">
        <v>33.6</v>
      </c>
      <c r="R246" s="66">
        <v>35</v>
      </c>
      <c r="S246" s="66">
        <v>34.4</v>
      </c>
      <c r="T246" s="66">
        <v>35.6</v>
      </c>
      <c r="U246" s="66">
        <v>33</v>
      </c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10</v>
      </c>
      <c r="AQ246" s="68" t="str">
        <f t="shared" si="17"/>
        <v/>
      </c>
      <c r="AR246" s="68">
        <f>IFERROR(VLOOKUP(A246,Climatologia_TMAX!A:U,9+$E$2,FALSE),"")</f>
        <v>29.700592680671161</v>
      </c>
      <c r="AS246" s="68" t="str">
        <f t="shared" si="18"/>
        <v/>
      </c>
      <c r="AT246" s="74">
        <f t="shared" si="19"/>
        <v>35.6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>
        <v>37.4</v>
      </c>
      <c r="O247" s="66">
        <v>38.799999999999997</v>
      </c>
      <c r="P247" s="66">
        <v>38.4</v>
      </c>
      <c r="Q247" s="66">
        <v>33.799999999999997</v>
      </c>
      <c r="R247" s="66">
        <v>39</v>
      </c>
      <c r="S247" s="66">
        <v>38.4</v>
      </c>
      <c r="T247" s="66">
        <v>40.799999999999997</v>
      </c>
      <c r="U247" s="66">
        <v>37.200000000000003</v>
      </c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11</v>
      </c>
      <c r="AQ247" s="68" t="str">
        <f t="shared" si="17"/>
        <v/>
      </c>
      <c r="AR247" s="68">
        <f>IFERROR(VLOOKUP(A247,Climatologia_TMAX!A:U,9+$E$2,FALSE),"")</f>
        <v>35.267343185550082</v>
      </c>
      <c r="AS247" s="68" t="str">
        <f t="shared" si="18"/>
        <v/>
      </c>
      <c r="AT247" s="74">
        <f t="shared" si="19"/>
        <v>40.799999999999997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-0.80000000000000426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>
        <v>38</v>
      </c>
      <c r="O248" s="66"/>
      <c r="P248" s="66">
        <v>39.4</v>
      </c>
      <c r="Q248" s="66">
        <v>35.4</v>
      </c>
      <c r="R248" s="66">
        <v>38.799999999999997</v>
      </c>
      <c r="S248" s="66">
        <v>37.799999999999997</v>
      </c>
      <c r="T248" s="66">
        <v>39</v>
      </c>
      <c r="U248" s="66">
        <v>36</v>
      </c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10</v>
      </c>
      <c r="AQ248" s="68" t="str">
        <f t="shared" si="17"/>
        <v/>
      </c>
      <c r="AR248" s="68">
        <f>IFERROR(VLOOKUP(A248,Climatologia_TMAX!A:U,9+$E$2,FALSE),"")</f>
        <v>33.731045299345787</v>
      </c>
      <c r="AS248" s="68" t="str">
        <f t="shared" si="18"/>
        <v/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-0.39999999999999858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>
        <v>30.6</v>
      </c>
      <c r="O249" s="66">
        <v>30.2</v>
      </c>
      <c r="P249" s="66">
        <v>31.2</v>
      </c>
      <c r="Q249" s="66">
        <v>30.2</v>
      </c>
      <c r="R249" s="66">
        <v>32.6</v>
      </c>
      <c r="S249" s="66">
        <v>32.799999999999997</v>
      </c>
      <c r="T249" s="66">
        <v>33.799999999999997</v>
      </c>
      <c r="U249" s="66">
        <v>33.200000000000003</v>
      </c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11</v>
      </c>
      <c r="AQ249" s="68" t="str">
        <f t="shared" si="17"/>
        <v/>
      </c>
      <c r="AR249" s="68">
        <f>IFERROR(VLOOKUP(A249,Climatologia_TMAX!A:U,9+$E$2,FALSE),"")</f>
        <v>31.849166666666662</v>
      </c>
      <c r="AS249" s="68" t="str">
        <f t="shared" si="18"/>
        <v/>
      </c>
      <c r="AT249" s="74">
        <f t="shared" si="19"/>
        <v>33.799999999999997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-3.2000000000000028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>
        <v>38.6</v>
      </c>
      <c r="O250" s="66"/>
      <c r="P250" s="66">
        <v>39.6</v>
      </c>
      <c r="Q250" s="66">
        <v>36.4</v>
      </c>
      <c r="R250" s="66">
        <v>39.6</v>
      </c>
      <c r="S250" s="66">
        <v>39.200000000000003</v>
      </c>
      <c r="T250" s="66">
        <v>40</v>
      </c>
      <c r="U250" s="66">
        <v>38</v>
      </c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9</v>
      </c>
      <c r="AQ250" s="68" t="str">
        <f t="shared" si="17"/>
        <v/>
      </c>
      <c r="AR250" s="68">
        <f>IFERROR(VLOOKUP(A250,Climatologia_TMAX!A:U,9+$E$2,FALSE),"")</f>
        <v>35.703584328231692</v>
      </c>
      <c r="AS250" s="68" t="str">
        <f t="shared" si="18"/>
        <v/>
      </c>
      <c r="AT250" s="74">
        <f t="shared" si="19"/>
        <v>40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-1.7999999999999972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>
        <v>39.6</v>
      </c>
      <c r="O252" s="66">
        <v>40</v>
      </c>
      <c r="P252" s="66">
        <v>38.4</v>
      </c>
      <c r="Q252" s="66">
        <v>39</v>
      </c>
      <c r="R252" s="66">
        <v>41</v>
      </c>
      <c r="S252" s="66">
        <v>39.200000000000003</v>
      </c>
      <c r="T252" s="66">
        <v>41.4</v>
      </c>
      <c r="U252" s="66">
        <v>38.4</v>
      </c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11</v>
      </c>
      <c r="AQ252" s="68" t="str">
        <f t="shared" si="17"/>
        <v/>
      </c>
      <c r="AR252" s="68">
        <f>IFERROR(VLOOKUP(A252,Climatologia_TMAX!A:U,9+$E$2,FALSE),"")</f>
        <v>34.670477410573667</v>
      </c>
      <c r="AS252" s="68" t="str">
        <f t="shared" si="18"/>
        <v/>
      </c>
      <c r="AT252" s="74">
        <f t="shared" si="19"/>
        <v>41.4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-1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>
        <v>36</v>
      </c>
      <c r="O255" s="66">
        <v>37.200000000000003</v>
      </c>
      <c r="P255" s="66">
        <v>36.799999999999997</v>
      </c>
      <c r="Q255" s="66">
        <v>36.200000000000003</v>
      </c>
      <c r="R255" s="66">
        <v>38.200000000000003</v>
      </c>
      <c r="S255" s="66">
        <v>38</v>
      </c>
      <c r="T255" s="66">
        <v>38.200000000000003</v>
      </c>
      <c r="U255" s="66">
        <v>37.6</v>
      </c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11</v>
      </c>
      <c r="AQ255" s="68" t="str">
        <f t="shared" si="17"/>
        <v/>
      </c>
      <c r="AR255" s="68">
        <f>IFERROR(VLOOKUP(A255,Climatologia_TMAX!A:U,9+$E$2,FALSE),"")</f>
        <v>33.242094712934822</v>
      </c>
      <c r="AS255" s="68" t="str">
        <f t="shared" si="18"/>
        <v/>
      </c>
      <c r="AT255" s="74">
        <f t="shared" si="19"/>
        <v>38.200000000000003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-1.5999999999999943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>
        <v>25.2</v>
      </c>
      <c r="O258" s="66">
        <v>27.2</v>
      </c>
      <c r="P258" s="66">
        <v>27.2</v>
      </c>
      <c r="Q258" s="66">
        <v>24.6</v>
      </c>
      <c r="R258" s="66">
        <v>27.8</v>
      </c>
      <c r="S258" s="66">
        <v>27.2</v>
      </c>
      <c r="T258" s="66">
        <v>26.6</v>
      </c>
      <c r="U258" s="66">
        <v>26.2</v>
      </c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11</v>
      </c>
      <c r="AQ258" s="68" t="str">
        <f t="shared" si="17"/>
        <v/>
      </c>
      <c r="AR258" s="68">
        <f>IFERROR(VLOOKUP(A258,Climatologia_TMAX!A:U,9+$E$2,FALSE),"")</f>
        <v>22.819631675276192</v>
      </c>
      <c r="AS258" s="68" t="str">
        <f t="shared" si="18"/>
        <v/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>
        <v>26.8</v>
      </c>
      <c r="O259" s="66">
        <v>27.8</v>
      </c>
      <c r="P259" s="66">
        <v>27</v>
      </c>
      <c r="Q259" s="66">
        <v>25.2</v>
      </c>
      <c r="R259" s="66">
        <v>29.2</v>
      </c>
      <c r="S259" s="66">
        <v>29</v>
      </c>
      <c r="T259" s="66">
        <v>28.4</v>
      </c>
      <c r="U259" s="66">
        <v>28</v>
      </c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11</v>
      </c>
      <c r="AQ259" s="68" t="str">
        <f t="shared" si="17"/>
        <v/>
      </c>
      <c r="AR259" s="68">
        <f>IFERROR(VLOOKUP(A259,Climatologia_TMAX!A:U,9+$E$2,FALSE),"")</f>
        <v>27.28826717088787</v>
      </c>
      <c r="AS259" s="68" t="str">
        <f t="shared" si="18"/>
        <v/>
      </c>
      <c r="AT259" s="74">
        <f t="shared" si="19"/>
        <v>29.2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-3.0000000000000036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>
        <v>22.2</v>
      </c>
      <c r="O260" s="66">
        <v>22.8</v>
      </c>
      <c r="P260" s="66">
        <v>22</v>
      </c>
      <c r="Q260" s="66">
        <v>20.8</v>
      </c>
      <c r="R260" s="66">
        <v>24</v>
      </c>
      <c r="S260" s="66">
        <v>23</v>
      </c>
      <c r="T260" s="66">
        <v>23.4</v>
      </c>
      <c r="U260" s="66">
        <v>22.8</v>
      </c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11</v>
      </c>
      <c r="AQ260" s="68" t="str">
        <f t="shared" si="17"/>
        <v/>
      </c>
      <c r="AR260" s="68">
        <f>IFERROR(VLOOKUP(A260,Climatologia_TMAX!A:U,9+$E$2,FALSE),"")</f>
        <v>18.65319922126082</v>
      </c>
      <c r="AS260" s="68" t="str">
        <f t="shared" si="18"/>
        <v/>
      </c>
      <c r="AT260" s="74">
        <f t="shared" si="19"/>
        <v>24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>
        <v>36.4</v>
      </c>
      <c r="O261" s="66">
        <v>37.6</v>
      </c>
      <c r="P261" s="66">
        <v>37.799999999999997</v>
      </c>
      <c r="Q261" s="66">
        <v>35.200000000000003</v>
      </c>
      <c r="R261" s="66">
        <v>38.200000000000003</v>
      </c>
      <c r="S261" s="66">
        <v>37.200000000000003</v>
      </c>
      <c r="T261" s="66">
        <v>37.799999999999997</v>
      </c>
      <c r="U261" s="66">
        <v>35.799999999999997</v>
      </c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11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-0.79999999999999716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>
        <v>22.8</v>
      </c>
      <c r="O262" s="66">
        <v>23.4</v>
      </c>
      <c r="P262" s="66">
        <v>23.4</v>
      </c>
      <c r="Q262" s="66">
        <v>22</v>
      </c>
      <c r="R262" s="66">
        <v>24.4</v>
      </c>
      <c r="S262" s="66">
        <v>24</v>
      </c>
      <c r="T262" s="66">
        <v>24</v>
      </c>
      <c r="U262" s="66">
        <v>23.6</v>
      </c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11</v>
      </c>
      <c r="AQ262" s="68" t="str">
        <f t="shared" si="22"/>
        <v/>
      </c>
      <c r="AR262" s="68">
        <f>IFERROR(VLOOKUP(A262,Climatologia_TMAX!A:U,9+$E$2,FALSE),"")</f>
        <v>20.946002371829959</v>
      </c>
      <c r="AS262" s="68" t="str">
        <f t="shared" si="23"/>
        <v/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-1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>
        <v>17.399999999999999</v>
      </c>
      <c r="O266" s="66">
        <v>17.399999999999999</v>
      </c>
      <c r="P266" s="66">
        <v>19</v>
      </c>
      <c r="Q266" s="66">
        <v>17.2</v>
      </c>
      <c r="R266" s="66">
        <v>19.2</v>
      </c>
      <c r="S266" s="66">
        <v>20.2</v>
      </c>
      <c r="T266" s="66">
        <v>19.8</v>
      </c>
      <c r="U266" s="66">
        <v>19.399999999999999</v>
      </c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11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-4.1999999999999993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>
        <v>15.8</v>
      </c>
      <c r="O268" s="66">
        <v>15</v>
      </c>
      <c r="P268" s="66">
        <v>15.2</v>
      </c>
      <c r="Q268" s="66">
        <v>15.4</v>
      </c>
      <c r="R268" s="66">
        <v>15.8</v>
      </c>
      <c r="S268" s="66">
        <v>16.2</v>
      </c>
      <c r="T268" s="66">
        <v>15.2</v>
      </c>
      <c r="U268" s="66">
        <v>15.6</v>
      </c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11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-3.6000000000000014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>
        <v>20.399999999999999</v>
      </c>
      <c r="O269" s="66">
        <v>21.4</v>
      </c>
      <c r="P269" s="66">
        <v>20.6</v>
      </c>
      <c r="Q269" s="66">
        <v>19.600000000000001</v>
      </c>
      <c r="R269" s="66">
        <v>20.8</v>
      </c>
      <c r="S269" s="66">
        <v>22</v>
      </c>
      <c r="T269" s="66">
        <v>21.8</v>
      </c>
      <c r="U269" s="109">
        <v>20.8</v>
      </c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11</v>
      </c>
      <c r="AQ269" s="68" t="str">
        <f t="shared" si="22"/>
        <v/>
      </c>
      <c r="AR269" s="68">
        <f>IFERROR(VLOOKUP(A269,Climatologia_TMAX!A:U,9+$E$2,FALSE),"")</f>
        <v>19.615369580929929</v>
      </c>
      <c r="AS269" s="68" t="str">
        <f t="shared" si="23"/>
        <v/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-3.1999999999999993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>
        <v>18.2</v>
      </c>
      <c r="O270" s="66">
        <v>18</v>
      </c>
      <c r="P270" s="66">
        <v>17.8</v>
      </c>
      <c r="Q270" s="66">
        <v>17.2</v>
      </c>
      <c r="R270" s="66">
        <v>19</v>
      </c>
      <c r="S270" s="66">
        <v>18.600000000000001</v>
      </c>
      <c r="T270" s="66">
        <v>19</v>
      </c>
      <c r="U270" s="66">
        <v>19</v>
      </c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11</v>
      </c>
      <c r="AQ270" s="68" t="str">
        <f t="shared" si="22"/>
        <v/>
      </c>
      <c r="AR270" s="68">
        <f>IFERROR(VLOOKUP(A270,Climatologia_TMAX!A:U,9+$E$2,FALSE),"")</f>
        <v>16.70976812790186</v>
      </c>
      <c r="AS270" s="68" t="str">
        <f t="shared" si="23"/>
        <v/>
      </c>
      <c r="AT270" s="74">
        <f t="shared" si="24"/>
        <v>19.8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-4.8000000000000007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>
        <v>16.8</v>
      </c>
      <c r="N271" s="66">
        <v>16.399999999999999</v>
      </c>
      <c r="O271" s="66">
        <v>15.4</v>
      </c>
      <c r="P271" s="66">
        <v>16.8</v>
      </c>
      <c r="Q271" s="66">
        <v>16.2</v>
      </c>
      <c r="R271" s="66">
        <v>17.399999999999999</v>
      </c>
      <c r="S271" s="66">
        <v>16.399999999999999</v>
      </c>
      <c r="T271" s="66">
        <v>18.2</v>
      </c>
      <c r="U271" s="66">
        <v>17.399999999999999</v>
      </c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11</v>
      </c>
      <c r="AQ271" s="68" t="str">
        <f t="shared" si="22"/>
        <v/>
      </c>
      <c r="AR271" s="68">
        <f>IFERROR(VLOOKUP(A271,Climatologia_TMAX!A:U,9+$E$2,FALSE),"")</f>
        <v>17.895683826932089</v>
      </c>
      <c r="AS271" s="68" t="str">
        <f t="shared" si="23"/>
        <v/>
      </c>
      <c r="AT271" s="74">
        <f t="shared" si="24"/>
        <v>19.8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>
        <v>20.399999999999999</v>
      </c>
      <c r="O272" s="66">
        <v>18.8</v>
      </c>
      <c r="P272" s="66">
        <v>21</v>
      </c>
      <c r="Q272" s="66">
        <v>21.4</v>
      </c>
      <c r="R272" s="66"/>
      <c r="S272" s="66"/>
      <c r="T272" s="66">
        <v>23.4</v>
      </c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8</v>
      </c>
      <c r="AQ272" s="68" t="str">
        <f t="shared" si="22"/>
        <v/>
      </c>
      <c r="AR272" s="68">
        <f>IFERROR(VLOOKUP(A272,Climatologia_TMAX!A:U,9+$E$2,FALSE),"")</f>
        <v>21.308765035858141</v>
      </c>
      <c r="AS272" s="68" t="str">
        <f t="shared" si="23"/>
        <v/>
      </c>
      <c r="AT272" s="74">
        <f t="shared" si="24"/>
        <v>23.4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>
        <v>27</v>
      </c>
      <c r="O273" s="66">
        <v>28.8</v>
      </c>
      <c r="P273" s="66">
        <v>27.6</v>
      </c>
      <c r="Q273" s="66">
        <v>25.8</v>
      </c>
      <c r="R273" s="66">
        <v>28</v>
      </c>
      <c r="S273" s="66">
        <v>29.4</v>
      </c>
      <c r="T273" s="66">
        <v>28.6</v>
      </c>
      <c r="U273" s="66">
        <v>27.4</v>
      </c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11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29.4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-2.6000000000000014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>
        <v>10</v>
      </c>
      <c r="N275" s="66">
        <v>10.199999999999999</v>
      </c>
      <c r="O275" s="66">
        <v>12.2</v>
      </c>
      <c r="P275" s="66">
        <v>12.2</v>
      </c>
      <c r="Q275" s="66">
        <v>11.2</v>
      </c>
      <c r="R275" s="66">
        <v>12</v>
      </c>
      <c r="S275" s="66">
        <v>10.8</v>
      </c>
      <c r="T275" s="66">
        <v>12</v>
      </c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10</v>
      </c>
      <c r="AQ275" s="68" t="str">
        <f t="shared" si="22"/>
        <v/>
      </c>
      <c r="AR275" s="68">
        <f>IFERROR(VLOOKUP(A275,Climatologia_TMAX!A:U,9+$E$2,FALSE),"")</f>
        <v>12.157791724558971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-5.0000000000000018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>
        <v>33.6</v>
      </c>
      <c r="O278" s="66">
        <v>35.200000000000003</v>
      </c>
      <c r="P278" s="66">
        <v>33.799999999999997</v>
      </c>
      <c r="Q278" s="66">
        <v>33</v>
      </c>
      <c r="R278" s="66">
        <v>34.4</v>
      </c>
      <c r="S278" s="66">
        <v>34.6</v>
      </c>
      <c r="T278" s="66">
        <v>35.200000000000003</v>
      </c>
      <c r="U278" s="66">
        <v>33.799999999999997</v>
      </c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11</v>
      </c>
      <c r="AQ278" s="68" t="str">
        <f t="shared" si="22"/>
        <v/>
      </c>
      <c r="AR278" s="68">
        <f>IFERROR(VLOOKUP(A278,Climatologia_TMAX!A:U,9+$E$2,FALSE),"")</f>
        <v>31.68806366047745</v>
      </c>
      <c r="AS278" s="68" t="str">
        <f t="shared" si="23"/>
        <v/>
      </c>
      <c r="AT278" s="74">
        <f t="shared" si="24"/>
        <v>35.200000000000003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-2.1999999999999957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>
        <v>20.8</v>
      </c>
      <c r="O279" s="66">
        <v>21.2</v>
      </c>
      <c r="P279" s="66">
        <v>20.8</v>
      </c>
      <c r="Q279" s="66">
        <v>18.8</v>
      </c>
      <c r="R279" s="66"/>
      <c r="S279" s="66">
        <v>21.8</v>
      </c>
      <c r="T279" s="66">
        <v>22</v>
      </c>
      <c r="U279" s="66">
        <v>20.8</v>
      </c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10</v>
      </c>
      <c r="AQ279" s="68" t="str">
        <f t="shared" si="22"/>
        <v/>
      </c>
      <c r="AR279" s="68">
        <f>IFERROR(VLOOKUP(A279,Climatologia_TMAX!A:U,9+$E$2,FALSE),"")</f>
        <v>20.848528735632179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-1.5999999999999979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>
        <v>32.6</v>
      </c>
      <c r="O280" s="66">
        <v>33.799999999999997</v>
      </c>
      <c r="P280" s="66">
        <v>33.4</v>
      </c>
      <c r="Q280" s="66">
        <v>31.2</v>
      </c>
      <c r="R280" s="66">
        <v>34.4</v>
      </c>
      <c r="S280" s="66">
        <v>33.4</v>
      </c>
      <c r="T280" s="66">
        <v>34.799999999999997</v>
      </c>
      <c r="U280" s="66">
        <v>33.6</v>
      </c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11</v>
      </c>
      <c r="AQ280" s="68" t="str">
        <f t="shared" si="22"/>
        <v/>
      </c>
      <c r="AR280" s="68">
        <f>IFERROR(VLOOKUP(A280,Climatologia_TMAX!A:U,9+$E$2,FALSE),"")</f>
        <v>30.025088149634769</v>
      </c>
      <c r="AS280" s="68" t="str">
        <f t="shared" si="23"/>
        <v/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-3.2000000000000028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>
        <v>21</v>
      </c>
      <c r="O281" s="66">
        <v>24.8</v>
      </c>
      <c r="P281" s="66">
        <v>21.4</v>
      </c>
      <c r="Q281" s="66">
        <v>21</v>
      </c>
      <c r="R281" s="66">
        <v>22</v>
      </c>
      <c r="S281" s="66">
        <v>22.6</v>
      </c>
      <c r="T281" s="66">
        <v>22.4</v>
      </c>
      <c r="U281" s="66">
        <v>21.8</v>
      </c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11</v>
      </c>
      <c r="AQ281" s="68" t="str">
        <f t="shared" si="22"/>
        <v/>
      </c>
      <c r="AR281" s="68">
        <f>IFERROR(VLOOKUP(A281,Climatologia_TMAX!A:U,9+$E$2,FALSE),"")</f>
        <v>20.187784893267651</v>
      </c>
      <c r="AS281" s="68" t="str">
        <f t="shared" si="23"/>
        <v/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>
        <v>19.600000000000001</v>
      </c>
      <c r="N284" s="66">
        <v>18.600000000000001</v>
      </c>
      <c r="O284" s="66">
        <v>19.2</v>
      </c>
      <c r="P284" s="66">
        <v>19.8</v>
      </c>
      <c r="Q284" s="66">
        <v>19.399999999999999</v>
      </c>
      <c r="R284" s="66">
        <v>20.2</v>
      </c>
      <c r="S284" s="66">
        <v>19.8</v>
      </c>
      <c r="T284" s="66">
        <v>20.399999999999999</v>
      </c>
      <c r="U284" s="66">
        <v>19.399999999999999</v>
      </c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11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20.399999999999999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-2.6000000000000014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>
        <v>20.2</v>
      </c>
      <c r="O285" s="66">
        <v>21.6</v>
      </c>
      <c r="P285" s="66">
        <v>22</v>
      </c>
      <c r="Q285" s="66">
        <v>18.8</v>
      </c>
      <c r="R285" s="66">
        <v>20.6</v>
      </c>
      <c r="S285" s="66">
        <v>22.8</v>
      </c>
      <c r="T285" s="66">
        <v>22</v>
      </c>
      <c r="U285" s="109">
        <v>21</v>
      </c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11</v>
      </c>
      <c r="AQ285" s="68" t="str">
        <f t="shared" si="22"/>
        <v/>
      </c>
      <c r="AR285" s="68">
        <f>IFERROR(VLOOKUP(A285,Climatologia_TMAX!A:U,9+$E$2,FALSE),"")</f>
        <v>19.841617540739382</v>
      </c>
      <c r="AS285" s="68" t="str">
        <f t="shared" si="23"/>
        <v/>
      </c>
      <c r="AT285" s="74">
        <f t="shared" si="24"/>
        <v>22.8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-1.1999999999999993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>
        <v>19</v>
      </c>
      <c r="O287" s="66">
        <v>19.8</v>
      </c>
      <c r="P287" s="66">
        <v>18.399999999999999</v>
      </c>
      <c r="Q287" s="66">
        <v>17</v>
      </c>
      <c r="R287" s="66">
        <v>19.8</v>
      </c>
      <c r="S287" s="66">
        <v>20</v>
      </c>
      <c r="T287" s="66">
        <v>19.8</v>
      </c>
      <c r="U287" s="66">
        <v>19.8</v>
      </c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11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20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-3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5" t="s">
        <v>871</v>
      </c>
      <c r="I1" s="126"/>
      <c r="J1" s="127"/>
      <c r="K1" s="125" t="s">
        <v>872</v>
      </c>
      <c r="L1" s="126"/>
      <c r="M1" s="127"/>
      <c r="N1" s="125" t="s">
        <v>873</v>
      </c>
      <c r="O1" s="126"/>
      <c r="P1" s="127"/>
      <c r="Q1" s="125" t="s">
        <v>874</v>
      </c>
      <c r="R1" s="126"/>
      <c r="S1" s="127"/>
      <c r="T1" s="125" t="s">
        <v>875</v>
      </c>
      <c r="U1" s="126"/>
      <c r="V1" s="127"/>
      <c r="W1" s="125" t="s">
        <v>876</v>
      </c>
      <c r="X1" s="126"/>
      <c r="Y1" s="127"/>
      <c r="Z1" s="125" t="s">
        <v>877</v>
      </c>
      <c r="AA1" s="126"/>
      <c r="AB1" s="127"/>
      <c r="AC1" s="125" t="s">
        <v>878</v>
      </c>
      <c r="AD1" s="126"/>
      <c r="AE1" s="127"/>
      <c r="AF1" s="125" t="s">
        <v>879</v>
      </c>
      <c r="AG1" s="126"/>
      <c r="AH1" s="127"/>
      <c r="AI1" s="125" t="s">
        <v>880</v>
      </c>
      <c r="AJ1" s="126"/>
      <c r="AK1" s="127"/>
      <c r="AL1" s="125" t="s">
        <v>881</v>
      </c>
      <c r="AM1" s="126"/>
      <c r="AN1" s="127"/>
      <c r="AO1" s="125" t="s">
        <v>882</v>
      </c>
      <c r="AP1" s="126"/>
      <c r="AQ1" s="127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41" width="11.42578125" style="42" customWidth="1"/>
    <col min="142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2026-09-12T15:18:00Z</dcterms:modified>
</cp:coreProperties>
</file>