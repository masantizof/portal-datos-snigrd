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1E090C99-C0BF-40F4-B4AC-EB4259CB13B9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<sst xmlns="http://schemas.openxmlformats.org/spreadsheetml/2006/main" count="603" uniqueCount="272">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</sst>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19" activePane="bottomRight" state="frozen"/>
      <selection pane="topRight" activeCell="E1" sqref="E1"/>
      <selection pane="bottomLeft" activeCell="A4" sqref="A4"/>
      <selection pane="bottomRight" activeCell="Q46" sqref="Q4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8">
        <f>IF(E5="X","sd",E5)</f>
        <v>30.5</v>
      </c>
      <c r="I5" s="63">
        <v>32.6</v>
      </c>
      <c r="J5" s="63">
        <v>32.4</v>
      </c>
      <c r="K5" s="63">
        <v>32</v>
      </c>
      <c r="L5" s="63">
        <v>32.200000000000003</v>
      </c>
      <c r="M5" s="63">
        <v>32.1</v>
      </c>
      <c r="N5" s="63">
        <v>32.200000000000003</v>
      </c>
      <c r="O5" s="63">
        <v>32.700000000000003</v>
      </c>
      <c r="P5" s="63">
        <v>32.4</v>
      </c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32.4</v>
      </c>
      <c r="AK5" s="21">
        <f>+MAX($E5:$AI5)</f>
        <v>32.700000000000003</v>
      </c>
      <c r="AL5" s="22">
        <v>33.4</v>
      </c>
      <c r="AM5" s="23">
        <f>IF(AK5&gt;0,$AK5-$AL5,"")</f>
        <v>-0.69999999999999574</v>
      </c>
      <c r="AN5" s="23">
        <v>30.837144120247562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8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>
        <v>32.799999999999997</v>
      </c>
      <c r="M6" s="63">
        <v>32.6</v>
      </c>
      <c r="N6" s="63">
        <v>32.4</v>
      </c>
      <c r="O6" s="63">
        <v>32.200000000000003</v>
      </c>
      <c r="P6" s="63">
        <v>32.5</v>
      </c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32.5</v>
      </c>
      <c r="AK6" s="21">
        <f t="shared" ref="AK6:AK48" si="2">+MAX($E6:$AI6)</f>
        <v>32.799999999999997</v>
      </c>
      <c r="AL6" s="22">
        <v>33.200000000000003</v>
      </c>
      <c r="AM6" s="23">
        <f t="shared" ref="AM6:AM48" si="3">IF(AK6&gt;0,$AK6-$AL6,"")</f>
        <v>-0.40000000000000568</v>
      </c>
      <c r="AN6" s="23">
        <v>31.213724845269681</v>
      </c>
      <c r="AO6" s="23" t="str">
        <f t="shared" ref="AO6:AO15" si="4">IF(COUNTIF(E6:AI6,"&gt;0")&gt;=15,AVERAGE(E6:AI6),"")</f>
        <v/>
      </c>
      <c r="AP6" s="23" t="str">
        <f t="shared" ref="AP6:AP48" si="5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8">
        <f t="shared" si="0"/>
        <v>32.4</v>
      </c>
      <c r="I7" s="63">
        <v>37</v>
      </c>
      <c r="J7" s="63">
        <v>35.200000000000003</v>
      </c>
      <c r="K7" s="63">
        <v>33.5</v>
      </c>
      <c r="L7" s="63">
        <v>35</v>
      </c>
      <c r="M7" s="63">
        <v>36.9</v>
      </c>
      <c r="N7" s="63">
        <v>34.4</v>
      </c>
      <c r="O7" s="63">
        <v>35.200000000000003</v>
      </c>
      <c r="P7" s="63">
        <v>35.4</v>
      </c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35.4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 t="str">
        <f t="shared" si="4"/>
        <v/>
      </c>
      <c r="AP7" s="23" t="str">
        <f t="shared" si="5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8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>
        <v>38.299999999999997</v>
      </c>
      <c r="M8" s="63">
        <v>35.5</v>
      </c>
      <c r="N8" s="63">
        <v>34.1</v>
      </c>
      <c r="O8" s="63">
        <v>32.799999999999997</v>
      </c>
      <c r="P8" s="63">
        <v>34.6</v>
      </c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34.6</v>
      </c>
      <c r="AK8" s="21">
        <f t="shared" si="2"/>
        <v>38.299999999999997</v>
      </c>
      <c r="AL8" s="22">
        <v>36.799999999999997</v>
      </c>
      <c r="AM8" s="23">
        <f t="shared" si="3"/>
        <v>1.5</v>
      </c>
      <c r="AN8" s="23">
        <v>32.066531113753463</v>
      </c>
      <c r="AO8" s="23" t="str">
        <f t="shared" si="4"/>
        <v/>
      </c>
      <c r="AP8" s="23" t="str">
        <f t="shared" si="5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8">
        <f t="shared" si="0"/>
        <v>35.1</v>
      </c>
      <c r="I9" s="63">
        <v>36.5</v>
      </c>
      <c r="J9" s="63">
        <v>38</v>
      </c>
      <c r="K9" s="63">
        <v>34.799999999999997</v>
      </c>
      <c r="L9" s="63">
        <v>35.6</v>
      </c>
      <c r="M9" s="63">
        <v>36.1</v>
      </c>
      <c r="N9" s="63">
        <v>35.700000000000003</v>
      </c>
      <c r="O9" s="63">
        <v>34.700000000000003</v>
      </c>
      <c r="P9" s="63">
        <v>34.9</v>
      </c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34.9</v>
      </c>
      <c r="AK9" s="21">
        <f t="shared" si="2"/>
        <v>38</v>
      </c>
      <c r="AL9" s="22">
        <v>38.4</v>
      </c>
      <c r="AM9" s="23">
        <f t="shared" si="3"/>
        <v>-0.39999999999999858</v>
      </c>
      <c r="AN9" s="23">
        <v>33.308997701149423</v>
      </c>
      <c r="AO9" s="23" t="str">
        <f t="shared" si="4"/>
        <v/>
      </c>
      <c r="AP9" s="23" t="str">
        <f t="shared" si="5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8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>
        <v>38.1</v>
      </c>
      <c r="M10" s="63">
        <v>37.9</v>
      </c>
      <c r="N10" s="63">
        <v>38.200000000000003</v>
      </c>
      <c r="O10" s="63">
        <v>36.5</v>
      </c>
      <c r="P10" s="63">
        <v>36.200000000000003</v>
      </c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36.200000000000003</v>
      </c>
      <c r="AK10" s="21">
        <f t="shared" si="2"/>
        <v>39.6</v>
      </c>
      <c r="AL10" s="22">
        <v>39.6</v>
      </c>
      <c r="AM10" s="23">
        <f t="shared" si="3"/>
        <v>0</v>
      </c>
      <c r="AN10" s="23">
        <v>33.75991221422256</v>
      </c>
      <c r="AO10" s="23" t="str">
        <f t="shared" si="4"/>
        <v/>
      </c>
      <c r="AP10" s="23" t="str">
        <f t="shared" si="5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8">
        <f t="shared" si="0"/>
        <v>35.799999999999997</v>
      </c>
      <c r="I11" s="63">
        <v>38.9</v>
      </c>
      <c r="J11" s="63">
        <v>40.1</v>
      </c>
      <c r="K11" s="63">
        <v>35.9</v>
      </c>
      <c r="L11" s="63">
        <v>40</v>
      </c>
      <c r="M11" s="63">
        <v>39.799999999999997</v>
      </c>
      <c r="N11" s="63">
        <v>37.700000000000003</v>
      </c>
      <c r="O11" s="63">
        <v>38.9</v>
      </c>
      <c r="P11" s="63">
        <v>37.5</v>
      </c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37.5</v>
      </c>
      <c r="AK11" s="21">
        <f t="shared" si="2"/>
        <v>40.1</v>
      </c>
      <c r="AL11" s="22">
        <v>40.200000000000003</v>
      </c>
      <c r="AM11" s="23">
        <f t="shared" si="3"/>
        <v>-0.10000000000000142</v>
      </c>
      <c r="AN11" s="23">
        <v>34.012164961475307</v>
      </c>
      <c r="AO11" s="23" t="str">
        <f t="shared" si="4"/>
        <v/>
      </c>
      <c r="AP11" s="23" t="str">
        <f t="shared" si="5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8">
        <f t="shared" si="0"/>
        <v>34</v>
      </c>
      <c r="I12" s="63">
        <v>35.4</v>
      </c>
      <c r="J12" s="63">
        <v>32.4</v>
      </c>
      <c r="K12" s="63">
        <v>32.799999999999997</v>
      </c>
      <c r="L12" s="63">
        <v>35.4</v>
      </c>
      <c r="M12" s="63">
        <v>36.6</v>
      </c>
      <c r="N12" s="63">
        <v>35.200000000000003</v>
      </c>
      <c r="O12" s="63">
        <v>32.6</v>
      </c>
      <c r="P12" s="63">
        <v>35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35</v>
      </c>
      <c r="AK12" s="21">
        <f t="shared" si="2"/>
        <v>36.6</v>
      </c>
      <c r="AL12" s="22">
        <v>36</v>
      </c>
      <c r="AM12" s="23">
        <f t="shared" si="3"/>
        <v>0.60000000000000142</v>
      </c>
      <c r="AN12" s="23">
        <v>31.452593153972469</v>
      </c>
      <c r="AO12" s="23" t="str">
        <f t="shared" si="4"/>
        <v/>
      </c>
      <c r="AP12" s="23" t="str">
        <f t="shared" si="5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8">
        <f t="shared" si="0"/>
        <v>33</v>
      </c>
      <c r="I13" s="63">
        <v>35.6</v>
      </c>
      <c r="J13" s="63">
        <v>33.6</v>
      </c>
      <c r="K13" s="63">
        <v>32.6</v>
      </c>
      <c r="L13" s="63">
        <v>36.200000000000003</v>
      </c>
      <c r="M13" s="63">
        <v>37.200000000000003</v>
      </c>
      <c r="N13" s="63">
        <v>36.799999999999997</v>
      </c>
      <c r="O13" s="63">
        <v>33.6</v>
      </c>
      <c r="P13" s="63">
        <v>36</v>
      </c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36</v>
      </c>
      <c r="AK13" s="21">
        <f t="shared" si="2"/>
        <v>37.200000000000003</v>
      </c>
      <c r="AL13" s="22">
        <v>37.4</v>
      </c>
      <c r="AM13" s="23">
        <f t="shared" si="3"/>
        <v>-0.19999999999999574</v>
      </c>
      <c r="AN13" s="23">
        <v>32.199781609195398</v>
      </c>
      <c r="AO13" s="23" t="str">
        <f t="shared" si="4"/>
        <v/>
      </c>
      <c r="AP13" s="23" t="str">
        <f t="shared" si="5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8">
        <f t="shared" si="0"/>
        <v>34.6</v>
      </c>
      <c r="I14" s="63">
        <v>36.200000000000003</v>
      </c>
      <c r="J14" s="63">
        <v>30.6</v>
      </c>
      <c r="K14" s="63">
        <v>32.6</v>
      </c>
      <c r="L14" s="63">
        <v>37.4</v>
      </c>
      <c r="M14" s="63">
        <v>36.4</v>
      </c>
      <c r="N14" s="63">
        <v>33.4</v>
      </c>
      <c r="O14" s="63">
        <v>31.9</v>
      </c>
      <c r="P14" s="63">
        <v>35.5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35.5</v>
      </c>
      <c r="AK14" s="21">
        <f t="shared" si="2"/>
        <v>37.4</v>
      </c>
      <c r="AL14" s="22">
        <v>37.5</v>
      </c>
      <c r="AM14" s="23">
        <f t="shared" si="3"/>
        <v>-0.10000000000000142</v>
      </c>
      <c r="AN14" s="23">
        <v>32.561237881007962</v>
      </c>
      <c r="AO14" s="23" t="str">
        <f t="shared" si="4"/>
        <v/>
      </c>
      <c r="AP14" s="23" t="str">
        <f t="shared" si="5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8">
        <f t="shared" si="0"/>
        <v>30.3</v>
      </c>
      <c r="I15" s="63">
        <v>30.8</v>
      </c>
      <c r="J15" s="63">
        <v>30.5</v>
      </c>
      <c r="K15" s="63">
        <v>31.8</v>
      </c>
      <c r="L15" s="63">
        <v>34.1</v>
      </c>
      <c r="M15" s="63">
        <v>32.299999999999997</v>
      </c>
      <c r="N15" s="63">
        <v>33.200000000000003</v>
      </c>
      <c r="O15" s="63">
        <v>29.9</v>
      </c>
      <c r="P15" s="63">
        <v>32.200000000000003</v>
      </c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32.200000000000003</v>
      </c>
      <c r="AK15" s="21">
        <f t="shared" si="2"/>
        <v>34.1</v>
      </c>
      <c r="AL15" s="22">
        <v>35.4</v>
      </c>
      <c r="AM15" s="23">
        <f t="shared" si="3"/>
        <v>-1.2999999999999972</v>
      </c>
      <c r="AN15" s="23">
        <v>31.91844417077176</v>
      </c>
      <c r="AO15" s="23" t="str">
        <f t="shared" si="4"/>
        <v/>
      </c>
      <c r="AP15" s="23" t="str">
        <f t="shared" si="5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8">
        <f t="shared" si="0"/>
        <v>35</v>
      </c>
      <c r="I17" s="63">
        <v>36.6</v>
      </c>
      <c r="J17" s="63">
        <v>32.200000000000003</v>
      </c>
      <c r="K17" s="63">
        <v>34</v>
      </c>
      <c r="L17" s="63">
        <v>36.4</v>
      </c>
      <c r="M17" s="63">
        <v>37.6</v>
      </c>
      <c r="N17" s="63">
        <v>35.799999999999997</v>
      </c>
      <c r="O17" s="63">
        <v>33</v>
      </c>
      <c r="P17" s="63">
        <v>36.5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36.5</v>
      </c>
      <c r="AK17" s="21">
        <f t="shared" si="2"/>
        <v>37.6</v>
      </c>
      <c r="AL17" s="22">
        <v>36.6</v>
      </c>
      <c r="AM17" s="23">
        <f t="shared" si="3"/>
        <v>1</v>
      </c>
      <c r="AN17" s="23">
        <v>32.028002378121293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8">
        <f t="shared" si="0"/>
        <v>28.6</v>
      </c>
      <c r="I18" s="63">
        <v>31.3</v>
      </c>
      <c r="J18" s="63">
        <v>26.7</v>
      </c>
      <c r="K18" s="63">
        <v>29.2</v>
      </c>
      <c r="L18" s="63">
        <v>29.4</v>
      </c>
      <c r="M18" s="63">
        <v>29.6</v>
      </c>
      <c r="N18" s="63">
        <v>30.2</v>
      </c>
      <c r="O18" s="63">
        <v>28.6</v>
      </c>
      <c r="P18" s="63">
        <v>29.1</v>
      </c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29.1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 t="str">
        <f t="shared" ref="AO18:AO33" si="6">IF(COUNTIF(E18:AI18,"&gt;0")&gt;=15,AVERAGE(E18:AI18),"")</f>
        <v/>
      </c>
      <c r="AP18" s="23" t="str">
        <f t="shared" si="5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8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>
        <v>33.4</v>
      </c>
      <c r="M19" s="63">
        <v>35.4</v>
      </c>
      <c r="N19" s="63">
        <v>35.200000000000003</v>
      </c>
      <c r="O19" s="63">
        <v>35.5</v>
      </c>
      <c r="P19" s="63">
        <v>36.700000000000003</v>
      </c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36.700000000000003</v>
      </c>
      <c r="AK19" s="21">
        <f t="shared" si="2"/>
        <v>37.200000000000003</v>
      </c>
      <c r="AL19" s="22">
        <v>38.4</v>
      </c>
      <c r="AM19" s="23">
        <f t="shared" si="3"/>
        <v>-1.1999999999999957</v>
      </c>
      <c r="AN19" s="23">
        <v>34.362535919540242</v>
      </c>
      <c r="AO19" s="23" t="str">
        <f t="shared" si="6"/>
        <v/>
      </c>
      <c r="AP19" s="23" t="str">
        <f t="shared" si="5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8">
        <f t="shared" si="0"/>
        <v>29</v>
      </c>
      <c r="I20" s="63">
        <v>30.8</v>
      </c>
      <c r="J20" s="63">
        <v>30.1</v>
      </c>
      <c r="K20" s="63">
        <v>28.9</v>
      </c>
      <c r="L20" s="63">
        <v>31.2</v>
      </c>
      <c r="M20" s="63">
        <v>32.4</v>
      </c>
      <c r="N20" s="63">
        <v>32</v>
      </c>
      <c r="O20" s="63">
        <v>29</v>
      </c>
      <c r="P20" s="63">
        <v>31.3</v>
      </c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31.3</v>
      </c>
      <c r="AK20" s="21">
        <f t="shared" si="2"/>
        <v>32.4</v>
      </c>
      <c r="AL20" s="22">
        <v>33.1</v>
      </c>
      <c r="AM20" s="23">
        <f t="shared" si="3"/>
        <v>-0.70000000000000284</v>
      </c>
      <c r="AN20" s="23">
        <v>28.140217569786529</v>
      </c>
      <c r="AO20" s="23" t="str">
        <f t="shared" si="6"/>
        <v/>
      </c>
      <c r="AP20" s="23" t="str">
        <f t="shared" si="5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8">
        <f t="shared" si="0"/>
        <v>24.2</v>
      </c>
      <c r="I21" s="63">
        <v>24</v>
      </c>
      <c r="J21" s="63">
        <v>23.2</v>
      </c>
      <c r="K21" s="63">
        <v>22.8</v>
      </c>
      <c r="L21" s="63">
        <v>24.9</v>
      </c>
      <c r="M21" s="63">
        <v>25</v>
      </c>
      <c r="N21" s="63">
        <v>25.3</v>
      </c>
      <c r="O21" s="63">
        <v>25</v>
      </c>
      <c r="P21" s="63">
        <v>25.1</v>
      </c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25.1</v>
      </c>
      <c r="AK21" s="21">
        <f t="shared" si="2"/>
        <v>25.3</v>
      </c>
      <c r="AL21" s="22">
        <v>26.9</v>
      </c>
      <c r="AM21" s="23">
        <f t="shared" si="3"/>
        <v>-1.5999999999999979</v>
      </c>
      <c r="AN21" s="23">
        <v>22.564435196194999</v>
      </c>
      <c r="AO21" s="23" t="str">
        <f t="shared" si="6"/>
        <v/>
      </c>
      <c r="AP21" s="23" t="str">
        <f t="shared" si="5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8">
        <f t="shared" si="0"/>
        <v>28</v>
      </c>
      <c r="I23" s="63">
        <v>29.2</v>
      </c>
      <c r="J23" s="63">
        <v>28.2</v>
      </c>
      <c r="K23" s="63">
        <v>27.8</v>
      </c>
      <c r="L23" s="63">
        <v>32.799999999999997</v>
      </c>
      <c r="M23" s="63">
        <v>30.6</v>
      </c>
      <c r="N23" s="63">
        <v>30.8</v>
      </c>
      <c r="O23" s="63">
        <v>27.2</v>
      </c>
      <c r="P23" s="63">
        <v>30.2</v>
      </c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30.2</v>
      </c>
      <c r="AK23" s="21">
        <f t="shared" si="2"/>
        <v>32.799999999999997</v>
      </c>
      <c r="AL23" s="22">
        <v>32.799999999999997</v>
      </c>
      <c r="AM23" s="23">
        <f t="shared" si="3"/>
        <v>0</v>
      </c>
      <c r="AN23" s="23">
        <v>27.03996905393457</v>
      </c>
      <c r="AO23" s="23" t="str">
        <f t="shared" si="6"/>
        <v/>
      </c>
      <c r="AP23" s="23" t="str">
        <f t="shared" si="5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8">
        <f t="shared" si="0"/>
        <v>29.6</v>
      </c>
      <c r="I24" s="63">
        <v>33.1</v>
      </c>
      <c r="J24" s="63">
        <v>32.299999999999997</v>
      </c>
      <c r="K24" s="63">
        <v>26.9</v>
      </c>
      <c r="L24" s="63">
        <v>34.6</v>
      </c>
      <c r="M24" s="63">
        <v>31.7</v>
      </c>
      <c r="N24" s="63">
        <v>31.7</v>
      </c>
      <c r="O24" s="63">
        <v>28.3</v>
      </c>
      <c r="P24" s="63">
        <v>31</v>
      </c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31</v>
      </c>
      <c r="AK24" s="21">
        <f t="shared" si="2"/>
        <v>34.6</v>
      </c>
      <c r="AL24" s="22">
        <v>35</v>
      </c>
      <c r="AM24" s="23">
        <f t="shared" si="3"/>
        <v>-0.39999999999999858</v>
      </c>
      <c r="AN24" s="23">
        <v>28.21960773581463</v>
      </c>
      <c r="AO24" s="23" t="str">
        <f t="shared" si="6"/>
        <v/>
      </c>
      <c r="AP24" s="23" t="str">
        <f t="shared" si="5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8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>
        <v>35.799999999999997</v>
      </c>
      <c r="M25" s="63">
        <v>35.4</v>
      </c>
      <c r="N25" s="63">
        <v>36</v>
      </c>
      <c r="O25" s="63">
        <v>34.1</v>
      </c>
      <c r="P25" s="63">
        <v>36.200000000000003</v>
      </c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36.200000000000003</v>
      </c>
      <c r="AK25" s="21">
        <f t="shared" si="2"/>
        <v>36.200000000000003</v>
      </c>
      <c r="AL25" s="22">
        <v>36.799999999999997</v>
      </c>
      <c r="AM25" s="23">
        <f t="shared" si="3"/>
        <v>-0.59999999999999432</v>
      </c>
      <c r="AN25" s="23">
        <v>30.83648877941982</v>
      </c>
      <c r="AO25" s="23" t="str">
        <f t="shared" si="6"/>
        <v/>
      </c>
      <c r="AP25" s="23" t="str">
        <f t="shared" si="5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8">
        <f t="shared" si="0"/>
        <v>20.8</v>
      </c>
      <c r="I26" s="63">
        <v>19.8</v>
      </c>
      <c r="J26" s="63">
        <v>19.7</v>
      </c>
      <c r="K26" s="63">
        <v>17.2</v>
      </c>
      <c r="L26" s="63">
        <v>19.8</v>
      </c>
      <c r="M26" s="63">
        <v>21.4</v>
      </c>
      <c r="N26" s="63">
        <v>21</v>
      </c>
      <c r="O26" s="63">
        <v>20.6</v>
      </c>
      <c r="P26" s="63">
        <v>21.7</v>
      </c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21.7</v>
      </c>
      <c r="AK26" s="21">
        <f t="shared" si="2"/>
        <v>21.7</v>
      </c>
      <c r="AL26" s="22">
        <v>23.3</v>
      </c>
      <c r="AM26" s="23">
        <f t="shared" si="3"/>
        <v>-1.6000000000000014</v>
      </c>
      <c r="AN26" s="23">
        <v>19.205027672249159</v>
      </c>
      <c r="AO26" s="23" t="str">
        <f t="shared" si="6"/>
        <v/>
      </c>
      <c r="AP26" s="23" t="str">
        <f t="shared" si="5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8">
        <f t="shared" si="0"/>
        <v>19.2</v>
      </c>
      <c r="I27" s="63">
        <v>19.600000000000001</v>
      </c>
      <c r="J27" s="63">
        <v>20.6</v>
      </c>
      <c r="K27" s="63">
        <v>19.8</v>
      </c>
      <c r="L27" s="63">
        <v>20.6</v>
      </c>
      <c r="M27" s="63">
        <v>21.8</v>
      </c>
      <c r="N27" s="63">
        <v>22</v>
      </c>
      <c r="O27" s="63">
        <v>21</v>
      </c>
      <c r="P27" s="63">
        <v>23</v>
      </c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23</v>
      </c>
      <c r="AK27" s="21">
        <f t="shared" si="2"/>
        <v>23</v>
      </c>
      <c r="AL27" s="22">
        <v>23.4</v>
      </c>
      <c r="AM27" s="23">
        <f t="shared" si="3"/>
        <v>-0.39999999999999858</v>
      </c>
      <c r="AN27" s="23">
        <v>18.093990147783249</v>
      </c>
      <c r="AO27" s="23" t="str">
        <f t="shared" si="6"/>
        <v/>
      </c>
      <c r="AP27" s="23" t="str">
        <f t="shared" si="5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8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>
        <v>35</v>
      </c>
      <c r="M28" s="63">
        <v>34.799999999999997</v>
      </c>
      <c r="N28" s="63">
        <v>34.5</v>
      </c>
      <c r="O28" s="63">
        <v>30.7</v>
      </c>
      <c r="P28" s="63">
        <v>34.6</v>
      </c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34.6</v>
      </c>
      <c r="AK28" s="21">
        <f t="shared" si="2"/>
        <v>35</v>
      </c>
      <c r="AL28" s="22">
        <v>35.1</v>
      </c>
      <c r="AM28" s="23">
        <f t="shared" si="3"/>
        <v>-0.10000000000000142</v>
      </c>
      <c r="AN28" s="23">
        <v>30.640448440448441</v>
      </c>
      <c r="AO28" s="23" t="str">
        <f t="shared" si="6"/>
        <v/>
      </c>
      <c r="AP28" s="23" t="str">
        <f t="shared" si="5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8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>
        <v>38.200000000000003</v>
      </c>
      <c r="M30" s="63">
        <v>38.200000000000003</v>
      </c>
      <c r="N30" s="63">
        <v>35.6</v>
      </c>
      <c r="O30" s="63">
        <v>35</v>
      </c>
      <c r="P30" s="63">
        <v>36.299999999999997</v>
      </c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36.299999999999997</v>
      </c>
      <c r="AK30" s="21">
        <f t="shared" si="2"/>
        <v>38.200000000000003</v>
      </c>
      <c r="AL30" s="22">
        <v>40.5</v>
      </c>
      <c r="AM30" s="23">
        <f t="shared" si="3"/>
        <v>-2.2999999999999972</v>
      </c>
      <c r="AN30" s="23">
        <v>34.911888888888889</v>
      </c>
      <c r="AO30" s="23" t="str">
        <f t="shared" si="6"/>
        <v/>
      </c>
      <c r="AP30" s="23" t="str">
        <f t="shared" si="5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8">
        <f t="shared" si="0"/>
        <v>28.4</v>
      </c>
      <c r="I31" s="63">
        <v>27.4</v>
      </c>
      <c r="J31" s="63">
        <v>27.4</v>
      </c>
      <c r="K31" s="63">
        <v>26.8</v>
      </c>
      <c r="L31" s="63">
        <v>28.1</v>
      </c>
      <c r="M31" s="63">
        <v>27.8</v>
      </c>
      <c r="N31" s="63">
        <v>29.8</v>
      </c>
      <c r="O31" s="63">
        <v>28.2</v>
      </c>
      <c r="P31" s="63">
        <v>28</v>
      </c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28</v>
      </c>
      <c r="AK31" s="21">
        <f t="shared" si="2"/>
        <v>29.8</v>
      </c>
      <c r="AL31" s="22">
        <v>31.2</v>
      </c>
      <c r="AM31" s="23">
        <f t="shared" si="3"/>
        <v>-1.3999999999999986</v>
      </c>
      <c r="AN31" s="23">
        <v>25.982387369533619</v>
      </c>
      <c r="AO31" s="23" t="str">
        <f t="shared" si="6"/>
        <v/>
      </c>
      <c r="AP31" s="23" t="str">
        <f t="shared" si="5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8">
        <f t="shared" si="0"/>
        <v>21.2</v>
      </c>
      <c r="I32" s="63">
        <v>17.600000000000001</v>
      </c>
      <c r="J32" s="63">
        <v>18.8</v>
      </c>
      <c r="K32" s="63">
        <v>17</v>
      </c>
      <c r="L32" s="63">
        <v>18</v>
      </c>
      <c r="M32" s="63">
        <v>18.8</v>
      </c>
      <c r="N32" s="63">
        <v>21</v>
      </c>
      <c r="O32" s="63">
        <v>18.2</v>
      </c>
      <c r="P32" s="63">
        <v>19</v>
      </c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19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 t="str">
        <f t="shared" si="6"/>
        <v/>
      </c>
      <c r="AP32" s="23" t="str">
        <f t="shared" si="5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8">
        <f t="shared" si="0"/>
        <v>19.399999999999999</v>
      </c>
      <c r="I33" s="63">
        <v>14.2</v>
      </c>
      <c r="J33" s="63">
        <v>16.8</v>
      </c>
      <c r="K33" s="63">
        <v>16.2</v>
      </c>
      <c r="L33" s="63">
        <v>15.2</v>
      </c>
      <c r="M33" s="63">
        <v>16.399999999999999</v>
      </c>
      <c r="N33" s="63">
        <v>17.8</v>
      </c>
      <c r="O33" s="63">
        <v>16.8</v>
      </c>
      <c r="P33" s="63">
        <v>17.399999999999999</v>
      </c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17.399999999999999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 t="str">
        <f t="shared" si="6"/>
        <v/>
      </c>
      <c r="AP33" s="23" t="str">
        <f t="shared" si="5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8">
        <f t="shared" si="0"/>
        <v>32.4</v>
      </c>
      <c r="I35" s="63">
        <v>32.200000000000003</v>
      </c>
      <c r="J35" s="63">
        <v>31</v>
      </c>
      <c r="K35" s="63">
        <v>31.4</v>
      </c>
      <c r="L35" s="63">
        <v>33.6</v>
      </c>
      <c r="M35" s="63">
        <v>31</v>
      </c>
      <c r="N35" s="63">
        <v>33.4</v>
      </c>
      <c r="O35" s="63">
        <v>29.2</v>
      </c>
      <c r="P35" s="63">
        <v>34.200000000000003</v>
      </c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34.200000000000003</v>
      </c>
      <c r="AK35" s="21">
        <f t="shared" si="2"/>
        <v>34.200000000000003</v>
      </c>
      <c r="AL35" s="22">
        <v>35.200000000000003</v>
      </c>
      <c r="AM35" s="23">
        <f t="shared" si="3"/>
        <v>-1</v>
      </c>
      <c r="AN35" s="23">
        <v>30.947113847837979</v>
      </c>
      <c r="AO35" s="23" t="str">
        <f>IF(COUNTIF(E35:AI35,"&gt;0")&gt;=15,AVERAGE(E35:AI35),"")</f>
        <v/>
      </c>
      <c r="AP35" s="23" t="str">
        <f t="shared" si="5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8">
        <f t="shared" si="0"/>
        <v>34.1</v>
      </c>
      <c r="I38" s="63">
        <v>34.1</v>
      </c>
      <c r="J38" s="63">
        <v>33.1</v>
      </c>
      <c r="K38" s="63">
        <v>33.4</v>
      </c>
      <c r="L38" s="63">
        <v>32.299999999999997</v>
      </c>
      <c r="M38" s="63">
        <v>33.5</v>
      </c>
      <c r="N38" s="63">
        <v>32.4</v>
      </c>
      <c r="O38" s="63">
        <v>32.9</v>
      </c>
      <c r="P38" s="63">
        <v>31.8</v>
      </c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31.8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 t="str">
        <f>IF(COUNTIF(E38:AI38,"&gt;0")&gt;=15,AVERAGE(E38:AI38),"")</f>
        <v/>
      </c>
      <c r="AP38" s="23" t="str">
        <f t="shared" si="5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8">
        <f t="shared" si="0"/>
        <v>35.200000000000003</v>
      </c>
      <c r="I39" s="63">
        <v>34.6</v>
      </c>
      <c r="J39" s="63">
        <v>32</v>
      </c>
      <c r="K39" s="63">
        <v>33</v>
      </c>
      <c r="L39" s="63">
        <v>34.200000000000003</v>
      </c>
      <c r="M39" s="63">
        <v>34.799999999999997</v>
      </c>
      <c r="N39" s="63">
        <v>32.4</v>
      </c>
      <c r="O39" s="63">
        <v>34.4</v>
      </c>
      <c r="P39" s="63">
        <v>34.200000000000003</v>
      </c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34.200000000000003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 t="str">
        <f t="shared" ref="AO39:AO48" si="8">IF(COUNTIF(E39:AI39,"&gt;0")&gt;=15,AVERAGE(E39:AI39),"")</f>
        <v/>
      </c>
      <c r="AP39" s="23" t="str">
        <f t="shared" si="5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8">
        <f t="shared" si="0"/>
        <v>31.8</v>
      </c>
      <c r="I40" s="63">
        <v>31.9</v>
      </c>
      <c r="J40" s="63">
        <v>33.200000000000003</v>
      </c>
      <c r="K40" s="63">
        <v>30.6</v>
      </c>
      <c r="L40" s="63">
        <v>30.4</v>
      </c>
      <c r="M40" s="63">
        <v>31.7</v>
      </c>
      <c r="N40" s="63">
        <v>31</v>
      </c>
      <c r="O40" s="63">
        <v>32.1</v>
      </c>
      <c r="P40" s="63">
        <v>31.4</v>
      </c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31.4</v>
      </c>
      <c r="AK40" s="21">
        <f t="shared" si="2"/>
        <v>33.200000000000003</v>
      </c>
      <c r="AL40" s="22">
        <v>35</v>
      </c>
      <c r="AM40" s="23">
        <f t="shared" si="3"/>
        <v>-1.7999999999999972</v>
      </c>
      <c r="AN40" s="23">
        <v>30.79898193760263</v>
      </c>
      <c r="AO40" s="23" t="str">
        <f t="shared" si="8"/>
        <v/>
      </c>
      <c r="AP40" s="23" t="str">
        <f t="shared" si="5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8">
        <f t="shared" si="0"/>
        <v>31.6</v>
      </c>
      <c r="I41" s="63">
        <v>32</v>
      </c>
      <c r="J41" s="63">
        <v>30.8</v>
      </c>
      <c r="K41" s="63">
        <v>32.799999999999997</v>
      </c>
      <c r="L41" s="63">
        <v>31.4</v>
      </c>
      <c r="M41" s="63">
        <v>32.799999999999997</v>
      </c>
      <c r="N41" s="63">
        <v>29</v>
      </c>
      <c r="O41" s="63">
        <v>27.2</v>
      </c>
      <c r="P41" s="63">
        <v>32</v>
      </c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32</v>
      </c>
      <c r="AK41" s="21">
        <f t="shared" si="2"/>
        <v>33.200000000000003</v>
      </c>
      <c r="AL41" s="22">
        <v>35</v>
      </c>
      <c r="AM41" s="23">
        <f t="shared" si="3"/>
        <v>-1.7999999999999972</v>
      </c>
      <c r="AN41" s="23">
        <v>30.61551559934319</v>
      </c>
      <c r="AO41" s="23" t="str">
        <f t="shared" si="8"/>
        <v/>
      </c>
      <c r="AP41" s="23" t="str">
        <f t="shared" si="5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8">
        <f t="shared" si="0"/>
        <v>33.6</v>
      </c>
      <c r="I43" s="63">
        <v>34</v>
      </c>
      <c r="J43" s="63">
        <v>29.4</v>
      </c>
      <c r="K43" s="63">
        <v>33.4</v>
      </c>
      <c r="L43" s="63">
        <v>32.200000000000003</v>
      </c>
      <c r="M43" s="63">
        <v>33.4</v>
      </c>
      <c r="N43" s="63">
        <v>30.6</v>
      </c>
      <c r="O43" s="63">
        <v>31.6</v>
      </c>
      <c r="P43" s="63">
        <v>32.6</v>
      </c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32.6</v>
      </c>
      <c r="AK43" s="21">
        <f t="shared" si="2"/>
        <v>34</v>
      </c>
      <c r="AL43" s="22">
        <v>35.6</v>
      </c>
      <c r="AM43" s="23">
        <f t="shared" si="3"/>
        <v>-1.6000000000000014</v>
      </c>
      <c r="AN43" s="23">
        <v>31.991304063769562</v>
      </c>
      <c r="AO43" s="23" t="str">
        <f t="shared" si="8"/>
        <v/>
      </c>
      <c r="AP43" s="23" t="str">
        <f t="shared" si="5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8">
        <f t="shared" si="0"/>
        <v>30.4</v>
      </c>
      <c r="I44" s="29">
        <v>30</v>
      </c>
      <c r="J44" s="29">
        <v>32.1</v>
      </c>
      <c r="K44" s="29">
        <v>33</v>
      </c>
      <c r="L44" s="29">
        <v>29.2</v>
      </c>
      <c r="M44" s="29">
        <v>33.1</v>
      </c>
      <c r="N44" s="29">
        <v>31.4</v>
      </c>
      <c r="O44" s="29">
        <v>33.200000000000003</v>
      </c>
      <c r="P44" s="29">
        <v>32.200000000000003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32.200000000000003</v>
      </c>
      <c r="AK44" s="21">
        <f t="shared" si="2"/>
        <v>33.200000000000003</v>
      </c>
      <c r="AL44" s="22">
        <v>34.799999999999997</v>
      </c>
      <c r="AM44" s="23">
        <f t="shared" si="3"/>
        <v>-1.5999999999999943</v>
      </c>
      <c r="AN44" s="23">
        <v>31.099937562083159</v>
      </c>
      <c r="AO44" s="23" t="str">
        <f t="shared" si="8"/>
        <v/>
      </c>
      <c r="AP44" s="23" t="str">
        <f t="shared" si="5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8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>
        <v>31.2</v>
      </c>
      <c r="M45" s="63">
        <v>31.6</v>
      </c>
      <c r="N45" s="63">
        <v>27.4</v>
      </c>
      <c r="O45" s="63">
        <v>32.6</v>
      </c>
      <c r="P45" s="63">
        <v>32.799999999999997</v>
      </c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32.799999999999997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 t="str">
        <f t="shared" si="8"/>
        <v/>
      </c>
      <c r="AP45" s="23" t="str">
        <f t="shared" si="5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8">
        <f t="shared" si="0"/>
        <v>36.1</v>
      </c>
      <c r="I48" s="63">
        <v>32.6</v>
      </c>
      <c r="J48" s="63">
        <v>32.6</v>
      </c>
      <c r="K48" s="63">
        <v>30.3</v>
      </c>
      <c r="L48" s="63">
        <v>30.2</v>
      </c>
      <c r="M48" s="63">
        <v>32.9</v>
      </c>
      <c r="N48" s="63">
        <v>33.299999999999997</v>
      </c>
      <c r="O48" s="63">
        <v>31.5</v>
      </c>
      <c r="P48" s="63">
        <v>31</v>
      </c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31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 t="str">
        <f t="shared" si="8"/>
        <v/>
      </c>
      <c r="AP48" s="23" t="str">
        <f t="shared" si="5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4" t="s">
        <v>122</v>
      </c>
      <c r="I1" s="75"/>
      <c r="J1" s="76"/>
      <c r="K1" s="71" t="s">
        <v>123</v>
      </c>
      <c r="L1" s="72"/>
      <c r="M1" s="73"/>
      <c r="N1" s="74" t="s">
        <v>124</v>
      </c>
      <c r="O1" s="75"/>
      <c r="P1" s="76"/>
      <c r="Q1" s="71" t="s">
        <v>125</v>
      </c>
      <c r="R1" s="72"/>
      <c r="S1" s="73"/>
      <c r="T1" s="74" t="s">
        <v>126</v>
      </c>
      <c r="U1" s="75"/>
      <c r="V1" s="76"/>
      <c r="W1" s="71" t="s">
        <v>127</v>
      </c>
      <c r="X1" s="72"/>
      <c r="Y1" s="73"/>
      <c r="Z1" s="74" t="s">
        <v>128</v>
      </c>
      <c r="AA1" s="75"/>
      <c r="AB1" s="76"/>
      <c r="AC1" s="71" t="s">
        <v>129</v>
      </c>
      <c r="AD1" s="72"/>
      <c r="AE1" s="73"/>
      <c r="AF1" s="74" t="s">
        <v>130</v>
      </c>
      <c r="AG1" s="75"/>
      <c r="AH1" s="76"/>
      <c r="AI1" s="71" t="s">
        <v>131</v>
      </c>
      <c r="AJ1" s="72"/>
      <c r="AK1" s="73"/>
      <c r="AL1" s="74" t="s">
        <v>132</v>
      </c>
      <c r="AM1" s="75"/>
      <c r="AN1" s="76"/>
      <c r="AO1" s="71" t="s">
        <v>133</v>
      </c>
      <c r="AP1" s="72"/>
      <c r="AQ1" s="73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92</v>
      </c>
      <c r="C1" s="70" t="s">
        <v>93</v>
      </c>
      <c r="D1" s="77" t="s">
        <v>94</v>
      </c>
      <c r="E1" s="77" t="s">
        <v>95</v>
      </c>
      <c r="F1" s="77" t="s">
        <v>96</v>
      </c>
      <c r="G1" s="77" t="s">
        <v>97</v>
      </c>
      <c r="H1" s="77" t="s">
        <v>98</v>
      </c>
      <c r="I1" s="77" t="s">
        <v>99</v>
      </c>
      <c r="J1" s="77" t="s">
        <v>100</v>
      </c>
      <c r="K1" s="77" t="s">
        <v>101</v>
      </c>
      <c r="L1" s="77" t="s">
        <v>102</v>
      </c>
      <c r="M1" s="77" t="s">
        <v>103</v>
      </c>
      <c r="N1" s="77" t="s">
        <v>104</v>
      </c>
      <c r="O1" s="77" t="s">
        <v>105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2026-09-13T14:11:45Z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