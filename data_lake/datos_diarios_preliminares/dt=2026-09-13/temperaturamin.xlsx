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C47C3F37-5575-42EC-87EE-F1E16DD2B687}" xr6:coauthVersionLast="47" xr6:coauthVersionMax="47" xr10:uidLastSave="{00000000-0000-0000-0000-000000000000}"/>
  <bookViews>
    <workbookView xWindow="-120" yWindow="-120" windowWidth="29040" windowHeight="15720" tabRatio="729" xr2:uid="{00000000-000D-0000-FFFF-FFFF00000000}"/>
  </bookViews>
  <sheets>
    <sheet name="Temperatura" sheetId="1" r:id="rId1"/>
    <sheet name="Climatologia" sheetId="2" r:id="rId2"/>
    <sheet name="Minimos" sheetId="3" r:id="rId3"/>
    <sheet name="Control_Cambios" sheetId="4" state="hidden" r:id="rId4"/>
  </sheets>
  <definedNames>
    <definedName name="_xlnm._FilterDatabase" localSheetId="1" hidden="1">Climatologia!$A$2:$X$345</definedName>
    <definedName name="_xlnm._FilterDatabase" localSheetId="2" hidden="1">Minimos!$A$1:$AQ$356</definedName>
    <definedName name="_xlnm._FilterDatabase" localSheetId="0" hidden="1">Temperatura!$W$1:$W$208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207" i="1" l="1" a="1"/>
  <c r="AV207" i="1" s="1"/>
  <c r="AU207" i="1" a="1"/>
  <c r="AU207" i="1" s="1"/>
  <c r="AT207" i="1"/>
  <c r="AR207" i="1"/>
  <c r="AP207" i="1"/>
  <c r="AQ207" i="1" s="1"/>
  <c r="AV206" i="1" a="1"/>
  <c r="AV206" i="1" s="1"/>
  <c r="AU206" i="1" a="1"/>
  <c r="AU206" i="1" s="1"/>
  <c r="AT206" i="1"/>
  <c r="AR206" i="1"/>
  <c r="AP206" i="1"/>
  <c r="AQ206" i="1" s="1"/>
  <c r="AV205" i="1" a="1"/>
  <c r="AV205" i="1" s="1"/>
  <c r="AU205" i="1" a="1"/>
  <c r="AU205" i="1" s="1"/>
  <c r="AT205" i="1"/>
  <c r="AR205" i="1"/>
  <c r="AP205" i="1"/>
  <c r="AQ205" i="1" s="1"/>
  <c r="AV204" i="1" a="1"/>
  <c r="AV204" i="1" s="1"/>
  <c r="AU204" i="1" a="1"/>
  <c r="AU204" i="1" s="1"/>
  <c r="AT204" i="1"/>
  <c r="AR204" i="1"/>
  <c r="AP204" i="1"/>
  <c r="AQ204" i="1" s="1"/>
  <c r="AV203" i="1" a="1"/>
  <c r="AV203" i="1" s="1"/>
  <c r="AU203" i="1" a="1"/>
  <c r="AU203" i="1" s="1"/>
  <c r="AT203" i="1"/>
  <c r="AR203" i="1"/>
  <c r="AP203" i="1"/>
  <c r="AQ203" i="1" s="1"/>
  <c r="AS203" i="1" s="1"/>
  <c r="AV202" i="1" a="1"/>
  <c r="AV202" i="1" s="1"/>
  <c r="AU202" i="1" a="1"/>
  <c r="AU202" i="1" s="1"/>
  <c r="AT202" i="1"/>
  <c r="AR202" i="1"/>
  <c r="AP202" i="1"/>
  <c r="AQ202" i="1" s="1"/>
  <c r="AS202" i="1" s="1"/>
  <c r="AV201" i="1" a="1"/>
  <c r="AV201" i="1" s="1"/>
  <c r="AU201" i="1" a="1"/>
  <c r="AU201" i="1" s="1"/>
  <c r="AT201" i="1"/>
  <c r="AR201" i="1"/>
  <c r="AP201" i="1"/>
  <c r="AQ201" i="1" s="1"/>
  <c r="AV200" i="1" a="1"/>
  <c r="AV200" i="1" s="1"/>
  <c r="AU200" i="1" a="1"/>
  <c r="AU200" i="1" s="1"/>
  <c r="AT200" i="1"/>
  <c r="AR200" i="1"/>
  <c r="AP200" i="1"/>
  <c r="AQ200" i="1" s="1"/>
  <c r="AS200" i="1" s="1"/>
  <c r="AV199" i="1" a="1"/>
  <c r="AV199" i="1" s="1"/>
  <c r="AU199" i="1" a="1"/>
  <c r="AU199" i="1" s="1"/>
  <c r="AT199" i="1"/>
  <c r="AR199" i="1"/>
  <c r="AP199" i="1"/>
  <c r="AQ199" i="1" s="1"/>
  <c r="AV198" i="1" a="1"/>
  <c r="AV198" i="1" s="1"/>
  <c r="AU198" i="1" a="1"/>
  <c r="AU198" i="1" s="1"/>
  <c r="AT198" i="1"/>
  <c r="AR198" i="1"/>
  <c r="AP198" i="1"/>
  <c r="AQ198" i="1" s="1"/>
  <c r="AS198" i="1" s="1"/>
  <c r="AV197" i="1" a="1"/>
  <c r="AV197" i="1" s="1"/>
  <c r="AU197" i="1" a="1"/>
  <c r="AU197" i="1" s="1"/>
  <c r="AT197" i="1"/>
  <c r="AR197" i="1"/>
  <c r="AP197" i="1"/>
  <c r="AQ197" i="1" s="1"/>
  <c r="AV196" i="1" a="1"/>
  <c r="AV196" i="1" s="1"/>
  <c r="AU196" i="1" a="1"/>
  <c r="AU196" i="1" s="1"/>
  <c r="AT196" i="1"/>
  <c r="AR196" i="1"/>
  <c r="AP196" i="1"/>
  <c r="AQ196" i="1" s="1"/>
  <c r="AV195" i="1" a="1"/>
  <c r="AV195" i="1" s="1"/>
  <c r="AU195" i="1" a="1"/>
  <c r="AU195" i="1" s="1"/>
  <c r="AT195" i="1"/>
  <c r="AR195" i="1"/>
  <c r="AP195" i="1"/>
  <c r="AQ195" i="1" s="1"/>
  <c r="AV194" i="1" a="1"/>
  <c r="AV194" i="1" s="1"/>
  <c r="AU194" i="1" a="1"/>
  <c r="AU194" i="1" s="1"/>
  <c r="AT194" i="1"/>
  <c r="AR194" i="1"/>
  <c r="AP194" i="1"/>
  <c r="AQ194" i="1" s="1"/>
  <c r="AS194" i="1" s="1"/>
  <c r="AV193" i="1" a="1"/>
  <c r="AV193" i="1" s="1"/>
  <c r="AU193" i="1" a="1"/>
  <c r="AU193" i="1" s="1"/>
  <c r="AT193" i="1"/>
  <c r="AR193" i="1"/>
  <c r="AP193" i="1"/>
  <c r="AQ193" i="1" s="1"/>
  <c r="AV192" i="1" a="1"/>
  <c r="AV192" i="1" s="1"/>
  <c r="AU192" i="1" a="1"/>
  <c r="AU192" i="1" s="1"/>
  <c r="AT192" i="1"/>
  <c r="AR192" i="1"/>
  <c r="AP192" i="1"/>
  <c r="AQ192" i="1" s="1"/>
  <c r="AV191" i="1" a="1"/>
  <c r="AV191" i="1" s="1"/>
  <c r="AU191" i="1" a="1"/>
  <c r="AU191" i="1" s="1"/>
  <c r="AT191" i="1"/>
  <c r="AR191" i="1"/>
  <c r="AP191" i="1"/>
  <c r="AQ191" i="1" s="1"/>
  <c r="AV190" i="1" a="1"/>
  <c r="AV190" i="1" s="1"/>
  <c r="AU190" i="1" a="1"/>
  <c r="AU190" i="1" s="1"/>
  <c r="AT190" i="1"/>
  <c r="AR190" i="1"/>
  <c r="AP190" i="1"/>
  <c r="AQ190" i="1" s="1"/>
  <c r="AV189" i="1" a="1"/>
  <c r="AV189" i="1" s="1"/>
  <c r="AU189" i="1" a="1"/>
  <c r="AU189" i="1" s="1"/>
  <c r="AT189" i="1"/>
  <c r="AR189" i="1"/>
  <c r="AP189" i="1"/>
  <c r="AQ189" i="1" s="1"/>
  <c r="AS189" i="1" s="1"/>
  <c r="AV188" i="1" a="1"/>
  <c r="AV188" i="1" s="1"/>
  <c r="AU188" i="1" a="1"/>
  <c r="AU188" i="1" s="1"/>
  <c r="AT188" i="1"/>
  <c r="AW188" i="1" s="1"/>
  <c r="AR188" i="1"/>
  <c r="AP188" i="1"/>
  <c r="AQ188" i="1" s="1"/>
  <c r="AV187" i="1" a="1"/>
  <c r="AV187" i="1" s="1"/>
  <c r="AU187" i="1" a="1"/>
  <c r="AU187" i="1" s="1"/>
  <c r="AT187" i="1"/>
  <c r="AW187" i="1" s="1"/>
  <c r="AR187" i="1"/>
  <c r="AP187" i="1"/>
  <c r="AQ187" i="1" s="1"/>
  <c r="AV186" i="1" a="1"/>
  <c r="AV186" i="1" s="1"/>
  <c r="AU186" i="1" a="1"/>
  <c r="AU186" i="1" s="1"/>
  <c r="AT186" i="1"/>
  <c r="AR186" i="1"/>
  <c r="AQ186" i="1"/>
  <c r="AS186" i="1" s="1"/>
  <c r="AP186" i="1"/>
  <c r="AV185" i="1" a="1"/>
  <c r="AV185" i="1" s="1"/>
  <c r="AU185" i="1" a="1"/>
  <c r="AU185" i="1" s="1"/>
  <c r="AT185" i="1"/>
  <c r="AR185" i="1"/>
  <c r="AP185" i="1"/>
  <c r="AQ185" i="1" s="1"/>
  <c r="AV184" i="1" a="1"/>
  <c r="AV184" i="1" s="1"/>
  <c r="AU184" i="1" a="1"/>
  <c r="AU184" i="1" s="1"/>
  <c r="AT184" i="1"/>
  <c r="AR184" i="1"/>
  <c r="AP184" i="1"/>
  <c r="AQ184" i="1" s="1"/>
  <c r="AV183" i="1" a="1"/>
  <c r="AV183" i="1" s="1"/>
  <c r="AU183" i="1" a="1"/>
  <c r="AU183" i="1" s="1"/>
  <c r="AT183" i="1"/>
  <c r="AW183" i="1" s="1"/>
  <c r="AR183" i="1"/>
  <c r="AP183" i="1"/>
  <c r="AQ183" i="1" s="1"/>
  <c r="AV182" i="1" a="1"/>
  <c r="AV182" i="1" s="1"/>
  <c r="AU182" i="1" a="1"/>
  <c r="AU182" i="1" s="1"/>
  <c r="AT182" i="1"/>
  <c r="AR182" i="1"/>
  <c r="AP182" i="1"/>
  <c r="AQ182" i="1" s="1"/>
  <c r="AV181" i="1" a="1"/>
  <c r="AV181" i="1" s="1"/>
  <c r="AU181" i="1" a="1"/>
  <c r="AU181" i="1" s="1"/>
  <c r="AT181" i="1"/>
  <c r="AR181" i="1"/>
  <c r="AP181" i="1"/>
  <c r="AQ181" i="1" s="1"/>
  <c r="AV180" i="1" a="1"/>
  <c r="AV180" i="1" s="1"/>
  <c r="AU180" i="1" a="1"/>
  <c r="AU180" i="1" s="1"/>
  <c r="AT180" i="1"/>
  <c r="AR180" i="1"/>
  <c r="AP180" i="1"/>
  <c r="AQ180" i="1" s="1"/>
  <c r="AV179" i="1" a="1"/>
  <c r="AV179" i="1" s="1"/>
  <c r="AU179" i="1" a="1"/>
  <c r="AU179" i="1" s="1"/>
  <c r="AT179" i="1"/>
  <c r="AR179" i="1"/>
  <c r="AP179" i="1"/>
  <c r="AQ179" i="1" s="1"/>
  <c r="AV178" i="1" a="1"/>
  <c r="AV178" i="1" s="1"/>
  <c r="AU178" i="1" a="1"/>
  <c r="AU178" i="1" s="1"/>
  <c r="AT178" i="1"/>
  <c r="AR178" i="1"/>
  <c r="AQ178" i="1"/>
  <c r="AP178" i="1"/>
  <c r="AV177" i="1" a="1"/>
  <c r="AV177" i="1" s="1"/>
  <c r="AU177" i="1" a="1"/>
  <c r="AU177" i="1" s="1"/>
  <c r="AT177" i="1"/>
  <c r="AR177" i="1"/>
  <c r="AP177" i="1"/>
  <c r="AQ177" i="1" s="1"/>
  <c r="AV176" i="1" a="1"/>
  <c r="AV176" i="1" s="1"/>
  <c r="AU176" i="1" a="1"/>
  <c r="AU176" i="1" s="1"/>
  <c r="AT176" i="1"/>
  <c r="AR176" i="1"/>
  <c r="AP176" i="1"/>
  <c r="AQ176" i="1" s="1"/>
  <c r="AV175" i="1" a="1"/>
  <c r="AV175" i="1" s="1"/>
  <c r="AU175" i="1" a="1"/>
  <c r="AU175" i="1" s="1"/>
  <c r="AT175" i="1"/>
  <c r="AR175" i="1"/>
  <c r="AP175" i="1"/>
  <c r="AQ175" i="1" s="1"/>
  <c r="AV174" i="1" a="1"/>
  <c r="AV174" i="1" s="1"/>
  <c r="AU174" i="1" a="1"/>
  <c r="AU174" i="1" s="1"/>
  <c r="AT174" i="1"/>
  <c r="AR174" i="1"/>
  <c r="AP174" i="1"/>
  <c r="AQ174" i="1" s="1"/>
  <c r="AV173" i="1" a="1"/>
  <c r="AV173" i="1" s="1"/>
  <c r="AU173" i="1" a="1"/>
  <c r="AU173" i="1" s="1"/>
  <c r="AT173" i="1"/>
  <c r="AR173" i="1"/>
  <c r="AP173" i="1"/>
  <c r="AQ173" i="1" s="1"/>
  <c r="AV172" i="1" a="1"/>
  <c r="AV172" i="1" s="1"/>
  <c r="AU172" i="1" a="1"/>
  <c r="AU172" i="1" s="1"/>
  <c r="AT172" i="1"/>
  <c r="AR172" i="1"/>
  <c r="AP172" i="1"/>
  <c r="AQ172" i="1" s="1"/>
  <c r="AV171" i="1" a="1"/>
  <c r="AV171" i="1" s="1"/>
  <c r="AU171" i="1" a="1"/>
  <c r="AU171" i="1" s="1"/>
  <c r="AT171" i="1"/>
  <c r="AR171" i="1"/>
  <c r="AP171" i="1"/>
  <c r="AQ171" i="1" s="1"/>
  <c r="AV170" i="1" a="1"/>
  <c r="AV170" i="1" s="1"/>
  <c r="AU170" i="1" a="1"/>
  <c r="AU170" i="1" s="1"/>
  <c r="AT170" i="1"/>
  <c r="AR170" i="1"/>
  <c r="AP170" i="1"/>
  <c r="AQ170" i="1" s="1"/>
  <c r="AV169" i="1" a="1"/>
  <c r="AV169" i="1" s="1"/>
  <c r="AU169" i="1" a="1"/>
  <c r="AU169" i="1" s="1"/>
  <c r="AT169" i="1"/>
  <c r="AR169" i="1"/>
  <c r="AP169" i="1"/>
  <c r="AQ169" i="1" s="1"/>
  <c r="AV168" i="1" a="1"/>
  <c r="AV168" i="1" s="1"/>
  <c r="AU168" i="1" a="1"/>
  <c r="AU168" i="1" s="1"/>
  <c r="AT168" i="1"/>
  <c r="AW168" i="1" s="1"/>
  <c r="AR168" i="1"/>
  <c r="AP168" i="1"/>
  <c r="AQ168" i="1" s="1"/>
  <c r="AS168" i="1" s="1"/>
  <c r="AV167" i="1" a="1"/>
  <c r="AV167" i="1" s="1"/>
  <c r="AU167" i="1" a="1"/>
  <c r="AU167" i="1" s="1"/>
  <c r="AT167" i="1"/>
  <c r="AR167" i="1"/>
  <c r="AP167" i="1"/>
  <c r="AQ167" i="1" s="1"/>
  <c r="AV166" i="1" a="1"/>
  <c r="AV166" i="1" s="1"/>
  <c r="AU166" i="1" a="1"/>
  <c r="AU166" i="1" s="1"/>
  <c r="AT166" i="1"/>
  <c r="AR166" i="1"/>
  <c r="AP166" i="1"/>
  <c r="AQ166" i="1" s="1"/>
  <c r="AS166" i="1" s="1"/>
  <c r="AV165" i="1" a="1"/>
  <c r="AV165" i="1" s="1"/>
  <c r="AU165" i="1" a="1"/>
  <c r="AU165" i="1" s="1"/>
  <c r="AT165" i="1"/>
  <c r="AW165" i="1" s="1"/>
  <c r="AR165" i="1"/>
  <c r="AP165" i="1"/>
  <c r="AQ165" i="1" s="1"/>
  <c r="AV164" i="1" a="1"/>
  <c r="AV164" i="1" s="1"/>
  <c r="AU164" i="1" a="1"/>
  <c r="AU164" i="1" s="1"/>
  <c r="AT164" i="1"/>
  <c r="AR164" i="1"/>
  <c r="AP164" i="1"/>
  <c r="AQ164" i="1" s="1"/>
  <c r="AS164" i="1" s="1"/>
  <c r="AV163" i="1" a="1"/>
  <c r="AV163" i="1" s="1"/>
  <c r="AU163" i="1" a="1"/>
  <c r="AU163" i="1" s="1"/>
  <c r="AT163" i="1"/>
  <c r="AR163" i="1"/>
  <c r="AP163" i="1"/>
  <c r="AQ163" i="1" s="1"/>
  <c r="AV162" i="1" a="1"/>
  <c r="AV162" i="1" s="1"/>
  <c r="AU162" i="1" a="1"/>
  <c r="AU162" i="1" s="1"/>
  <c r="AT162" i="1"/>
  <c r="AR162" i="1"/>
  <c r="AP162" i="1"/>
  <c r="AQ162" i="1" s="1"/>
  <c r="AV161" i="1" a="1"/>
  <c r="AV161" i="1" s="1"/>
  <c r="AU161" i="1" a="1"/>
  <c r="AU161" i="1" s="1"/>
  <c r="AT161" i="1"/>
  <c r="AR161" i="1"/>
  <c r="AP161" i="1"/>
  <c r="AQ161" i="1" s="1"/>
  <c r="AV160" i="1" a="1"/>
  <c r="AV160" i="1" s="1"/>
  <c r="AU160" i="1" a="1"/>
  <c r="AU160" i="1" s="1"/>
  <c r="AT160" i="1"/>
  <c r="AR160" i="1"/>
  <c r="AP160" i="1"/>
  <c r="AQ160" i="1" s="1"/>
  <c r="AV159" i="1" a="1"/>
  <c r="AV159" i="1" s="1"/>
  <c r="AU159" i="1" a="1"/>
  <c r="AU159" i="1" s="1"/>
  <c r="AT159" i="1"/>
  <c r="AR159" i="1"/>
  <c r="AP159" i="1"/>
  <c r="AQ159" i="1" s="1"/>
  <c r="AS159" i="1" s="1"/>
  <c r="AV158" i="1" a="1"/>
  <c r="AV158" i="1" s="1"/>
  <c r="AU158" i="1" a="1"/>
  <c r="AU158" i="1" s="1"/>
  <c r="AT158" i="1"/>
  <c r="AR158" i="1"/>
  <c r="AP158" i="1"/>
  <c r="AQ158" i="1" s="1"/>
  <c r="AS158" i="1" s="1"/>
  <c r="AV157" i="1" a="1"/>
  <c r="AV157" i="1" s="1"/>
  <c r="AU157" i="1" a="1"/>
  <c r="AU157" i="1" s="1"/>
  <c r="AT157" i="1"/>
  <c r="AR157" i="1"/>
  <c r="AP157" i="1"/>
  <c r="AQ157" i="1" s="1"/>
  <c r="AV156" i="1" a="1"/>
  <c r="AV156" i="1" s="1"/>
  <c r="AU156" i="1" a="1"/>
  <c r="AU156" i="1" s="1"/>
  <c r="AT156" i="1"/>
  <c r="AR156" i="1"/>
  <c r="AP156" i="1"/>
  <c r="AQ156" i="1" s="1"/>
  <c r="AV155" i="1" a="1"/>
  <c r="AV155" i="1" s="1"/>
  <c r="AU155" i="1" a="1"/>
  <c r="AU155" i="1" s="1"/>
  <c r="AT155" i="1"/>
  <c r="AR155" i="1"/>
  <c r="AP155" i="1"/>
  <c r="AQ155" i="1" s="1"/>
  <c r="AV154" i="1" a="1"/>
  <c r="AV154" i="1" s="1"/>
  <c r="AU154" i="1" a="1"/>
  <c r="AU154" i="1" s="1"/>
  <c r="AT154" i="1"/>
  <c r="AR154" i="1"/>
  <c r="AP154" i="1"/>
  <c r="AQ154" i="1" s="1"/>
  <c r="AV153" i="1" a="1"/>
  <c r="AV153" i="1" s="1"/>
  <c r="AU153" i="1" a="1"/>
  <c r="AU153" i="1" s="1"/>
  <c r="AT153" i="1"/>
  <c r="AR153" i="1"/>
  <c r="AP153" i="1"/>
  <c r="AQ153" i="1" s="1"/>
  <c r="AV152" i="1" a="1"/>
  <c r="AV152" i="1" s="1"/>
  <c r="AU152" i="1" a="1"/>
  <c r="AU152" i="1" s="1"/>
  <c r="AT152" i="1"/>
  <c r="AR152" i="1"/>
  <c r="AP152" i="1"/>
  <c r="AQ152" i="1" s="1"/>
  <c r="AV151" i="1" a="1"/>
  <c r="AV151" i="1" s="1"/>
  <c r="AU151" i="1" a="1"/>
  <c r="AU151" i="1" s="1"/>
  <c r="AT151" i="1"/>
  <c r="AR151" i="1"/>
  <c r="AP151" i="1"/>
  <c r="AQ151" i="1" s="1"/>
  <c r="AV150" i="1" a="1"/>
  <c r="AV150" i="1" s="1"/>
  <c r="AU150" i="1" a="1"/>
  <c r="AU150" i="1" s="1"/>
  <c r="AT150" i="1"/>
  <c r="AW150" i="1" s="1"/>
  <c r="AR150" i="1"/>
  <c r="AP150" i="1"/>
  <c r="AQ150" i="1" s="1"/>
  <c r="AS150" i="1" s="1"/>
  <c r="AV149" i="1" a="1"/>
  <c r="AV149" i="1" s="1"/>
  <c r="AU149" i="1" a="1"/>
  <c r="AU149" i="1" s="1"/>
  <c r="AT149" i="1"/>
  <c r="AR149" i="1"/>
  <c r="AP149" i="1"/>
  <c r="AQ149" i="1" s="1"/>
  <c r="AV148" i="1" a="1"/>
  <c r="AV148" i="1" s="1"/>
  <c r="AU148" i="1" a="1"/>
  <c r="AU148" i="1" s="1"/>
  <c r="AT148" i="1"/>
  <c r="AR148" i="1"/>
  <c r="AP148" i="1"/>
  <c r="AQ148" i="1" s="1"/>
  <c r="AS148" i="1" s="1"/>
  <c r="AV147" i="1" a="1"/>
  <c r="AV147" i="1" s="1"/>
  <c r="AU147" i="1" a="1"/>
  <c r="AU147" i="1" s="1"/>
  <c r="AT147" i="1"/>
  <c r="AW147" i="1" s="1"/>
  <c r="AR147" i="1"/>
  <c r="AP147" i="1"/>
  <c r="AQ147" i="1" s="1"/>
  <c r="AV146" i="1" a="1"/>
  <c r="AV146" i="1"/>
  <c r="AU146" i="1" a="1"/>
  <c r="AU146" i="1" s="1"/>
  <c r="AT146" i="1"/>
  <c r="AW146" i="1" s="1"/>
  <c r="AR146" i="1"/>
  <c r="AP146" i="1"/>
  <c r="AQ146" i="1" s="1"/>
  <c r="AV145" i="1" a="1"/>
  <c r="AV145" i="1" s="1"/>
  <c r="AU145" i="1" a="1"/>
  <c r="AU145" i="1" s="1"/>
  <c r="AT145" i="1"/>
  <c r="AR145" i="1"/>
  <c r="AP145" i="1"/>
  <c r="AQ145" i="1" s="1"/>
  <c r="AV144" i="1" a="1"/>
  <c r="AV144" i="1"/>
  <c r="AU144" i="1" a="1"/>
  <c r="AU144" i="1" s="1"/>
  <c r="AT144" i="1"/>
  <c r="AR144" i="1"/>
  <c r="AP144" i="1"/>
  <c r="AQ144" i="1" s="1"/>
  <c r="AV143" i="1" a="1"/>
  <c r="AV143" i="1" s="1"/>
  <c r="AU143" i="1" a="1"/>
  <c r="AU143" i="1" s="1"/>
  <c r="AT143" i="1"/>
  <c r="AR143" i="1"/>
  <c r="AP143" i="1"/>
  <c r="AQ143" i="1" s="1"/>
  <c r="AV142" i="1" a="1"/>
  <c r="AV142" i="1" s="1"/>
  <c r="AU142" i="1" a="1"/>
  <c r="AU142" i="1" s="1"/>
  <c r="AT142" i="1"/>
  <c r="AR142" i="1"/>
  <c r="AP142" i="1"/>
  <c r="AQ142" i="1" s="1"/>
  <c r="AV141" i="1" a="1"/>
  <c r="AV141" i="1" s="1"/>
  <c r="AU141" i="1" a="1"/>
  <c r="AU141" i="1" s="1"/>
  <c r="AT141" i="1"/>
  <c r="AW141" i="1" s="1"/>
  <c r="AR141" i="1"/>
  <c r="AP141" i="1"/>
  <c r="AQ141" i="1" s="1"/>
  <c r="AV140" i="1" a="1"/>
  <c r="AV140" i="1" s="1"/>
  <c r="AU140" i="1" a="1"/>
  <c r="AU140" i="1" s="1"/>
  <c r="AT140" i="1"/>
  <c r="AW140" i="1" s="1"/>
  <c r="AR140" i="1"/>
  <c r="AP140" i="1"/>
  <c r="AQ140" i="1" s="1"/>
  <c r="AS140" i="1" s="1"/>
  <c r="AV139" i="1" a="1"/>
  <c r="AV139" i="1" s="1"/>
  <c r="AU139" i="1" a="1"/>
  <c r="AU139" i="1" s="1"/>
  <c r="AT139" i="1"/>
  <c r="AR139" i="1"/>
  <c r="AP139" i="1"/>
  <c r="AQ139" i="1" s="1"/>
  <c r="AV138" i="1" a="1"/>
  <c r="AV138" i="1" s="1"/>
  <c r="AU138" i="1" a="1"/>
  <c r="AU138" i="1" s="1"/>
  <c r="AT138" i="1"/>
  <c r="AR138" i="1"/>
  <c r="AQ138" i="1"/>
  <c r="AP138" i="1"/>
  <c r="AV137" i="1" a="1"/>
  <c r="AV137" i="1" s="1"/>
  <c r="AU137" i="1" a="1"/>
  <c r="AU137" i="1" s="1"/>
  <c r="AT137" i="1"/>
  <c r="AW137" i="1" s="1"/>
  <c r="AR137" i="1"/>
  <c r="AP137" i="1"/>
  <c r="AQ137" i="1" s="1"/>
  <c r="AV136" i="1" a="1"/>
  <c r="AV136" i="1" s="1"/>
  <c r="AU136" i="1" a="1"/>
  <c r="AU136" i="1" s="1"/>
  <c r="AT136" i="1"/>
  <c r="AR136" i="1"/>
  <c r="AP136" i="1"/>
  <c r="AQ136" i="1" s="1"/>
  <c r="AV135" i="1" a="1"/>
  <c r="AV135" i="1" s="1"/>
  <c r="AU135" i="1" a="1"/>
  <c r="AU135" i="1" s="1"/>
  <c r="AT135" i="1"/>
  <c r="AR135" i="1"/>
  <c r="AP135" i="1"/>
  <c r="AQ135" i="1" s="1"/>
  <c r="AV134" i="1" a="1"/>
  <c r="AV134" i="1" s="1"/>
  <c r="AU134" i="1" a="1"/>
  <c r="AU134" i="1" s="1"/>
  <c r="AT134" i="1"/>
  <c r="AR134" i="1"/>
  <c r="AP134" i="1"/>
  <c r="AQ134" i="1" s="1"/>
  <c r="AV133" i="1" a="1"/>
  <c r="AV133" i="1" s="1"/>
  <c r="AU133" i="1" a="1"/>
  <c r="AU133" i="1" s="1"/>
  <c r="AT133" i="1"/>
  <c r="AR133" i="1"/>
  <c r="AP133" i="1"/>
  <c r="AQ133" i="1" s="1"/>
  <c r="AV132" i="1" a="1"/>
  <c r="AV132" i="1" s="1"/>
  <c r="AU132" i="1" a="1"/>
  <c r="AU132" i="1" s="1"/>
  <c r="AT132" i="1"/>
  <c r="AR132" i="1"/>
  <c r="AQ132" i="1"/>
  <c r="AP132" i="1"/>
  <c r="AV131" i="1" a="1"/>
  <c r="AV131" i="1" s="1"/>
  <c r="AU131" i="1" a="1"/>
  <c r="AU131" i="1" s="1"/>
  <c r="AT131" i="1"/>
  <c r="AR131" i="1"/>
  <c r="AP131" i="1"/>
  <c r="AQ131" i="1" s="1"/>
  <c r="AS131" i="1" s="1"/>
  <c r="AV130" i="1" a="1"/>
  <c r="AV130" i="1" s="1"/>
  <c r="AU130" i="1" a="1"/>
  <c r="AU130" i="1" s="1"/>
  <c r="AT130" i="1"/>
  <c r="AR130" i="1"/>
  <c r="AP130" i="1"/>
  <c r="AQ130" i="1" s="1"/>
  <c r="AS130" i="1" s="1"/>
  <c r="AV129" i="1" a="1"/>
  <c r="AV129" i="1" s="1"/>
  <c r="AU129" i="1" a="1"/>
  <c r="AU129" i="1" s="1"/>
  <c r="AT129" i="1"/>
  <c r="AW129" i="1" s="1"/>
  <c r="AR129" i="1"/>
  <c r="AP129" i="1"/>
  <c r="AQ129" i="1" s="1"/>
  <c r="AV128" i="1" a="1"/>
  <c r="AV128" i="1" s="1"/>
  <c r="AU128" i="1" a="1"/>
  <c r="AU128" i="1" s="1"/>
  <c r="AT128" i="1"/>
  <c r="AR128" i="1"/>
  <c r="AP128" i="1"/>
  <c r="AQ128" i="1" s="1"/>
  <c r="AS128" i="1" s="1"/>
  <c r="AV127" i="1" a="1"/>
  <c r="AV127" i="1" s="1"/>
  <c r="AU127" i="1" a="1"/>
  <c r="AU127" i="1" s="1"/>
  <c r="AT127" i="1"/>
  <c r="AR127" i="1"/>
  <c r="AP127" i="1"/>
  <c r="AQ127" i="1" s="1"/>
  <c r="AV126" i="1" a="1"/>
  <c r="AV126" i="1" s="1"/>
  <c r="AU126" i="1" a="1"/>
  <c r="AU126" i="1" s="1"/>
  <c r="AT126" i="1"/>
  <c r="AR126" i="1"/>
  <c r="AP126" i="1"/>
  <c r="AQ126" i="1" s="1"/>
  <c r="AV125" i="1" a="1"/>
  <c r="AV125" i="1" s="1"/>
  <c r="AU125" i="1" a="1"/>
  <c r="AU125" i="1" s="1"/>
  <c r="AT125" i="1"/>
  <c r="AR125" i="1"/>
  <c r="AP125" i="1"/>
  <c r="AQ125" i="1" s="1"/>
  <c r="AS125" i="1" s="1"/>
  <c r="AV124" i="1" a="1"/>
  <c r="AV124" i="1" s="1"/>
  <c r="AU124" i="1" a="1"/>
  <c r="AU124" i="1" s="1"/>
  <c r="AT124" i="1"/>
  <c r="AR124" i="1"/>
  <c r="AP124" i="1"/>
  <c r="AQ124" i="1" s="1"/>
  <c r="AV123" i="1" a="1"/>
  <c r="AV123" i="1" s="1"/>
  <c r="AU123" i="1" a="1"/>
  <c r="AU123" i="1" s="1"/>
  <c r="AT123" i="1"/>
  <c r="AR123" i="1"/>
  <c r="AP123" i="1"/>
  <c r="AQ123" i="1" s="1"/>
  <c r="AV122" i="1" a="1"/>
  <c r="AV122" i="1" s="1"/>
  <c r="AU122" i="1" a="1"/>
  <c r="AU122" i="1" s="1"/>
  <c r="AT122" i="1"/>
  <c r="AR122" i="1"/>
  <c r="AP122" i="1"/>
  <c r="AQ122" i="1" s="1"/>
  <c r="AV121" i="1" a="1"/>
  <c r="AV121" i="1" s="1"/>
  <c r="AU121" i="1" a="1"/>
  <c r="AU121" i="1" s="1"/>
  <c r="AT121" i="1"/>
  <c r="AR121" i="1"/>
  <c r="AP121" i="1"/>
  <c r="AQ121" i="1" s="1"/>
  <c r="AS121" i="1" s="1"/>
  <c r="AV120" i="1" a="1"/>
  <c r="AV120" i="1" s="1"/>
  <c r="AU120" i="1" a="1"/>
  <c r="AU120" i="1" s="1"/>
  <c r="AT120" i="1"/>
  <c r="AR120" i="1"/>
  <c r="AP120" i="1"/>
  <c r="AQ120" i="1" s="1"/>
  <c r="AS120" i="1" s="1"/>
  <c r="AV119" i="1" a="1"/>
  <c r="AV119" i="1" s="1"/>
  <c r="AU119" i="1" a="1"/>
  <c r="AU119" i="1" s="1"/>
  <c r="AT119" i="1"/>
  <c r="AR119" i="1"/>
  <c r="AP119" i="1"/>
  <c r="AQ119" i="1" s="1"/>
  <c r="AV118" i="1" a="1"/>
  <c r="AV118" i="1" s="1"/>
  <c r="AU118" i="1" a="1"/>
  <c r="AU118" i="1" s="1"/>
  <c r="AT118" i="1"/>
  <c r="AR118" i="1"/>
  <c r="AP118" i="1"/>
  <c r="AQ118" i="1" s="1"/>
  <c r="AS118" i="1" s="1"/>
  <c r="AV117" i="1" a="1"/>
  <c r="AV117" i="1" s="1"/>
  <c r="AU117" i="1" a="1"/>
  <c r="AU117" i="1" s="1"/>
  <c r="AT117" i="1"/>
  <c r="AR117" i="1"/>
  <c r="AP117" i="1"/>
  <c r="AQ117" i="1" s="1"/>
  <c r="AV116" i="1" a="1"/>
  <c r="AV116" i="1" s="1"/>
  <c r="AU116" i="1" a="1"/>
  <c r="AU116" i="1" s="1"/>
  <c r="AT116" i="1"/>
  <c r="AR116" i="1"/>
  <c r="AP116" i="1"/>
  <c r="AQ116" i="1" s="1"/>
  <c r="AV115" i="1" a="1"/>
  <c r="AV115" i="1" s="1"/>
  <c r="AU115" i="1" a="1"/>
  <c r="AU115" i="1" s="1"/>
  <c r="AT115" i="1"/>
  <c r="AR115" i="1"/>
  <c r="AP115" i="1"/>
  <c r="AQ115" i="1" s="1"/>
  <c r="AV114" i="1" a="1"/>
  <c r="AV114" i="1" s="1"/>
  <c r="AU114" i="1" a="1"/>
  <c r="AU114" i="1" s="1"/>
  <c r="AT114" i="1"/>
  <c r="AR114" i="1"/>
  <c r="AP114" i="1"/>
  <c r="AQ114" i="1" s="1"/>
  <c r="AS114" i="1" s="1"/>
  <c r="AV113" i="1" a="1"/>
  <c r="AV113" i="1" s="1"/>
  <c r="AU113" i="1" a="1"/>
  <c r="AU113" i="1" s="1"/>
  <c r="AT113" i="1"/>
  <c r="AR113" i="1"/>
  <c r="AP113" i="1"/>
  <c r="AQ113" i="1" s="1"/>
  <c r="AV112" i="1" a="1"/>
  <c r="AV112" i="1" s="1"/>
  <c r="AU112" i="1" a="1"/>
  <c r="AU112" i="1" s="1"/>
  <c r="AT112" i="1"/>
  <c r="AR112" i="1"/>
  <c r="AP112" i="1"/>
  <c r="AQ112" i="1" s="1"/>
  <c r="AV111" i="1" a="1"/>
  <c r="AV111" i="1" s="1"/>
  <c r="AU111" i="1" a="1"/>
  <c r="AU111" i="1" s="1"/>
  <c r="AT111" i="1"/>
  <c r="AR111" i="1"/>
  <c r="AP111" i="1"/>
  <c r="AQ111" i="1" s="1"/>
  <c r="AV110" i="1" a="1"/>
  <c r="AV110" i="1" s="1"/>
  <c r="AU110" i="1" a="1"/>
  <c r="AU110" i="1" s="1"/>
  <c r="AT110" i="1"/>
  <c r="AR110" i="1"/>
  <c r="AP110" i="1"/>
  <c r="AQ110" i="1" s="1"/>
  <c r="AV109" i="1" a="1"/>
  <c r="AV109" i="1" s="1"/>
  <c r="AU109" i="1" a="1"/>
  <c r="AU109" i="1" s="1"/>
  <c r="AT109" i="1"/>
  <c r="AR109" i="1"/>
  <c r="AP109" i="1"/>
  <c r="AQ109" i="1" s="1"/>
  <c r="AS109" i="1" s="1"/>
  <c r="AV108" i="1" a="1"/>
  <c r="AV108" i="1" s="1"/>
  <c r="AU108" i="1" a="1"/>
  <c r="AU108" i="1" s="1"/>
  <c r="AT108" i="1"/>
  <c r="AW108" i="1" s="1"/>
  <c r="AR108" i="1"/>
  <c r="AP108" i="1"/>
  <c r="AQ108" i="1" s="1"/>
  <c r="AV107" i="1" a="1"/>
  <c r="AV107" i="1" s="1"/>
  <c r="AU107" i="1" a="1"/>
  <c r="AU107" i="1" s="1"/>
  <c r="AT107" i="1"/>
  <c r="AR107" i="1"/>
  <c r="AP107" i="1"/>
  <c r="AQ107" i="1" s="1"/>
  <c r="AV106" i="1" a="1"/>
  <c r="AV106" i="1"/>
  <c r="AU106" i="1" a="1"/>
  <c r="AU106" i="1" s="1"/>
  <c r="AT106" i="1"/>
  <c r="AR106" i="1"/>
  <c r="AP106" i="1"/>
  <c r="AQ106" i="1" s="1"/>
  <c r="AS106" i="1" s="1"/>
  <c r="AV105" i="1" a="1"/>
  <c r="AV105" i="1" s="1"/>
  <c r="AU105" i="1" a="1"/>
  <c r="AU105" i="1" s="1"/>
  <c r="AT105" i="1"/>
  <c r="AR105" i="1"/>
  <c r="AP105" i="1"/>
  <c r="AQ105" i="1" s="1"/>
  <c r="AV104" i="1" a="1"/>
  <c r="AV104" i="1" s="1"/>
  <c r="AU104" i="1" a="1"/>
  <c r="AU104" i="1" s="1"/>
  <c r="AT104" i="1"/>
  <c r="AR104" i="1"/>
  <c r="AP104" i="1"/>
  <c r="AQ104" i="1" s="1"/>
  <c r="AV103" i="1" a="1"/>
  <c r="AV103" i="1" s="1"/>
  <c r="AU103" i="1" a="1"/>
  <c r="AU103" i="1" s="1"/>
  <c r="AT103" i="1"/>
  <c r="AR103" i="1"/>
  <c r="AP103" i="1"/>
  <c r="AQ103" i="1" s="1"/>
  <c r="AV102" i="1" a="1"/>
  <c r="AV102" i="1" s="1"/>
  <c r="AU102" i="1" a="1"/>
  <c r="AU102" i="1" s="1"/>
  <c r="AT102" i="1"/>
  <c r="AR102" i="1"/>
  <c r="AP102" i="1"/>
  <c r="AQ102" i="1" s="1"/>
  <c r="AS102" i="1" s="1"/>
  <c r="AV101" i="1" a="1"/>
  <c r="AV101" i="1" s="1"/>
  <c r="AU101" i="1" a="1"/>
  <c r="AU101" i="1" s="1"/>
  <c r="AT101" i="1"/>
  <c r="AW101" i="1" s="1"/>
  <c r="AR101" i="1"/>
  <c r="AP101" i="1"/>
  <c r="AQ101" i="1" s="1"/>
  <c r="AV100" i="1" a="1"/>
  <c r="AV100" i="1" s="1"/>
  <c r="AU100" i="1" a="1"/>
  <c r="AU100" i="1" s="1"/>
  <c r="AT100" i="1"/>
  <c r="AR100" i="1"/>
  <c r="AP100" i="1"/>
  <c r="AQ100" i="1" s="1"/>
  <c r="AV99" i="1" a="1"/>
  <c r="AV99" i="1" s="1"/>
  <c r="AU99" i="1" a="1"/>
  <c r="AU99" i="1" s="1"/>
  <c r="AT99" i="1"/>
  <c r="AR99" i="1"/>
  <c r="AP99" i="1"/>
  <c r="AQ99" i="1" s="1"/>
  <c r="AV98" i="1" a="1"/>
  <c r="AV98" i="1" s="1"/>
  <c r="AU98" i="1" a="1"/>
  <c r="AU98" i="1" s="1"/>
  <c r="AT98" i="1"/>
  <c r="AR98" i="1"/>
  <c r="AP98" i="1"/>
  <c r="AQ98" i="1" s="1"/>
  <c r="AV97" i="1" a="1"/>
  <c r="AV97" i="1" s="1"/>
  <c r="AU97" i="1" a="1"/>
  <c r="AU97" i="1" s="1"/>
  <c r="AT97" i="1"/>
  <c r="AW97" i="1" s="1"/>
  <c r="AR97" i="1"/>
  <c r="AP97" i="1"/>
  <c r="AQ97" i="1" s="1"/>
  <c r="AV96" i="1" a="1"/>
  <c r="AV96" i="1"/>
  <c r="AU96" i="1" a="1"/>
  <c r="AU96" i="1" s="1"/>
  <c r="AT96" i="1"/>
  <c r="AR96" i="1"/>
  <c r="AQ96" i="1"/>
  <c r="AP96" i="1"/>
  <c r="AV95" i="1" a="1"/>
  <c r="AV95" i="1" s="1"/>
  <c r="AU95" i="1" a="1"/>
  <c r="AU95" i="1" s="1"/>
  <c r="AT95" i="1"/>
  <c r="AR95" i="1"/>
  <c r="AP95" i="1"/>
  <c r="AQ95" i="1" s="1"/>
  <c r="AS95" i="1" s="1"/>
  <c r="AV94" i="1" a="1"/>
  <c r="AV94" i="1" s="1"/>
  <c r="AU94" i="1" a="1"/>
  <c r="AU94" i="1" s="1"/>
  <c r="AT94" i="1"/>
  <c r="AW94" i="1" s="1"/>
  <c r="AR94" i="1"/>
  <c r="AP94" i="1"/>
  <c r="AQ94" i="1" s="1"/>
  <c r="AV93" i="1" a="1"/>
  <c r="AV93" i="1" s="1"/>
  <c r="AU93" i="1" a="1"/>
  <c r="AU93" i="1" s="1"/>
  <c r="AT93" i="1"/>
  <c r="AR93" i="1"/>
  <c r="AP93" i="1"/>
  <c r="AQ93" i="1" s="1"/>
  <c r="AS93" i="1" s="1"/>
  <c r="AV92" i="1" a="1"/>
  <c r="AV92" i="1" s="1"/>
  <c r="AU92" i="1" a="1"/>
  <c r="AU92" i="1" s="1"/>
  <c r="AT92" i="1"/>
  <c r="AW92" i="1" s="1"/>
  <c r="AR92" i="1"/>
  <c r="AP92" i="1"/>
  <c r="AQ92" i="1" s="1"/>
  <c r="AV91" i="1" a="1"/>
  <c r="AV91" i="1" s="1"/>
  <c r="AU91" i="1" a="1"/>
  <c r="AU91" i="1" s="1"/>
  <c r="AT91" i="1"/>
  <c r="AW91" i="1" s="1"/>
  <c r="AR91" i="1"/>
  <c r="AP91" i="1"/>
  <c r="AQ91" i="1" s="1"/>
  <c r="AV90" i="1" a="1"/>
  <c r="AV90" i="1" s="1"/>
  <c r="AU90" i="1" a="1"/>
  <c r="AU90" i="1" s="1"/>
  <c r="AT90" i="1"/>
  <c r="AR90" i="1"/>
  <c r="AP90" i="1"/>
  <c r="AQ90" i="1" s="1"/>
  <c r="AS90" i="1" s="1"/>
  <c r="AV89" i="1" a="1"/>
  <c r="AV89" i="1" s="1"/>
  <c r="AU89" i="1" a="1"/>
  <c r="AU89" i="1" s="1"/>
  <c r="AT89" i="1"/>
  <c r="AW89" i="1" s="1"/>
  <c r="AR89" i="1"/>
  <c r="AP89" i="1"/>
  <c r="AQ89" i="1" s="1"/>
  <c r="AV88" i="1" a="1"/>
  <c r="AV88" i="1" s="1"/>
  <c r="AU88" i="1" a="1"/>
  <c r="AU88" i="1" s="1"/>
  <c r="AT88" i="1"/>
  <c r="AR88" i="1"/>
  <c r="AQ88" i="1"/>
  <c r="AP88" i="1"/>
  <c r="AV87" i="1" a="1"/>
  <c r="AV87" i="1" s="1"/>
  <c r="AU87" i="1" a="1"/>
  <c r="AU87" i="1" s="1"/>
  <c r="AT87" i="1"/>
  <c r="AR87" i="1"/>
  <c r="AP87" i="1"/>
  <c r="AQ87" i="1" s="1"/>
  <c r="AV86" i="1" a="1"/>
  <c r="AV86" i="1" s="1"/>
  <c r="AU86" i="1" a="1"/>
  <c r="AU86" i="1" s="1"/>
  <c r="AT86" i="1"/>
  <c r="AR86" i="1"/>
  <c r="AP86" i="1"/>
  <c r="AQ86" i="1" s="1"/>
  <c r="AV85" i="1" a="1"/>
  <c r="AV85" i="1" s="1"/>
  <c r="AU85" i="1" a="1"/>
  <c r="AU85" i="1" s="1"/>
  <c r="AT85" i="1"/>
  <c r="AR85" i="1"/>
  <c r="AP85" i="1"/>
  <c r="AQ85" i="1" s="1"/>
  <c r="AS85" i="1" s="1"/>
  <c r="AV84" i="1" a="1"/>
  <c r="AV84" i="1" s="1"/>
  <c r="AU84" i="1" a="1"/>
  <c r="AU84" i="1" s="1"/>
  <c r="AT84" i="1"/>
  <c r="AR84" i="1"/>
  <c r="AP84" i="1"/>
  <c r="AQ84" i="1" s="1"/>
  <c r="AV83" i="1" a="1"/>
  <c r="AV83" i="1" s="1"/>
  <c r="AU83" i="1" a="1"/>
  <c r="AU83" i="1" s="1"/>
  <c r="AT83" i="1"/>
  <c r="AR83" i="1"/>
  <c r="AP83" i="1"/>
  <c r="AQ83" i="1" s="1"/>
  <c r="AV82" i="1" a="1"/>
  <c r="AV82" i="1" s="1"/>
  <c r="AU82" i="1" a="1"/>
  <c r="AU82" i="1" s="1"/>
  <c r="AT82" i="1"/>
  <c r="AR82" i="1"/>
  <c r="AP82" i="1"/>
  <c r="AQ82" i="1" s="1"/>
  <c r="AV81" i="1" a="1"/>
  <c r="AV81" i="1" s="1"/>
  <c r="AU81" i="1" a="1"/>
  <c r="AU81" i="1" s="1"/>
  <c r="AT81" i="1"/>
  <c r="AW81" i="1" s="1"/>
  <c r="AR81" i="1"/>
  <c r="AP81" i="1"/>
  <c r="AQ81" i="1" s="1"/>
  <c r="AV80" i="1" a="1"/>
  <c r="AV80" i="1" s="1"/>
  <c r="AU80" i="1" a="1"/>
  <c r="AU80" i="1" s="1"/>
  <c r="AT80" i="1"/>
  <c r="AR80" i="1"/>
  <c r="AP80" i="1"/>
  <c r="AQ80" i="1" s="1"/>
  <c r="AS80" i="1" s="1"/>
  <c r="AV79" i="1" a="1"/>
  <c r="AV79" i="1" s="1"/>
  <c r="AU79" i="1" a="1"/>
  <c r="AU79" i="1" s="1"/>
  <c r="AT79" i="1"/>
  <c r="AR79" i="1"/>
  <c r="AP79" i="1"/>
  <c r="AQ79" i="1" s="1"/>
  <c r="AV78" i="1" a="1"/>
  <c r="AV78" i="1" s="1"/>
  <c r="AU78" i="1" a="1"/>
  <c r="AU78" i="1" s="1"/>
  <c r="AT78" i="1"/>
  <c r="AR78" i="1"/>
  <c r="AP78" i="1"/>
  <c r="AQ78" i="1" s="1"/>
  <c r="AV77" i="1" a="1"/>
  <c r="AV77" i="1" s="1"/>
  <c r="AU77" i="1" a="1"/>
  <c r="AU77" i="1" s="1"/>
  <c r="AT77" i="1"/>
  <c r="AR77" i="1"/>
  <c r="AP77" i="1"/>
  <c r="AQ77" i="1" s="1"/>
  <c r="AV76" i="1" a="1"/>
  <c r="AV76" i="1" s="1"/>
  <c r="AU76" i="1" a="1"/>
  <c r="AU76" i="1" s="1"/>
  <c r="AT76" i="1"/>
  <c r="AR76" i="1"/>
  <c r="AP76" i="1"/>
  <c r="AQ76" i="1" s="1"/>
  <c r="AV75" i="1" a="1"/>
  <c r="AV75" i="1" s="1"/>
  <c r="AU75" i="1" a="1"/>
  <c r="AU75" i="1" s="1"/>
  <c r="AT75" i="1"/>
  <c r="AR75" i="1"/>
  <c r="AP75" i="1"/>
  <c r="AQ75" i="1" s="1"/>
  <c r="AV74" i="1" a="1"/>
  <c r="AV74" i="1" s="1"/>
  <c r="AU74" i="1" a="1"/>
  <c r="AU74" i="1" s="1"/>
  <c r="AT74" i="1"/>
  <c r="AR74" i="1"/>
  <c r="AP74" i="1"/>
  <c r="AQ74" i="1" s="1"/>
  <c r="AV73" i="1" a="1"/>
  <c r="AV73" i="1" s="1"/>
  <c r="AU73" i="1" a="1"/>
  <c r="AU73" i="1" s="1"/>
  <c r="AT73" i="1"/>
  <c r="AR73" i="1"/>
  <c r="AP73" i="1"/>
  <c r="AQ73" i="1" s="1"/>
  <c r="AV72" i="1" a="1"/>
  <c r="AV72" i="1" s="1"/>
  <c r="AU72" i="1" a="1"/>
  <c r="AU72" i="1" s="1"/>
  <c r="AT72" i="1"/>
  <c r="AR72" i="1"/>
  <c r="AP72" i="1"/>
  <c r="AQ72" i="1" s="1"/>
  <c r="AS72" i="1" s="1"/>
  <c r="AV71" i="1" a="1"/>
  <c r="AV71" i="1" s="1"/>
  <c r="AU71" i="1" a="1"/>
  <c r="AU71" i="1" s="1"/>
  <c r="AT71" i="1"/>
  <c r="AR71" i="1"/>
  <c r="AP71" i="1"/>
  <c r="AQ71" i="1" s="1"/>
  <c r="AV70" i="1" a="1"/>
  <c r="AV70" i="1" s="1"/>
  <c r="AU70" i="1" a="1"/>
  <c r="AU70" i="1" s="1"/>
  <c r="AT70" i="1"/>
  <c r="AR70" i="1"/>
  <c r="AP70" i="1"/>
  <c r="AQ70" i="1" s="1"/>
  <c r="AV69" i="1" a="1"/>
  <c r="AV69" i="1" s="1"/>
  <c r="AU69" i="1" a="1"/>
  <c r="AU69" i="1" s="1"/>
  <c r="AT69" i="1"/>
  <c r="AR69" i="1"/>
  <c r="AP69" i="1"/>
  <c r="AQ69" i="1" s="1"/>
  <c r="AV68" i="1" a="1"/>
  <c r="AV68" i="1"/>
  <c r="AU68" i="1" a="1"/>
  <c r="AU68" i="1" s="1"/>
  <c r="AT68" i="1"/>
  <c r="AR68" i="1"/>
  <c r="AP68" i="1"/>
  <c r="AQ68" i="1" s="1"/>
  <c r="AV67" i="1" a="1"/>
  <c r="AV67" i="1" s="1"/>
  <c r="AU67" i="1" a="1"/>
  <c r="AU67" i="1" s="1"/>
  <c r="AT67" i="1"/>
  <c r="AR67" i="1"/>
  <c r="AP67" i="1"/>
  <c r="AQ67" i="1" s="1"/>
  <c r="AV66" i="1" a="1"/>
  <c r="AV66" i="1" s="1"/>
  <c r="AU66" i="1" a="1"/>
  <c r="AU66" i="1" s="1"/>
  <c r="AT66" i="1"/>
  <c r="AW66" i="1" s="1"/>
  <c r="AR66" i="1"/>
  <c r="AP66" i="1"/>
  <c r="AQ66" i="1" s="1"/>
  <c r="AS66" i="1" s="1"/>
  <c r="AV65" i="1" a="1"/>
  <c r="AV65" i="1" s="1"/>
  <c r="AU65" i="1" a="1"/>
  <c r="AU65" i="1" s="1"/>
  <c r="AT65" i="1"/>
  <c r="AR65" i="1"/>
  <c r="AP65" i="1"/>
  <c r="AQ65" i="1" s="1"/>
  <c r="AV64" i="1" a="1"/>
  <c r="AV64" i="1" s="1"/>
  <c r="AU64" i="1" a="1"/>
  <c r="AU64" i="1" s="1"/>
  <c r="AT64" i="1"/>
  <c r="AR64" i="1"/>
  <c r="AP64" i="1"/>
  <c r="AQ64" i="1" s="1"/>
  <c r="AV63" i="1" a="1"/>
  <c r="AV63" i="1" s="1"/>
  <c r="AU63" i="1" a="1"/>
  <c r="AU63" i="1" s="1"/>
  <c r="AT63" i="1"/>
  <c r="AR63" i="1"/>
  <c r="AP63" i="1"/>
  <c r="AQ63" i="1" s="1"/>
  <c r="AV62" i="1" a="1"/>
  <c r="AV62" i="1" s="1"/>
  <c r="AU62" i="1" a="1"/>
  <c r="AU62" i="1" s="1"/>
  <c r="AT62" i="1"/>
  <c r="AR62" i="1"/>
  <c r="AP62" i="1"/>
  <c r="AQ62" i="1" s="1"/>
  <c r="AS62" i="1" s="1"/>
  <c r="AV61" i="1" a="1"/>
  <c r="AV61" i="1" s="1"/>
  <c r="AU61" i="1" a="1"/>
  <c r="AU61" i="1" s="1"/>
  <c r="AT61" i="1"/>
  <c r="AR61" i="1"/>
  <c r="AP61" i="1"/>
  <c r="AQ61" i="1" s="1"/>
  <c r="AV60" i="1" a="1"/>
  <c r="AV60" i="1" s="1"/>
  <c r="AU60" i="1" a="1"/>
  <c r="AU60" i="1" s="1"/>
  <c r="AT60" i="1"/>
  <c r="AR60" i="1"/>
  <c r="AP60" i="1"/>
  <c r="AQ60" i="1" s="1"/>
  <c r="AV59" i="1" a="1"/>
  <c r="AV59" i="1" s="1"/>
  <c r="AU59" i="1" a="1"/>
  <c r="AU59" i="1" s="1"/>
  <c r="AT59" i="1"/>
  <c r="AR59" i="1"/>
  <c r="AP59" i="1"/>
  <c r="AQ59" i="1" s="1"/>
  <c r="AV58" i="1" a="1"/>
  <c r="AV58" i="1" s="1"/>
  <c r="AU58" i="1" a="1"/>
  <c r="AU58" i="1" s="1"/>
  <c r="AT58" i="1"/>
  <c r="AR58" i="1"/>
  <c r="AP58" i="1"/>
  <c r="AQ58" i="1" s="1"/>
  <c r="AS58" i="1" s="1"/>
  <c r="AV57" i="1" a="1"/>
  <c r="AV57" i="1" s="1"/>
  <c r="AU57" i="1" a="1"/>
  <c r="AU57" i="1" s="1"/>
  <c r="AT57" i="1"/>
  <c r="AW57" i="1" s="1"/>
  <c r="AR57" i="1"/>
  <c r="AP57" i="1"/>
  <c r="AQ57" i="1" s="1"/>
  <c r="AV56" i="1" a="1"/>
  <c r="AV56" i="1"/>
  <c r="AU56" i="1" a="1"/>
  <c r="AU56" i="1" s="1"/>
  <c r="AT56" i="1"/>
  <c r="AR56" i="1"/>
  <c r="AQ56" i="1"/>
  <c r="AS56" i="1" s="1"/>
  <c r="AP56" i="1"/>
  <c r="AV55" i="1" a="1"/>
  <c r="AV55" i="1" s="1"/>
  <c r="AU55" i="1" a="1"/>
  <c r="AU55" i="1" s="1"/>
  <c r="AT55" i="1"/>
  <c r="AR55" i="1"/>
  <c r="AP55" i="1"/>
  <c r="AQ55" i="1" s="1"/>
  <c r="AV54" i="1" a="1"/>
  <c r="AV54" i="1" s="1"/>
  <c r="AU54" i="1" a="1"/>
  <c r="AU54" i="1" s="1"/>
  <c r="AT54" i="1"/>
  <c r="AW54" i="1" s="1"/>
  <c r="AR54" i="1"/>
  <c r="AP54" i="1"/>
  <c r="AQ54" i="1" s="1"/>
  <c r="AS54" i="1" s="1"/>
  <c r="AV53" i="1" a="1"/>
  <c r="AV53" i="1" s="1"/>
  <c r="AU53" i="1" a="1"/>
  <c r="AU53" i="1" s="1"/>
  <c r="AT53" i="1"/>
  <c r="AR53" i="1"/>
  <c r="AP53" i="1"/>
  <c r="AQ53" i="1" s="1"/>
  <c r="AV52" i="1" a="1"/>
  <c r="AV52" i="1" s="1"/>
  <c r="AU52" i="1" a="1"/>
  <c r="AU52" i="1" s="1"/>
  <c r="AT52" i="1"/>
  <c r="AW52" i="1" s="1"/>
  <c r="AR52" i="1"/>
  <c r="AP52" i="1"/>
  <c r="AQ52" i="1" s="1"/>
  <c r="AV51" i="1" a="1"/>
  <c r="AV51" i="1" s="1"/>
  <c r="AU51" i="1" a="1"/>
  <c r="AU51" i="1" s="1"/>
  <c r="AT51" i="1"/>
  <c r="AW51" i="1" s="1"/>
  <c r="AR51" i="1"/>
  <c r="AP51" i="1"/>
  <c r="AQ51" i="1" s="1"/>
  <c r="AV50" i="1" a="1"/>
  <c r="AV50" i="1" s="1"/>
  <c r="AU50" i="1" a="1"/>
  <c r="AU50" i="1" s="1"/>
  <c r="AT50" i="1"/>
  <c r="AR50" i="1"/>
  <c r="AQ50" i="1"/>
  <c r="AP50" i="1"/>
  <c r="AV49" i="1" a="1"/>
  <c r="AV49" i="1" s="1"/>
  <c r="AU49" i="1" a="1"/>
  <c r="AU49" i="1" s="1"/>
  <c r="AT49" i="1"/>
  <c r="AR49" i="1"/>
  <c r="AP49" i="1"/>
  <c r="AQ49" i="1" s="1"/>
  <c r="AV48" i="1" a="1"/>
  <c r="AV48" i="1" s="1"/>
  <c r="AU48" i="1" a="1"/>
  <c r="AU48" i="1" s="1"/>
  <c r="AT48" i="1"/>
  <c r="AR48" i="1"/>
  <c r="AP48" i="1"/>
  <c r="AQ48" i="1" s="1"/>
  <c r="AV47" i="1" a="1"/>
  <c r="AV47" i="1" s="1"/>
  <c r="AU47" i="1" a="1"/>
  <c r="AU47" i="1" s="1"/>
  <c r="AT47" i="1"/>
  <c r="AW47" i="1" s="1"/>
  <c r="AR47" i="1"/>
  <c r="AP47" i="1"/>
  <c r="AQ47" i="1" s="1"/>
  <c r="AS47" i="1" s="1"/>
  <c r="AV46" i="1" a="1"/>
  <c r="AV46" i="1" s="1"/>
  <c r="AU46" i="1" a="1"/>
  <c r="AU46" i="1" s="1"/>
  <c r="AT46" i="1"/>
  <c r="AR46" i="1"/>
  <c r="AP46" i="1"/>
  <c r="AQ46" i="1" s="1"/>
  <c r="AV45" i="1" a="1"/>
  <c r="AV45" i="1" s="1"/>
  <c r="AU45" i="1" a="1"/>
  <c r="AU45" i="1" s="1"/>
  <c r="AT45" i="1"/>
  <c r="AR45" i="1"/>
  <c r="AP45" i="1"/>
  <c r="AQ45" i="1" s="1"/>
  <c r="AV44" i="1" a="1"/>
  <c r="AV44" i="1" s="1"/>
  <c r="AU44" i="1" a="1"/>
  <c r="AU44" i="1" s="1"/>
  <c r="AT44" i="1"/>
  <c r="AR44" i="1"/>
  <c r="AP44" i="1"/>
  <c r="AQ44" i="1" s="1"/>
  <c r="AV43" i="1" a="1"/>
  <c r="AV43" i="1" s="1"/>
  <c r="AU43" i="1" a="1"/>
  <c r="AU43" i="1" s="1"/>
  <c r="AT43" i="1"/>
  <c r="AR43" i="1"/>
  <c r="AP43" i="1"/>
  <c r="AQ43" i="1" s="1"/>
  <c r="AS43" i="1" s="1"/>
  <c r="AV42" i="1" a="1"/>
  <c r="AV42" i="1" s="1"/>
  <c r="AU42" i="1" a="1"/>
  <c r="AU42" i="1" s="1"/>
  <c r="AT42" i="1"/>
  <c r="AR42" i="1"/>
  <c r="AP42" i="1"/>
  <c r="AQ42" i="1" s="1"/>
  <c r="AV41" i="1" a="1"/>
  <c r="AV41" i="1" s="1"/>
  <c r="AU41" i="1" a="1"/>
  <c r="AU41" i="1" s="1"/>
  <c r="AT41" i="1"/>
  <c r="AR41" i="1"/>
  <c r="AP41" i="1"/>
  <c r="AQ41" i="1" s="1"/>
  <c r="AV40" i="1" a="1"/>
  <c r="AV40" i="1"/>
  <c r="AU40" i="1" a="1"/>
  <c r="AU40" i="1" s="1"/>
  <c r="AT40" i="1"/>
  <c r="AW40" i="1" s="1"/>
  <c r="AR40" i="1"/>
  <c r="AP40" i="1"/>
  <c r="AQ40" i="1" s="1"/>
  <c r="AS40" i="1" s="1"/>
  <c r="AV39" i="1" a="1"/>
  <c r="AV39" i="1" s="1"/>
  <c r="AU39" i="1" a="1"/>
  <c r="AU39" i="1" s="1"/>
  <c r="AT39" i="1"/>
  <c r="AR39" i="1"/>
  <c r="AP39" i="1"/>
  <c r="AQ39" i="1" s="1"/>
  <c r="AS39" i="1" s="1"/>
  <c r="AV38" i="1" a="1"/>
  <c r="AV38" i="1" s="1"/>
  <c r="AU38" i="1" a="1"/>
  <c r="AU38" i="1" s="1"/>
  <c r="AT38" i="1"/>
  <c r="AW38" i="1" s="1"/>
  <c r="AR38" i="1"/>
  <c r="AP38" i="1"/>
  <c r="AQ38" i="1" s="1"/>
  <c r="AS38" i="1" s="1"/>
  <c r="AV37" i="1" a="1"/>
  <c r="AV37" i="1" s="1"/>
  <c r="AU37" i="1" a="1"/>
  <c r="AU37" i="1" s="1"/>
  <c r="AT37" i="1"/>
  <c r="AR37" i="1"/>
  <c r="AP37" i="1"/>
  <c r="AQ37" i="1" s="1"/>
  <c r="AS37" i="1" s="1"/>
  <c r="AV36" i="1" a="1"/>
  <c r="AV36" i="1" s="1"/>
  <c r="AU36" i="1" a="1"/>
  <c r="AU36" i="1" s="1"/>
  <c r="AT36" i="1"/>
  <c r="AR36" i="1"/>
  <c r="AP36" i="1"/>
  <c r="AQ36" i="1" s="1"/>
  <c r="AS36" i="1" s="1"/>
  <c r="AV35" i="1" a="1"/>
  <c r="AV35" i="1"/>
  <c r="AU35" i="1" a="1"/>
  <c r="AU35" i="1"/>
  <c r="AT35" i="1"/>
  <c r="AR35" i="1"/>
  <c r="AP35" i="1"/>
  <c r="AQ35" i="1" s="1"/>
  <c r="AS35" i="1" s="1"/>
  <c r="AV34" i="1" a="1"/>
  <c r="AV34" i="1" s="1"/>
  <c r="AU34" i="1" a="1"/>
  <c r="AU34" i="1" s="1"/>
  <c r="AT34" i="1"/>
  <c r="AR34" i="1"/>
  <c r="AP34" i="1"/>
  <c r="AQ34" i="1" s="1"/>
  <c r="AS34" i="1" s="1"/>
  <c r="AV33" i="1" a="1"/>
  <c r="AV33" i="1" s="1"/>
  <c r="AU33" i="1" a="1"/>
  <c r="AU33" i="1"/>
  <c r="AT33" i="1"/>
  <c r="AW33" i="1" s="1"/>
  <c r="AR33" i="1"/>
  <c r="AP33" i="1"/>
  <c r="AQ33" i="1" s="1"/>
  <c r="AV32" i="1" a="1"/>
  <c r="AV32" i="1"/>
  <c r="AU32" i="1" a="1"/>
  <c r="AU32" i="1" s="1"/>
  <c r="AT32" i="1"/>
  <c r="AR32" i="1"/>
  <c r="AP32" i="1"/>
  <c r="AQ32" i="1" s="1"/>
  <c r="AS32" i="1" s="1"/>
  <c r="AV31" i="1" a="1"/>
  <c r="AV31" i="1"/>
  <c r="AU31" i="1" a="1"/>
  <c r="AU31" i="1"/>
  <c r="AT31" i="1"/>
  <c r="AW31" i="1" s="1"/>
  <c r="AR31" i="1"/>
  <c r="AP31" i="1"/>
  <c r="AQ31" i="1" s="1"/>
  <c r="AS31" i="1" s="1"/>
  <c r="AV30" i="1" a="1"/>
  <c r="AV30" i="1" s="1"/>
  <c r="AU30" i="1" a="1"/>
  <c r="AU30" i="1"/>
  <c r="AT30" i="1"/>
  <c r="AR30" i="1"/>
  <c r="AP30" i="1"/>
  <c r="AQ30" i="1" s="1"/>
  <c r="AS30" i="1" s="1"/>
  <c r="AV29" i="1" a="1"/>
  <c r="AV29" i="1"/>
  <c r="AU29" i="1" a="1"/>
  <c r="AU29" i="1" s="1"/>
  <c r="AT29" i="1"/>
  <c r="AR29" i="1"/>
  <c r="AP29" i="1"/>
  <c r="AQ29" i="1" s="1"/>
  <c r="AS29" i="1" s="1"/>
  <c r="AV28" i="1" a="1"/>
  <c r="AV28" i="1"/>
  <c r="AU28" i="1" a="1"/>
  <c r="AU28" i="1" s="1"/>
  <c r="AT28" i="1"/>
  <c r="AR28" i="1"/>
  <c r="AP28" i="1"/>
  <c r="AQ28" i="1" s="1"/>
  <c r="AV27" i="1" a="1"/>
  <c r="AV27" i="1"/>
  <c r="AU27" i="1" a="1"/>
  <c r="AU27" i="1" s="1"/>
  <c r="AT27" i="1"/>
  <c r="AR27" i="1"/>
  <c r="AP27" i="1"/>
  <c r="AQ27" i="1" s="1"/>
  <c r="AS27" i="1" s="1"/>
  <c r="AV26" i="1" a="1"/>
  <c r="AV26" i="1"/>
  <c r="AU26" i="1" a="1"/>
  <c r="AU26" i="1"/>
  <c r="AT26" i="1"/>
  <c r="AR26" i="1"/>
  <c r="AP26" i="1"/>
  <c r="AQ26" i="1" s="1"/>
  <c r="AS26" i="1" s="1"/>
  <c r="AV25" i="1" a="1"/>
  <c r="AV25" i="1" s="1"/>
  <c r="AU25" i="1" a="1"/>
  <c r="AU25" i="1"/>
  <c r="AT25" i="1"/>
  <c r="AW25" i="1" s="1"/>
  <c r="AR25" i="1"/>
  <c r="AQ25" i="1"/>
  <c r="AS25" i="1" s="1"/>
  <c r="AP25" i="1"/>
  <c r="AV24" i="1" a="1"/>
  <c r="AV24" i="1"/>
  <c r="AU24" i="1" a="1"/>
  <c r="AU24" i="1"/>
  <c r="AT24" i="1"/>
  <c r="AW24" i="1" s="1"/>
  <c r="AR24" i="1"/>
  <c r="AP24" i="1"/>
  <c r="AQ24" i="1" s="1"/>
  <c r="AS24" i="1" s="1"/>
  <c r="AV23" i="1" a="1"/>
  <c r="AV23" i="1" s="1"/>
  <c r="AU23" i="1" a="1"/>
  <c r="AU23" i="1"/>
  <c r="AT23" i="1"/>
  <c r="AR23" i="1"/>
  <c r="AP23" i="1"/>
  <c r="AQ23" i="1" s="1"/>
  <c r="AV22" i="1" a="1"/>
  <c r="AV22" i="1"/>
  <c r="AU22" i="1" a="1"/>
  <c r="AU22" i="1"/>
  <c r="AT22" i="1"/>
  <c r="AR22" i="1"/>
  <c r="AP22" i="1"/>
  <c r="AQ22" i="1" s="1"/>
  <c r="AS22" i="1" s="1"/>
  <c r="AV21" i="1" a="1"/>
  <c r="AV21" i="1" s="1"/>
  <c r="AU21" i="1" a="1"/>
  <c r="AU21" i="1" s="1"/>
  <c r="AT21" i="1"/>
  <c r="AR21" i="1"/>
  <c r="AP21" i="1"/>
  <c r="AQ21" i="1" s="1"/>
  <c r="AS21" i="1" s="1"/>
  <c r="AV20" i="1" a="1"/>
  <c r="AV20" i="1" s="1"/>
  <c r="AU20" i="1" a="1"/>
  <c r="AU20" i="1" s="1"/>
  <c r="AT20" i="1"/>
  <c r="AR20" i="1"/>
  <c r="AP20" i="1"/>
  <c r="AQ20" i="1" s="1"/>
  <c r="AV19" i="1" a="1"/>
  <c r="AV19" i="1"/>
  <c r="AU19" i="1" a="1"/>
  <c r="AU19" i="1"/>
  <c r="AT19" i="1"/>
  <c r="AW19" i="1" s="1"/>
  <c r="AR19" i="1"/>
  <c r="AP19" i="1"/>
  <c r="AQ19" i="1" s="1"/>
  <c r="AS19" i="1" s="1"/>
  <c r="AV18" i="1" a="1"/>
  <c r="AV18" i="1" s="1"/>
  <c r="AU18" i="1" a="1"/>
  <c r="AU18" i="1" s="1"/>
  <c r="AT18" i="1"/>
  <c r="AW18" i="1" s="1"/>
  <c r="AR18" i="1"/>
  <c r="AP18" i="1"/>
  <c r="AQ18" i="1" s="1"/>
  <c r="AS18" i="1" s="1"/>
  <c r="AV17" i="1" a="1"/>
  <c r="AV17" i="1" s="1"/>
  <c r="AU17" i="1" a="1"/>
  <c r="AU17" i="1" s="1"/>
  <c r="AT17" i="1"/>
  <c r="AR17" i="1"/>
  <c r="AP17" i="1"/>
  <c r="AQ17" i="1" s="1"/>
  <c r="AV16" i="1" a="1"/>
  <c r="AV16" i="1" s="1"/>
  <c r="AU16" i="1" a="1"/>
  <c r="AU16" i="1" s="1"/>
  <c r="AT16" i="1"/>
  <c r="AR16" i="1"/>
  <c r="AP16" i="1"/>
  <c r="AQ16" i="1" s="1"/>
  <c r="AS16" i="1" s="1"/>
  <c r="AV15" i="1" a="1"/>
  <c r="AV15" i="1" s="1"/>
  <c r="AU15" i="1" a="1"/>
  <c r="AU15" i="1" s="1"/>
  <c r="AT15" i="1"/>
  <c r="AR15" i="1"/>
  <c r="AP15" i="1"/>
  <c r="AQ15" i="1" s="1"/>
  <c r="AV14" i="1" a="1"/>
  <c r="AV14" i="1" s="1"/>
  <c r="AU14" i="1" a="1"/>
  <c r="AU14" i="1"/>
  <c r="AT14" i="1"/>
  <c r="AW14" i="1" s="1"/>
  <c r="AR14" i="1"/>
  <c r="AP14" i="1"/>
  <c r="AQ14" i="1" s="1"/>
  <c r="AV13" i="1" a="1"/>
  <c r="AV13" i="1" s="1"/>
  <c r="AU13" i="1" a="1"/>
  <c r="AU13" i="1" s="1"/>
  <c r="AT13" i="1"/>
  <c r="AR13" i="1"/>
  <c r="AP13" i="1"/>
  <c r="AQ13" i="1" s="1"/>
  <c r="AS13" i="1" s="1"/>
  <c r="AV12" i="1" a="1"/>
  <c r="AV12" i="1"/>
  <c r="AU12" i="1" a="1"/>
  <c r="AU12" i="1"/>
  <c r="AT12" i="1"/>
  <c r="AW12" i="1" s="1"/>
  <c r="AR12" i="1"/>
  <c r="AP12" i="1"/>
  <c r="AQ12" i="1" s="1"/>
  <c r="AS12" i="1" s="1"/>
  <c r="AV11" i="1" a="1"/>
  <c r="AV11" i="1"/>
  <c r="AU11" i="1" a="1"/>
  <c r="AU11" i="1" s="1"/>
  <c r="AT11" i="1"/>
  <c r="AR11" i="1"/>
  <c r="AP11" i="1"/>
  <c r="AQ11" i="1" s="1"/>
  <c r="AV10" i="1" a="1"/>
  <c r="AV10" i="1" s="1"/>
  <c r="AU10" i="1" a="1"/>
  <c r="AU10" i="1" s="1"/>
  <c r="AT10" i="1"/>
  <c r="AR10" i="1"/>
  <c r="AP10" i="1"/>
  <c r="AQ10" i="1" s="1"/>
  <c r="AS10" i="1" s="1"/>
  <c r="AV9" i="1" a="1"/>
  <c r="AV9" i="1"/>
  <c r="AU9" i="1" a="1"/>
  <c r="AU9" i="1" s="1"/>
  <c r="AT9" i="1"/>
  <c r="AR9" i="1"/>
  <c r="AP9" i="1"/>
  <c r="AQ9" i="1" s="1"/>
  <c r="AV8" i="1" a="1"/>
  <c r="AV8" i="1"/>
  <c r="AU8" i="1" a="1"/>
  <c r="AU8" i="1"/>
  <c r="AT8" i="1"/>
  <c r="AW8" i="1" s="1"/>
  <c r="AR8" i="1"/>
  <c r="AP8" i="1"/>
  <c r="AQ8" i="1" s="1"/>
  <c r="AV7" i="1" a="1"/>
  <c r="AV7" i="1" s="1"/>
  <c r="AU7" i="1" a="1"/>
  <c r="AU7" i="1" s="1"/>
  <c r="AT7" i="1"/>
  <c r="AR7" i="1"/>
  <c r="AP7" i="1"/>
  <c r="AQ7" i="1" s="1"/>
  <c r="AS7" i="1" s="1"/>
  <c r="AV6" i="1" a="1"/>
  <c r="AV6" i="1"/>
  <c r="AU6" i="1" a="1"/>
  <c r="AU6" i="1"/>
  <c r="AT6" i="1"/>
  <c r="AR6" i="1"/>
  <c r="AP6" i="1"/>
  <c r="AQ6" i="1" s="1"/>
  <c r="AS6" i="1" s="1"/>
  <c r="AV5" i="1" a="1"/>
  <c r="AV5" i="1"/>
  <c r="AU5" i="1" a="1"/>
  <c r="AU5" i="1"/>
  <c r="AT5" i="1"/>
  <c r="AW5" i="1" s="1"/>
  <c r="AR5" i="1"/>
  <c r="AP5" i="1"/>
  <c r="AQ5" i="1" s="1"/>
  <c r="AS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AW27" i="1" l="1"/>
  <c r="AS9" i="1"/>
  <c r="AS15" i="1"/>
  <c r="AS70" i="1"/>
  <c r="AS89" i="1"/>
  <c r="AW100" i="1"/>
  <c r="AW104" i="1"/>
  <c r="AS108" i="1"/>
  <c r="AW177" i="1"/>
  <c r="AW9" i="1"/>
  <c r="AW6" i="1"/>
  <c r="AS74" i="1"/>
  <c r="AS78" i="1"/>
  <c r="AW143" i="1"/>
  <c r="AS201" i="1"/>
  <c r="AS44" i="1"/>
  <c r="AS82" i="1"/>
  <c r="AS136" i="1"/>
  <c r="AS178" i="1"/>
  <c r="AW48" i="1"/>
  <c r="AW59" i="1"/>
  <c r="AW63" i="1"/>
  <c r="AW132" i="1"/>
  <c r="AW136" i="1"/>
  <c r="AS171" i="1"/>
  <c r="AW190" i="1"/>
  <c r="AW13" i="1"/>
  <c r="AS20" i="1"/>
  <c r="AS23" i="1"/>
  <c r="AS45" i="1"/>
  <c r="AS60" i="1"/>
  <c r="AS64" i="1"/>
  <c r="AS68" i="1"/>
  <c r="AW125" i="1"/>
  <c r="AS133" i="1"/>
  <c r="AS152" i="1"/>
  <c r="AS28" i="1"/>
  <c r="AS17" i="1"/>
  <c r="AW23" i="1"/>
  <c r="AS76" i="1"/>
  <c r="AW110" i="1"/>
  <c r="AS176" i="1"/>
  <c r="AS8" i="1"/>
  <c r="AS11" i="1"/>
  <c r="AS14" i="1"/>
  <c r="AW29" i="1"/>
  <c r="AS42" i="1"/>
  <c r="AS46" i="1"/>
  <c r="AW145" i="1"/>
  <c r="AS153" i="1"/>
  <c r="AS157" i="1"/>
  <c r="AW172" i="1"/>
  <c r="AW176" i="1"/>
  <c r="AS180" i="1"/>
  <c r="AS184" i="1"/>
  <c r="AS138" i="1"/>
  <c r="AS161" i="1"/>
  <c r="AW207" i="1"/>
  <c r="AW35" i="1"/>
  <c r="AS73" i="1"/>
  <c r="AW84" i="1"/>
  <c r="AS92" i="1"/>
  <c r="AS142" i="1"/>
  <c r="AS169" i="1"/>
  <c r="AW180" i="1"/>
  <c r="AS96" i="1"/>
  <c r="AS146" i="1"/>
  <c r="AW161" i="1"/>
  <c r="AS173" i="1"/>
  <c r="AS196" i="1"/>
  <c r="AW45" i="1"/>
  <c r="AW10" i="1"/>
  <c r="AS98" i="1"/>
  <c r="AW16" i="1"/>
  <c r="AS33" i="1"/>
  <c r="AS52" i="1"/>
  <c r="AS84" i="1"/>
  <c r="AS113" i="1"/>
  <c r="AW131" i="1"/>
  <c r="AS135" i="1"/>
  <c r="AS160" i="1"/>
  <c r="AW171" i="1"/>
  <c r="AS175" i="1"/>
  <c r="AS182" i="1"/>
  <c r="AS197" i="1"/>
  <c r="AS77" i="1"/>
  <c r="AS88" i="1"/>
  <c r="AS124" i="1"/>
  <c r="AS149" i="1"/>
  <c r="AW32" i="1"/>
  <c r="AW41" i="1"/>
  <c r="AW21" i="1"/>
  <c r="AS41" i="1"/>
  <c r="AW88" i="1"/>
  <c r="AS117" i="1"/>
  <c r="AW124" i="1"/>
  <c r="AW49" i="1"/>
  <c r="AW56" i="1"/>
  <c r="AW70" i="1"/>
  <c r="AS81" i="1"/>
  <c r="AW106" i="1"/>
  <c r="AS110" i="1"/>
  <c r="AW128" i="1"/>
  <c r="AS132" i="1"/>
  <c r="AW164" i="1"/>
  <c r="AS172" i="1"/>
  <c r="AW186" i="1"/>
  <c r="AS190" i="1"/>
  <c r="AW11" i="1"/>
  <c r="AP2" i="1"/>
  <c r="AW22" i="1"/>
  <c r="AW30" i="1"/>
  <c r="AW60" i="1"/>
  <c r="AW85" i="1"/>
  <c r="AW96" i="1"/>
  <c r="AS100" i="1"/>
  <c r="AW103" i="1"/>
  <c r="AW121" i="1"/>
  <c r="AS129" i="1"/>
  <c r="AS154" i="1"/>
  <c r="AS165" i="1"/>
  <c r="AW194" i="1"/>
  <c r="AS206" i="1"/>
  <c r="AS50" i="1"/>
  <c r="AW64" i="1"/>
  <c r="AS86" i="1"/>
  <c r="AW93" i="1"/>
  <c r="AS104" i="1"/>
  <c r="AW107" i="1"/>
  <c r="AS122" i="1"/>
  <c r="AW169" i="1"/>
  <c r="AS126" i="1"/>
  <c r="AW133" i="1"/>
  <c r="AS144" i="1"/>
  <c r="AS162" i="1"/>
  <c r="AW173" i="1"/>
  <c r="AS199" i="1"/>
  <c r="AS51" i="1"/>
  <c r="AW68" i="1"/>
  <c r="AS79" i="1"/>
  <c r="AW144" i="1"/>
  <c r="AS170" i="1"/>
  <c r="AS188" i="1"/>
  <c r="AS207" i="1"/>
  <c r="AS112" i="1"/>
  <c r="AS119" i="1"/>
  <c r="AS192" i="1"/>
  <c r="AS94" i="1"/>
  <c r="AW15" i="1"/>
  <c r="AS134" i="1"/>
  <c r="AS174" i="1"/>
  <c r="AW17" i="1"/>
  <c r="AW20" i="1"/>
  <c r="AW28" i="1"/>
  <c r="AW36" i="1"/>
  <c r="AW7" i="1"/>
  <c r="AW26" i="1"/>
  <c r="AW34" i="1"/>
  <c r="AW44" i="1"/>
  <c r="AS48" i="1"/>
  <c r="AW58" i="1"/>
  <c r="AS69" i="1"/>
  <c r="AS91" i="1"/>
  <c r="AW105" i="1"/>
  <c r="AS116" i="1"/>
  <c r="AW134" i="1"/>
  <c r="AW148" i="1"/>
  <c r="AS156" i="1"/>
  <c r="AW174" i="1"/>
  <c r="AW185" i="1"/>
  <c r="AS204" i="1"/>
  <c r="AW37" i="1"/>
  <c r="AS57" i="1"/>
  <c r="AW69" i="1"/>
  <c r="AW72" i="1"/>
  <c r="AS97" i="1"/>
  <c r="AW109" i="1"/>
  <c r="AW112" i="1"/>
  <c r="AS137" i="1"/>
  <c r="AW149" i="1"/>
  <c r="AW152" i="1"/>
  <c r="AS177" i="1"/>
  <c r="AW189" i="1"/>
  <c r="AW192" i="1"/>
  <c r="AW62" i="1"/>
  <c r="AW50" i="1"/>
  <c r="AS205" i="1"/>
  <c r="AW55" i="1"/>
  <c r="AW53" i="1"/>
  <c r="AS193" i="1"/>
  <c r="AW205" i="1"/>
  <c r="AW39" i="1"/>
  <c r="AW42" i="1"/>
  <c r="AS67" i="1"/>
  <c r="AW79" i="1"/>
  <c r="AW82" i="1"/>
  <c r="AS107" i="1"/>
  <c r="AW119" i="1"/>
  <c r="AW122" i="1"/>
  <c r="AS147" i="1"/>
  <c r="AW159" i="1"/>
  <c r="AW162" i="1"/>
  <c r="AS187" i="1"/>
  <c r="AW199" i="1"/>
  <c r="AW202" i="1"/>
  <c r="AS61" i="1"/>
  <c r="AW73" i="1"/>
  <c r="AW76" i="1"/>
  <c r="AS101" i="1"/>
  <c r="AW113" i="1"/>
  <c r="AW116" i="1"/>
  <c r="AS141" i="1"/>
  <c r="AW153" i="1"/>
  <c r="AW156" i="1"/>
  <c r="AS181" i="1"/>
  <c r="AW193" i="1"/>
  <c r="AW196" i="1"/>
  <c r="AS55" i="1"/>
  <c r="AW67" i="1"/>
  <c r="AW181" i="1"/>
  <c r="AW184" i="1"/>
  <c r="AS83" i="1"/>
  <c r="AW95" i="1"/>
  <c r="AW98" i="1"/>
  <c r="AS123" i="1"/>
  <c r="AW135" i="1"/>
  <c r="AW138" i="1"/>
  <c r="AS163" i="1"/>
  <c r="AW175" i="1"/>
  <c r="AW178" i="1"/>
  <c r="AW43" i="1"/>
  <c r="AW46" i="1"/>
  <c r="AS71" i="1"/>
  <c r="AW83" i="1"/>
  <c r="AW86" i="1"/>
  <c r="AS111" i="1"/>
  <c r="AW123" i="1"/>
  <c r="AW126" i="1"/>
  <c r="AS151" i="1"/>
  <c r="AW163" i="1"/>
  <c r="AW166" i="1"/>
  <c r="AS191" i="1"/>
  <c r="AW203" i="1"/>
  <c r="AW206" i="1"/>
  <c r="AS65" i="1"/>
  <c r="AW77" i="1"/>
  <c r="AW80" i="1"/>
  <c r="AS105" i="1"/>
  <c r="AW117" i="1"/>
  <c r="AW120" i="1"/>
  <c r="AS145" i="1"/>
  <c r="AW157" i="1"/>
  <c r="AW160" i="1"/>
  <c r="AS185" i="1"/>
  <c r="AW197" i="1"/>
  <c r="AW200" i="1"/>
  <c r="AS59" i="1"/>
  <c r="AW71" i="1"/>
  <c r="AW74" i="1"/>
  <c r="AS99" i="1"/>
  <c r="AW111" i="1"/>
  <c r="AW114" i="1"/>
  <c r="AS139" i="1"/>
  <c r="AW151" i="1"/>
  <c r="AW154" i="1"/>
  <c r="AS179" i="1"/>
  <c r="AW191" i="1"/>
  <c r="AS49" i="1"/>
  <c r="AW61" i="1"/>
  <c r="AS53" i="1"/>
  <c r="AW65" i="1"/>
  <c r="AS87" i="1"/>
  <c r="AW99" i="1"/>
  <c r="AW102" i="1"/>
  <c r="AS127" i="1"/>
  <c r="AW139" i="1"/>
  <c r="AW142" i="1"/>
  <c r="AS167" i="1"/>
  <c r="AW179" i="1"/>
  <c r="AW182" i="1"/>
  <c r="AS75" i="1"/>
  <c r="AW87" i="1"/>
  <c r="AW90" i="1"/>
  <c r="AS115" i="1"/>
  <c r="AW127" i="1"/>
  <c r="AW130" i="1"/>
  <c r="AS155" i="1"/>
  <c r="AW167" i="1"/>
  <c r="AW170" i="1"/>
  <c r="AS195" i="1"/>
  <c r="AW201" i="1"/>
  <c r="AW204" i="1"/>
  <c r="AS63" i="1"/>
  <c r="AW75" i="1"/>
  <c r="AW78" i="1"/>
  <c r="AS103" i="1"/>
  <c r="AW115" i="1"/>
  <c r="AW118" i="1"/>
  <c r="AS143" i="1"/>
  <c r="AW155" i="1"/>
  <c r="AW158" i="1"/>
  <c r="AS183" i="1"/>
  <c r="AW195" i="1"/>
  <c r="AW198" i="1"/>
</calcChain>
</file>

<file path=xl/sharedStrings.xml><?xml version="1.0" encoding="utf-8"?>
<sst xmlns="http://schemas.openxmlformats.org/spreadsheetml/2006/main" count="3539" uniqueCount="1271">
  <si>
    <t>VARIABLE</t>
  </si>
  <si>
    <t>TEMPERATURA MINIMA (°C)</t>
  </si>
  <si>
    <t>MES</t>
  </si>
  <si>
    <t>AÑO</t>
  </si>
  <si>
    <t>DIAS</t>
  </si>
  <si>
    <t>Mínima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</si>
  <si>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</si>
  <si>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</si>
  <si>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</si>
  <si>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</si>
  <si>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</si>
  <si>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</si>
  <si>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</si>
  <si>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</si>
  <si>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</si>
  <si>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</si>
  <si>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</si>
  <si>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</si>
  <si>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</si>
  <si>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</si>
  <si>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MIN_MES</t>
  </si>
  <si>
    <t>MIN_HISTORICO</t>
  </si>
  <si>
    <t>FECHA</t>
  </si>
  <si>
    <t>DIFERENCIA</t>
  </si>
  <si>
    <t>Aeropuerto Sesquicentenario</t>
  </si>
  <si>
    <t>Grupo Observación y Monitoreo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</si>
  <si>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</si>
  <si>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</si>
  <si>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</si>
  <si>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</si>
  <si>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</si>
  <si>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</si>
  <si>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</si>
  <si>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</si>
  <si>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</si>
  <si>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</si>
  <si>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</si>
  <si>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</si>
  <si>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</si>
  <si>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</si>
  <si>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</si>
  <si>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</si>
  <si>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</si>
  <si>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</si>
  <si>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</si>
  <si>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</si>
  <si>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</si>
  <si>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</si>
  <si>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</si>
  <si>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</si>
  <si>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</si>
  <si>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</si>
  <si>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</si>
  <si>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</si>
  <si>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</si>
  <si>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</si>
  <si>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</si>
  <si>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</si>
  <si>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</si>
  <si>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</si>
  <si>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</si>
  <si>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</si>
  <si>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</si>
  <si>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</si>
  <si>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</si>
  <si>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</si>
  <si>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</si>
  <si>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</si>
  <si>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</si>
  <si>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</si>
  <si>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</si>
  <si>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</si>
  <si>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</si>
  <si>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</si>
  <si>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</si>
  <si>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</si>
  <si>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</si>
  <si>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</si>
  <si>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</si>
  <si>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</si>
  <si>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</si>
  <si>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</si>
  <si>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</si>
  <si>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</si>
  <si>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</si>
  <si>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</si>
  <si>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</si>
  <si>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</si>
  <si>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</si>
  <si>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</si>
  <si>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</si>
  <si>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</si>
  <si>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</si>
  <si>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</si>
  <si>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</si>
  <si>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</si>
  <si>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</si>
  <si>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</si>
  <si>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</si>
  <si>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</si>
  <si>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Urrao</t>
  </si>
  <si>
    <t>Area Operativa 01 - Antioquia-Chocó</t>
  </si>
  <si>
    <t>Uniban</t>
  </si>
  <si>
    <t>Apartadó</t>
  </si>
  <si>
    <t>Alejandria</t>
  </si>
  <si>
    <t>Alejandría</t>
  </si>
  <si>
    <t>El Penol</t>
  </si>
  <si>
    <t>Peñol</t>
  </si>
  <si>
    <t>Hacienda Tunez</t>
  </si>
  <si>
    <t>Fredonia</t>
  </si>
  <si>
    <t>Mesopotamia</t>
  </si>
  <si>
    <t>La Unión</t>
  </si>
  <si>
    <t>La Aldea</t>
  </si>
  <si>
    <t>Tulio Ospina</t>
  </si>
  <si>
    <t>Bello</t>
  </si>
  <si>
    <t>La Salada</t>
  </si>
  <si>
    <t>Caldas</t>
  </si>
  <si>
    <t>Arboletes</t>
  </si>
  <si>
    <t>Area Operativa 02 - Atlántico-Bolivar-Sucre</t>
  </si>
  <si>
    <t>Cristo Rey  - Aut</t>
  </si>
  <si>
    <t>Puerto Escondido</t>
  </si>
  <si>
    <t>Represa Urra</t>
  </si>
  <si>
    <t>Tierralta</t>
  </si>
  <si>
    <t>Chima</t>
  </si>
  <si>
    <t>Chigorodó</t>
  </si>
  <si>
    <t>El Salado</t>
  </si>
  <si>
    <t>Ciénaga De Oro</t>
  </si>
  <si>
    <t>San Bernardo Del Viento</t>
  </si>
  <si>
    <t>Aeropuerto Rafael Barvo</t>
  </si>
  <si>
    <t>Sucre</t>
  </si>
  <si>
    <t>Corozal</t>
  </si>
  <si>
    <t>Cuba Hacienda</t>
  </si>
  <si>
    <t>Montelíbano</t>
  </si>
  <si>
    <t>Planeta Rica  - Aut</t>
  </si>
  <si>
    <t>Planeta Rica</t>
  </si>
  <si>
    <t>Pinillos</t>
  </si>
  <si>
    <t>Unisucre Aut</t>
  </si>
  <si>
    <t>Sampués</t>
  </si>
  <si>
    <t>San Benito - Aut</t>
  </si>
  <si>
    <t>San Benito Abad</t>
  </si>
  <si>
    <t>El Guamo - Aut</t>
  </si>
  <si>
    <t>El Guamo</t>
  </si>
  <si>
    <t>Sincerin  - Aut</t>
  </si>
  <si>
    <t>Arjona</t>
  </si>
  <si>
    <t>Presa Ay Grande</t>
  </si>
  <si>
    <t>María La Baja</t>
  </si>
  <si>
    <t>Normal Manati  - Aut</t>
  </si>
  <si>
    <t>Manatí</t>
  </si>
  <si>
    <t>San Pablo</t>
  </si>
  <si>
    <t>El Trueno</t>
  </si>
  <si>
    <t>Area Operativa 03 - Meta-Guaviare-Guainía</t>
  </si>
  <si>
    <t>Guaviare</t>
  </si>
  <si>
    <t>El Retorno</t>
  </si>
  <si>
    <t>Puerto Inirida - Aut</t>
  </si>
  <si>
    <t>Guainía</t>
  </si>
  <si>
    <t>Inírida</t>
  </si>
  <si>
    <t>La Macarena</t>
  </si>
  <si>
    <t>Mesetas</t>
  </si>
  <si>
    <t>Mapiripana</t>
  </si>
  <si>
    <t>Barrancominas</t>
  </si>
  <si>
    <t>Cumaribo</t>
  </si>
  <si>
    <t>Las Gaviotas</t>
  </si>
  <si>
    <t>La Libertad - Aut</t>
  </si>
  <si>
    <t>Hacienda La Cabaña</t>
  </si>
  <si>
    <t>Cumaral</t>
  </si>
  <si>
    <t>Huerta La Grande</t>
  </si>
  <si>
    <t>Casanare</t>
  </si>
  <si>
    <t>Villanueva</t>
  </si>
  <si>
    <t>Guaicaramo</t>
  </si>
  <si>
    <t>Barranca De Upía</t>
  </si>
  <si>
    <t>Modulos - Aut</t>
  </si>
  <si>
    <t>Orocué</t>
  </si>
  <si>
    <t>Mitu</t>
  </si>
  <si>
    <t>Vaupés</t>
  </si>
  <si>
    <t>Mitú</t>
  </si>
  <si>
    <t>Morichal</t>
  </si>
  <si>
    <t>San Carlos De Guaroa</t>
  </si>
  <si>
    <t>Altamira El Grifo Aut</t>
  </si>
  <si>
    <t>Area Operativa 04 - Huila-Caquetá</t>
  </si>
  <si>
    <t>Altamira</t>
  </si>
  <si>
    <t>Santa Leticia</t>
  </si>
  <si>
    <t>Cauca</t>
  </si>
  <si>
    <t>Inzá</t>
  </si>
  <si>
    <t>Zuluaga Aut</t>
  </si>
  <si>
    <t>Garzón</t>
  </si>
  <si>
    <t>Palacio-Vegalarga</t>
  </si>
  <si>
    <t>Anchique</t>
  </si>
  <si>
    <t>Natagaima</t>
  </si>
  <si>
    <t>San Alfonso</t>
  </si>
  <si>
    <t>Villavieja</t>
  </si>
  <si>
    <t>Santa Ana - Aut</t>
  </si>
  <si>
    <t>Colombia</t>
  </si>
  <si>
    <t>San Jose De Fragua</t>
  </si>
  <si>
    <t>Caquetá</t>
  </si>
  <si>
    <t>San José Del Fragua</t>
  </si>
  <si>
    <t>Valparaiso</t>
  </si>
  <si>
    <t>Valparaíso</t>
  </si>
  <si>
    <t>Matitas</t>
  </si>
  <si>
    <t>Area Operativa 05 - Magdalena-Cesar-Guajira-San Andrés</t>
  </si>
  <si>
    <t>Manaure</t>
  </si>
  <si>
    <t>Escuela Agricola Carraipia  - Aut</t>
  </si>
  <si>
    <t>Maicao</t>
  </si>
  <si>
    <t>Los Alamos - Aut</t>
  </si>
  <si>
    <t>San Sebastián De Buenavista</t>
  </si>
  <si>
    <t>Urumita Aut</t>
  </si>
  <si>
    <t>Urumita</t>
  </si>
  <si>
    <t>Villa Rosa</t>
  </si>
  <si>
    <t>El Callao</t>
  </si>
  <si>
    <t>Colegio Agropecuario Pailitas</t>
  </si>
  <si>
    <t>Pailitas</t>
  </si>
  <si>
    <t>Buenavista</t>
  </si>
  <si>
    <t>Area Operativa 06 - Boyacá-Casanare-Vichada</t>
  </si>
  <si>
    <t>Boyacá</t>
  </si>
  <si>
    <t>Aeropuerto Furatena  - Aut</t>
  </si>
  <si>
    <t>Quípama</t>
  </si>
  <si>
    <t>Institucion Agricola Santa Sofia</t>
  </si>
  <si>
    <t>Santa Sofía</t>
  </si>
  <si>
    <t>Villa Carmen</t>
  </si>
  <si>
    <t>Samacá</t>
  </si>
  <si>
    <t>Villa De Leiva  - Aut</t>
  </si>
  <si>
    <t>Villa De Leyva</t>
  </si>
  <si>
    <t>Saboya La Granja</t>
  </si>
  <si>
    <t>Saboyá</t>
  </si>
  <si>
    <t>La Copa</t>
  </si>
  <si>
    <t>Toca</t>
  </si>
  <si>
    <t>Guican</t>
  </si>
  <si>
    <t>Güicán De La Sierra</t>
  </si>
  <si>
    <t>Surbata Bonza</t>
  </si>
  <si>
    <t>Duitama</t>
  </si>
  <si>
    <t>U P T C</t>
  </si>
  <si>
    <t>Tunja</t>
  </si>
  <si>
    <t>Chita  - Aut</t>
  </si>
  <si>
    <t>Chita</t>
  </si>
  <si>
    <t>Capitanejo</t>
  </si>
  <si>
    <t>Chiscas</t>
  </si>
  <si>
    <t>Boavita</t>
  </si>
  <si>
    <t>Cerinza</t>
  </si>
  <si>
    <t>Tunguavita - Aut</t>
  </si>
  <si>
    <t>Paipa</t>
  </si>
  <si>
    <t>Nuevo Colon</t>
  </si>
  <si>
    <t>Nuevo Colón</t>
  </si>
  <si>
    <t>Sutatenza</t>
  </si>
  <si>
    <t>Villa Luisa</t>
  </si>
  <si>
    <t>Ramiriquí</t>
  </si>
  <si>
    <t>Institucion Agricola Macanal</t>
  </si>
  <si>
    <t>Macanal</t>
  </si>
  <si>
    <t>El Vivero</t>
  </si>
  <si>
    <t>Miraflores</t>
  </si>
  <si>
    <t>Campohermoso</t>
  </si>
  <si>
    <t>Aguazul</t>
  </si>
  <si>
    <t>Corinto</t>
  </si>
  <si>
    <t>Pajarito</t>
  </si>
  <si>
    <t>Aeropuerto Yopal - Aut</t>
  </si>
  <si>
    <t>Yopal</t>
  </si>
  <si>
    <t>Trinidad - Aut</t>
  </si>
  <si>
    <t>Trinidad</t>
  </si>
  <si>
    <t>Tamara - Aut</t>
  </si>
  <si>
    <t>Támara</t>
  </si>
  <si>
    <t>Paz De Ariporo</t>
  </si>
  <si>
    <t>Tame</t>
  </si>
  <si>
    <t>Valencia</t>
  </si>
  <si>
    <t>Area Operativa 07 - Nariño-Putumayo</t>
  </si>
  <si>
    <t>San Sebastián</t>
  </si>
  <si>
    <t>Acueducto Mocoa - Aut</t>
  </si>
  <si>
    <t>Putumayo</t>
  </si>
  <si>
    <t>Mocoa</t>
  </si>
  <si>
    <t>Michoacan</t>
  </si>
  <si>
    <t>Colón</t>
  </si>
  <si>
    <t>Monopamba</t>
  </si>
  <si>
    <t>Puerres</t>
  </si>
  <si>
    <t>El Encano - Aut</t>
  </si>
  <si>
    <t>Pasto</t>
  </si>
  <si>
    <t>Puerto Ospina</t>
  </si>
  <si>
    <t>Puerto Leguízamo</t>
  </si>
  <si>
    <t>Granja El Mira - - Aut</t>
  </si>
  <si>
    <t>San Andrés De Tumaco</t>
  </si>
  <si>
    <t>Paispamba</t>
  </si>
  <si>
    <t>Sotará Paispamba</t>
  </si>
  <si>
    <t>Milagros Los</t>
  </si>
  <si>
    <t>La Sierra - Aut</t>
  </si>
  <si>
    <t>La Sierra</t>
  </si>
  <si>
    <t>Obonuco</t>
  </si>
  <si>
    <t>San Bernardo</t>
  </si>
  <si>
    <t>Taminango</t>
  </si>
  <si>
    <t>El Comun</t>
  </si>
  <si>
    <t>Pupiales</t>
  </si>
  <si>
    <t>Bombona</t>
  </si>
  <si>
    <t>Consacá</t>
  </si>
  <si>
    <t>Tanama</t>
  </si>
  <si>
    <t>Samaniego</t>
  </si>
  <si>
    <t>Sindagua</t>
  </si>
  <si>
    <t>Tangua</t>
  </si>
  <si>
    <t>Funes</t>
  </si>
  <si>
    <t>Botana - Aut</t>
  </si>
  <si>
    <t>El Paraiso - Aut</t>
  </si>
  <si>
    <t>Túquerres</t>
  </si>
  <si>
    <t>Aeropuerto Guapi - Aut</t>
  </si>
  <si>
    <t>Guapi</t>
  </si>
  <si>
    <t>Iser Pamplona</t>
  </si>
  <si>
    <t>Area Operativa 08 - Santanderes-Arauca</t>
  </si>
  <si>
    <t>Norte De Santander</t>
  </si>
  <si>
    <t>Pamplona</t>
  </si>
  <si>
    <t>Ragonvalia</t>
  </si>
  <si>
    <t>Carmen De Tonchala</t>
  </si>
  <si>
    <t>San José De Cúcuta</t>
  </si>
  <si>
    <t>Salazar</t>
  </si>
  <si>
    <t>Cinera-Villa Olga Aut</t>
  </si>
  <si>
    <t>Aeropuerto Aguas Claras</t>
  </si>
  <si>
    <t>Ocaña</t>
  </si>
  <si>
    <t>Abrego Centro Admo</t>
  </si>
  <si>
    <t>Ábrego</t>
  </si>
  <si>
    <t>Albania</t>
  </si>
  <si>
    <t>Cimitarra</t>
  </si>
  <si>
    <t xml:space="preserve">El Carmen </t>
  </si>
  <si>
    <t>El Carmen De Chucurí</t>
  </si>
  <si>
    <t>El Centro</t>
  </si>
  <si>
    <t>Villa Leiva</t>
  </si>
  <si>
    <t>Sabana De Torres</t>
  </si>
  <si>
    <t>Vivero Surata  - Aut</t>
  </si>
  <si>
    <t>Suratá</t>
  </si>
  <si>
    <t>Llano Grande  - Aut</t>
  </si>
  <si>
    <t>Girón</t>
  </si>
  <si>
    <t xml:space="preserve">La Laja </t>
  </si>
  <si>
    <t>Guadalupe</t>
  </si>
  <si>
    <t>Escuela Agricola Mogotes</t>
  </si>
  <si>
    <t>Mogotes</t>
  </si>
  <si>
    <t>El Volcan</t>
  </si>
  <si>
    <t>Cerrito</t>
  </si>
  <si>
    <t>Zapatoca</t>
  </si>
  <si>
    <t xml:space="preserve">El Palmar </t>
  </si>
  <si>
    <t>Palmar</t>
  </si>
  <si>
    <t>Berlin</t>
  </si>
  <si>
    <t>Tona</t>
  </si>
  <si>
    <t>Tunebia</t>
  </si>
  <si>
    <t>Toledo</t>
  </si>
  <si>
    <t>Venta De Cajibio</t>
  </si>
  <si>
    <t>Area Operativa 09 - Cauca-Valle-Caldas</t>
  </si>
  <si>
    <t>Cajibío</t>
  </si>
  <si>
    <t>Lomitas</t>
  </si>
  <si>
    <t>Santander De Quilichao</t>
  </si>
  <si>
    <t>Palmira Ica</t>
  </si>
  <si>
    <t>Valle Del Cauca</t>
  </si>
  <si>
    <t>Barragan</t>
  </si>
  <si>
    <t>Tuluá</t>
  </si>
  <si>
    <t>San Marcos</t>
  </si>
  <si>
    <t>Bugalagrande</t>
  </si>
  <si>
    <t>Mateguadua</t>
  </si>
  <si>
    <t>Cumbarco</t>
  </si>
  <si>
    <t>Sevilla</t>
  </si>
  <si>
    <t>La Bohemia</t>
  </si>
  <si>
    <t>Bellavista</t>
  </si>
  <si>
    <t>Anserma</t>
  </si>
  <si>
    <t>Tesorito Finca  - Aut</t>
  </si>
  <si>
    <t>Manizales</t>
  </si>
  <si>
    <t>Jabalcon</t>
  </si>
  <si>
    <t>Area Operativa 10 - Tolima</t>
  </si>
  <si>
    <t>Saldaña</t>
  </si>
  <si>
    <t>Pst De Monta</t>
  </si>
  <si>
    <t>Prado</t>
  </si>
  <si>
    <t>Guamo</t>
  </si>
  <si>
    <t>Valle De San Juan</t>
  </si>
  <si>
    <t>Chicoral</t>
  </si>
  <si>
    <t>Espinal</t>
  </si>
  <si>
    <t>Jerusalen</t>
  </si>
  <si>
    <t>Jerusalén</t>
  </si>
  <si>
    <t>Perales Hato Opia</t>
  </si>
  <si>
    <t>Santa Isabel</t>
  </si>
  <si>
    <t xml:space="preserve">El Salto </t>
  </si>
  <si>
    <t>Ambalema</t>
  </si>
  <si>
    <t>Armero Granja</t>
  </si>
  <si>
    <t>Armero</t>
  </si>
  <si>
    <t>Villahermosa</t>
  </si>
  <si>
    <t>Demostracion Granja  - Aut</t>
  </si>
  <si>
    <t>Chaparral</t>
  </si>
  <si>
    <t>Mesa De Pole</t>
  </si>
  <si>
    <t>Ataco</t>
  </si>
  <si>
    <t>San Antonio Quinta</t>
  </si>
  <si>
    <t>San Antonio</t>
  </si>
  <si>
    <t>San Sebastián De Mariquita</t>
  </si>
  <si>
    <t>Samana</t>
  </si>
  <si>
    <t>Samaná</t>
  </si>
  <si>
    <t>Pandi</t>
  </si>
  <si>
    <t>Area Operativa 11 - Cundinamarca-Amazonas</t>
  </si>
  <si>
    <t>Ita Valsalice</t>
  </si>
  <si>
    <t>Silvania</t>
  </si>
  <si>
    <t>Pasca</t>
  </si>
  <si>
    <t>Tibaitata</t>
  </si>
  <si>
    <t>Mosquera</t>
  </si>
  <si>
    <t>Mercedes</t>
  </si>
  <si>
    <t>Anapoima</t>
  </si>
  <si>
    <t>Guasca</t>
  </si>
  <si>
    <t>Granja San Jorge</t>
  </si>
  <si>
    <t>Soacha</t>
  </si>
  <si>
    <t>Silos</t>
  </si>
  <si>
    <t>Chocontá</t>
  </si>
  <si>
    <t>Suasuque</t>
  </si>
  <si>
    <t>Sopó</t>
  </si>
  <si>
    <t>Villa Ines</t>
  </si>
  <si>
    <t>Facatativá</t>
  </si>
  <si>
    <t>Tachi</t>
  </si>
  <si>
    <t>Subachoque</t>
  </si>
  <si>
    <t>Granja Providencia</t>
  </si>
  <si>
    <t>Tenerife</t>
  </si>
  <si>
    <t>Santillana</t>
  </si>
  <si>
    <t>Tabio</t>
  </si>
  <si>
    <t>Casablanca</t>
  </si>
  <si>
    <t>Madrid</t>
  </si>
  <si>
    <t>C.Univ.Agrop-Udca</t>
  </si>
  <si>
    <t>Bogotá, D.C.</t>
  </si>
  <si>
    <t>Bogotá, D.C</t>
  </si>
  <si>
    <t>Nueva Generacion</t>
  </si>
  <si>
    <t>Colegio San Cayetano</t>
  </si>
  <si>
    <t>Yacopi</t>
  </si>
  <si>
    <t>Yacopí</t>
  </si>
  <si>
    <t>Isla Del Santuario</t>
  </si>
  <si>
    <t>Fúquene</t>
  </si>
  <si>
    <t>La Bolsa</t>
  </si>
  <si>
    <t>Choachí</t>
  </si>
  <si>
    <t>La Chorrera</t>
  </si>
  <si>
    <t>INFORMACIÓN GENERAL ESTACIONES</t>
  </si>
  <si>
    <t>NORMAL CLIMATOLÓGICA ESTÁNDAR DE LA TEMPERATURA MINIMA PARA EL PERIODO 1991-2020 (°C)</t>
  </si>
  <si>
    <t>Cumplen la directriz No 1203 del 2017 de la OMM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</si>
  <si>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</si>
  <si>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</si>
  <si>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</si>
  <si>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</si>
  <si>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</si>
  <si>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</si>
  <si>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</si>
  <si>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</si>
  <si>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</si>
  <si>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</si>
  <si>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</si>
  <si>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</si>
  <si>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</si>
  <si>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</si>
  <si>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</si>
  <si>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</si>
  <si>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</si>
  <si>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</si>
  <si>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</si>
  <si>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</si>
  <si>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</si>
  <si>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</si>
  <si>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SP</t>
  </si>
  <si>
    <t>CO</t>
  </si>
  <si>
    <t>PM</t>
  </si>
  <si>
    <t>Ita Andes</t>
  </si>
  <si>
    <t>Andes</t>
  </si>
  <si>
    <t>Anorí</t>
  </si>
  <si>
    <t>AM</t>
  </si>
  <si>
    <t>Hacienda Piunti</t>
  </si>
  <si>
    <t>Buriticá</t>
  </si>
  <si>
    <t xml:space="preserve">Caldas </t>
  </si>
  <si>
    <t>Cañasgordas - Aut</t>
  </si>
  <si>
    <t>Cañasgordas</t>
  </si>
  <si>
    <t>Tulenapa</t>
  </si>
  <si>
    <t xml:space="preserve">La Mansa </t>
  </si>
  <si>
    <t>Ciudad Bolívar</t>
  </si>
  <si>
    <t>Concordia</t>
  </si>
  <si>
    <t xml:space="preserve">Concordia </t>
  </si>
  <si>
    <t>Musinga</t>
  </si>
  <si>
    <t>Frontino</t>
  </si>
  <si>
    <t xml:space="preserve">El Jardín </t>
  </si>
  <si>
    <t>Jardín</t>
  </si>
  <si>
    <t xml:space="preserve">La Unión </t>
  </si>
  <si>
    <t>Villarteaga</t>
  </si>
  <si>
    <t>Mutatá</t>
  </si>
  <si>
    <t xml:space="preserve">El Mellito </t>
  </si>
  <si>
    <t>Necoclí</t>
  </si>
  <si>
    <t>El Peñol</t>
  </si>
  <si>
    <t>CP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</si>
  <si>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</si>
  <si>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</si>
  <si>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</si>
  <si>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</si>
  <si>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</si>
  <si>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</si>
  <si>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</si>
  <si>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 xml:space="preserve">San Carlos </t>
  </si>
  <si>
    <t>San Francisco</t>
  </si>
  <si>
    <t xml:space="preserve">San Francisco </t>
  </si>
  <si>
    <t xml:space="preserve">Las Violetas </t>
  </si>
  <si>
    <t>San Rafael</t>
  </si>
  <si>
    <t>Granja Experiomental El Nus - AUT</t>
  </si>
  <si>
    <t>San Roque</t>
  </si>
  <si>
    <t>Corrientes</t>
  </si>
  <si>
    <t>San Vicente</t>
  </si>
  <si>
    <t xml:space="preserve">Hacienda Cotove </t>
  </si>
  <si>
    <t>Santa Fe de Antioquia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</si>
  <si>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</si>
  <si>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</si>
  <si>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</si>
  <si>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</si>
  <si>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</si>
  <si>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</si>
  <si>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</si>
  <si>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</si>
  <si>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Támesis</t>
  </si>
  <si>
    <t>Matanzas</t>
  </si>
  <si>
    <t xml:space="preserve">Toledo </t>
  </si>
  <si>
    <t>Valdivia</t>
  </si>
  <si>
    <t>Vegachí</t>
  </si>
  <si>
    <t>Juan de Acosta</t>
  </si>
  <si>
    <t>Normal Manatí</t>
  </si>
  <si>
    <t xml:space="preserve">Repelón - AUT </t>
  </si>
  <si>
    <t>Repelón</t>
  </si>
  <si>
    <t>Carmen de Bolívar</t>
  </si>
  <si>
    <t>El Carmén de Bolívar</t>
  </si>
  <si>
    <t>Aeropuerto Baracoa</t>
  </si>
  <si>
    <t>Magangué</t>
  </si>
  <si>
    <t>Colegio Cooperativo</t>
  </si>
  <si>
    <t>Canelos -AUT</t>
  </si>
  <si>
    <t>Santa Rosa del Sur</t>
  </si>
  <si>
    <t>Santa Rosa de Simití</t>
  </si>
  <si>
    <t>Beteitiva</t>
  </si>
  <si>
    <t>Betéitiva</t>
  </si>
  <si>
    <t xml:space="preserve">Buenavista </t>
  </si>
  <si>
    <t>Chita - AUT</t>
  </si>
  <si>
    <t>El Tunel</t>
  </si>
  <si>
    <t>Cuítiva</t>
  </si>
  <si>
    <t>Guicán</t>
  </si>
  <si>
    <t>Sierra Nevada del Cocuy</t>
  </si>
  <si>
    <t>Cusagui</t>
  </si>
  <si>
    <t>La Uvita</t>
  </si>
  <si>
    <t>Institución Agrícola Macanal</t>
  </si>
  <si>
    <t xml:space="preserve">Miraflores </t>
  </si>
  <si>
    <t>Otanche</t>
  </si>
  <si>
    <t>La Sierra - AUT</t>
  </si>
  <si>
    <t xml:space="preserve">Tunguavita - AUT </t>
  </si>
  <si>
    <t>Aeropuerto Furatena - AUT</t>
  </si>
  <si>
    <t>Institución Agrícola Santa Sofía</t>
  </si>
  <si>
    <t>Sativanorte</t>
  </si>
  <si>
    <t>El Cardón</t>
  </si>
  <si>
    <t>Socotá</t>
  </si>
  <si>
    <t>Aeropuerto Alberto Lleras Camargo</t>
  </si>
  <si>
    <t>Sogamoso</t>
  </si>
  <si>
    <t xml:space="preserve">La Copa </t>
  </si>
  <si>
    <t>Villa de Leyva</t>
  </si>
  <si>
    <t>Villa de Leiva</t>
  </si>
  <si>
    <t>La Pelada</t>
  </si>
  <si>
    <t>Aguadas</t>
  </si>
  <si>
    <t>Aeropuerto La Nubia</t>
  </si>
  <si>
    <t xml:space="preserve">Finca Tesorito  - AUT </t>
  </si>
  <si>
    <t>San Felix</t>
  </si>
  <si>
    <t xml:space="preserve">Salamina </t>
  </si>
  <si>
    <t>La Mono</t>
  </si>
  <si>
    <t>Belén de Los Andaquíes</t>
  </si>
  <si>
    <t>Maguare</t>
  </si>
  <si>
    <t>El Doncello</t>
  </si>
  <si>
    <t>Aeropuerto Gustavo Artunduaga</t>
  </si>
  <si>
    <t xml:space="preserve">Florencia </t>
  </si>
  <si>
    <t>Macagual</t>
  </si>
  <si>
    <t>Puerto Rico</t>
  </si>
  <si>
    <t xml:space="preserve">Puerto Rico </t>
  </si>
  <si>
    <t>San José del Fragüa</t>
  </si>
  <si>
    <t>San José del Fragua</t>
  </si>
  <si>
    <t>Santa Rosa Caguán</t>
  </si>
  <si>
    <t>San Vicente del Caguán</t>
  </si>
  <si>
    <t xml:space="preserve">Módulos - AUT </t>
  </si>
  <si>
    <t>Paz de Ariporo</t>
  </si>
  <si>
    <t xml:space="preserve">Tamara - AUT </t>
  </si>
  <si>
    <t>ME</t>
  </si>
  <si>
    <t>Tauramena</t>
  </si>
  <si>
    <t>La Huerta Grande</t>
  </si>
  <si>
    <t xml:space="preserve">Villanueva </t>
  </si>
  <si>
    <t xml:space="preserve">Aeropuerto Yopal - AUT </t>
  </si>
  <si>
    <t xml:space="preserve">Los Milagros </t>
  </si>
  <si>
    <t>Venta de Cajibío</t>
  </si>
  <si>
    <t>Granja Experimental Universidad de Nariño</t>
  </si>
  <si>
    <t>Mercaderes</t>
  </si>
  <si>
    <t>Miranda</t>
  </si>
  <si>
    <t>La Fonda Citec</t>
  </si>
  <si>
    <t>Patía (El Bordo)</t>
  </si>
  <si>
    <t>Tunia</t>
  </si>
  <si>
    <t>Piendamó</t>
  </si>
  <si>
    <t>Aeropuerto Guillermo León Valencia</t>
  </si>
  <si>
    <t>Popayán</t>
  </si>
  <si>
    <t>Ingenio Bengala</t>
  </si>
  <si>
    <t>Puerto Tejada</t>
  </si>
  <si>
    <t>Japio 1</t>
  </si>
  <si>
    <t>Santander de Quilichao</t>
  </si>
  <si>
    <t>Sotará (Paispamba)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</si>
  <si>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</si>
  <si>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</si>
  <si>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</si>
  <si>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</si>
  <si>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</si>
  <si>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</si>
  <si>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</si>
  <si>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</si>
  <si>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</si>
  <si>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</si>
  <si>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>La Mata</t>
  </si>
  <si>
    <t>La Gloria</t>
  </si>
  <si>
    <t xml:space="preserve">El Rincón </t>
  </si>
  <si>
    <t>San Diego</t>
  </si>
  <si>
    <t>Guaymaral</t>
  </si>
  <si>
    <t>Panamericana</t>
  </si>
  <si>
    <t xml:space="preserve">Bahía Solano </t>
  </si>
  <si>
    <t>Noanama</t>
  </si>
  <si>
    <t>Medio San Juan</t>
  </si>
  <si>
    <t>San José Palmar</t>
  </si>
  <si>
    <t>Nóvita</t>
  </si>
  <si>
    <t>Amargal</t>
  </si>
  <si>
    <t>Nuquí</t>
  </si>
  <si>
    <t>San Isidro</t>
  </si>
  <si>
    <t xml:space="preserve">Rio Quito </t>
  </si>
  <si>
    <t>Turipaná</t>
  </si>
  <si>
    <t>Cereté</t>
  </si>
  <si>
    <t xml:space="preserve">Chima </t>
  </si>
  <si>
    <t>Ciénaga de Oro</t>
  </si>
  <si>
    <t xml:space="preserve">La Doctrina </t>
  </si>
  <si>
    <t>Lorica</t>
  </si>
  <si>
    <t xml:space="preserve">Lorica Ita - AUT </t>
  </si>
  <si>
    <t>Hacienda Cuba</t>
  </si>
  <si>
    <t>Galán</t>
  </si>
  <si>
    <t>Maracayo</t>
  </si>
  <si>
    <t>Universidad de Córdoba</t>
  </si>
  <si>
    <t>Centro Alegre</t>
  </si>
  <si>
    <t>Cristo Rey</t>
  </si>
  <si>
    <t>Colomboy</t>
  </si>
  <si>
    <t>Sahagún</t>
  </si>
  <si>
    <t>San Bernardo del Viento</t>
  </si>
  <si>
    <t xml:space="preserve">La Florida </t>
  </si>
  <si>
    <t>Anolaima</t>
  </si>
  <si>
    <t>Primavera de Matima</t>
  </si>
  <si>
    <t>Escuela Colombiana de Ingeniería</t>
  </si>
  <si>
    <t xml:space="preserve">Hacienda Las Vegas </t>
  </si>
  <si>
    <t xml:space="preserve">Nueva Generación  - AUT </t>
  </si>
  <si>
    <t>Universidad Agropecuaria-UDCA</t>
  </si>
  <si>
    <t>Acapulco</t>
  </si>
  <si>
    <t>Bojacá</t>
  </si>
  <si>
    <t>El Salitre</t>
  </si>
  <si>
    <t>Guanata</t>
  </si>
  <si>
    <t>Chía</t>
  </si>
  <si>
    <t xml:space="preserve">Villa Ines  - AUT </t>
  </si>
  <si>
    <t>Flores Colombianas</t>
  </si>
  <si>
    <t>Funza</t>
  </si>
  <si>
    <t>Isla del Santuario</t>
  </si>
  <si>
    <t>Gachetá</t>
  </si>
  <si>
    <t>Santa Teresa</t>
  </si>
  <si>
    <t>Guayabal de Síquima</t>
  </si>
  <si>
    <t>Sabaneta</t>
  </si>
  <si>
    <t>La Vega</t>
  </si>
  <si>
    <t>Flores Chibcha</t>
  </si>
  <si>
    <t xml:space="preserve">Mosquera </t>
  </si>
  <si>
    <t>Hacienda Santa Ana</t>
  </si>
  <si>
    <t>Nemocón</t>
  </si>
  <si>
    <t xml:space="preserve">La Cabrera </t>
  </si>
  <si>
    <t>Pacho</t>
  </si>
  <si>
    <t>El Japón</t>
  </si>
  <si>
    <t>Paratebueno</t>
  </si>
  <si>
    <t xml:space="preserve">Pasca - AUT </t>
  </si>
  <si>
    <t>San Cayetano</t>
  </si>
  <si>
    <t xml:space="preserve">San Cayetano </t>
  </si>
  <si>
    <t xml:space="preserve">El Colombiano </t>
  </si>
  <si>
    <t>Sesquilé</t>
  </si>
  <si>
    <t>Ita Valsalice - AUT</t>
  </si>
  <si>
    <t>El Llano</t>
  </si>
  <si>
    <t xml:space="preserve">Tachi </t>
  </si>
  <si>
    <t>Hacienda Loretoki</t>
  </si>
  <si>
    <t>Suesca</t>
  </si>
  <si>
    <t>Tenjo</t>
  </si>
  <si>
    <t>Llano Largo</t>
  </si>
  <si>
    <t>Ubaque</t>
  </si>
  <si>
    <t>Yacopí - AUT</t>
  </si>
  <si>
    <t xml:space="preserve">La Cosecha </t>
  </si>
  <si>
    <t>Zipaquirá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</si>
  <si>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</si>
  <si>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</si>
  <si>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</si>
  <si>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</si>
  <si>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</si>
  <si>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>Algeciras</t>
  </si>
  <si>
    <t xml:space="preserve">El Grifo Altamira </t>
  </si>
  <si>
    <t>Hacienda Manila - AUT</t>
  </si>
  <si>
    <t>Baraya</t>
  </si>
  <si>
    <t>Hacienda Potosí</t>
  </si>
  <si>
    <t>Campoalegre</t>
  </si>
  <si>
    <t xml:space="preserve">Los Rosales </t>
  </si>
  <si>
    <t>La Legiosa</t>
  </si>
  <si>
    <t>Santa Ana</t>
  </si>
  <si>
    <t>Zuluaga</t>
  </si>
  <si>
    <t>Resina</t>
  </si>
  <si>
    <t xml:space="preserve">Guadalupe </t>
  </si>
  <si>
    <t>Íquira</t>
  </si>
  <si>
    <t>Terpeya Colombia</t>
  </si>
  <si>
    <t>Escuela Agricola La Plata</t>
  </si>
  <si>
    <t>La Plata</t>
  </si>
  <si>
    <t>SS</t>
  </si>
  <si>
    <t>La Julia</t>
  </si>
  <si>
    <t>Palermo</t>
  </si>
  <si>
    <t>Pitalito</t>
  </si>
  <si>
    <t>Parque Arqueológico</t>
  </si>
  <si>
    <t>San Agustín</t>
  </si>
  <si>
    <t>Santa María</t>
  </si>
  <si>
    <t>El Líbano</t>
  </si>
  <si>
    <t>Suaza</t>
  </si>
  <si>
    <t>El Portal</t>
  </si>
  <si>
    <t>Tello</t>
  </si>
  <si>
    <t>San José</t>
  </si>
  <si>
    <t>Villavieja FFCC</t>
  </si>
  <si>
    <t xml:space="preserve">La Mina Cerrejón  - AUT </t>
  </si>
  <si>
    <t xml:space="preserve">Albania </t>
  </si>
  <si>
    <t>Escuela Agrícola Carraipía - AUT</t>
  </si>
  <si>
    <t xml:space="preserve">Aeropuerto Puerto Bolívar  - AUT </t>
  </si>
  <si>
    <t>Uribia</t>
  </si>
  <si>
    <t>Nazareth</t>
  </si>
  <si>
    <t>Rancho Grande</t>
  </si>
  <si>
    <t xml:space="preserve">La Ye </t>
  </si>
  <si>
    <t>Ciénaga</t>
  </si>
  <si>
    <t>Aeropuerto Las Flores</t>
  </si>
  <si>
    <t>El Banco</t>
  </si>
  <si>
    <t xml:space="preserve">Media Luna - AUT </t>
  </si>
  <si>
    <t>Pivijai</t>
  </si>
  <si>
    <t>El Seis</t>
  </si>
  <si>
    <t>San Sebastián de Buenavista</t>
  </si>
  <si>
    <t xml:space="preserve">Los Alamos - AUT 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</si>
  <si>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</si>
  <si>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</si>
  <si>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</si>
  <si>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</si>
  <si>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</si>
  <si>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</si>
  <si>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</si>
  <si>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>La Holanda</t>
  </si>
  <si>
    <t xml:space="preserve">Granada </t>
  </si>
  <si>
    <t>La Balsora</t>
  </si>
  <si>
    <t>Lejanias</t>
  </si>
  <si>
    <t>Lejanías</t>
  </si>
  <si>
    <t xml:space="preserve">Carimagua - AUT </t>
  </si>
  <si>
    <t>Puerto Gaitán</t>
  </si>
  <si>
    <t>Puerto Lleras</t>
  </si>
  <si>
    <t>Barbascal</t>
  </si>
  <si>
    <t>San Martín</t>
  </si>
  <si>
    <t xml:space="preserve">La Libertad- AUT </t>
  </si>
  <si>
    <t>Unillanos</t>
  </si>
  <si>
    <t>Vista Hermosa</t>
  </si>
  <si>
    <t>Vistahermosa</t>
  </si>
  <si>
    <t xml:space="preserve">Altaquer - AUT </t>
  </si>
  <si>
    <t>Barbacoas</t>
  </si>
  <si>
    <t xml:space="preserve">Botana - AUT </t>
  </si>
  <si>
    <t xml:space="preserve">El Encano </t>
  </si>
  <si>
    <t>El común</t>
  </si>
  <si>
    <t>CCCP del Pacífico</t>
  </si>
  <si>
    <t>Tumaco</t>
  </si>
  <si>
    <t xml:space="preserve">Granja El Mira - AUT </t>
  </si>
  <si>
    <t xml:space="preserve">El Paraiso - AUT </t>
  </si>
  <si>
    <t>Abrego Centro Administrativo</t>
  </si>
  <si>
    <t>Escuela Agrícola Cáchira</t>
  </si>
  <si>
    <t>Cáchira</t>
  </si>
  <si>
    <t>Institución Agrícola Convención</t>
  </si>
  <si>
    <t>Convención</t>
  </si>
  <si>
    <t>Carmen de Tonchalá</t>
  </si>
  <si>
    <t>Cinera-Villa Olga</t>
  </si>
  <si>
    <t>Parque Nacional Tamá</t>
  </si>
  <si>
    <t>Herrán</t>
  </si>
  <si>
    <t>La Playa</t>
  </si>
  <si>
    <t>Universidad Francisco de Paula Santander</t>
  </si>
  <si>
    <t>La Esperanza</t>
  </si>
  <si>
    <t>Sardinata</t>
  </si>
  <si>
    <t>Teorama</t>
  </si>
  <si>
    <t>Petrolea</t>
  </si>
  <si>
    <t>Tibú</t>
  </si>
  <si>
    <t>Michoacán</t>
  </si>
  <si>
    <t xml:space="preserve">Acueducto Mocoa - AUT </t>
  </si>
  <si>
    <t>La Tagua</t>
  </si>
  <si>
    <t>La Primavera</t>
  </si>
  <si>
    <t>Sibundoy</t>
  </si>
  <si>
    <t>Villagarzón</t>
  </si>
  <si>
    <t>Armenia</t>
  </si>
  <si>
    <t>RIsaralda</t>
  </si>
  <si>
    <t>Pueblo Rico</t>
  </si>
  <si>
    <t>San Remo</t>
  </si>
  <si>
    <t>Santa Rosa de Cabal</t>
  </si>
  <si>
    <t>Veracruz</t>
  </si>
  <si>
    <t xml:space="preserve">La Camelia </t>
  </si>
  <si>
    <t xml:space="preserve">Santuario </t>
  </si>
  <si>
    <t xml:space="preserve">El Centro </t>
  </si>
  <si>
    <t>El Volcán</t>
  </si>
  <si>
    <t xml:space="preserve">Granja Tinaga </t>
  </si>
  <si>
    <t>Charalá</t>
  </si>
  <si>
    <t>El Carmen</t>
  </si>
  <si>
    <t>Gámbita</t>
  </si>
  <si>
    <t>Llano Grande -  AUT</t>
  </si>
  <si>
    <t>La Laja</t>
  </si>
  <si>
    <t>Escuela Agrícola Mogotes</t>
  </si>
  <si>
    <t>El Cucharo</t>
  </si>
  <si>
    <t>Pinchote</t>
  </si>
  <si>
    <t>Carare</t>
  </si>
  <si>
    <t>Puerto Parra</t>
  </si>
  <si>
    <t xml:space="preserve">Hacienda Las Brisas </t>
  </si>
  <si>
    <t>Puerto Wilches</t>
  </si>
  <si>
    <t>Sabana de Torres</t>
  </si>
  <si>
    <t>Cachiri</t>
  </si>
  <si>
    <t>Vivero Suratá - AUT</t>
  </si>
  <si>
    <t>Berlín Automática</t>
  </si>
  <si>
    <t xml:space="preserve">Granja Vélez </t>
  </si>
  <si>
    <t>Vélez</t>
  </si>
  <si>
    <t>Primates</t>
  </si>
  <si>
    <t>Colosó</t>
  </si>
  <si>
    <t>Universidad de Sucre</t>
  </si>
  <si>
    <t xml:space="preserve">San Benito - AUT </t>
  </si>
  <si>
    <t>El Salto</t>
  </si>
  <si>
    <t>Granja Armero</t>
  </si>
  <si>
    <t>Armero (Guayabal)</t>
  </si>
  <si>
    <t>Mesa de Pole</t>
  </si>
  <si>
    <t>Cajamarca</t>
  </si>
  <si>
    <t>El Limón</t>
  </si>
  <si>
    <t>Granja Demostración</t>
  </si>
  <si>
    <t>Media Luna</t>
  </si>
  <si>
    <t>Coyaima</t>
  </si>
  <si>
    <t>Hacienda Dolores Madron</t>
  </si>
  <si>
    <t>Dolores</t>
  </si>
  <si>
    <t xml:space="preserve">Nataima - AUT </t>
  </si>
  <si>
    <t>Aeropuerto Santiago Vila</t>
  </si>
  <si>
    <t>Flandes</t>
  </si>
  <si>
    <t>Honda</t>
  </si>
  <si>
    <t xml:space="preserve">Hacienda Garcia </t>
  </si>
  <si>
    <t>Lérida</t>
  </si>
  <si>
    <t>Mariquita</t>
  </si>
  <si>
    <t>PST de Monta</t>
  </si>
  <si>
    <t>Santa Helena</t>
  </si>
  <si>
    <t>Purificación</t>
  </si>
  <si>
    <t>Relator</t>
  </si>
  <si>
    <t>Rioblanco</t>
  </si>
  <si>
    <t xml:space="preserve">La Bodega </t>
  </si>
  <si>
    <t>Valle de San Juan</t>
  </si>
  <si>
    <t>Aeropuerto Buenaventura</t>
  </si>
  <si>
    <t>Buenaventura</t>
  </si>
  <si>
    <t>Bajo Calima</t>
  </si>
  <si>
    <t>Colpuertos</t>
  </si>
  <si>
    <t xml:space="preserve">Universidad del Valle  - AUT </t>
  </si>
  <si>
    <t>Cali</t>
  </si>
  <si>
    <t>El Cerrito</t>
  </si>
  <si>
    <t xml:space="preserve">El Vinculo - AUT </t>
  </si>
  <si>
    <t>Florida</t>
  </si>
  <si>
    <t>Centro Administrativo La Unión</t>
  </si>
  <si>
    <t>Ingenio Manuelita</t>
  </si>
  <si>
    <t>Palmira ICA</t>
  </si>
  <si>
    <t>Aeropuerto Farfán</t>
  </si>
  <si>
    <t>Barragán</t>
  </si>
  <si>
    <t>Ingenio Riopaila</t>
  </si>
  <si>
    <t>Zarzal</t>
  </si>
  <si>
    <t>Cumaribo 2</t>
  </si>
  <si>
    <t xml:space="preserve">Las Gaviotas </t>
  </si>
  <si>
    <t>COD</t>
  </si>
  <si>
    <t>DPTO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</si>
  <si>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</si>
  <si>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</si>
  <si>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</si>
  <si>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</si>
  <si>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</si>
  <si>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</si>
  <si>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</si>
  <si>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</si>
  <si>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</si>
  <si>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</si>
  <si>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</si>
  <si>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</si>
  <si>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</si>
  <si>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</si>
  <si>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</si>
  <si>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DATO</t>
  </si>
  <si>
    <t>DIA</t>
  </si>
  <si>
    <t>MANAURE [15075030]</t>
  </si>
  <si>
    <t>CCCP DL PACIFICO [51035020]</t>
  </si>
  <si>
    <t>AEROPUERTO RAFAEL NUNEZ [14015080]</t>
  </si>
  <si>
    <t>Cartagena De Indias</t>
  </si>
  <si>
    <t>Bolivar</t>
  </si>
  <si>
    <t>AEROPUERTO SESQUICENTENARIO [17015010]</t>
  </si>
  <si>
    <t>San Andrés</t>
  </si>
  <si>
    <t>Archipielago De San Andres, Providencia Y Santa Catalina</t>
  </si>
  <si>
    <t>ARBOLETES [12045010]</t>
  </si>
  <si>
    <t>AEROPUERTO SIMON BOLIVAR [15015050]</t>
  </si>
  <si>
    <t>TERMOGUAJIRA  - AUT [15035020]</t>
  </si>
  <si>
    <t>Dibulla</t>
  </si>
  <si>
    <t>UNIVERSIDAD TECNOLOGICA  - AUT [15015120]</t>
  </si>
  <si>
    <t>AEROPUERTO EL EMBRUJO AUT [17025020]</t>
  </si>
  <si>
    <t>San Andres Y  Providencia (Santa Isabel)</t>
  </si>
  <si>
    <t>AEROPUERTO PUERTO BOLIVAR  - AUT [15075501]</t>
  </si>
  <si>
    <t>PINILLOS [25025210]</t>
  </si>
  <si>
    <t>SINCERIN  - AUT [29035000]</t>
  </si>
  <si>
    <t>NORMAL MANATI  - AUT [29035080]</t>
  </si>
  <si>
    <t>Atlantico</t>
  </si>
  <si>
    <t>REPELON - AUT [29035200]</t>
  </si>
  <si>
    <t>NUEVA FLORIDA [29035040]</t>
  </si>
  <si>
    <t>AEROPUERTO E. CORTISSOZ - AUT [29045190]</t>
  </si>
  <si>
    <t>MISION LA [54075040]</t>
  </si>
  <si>
    <t>AEROPUERTO ALM. PADILLA - [15065180]</t>
  </si>
  <si>
    <t>AEROPUERTO BARACOA [25025100]</t>
  </si>
  <si>
    <t>AEROPUERTO LOS GARZONES [13035501]</t>
  </si>
  <si>
    <t>Cordoba</t>
  </si>
  <si>
    <t>CHIMA [13075010]</t>
  </si>
  <si>
    <t>TURIPANA [13075030]</t>
  </si>
  <si>
    <t>DOCTRINA LA [13085010]</t>
  </si>
  <si>
    <t>GALERAZAMBA  - AUT [14015010]</t>
  </si>
  <si>
    <t>Santa Catalina</t>
  </si>
  <si>
    <t>MATITAS [15045010]</t>
  </si>
  <si>
    <t>AYAPEL - AUT [25025030]</t>
  </si>
  <si>
    <t>Ayapel</t>
  </si>
  <si>
    <t>SAN BENITO - AUT [25025380]</t>
  </si>
  <si>
    <t>SAN PABLO [29035110]</t>
  </si>
  <si>
    <t>PADELMA [29065020]</t>
  </si>
  <si>
    <t>SAN BERNARDO DEL VIENTO [13085030]</t>
  </si>
  <si>
    <t>MARACAYO [13065020]</t>
  </si>
  <si>
    <t>LOS ALAMOS - AUT [25025002]</t>
  </si>
  <si>
    <t>AEROPUERTO BUENAVENTUR [53115010]</t>
  </si>
  <si>
    <t>NOANAMA [54085010]</t>
  </si>
  <si>
    <t>Choco</t>
  </si>
  <si>
    <t>BARBACOAS [52065020]</t>
  </si>
  <si>
    <t>AEROPUERTO LAS FLORES [25025090]</t>
  </si>
  <si>
    <t>TURBO [12025040]</t>
  </si>
  <si>
    <t>Turbo</t>
  </si>
  <si>
    <t>TULENAPA [12015060]</t>
  </si>
  <si>
    <t>SALADO EL [13075020]</t>
  </si>
  <si>
    <t>CHIRIGUANA [25025250]</t>
  </si>
  <si>
    <t>AEROPUERTO LOS CEDROS [12015070]</t>
  </si>
  <si>
    <t>UNIBAN [12015020]</t>
  </si>
  <si>
    <t>RANCHO GRANDE [15085040]</t>
  </si>
  <si>
    <t>CUBA HACIENDA [25025160]</t>
  </si>
  <si>
    <t>COLEGIO AGROPECUARIO PAILITAS  - AUT [25025330]</t>
  </si>
  <si>
    <t>GUAYMARAL [28035040]</t>
  </si>
  <si>
    <t>SAN ISIDRO [11035020]</t>
  </si>
  <si>
    <t>Rio Quito (Paimadó)</t>
  </si>
  <si>
    <t>EL MELLITO [12025030]</t>
  </si>
  <si>
    <t>AEROPUERTO PUERTO CARRENO [38015030]</t>
  </si>
  <si>
    <t>LLORO [11035010]</t>
  </si>
  <si>
    <t>Lloró</t>
  </si>
  <si>
    <t>PRESA AY GRANDE [29035030]</t>
  </si>
  <si>
    <t>BAJO CALIMA [54075020]</t>
  </si>
  <si>
    <t>VILLA ROSA [28035010]</t>
  </si>
  <si>
    <t>LOS CAIMANES  [2502500007]</t>
  </si>
  <si>
    <t>TUPARRO BOCAS - TOMO [34035010]</t>
  </si>
  <si>
    <t>AEROPUERTO EL CARAÑO [11045010]</t>
  </si>
  <si>
    <t>EL GUAMO - AUT [29015000]</t>
  </si>
  <si>
    <t>LA MINA CERREJON  - AUT [15065501]</t>
  </si>
  <si>
    <t>AEROPUERTO VASQUEZ COBO [48015050]</t>
  </si>
  <si>
    <t>NAZARETH [15085020]</t>
  </si>
  <si>
    <t>PLANETA RICA  - AUT [25025190]</t>
  </si>
  <si>
    <t>CINERA-VILLA OLGA AUT [16025040]</t>
  </si>
  <si>
    <t>PUERTO INIRIDA - AUT [31095030]</t>
  </si>
  <si>
    <t>CENTENARIO HACIENDA [28025090]</t>
  </si>
  <si>
    <t>EL CALLAO  [28035020]</t>
  </si>
  <si>
    <t>ALTAQUER - AUT [51025080]</t>
  </si>
  <si>
    <t>CENTRO EL [23155040]</t>
  </si>
  <si>
    <t>TAMARA - AUT [35235050]</t>
  </si>
  <si>
    <t>ESCUELA AGRICOLA CARRAIPIA  - AUT [15085030]</t>
  </si>
  <si>
    <t>UNIVERSIDAD INDUSTRIAL SANTANDER [23195040]</t>
  </si>
  <si>
    <t>Bucaramanga</t>
  </si>
  <si>
    <t>COLOMBOY [25025170]</t>
  </si>
  <si>
    <t>AEROPUERTO YARIGUIES AUT [23155030]</t>
  </si>
  <si>
    <t>CENICANA [26075080]</t>
  </si>
  <si>
    <t>AEROPUERTO SANTIAGO PÉREZ [37055010]</t>
  </si>
  <si>
    <t>VILLARTEAGA [12015010]</t>
  </si>
  <si>
    <t>HACIENDA LAS BRISAS [24065010]</t>
  </si>
  <si>
    <t>AEROPUERTO ALFONSO LOPEZ - [28025502]</t>
  </si>
  <si>
    <t>MODULOS - AUT [35225030]</t>
  </si>
  <si>
    <t>PUERTO LEGUIZAMO [47045010]</t>
  </si>
  <si>
    <t>ARARACUARA [44135010]</t>
  </si>
  <si>
    <t>Solano</t>
  </si>
  <si>
    <t>Caqueta</t>
  </si>
  <si>
    <t>CARMEN DE BOLIVAR [29015020]</t>
  </si>
  <si>
    <t>El Carmén De Bolívar</t>
  </si>
  <si>
    <t>CARMEN DE BOLIVAR  - AUT [29015040]</t>
  </si>
  <si>
    <t>TAGUA LA [44115020]</t>
  </si>
  <si>
    <t>MAPIRIPANA [32155010]</t>
  </si>
  <si>
    <t>Barranco Mina</t>
  </si>
  <si>
    <t>CUMARIBO [33055010]</t>
  </si>
  <si>
    <t>UNISUCRE AUT [25025270]</t>
  </si>
  <si>
    <t>LA CHORRERA [47075010]</t>
  </si>
  <si>
    <t>MATA LA [23215050]</t>
  </si>
  <si>
    <t>COLEGIO COOPERATIVO [23205020]</t>
  </si>
  <si>
    <t>AEROPUERTO RAFAEL BARVO [25025080]</t>
  </si>
  <si>
    <t>CARARE [23125050]</t>
  </si>
  <si>
    <t>MITU [42075010]</t>
  </si>
  <si>
    <t>Vaupes</t>
  </si>
  <si>
    <t>LA PAULINA - AUT [15065040]</t>
  </si>
  <si>
    <t>Fonseca</t>
  </si>
  <si>
    <t>CENTRO ALEGRE [25015010]</t>
  </si>
  <si>
    <t>AEROPUERTO PALANQUERO [23035020]</t>
  </si>
  <si>
    <t>Puerto Salgar</t>
  </si>
  <si>
    <t>LAS GAVIOTAS [34015010]</t>
  </si>
  <si>
    <t>HACIENDA LAS MARGARITAS [35125010]</t>
  </si>
  <si>
    <t>Puerto López</t>
  </si>
  <si>
    <t>CAMPO CAPOTE [23125040]</t>
  </si>
  <si>
    <t>MOTILONIA CODAZZI [28025070]</t>
  </si>
  <si>
    <t>CHIMA [24015260]</t>
  </si>
  <si>
    <t>PUERTO OSPINA [47035020]</t>
  </si>
  <si>
    <t>SARAVENA  - AUT [37045010]</t>
  </si>
  <si>
    <t>Saravena</t>
  </si>
  <si>
    <t>CIMITARRA [23125120]</t>
  </si>
  <si>
    <t>GUAICARAMO [35105050]</t>
  </si>
  <si>
    <t>PRIMATES [13095020]</t>
  </si>
  <si>
    <t>AGUAS CLARAS [23215030]</t>
  </si>
  <si>
    <t>EL TRUENO [31015010]</t>
  </si>
  <si>
    <t>TRES ESQUINAS [44055010]</t>
  </si>
  <si>
    <t>LA MACARENA [32035010]</t>
  </si>
  <si>
    <t>SANTA ROSA CAGUAN [46015020]</t>
  </si>
  <si>
    <t>San Vicente Del Caguán</t>
  </si>
  <si>
    <t>LA BALSORA [32035020]</t>
  </si>
  <si>
    <t>AEROPUERTO CAMILO DAZA [16015010]</t>
  </si>
  <si>
    <t>URUMITA AUT [28015070]</t>
  </si>
  <si>
    <t>VALPARAISO [44045020]</t>
  </si>
  <si>
    <t>MORICHAL   [3502500006]</t>
  </si>
  <si>
    <t>MACAGUAL [44035030]</t>
  </si>
  <si>
    <t>Florencia</t>
  </si>
  <si>
    <t>CARMEN DE TONCHALA [16025010]</t>
  </si>
  <si>
    <t>JERUSALEN [21235010]</t>
  </si>
  <si>
    <t>REPRESA URRA [13015040]</t>
  </si>
  <si>
    <t>MONO LA [44045030]</t>
  </si>
  <si>
    <t>Belén De Los Andaquíes</t>
  </si>
  <si>
    <t>AEROPUERTO SANTIAGO VILA [21185040]</t>
  </si>
  <si>
    <t>SALTO EL [21255080]</t>
  </si>
  <si>
    <t>HACIENDA LA CABAÑA [35045020]</t>
  </si>
  <si>
    <t>PST DE MONTA [21165010]</t>
  </si>
  <si>
    <t>JABALCON [21135020]</t>
  </si>
  <si>
    <t>SAN JOSE DE FRAGUA [44045010]</t>
  </si>
  <si>
    <t>ARMERO GRANJA [21255090]</t>
  </si>
  <si>
    <t>AEROPUERTO YOPAL - AUT [35215020]</t>
  </si>
  <si>
    <t>VILLA LEIVA [23185010]</t>
  </si>
  <si>
    <t>GUAMO [21185030]</t>
  </si>
  <si>
    <t>LA LIBERTAD - AUT [35025110]</t>
  </si>
  <si>
    <t>PAZ DE ARIPORO [36015010]</t>
  </si>
  <si>
    <t>PUERTO BOYACA [23115010]</t>
  </si>
  <si>
    <t>Puerto Boyacá</t>
  </si>
  <si>
    <t>EL RINCON [28025020]</t>
  </si>
  <si>
    <t>TAME [36025010]</t>
  </si>
  <si>
    <t>PUERTO UMBRIA [47015070]</t>
  </si>
  <si>
    <t>TUNEBIA [37035010]</t>
  </si>
  <si>
    <t>NATAIMA - AUT [21185090]</t>
  </si>
  <si>
    <t>UNILLANOS [35035070]</t>
  </si>
  <si>
    <t>SAN JOSE [21115060]</t>
  </si>
  <si>
    <t>ANCHIQUE [21135030]</t>
  </si>
  <si>
    <t>AEROPUERTO VANGUARDIA [35035020]</t>
  </si>
  <si>
    <t>AGUAS CLARAS [32070110]</t>
  </si>
  <si>
    <t>Granada</t>
  </si>
  <si>
    <t>QUINTA LA [21255140]</t>
  </si>
  <si>
    <t>VILLAVIEJA FFCC [21115080]</t>
  </si>
  <si>
    <t>CHICORAL [21215080]</t>
  </si>
  <si>
    <t>MARIQUITA  [2125500032]</t>
  </si>
  <si>
    <t>AEROPUERTO BENITO SALAS [21115020]</t>
  </si>
  <si>
    <t>SAN ALFONSO [21145040]</t>
  </si>
  <si>
    <t>RIO CLARO [23070020]</t>
  </si>
  <si>
    <t>JUNCAL EL AUT [21095010]</t>
  </si>
  <si>
    <t>TAURAMENA [35195020]</t>
  </si>
  <si>
    <t>COTOVE HACIENDA [26225030]</t>
  </si>
  <si>
    <t>Santa Fe De Antioquia</t>
  </si>
  <si>
    <t>VALLE DE SAN JUAN [21185080]</t>
  </si>
  <si>
    <t>HACIENDA MANILA [21115160]</t>
  </si>
  <si>
    <t>HACIENDA TUNEZ [26175040]</t>
  </si>
  <si>
    <t>ARIZONA [21145020]</t>
  </si>
  <si>
    <t>AEROPUERTO OTU [23175020]</t>
  </si>
  <si>
    <t>SANTA ROSA D SIMITI [23205030]</t>
  </si>
  <si>
    <t>Santa Rosa Del Sur</t>
  </si>
  <si>
    <t>ACUEDUCTO MOCOA - AUT [44015060]</t>
  </si>
  <si>
    <t>POTOSI HACIENDA [21105040]</t>
  </si>
  <si>
    <t>MESA DE POLE [22055020]</t>
  </si>
  <si>
    <t>LLANO GRANDE  - AUT [23195110]</t>
  </si>
  <si>
    <t>BETULIA LA [21045010]</t>
  </si>
  <si>
    <t>ALBANIA [23025040]</t>
  </si>
  <si>
    <t>CARMEN EL [23145020]</t>
  </si>
  <si>
    <t>PERALES HATO OPIA [21245010]</t>
  </si>
  <si>
    <t>GRANJA EXPERIMENTAL EL NUS [23085080]</t>
  </si>
  <si>
    <t>SALAZAR [16025030]</t>
  </si>
  <si>
    <t>DEMOSTRACION GRANJA  - AUT [22045010]</t>
  </si>
  <si>
    <t>PALMAR EL [24055040]</t>
  </si>
  <si>
    <t>AEROPUERTO PERALES [21245040]</t>
  </si>
  <si>
    <t>PANDI [21195060]</t>
  </si>
  <si>
    <t>INGENIO RIOPAILA [26105110]</t>
  </si>
  <si>
    <t>AEROPUERTO A BONILLA [26075040]</t>
  </si>
  <si>
    <t>BASE AEREA MARCO FIDEL SUAREZ  - AUT [26085170]</t>
  </si>
  <si>
    <t>CUCHARO EL [24025020]</t>
  </si>
  <si>
    <t>EL VINCULO - AUT [26095320]</t>
  </si>
  <si>
    <t>INGENIO BENGALA [26045010]</t>
  </si>
  <si>
    <t>BOHEMIA LA [26135100]</t>
  </si>
  <si>
    <t>UNIVERSIDAD DEL VALLE  - AUT [26055120]</t>
  </si>
  <si>
    <t>LIMON EL [22045020]</t>
  </si>
  <si>
    <t>LOMITAS [26025110]</t>
  </si>
  <si>
    <t>SAN MARCOS [26105150]</t>
  </si>
  <si>
    <t>PALMIRA ICA [26075010]</t>
  </si>
  <si>
    <t>SAN RAFAEL [21085030]</t>
  </si>
  <si>
    <t>Teruel</t>
  </si>
  <si>
    <t>LIBANO EL [21035040]</t>
  </si>
  <si>
    <t>INGENIO MANUELITA [26075050]</t>
  </si>
  <si>
    <t>ESCUELA AGRICOLA LA PLATA [21055020]</t>
  </si>
  <si>
    <t>PALACIO-VEGALARGA [21115100]</t>
  </si>
  <si>
    <t>OTANCHE [23125080]</t>
  </si>
  <si>
    <t>FCA.LA PALMITA [16015140]</t>
  </si>
  <si>
    <t>Pamplonita</t>
  </si>
  <si>
    <t>SAN CARLOS [23085220]</t>
  </si>
  <si>
    <t>SAN JOSE PALMAR [54025010]</t>
  </si>
  <si>
    <t>MATEGUADUA [26105230]</t>
  </si>
  <si>
    <t>SANTA ISABEL [26255020]</t>
  </si>
  <si>
    <t>MIRANDA [26065020]</t>
  </si>
  <si>
    <t>UNIVERSIDAD FRANCISCO DE PAULA SANTANDER [16055100]</t>
  </si>
  <si>
    <t>GRANJA LA NACIONAL [26175030]</t>
  </si>
  <si>
    <t>TEORAMA [16055020]</t>
  </si>
  <si>
    <t>RELATOR [22015020]</t>
  </si>
  <si>
    <t>CAPITANEJO [24035260]</t>
  </si>
  <si>
    <t>ITA ANDES [26195020]</t>
  </si>
  <si>
    <t>AEROPUERTO PALONEGRO AUT [23195502]</t>
  </si>
  <si>
    <t>AEROPUERTO EL EDEN - - AUT [26125061]</t>
  </si>
  <si>
    <t>AEROPUERTO FURATENA  - AUT [23125140]</t>
  </si>
  <si>
    <t>ZULUAGA AUT [21065040]</t>
  </si>
  <si>
    <t>CAÑASGORDAS [11115020]</t>
  </si>
  <si>
    <t>SANTA MARIA [21125010]</t>
  </si>
  <si>
    <t>INSTITUCION AGRICOLA MACANAL [35075040]</t>
  </si>
  <si>
    <t>CAMPOHERMOSO [35085050]</t>
  </si>
  <si>
    <t>SEVILLA [21015020]</t>
  </si>
  <si>
    <t>SAN FRANCISCO [23085140]</t>
  </si>
  <si>
    <t>AEROPUERTO MATECANA [26135040]</t>
  </si>
  <si>
    <t>CHARALA [24025050]</t>
  </si>
  <si>
    <t>ALTAMIRA EL GRIFO AUT [21025030]</t>
  </si>
  <si>
    <t>MUSINGA AUT [11115040]</t>
  </si>
  <si>
    <t>LAJA LA [24015250]</t>
  </si>
  <si>
    <t>ITA VALSALICE [21195120]</t>
  </si>
  <si>
    <t>ABREGO CENTRO ADMO [16055040]</t>
  </si>
  <si>
    <t>AEROPUERTO AGUAS CLARAS [16055010]</t>
  </si>
  <si>
    <t>GUAYABITO [27015190]</t>
  </si>
  <si>
    <t>TULIO OSPINA [27015090]</t>
  </si>
  <si>
    <t>LEGIOSA LA [21145070]</t>
  </si>
  <si>
    <t>AEROPUERTO OLAYA HERRERA [27015070]</t>
  </si>
  <si>
    <t>AEROPUERTO OLAYA HERRERA [27015330]</t>
  </si>
  <si>
    <t>BOMBONA [52055030]</t>
  </si>
  <si>
    <t>PLAYA LA [16055060]</t>
  </si>
  <si>
    <t>TANAMA [52055060]</t>
  </si>
  <si>
    <t>SAMANA [23055040]</t>
  </si>
  <si>
    <t>RAGONVALIA [16015100]</t>
  </si>
  <si>
    <t>CORINTO [35195050]</t>
  </si>
  <si>
    <t>SAN ANTONIO QUINTA [22065040]</t>
  </si>
  <si>
    <t>ANORI [27025030]</t>
  </si>
  <si>
    <t>VERACRUZ [26135110]</t>
  </si>
  <si>
    <t>Santa Rosa De Cabal</t>
  </si>
  <si>
    <t>VIVERO EL [35085040]</t>
  </si>
  <si>
    <t>ESCUELA AGRICOLA MOGOTES [24025040]</t>
  </si>
  <si>
    <t>ALBANIA [23125060]</t>
  </si>
  <si>
    <t>JULIA LA [21135050]</t>
  </si>
  <si>
    <t>ALEJANDRIA [23085030]</t>
  </si>
  <si>
    <t>LA ALDEA [26205080]</t>
  </si>
  <si>
    <t>ARGELIA [23055070]</t>
  </si>
  <si>
    <t>Argelia</t>
  </si>
  <si>
    <t>CUMBARCO [26125130]</t>
  </si>
  <si>
    <t>ESPERANZA LA [16015030]</t>
  </si>
  <si>
    <t>CAMELIA LA [26145030]</t>
  </si>
  <si>
    <t>Santuario</t>
  </si>
  <si>
    <t>MONOPAMBA [47015080]</t>
  </si>
  <si>
    <t>VIVERO SURATA  - AUT [23195090]</t>
  </si>
  <si>
    <t>AEROPUERTO ANTONIO NARINO [52045020]</t>
  </si>
  <si>
    <t>PARQUE ARQUEOLOGICO - AUT [21015030]</t>
  </si>
  <si>
    <t>ZAPATOCA [24055030]</t>
  </si>
  <si>
    <t>TUNIA [26025100]</t>
  </si>
  <si>
    <t>URRAO [11075020]</t>
  </si>
  <si>
    <t>PRIMAVERA D' MATIMA [21206180]</t>
  </si>
  <si>
    <t>VENTA DE CAJIBIO [26025090]</t>
  </si>
  <si>
    <t>LA SIERRA - AUT [52025090]</t>
  </si>
  <si>
    <t>TAMINANGO [52045040]</t>
  </si>
  <si>
    <t>ESCUELA AGRICOLA CACHIRA [23195180]</t>
  </si>
  <si>
    <t>CACHIRI  - AUT [23195200]</t>
  </si>
  <si>
    <t>GAMBITA [24015280]</t>
  </si>
  <si>
    <t>LA FLORIDA [21205670]</t>
  </si>
  <si>
    <t>LA SALADA [27015260]</t>
  </si>
  <si>
    <t>SUTATENZA [35075020]</t>
  </si>
  <si>
    <t>SAN REMO [26135160]</t>
  </si>
  <si>
    <t>CORRIENTES [23085160]</t>
  </si>
  <si>
    <t>BELLAVISTA [26145020]</t>
  </si>
  <si>
    <t>LA MANSA [11025010]</t>
  </si>
  <si>
    <t>LA CABRERA [23065120]</t>
  </si>
  <si>
    <t>EL PENOL [23085110]</t>
  </si>
  <si>
    <t>CONCORDIA [26215010]</t>
  </si>
  <si>
    <t>VILLAHERMOSA [21255120]</t>
  </si>
  <si>
    <t>AEROPUERTO J.M. CORDOVA [23085270]</t>
  </si>
  <si>
    <t>SANTA LETICIA [21055030]</t>
  </si>
  <si>
    <t>MICHOACAN [47015040]</t>
  </si>
  <si>
    <t>AEROPUERTO LA NUBIA AUT [26155110]</t>
  </si>
  <si>
    <t>RONDON [35085020]</t>
  </si>
  <si>
    <t>Rondón</t>
  </si>
  <si>
    <t>LA SELVA [23085260]</t>
  </si>
  <si>
    <t>BOAVITA [24035330]</t>
  </si>
  <si>
    <t>EL JARDIN [26195030]</t>
  </si>
  <si>
    <t>LA PELADA [26185010]</t>
  </si>
  <si>
    <t>FUNES [52055200]</t>
  </si>
  <si>
    <t>SAN BERNARDO [52045030]</t>
  </si>
  <si>
    <t>BUENAVISTA [23125100]</t>
  </si>
  <si>
    <t>VILLA LUISA [35075030]</t>
  </si>
  <si>
    <t>CUCUANA HACIENDA [21215130]</t>
  </si>
  <si>
    <t>SANTA ISABEL [21245140]</t>
  </si>
  <si>
    <t>INSTITUCION AGRICOLA SANTA SOFIA [24015090]</t>
  </si>
  <si>
    <t>MILAGROS LOS [52025020]</t>
  </si>
  <si>
    <t>TESORITO FINCA  - AUT [26155170]</t>
  </si>
  <si>
    <t>ISER PAMPLONA [16015020]</t>
  </si>
  <si>
    <t>CHISCAS [24035310]</t>
  </si>
  <si>
    <t>NUEVO COLON [35075010]</t>
  </si>
  <si>
    <t>PAISPAMBA [52015010]</t>
  </si>
  <si>
    <t>SURBATA BONZA [24035120]</t>
  </si>
  <si>
    <t>AEROPUERTO A LLERAS C AUT [24035340]</t>
  </si>
  <si>
    <t>TUNGUAVITA - AUT [24035430]</t>
  </si>
  <si>
    <t>BELENCITO [24035150]</t>
  </si>
  <si>
    <t>Nobsa</t>
  </si>
  <si>
    <t>TIBAITATA [21205420]</t>
  </si>
  <si>
    <t>EL DORADO CATAM [21205791]</t>
  </si>
  <si>
    <t>UNIVERSIDAD DE LA SABANA [2120500135]</t>
  </si>
  <si>
    <t>BASE AEREA MADRID [21205770]</t>
  </si>
  <si>
    <t>HACIENDA LORETOKI [21206010]</t>
  </si>
  <si>
    <t>SABOYA LA GRANJA [24015360]</t>
  </si>
  <si>
    <t>JARDIN BOTANICO [21205710]</t>
  </si>
  <si>
    <t>UNIVERSIDAD NACIONAL [21205012]</t>
  </si>
  <si>
    <t>INEM KENNEDY [21206560]</t>
  </si>
  <si>
    <t>GRANJA PROVIDENCIA [21205980]</t>
  </si>
  <si>
    <t>EL LLANO [21205990]</t>
  </si>
  <si>
    <t>LA COSECHA [21205910]</t>
  </si>
  <si>
    <t>C.UNIV.AGROP-UDCA [21206260]</t>
  </si>
  <si>
    <t>HACIENDA SANTA ANA [21205970]</t>
  </si>
  <si>
    <t>SANTILLANA [21206020]</t>
  </si>
  <si>
    <t>CASABLANCA [21206060]</t>
  </si>
  <si>
    <t>BETEITIVA [24035020]</t>
  </si>
  <si>
    <t>ISLA DEL SANTUARIO [24015120]</t>
  </si>
  <si>
    <t>VILLA INES [21205940]</t>
  </si>
  <si>
    <t>NUEVA GENERACION [21206600]</t>
  </si>
  <si>
    <t>SATIVANORTE [24035320]</t>
  </si>
  <si>
    <t>VILLA CARMEN [24015220]</t>
  </si>
  <si>
    <t>TENERIFE [26095080]</t>
  </si>
  <si>
    <t>CERINZA [240354200]</t>
  </si>
  <si>
    <t>SUASUQUE [21205920]</t>
  </si>
  <si>
    <t>TACHI [21205960]</t>
  </si>
  <si>
    <t>SAN CAYETANO [21206030]</t>
  </si>
  <si>
    <t>BODEGA LA [21240110]</t>
  </si>
  <si>
    <t>ACAPULCO [21206280]</t>
  </si>
  <si>
    <t>U P T C [24035130]</t>
  </si>
  <si>
    <t>LA COPA [24035040]</t>
  </si>
  <si>
    <t>SILOS [21205740]</t>
  </si>
  <si>
    <t>OBONUCO [52045010]</t>
  </si>
  <si>
    <t>GUASCA [21205700]</t>
  </si>
  <si>
    <t>SINDAGUA [52055090]</t>
  </si>
  <si>
    <t>SANTA ISABEL [21255110]</t>
  </si>
  <si>
    <t>BOTANA - AUT [52055210]</t>
  </si>
  <si>
    <t>EL ENCANO - AUT [47015100]</t>
  </si>
  <si>
    <t>VOLCAN EL [24035400]</t>
  </si>
  <si>
    <t>SAN FELIX [26185040]</t>
  </si>
  <si>
    <t>Salamina</t>
  </si>
  <si>
    <t>GRANJA SAN JORGE [21205720]</t>
  </si>
  <si>
    <t>PALETARA [26015020]</t>
  </si>
  <si>
    <t>Puracé (Coconuco)</t>
  </si>
  <si>
    <t>VALENCIA [44015030]</t>
  </si>
  <si>
    <t>BARRAGAN [26105140]</t>
  </si>
  <si>
    <t>CUSAGUI [24035010]</t>
  </si>
  <si>
    <t>CARMEN DE CARUPA [24015380]</t>
  </si>
  <si>
    <t>Carmen De Carupa</t>
  </si>
  <si>
    <t>AEROPUERTO SAN LUIS - AUT [52055230]</t>
  </si>
  <si>
    <t>GUICAN [24035070]</t>
  </si>
  <si>
    <t>TUNEL EL [35095030]</t>
  </si>
  <si>
    <t>EL PARAISO - AUT [52055220]</t>
  </si>
  <si>
    <t>GABRIEL LOPEZ [26025070]</t>
  </si>
  <si>
    <t>COLEGIO SAN CAYETANO [21206650]</t>
  </si>
  <si>
    <t>EL COMUN [52045090]</t>
  </si>
  <si>
    <t>LOS TAQUES [35025070]</t>
  </si>
  <si>
    <t>LA BOLSA [35025060]</t>
  </si>
  <si>
    <t>BERLIN [37015020]</t>
  </si>
  <si>
    <t>ANDALUCIA [24035350]</t>
  </si>
  <si>
    <t>CARDON EL AUT [35235010]</t>
  </si>
  <si>
    <t>SIERRA NEVAD COCUY [24035240]</t>
  </si>
  <si>
    <t>LAGUNA LA [26135140]</t>
  </si>
  <si>
    <t>Fecha</t>
  </si>
  <si>
    <t>Hoja</t>
  </si>
  <si>
    <t>Descripción</t>
  </si>
  <si>
    <t>Responsale</t>
  </si>
  <si>
    <t>Temperatura</t>
  </si>
  <si>
    <t>Se ajusto formula de MIN_MES, agregando condicionante para las estaciones que no presentan datos en el periodo de tiempo evaluado, se ajusta formula de RECORD_DIA con el fin de definir que se evalue el ultimo dato evaluado.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</si>
  <si>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</si>
  <si>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y Maximos con el sobrenombre del TMIN.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</si>
</sst>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0;[Red]0"/>
    <numFmt numFmtId="169" formatCode="#,##0.0"/>
    <numFmt numFmtId="170" formatCode="_-* #,##0\ _€_-;\-* #,##0\ _€_-;_-* &quot;-&quot;\ _€_-;_-@_-"/>
    <numFmt numFmtId="171" formatCode="#."/>
    <numFmt numFmtId="172" formatCode="_ [$€-2]\ * #,##0.00_ ;_ [$€-2]\ * \-#,##0.00_ ;_ [$€-2]\ * &quot;-&quot;??_ "/>
    <numFmt numFmtId="173" formatCode="_ [$€-2]\ * #,##0.00_ ;_ [$€-2]\ * \-#,##0.00_ ;_ [$€-2]\ * \-??_ "/>
    <numFmt numFmtId="174" formatCode="_-* #,##0.00\ _€_-;\-* #,##0.00\ _€_-;_-* &quot;-&quot;??\ _€_-;_-@_-"/>
    <numFmt numFmtId="175" formatCode="General_)"/>
  </numFmts>
  <fonts count="51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u/>
      <sz val="11"/>
      <name val="Arial"/>
      <family val="2"/>
    </font>
    <font>
      <u/>
      <sz val="11"/>
      <name val="Arial"/>
      <family val="2"/>
    </font>
    <font>
      <sz val="12"/>
      <name val="Courier"/>
    </font>
    <font>
      <sz val="12"/>
      <color theme="1"/>
      <name val="Calibri"/>
      <family val="2"/>
      <scheme val="minor"/>
    </font>
    <font>
      <sz val="11"/>
      <color rgb="FFFF0000"/>
      <name val="Arial"/>
      <family val="2"/>
    </font>
    <font>
      <sz val="11"/>
      <color theme="1"/>
      <name val="Arial"/>
      <family val="2"/>
    </font>
  </fonts>
  <fills count="32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11">
    <xf numFmtId="0" fontId="0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6" fillId="4" borderId="0"/>
    <xf numFmtId="0" fontId="7" fillId="16" borderId="1"/>
    <xf numFmtId="0" fontId="8" fillId="17" borderId="2"/>
    <xf numFmtId="0" fontId="9" fillId="0" borderId="3"/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3" fillId="18" borderId="4">
      <alignment horizontal="center" vertical="center" wrapText="1"/>
    </xf>
    <xf numFmtId="171" fontId="23" fillId="0" borderId="0">
      <protection locked="0"/>
    </xf>
    <xf numFmtId="171" fontId="23" fillId="0" borderId="0">
      <protection locked="0"/>
    </xf>
    <xf numFmtId="0" fontId="10" fillId="0" borderId="0"/>
    <xf numFmtId="0" fontId="5" fillId="19" borderId="0"/>
    <xf numFmtId="0" fontId="5" fillId="20" borderId="0"/>
    <xf numFmtId="0" fontId="5" fillId="21" borderId="0"/>
    <xf numFmtId="0" fontId="5" fillId="13" borderId="0"/>
    <xf numFmtId="0" fontId="5" fillId="14" borderId="0"/>
    <xf numFmtId="0" fontId="5" fillId="22" borderId="0"/>
    <xf numFmtId="0" fontId="11" fillId="7" borderId="1"/>
    <xf numFmtId="172" fontId="27" fillId="0" borderId="0"/>
    <xf numFmtId="173" fontId="27" fillId="0" borderId="0"/>
    <xf numFmtId="171" fontId="23" fillId="0" borderId="0">
      <protection locked="0"/>
    </xf>
    <xf numFmtId="171" fontId="23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0" fontId="12" fillId="3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13" fillId="23" borderId="0"/>
    <xf numFmtId="0" fontId="27" fillId="0" borderId="0"/>
    <xf numFmtId="0" fontId="27" fillId="0" borderId="0"/>
    <xf numFmtId="0" fontId="26" fillId="0" borderId="0"/>
    <xf numFmtId="0" fontId="25" fillId="0" borderId="0"/>
    <xf numFmtId="175" fontId="21" fillId="0" borderId="0"/>
    <xf numFmtId="175" fontId="21" fillId="0" borderId="0"/>
    <xf numFmtId="0" fontId="27" fillId="24" borderId="6"/>
    <xf numFmtId="171" fontId="22" fillId="0" borderId="0">
      <protection locked="0"/>
    </xf>
    <xf numFmtId="171" fontId="22" fillId="0" borderId="0">
      <protection locked="0"/>
    </xf>
    <xf numFmtId="9" fontId="27" fillId="0" borderId="0"/>
    <xf numFmtId="0" fontId="14" fillId="16" borderId="7"/>
    <xf numFmtId="0" fontId="15" fillId="0" borderId="0"/>
    <xf numFmtId="0" fontId="16" fillId="0" borderId="0"/>
    <xf numFmtId="0" fontId="18" fillId="0" borderId="5"/>
    <xf numFmtId="0" fontId="19" fillId="0" borderId="8"/>
    <xf numFmtId="0" fontId="10" fillId="0" borderId="9"/>
    <xf numFmtId="0" fontId="17" fillId="0" borderId="0"/>
    <xf numFmtId="0" fontId="20" fillId="0" borderId="10"/>
    <xf numFmtId="171" fontId="23" fillId="0" borderId="11">
      <protection locked="0"/>
    </xf>
    <xf numFmtId="171" fontId="23" fillId="0" borderId="11">
      <protection locked="0"/>
    </xf>
    <xf numFmtId="9" fontId="27" fillId="0" borderId="0"/>
    <xf numFmtId="0" fontId="25" fillId="0" borderId="0"/>
    <xf numFmtId="0" fontId="25" fillId="0" borderId="0"/>
    <xf numFmtId="170" fontId="4" fillId="0" borderId="0"/>
    <xf numFmtId="0" fontId="25" fillId="0" borderId="0"/>
    <xf numFmtId="0" fontId="27" fillId="0" borderId="0"/>
    <xf numFmtId="0" fontId="27" fillId="0" borderId="0"/>
    <xf numFmtId="172" fontId="27" fillId="0" borderId="0"/>
    <xf numFmtId="173" fontId="27" fillId="0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27" fillId="0" borderId="0"/>
    <xf numFmtId="0" fontId="27" fillId="0" borderId="0"/>
    <xf numFmtId="0" fontId="25" fillId="0" borderId="0"/>
    <xf numFmtId="0" fontId="27" fillId="24" borderId="6"/>
    <xf numFmtId="9" fontId="27" fillId="0" borderId="0"/>
    <xf numFmtId="9" fontId="27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5" fillId="0" borderId="0"/>
    <xf numFmtId="0" fontId="39" fillId="0" borderId="0"/>
    <xf numFmtId="0" fontId="27" fillId="0" borderId="0"/>
    <xf numFmtId="175" fontId="47" fillId="0" borderId="0"/>
    <xf numFmtId="0" fontId="27" fillId="0" borderId="0"/>
    <xf numFmtId="0" fontId="48" fillId="0" borderId="0"/>
    <xf numFmtId="44" fontId="25" fillId="0" borderId="0"/>
    <xf numFmtId="0" fontId="25" fillId="0" borderId="0"/>
  </cellStyleXfs>
  <cellXfs count="128">
    <xf numFmtId="0" fontId="0" fillId="0" borderId="0" xfId="0"/>
    <xf numFmtId="0" fontId="32" fillId="27" borderId="22" xfId="0" applyFont="1" applyFill="1" applyBorder="1" applyAlignment="1">
      <alignment horizontal="center" vertical="center"/>
    </xf>
    <xf numFmtId="0" fontId="32" fillId="27" borderId="23" xfId="0" applyFont="1" applyFill="1" applyBorder="1" applyAlignment="1">
      <alignment horizontal="center" vertical="center"/>
    </xf>
    <xf numFmtId="164" fontId="32" fillId="27" borderId="23" xfId="0" applyNumberFormat="1" applyFont="1" applyFill="1" applyBorder="1" applyAlignment="1">
      <alignment horizontal="center" vertical="center"/>
    </xf>
    <xf numFmtId="2" fontId="32" fillId="27" borderId="23" xfId="0" applyNumberFormat="1" applyFont="1" applyFill="1" applyBorder="1" applyAlignment="1">
      <alignment horizontal="center" vertical="center"/>
    </xf>
    <xf numFmtId="2" fontId="32" fillId="27" borderId="24" xfId="0" applyNumberFormat="1" applyFont="1" applyFill="1" applyBorder="1" applyAlignment="1">
      <alignment horizontal="center" vertical="center"/>
    </xf>
    <xf numFmtId="0" fontId="32" fillId="27" borderId="25" xfId="0" applyFont="1" applyFill="1" applyBorder="1" applyAlignment="1">
      <alignment horizontal="center" vertical="center"/>
    </xf>
    <xf numFmtId="0" fontId="32" fillId="27" borderId="24" xfId="0" applyFont="1" applyFill="1" applyBorder="1" applyAlignment="1">
      <alignment horizontal="center" vertical="center"/>
    </xf>
    <xf numFmtId="165" fontId="33" fillId="27" borderId="25" xfId="0" applyNumberFormat="1" applyFont="1" applyFill="1" applyBorder="1" applyAlignment="1">
      <alignment horizontal="center" vertical="center" wrapText="1"/>
    </xf>
    <xf numFmtId="0" fontId="33" fillId="27" borderId="24" xfId="0" applyFont="1" applyFill="1" applyBorder="1" applyAlignment="1">
      <alignment horizontal="center" vertical="center" wrapText="1"/>
    </xf>
    <xf numFmtId="0" fontId="34" fillId="0" borderId="26" xfId="0" applyFont="1" applyBorder="1" applyAlignment="1">
      <alignment horizontal="center" vertical="center"/>
    </xf>
    <xf numFmtId="0" fontId="35" fillId="0" borderId="12" xfId="0" applyFont="1" applyBorder="1" applyAlignment="1">
      <alignment horizontal="center" vertical="center"/>
    </xf>
    <xf numFmtId="2" fontId="35" fillId="0" borderId="12" xfId="0" applyNumberFormat="1" applyFont="1" applyBorder="1" applyAlignment="1">
      <alignment horizontal="center" vertical="center"/>
    </xf>
    <xf numFmtId="2" fontId="35" fillId="0" borderId="16" xfId="0" applyNumberFormat="1" applyFont="1" applyBorder="1" applyAlignment="1">
      <alignment horizontal="center" vertical="center"/>
    </xf>
    <xf numFmtId="166" fontId="34" fillId="0" borderId="15" xfId="0" applyNumberFormat="1" applyFont="1" applyBorder="1" applyAlignment="1">
      <alignment horizontal="center" vertical="center"/>
    </xf>
    <xf numFmtId="166" fontId="34" fillId="0" borderId="12" xfId="0" applyNumberFormat="1" applyFont="1" applyBorder="1" applyAlignment="1">
      <alignment horizontal="center" vertical="center"/>
    </xf>
    <xf numFmtId="166" fontId="34" fillId="0" borderId="16" xfId="0" applyNumberFormat="1" applyFont="1" applyBorder="1" applyAlignment="1">
      <alignment horizontal="center" vertical="center"/>
    </xf>
    <xf numFmtId="1" fontId="34" fillId="0" borderId="15" xfId="0" applyNumberFormat="1" applyFont="1" applyBorder="1" applyAlignment="1">
      <alignment horizontal="center" vertical="center"/>
    </xf>
    <xf numFmtId="167" fontId="34" fillId="0" borderId="16" xfId="0" applyNumberFormat="1" applyFont="1" applyBorder="1" applyAlignment="1">
      <alignment horizontal="center" vertical="center"/>
    </xf>
    <xf numFmtId="0" fontId="36" fillId="0" borderId="13" xfId="58" applyFont="1" applyBorder="1" applyAlignment="1">
      <alignment horizontal="center" vertical="center"/>
    </xf>
    <xf numFmtId="0" fontId="34" fillId="0" borderId="20" xfId="0" applyFont="1" applyBorder="1" applyAlignment="1">
      <alignment horizontal="center" vertical="center"/>
    </xf>
    <xf numFmtId="0" fontId="36" fillId="0" borderId="12" xfId="58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7" fontId="39" fillId="0" borderId="16" xfId="78" applyNumberFormat="1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6" fillId="0" borderId="18" xfId="58" applyFont="1" applyBorder="1" applyAlignment="1">
      <alignment horizontal="center" vertical="center"/>
    </xf>
    <xf numFmtId="2" fontId="36" fillId="0" borderId="18" xfId="58" applyNumberFormat="1" applyFont="1" applyBorder="1" applyAlignment="1">
      <alignment horizontal="center" vertical="center"/>
    </xf>
    <xf numFmtId="2" fontId="36" fillId="0" borderId="27" xfId="58" applyNumberFormat="1" applyFont="1" applyBorder="1" applyAlignment="1">
      <alignment horizontal="center" vertical="center"/>
    </xf>
    <xf numFmtId="166" fontId="37" fillId="0" borderId="19" xfId="0" applyNumberFormat="1" applyFont="1" applyBorder="1" applyAlignment="1">
      <alignment horizontal="center" vertical="center"/>
    </xf>
    <xf numFmtId="166" fontId="37" fillId="0" borderId="18" xfId="0" applyNumberFormat="1" applyFont="1" applyBorder="1" applyAlignment="1">
      <alignment horizontal="center" vertical="center"/>
    </xf>
    <xf numFmtId="167" fontId="39" fillId="0" borderId="27" xfId="78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" fontId="38" fillId="0" borderId="15" xfId="0" applyNumberFormat="1" applyFont="1" applyBorder="1" applyAlignment="1">
      <alignment horizontal="center" vertical="center"/>
    </xf>
    <xf numFmtId="166" fontId="37" fillId="0" borderId="27" xfId="0" applyNumberFormat="1" applyFont="1" applyBorder="1" applyAlignment="1">
      <alignment horizontal="center" vertical="center"/>
    </xf>
    <xf numFmtId="1" fontId="38" fillId="0" borderId="19" xfId="0" applyNumberFormat="1" applyFont="1" applyBorder="1" applyAlignment="1">
      <alignment horizontal="center" vertical="center"/>
    </xf>
    <xf numFmtId="0" fontId="0" fillId="0" borderId="12" xfId="0" applyBorder="1"/>
    <xf numFmtId="0" fontId="40" fillId="0" borderId="12" xfId="0" applyFont="1" applyBorder="1"/>
    <xf numFmtId="166" fontId="0" fillId="0" borderId="12" xfId="0" applyNumberFormat="1" applyBorder="1"/>
    <xf numFmtId="0" fontId="29" fillId="0" borderId="12" xfId="0" applyFont="1" applyBorder="1" applyAlignment="1">
      <alignment horizontal="center" vertical="center"/>
    </xf>
    <xf numFmtId="0" fontId="42" fillId="0" borderId="12" xfId="0" applyFont="1" applyBorder="1" applyAlignment="1">
      <alignment horizontal="center" vertical="center"/>
    </xf>
    <xf numFmtId="0" fontId="42" fillId="25" borderId="12" xfId="0" applyFont="1" applyFill="1" applyBorder="1" applyAlignment="1">
      <alignment horizontal="left" vertical="center"/>
    </xf>
    <xf numFmtId="1" fontId="42" fillId="0" borderId="12" xfId="0" applyNumberFormat="1" applyFont="1" applyBorder="1" applyAlignment="1">
      <alignment horizontal="center" vertical="center"/>
    </xf>
    <xf numFmtId="2" fontId="42" fillId="25" borderId="12" xfId="0" applyNumberFormat="1" applyFont="1" applyFill="1" applyBorder="1" applyAlignment="1">
      <alignment horizontal="center"/>
    </xf>
    <xf numFmtId="0" fontId="42" fillId="25" borderId="12" xfId="0" applyFont="1" applyFill="1" applyBorder="1" applyAlignment="1">
      <alignment horizontal="center"/>
    </xf>
    <xf numFmtId="166" fontId="42" fillId="0" borderId="12" xfId="0" applyNumberFormat="1" applyFont="1" applyBorder="1" applyAlignment="1">
      <alignment horizontal="right" vertical="center"/>
    </xf>
    <xf numFmtId="1" fontId="42" fillId="0" borderId="12" xfId="0" applyNumberFormat="1" applyFont="1" applyBorder="1" applyAlignment="1">
      <alignment horizontal="left" vertical="center"/>
    </xf>
    <xf numFmtId="2" fontId="42" fillId="0" borderId="12" xfId="0" applyNumberFormat="1" applyFont="1" applyBorder="1" applyAlignment="1">
      <alignment horizontal="center"/>
    </xf>
    <xf numFmtId="0" fontId="42" fillId="0" borderId="12" xfId="0" applyFont="1" applyBorder="1" applyAlignment="1">
      <alignment horizontal="center"/>
    </xf>
    <xf numFmtId="0" fontId="42" fillId="0" borderId="12" xfId="0" applyFont="1" applyBorder="1" applyAlignment="1">
      <alignment horizontal="left" vertical="center"/>
    </xf>
    <xf numFmtId="0" fontId="41" fillId="0" borderId="12" xfId="82" applyFont="1" applyBorder="1" applyAlignment="1">
      <alignment horizontal="center" vertical="center" wrapText="1"/>
    </xf>
    <xf numFmtId="0" fontId="1" fillId="0" borderId="12" xfId="82" applyFont="1" applyBorder="1" applyAlignment="1">
      <alignment horizontal="center"/>
    </xf>
    <xf numFmtId="0" fontId="1" fillId="0" borderId="12" xfId="82" applyFont="1" applyBorder="1" applyAlignment="1">
      <alignment horizontal="left"/>
    </xf>
    <xf numFmtId="0" fontId="1" fillId="0" borderId="12" xfId="82" applyFont="1" applyBorder="1" applyAlignment="1">
      <alignment vertical="center" wrapText="1"/>
    </xf>
    <xf numFmtId="14" fontId="2" fillId="0" borderId="12" xfId="83" applyNumberFormat="1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 wrapText="1"/>
    </xf>
    <xf numFmtId="0" fontId="42" fillId="25" borderId="12" xfId="0" applyFont="1" applyFill="1" applyBorder="1" applyAlignment="1">
      <alignment horizontal="left"/>
    </xf>
    <xf numFmtId="0" fontId="42" fillId="0" borderId="12" xfId="0" applyFont="1" applyBorder="1" applyAlignment="1">
      <alignment horizontal="left"/>
    </xf>
    <xf numFmtId="1" fontId="43" fillId="26" borderId="12" xfId="0" applyNumberFormat="1" applyFont="1" applyFill="1" applyBorder="1" applyAlignment="1">
      <alignment horizontal="center" vertical="center" wrapText="1"/>
    </xf>
    <xf numFmtId="0" fontId="43" fillId="26" borderId="12" xfId="0" applyFont="1" applyFill="1" applyBorder="1" applyAlignment="1">
      <alignment horizontal="center" vertical="center"/>
    </xf>
    <xf numFmtId="168" fontId="43" fillId="26" borderId="12" xfId="0" applyNumberFormat="1" applyFont="1" applyFill="1" applyBorder="1" applyAlignment="1">
      <alignment horizontal="center" vertical="center"/>
    </xf>
    <xf numFmtId="1" fontId="43" fillId="26" borderId="12" xfId="0" applyNumberFormat="1" applyFont="1" applyFill="1" applyBorder="1" applyAlignment="1">
      <alignment horizontal="center" vertical="center"/>
    </xf>
    <xf numFmtId="166" fontId="43" fillId="26" borderId="12" xfId="0" applyNumberFormat="1" applyFont="1" applyFill="1" applyBorder="1" applyAlignment="1">
      <alignment horizontal="center" vertical="center" wrapText="1"/>
    </xf>
    <xf numFmtId="0" fontId="43" fillId="26" borderId="12" xfId="0" applyFont="1" applyFill="1" applyBorder="1" applyAlignment="1">
      <alignment horizontal="center" vertical="center" wrapText="1"/>
    </xf>
    <xf numFmtId="166" fontId="43" fillId="26" borderId="12" xfId="0" applyNumberFormat="1" applyFont="1" applyFill="1" applyBorder="1" applyAlignment="1">
      <alignment horizontal="center" vertical="center"/>
    </xf>
    <xf numFmtId="0" fontId="44" fillId="28" borderId="12" xfId="0" applyFont="1" applyFill="1" applyBorder="1" applyAlignment="1">
      <alignment horizontal="center"/>
    </xf>
    <xf numFmtId="0" fontId="45" fillId="0" borderId="0" xfId="0" applyFont="1" applyAlignment="1">
      <alignment horizontal="left" vertical="center"/>
    </xf>
    <xf numFmtId="0" fontId="42" fillId="0" borderId="0" xfId="0" applyFont="1"/>
    <xf numFmtId="0" fontId="46" fillId="0" borderId="0" xfId="0" applyFont="1" applyAlignment="1">
      <alignment horizontal="left" vertical="center"/>
    </xf>
    <xf numFmtId="0" fontId="42" fillId="0" borderId="0" xfId="0" applyFont="1" applyAlignment="1">
      <alignment vertical="center"/>
    </xf>
    <xf numFmtId="0" fontId="42" fillId="0" borderId="0" xfId="0" applyFont="1" applyAlignment="1">
      <alignment horizontal="center" vertical="center"/>
    </xf>
    <xf numFmtId="166" fontId="42" fillId="0" borderId="0" xfId="0" applyNumberFormat="1" applyFont="1"/>
    <xf numFmtId="166" fontId="43" fillId="0" borderId="0" xfId="0" applyNumberFormat="1" applyFont="1" applyAlignment="1">
      <alignment horizontal="center"/>
    </xf>
    <xf numFmtId="166" fontId="43" fillId="0" borderId="0" xfId="0" applyNumberFormat="1" applyFont="1"/>
    <xf numFmtId="1" fontId="43" fillId="28" borderId="12" xfId="0" applyNumberFormat="1" applyFont="1" applyFill="1" applyBorder="1" applyAlignment="1">
      <alignment horizontal="center"/>
    </xf>
    <xf numFmtId="0" fontId="43" fillId="28" borderId="12" xfId="0" applyFont="1" applyFill="1" applyBorder="1" applyAlignment="1">
      <alignment horizontal="center"/>
    </xf>
    <xf numFmtId="49" fontId="43" fillId="28" borderId="12" xfId="0" applyNumberFormat="1" applyFont="1" applyFill="1" applyBorder="1" applyAlignment="1">
      <alignment horizontal="center" vertical="center"/>
    </xf>
    <xf numFmtId="166" fontId="42" fillId="0" borderId="0" xfId="0" applyNumberFormat="1" applyFont="1" applyAlignment="1">
      <alignment vertical="center"/>
    </xf>
    <xf numFmtId="0" fontId="45" fillId="0" borderId="0" xfId="0" applyFont="1" applyAlignment="1">
      <alignment vertical="center"/>
    </xf>
    <xf numFmtId="0" fontId="45" fillId="0" borderId="0" xfId="0" applyFont="1" applyAlignment="1">
      <alignment horizontal="right" vertical="center"/>
    </xf>
    <xf numFmtId="0" fontId="43" fillId="0" borderId="0" xfId="0" applyFont="1" applyAlignment="1">
      <alignment horizontal="center"/>
    </xf>
    <xf numFmtId="1" fontId="42" fillId="0" borderId="12" xfId="0" applyNumberFormat="1" applyFont="1" applyBorder="1" applyAlignment="1">
      <alignment horizontal="center"/>
    </xf>
    <xf numFmtId="166" fontId="42" fillId="0" borderId="12" xfId="0" applyNumberFormat="1" applyFont="1" applyBorder="1" applyAlignment="1">
      <alignment horizontal="center"/>
    </xf>
    <xf numFmtId="166" fontId="42" fillId="0" borderId="12" xfId="0" applyNumberFormat="1" applyFont="1" applyBorder="1" applyAlignment="1">
      <alignment horizontal="center" vertical="center"/>
    </xf>
    <xf numFmtId="14" fontId="42" fillId="0" borderId="12" xfId="0" applyNumberFormat="1" applyFont="1" applyBorder="1" applyAlignment="1">
      <alignment horizontal="center" vertical="center"/>
    </xf>
    <xf numFmtId="169" fontId="42" fillId="0" borderId="12" xfId="0" applyNumberFormat="1" applyFont="1" applyBorder="1" applyAlignment="1">
      <alignment horizontal="center" vertical="center"/>
    </xf>
    <xf numFmtId="2" fontId="42" fillId="0" borderId="12" xfId="0" applyNumberFormat="1" applyFont="1" applyBorder="1" applyAlignment="1">
      <alignment horizontal="center" vertical="center"/>
    </xf>
    <xf numFmtId="1" fontId="42" fillId="0" borderId="0" xfId="0" applyNumberFormat="1" applyFont="1"/>
    <xf numFmtId="0" fontId="42" fillId="0" borderId="0" xfId="0" applyFont="1" applyAlignment="1">
      <alignment horizontal="right" vertical="center"/>
    </xf>
    <xf numFmtId="166" fontId="42" fillId="0" borderId="0" xfId="0" applyNumberFormat="1" applyFont="1" applyAlignment="1">
      <alignment horizontal="right" vertical="center"/>
    </xf>
    <xf numFmtId="166" fontId="44" fillId="28" borderId="12" xfId="0" applyNumberFormat="1" applyFont="1" applyFill="1" applyBorder="1" applyAlignment="1">
      <alignment horizontal="center"/>
    </xf>
    <xf numFmtId="0" fontId="42" fillId="29" borderId="12" xfId="0" applyFont="1" applyFill="1" applyBorder="1" applyAlignment="1">
      <alignment horizontal="center" vertical="center"/>
    </xf>
    <xf numFmtId="0" fontId="42" fillId="29" borderId="12" xfId="0" applyFont="1" applyFill="1" applyBorder="1" applyAlignment="1">
      <alignment horizontal="left" vertical="center"/>
    </xf>
    <xf numFmtId="1" fontId="42" fillId="29" borderId="12" xfId="0" applyNumberFormat="1" applyFont="1" applyFill="1" applyBorder="1" applyAlignment="1">
      <alignment horizontal="left" vertical="center"/>
    </xf>
    <xf numFmtId="2" fontId="42" fillId="29" borderId="12" xfId="0" applyNumberFormat="1" applyFont="1" applyFill="1" applyBorder="1" applyAlignment="1">
      <alignment horizontal="center"/>
    </xf>
    <xf numFmtId="0" fontId="42" fillId="29" borderId="12" xfId="0" applyFont="1" applyFill="1" applyBorder="1" applyAlignment="1">
      <alignment horizontal="center"/>
    </xf>
    <xf numFmtId="0" fontId="42" fillId="29" borderId="12" xfId="0" applyFont="1" applyFill="1" applyBorder="1" applyAlignment="1">
      <alignment horizontal="left"/>
    </xf>
    <xf numFmtId="0" fontId="0" fillId="0" borderId="21" xfId="0" applyBorder="1"/>
    <xf numFmtId="0" fontId="30" fillId="26" borderId="28" xfId="0" applyFont="1" applyFill="1" applyBorder="1" applyAlignment="1">
      <alignment vertical="center"/>
    </xf>
    <xf numFmtId="0" fontId="0" fillId="0" borderId="14" xfId="0" applyBorder="1"/>
    <xf numFmtId="0" fontId="28" fillId="26" borderId="28" xfId="0" applyFont="1" applyFill="1" applyBorder="1" applyAlignment="1">
      <alignment vertical="center"/>
    </xf>
    <xf numFmtId="166" fontId="42" fillId="29" borderId="12" xfId="0" applyNumberFormat="1" applyFont="1" applyFill="1" applyBorder="1" applyAlignment="1">
      <alignment horizontal="right" vertical="center"/>
    </xf>
    <xf numFmtId="166" fontId="42" fillId="30" borderId="12" xfId="0" applyNumberFormat="1" applyFont="1" applyFill="1" applyBorder="1" applyAlignment="1">
      <alignment horizontal="right" vertical="center"/>
    </xf>
    <xf numFmtId="0" fontId="2" fillId="0" borderId="0" xfId="94" applyFont="1"/>
    <xf numFmtId="166" fontId="42" fillId="0" borderId="12" xfId="94" applyNumberFormat="1" applyFont="1" applyBorder="1" applyAlignment="1">
      <alignment horizontal="right" vertical="center"/>
    </xf>
    <xf numFmtId="0" fontId="43" fillId="26" borderId="12" xfId="94" applyFont="1" applyFill="1" applyBorder="1" applyAlignment="1">
      <alignment horizontal="center" vertical="center"/>
    </xf>
    <xf numFmtId="0" fontId="42" fillId="0" borderId="0" xfId="94" applyFont="1" applyAlignment="1">
      <alignment horizontal="center" vertical="center"/>
    </xf>
    <xf numFmtId="0" fontId="45" fillId="0" borderId="0" xfId="94" applyFont="1" applyAlignment="1">
      <alignment vertical="center"/>
    </xf>
    <xf numFmtId="166" fontId="42" fillId="29" borderId="12" xfId="94" applyNumberFormat="1" applyFont="1" applyFill="1" applyBorder="1" applyAlignment="1">
      <alignment horizontal="right" vertical="center"/>
    </xf>
    <xf numFmtId="166" fontId="42" fillId="31" borderId="12" xfId="0" applyNumberFormat="1" applyFont="1" applyFill="1" applyBorder="1" applyAlignment="1">
      <alignment horizontal="right" vertical="center"/>
    </xf>
    <xf numFmtId="166" fontId="42" fillId="31" borderId="12" xfId="94" applyNumberFormat="1" applyFont="1" applyFill="1" applyBorder="1" applyAlignment="1">
      <alignment horizontal="right" vertical="center"/>
    </xf>
    <xf numFmtId="0" fontId="42" fillId="31" borderId="0" xfId="0" applyFont="1" applyFill="1"/>
    <xf numFmtId="166" fontId="49" fillId="0" borderId="12" xfId="0" applyNumberFormat="1" applyFont="1" applyBorder="1" applyAlignment="1">
      <alignment horizontal="right" vertical="center"/>
    </xf>
    <xf numFmtId="166" fontId="50" fillId="0" borderId="12" xfId="0" applyNumberFormat="1" applyFont="1" applyBorder="1" applyAlignment="1">
      <alignment horizontal="right" vertical="center"/>
    </xf>
    <xf numFmtId="170" fontId="31" fillId="26" borderId="21" xfId="81" applyFont="1" applyFill="1" applyBorder="1" applyAlignment="1">
      <alignment horizontal="center" vertical="center" wrapText="1"/>
    </xf>
    <xf numFmtId="0" fontId="0" fillId="0" borderId="21" xfId="0" applyBorder="1"/>
    <xf numFmtId="0" fontId="40" fillId="0" borderId="12" xfId="0" applyFont="1" applyBorder="1" applyAlignment="1">
      <alignment horizontal="center" vertical="center"/>
    </xf>
    <xf numFmtId="0" fontId="0" fillId="0" borderId="13" xfId="0" applyBorder="1"/>
    <xf numFmtId="0" fontId="40" fillId="0" borderId="12" xfId="0" applyFont="1" applyBorder="1" applyAlignment="1">
      <alignment horizontal="center"/>
    </xf>
    <xf numFmtId="0" fontId="0" fillId="0" borderId="29" xfId="0" applyBorder="1"/>
    <xf numFmtId="0" fontId="0" fillId="0" borderId="15" xfId="0" applyBorder="1"/>
  </cellXfs>
  <cellStyles count="111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Euro 2 2" xfId="86" xr:uid="{00000000-0005-0000-0000-000056000000}"/>
    <cellStyle name="Euro 3" xfId="85" xr:uid="{00000000-0005-0000-0000-000055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2 2" xfId="87" xr:uid="{00000000-0005-0000-0000-000057000000}"/>
    <cellStyle name="Millares 3" xfId="52" xr:uid="{00000000-0005-0000-0000-000034000000}"/>
    <cellStyle name="Millares 3 2" xfId="88" xr:uid="{00000000-0005-0000-0000-000058000000}"/>
    <cellStyle name="Millares 4" xfId="53" xr:uid="{00000000-0005-0000-0000-000035000000}"/>
    <cellStyle name="Millares 4 2" xfId="89" xr:uid="{00000000-0005-0000-0000-000059000000}"/>
    <cellStyle name="Millares 5" xfId="54" xr:uid="{00000000-0005-0000-0000-000036000000}"/>
    <cellStyle name="Millares 5 2" xfId="90" xr:uid="{00000000-0005-0000-0000-00005A000000}"/>
    <cellStyle name="Millares 6" xfId="55" xr:uid="{00000000-0005-0000-0000-000037000000}"/>
    <cellStyle name="Millares 6 2" xfId="91" xr:uid="{00000000-0005-0000-0000-00005B000000}"/>
    <cellStyle name="Millares 7" xfId="56" xr:uid="{00000000-0005-0000-0000-000038000000}"/>
    <cellStyle name="Millares 7 2" xfId="92" xr:uid="{00000000-0005-0000-0000-00005C000000}"/>
    <cellStyle name="Moneda 2" xfId="109" xr:uid="{00000000-0005-0000-0000-00006D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2 2" xfId="94" xr:uid="{00000000-0005-0000-0000-00005E000000}"/>
    <cellStyle name="Normal 2 2 3" xfId="110" xr:uid="{00000000-0005-0000-0000-00006E000000}"/>
    <cellStyle name="Normal 2 3" xfId="80" xr:uid="{00000000-0005-0000-0000-000050000000}"/>
    <cellStyle name="Normal 2 3 2" xfId="100" xr:uid="{00000000-0005-0000-0000-000064000000}"/>
    <cellStyle name="Normal 2 4" xfId="93" xr:uid="{00000000-0005-0000-0000-00005D000000}"/>
    <cellStyle name="Normal 2 5" xfId="104" xr:uid="{00000000-0005-0000-0000-000068000000}"/>
    <cellStyle name="Normal 3" xfId="60" xr:uid="{00000000-0005-0000-0000-00003C000000}"/>
    <cellStyle name="Normal 3 2" xfId="61" xr:uid="{00000000-0005-0000-0000-00003D000000}"/>
    <cellStyle name="Normal 3 2 2" xfId="95" xr:uid="{00000000-0005-0000-0000-00005F000000}"/>
    <cellStyle name="Normal 3 3" xfId="107" xr:uid="{00000000-0005-0000-0000-00006B000000}"/>
    <cellStyle name="Normal 3 4" xfId="105" xr:uid="{00000000-0005-0000-0000-000069000000}"/>
    <cellStyle name="Normal 4" xfId="62" xr:uid="{00000000-0005-0000-0000-00003E000000}"/>
    <cellStyle name="Normal 4 2" xfId="63" xr:uid="{00000000-0005-0000-0000-00003F000000}"/>
    <cellStyle name="Normal 4 3" xfId="106" xr:uid="{00000000-0005-0000-0000-00006A000000}"/>
    <cellStyle name="Normal 5" xfId="79" xr:uid="{00000000-0005-0000-0000-00004F000000}"/>
    <cellStyle name="Normal 5 2" xfId="99" xr:uid="{00000000-0005-0000-0000-000063000000}"/>
    <cellStyle name="Normal 5 3" xfId="108" xr:uid="{00000000-0005-0000-0000-00006C000000}"/>
    <cellStyle name="Normal 6" xfId="83" xr:uid="{00000000-0005-0000-0000-000053000000}"/>
    <cellStyle name="Normal 6 2" xfId="102" xr:uid="{00000000-0005-0000-0000-000066000000}"/>
    <cellStyle name="Normal 7" xfId="82" xr:uid="{00000000-0005-0000-0000-000052000000}"/>
    <cellStyle name="Normal 7 2" xfId="101" xr:uid="{00000000-0005-0000-0000-000065000000}"/>
    <cellStyle name="Normal 8" xfId="84" xr:uid="{00000000-0005-0000-0000-000054000000}"/>
    <cellStyle name="Normal 9" xfId="103" xr:uid="{00000000-0005-0000-0000-000067000000}"/>
    <cellStyle name="Notas 2" xfId="64" xr:uid="{00000000-0005-0000-0000-000040000000}"/>
    <cellStyle name="Notas 2 2" xfId="96" xr:uid="{00000000-0005-0000-0000-00006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aje 2" xfId="98" xr:uid="{00000000-0005-0000-0000-000062000000}"/>
    <cellStyle name="Porcentual 2" xfId="67" xr:uid="{00000000-0005-0000-0000-000043000000}"/>
    <cellStyle name="Porcentual 2 2" xfId="97" xr:uid="{00000000-0005-0000-0000-000061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17"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color theme="1"/>
      </font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W208"/>
  <sheetViews>
    <sheetView tabSelected="1" topLeftCell="G1" zoomScale="80" zoomScaleNormal="80" workbookViewId="0">
      <selection activeCell="AA15" sqref="AA15"/>
    </sheetView>
  </sheetViews>
  <sheetFormatPr baseColWidth="10" defaultColWidth="32.42578125" defaultRowHeight="15" x14ac:dyDescent="0.25"/>
  <cols>
    <col min="1" max="1" width="16.7109375" style="94" customWidth="1"/>
    <col min="2" max="2" width="36.28515625" style="74" customWidth="1"/>
    <col min="3" max="3" width="46.140625" style="74" customWidth="1"/>
    <col min="4" max="4" width="16.5703125" style="74" bestFit="1" customWidth="1"/>
    <col min="5" max="5" width="11.7109375" style="74" customWidth="1"/>
    <col min="6" max="6" width="9.140625" style="74" customWidth="1"/>
    <col min="7" max="7" width="13.85546875" style="74" customWidth="1"/>
    <col min="8" max="8" width="20.140625" style="74" customWidth="1"/>
    <col min="9" max="9" width="58.7109375" style="74" bestFit="1" customWidth="1"/>
    <col min="10" max="10" width="31" style="74" bestFit="1" customWidth="1"/>
    <col min="11" max="41" width="7.28515625" style="74" customWidth="1"/>
    <col min="42" max="42" width="15.5703125" style="78" customWidth="1"/>
    <col min="43" max="43" width="20.7109375" style="78" customWidth="1"/>
    <col min="44" max="44" width="24.85546875" style="79" customWidth="1"/>
    <col min="45" max="45" width="13.28515625" style="80" bestFit="1" customWidth="1"/>
    <col min="46" max="46" width="13.7109375" style="74" customWidth="1"/>
    <col min="47" max="47" width="20.42578125" style="74" bestFit="1" customWidth="1"/>
    <col min="48" max="48" width="15" style="74" customWidth="1"/>
    <col min="49" max="49" width="15.42578125" style="74" bestFit="1" customWidth="1"/>
    <col min="50" max="182" width="32.42578125" style="74" customWidth="1"/>
    <col min="183" max="16384" width="32.42578125" style="74"/>
  </cols>
  <sheetData>
    <row r="1" spans="1:49" x14ac:dyDescent="0.25">
      <c r="A1" s="73"/>
      <c r="G1" s="75"/>
      <c r="H1" s="75"/>
      <c r="I1" s="76"/>
      <c r="J1" s="75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113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T1" s="80"/>
      <c r="AU1" s="80"/>
      <c r="AV1" s="80"/>
      <c r="AW1" s="80"/>
    </row>
    <row r="2" spans="1:49" x14ac:dyDescent="0.25">
      <c r="A2" s="81" t="s">
        <v>0</v>
      </c>
      <c r="B2" s="82" t="s">
        <v>1</v>
      </c>
      <c r="C2" s="83" t="s">
        <v>2</v>
      </c>
      <c r="D2" s="82" t="str">
        <f>VLOOKUP(E2,Minimos!AS1:AU13,2,FALSE)</f>
        <v>SEPTIEMBRE</v>
      </c>
      <c r="E2" s="82">
        <v>9</v>
      </c>
      <c r="F2" s="82" t="s">
        <v>3</v>
      </c>
      <c r="G2" s="82">
        <v>2026</v>
      </c>
      <c r="H2" s="72" t="s">
        <v>4</v>
      </c>
      <c r="I2" s="72">
        <f>VLOOKUP(E2,Minimos!AS1:AU13,3,FALSE)</f>
        <v>30</v>
      </c>
      <c r="J2" s="72" t="s">
        <v>5</v>
      </c>
      <c r="K2" s="89">
        <f t="shared" ref="K2:AO2" si="0">MIN(K5:K207)</f>
        <v>2</v>
      </c>
      <c r="L2" s="89">
        <f t="shared" si="0"/>
        <v>3</v>
      </c>
      <c r="M2" s="89">
        <f t="shared" si="0"/>
        <v>3.4</v>
      </c>
      <c r="N2" s="89">
        <f t="shared" si="0"/>
        <v>3.8</v>
      </c>
      <c r="O2" s="89">
        <f t="shared" si="0"/>
        <v>2.6</v>
      </c>
      <c r="P2" s="89">
        <f t="shared" si="0"/>
        <v>2.4</v>
      </c>
      <c r="Q2" s="89">
        <f t="shared" si="0"/>
        <v>2.2000000000000002</v>
      </c>
      <c r="R2" s="89">
        <f t="shared" si="0"/>
        <v>3</v>
      </c>
      <c r="S2" s="89">
        <f t="shared" si="0"/>
        <v>3</v>
      </c>
      <c r="T2" s="89">
        <f t="shared" si="0"/>
        <v>2.4</v>
      </c>
      <c r="U2" s="89">
        <f t="shared" si="0"/>
        <v>3.2</v>
      </c>
      <c r="V2" s="89">
        <f t="shared" si="0"/>
        <v>4</v>
      </c>
      <c r="W2" s="89">
        <f t="shared" si="0"/>
        <v>5</v>
      </c>
      <c r="X2" s="89">
        <f t="shared" si="0"/>
        <v>0</v>
      </c>
      <c r="Y2" s="89">
        <f t="shared" si="0"/>
        <v>0</v>
      </c>
      <c r="Z2" s="89">
        <f t="shared" si="0"/>
        <v>0</v>
      </c>
      <c r="AA2" s="89">
        <f t="shared" si="0"/>
        <v>0</v>
      </c>
      <c r="AB2" s="89">
        <f t="shared" si="0"/>
        <v>0</v>
      </c>
      <c r="AC2" s="89">
        <f t="shared" si="0"/>
        <v>0</v>
      </c>
      <c r="AD2" s="89">
        <f t="shared" si="0"/>
        <v>0</v>
      </c>
      <c r="AE2" s="89">
        <f t="shared" si="0"/>
        <v>0</v>
      </c>
      <c r="AF2" s="89">
        <f t="shared" si="0"/>
        <v>0</v>
      </c>
      <c r="AG2" s="89">
        <f t="shared" si="0"/>
        <v>0</v>
      </c>
      <c r="AH2" s="89">
        <f t="shared" si="0"/>
        <v>0</v>
      </c>
      <c r="AI2" s="89">
        <f t="shared" si="0"/>
        <v>0</v>
      </c>
      <c r="AJ2" s="89">
        <f t="shared" si="0"/>
        <v>0</v>
      </c>
      <c r="AK2" s="89">
        <f t="shared" si="0"/>
        <v>0</v>
      </c>
      <c r="AL2" s="89">
        <f t="shared" si="0"/>
        <v>0</v>
      </c>
      <c r="AM2" s="89">
        <f t="shared" si="0"/>
        <v>0</v>
      </c>
      <c r="AN2" s="89">
        <f t="shared" si="0"/>
        <v>0</v>
      </c>
      <c r="AO2" s="89">
        <f t="shared" si="0"/>
        <v>0</v>
      </c>
      <c r="AP2" s="97">
        <f>MIN(K2:AO2)</f>
        <v>0</v>
      </c>
      <c r="AU2" s="87"/>
      <c r="AV2" s="87"/>
    </row>
    <row r="3" spans="1:49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6"/>
      <c r="L3" s="76"/>
      <c r="M3" s="76"/>
      <c r="N3" s="76"/>
      <c r="O3" s="76"/>
      <c r="P3" s="84"/>
      <c r="Q3" s="76"/>
      <c r="R3" s="76"/>
      <c r="S3" s="76"/>
      <c r="T3" s="76"/>
      <c r="U3" s="76"/>
      <c r="V3" s="76"/>
      <c r="W3" s="76"/>
      <c r="X3" s="85"/>
      <c r="Y3" s="85"/>
      <c r="Z3" s="114"/>
      <c r="AA3" s="76"/>
      <c r="AB3" s="76"/>
      <c r="AC3" s="85"/>
      <c r="AD3" s="85"/>
      <c r="AE3" s="85"/>
      <c r="AF3" s="85"/>
      <c r="AG3" s="85"/>
      <c r="AH3" s="85"/>
      <c r="AI3" s="85"/>
      <c r="AJ3" s="85"/>
      <c r="AK3" s="86"/>
      <c r="AL3" s="85"/>
      <c r="AN3" s="85"/>
      <c r="AO3" s="85"/>
      <c r="AU3" s="87"/>
      <c r="AV3" s="87"/>
    </row>
    <row r="4" spans="1:49" s="76" customFormat="1" ht="30" customHeight="1" x14ac:dyDescent="0.2">
      <c r="A4" s="65" t="s">
        <v>6</v>
      </c>
      <c r="B4" s="66" t="s">
        <v>7</v>
      </c>
      <c r="C4" s="66" t="s">
        <v>8</v>
      </c>
      <c r="D4" s="65" t="s">
        <v>9</v>
      </c>
      <c r="E4" s="65" t="s">
        <v>10</v>
      </c>
      <c r="F4" s="65" t="s">
        <v>11</v>
      </c>
      <c r="G4" s="66" t="s">
        <v>12</v>
      </c>
      <c r="H4" s="66" t="s">
        <v>13</v>
      </c>
      <c r="I4" s="66" t="s">
        <v>14</v>
      </c>
      <c r="J4" s="66" t="s">
        <v>15</v>
      </c>
      <c r="K4" s="66">
        <v>1</v>
      </c>
      <c r="L4" s="66">
        <v>2</v>
      </c>
      <c r="M4" s="66">
        <v>3</v>
      </c>
      <c r="N4" s="66">
        <v>4</v>
      </c>
      <c r="O4" s="66">
        <v>5</v>
      </c>
      <c r="P4" s="66">
        <v>6</v>
      </c>
      <c r="Q4" s="66">
        <v>7</v>
      </c>
      <c r="R4" s="66">
        <v>8</v>
      </c>
      <c r="S4" s="66">
        <v>9</v>
      </c>
      <c r="T4" s="66">
        <v>10</v>
      </c>
      <c r="U4" s="67">
        <v>11</v>
      </c>
      <c r="V4" s="66">
        <v>12</v>
      </c>
      <c r="W4" s="67">
        <v>13</v>
      </c>
      <c r="X4" s="66">
        <v>14</v>
      </c>
      <c r="Y4" s="67">
        <v>15</v>
      </c>
      <c r="Z4" s="112">
        <v>16</v>
      </c>
      <c r="AA4" s="67">
        <v>17</v>
      </c>
      <c r="AB4" s="66">
        <v>18</v>
      </c>
      <c r="AC4" s="67">
        <v>19</v>
      </c>
      <c r="AD4" s="66">
        <v>20</v>
      </c>
      <c r="AE4" s="67">
        <v>21</v>
      </c>
      <c r="AF4" s="68">
        <v>22</v>
      </c>
      <c r="AG4" s="68">
        <v>23</v>
      </c>
      <c r="AH4" s="67">
        <v>24</v>
      </c>
      <c r="AI4" s="67">
        <v>25</v>
      </c>
      <c r="AJ4" s="68">
        <v>26</v>
      </c>
      <c r="AK4" s="67">
        <v>27</v>
      </c>
      <c r="AL4" s="68">
        <v>28</v>
      </c>
      <c r="AM4" s="68">
        <v>29</v>
      </c>
      <c r="AN4" s="68">
        <v>30</v>
      </c>
      <c r="AO4" s="67">
        <v>31</v>
      </c>
      <c r="AP4" s="69" t="s">
        <v>16</v>
      </c>
      <c r="AQ4" s="69" t="s">
        <v>17</v>
      </c>
      <c r="AR4" s="69" t="s">
        <v>18</v>
      </c>
      <c r="AS4" s="70" t="s">
        <v>19</v>
      </c>
      <c r="AT4" s="70" t="s">
        <v>20</v>
      </c>
      <c r="AU4" s="71" t="s">
        <v>21</v>
      </c>
      <c r="AV4" s="71" t="s">
        <v>22</v>
      </c>
      <c r="AW4" s="66" t="s">
        <v>23</v>
      </c>
    </row>
    <row r="5" spans="1:49" ht="15" customHeight="1" x14ac:dyDescent="0.2">
      <c r="A5" s="46">
        <v>17015010</v>
      </c>
      <c r="B5" s="47" t="s">
        <v>24</v>
      </c>
      <c r="C5" s="52" t="s">
        <v>25</v>
      </c>
      <c r="D5" s="49">
        <v>-81.703999999999994</v>
      </c>
      <c r="E5" s="49">
        <v>12.587</v>
      </c>
      <c r="F5" s="50">
        <v>1</v>
      </c>
      <c r="G5" s="50">
        <v>88</v>
      </c>
      <c r="H5" s="50">
        <v>88001</v>
      </c>
      <c r="I5" s="47" t="s">
        <v>26</v>
      </c>
      <c r="J5" s="63" t="s">
        <v>27</v>
      </c>
      <c r="K5" s="51">
        <v>26.8</v>
      </c>
      <c r="L5" s="51">
        <v>26.5</v>
      </c>
      <c r="M5" s="51">
        <v>28</v>
      </c>
      <c r="N5" s="51">
        <v>27.6</v>
      </c>
      <c r="O5" s="51">
        <v>27.7</v>
      </c>
      <c r="P5" s="51">
        <v>27.4</v>
      </c>
      <c r="Q5" s="51">
        <v>27.4</v>
      </c>
      <c r="R5" s="51">
        <v>26.3</v>
      </c>
      <c r="S5" s="51">
        <v>28.2</v>
      </c>
      <c r="T5" s="51">
        <v>26.8</v>
      </c>
      <c r="U5" s="51">
        <v>28.2</v>
      </c>
      <c r="V5" s="51">
        <v>28.1</v>
      </c>
      <c r="W5" s="51">
        <v>27.6</v>
      </c>
      <c r="X5" s="51"/>
      <c r="Y5" s="51"/>
      <c r="Z5" s="111"/>
      <c r="AA5" s="51"/>
      <c r="AB5" s="51"/>
      <c r="AC5" s="116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  <c r="AP5" s="88">
        <f t="shared" ref="AP5:AP68" si="1">COUNTIF(K5:AO5,"&gt;0")</f>
        <v>13</v>
      </c>
      <c r="AQ5" s="89" t="str">
        <f t="shared" ref="AQ5:AQ68" si="2">IF(AP5&gt;14,AVERAGE(K5:AO5),"")</f>
        <v/>
      </c>
      <c r="AR5" s="89">
        <f>IFERROR(VLOOKUP(A5,Climatologia!A:U,9+$E$2,FALSE),"")</f>
        <v>26.01813723632689</v>
      </c>
      <c r="AS5" s="89" t="str">
        <f t="shared" ref="AS5:AS68" si="3">IF(OR(AQ5="",AR5=""),"",IFERROR(AQ5-AR5,""))</f>
        <v/>
      </c>
      <c r="AT5" s="90">
        <f t="shared" ref="AT5:AT68" si="4">IF(COUNT(K5:AO5)=0,"",MIN(K5:AO5))</f>
        <v>26.3</v>
      </c>
      <c r="AU5" s="90">
        <f t="array" ref="AU5">IFERROR(
  _xlfn.LET(
    _xlpm.mesTxt, INDEX({"ENERO","FEBRERO","MARZO","ABRIL","MAYO","JUNIO","JULIO","AGOSTO","SEPTIEMBRE","OCTUBRE","NOVIEMBRE","DICIEMBRE"}, E$2),
    _xlpm.colIni, MATCH(_xlpm.mesTxt, Minimos!$1:$1, 0),
    _xlpm.fila, MATCH($A5, Minimos!$A:$A, 0),
    _xlpm.val, INDEX(Minimos!$A:$ZZ, _xlpm.fila, _xlpm.colIni),
    IF(_xlpm.val="", "", _xlpm.val)
  ),
"")</f>
        <v>21.2</v>
      </c>
      <c r="AV5" s="91">
        <f t="array" ref="AV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MATCH($A5, Minimos!$A:$A, 0),
    _xlpm.anio, INDEX(Minimos!$A:$ZZ, _xlpm.fila, _xlpm.colIni+1),
    _xlpm.dia, INDEX(Minimos!$A:$ZZ, _xlpm.fila, _xlpm.colIni+2),
    IF(OR(_xlpm.anio="",_xlpm.dia=""), "", DATE(_xlpm.anio, _xlpm.mesNum, _xlpm.dia))
  ),
"")</f>
        <v>31677</v>
      </c>
      <c r="AW5" s="92">
        <f t="shared" ref="AW5:AW68" si="5">IF(OR(AT5="",AU5=""),"NA",IFERROR(AT5-AU5,"NA"))</f>
        <v>5.1000000000000014</v>
      </c>
    </row>
    <row r="6" spans="1:49" ht="15" customHeight="1" x14ac:dyDescent="0.2">
      <c r="A6" s="46">
        <v>17025020</v>
      </c>
      <c r="B6" s="52" t="s">
        <v>28</v>
      </c>
      <c r="C6" s="52" t="s">
        <v>25</v>
      </c>
      <c r="D6" s="53">
        <v>-81.358000000000004</v>
      </c>
      <c r="E6" s="53">
        <v>13.36</v>
      </c>
      <c r="F6" s="54">
        <v>7</v>
      </c>
      <c r="G6" s="54">
        <v>88</v>
      </c>
      <c r="H6" s="54">
        <v>88564</v>
      </c>
      <c r="I6" s="55" t="s">
        <v>26</v>
      </c>
      <c r="J6" s="64" t="s">
        <v>29</v>
      </c>
      <c r="K6" s="51">
        <v>26.1</v>
      </c>
      <c r="L6" s="51">
        <v>27.4</v>
      </c>
      <c r="M6" s="51">
        <v>28.1</v>
      </c>
      <c r="N6" s="51">
        <v>27.6</v>
      </c>
      <c r="O6" s="51">
        <v>28.1</v>
      </c>
      <c r="P6" s="51">
        <v>26.4</v>
      </c>
      <c r="Q6" s="51">
        <v>27.8</v>
      </c>
      <c r="R6" s="51">
        <v>28.4</v>
      </c>
      <c r="S6" s="51">
        <v>28.8</v>
      </c>
      <c r="T6" s="51">
        <v>28.6</v>
      </c>
      <c r="U6" s="51">
        <v>26.8</v>
      </c>
      <c r="V6" s="51">
        <v>27.6</v>
      </c>
      <c r="W6" s="51">
        <v>28.8</v>
      </c>
      <c r="X6" s="51"/>
      <c r="Y6" s="51"/>
      <c r="Z6" s="11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88">
        <f t="shared" si="1"/>
        <v>13</v>
      </c>
      <c r="AQ6" s="89" t="str">
        <f t="shared" si="2"/>
        <v/>
      </c>
      <c r="AR6" s="89">
        <f>IFERROR(VLOOKUP(A6,Climatologia!A:U,9+$E$2,FALSE),"")</f>
        <v>25.709567576944131</v>
      </c>
      <c r="AS6" s="89" t="str">
        <f t="shared" si="3"/>
        <v/>
      </c>
      <c r="AT6" s="90">
        <f t="shared" si="4"/>
        <v>26.1</v>
      </c>
      <c r="AU6" s="90">
        <f t="array" ref="AU6">IFERROR(
  _xlfn.LET(
    _xlpm.mesTxt, INDEX({"ENERO","FEBRERO","MARZO","ABRIL","MAYO","JUNIO","JULIO","AGOSTO","SEPTIEMBRE","OCTUBRE","NOVIEMBRE","DICIEMBRE"}, E$2),
    _xlpm.colIni, MATCH(_xlpm.mesTxt, Minimos!$1:$1, 0),
    _xlpm.fila, MATCH($A6, Minimos!$A:$A, 0),
    _xlpm.val, INDEX(Minimos!$A:$ZZ, _xlpm.fila, _xlpm.colIni),
    IF(_xlpm.val="", "", _xlpm.val)
  ),
"")</f>
        <v>22</v>
      </c>
      <c r="AV6" s="91">
        <f t="array" ref="AV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MATCH($A6, Minimos!$A:$A, 0),
    _xlpm.anio, INDEX(Minimos!$A:$ZZ, _xlpm.fila, _xlpm.colIni+1),
    _xlpm.dia, INDEX(Minimos!$A:$ZZ, _xlpm.fila, _xlpm.colIni+2),
    IF(OR(_xlpm.anio="",_xlpm.dia=""), "", DATE(_xlpm.anio, _xlpm.mesNum, _xlpm.dia))
  ),
"")</f>
        <v>31680</v>
      </c>
      <c r="AW6" s="92">
        <f t="shared" si="5"/>
        <v>4.1000000000000014</v>
      </c>
    </row>
    <row r="7" spans="1:49" ht="15" customHeight="1" x14ac:dyDescent="0.2">
      <c r="A7" s="46">
        <v>15015050</v>
      </c>
      <c r="B7" s="52" t="s">
        <v>30</v>
      </c>
      <c r="C7" s="52" t="s">
        <v>25</v>
      </c>
      <c r="D7" s="53">
        <v>-74.228999999999999</v>
      </c>
      <c r="E7" s="53">
        <v>11.128</v>
      </c>
      <c r="F7" s="54">
        <v>4</v>
      </c>
      <c r="G7" s="54">
        <v>47</v>
      </c>
      <c r="H7" s="54">
        <v>47001</v>
      </c>
      <c r="I7" s="55" t="s">
        <v>31</v>
      </c>
      <c r="J7" s="64" t="s">
        <v>32</v>
      </c>
      <c r="K7" s="51">
        <v>27.6</v>
      </c>
      <c r="L7" s="51">
        <v>25.8</v>
      </c>
      <c r="M7" s="51">
        <v>26.4</v>
      </c>
      <c r="N7" s="51">
        <v>26.2</v>
      </c>
      <c r="O7" s="51">
        <v>27</v>
      </c>
      <c r="P7" s="51">
        <v>26.2</v>
      </c>
      <c r="Q7" s="51">
        <v>26.2</v>
      </c>
      <c r="R7" s="51">
        <v>26.9</v>
      </c>
      <c r="S7" s="51">
        <v>27</v>
      </c>
      <c r="T7" s="51">
        <v>27.8</v>
      </c>
      <c r="U7" s="51">
        <v>26.8</v>
      </c>
      <c r="V7" s="51">
        <v>26.4</v>
      </c>
      <c r="W7" s="51">
        <v>27.2</v>
      </c>
      <c r="X7" s="51"/>
      <c r="Y7" s="51"/>
      <c r="Z7" s="11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88">
        <f t="shared" si="1"/>
        <v>13</v>
      </c>
      <c r="AQ7" s="89" t="str">
        <f t="shared" si="2"/>
        <v/>
      </c>
      <c r="AR7" s="89">
        <f>IFERROR(VLOOKUP(A7,Climatologia!A:U,9+$E$2,FALSE),"")</f>
        <v>24.686654351395731</v>
      </c>
      <c r="AS7" s="89" t="str">
        <f t="shared" si="3"/>
        <v/>
      </c>
      <c r="AT7" s="90">
        <f t="shared" si="4"/>
        <v>25.8</v>
      </c>
      <c r="AU7" s="90">
        <f t="array" ref="AU7">IFERROR(
  _xlfn.LET(
    _xlpm.mesTxt, INDEX({"ENERO","FEBRERO","MARZO","ABRIL","MAYO","JUNIO","JULIO","AGOSTO","SEPTIEMBRE","OCTUBRE","NOVIEMBRE","DICIEMBRE"}, E$2),
    _xlpm.colIni, MATCH(_xlpm.mesTxt, Minimos!$1:$1, 0),
    _xlpm.fila, MATCH($A7, Minimos!$A:$A, 0),
    _xlpm.val, INDEX(Minimos!$A:$ZZ, _xlpm.fila, _xlpm.colIni),
    IF(_xlpm.val="", "", _xlpm.val)
  ),
"")</f>
        <v>21</v>
      </c>
      <c r="AV7" s="91">
        <f t="array" ref="AV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MATCH($A7, Minimos!$A:$A, 0),
    _xlpm.anio, INDEX(Minimos!$A:$ZZ, _xlpm.fila, _xlpm.colIni+1),
    _xlpm.dia, INDEX(Minimos!$A:$ZZ, _xlpm.fila, _xlpm.colIni+2),
    IF(OR(_xlpm.anio="",_xlpm.dia=""), "", DATE(_xlpm.anio, _xlpm.mesNum, _xlpm.dia))
  ),
"")</f>
        <v>36430</v>
      </c>
      <c r="AW7" s="92">
        <f t="shared" si="5"/>
        <v>4.8000000000000007</v>
      </c>
    </row>
    <row r="8" spans="1:49" ht="15" customHeight="1" x14ac:dyDescent="0.2">
      <c r="A8" s="46">
        <v>14015080</v>
      </c>
      <c r="B8" s="47" t="s">
        <v>33</v>
      </c>
      <c r="C8" s="52" t="s">
        <v>25</v>
      </c>
      <c r="D8" s="49">
        <v>-75.516000000000005</v>
      </c>
      <c r="E8" s="49">
        <v>10.446999999999999</v>
      </c>
      <c r="F8" s="50">
        <v>2</v>
      </c>
      <c r="G8" s="50">
        <v>13</v>
      </c>
      <c r="H8" s="50">
        <v>13001</v>
      </c>
      <c r="I8" s="47" t="s">
        <v>34</v>
      </c>
      <c r="J8" s="63" t="s">
        <v>35</v>
      </c>
      <c r="K8" s="51">
        <v>26.9</v>
      </c>
      <c r="L8" s="51">
        <v>26.4</v>
      </c>
      <c r="M8" s="51">
        <v>26.3</v>
      </c>
      <c r="N8" s="51">
        <v>26.9</v>
      </c>
      <c r="O8" s="51">
        <v>27.5</v>
      </c>
      <c r="P8" s="51">
        <v>27.7</v>
      </c>
      <c r="Q8" s="51">
        <v>25.4</v>
      </c>
      <c r="R8" s="51">
        <v>28.3</v>
      </c>
      <c r="S8" s="51">
        <v>27.5</v>
      </c>
      <c r="T8" s="51">
        <v>28.1</v>
      </c>
      <c r="U8" s="51">
        <v>28.8</v>
      </c>
      <c r="V8" s="51">
        <v>27.5</v>
      </c>
      <c r="W8" s="51">
        <v>26.7</v>
      </c>
      <c r="X8" s="51"/>
      <c r="Y8" s="51"/>
      <c r="Z8" s="111"/>
      <c r="AA8" s="116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88">
        <f t="shared" si="1"/>
        <v>13</v>
      </c>
      <c r="AQ8" s="89" t="str">
        <f t="shared" si="2"/>
        <v/>
      </c>
      <c r="AR8" s="89">
        <f>IFERROR(VLOOKUP(A8,Climatologia!A:U,9+$E$2,FALSE),"")</f>
        <v>25.822663111099491</v>
      </c>
      <c r="AS8" s="89" t="str">
        <f t="shared" si="3"/>
        <v/>
      </c>
      <c r="AT8" s="90">
        <f t="shared" si="4"/>
        <v>25.4</v>
      </c>
      <c r="AU8" s="90">
        <f t="array" ref="AU8">IFERROR(
  _xlfn.LET(
    _xlpm.mesTxt, INDEX({"ENERO","FEBRERO","MARZO","ABRIL","MAYO","JUNIO","JULIO","AGOSTO","SEPTIEMBRE","OCTUBRE","NOVIEMBRE","DICIEMBRE"}, E$2),
    _xlpm.colIni, MATCH(_xlpm.mesTxt, Minimos!$1:$1, 0),
    _xlpm.fila, MATCH($A8, Minimos!$A:$A, 0),
    _xlpm.val, INDEX(Minimos!$A:$ZZ, _xlpm.fila, _xlpm.colIni),
    IF(_xlpm.val="", "", _xlpm.val)
  ),
"")</f>
        <v>21.6</v>
      </c>
      <c r="AV8" s="91">
        <f t="array" ref="AV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MATCH($A8, Minimos!$A:$A, 0),
    _xlpm.anio, INDEX(Minimos!$A:$ZZ, _xlpm.fila, _xlpm.colIni+1),
    _xlpm.dia, INDEX(Minimos!$A:$ZZ, _xlpm.fila, _xlpm.colIni+2),
    IF(OR(_xlpm.anio="",_xlpm.dia=""), "", DATE(_xlpm.anio, _xlpm.mesNum, _xlpm.dia))
  ),
"")</f>
        <v>30955</v>
      </c>
      <c r="AW8" s="92">
        <f t="shared" si="5"/>
        <v>3.7999999999999972</v>
      </c>
    </row>
    <row r="9" spans="1:49" ht="15" customHeight="1" x14ac:dyDescent="0.2">
      <c r="A9" s="46">
        <v>29045190</v>
      </c>
      <c r="B9" s="47" t="s">
        <v>36</v>
      </c>
      <c r="C9" s="52" t="s">
        <v>25</v>
      </c>
      <c r="D9" s="49">
        <v>-74.78</v>
      </c>
      <c r="E9" s="49">
        <v>10.917999999999999</v>
      </c>
      <c r="F9" s="50">
        <v>14</v>
      </c>
      <c r="G9" s="50">
        <v>8</v>
      </c>
      <c r="H9" s="50">
        <v>8758</v>
      </c>
      <c r="I9" s="47" t="s">
        <v>37</v>
      </c>
      <c r="J9" s="63" t="s">
        <v>38</v>
      </c>
      <c r="K9" s="51">
        <v>24.9</v>
      </c>
      <c r="L9" s="51">
        <v>27.1</v>
      </c>
      <c r="M9" s="51">
        <v>25.3</v>
      </c>
      <c r="N9" s="51">
        <v>26</v>
      </c>
      <c r="O9" s="51">
        <v>26.9</v>
      </c>
      <c r="P9" s="51">
        <v>26.3</v>
      </c>
      <c r="Q9" s="51">
        <v>25.7</v>
      </c>
      <c r="R9" s="51">
        <v>26.7</v>
      </c>
      <c r="S9" s="51">
        <v>27.9</v>
      </c>
      <c r="T9" s="51">
        <v>26.6</v>
      </c>
      <c r="U9" s="51">
        <v>25.7</v>
      </c>
      <c r="V9" s="51">
        <v>25.5</v>
      </c>
      <c r="W9" s="51">
        <v>26.8</v>
      </c>
      <c r="X9" s="51"/>
      <c r="Y9" s="51"/>
      <c r="Z9" s="11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88">
        <f t="shared" si="1"/>
        <v>13</v>
      </c>
      <c r="AQ9" s="89" t="str">
        <f t="shared" si="2"/>
        <v/>
      </c>
      <c r="AR9" s="89">
        <f>IFERROR(VLOOKUP(A9,Climatologia!A:U,9+$E$2,FALSE),"")</f>
        <v>24.328670251361899</v>
      </c>
      <c r="AS9" s="89" t="str">
        <f t="shared" si="3"/>
        <v/>
      </c>
      <c r="AT9" s="90">
        <f t="shared" si="4"/>
        <v>24.9</v>
      </c>
      <c r="AU9" s="90">
        <f t="array" ref="AU9">IFERROR(
  _xlfn.LET(
    _xlpm.mesTxt, INDEX({"ENERO","FEBRERO","MARZO","ABRIL","MAYO","JUNIO","JULIO","AGOSTO","SEPTIEMBRE","OCTUBRE","NOVIEMBRE","DICIEMBRE"}, E$2),
    _xlpm.colIni, MATCH(_xlpm.mesTxt, Minimos!$1:$1, 0),
    _xlpm.fila, MATCH($A9, Minimos!$A:$A, 0),
    _xlpm.val, INDEX(Minimos!$A:$ZZ, _xlpm.fila, _xlpm.colIni),
    IF(_xlpm.val="", "", _xlpm.val)
  ),
"")</f>
        <v>20.399999999999999</v>
      </c>
      <c r="AV9" s="91">
        <f t="array" ref="AV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MATCH($A9, Minimos!$A:$A, 0),
    _xlpm.anio, INDEX(Minimos!$A:$ZZ, _xlpm.fila, _xlpm.colIni+1),
    _xlpm.dia, INDEX(Minimos!$A:$ZZ, _xlpm.fila, _xlpm.colIni+2),
    IF(OR(_xlpm.anio="",_xlpm.dia=""), "", DATE(_xlpm.anio, _xlpm.mesNum, _xlpm.dia))
  ),
"")</f>
        <v>35333</v>
      </c>
      <c r="AW9" s="92">
        <f t="shared" si="5"/>
        <v>4.5</v>
      </c>
    </row>
    <row r="10" spans="1:49" ht="15" customHeight="1" x14ac:dyDescent="0.2">
      <c r="A10" s="46">
        <v>15065180</v>
      </c>
      <c r="B10" s="47" t="s">
        <v>39</v>
      </c>
      <c r="C10" s="52" t="s">
        <v>25</v>
      </c>
      <c r="D10" s="49">
        <v>-72.918000000000006</v>
      </c>
      <c r="E10" s="49">
        <v>11.53</v>
      </c>
      <c r="F10" s="50">
        <v>4</v>
      </c>
      <c r="G10" s="50">
        <v>44</v>
      </c>
      <c r="H10" s="50">
        <v>44001</v>
      </c>
      <c r="I10" s="47" t="s">
        <v>40</v>
      </c>
      <c r="J10" s="63" t="s">
        <v>41</v>
      </c>
      <c r="K10" s="51">
        <v>25.7</v>
      </c>
      <c r="L10" s="51">
        <v>26.7</v>
      </c>
      <c r="M10" s="51">
        <v>28.5</v>
      </c>
      <c r="N10" s="51">
        <v>27.5</v>
      </c>
      <c r="O10" s="51">
        <v>28.7</v>
      </c>
      <c r="P10" s="51">
        <v>28.9</v>
      </c>
      <c r="Q10" s="51">
        <v>29.3</v>
      </c>
      <c r="R10" s="51">
        <v>28.6</v>
      </c>
      <c r="S10" s="51">
        <v>28.4</v>
      </c>
      <c r="T10" s="51">
        <v>28.5</v>
      </c>
      <c r="U10" s="51">
        <v>28.7</v>
      </c>
      <c r="V10" s="51">
        <v>28.7</v>
      </c>
      <c r="W10" s="51">
        <v>28.4</v>
      </c>
      <c r="X10" s="51"/>
      <c r="Y10" s="51"/>
      <c r="Z10" s="11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88">
        <f t="shared" si="1"/>
        <v>13</v>
      </c>
      <c r="AQ10" s="89" t="str">
        <f t="shared" si="2"/>
        <v/>
      </c>
      <c r="AR10" s="89">
        <f>IFERROR(VLOOKUP(A10,Climatologia!A:U,9+$E$2,FALSE),"")</f>
        <v>24.807709685406738</v>
      </c>
      <c r="AS10" s="89" t="str">
        <f t="shared" si="3"/>
        <v/>
      </c>
      <c r="AT10" s="90">
        <f t="shared" si="4"/>
        <v>25.7</v>
      </c>
      <c r="AU10" s="90">
        <f t="array" ref="AU10">IFERROR(
  _xlfn.LET(
    _xlpm.mesTxt, INDEX({"ENERO","FEBRERO","MARZO","ABRIL","MAYO","JUNIO","JULIO","AGOSTO","SEPTIEMBRE","OCTUBRE","NOVIEMBRE","DICIEMBRE"}, E$2),
    _xlpm.colIni, MATCH(_xlpm.mesTxt, Minimos!$1:$1, 0),
    _xlpm.fila, MATCH($A10, Minimos!$A:$A, 0),
    _xlpm.val, INDEX(Minimos!$A:$ZZ, _xlpm.fila, _xlpm.colIni),
    IF(_xlpm.val="", "", _xlpm.val)
  ),
"")</f>
        <v>19.2</v>
      </c>
      <c r="AV10" s="91">
        <f t="array" ref="AV1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MATCH($A10, Minimos!$A:$A, 0),
    _xlpm.anio, INDEX(Minimos!$A:$ZZ, _xlpm.fila, _xlpm.colIni+1),
    _xlpm.dia, INDEX(Minimos!$A:$ZZ, _xlpm.fila, _xlpm.colIni+2),
    IF(OR(_xlpm.anio="",_xlpm.dia=""), "", DATE(_xlpm.anio, _xlpm.mesNum, _xlpm.dia))
  ),
"")</f>
        <v>34599</v>
      </c>
      <c r="AW10" s="92">
        <f t="shared" si="5"/>
        <v>6.5</v>
      </c>
    </row>
    <row r="11" spans="1:49" ht="15" customHeight="1" x14ac:dyDescent="0.2">
      <c r="A11" s="46">
        <v>28025502</v>
      </c>
      <c r="B11" s="55" t="s">
        <v>42</v>
      </c>
      <c r="C11" s="52" t="s">
        <v>25</v>
      </c>
      <c r="D11" s="53">
        <v>-73.248000000000005</v>
      </c>
      <c r="E11" s="53">
        <v>10.436</v>
      </c>
      <c r="F11" s="54">
        <v>138</v>
      </c>
      <c r="G11" s="46">
        <v>20</v>
      </c>
      <c r="H11" s="46">
        <v>20001</v>
      </c>
      <c r="I11" s="55" t="s">
        <v>43</v>
      </c>
      <c r="J11" s="55" t="s">
        <v>44</v>
      </c>
      <c r="K11" s="51">
        <v>23.4</v>
      </c>
      <c r="L11" s="51">
        <v>24.4</v>
      </c>
      <c r="M11" s="51">
        <v>24.8</v>
      </c>
      <c r="N11" s="51">
        <v>24.6</v>
      </c>
      <c r="O11" s="51">
        <v>26.8</v>
      </c>
      <c r="P11" s="51">
        <v>26.6</v>
      </c>
      <c r="Q11" s="51">
        <v>26.6</v>
      </c>
      <c r="R11" s="51">
        <v>26.8</v>
      </c>
      <c r="S11" s="51">
        <v>29.2</v>
      </c>
      <c r="T11" s="51">
        <v>27</v>
      </c>
      <c r="U11" s="51">
        <v>26</v>
      </c>
      <c r="V11" s="51">
        <v>26.4</v>
      </c>
      <c r="W11" s="51">
        <v>27.5</v>
      </c>
      <c r="X11" s="51"/>
      <c r="Y11" s="51"/>
      <c r="Z11" s="11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88">
        <f t="shared" si="1"/>
        <v>13</v>
      </c>
      <c r="AQ11" s="89" t="str">
        <f t="shared" si="2"/>
        <v/>
      </c>
      <c r="AR11" s="89">
        <f>IFERROR(VLOOKUP(A11,Climatologia!A:U,9+$E$2,FALSE),"")</f>
        <v>23.800122349539521</v>
      </c>
      <c r="AS11" s="89" t="str">
        <f t="shared" si="3"/>
        <v/>
      </c>
      <c r="AT11" s="90">
        <f t="shared" si="4"/>
        <v>23.4</v>
      </c>
      <c r="AU11" s="90">
        <f t="array" ref="AU11">IFERROR(
  _xlfn.LET(
    _xlpm.mesTxt, INDEX({"ENERO","FEBRERO","MARZO","ABRIL","MAYO","JUNIO","JULIO","AGOSTO","SEPTIEMBRE","OCTUBRE","NOVIEMBRE","DICIEMBRE"}, E$2),
    _xlpm.colIni, MATCH(_xlpm.mesTxt, Minimos!$1:$1, 0),
    _xlpm.fila, MATCH($A11, Minimos!$A:$A, 0),
    _xlpm.val, INDEX(Minimos!$A:$ZZ, _xlpm.fila, _xlpm.colIni),
    IF(_xlpm.val="", "", _xlpm.val)
  ),
"")</f>
        <v>20.399999999999999</v>
      </c>
      <c r="AV11" s="91">
        <f t="array" ref="AV1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MATCH($A11, Minimos!$A:$A, 0),
    _xlpm.anio, INDEX(Minimos!$A:$ZZ, _xlpm.fila, _xlpm.colIni+1),
    _xlpm.dia, INDEX(Minimos!$A:$ZZ, _xlpm.fila, _xlpm.colIni+2),
    IF(OR(_xlpm.anio="",_xlpm.dia=""), "", DATE(_xlpm.anio, _xlpm.mesNum, _xlpm.dia))
  ),
"")</f>
        <v>28740</v>
      </c>
      <c r="AW11" s="92">
        <f t="shared" si="5"/>
        <v>3</v>
      </c>
    </row>
    <row r="12" spans="1:49" ht="15" customHeight="1" x14ac:dyDescent="0.2">
      <c r="A12" s="46">
        <v>13035501</v>
      </c>
      <c r="B12" s="47" t="s">
        <v>45</v>
      </c>
      <c r="C12" s="52" t="s">
        <v>25</v>
      </c>
      <c r="D12" s="49">
        <v>-75.825000000000003</v>
      </c>
      <c r="E12" s="49">
        <v>8.8260000000000005</v>
      </c>
      <c r="F12" s="50">
        <v>20</v>
      </c>
      <c r="G12" s="50">
        <v>23</v>
      </c>
      <c r="H12" s="50">
        <v>23001</v>
      </c>
      <c r="I12" s="47" t="s">
        <v>46</v>
      </c>
      <c r="J12" s="63" t="s">
        <v>47</v>
      </c>
      <c r="K12" s="51">
        <v>24.1</v>
      </c>
      <c r="L12" s="51">
        <v>26.3</v>
      </c>
      <c r="M12" s="51">
        <v>25.3</v>
      </c>
      <c r="N12" s="51">
        <v>25.4</v>
      </c>
      <c r="O12" s="51">
        <v>24.9</v>
      </c>
      <c r="P12" s="51">
        <v>26.3</v>
      </c>
      <c r="Q12" s="51">
        <v>24.4</v>
      </c>
      <c r="R12" s="51">
        <v>25.6</v>
      </c>
      <c r="S12" s="51">
        <v>26.8</v>
      </c>
      <c r="T12" s="51">
        <v>22.7</v>
      </c>
      <c r="U12" s="51">
        <v>23.3</v>
      </c>
      <c r="V12" s="51">
        <v>25.8</v>
      </c>
      <c r="W12" s="51">
        <v>27.6</v>
      </c>
      <c r="X12" s="51"/>
      <c r="Y12" s="51"/>
      <c r="Z12" s="111"/>
      <c r="AA12" s="116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88">
        <f t="shared" si="1"/>
        <v>13</v>
      </c>
      <c r="AQ12" s="89" t="str">
        <f t="shared" si="2"/>
        <v/>
      </c>
      <c r="AR12" s="89">
        <f>IFERROR(VLOOKUP(A12,Climatologia!A:U,9+$E$2,FALSE),"")</f>
        <v>23.168302150308641</v>
      </c>
      <c r="AS12" s="89" t="str">
        <f t="shared" si="3"/>
        <v/>
      </c>
      <c r="AT12" s="90">
        <f t="shared" si="4"/>
        <v>22.7</v>
      </c>
      <c r="AU12" s="90">
        <f t="array" ref="AU12">IFERROR(
  _xlfn.LET(
    _xlpm.mesTxt, INDEX({"ENERO","FEBRERO","MARZO","ABRIL","MAYO","JUNIO","JULIO","AGOSTO","SEPTIEMBRE","OCTUBRE","NOVIEMBRE","DICIEMBRE"}, E$2),
    _xlpm.colIni, MATCH(_xlpm.mesTxt, Minimos!$1:$1, 0),
    _xlpm.fila, MATCH($A12, Minimos!$A:$A, 0),
    _xlpm.val, INDEX(Minimos!$A:$ZZ, _xlpm.fila, _xlpm.colIni),
    IF(_xlpm.val="", "", _xlpm.val)
  ),
"")</f>
        <v>19.8</v>
      </c>
      <c r="AV12" s="91">
        <f t="array" ref="AV1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MATCH($A12, Minimos!$A:$A, 0),
    _xlpm.anio, INDEX(Minimos!$A:$ZZ, _xlpm.fila, _xlpm.colIni+1),
    _xlpm.dia, INDEX(Minimos!$A:$ZZ, _xlpm.fila, _xlpm.colIni+2),
    IF(OR(_xlpm.anio="",_xlpm.dia=""), "", DATE(_xlpm.anio, _xlpm.mesNum, _xlpm.dia))
  ),
"")</f>
        <v>36793</v>
      </c>
      <c r="AW12" s="92">
        <f t="shared" si="5"/>
        <v>2.8999999999999986</v>
      </c>
    </row>
    <row r="13" spans="1:49" ht="15" customHeight="1" x14ac:dyDescent="0.2">
      <c r="A13" s="46">
        <v>23155030</v>
      </c>
      <c r="B13" s="52" t="s">
        <v>48</v>
      </c>
      <c r="C13" s="52" t="s">
        <v>25</v>
      </c>
      <c r="D13" s="53">
        <v>-73.808999999999997</v>
      </c>
      <c r="E13" s="53">
        <v>7.0259999999999998</v>
      </c>
      <c r="F13" s="54">
        <v>126</v>
      </c>
      <c r="G13" s="54">
        <v>68</v>
      </c>
      <c r="H13" s="54">
        <v>68081</v>
      </c>
      <c r="I13" s="55" t="s">
        <v>49</v>
      </c>
      <c r="J13" s="64" t="s">
        <v>50</v>
      </c>
      <c r="K13" s="51">
        <v>24.2</v>
      </c>
      <c r="L13" s="51">
        <v>24.2</v>
      </c>
      <c r="M13" s="51">
        <v>24.4</v>
      </c>
      <c r="N13" s="51">
        <v>25.2</v>
      </c>
      <c r="O13" s="51">
        <v>24.2</v>
      </c>
      <c r="P13" s="51">
        <v>26</v>
      </c>
      <c r="Q13" s="51">
        <v>26</v>
      </c>
      <c r="R13" s="51">
        <v>24.6</v>
      </c>
      <c r="S13" s="51">
        <v>25.8</v>
      </c>
      <c r="T13" s="51">
        <v>25.6</v>
      </c>
      <c r="U13" s="51">
        <v>23.4</v>
      </c>
      <c r="V13" s="51">
        <v>23.8</v>
      </c>
      <c r="W13" s="51">
        <v>26.8</v>
      </c>
      <c r="X13" s="51"/>
      <c r="Y13" s="51"/>
      <c r="Z13" s="11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88">
        <f t="shared" si="1"/>
        <v>13</v>
      </c>
      <c r="AQ13" s="89" t="str">
        <f t="shared" si="2"/>
        <v/>
      </c>
      <c r="AR13" s="89">
        <f>IFERROR(VLOOKUP(A13,Climatologia!A:U,9+$E$2,FALSE),"")</f>
        <v>23.052718375560229</v>
      </c>
      <c r="AS13" s="89" t="str">
        <f t="shared" si="3"/>
        <v/>
      </c>
      <c r="AT13" s="90">
        <f t="shared" si="4"/>
        <v>23.4</v>
      </c>
      <c r="AU13" s="90">
        <f t="array" ref="AU13">IFERROR(
  _xlfn.LET(
    _xlpm.mesTxt, INDEX({"ENERO","FEBRERO","MARZO","ABRIL","MAYO","JUNIO","JULIO","AGOSTO","SEPTIEMBRE","OCTUBRE","NOVIEMBRE","DICIEMBRE"}, E$2),
    _xlpm.colIni, MATCH(_xlpm.mesTxt, Minimos!$1:$1, 0),
    _xlpm.fila, MATCH($A13, Minimos!$A:$A, 0),
    _xlpm.val, INDEX(Minimos!$A:$ZZ, _xlpm.fila, _xlpm.colIni),
    IF(_xlpm.val="", "", _xlpm.val)
  ),
"")</f>
        <v>20</v>
      </c>
      <c r="AV13" s="91">
        <f t="array" ref="AV1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MATCH($A13, Minimos!$A:$A, 0),
    _xlpm.anio, INDEX(Minimos!$A:$ZZ, _xlpm.fila, _xlpm.colIni+1),
    _xlpm.dia, INDEX(Minimos!$A:$ZZ, _xlpm.fila, _xlpm.colIni+2),
    IF(OR(_xlpm.anio="",_xlpm.dia=""), "", DATE(_xlpm.anio, _xlpm.mesNum, _xlpm.dia))
  ),
"")</f>
        <v>34597</v>
      </c>
      <c r="AW13" s="92">
        <f t="shared" si="5"/>
        <v>3.3999999999999986</v>
      </c>
    </row>
    <row r="14" spans="1:49" ht="15" customHeight="1" x14ac:dyDescent="0.2">
      <c r="A14" s="46">
        <v>23195502</v>
      </c>
      <c r="B14" s="52" t="s">
        <v>51</v>
      </c>
      <c r="C14" s="52" t="s">
        <v>25</v>
      </c>
      <c r="D14" s="53">
        <v>-73.185000000000002</v>
      </c>
      <c r="E14" s="53">
        <v>7.1210000000000004</v>
      </c>
      <c r="F14" s="54">
        <v>1189</v>
      </c>
      <c r="G14" s="54">
        <v>68</v>
      </c>
      <c r="H14" s="54">
        <v>68406</v>
      </c>
      <c r="I14" s="55" t="s">
        <v>49</v>
      </c>
      <c r="J14" s="64" t="s">
        <v>52</v>
      </c>
      <c r="K14" s="51">
        <v>19.8</v>
      </c>
      <c r="L14" s="51">
        <v>18.8</v>
      </c>
      <c r="M14" s="51">
        <v>20.6</v>
      </c>
      <c r="N14" s="51">
        <v>19.399999999999999</v>
      </c>
      <c r="O14" s="51">
        <v>19.899999999999999</v>
      </c>
      <c r="P14" s="51">
        <v>20</v>
      </c>
      <c r="Q14" s="51">
        <v>20</v>
      </c>
      <c r="R14" s="51">
        <v>19.8</v>
      </c>
      <c r="S14" s="51">
        <v>20.5</v>
      </c>
      <c r="T14" s="51">
        <v>20.100000000000001</v>
      </c>
      <c r="U14" s="51">
        <v>17.600000000000001</v>
      </c>
      <c r="V14" s="51">
        <v>19.2</v>
      </c>
      <c r="W14" s="51">
        <v>20.100000000000001</v>
      </c>
      <c r="X14" s="51"/>
      <c r="Y14" s="51"/>
      <c r="Z14" s="11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88">
        <f t="shared" si="1"/>
        <v>13</v>
      </c>
      <c r="AQ14" s="89" t="str">
        <f t="shared" si="2"/>
        <v/>
      </c>
      <c r="AR14" s="89">
        <f>IFERROR(VLOOKUP(A14,Climatologia!A:U,9+$E$2,FALSE),"")</f>
        <v>18.375069904788941</v>
      </c>
      <c r="AS14" s="89" t="str">
        <f t="shared" si="3"/>
        <v/>
      </c>
      <c r="AT14" s="90">
        <f t="shared" si="4"/>
        <v>17.600000000000001</v>
      </c>
      <c r="AU14" s="90">
        <f t="array" ref="AU14">IFERROR(
  _xlfn.LET(
    _xlpm.mesTxt, INDEX({"ENERO","FEBRERO","MARZO","ABRIL","MAYO","JUNIO","JULIO","AGOSTO","SEPTIEMBRE","OCTUBRE","NOVIEMBRE","DICIEMBRE"}, E$2),
    _xlpm.colIni, MATCH(_xlpm.mesTxt, Minimos!$1:$1, 0),
    _xlpm.fila, MATCH($A14, Minimos!$A:$A, 0),
    _xlpm.val, INDEX(Minimos!$A:$ZZ, _xlpm.fila, _xlpm.colIni),
    IF(_xlpm.val="", "", _xlpm.val)
  ),
"")</f>
        <v>15.6</v>
      </c>
      <c r="AV14" s="91">
        <f t="array" ref="AV1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MATCH($A14, Minimos!$A:$A, 0),
    _xlpm.anio, INDEX(Minimos!$A:$ZZ, _xlpm.fila, _xlpm.colIni+1),
    _xlpm.dia, INDEX(Minimos!$A:$ZZ, _xlpm.fila, _xlpm.colIni+2),
    IF(OR(_xlpm.anio="",_xlpm.dia=""), "", DATE(_xlpm.anio, _xlpm.mesNum, _xlpm.dia))
  ),
"")</f>
        <v>30940</v>
      </c>
      <c r="AW14" s="92">
        <f t="shared" si="5"/>
        <v>2.0000000000000018</v>
      </c>
    </row>
    <row r="15" spans="1:49" ht="15" customHeight="1" x14ac:dyDescent="0.2">
      <c r="A15" s="46">
        <v>16015010</v>
      </c>
      <c r="B15" s="47" t="s">
        <v>53</v>
      </c>
      <c r="C15" s="52" t="s">
        <v>25</v>
      </c>
      <c r="D15" s="49">
        <v>-72.509</v>
      </c>
      <c r="E15" s="49">
        <v>7.93</v>
      </c>
      <c r="F15" s="50">
        <v>250</v>
      </c>
      <c r="G15" s="50">
        <v>54</v>
      </c>
      <c r="H15" s="50">
        <v>54001</v>
      </c>
      <c r="I15" s="47" t="s">
        <v>54</v>
      </c>
      <c r="J15" s="63" t="s">
        <v>55</v>
      </c>
      <c r="K15" s="51">
        <v>24.4</v>
      </c>
      <c r="L15" s="51">
        <v>25</v>
      </c>
      <c r="M15" s="51">
        <v>23.8</v>
      </c>
      <c r="N15" s="51">
        <v>24.4</v>
      </c>
      <c r="O15" s="51">
        <v>25.7</v>
      </c>
      <c r="P15" s="51">
        <v>27.8</v>
      </c>
      <c r="Q15" s="51">
        <v>24.6</v>
      </c>
      <c r="R15" s="51">
        <v>26.2</v>
      </c>
      <c r="S15" s="51">
        <v>27</v>
      </c>
      <c r="T15" s="51">
        <v>25.6</v>
      </c>
      <c r="U15" s="51">
        <v>23.2</v>
      </c>
      <c r="V15" s="51">
        <v>24.4</v>
      </c>
      <c r="W15" s="51">
        <v>25.3</v>
      </c>
      <c r="X15" s="51"/>
      <c r="Y15" s="51"/>
      <c r="Z15" s="11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88">
        <f t="shared" si="1"/>
        <v>13</v>
      </c>
      <c r="AQ15" s="89" t="str">
        <f t="shared" si="2"/>
        <v/>
      </c>
      <c r="AR15" s="89">
        <f>IFERROR(VLOOKUP(A15,Climatologia!A:U,9+$E$2,FALSE),"")</f>
        <v>23.532452107279699</v>
      </c>
      <c r="AS15" s="89" t="str">
        <f t="shared" si="3"/>
        <v/>
      </c>
      <c r="AT15" s="90">
        <f t="shared" si="4"/>
        <v>23.2</v>
      </c>
      <c r="AU15" s="90">
        <f t="array" ref="AU15">IFERROR(
  _xlfn.LET(
    _xlpm.mesTxt, INDEX({"ENERO","FEBRERO","MARZO","ABRIL","MAYO","JUNIO","JULIO","AGOSTO","SEPTIEMBRE","OCTUBRE","NOVIEMBRE","DICIEMBRE"}, E$2),
    _xlpm.colIni, MATCH(_xlpm.mesTxt, Minimos!$1:$1, 0),
    _xlpm.fila, MATCH($A15, Minimos!$A:$A, 0),
    _xlpm.val, INDEX(Minimos!$A:$ZZ, _xlpm.fila, _xlpm.colIni),
    IF(_xlpm.val="", "", _xlpm.val)
  ),
"")</f>
        <v>18.600000000000001</v>
      </c>
      <c r="AV15" s="91">
        <f t="array" ref="AV1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MATCH($A15, Minimos!$A:$A, 0),
    _xlpm.anio, INDEX(Minimos!$A:$ZZ, _xlpm.fila, _xlpm.colIni+1),
    _xlpm.dia, INDEX(Minimos!$A:$ZZ, _xlpm.fila, _xlpm.colIni+2),
    IF(OR(_xlpm.anio="",_xlpm.dia=""), "", DATE(_xlpm.anio, _xlpm.mesNum, _xlpm.dia))
  ),
"")</f>
        <v>31681</v>
      </c>
      <c r="AW15" s="92">
        <f t="shared" si="5"/>
        <v>4.5999999999999979</v>
      </c>
    </row>
    <row r="16" spans="1:49" ht="15" customHeight="1" x14ac:dyDescent="0.2">
      <c r="A16" s="46">
        <v>12015070</v>
      </c>
      <c r="B16" s="52" t="s">
        <v>56</v>
      </c>
      <c r="C16" s="52" t="s">
        <v>25</v>
      </c>
      <c r="D16" s="53">
        <v>-76.718000000000004</v>
      </c>
      <c r="E16" s="53">
        <v>7.8159999999999998</v>
      </c>
      <c r="F16" s="54">
        <v>41</v>
      </c>
      <c r="G16" s="54">
        <v>5</v>
      </c>
      <c r="H16" s="54">
        <v>5147</v>
      </c>
      <c r="I16" s="55" t="s">
        <v>57</v>
      </c>
      <c r="J16" s="64" t="s">
        <v>58</v>
      </c>
      <c r="K16" s="51">
        <v>23.1</v>
      </c>
      <c r="L16" s="51">
        <v>25</v>
      </c>
      <c r="M16" s="51">
        <v>25.5</v>
      </c>
      <c r="N16" s="51">
        <v>24.4</v>
      </c>
      <c r="O16" s="51">
        <v>26.2</v>
      </c>
      <c r="P16" s="51">
        <v>24.7</v>
      </c>
      <c r="Q16" s="51">
        <v>25.5</v>
      </c>
      <c r="R16" s="51">
        <v>25.4</v>
      </c>
      <c r="S16" s="51">
        <v>26.2</v>
      </c>
      <c r="T16" s="51">
        <v>24.2</v>
      </c>
      <c r="U16" s="51">
        <v>23.5</v>
      </c>
      <c r="V16" s="51">
        <v>23.5</v>
      </c>
      <c r="W16" s="51">
        <v>25.3</v>
      </c>
      <c r="X16" s="51"/>
      <c r="Y16" s="51"/>
      <c r="Z16" s="11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88">
        <f t="shared" si="1"/>
        <v>13</v>
      </c>
      <c r="AQ16" s="89" t="str">
        <f t="shared" si="2"/>
        <v/>
      </c>
      <c r="AR16" s="89">
        <f>IFERROR(VLOOKUP(A16,Climatologia!A:U,9+$E$2,FALSE),"")</f>
        <v>23.20104269293925</v>
      </c>
      <c r="AS16" s="89" t="str">
        <f t="shared" si="3"/>
        <v/>
      </c>
      <c r="AT16" s="90">
        <f t="shared" si="4"/>
        <v>23.1</v>
      </c>
      <c r="AU16" s="90">
        <f t="array" ref="AU16">IFERROR(
  _xlfn.LET(
    _xlpm.mesTxt, INDEX({"ENERO","FEBRERO","MARZO","ABRIL","MAYO","JUNIO","JULIO","AGOSTO","SEPTIEMBRE","OCTUBRE","NOVIEMBRE","DICIEMBRE"}, E$2),
    _xlpm.colIni, MATCH(_xlpm.mesTxt, Minimos!$1:$1, 0),
    _xlpm.fila, MATCH($A16, Minimos!$A:$A, 0),
    _xlpm.val, INDEX(Minimos!$A:$ZZ, _xlpm.fila, _xlpm.colIni),
    IF(_xlpm.val="", "", _xlpm.val)
  ),
"")</f>
        <v>19</v>
      </c>
      <c r="AV16" s="91">
        <f t="array" ref="AV1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MATCH($A16, Minimos!$A:$A, 0),
    _xlpm.anio, INDEX(Minimos!$A:$ZZ, _xlpm.fila, _xlpm.colIni+1),
    _xlpm.dia, INDEX(Minimos!$A:$ZZ, _xlpm.fila, _xlpm.colIni+2),
    IF(OR(_xlpm.anio="",_xlpm.dia=""), "", DATE(_xlpm.anio, _xlpm.mesNum, _xlpm.dia))
  ),
"")</f>
        <v>34968</v>
      </c>
      <c r="AW16" s="92">
        <f t="shared" si="5"/>
        <v>4.1000000000000014</v>
      </c>
    </row>
    <row r="17" spans="1:49" ht="15" customHeight="1" x14ac:dyDescent="0.2">
      <c r="A17" s="46">
        <v>27015330</v>
      </c>
      <c r="B17" s="52" t="s">
        <v>59</v>
      </c>
      <c r="C17" s="52" t="s">
        <v>25</v>
      </c>
      <c r="D17" s="53">
        <v>-75.59</v>
      </c>
      <c r="E17" s="53">
        <v>6.22</v>
      </c>
      <c r="F17" s="54">
        <v>1490</v>
      </c>
      <c r="G17" s="54">
        <v>5</v>
      </c>
      <c r="H17" s="54">
        <v>5001</v>
      </c>
      <c r="I17" s="55" t="s">
        <v>57</v>
      </c>
      <c r="J17" s="64" t="s">
        <v>60</v>
      </c>
      <c r="K17" s="51">
        <v>18</v>
      </c>
      <c r="L17" s="51">
        <v>18.2</v>
      </c>
      <c r="M17" s="51">
        <v>19.600000000000001</v>
      </c>
      <c r="N17" s="51">
        <v>19.899999999999999</v>
      </c>
      <c r="O17" s="51">
        <v>18.7</v>
      </c>
      <c r="P17" s="51">
        <v>18.7</v>
      </c>
      <c r="Q17" s="51">
        <v>18.7</v>
      </c>
      <c r="R17" s="51">
        <v>18.3</v>
      </c>
      <c r="S17" s="51">
        <v>19.2</v>
      </c>
      <c r="T17" s="51">
        <v>18.399999999999999</v>
      </c>
      <c r="U17" s="51">
        <v>17.399999999999999</v>
      </c>
      <c r="V17" s="51">
        <v>19.600000000000001</v>
      </c>
      <c r="W17" s="51">
        <v>19.2</v>
      </c>
      <c r="X17" s="51"/>
      <c r="Y17" s="51"/>
      <c r="Z17" s="11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88">
        <f t="shared" si="1"/>
        <v>13</v>
      </c>
      <c r="AQ17" s="89" t="str">
        <f t="shared" si="2"/>
        <v/>
      </c>
      <c r="AR17" s="89">
        <f>IFERROR(VLOOKUP(A17,Climatologia!A:U,9+$E$2,FALSE),"")</f>
        <v>17.481532567049811</v>
      </c>
      <c r="AS17" s="89" t="str">
        <f t="shared" si="3"/>
        <v/>
      </c>
      <c r="AT17" s="90">
        <f t="shared" si="4"/>
        <v>17.399999999999999</v>
      </c>
      <c r="AU17" s="90">
        <f t="array" ref="AU17">IFERROR(
  _xlfn.LET(
    _xlpm.mesTxt, INDEX({"ENERO","FEBRERO","MARZO","ABRIL","MAYO","JUNIO","JULIO","AGOSTO","SEPTIEMBRE","OCTUBRE","NOVIEMBRE","DICIEMBRE"}, E$2),
    _xlpm.colIni, MATCH(_xlpm.mesTxt, Minimos!$1:$1, 0),
    _xlpm.fila, MATCH($A17, Minimos!$A:$A, 0),
    _xlpm.val, INDEX(Minimos!$A:$ZZ, _xlpm.fila, _xlpm.colIni),
    IF(_xlpm.val="", "", _xlpm.val)
  ),
"")</f>
        <v>12</v>
      </c>
      <c r="AV17" s="91">
        <f t="array" ref="AV1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MATCH($A17, Minimos!$A:$A, 0),
    _xlpm.anio, INDEX(Minimos!$A:$ZZ, _xlpm.fila, _xlpm.colIni+1),
    _xlpm.dia, INDEX(Minimos!$A:$ZZ, _xlpm.fila, _xlpm.colIni+2),
    IF(OR(_xlpm.anio="",_xlpm.dia=""), "", DATE(_xlpm.anio, _xlpm.mesNum, _xlpm.dia))
  ),
"")</f>
        <v>31671</v>
      </c>
      <c r="AW17" s="92">
        <f t="shared" si="5"/>
        <v>5.3999999999999986</v>
      </c>
    </row>
    <row r="18" spans="1:49" ht="15" customHeight="1" x14ac:dyDescent="0.2">
      <c r="A18" s="46">
        <v>23085270</v>
      </c>
      <c r="B18" s="47" t="s">
        <v>61</v>
      </c>
      <c r="C18" s="52" t="s">
        <v>25</v>
      </c>
      <c r="D18" s="49">
        <v>-75.430000000000007</v>
      </c>
      <c r="E18" s="49">
        <v>6.17</v>
      </c>
      <c r="F18" s="50">
        <v>2157</v>
      </c>
      <c r="G18" s="50">
        <v>5</v>
      </c>
      <c r="H18" s="50">
        <v>5615</v>
      </c>
      <c r="I18" s="47" t="s">
        <v>57</v>
      </c>
      <c r="J18" s="63" t="s">
        <v>62</v>
      </c>
      <c r="K18" s="51">
        <v>13.6</v>
      </c>
      <c r="L18" s="51">
        <v>14</v>
      </c>
      <c r="M18" s="51">
        <v>12</v>
      </c>
      <c r="N18" s="51">
        <v>13.4</v>
      </c>
      <c r="O18" s="51">
        <v>11.6</v>
      </c>
      <c r="P18" s="51">
        <v>10.6</v>
      </c>
      <c r="Q18" s="51">
        <v>10.3</v>
      </c>
      <c r="R18" s="51">
        <v>13</v>
      </c>
      <c r="S18" s="51">
        <v>10.8</v>
      </c>
      <c r="T18" s="51">
        <v>13.2</v>
      </c>
      <c r="U18" s="51">
        <v>13.3</v>
      </c>
      <c r="V18" s="51">
        <v>13.8</v>
      </c>
      <c r="W18" s="51">
        <v>12</v>
      </c>
      <c r="X18" s="51"/>
      <c r="Y18" s="51"/>
      <c r="Z18" s="11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88">
        <f t="shared" si="1"/>
        <v>13</v>
      </c>
      <c r="AQ18" s="89" t="str">
        <f t="shared" si="2"/>
        <v/>
      </c>
      <c r="AR18" s="89">
        <f>IFERROR(VLOOKUP(A18,Climatologia!A:U,9+$E$2,FALSE),"")</f>
        <v>12.499881093935789</v>
      </c>
      <c r="AS18" s="89" t="str">
        <f t="shared" si="3"/>
        <v/>
      </c>
      <c r="AT18" s="90">
        <f t="shared" si="4"/>
        <v>10.3</v>
      </c>
      <c r="AU18" s="90">
        <f t="array" ref="AU18">IFERROR(
  _xlfn.LET(
    _xlpm.mesTxt, INDEX({"ENERO","FEBRERO","MARZO","ABRIL","MAYO","JUNIO","JULIO","AGOSTO","SEPTIEMBRE","OCTUBRE","NOVIEMBRE","DICIEMBRE"}, E$2),
    _xlpm.colIni, MATCH(_xlpm.mesTxt, Minimos!$1:$1, 0),
    _xlpm.fila, MATCH($A18, Minimos!$A:$A, 0),
    _xlpm.val, INDEX(Minimos!$A:$ZZ, _xlpm.fila, _xlpm.colIni),
    IF(_xlpm.val="", "", _xlpm.val)
  ),
"")</f>
        <v>7.4</v>
      </c>
      <c r="AV18" s="91">
        <f t="array" ref="AV1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MATCH($A18, Minimos!$A:$A, 0),
    _xlpm.anio, INDEX(Minimos!$A:$ZZ, _xlpm.fila, _xlpm.colIni+1),
    _xlpm.dia, INDEX(Minimos!$A:$ZZ, _xlpm.fila, _xlpm.colIni+2),
    IF(OR(_xlpm.anio="",_xlpm.dia=""), "", DATE(_xlpm.anio, _xlpm.mesNum, _xlpm.dia))
  ),
"")</f>
        <v>29852</v>
      </c>
      <c r="AW18" s="92">
        <f t="shared" si="5"/>
        <v>2.9000000000000004</v>
      </c>
    </row>
    <row r="19" spans="1:49" ht="15" customHeight="1" x14ac:dyDescent="0.2">
      <c r="A19" s="46">
        <v>26135040</v>
      </c>
      <c r="B19" s="47" t="s">
        <v>63</v>
      </c>
      <c r="C19" s="52" t="s">
        <v>25</v>
      </c>
      <c r="D19" s="49">
        <v>-75.736999999999995</v>
      </c>
      <c r="E19" s="49">
        <v>4.8159999999999998</v>
      </c>
      <c r="F19" s="50">
        <v>1342</v>
      </c>
      <c r="G19" s="50">
        <v>66</v>
      </c>
      <c r="H19" s="50">
        <v>66001</v>
      </c>
      <c r="I19" s="47" t="s">
        <v>64</v>
      </c>
      <c r="J19" s="63" t="s">
        <v>65</v>
      </c>
      <c r="K19" s="51">
        <v>19</v>
      </c>
      <c r="L19" s="51">
        <v>19</v>
      </c>
      <c r="M19" s="51">
        <v>19</v>
      </c>
      <c r="N19" s="51">
        <v>19.100000000000001</v>
      </c>
      <c r="O19" s="51">
        <v>18.8</v>
      </c>
      <c r="P19" s="51">
        <v>19.2</v>
      </c>
      <c r="Q19" s="51">
        <v>18</v>
      </c>
      <c r="R19" s="51">
        <v>17.5</v>
      </c>
      <c r="S19" s="51">
        <v>18.399999999999999</v>
      </c>
      <c r="T19" s="51">
        <v>19.100000000000001</v>
      </c>
      <c r="U19" s="51">
        <v>19.600000000000001</v>
      </c>
      <c r="V19" s="51">
        <v>18.2</v>
      </c>
      <c r="W19" s="51">
        <v>18.399999999999999</v>
      </c>
      <c r="X19" s="51"/>
      <c r="Y19" s="51"/>
      <c r="Z19" s="11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88">
        <f t="shared" si="1"/>
        <v>13</v>
      </c>
      <c r="AQ19" s="89" t="str">
        <f t="shared" si="2"/>
        <v/>
      </c>
      <c r="AR19" s="89">
        <f>IFERROR(VLOOKUP(A19,Climatologia!A:U,9+$E$2,FALSE),"")</f>
        <v>17.517363619777409</v>
      </c>
      <c r="AS19" s="89" t="str">
        <f t="shared" si="3"/>
        <v/>
      </c>
      <c r="AT19" s="90">
        <f t="shared" si="4"/>
        <v>17.5</v>
      </c>
      <c r="AU19" s="90">
        <f t="array" ref="AU19">IFERROR(
  _xlfn.LET(
    _xlpm.mesTxt, INDEX({"ENERO","FEBRERO","MARZO","ABRIL","MAYO","JUNIO","JULIO","AGOSTO","SEPTIEMBRE","OCTUBRE","NOVIEMBRE","DICIEMBRE"}, E$2),
    _xlpm.colIni, MATCH(_xlpm.mesTxt, Minimos!$1:$1, 0),
    _xlpm.fila, MATCH($A19, Minimos!$A:$A, 0),
    _xlpm.val, INDEX(Minimos!$A:$ZZ, _xlpm.fila, _xlpm.colIni),
    IF(_xlpm.val="", "", _xlpm.val)
  ),
"")</f>
        <v>13.2</v>
      </c>
      <c r="AV19" s="91">
        <f t="array" ref="AV1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MATCH($A19, Minimos!$A:$A, 0),
    _xlpm.anio, INDEX(Minimos!$A:$ZZ, _xlpm.fila, _xlpm.colIni+1),
    _xlpm.dia, INDEX(Minimos!$A:$ZZ, _xlpm.fila, _xlpm.colIni+2),
    IF(OR(_xlpm.anio="",_xlpm.dia=""), "", DATE(_xlpm.anio, _xlpm.mesNum, _xlpm.dia))
  ),
"")</f>
        <v>34596</v>
      </c>
      <c r="AW19" s="92">
        <f t="shared" si="5"/>
        <v>4.3000000000000007</v>
      </c>
    </row>
    <row r="20" spans="1:49" ht="15" customHeight="1" x14ac:dyDescent="0.2">
      <c r="A20" s="46">
        <v>26125061</v>
      </c>
      <c r="B20" s="47" t="s">
        <v>66</v>
      </c>
      <c r="C20" s="52" t="s">
        <v>25</v>
      </c>
      <c r="D20" s="49">
        <v>-75.766000000000005</v>
      </c>
      <c r="E20" s="49">
        <v>4.4550000000000001</v>
      </c>
      <c r="F20" s="50">
        <v>1229</v>
      </c>
      <c r="G20" s="50">
        <v>63</v>
      </c>
      <c r="H20" s="50">
        <v>63001</v>
      </c>
      <c r="I20" s="47" t="s">
        <v>67</v>
      </c>
      <c r="J20" s="63" t="s">
        <v>68</v>
      </c>
      <c r="K20" s="51">
        <v>18.899999999999999</v>
      </c>
      <c r="L20" s="51">
        <v>19.2</v>
      </c>
      <c r="M20" s="51">
        <v>19</v>
      </c>
      <c r="N20" s="51">
        <v>17.7</v>
      </c>
      <c r="O20" s="51">
        <v>17.600000000000001</v>
      </c>
      <c r="P20" s="51">
        <v>18.7</v>
      </c>
      <c r="Q20" s="51">
        <v>16.7</v>
      </c>
      <c r="R20" s="51">
        <v>15.4</v>
      </c>
      <c r="S20" s="51">
        <v>16.600000000000001</v>
      </c>
      <c r="T20" s="51">
        <v>17.3</v>
      </c>
      <c r="U20" s="51">
        <v>18.600000000000001</v>
      </c>
      <c r="V20" s="51">
        <v>17.5</v>
      </c>
      <c r="W20" s="51">
        <v>18</v>
      </c>
      <c r="X20" s="51"/>
      <c r="Y20" s="51"/>
      <c r="Z20" s="11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88">
        <f t="shared" si="1"/>
        <v>13</v>
      </c>
      <c r="AQ20" s="89" t="str">
        <f t="shared" si="2"/>
        <v/>
      </c>
      <c r="AR20" s="89">
        <f>IFERROR(VLOOKUP(A20,Climatologia!A:U,9+$E$2,FALSE),"")</f>
        <v>16.802106227106218</v>
      </c>
      <c r="AS20" s="89" t="str">
        <f t="shared" si="3"/>
        <v/>
      </c>
      <c r="AT20" s="90">
        <f t="shared" si="4"/>
        <v>15.4</v>
      </c>
      <c r="AU20" s="90">
        <f t="array" ref="AU20">IFERROR(
  _xlfn.LET(
    _xlpm.mesTxt, INDEX({"ENERO","FEBRERO","MARZO","ABRIL","MAYO","JUNIO","JULIO","AGOSTO","SEPTIEMBRE","OCTUBRE","NOVIEMBRE","DICIEMBRE"}, E$2),
    _xlpm.colIni, MATCH(_xlpm.mesTxt, Minimos!$1:$1, 0),
    _xlpm.fila, MATCH($A20, Minimos!$A:$A, 0),
    _xlpm.val, INDEX(Minimos!$A:$ZZ, _xlpm.fila, _xlpm.colIni),
    IF(_xlpm.val="", "", _xlpm.val)
  ),
"")</f>
        <v>12.6</v>
      </c>
      <c r="AV20" s="91">
        <f t="array" ref="AV2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MATCH($A20, Minimos!$A:$A, 0),
    _xlpm.anio, INDEX(Minimos!$A:$ZZ, _xlpm.fila, _xlpm.colIni+1),
    _xlpm.dia, INDEX(Minimos!$A:$ZZ, _xlpm.fila, _xlpm.colIni+2),
    IF(OR(_xlpm.anio="",_xlpm.dia=""), "", DATE(_xlpm.anio, _xlpm.mesNum, _xlpm.dia))
  ),
"")</f>
        <v>31660</v>
      </c>
      <c r="AW20" s="92">
        <f t="shared" si="5"/>
        <v>2.8000000000000007</v>
      </c>
    </row>
    <row r="21" spans="1:49" ht="15" customHeight="1" x14ac:dyDescent="0.2">
      <c r="A21" s="48">
        <v>21245040</v>
      </c>
      <c r="B21" s="55" t="s">
        <v>69</v>
      </c>
      <c r="C21" s="52" t="s">
        <v>25</v>
      </c>
      <c r="D21" s="53">
        <v>-75.138999999999996</v>
      </c>
      <c r="E21" s="53">
        <v>4.4240000000000004</v>
      </c>
      <c r="F21" s="54">
        <v>943</v>
      </c>
      <c r="G21" s="46">
        <v>73</v>
      </c>
      <c r="H21" s="46">
        <v>73001</v>
      </c>
      <c r="I21" s="55" t="s">
        <v>70</v>
      </c>
      <c r="J21" s="55" t="s">
        <v>71</v>
      </c>
      <c r="K21" s="51">
        <v>21.1</v>
      </c>
      <c r="L21" s="51">
        <v>19.600000000000001</v>
      </c>
      <c r="M21" s="51">
        <v>20.9</v>
      </c>
      <c r="N21" s="51">
        <v>21.6</v>
      </c>
      <c r="O21" s="51">
        <v>21.8</v>
      </c>
      <c r="P21" s="51">
        <v>21.9</v>
      </c>
      <c r="Q21" s="51">
        <v>20.8</v>
      </c>
      <c r="R21" s="51">
        <v>21.4</v>
      </c>
      <c r="S21" s="51">
        <v>22</v>
      </c>
      <c r="T21" s="51">
        <v>21.7</v>
      </c>
      <c r="U21" s="51">
        <v>21.4</v>
      </c>
      <c r="V21" s="51">
        <v>19.600000000000001</v>
      </c>
      <c r="W21" s="51">
        <v>21.8</v>
      </c>
      <c r="X21" s="51"/>
      <c r="Y21" s="51"/>
      <c r="Z21" s="111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88">
        <f t="shared" si="1"/>
        <v>13</v>
      </c>
      <c r="AQ21" s="89" t="str">
        <f t="shared" si="2"/>
        <v/>
      </c>
      <c r="AR21" s="89">
        <f>IFERROR(VLOOKUP(A21,Climatologia!A:U,9+$E$2,FALSE),"")</f>
        <v>19.232081736909329</v>
      </c>
      <c r="AS21" s="89" t="str">
        <f t="shared" si="3"/>
        <v/>
      </c>
      <c r="AT21" s="90">
        <f t="shared" si="4"/>
        <v>19.600000000000001</v>
      </c>
      <c r="AU21" s="90">
        <f t="array" ref="AU21">IFERROR(
  _xlfn.LET(
    _xlpm.mesTxt, INDEX({"ENERO","FEBRERO","MARZO","ABRIL","MAYO","JUNIO","JULIO","AGOSTO","SEPTIEMBRE","OCTUBRE","NOVIEMBRE","DICIEMBRE"}, E$2),
    _xlpm.colIni, MATCH(_xlpm.mesTxt, Minimos!$1:$1, 0),
    _xlpm.fila, MATCH($A21, Minimos!$A:$A, 0),
    _xlpm.val, INDEX(Minimos!$A:$ZZ, _xlpm.fila, _xlpm.colIni),
    IF(_xlpm.val="", "", _xlpm.val)
  ),
"")</f>
        <v>15.4</v>
      </c>
      <c r="AV21" s="91">
        <f t="array" ref="AV2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MATCH($A21, Minimos!$A:$A, 0),
    _xlpm.anio, INDEX(Minimos!$A:$ZZ, _xlpm.fila, _xlpm.colIni+1),
    _xlpm.dia, INDEX(Minimos!$A:$ZZ, _xlpm.fila, _xlpm.colIni+2),
    IF(OR(_xlpm.anio="",_xlpm.dia=""), "", DATE(_xlpm.anio, _xlpm.mesNum, _xlpm.dia))
  ),
"")</f>
        <v>32765</v>
      </c>
      <c r="AW21" s="92">
        <f t="shared" si="5"/>
        <v>4.2000000000000011</v>
      </c>
    </row>
    <row r="22" spans="1:49" ht="15" customHeight="1" x14ac:dyDescent="0.2">
      <c r="A22" s="46">
        <v>21205791</v>
      </c>
      <c r="B22" s="52" t="s">
        <v>72</v>
      </c>
      <c r="C22" s="52" t="s">
        <v>25</v>
      </c>
      <c r="D22" s="53">
        <v>-74.150999999999996</v>
      </c>
      <c r="E22" s="53">
        <v>4.7060000000000004</v>
      </c>
      <c r="F22" s="54">
        <v>2547</v>
      </c>
      <c r="G22" s="54">
        <v>25</v>
      </c>
      <c r="H22" s="54">
        <v>11001</v>
      </c>
      <c r="I22" s="55" t="s">
        <v>73</v>
      </c>
      <c r="J22" s="64" t="s">
        <v>74</v>
      </c>
      <c r="K22" s="51">
        <v>9.6</v>
      </c>
      <c r="L22" s="51">
        <v>9.6</v>
      </c>
      <c r="M22" s="51">
        <v>9.6</v>
      </c>
      <c r="N22" s="51">
        <v>9</v>
      </c>
      <c r="O22" s="51">
        <v>9.6</v>
      </c>
      <c r="P22" s="51">
        <v>7.6</v>
      </c>
      <c r="Q22" s="51">
        <v>7.7</v>
      </c>
      <c r="R22" s="51">
        <v>7.4</v>
      </c>
      <c r="S22" s="51">
        <v>12.1</v>
      </c>
      <c r="T22" s="51">
        <v>7.8</v>
      </c>
      <c r="U22" s="51">
        <v>9.8000000000000007</v>
      </c>
      <c r="V22" s="51">
        <v>8.3000000000000007</v>
      </c>
      <c r="W22" s="51">
        <v>8.1</v>
      </c>
      <c r="X22" s="51"/>
      <c r="Y22" s="51"/>
      <c r="Z22" s="11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88">
        <f t="shared" si="1"/>
        <v>13</v>
      </c>
      <c r="AQ22" s="89" t="str">
        <f t="shared" si="2"/>
        <v/>
      </c>
      <c r="AR22" s="89">
        <f>IFERROR(VLOOKUP(A22,Climatologia!A:U,9+$E$2,FALSE),"")</f>
        <v>7.7788019451812538</v>
      </c>
      <c r="AS22" s="89" t="str">
        <f t="shared" si="3"/>
        <v/>
      </c>
      <c r="AT22" s="90">
        <f t="shared" si="4"/>
        <v>7.4</v>
      </c>
      <c r="AU22" s="90">
        <f t="array" ref="AU22">IFERROR(
  _xlfn.LET(
    _xlpm.mesTxt, INDEX({"ENERO","FEBRERO","MARZO","ABRIL","MAYO","JUNIO","JULIO","AGOSTO","SEPTIEMBRE","OCTUBRE","NOVIEMBRE","DICIEMBRE"}, E$2),
    _xlpm.colIni, MATCH(_xlpm.mesTxt, Minimos!$1:$1, 0),
    _xlpm.fila, MATCH($A22, Minimos!$A:$A, 0),
    _xlpm.val, INDEX(Minimos!$A:$ZZ, _xlpm.fila, _xlpm.colIni),
    IF(_xlpm.val="", "", _xlpm.val)
  ),
"")</f>
        <v>-0.2</v>
      </c>
      <c r="AV22" s="91">
        <f t="array" ref="AV2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MATCH($A22, Minimos!$A:$A, 0),
    _xlpm.anio, INDEX(Minimos!$A:$ZZ, _xlpm.fila, _xlpm.colIni+1),
    _xlpm.dia, INDEX(Minimos!$A:$ZZ, _xlpm.fila, _xlpm.colIni+2),
    IF(OR(_xlpm.anio="",_xlpm.dia=""), "", DATE(_xlpm.anio, _xlpm.mesNum, _xlpm.dia))
  ),
"")</f>
        <v>33864</v>
      </c>
      <c r="AW22" s="92">
        <f t="shared" si="5"/>
        <v>7.6000000000000005</v>
      </c>
    </row>
    <row r="23" spans="1:49" ht="15" customHeight="1" x14ac:dyDescent="0.2">
      <c r="A23" s="46">
        <v>26075040</v>
      </c>
      <c r="B23" s="47" t="s">
        <v>75</v>
      </c>
      <c r="C23" s="52" t="s">
        <v>25</v>
      </c>
      <c r="D23" s="49">
        <v>-76.387</v>
      </c>
      <c r="E23" s="49">
        <v>3.5369999999999999</v>
      </c>
      <c r="F23" s="50">
        <v>970</v>
      </c>
      <c r="G23" s="46">
        <v>76</v>
      </c>
      <c r="H23" s="46">
        <v>76520</v>
      </c>
      <c r="I23" s="55" t="s">
        <v>76</v>
      </c>
      <c r="J23" s="55" t="s">
        <v>77</v>
      </c>
      <c r="K23" s="51">
        <v>19.399999999999999</v>
      </c>
      <c r="L23" s="51">
        <v>19.100000000000001</v>
      </c>
      <c r="M23" s="51">
        <v>20.6</v>
      </c>
      <c r="N23" s="51">
        <v>19.7</v>
      </c>
      <c r="O23" s="51">
        <v>18.899999999999999</v>
      </c>
      <c r="P23" s="51">
        <v>19.3</v>
      </c>
      <c r="Q23" s="51">
        <v>20.399999999999999</v>
      </c>
      <c r="R23" s="51">
        <v>17.399999999999999</v>
      </c>
      <c r="S23" s="51">
        <v>18.3</v>
      </c>
      <c r="T23" s="51">
        <v>18.399999999999999</v>
      </c>
      <c r="U23" s="51">
        <v>20.8</v>
      </c>
      <c r="V23" s="51">
        <v>19.3</v>
      </c>
      <c r="W23" s="51">
        <v>19.3</v>
      </c>
      <c r="X23" s="51"/>
      <c r="Y23" s="51"/>
      <c r="Z23" s="111"/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88">
        <f t="shared" si="1"/>
        <v>13</v>
      </c>
      <c r="AQ23" s="89" t="str">
        <f t="shared" si="2"/>
        <v/>
      </c>
      <c r="AR23" s="89">
        <f>IFERROR(VLOOKUP(A23,Climatologia!A:U,9+$E$2,FALSE),"")</f>
        <v>18.648510848126229</v>
      </c>
      <c r="AS23" s="89" t="str">
        <f t="shared" si="3"/>
        <v/>
      </c>
      <c r="AT23" s="90">
        <f t="shared" si="4"/>
        <v>17.399999999999999</v>
      </c>
      <c r="AU23" s="90">
        <f t="array" ref="AU23">IFERROR(
  _xlfn.LET(
    _xlpm.mesTxt, INDEX({"ENERO","FEBRERO","MARZO","ABRIL","MAYO","JUNIO","JULIO","AGOSTO","SEPTIEMBRE","OCTUBRE","NOVIEMBRE","DICIEMBRE"}, E$2),
    _xlpm.colIni, MATCH(_xlpm.mesTxt, Minimos!$1:$1, 0),
    _xlpm.fila, MATCH($A23, Minimos!$A:$A, 0),
    _xlpm.val, INDEX(Minimos!$A:$ZZ, _xlpm.fila, _xlpm.colIni),
    IF(_xlpm.val="", "", _xlpm.val)
  ),
"")</f>
        <v>14.2</v>
      </c>
      <c r="AV23" s="91">
        <f t="array" ref="AV2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MATCH($A23, Minimos!$A:$A, 0),
    _xlpm.anio, INDEX(Minimos!$A:$ZZ, _xlpm.fila, _xlpm.colIni+1),
    _xlpm.dia, INDEX(Minimos!$A:$ZZ, _xlpm.fila, _xlpm.colIni+2),
    IF(OR(_xlpm.anio="",_xlpm.dia=""), "", DATE(_xlpm.anio, _xlpm.mesNum, _xlpm.dia))
  ),
"")</f>
        <v>28033</v>
      </c>
      <c r="AW23" s="92">
        <f t="shared" si="5"/>
        <v>3.1999999999999993</v>
      </c>
    </row>
    <row r="24" spans="1:49" ht="15" customHeight="1" x14ac:dyDescent="0.2">
      <c r="A24" s="46">
        <v>21115020</v>
      </c>
      <c r="B24" s="55" t="s">
        <v>78</v>
      </c>
      <c r="C24" s="52" t="s">
        <v>25</v>
      </c>
      <c r="D24" s="53">
        <v>-75.293000000000006</v>
      </c>
      <c r="E24" s="53">
        <v>2.9489999999999998</v>
      </c>
      <c r="F24" s="54">
        <v>439</v>
      </c>
      <c r="G24" s="46">
        <v>41</v>
      </c>
      <c r="H24" s="46">
        <v>41001</v>
      </c>
      <c r="I24" s="55" t="s">
        <v>79</v>
      </c>
      <c r="J24" s="55" t="s">
        <v>80</v>
      </c>
      <c r="K24" s="51">
        <v>23.8</v>
      </c>
      <c r="L24" s="51">
        <v>23.8</v>
      </c>
      <c r="M24" s="51">
        <v>22.6</v>
      </c>
      <c r="N24" s="51">
        <v>23</v>
      </c>
      <c r="O24" s="51">
        <v>25.8</v>
      </c>
      <c r="P24" s="51">
        <v>26.6</v>
      </c>
      <c r="Q24" s="51">
        <v>26.8</v>
      </c>
      <c r="R24" s="51">
        <v>23.2</v>
      </c>
      <c r="S24" s="51">
        <v>23</v>
      </c>
      <c r="T24" s="51">
        <v>25</v>
      </c>
      <c r="U24" s="51">
        <v>24.8</v>
      </c>
      <c r="V24" s="51">
        <v>23.7</v>
      </c>
      <c r="W24" s="51">
        <v>24.7</v>
      </c>
      <c r="X24" s="51"/>
      <c r="Y24" s="51"/>
      <c r="Z24" s="11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88">
        <f t="shared" si="1"/>
        <v>13</v>
      </c>
      <c r="AQ24" s="89" t="str">
        <f t="shared" si="2"/>
        <v/>
      </c>
      <c r="AR24" s="89">
        <f>IFERROR(VLOOKUP(A24,Climatologia!A:U,9+$E$2,FALSE),"")</f>
        <v>23.155076628352489</v>
      </c>
      <c r="AS24" s="89" t="str">
        <f t="shared" si="3"/>
        <v/>
      </c>
      <c r="AT24" s="90">
        <f t="shared" si="4"/>
        <v>22.6</v>
      </c>
      <c r="AU24" s="90">
        <f t="array" ref="AU24">IFERROR(
  _xlfn.LET(
    _xlpm.mesTxt, INDEX({"ENERO","FEBRERO","MARZO","ABRIL","MAYO","JUNIO","JULIO","AGOSTO","SEPTIEMBRE","OCTUBRE","NOVIEMBRE","DICIEMBRE"}, E$2),
    _xlpm.colIni, MATCH(_xlpm.mesTxt, Minimos!$1:$1, 0),
    _xlpm.fila, MATCH($A24, Minimos!$A:$A, 0),
    _xlpm.val, INDEX(Minimos!$A:$ZZ, _xlpm.fila, _xlpm.colIni),
    IF(_xlpm.val="", "", _xlpm.val)
  ),
"")</f>
        <v>17.600000000000001</v>
      </c>
      <c r="AV24" s="91">
        <f t="array" ref="AV2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MATCH($A24, Minimos!$A:$A, 0),
    _xlpm.anio, INDEX(Minimos!$A:$ZZ, _xlpm.fila, _xlpm.colIni+1),
    _xlpm.dia, INDEX(Minimos!$A:$ZZ, _xlpm.fila, _xlpm.colIni+2),
    IF(OR(_xlpm.anio="",_xlpm.dia=""), "", DATE(_xlpm.anio, _xlpm.mesNum, _xlpm.dia))
  ),
"")</f>
        <v>34223</v>
      </c>
      <c r="AW24" s="92">
        <f t="shared" si="5"/>
        <v>5</v>
      </c>
    </row>
    <row r="25" spans="1:49" ht="15" customHeight="1" x14ac:dyDescent="0.2">
      <c r="A25" s="46">
        <v>52045020</v>
      </c>
      <c r="B25" s="52" t="s">
        <v>81</v>
      </c>
      <c r="C25" s="52" t="s">
        <v>25</v>
      </c>
      <c r="D25" s="53">
        <v>-77.290999999999997</v>
      </c>
      <c r="E25" s="53">
        <v>1.3939999999999999</v>
      </c>
      <c r="F25" s="54">
        <v>1796</v>
      </c>
      <c r="G25" s="54">
        <v>52</v>
      </c>
      <c r="H25" s="54">
        <v>52240</v>
      </c>
      <c r="I25" s="55" t="s">
        <v>82</v>
      </c>
      <c r="J25" s="64" t="s">
        <v>83</v>
      </c>
      <c r="K25" s="51">
        <v>12.6</v>
      </c>
      <c r="L25" s="51">
        <v>15.2</v>
      </c>
      <c r="M25" s="51">
        <v>17.2</v>
      </c>
      <c r="N25" s="51">
        <v>16</v>
      </c>
      <c r="O25" s="51">
        <v>16.8</v>
      </c>
      <c r="P25" s="51">
        <v>17</v>
      </c>
      <c r="Q25" s="51">
        <v>16.8</v>
      </c>
      <c r="R25" s="51">
        <v>16.5</v>
      </c>
      <c r="S25" s="51">
        <v>17.8</v>
      </c>
      <c r="T25" s="51">
        <v>14.4</v>
      </c>
      <c r="U25" s="51">
        <v>15.6</v>
      </c>
      <c r="V25" s="51">
        <v>15.4</v>
      </c>
      <c r="W25" s="51">
        <v>16</v>
      </c>
      <c r="X25" s="51"/>
      <c r="Y25" s="51"/>
      <c r="Z25" s="11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88">
        <f t="shared" si="1"/>
        <v>13</v>
      </c>
      <c r="AQ25" s="89" t="str">
        <f t="shared" si="2"/>
        <v/>
      </c>
      <c r="AR25" s="89">
        <f>IFERROR(VLOOKUP(A25,Climatologia!A:U,9+$E$2,FALSE),"")</f>
        <v>14.47676179151804</v>
      </c>
      <c r="AS25" s="89" t="str">
        <f t="shared" si="3"/>
        <v/>
      </c>
      <c r="AT25" s="90">
        <f t="shared" si="4"/>
        <v>12.6</v>
      </c>
      <c r="AU25" s="90">
        <f t="array" ref="AU25">IFERROR(
  _xlfn.LET(
    _xlpm.mesTxt, INDEX({"ENERO","FEBRERO","MARZO","ABRIL","MAYO","JUNIO","JULIO","AGOSTO","SEPTIEMBRE","OCTUBRE","NOVIEMBRE","DICIEMBRE"}, E$2),
    _xlpm.colIni, MATCH(_xlpm.mesTxt, Minimos!$1:$1, 0),
    _xlpm.fila, MATCH($A25, Minimos!$A:$A, 0),
    _xlpm.val, INDEX(Minimos!$A:$ZZ, _xlpm.fila, _xlpm.colIni),
    IF(_xlpm.val="", "", _xlpm.val)
  ),
"")</f>
        <v>10.4</v>
      </c>
      <c r="AV25" s="91">
        <f t="array" ref="AV2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MATCH($A25, Minimos!$A:$A, 0),
    _xlpm.anio, INDEX(Minimos!$A:$ZZ, _xlpm.fila, _xlpm.colIni+1),
    _xlpm.dia, INDEX(Minimos!$A:$ZZ, _xlpm.fila, _xlpm.colIni+2),
    IF(OR(_xlpm.anio="",_xlpm.dia=""), "", DATE(_xlpm.anio, _xlpm.mesNum, _xlpm.dia))
  ),
"")</f>
        <v>30937</v>
      </c>
      <c r="AW25" s="92">
        <f t="shared" si="5"/>
        <v>2.1999999999999993</v>
      </c>
    </row>
    <row r="26" spans="1:49" ht="15" customHeight="1" x14ac:dyDescent="0.2">
      <c r="A26" s="46">
        <v>52055230</v>
      </c>
      <c r="B26" s="52" t="s">
        <v>84</v>
      </c>
      <c r="C26" s="52" t="s">
        <v>25</v>
      </c>
      <c r="D26" s="53">
        <v>-77.677999999999997</v>
      </c>
      <c r="E26" s="53">
        <v>0.85699999999999998</v>
      </c>
      <c r="F26" s="54">
        <v>2961</v>
      </c>
      <c r="G26" s="54">
        <v>52</v>
      </c>
      <c r="H26" s="54">
        <v>52022</v>
      </c>
      <c r="I26" s="55" t="s">
        <v>82</v>
      </c>
      <c r="J26" s="64" t="s">
        <v>85</v>
      </c>
      <c r="K26" s="51">
        <v>2</v>
      </c>
      <c r="L26" s="51">
        <v>5.2</v>
      </c>
      <c r="M26" s="51">
        <v>6.4</v>
      </c>
      <c r="N26" s="51">
        <v>7.2</v>
      </c>
      <c r="O26" s="51">
        <v>7.6</v>
      </c>
      <c r="P26" s="51">
        <v>2.6</v>
      </c>
      <c r="Q26" s="51">
        <v>5</v>
      </c>
      <c r="R26" s="51">
        <v>4</v>
      </c>
      <c r="S26" s="51">
        <v>7.8</v>
      </c>
      <c r="T26" s="51">
        <v>7.2</v>
      </c>
      <c r="U26" s="51">
        <v>6.2</v>
      </c>
      <c r="V26" s="51">
        <v>4.2</v>
      </c>
      <c r="W26" s="51">
        <v>5.2</v>
      </c>
      <c r="X26" s="51"/>
      <c r="Y26" s="51"/>
      <c r="Z26" s="11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88">
        <f t="shared" si="1"/>
        <v>13</v>
      </c>
      <c r="AQ26" s="89" t="str">
        <f t="shared" si="2"/>
        <v/>
      </c>
      <c r="AR26" s="89">
        <f>IFERROR(VLOOKUP(A26,Climatologia!A:U,9+$E$2,FALSE),"")</f>
        <v>4.5924256837098687</v>
      </c>
      <c r="AS26" s="89" t="str">
        <f t="shared" si="3"/>
        <v/>
      </c>
      <c r="AT26" s="90">
        <f t="shared" si="4"/>
        <v>2</v>
      </c>
      <c r="AU26" s="90">
        <f t="array" ref="AU26">IFERROR(
  _xlfn.LET(
    _xlpm.mesTxt, INDEX({"ENERO","FEBRERO","MARZO","ABRIL","MAYO","JUNIO","JULIO","AGOSTO","SEPTIEMBRE","OCTUBRE","NOVIEMBRE","DICIEMBRE"}, E$2),
    _xlpm.colIni, MATCH(_xlpm.mesTxt, Minimos!$1:$1, 0),
    _xlpm.fila, MATCH($A26, Minimos!$A:$A, 0),
    _xlpm.val, INDEX(Minimos!$A:$ZZ, _xlpm.fila, _xlpm.colIni),
    IF(_xlpm.val="", "", _xlpm.val)
  ),
"")</f>
        <v>-1.4</v>
      </c>
      <c r="AV26" s="91">
        <f t="array" ref="AV2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MATCH($A26, Minimos!$A:$A, 0),
    _xlpm.anio, INDEX(Minimos!$A:$ZZ, _xlpm.fila, _xlpm.colIni+1),
    _xlpm.dia, INDEX(Minimos!$A:$ZZ, _xlpm.fila, _xlpm.colIni+2),
    IF(OR(_xlpm.anio="",_xlpm.dia=""), "", DATE(_xlpm.anio, _xlpm.mesNum, _xlpm.dia))
  ),
"")</f>
        <v>41168</v>
      </c>
      <c r="AW26" s="92">
        <f t="shared" si="5"/>
        <v>3.4</v>
      </c>
    </row>
    <row r="27" spans="1:49" ht="15" customHeight="1" x14ac:dyDescent="0.2">
      <c r="A27" s="46">
        <v>11045010</v>
      </c>
      <c r="B27" s="55" t="s">
        <v>86</v>
      </c>
      <c r="C27" s="52" t="s">
        <v>25</v>
      </c>
      <c r="D27" s="53">
        <v>-76.644000000000005</v>
      </c>
      <c r="E27" s="53">
        <v>5.6909999999999998</v>
      </c>
      <c r="F27" s="54">
        <v>75</v>
      </c>
      <c r="G27" s="46">
        <v>27</v>
      </c>
      <c r="H27" s="46">
        <v>27001</v>
      </c>
      <c r="I27" s="55" t="s">
        <v>87</v>
      </c>
      <c r="J27" s="55" t="s">
        <v>88</v>
      </c>
      <c r="K27" s="51">
        <v>24.2</v>
      </c>
      <c r="L27" s="51">
        <v>24.4</v>
      </c>
      <c r="M27" s="51">
        <v>25.1</v>
      </c>
      <c r="N27" s="51">
        <v>24.3</v>
      </c>
      <c r="O27" s="51">
        <v>24.6</v>
      </c>
      <c r="P27" s="51">
        <v>23.6</v>
      </c>
      <c r="Q27" s="51">
        <v>24.1</v>
      </c>
      <c r="R27" s="51">
        <v>24.8</v>
      </c>
      <c r="S27" s="51">
        <v>25.7</v>
      </c>
      <c r="T27" s="51">
        <v>25.2</v>
      </c>
      <c r="U27" s="51">
        <v>23.9</v>
      </c>
      <c r="V27" s="51">
        <v>24.8</v>
      </c>
      <c r="W27" s="51">
        <v>25</v>
      </c>
      <c r="X27" s="51"/>
      <c r="Y27" s="51"/>
      <c r="Z27" s="11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88">
        <f t="shared" si="1"/>
        <v>13</v>
      </c>
      <c r="AQ27" s="89" t="str">
        <f t="shared" si="2"/>
        <v/>
      </c>
      <c r="AR27" s="89">
        <f>IFERROR(VLOOKUP(A27,Climatologia!A:U,9+$E$2,FALSE),"")</f>
        <v>23.200678160919541</v>
      </c>
      <c r="AS27" s="89" t="str">
        <f t="shared" si="3"/>
        <v/>
      </c>
      <c r="AT27" s="90">
        <f t="shared" si="4"/>
        <v>23.6</v>
      </c>
      <c r="AU27" s="90">
        <f t="array" ref="AU27">IFERROR(
  _xlfn.LET(
    _xlpm.mesTxt, INDEX({"ENERO","FEBRERO","MARZO","ABRIL","MAYO","JUNIO","JULIO","AGOSTO","SEPTIEMBRE","OCTUBRE","NOVIEMBRE","DICIEMBRE"}, E$2),
    _xlpm.colIni, MATCH(_xlpm.mesTxt, Minimos!$1:$1, 0),
    _xlpm.fila, MATCH($A27, Minimos!$A:$A, 0),
    _xlpm.val, INDEX(Minimos!$A:$ZZ, _xlpm.fila, _xlpm.colIni),
    IF(_xlpm.val="", "", _xlpm.val)
  ),
"")</f>
        <v>20.2</v>
      </c>
      <c r="AV27" s="91">
        <f t="array" ref="AV2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MATCH($A27, Minimos!$A:$A, 0),
    _xlpm.anio, INDEX(Minimos!$A:$ZZ, _xlpm.fila, _xlpm.colIni+1),
    _xlpm.dia, INDEX(Minimos!$A:$ZZ, _xlpm.fila, _xlpm.colIni+2),
    IF(OR(_xlpm.anio="",_xlpm.dia=""), "", DATE(_xlpm.anio, _xlpm.mesNum, _xlpm.dia))
  ),
"")</f>
        <v>30220</v>
      </c>
      <c r="AW27" s="92">
        <f t="shared" si="5"/>
        <v>3.4000000000000021</v>
      </c>
    </row>
    <row r="28" spans="1:49" ht="15" customHeight="1" x14ac:dyDescent="0.2">
      <c r="A28" s="46">
        <v>37055010</v>
      </c>
      <c r="B28" s="55" t="s">
        <v>89</v>
      </c>
      <c r="C28" s="52" t="s">
        <v>25</v>
      </c>
      <c r="D28" s="53">
        <v>-70.738</v>
      </c>
      <c r="E28" s="53">
        <v>7.069</v>
      </c>
      <c r="F28" s="54">
        <v>128</v>
      </c>
      <c r="G28" s="46">
        <v>81</v>
      </c>
      <c r="H28" s="46">
        <v>81001</v>
      </c>
      <c r="I28" s="55" t="s">
        <v>90</v>
      </c>
      <c r="J28" s="55" t="s">
        <v>90</v>
      </c>
      <c r="K28" s="51">
        <v>24.2</v>
      </c>
      <c r="L28" s="51">
        <v>24.3</v>
      </c>
      <c r="M28" s="51">
        <v>22.4</v>
      </c>
      <c r="N28" s="51">
        <v>23.2</v>
      </c>
      <c r="O28" s="51">
        <v>23.3</v>
      </c>
      <c r="P28" s="51">
        <v>24.3</v>
      </c>
      <c r="Q28" s="51">
        <v>21.4</v>
      </c>
      <c r="R28" s="51">
        <v>22.8</v>
      </c>
      <c r="S28" s="51">
        <v>23.7</v>
      </c>
      <c r="T28" s="51">
        <v>24.5</v>
      </c>
      <c r="U28" s="51">
        <v>22.8</v>
      </c>
      <c r="V28" s="51">
        <v>24.3</v>
      </c>
      <c r="W28" s="51">
        <v>22.9</v>
      </c>
      <c r="X28" s="51"/>
      <c r="Y28" s="51"/>
      <c r="Z28" s="11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88">
        <f t="shared" si="1"/>
        <v>13</v>
      </c>
      <c r="AQ28" s="89" t="str">
        <f t="shared" si="2"/>
        <v/>
      </c>
      <c r="AR28" s="89">
        <f>IFERROR(VLOOKUP(A28,Climatologia!A:U,9+$E$2,FALSE),"")</f>
        <v>22.923426719914591</v>
      </c>
      <c r="AS28" s="89" t="str">
        <f t="shared" si="3"/>
        <v/>
      </c>
      <c r="AT28" s="90">
        <f t="shared" si="4"/>
        <v>21.4</v>
      </c>
      <c r="AU28" s="90">
        <f t="array" ref="AU28">IFERROR(
  _xlfn.LET(
    _xlpm.mesTxt, INDEX({"ENERO","FEBRERO","MARZO","ABRIL","MAYO","JUNIO","JULIO","AGOSTO","SEPTIEMBRE","OCTUBRE","NOVIEMBRE","DICIEMBRE"}, E$2),
    _xlpm.colIni, MATCH(_xlpm.mesTxt, Minimos!$1:$1, 0),
    _xlpm.fila, MATCH($A28, Minimos!$A:$A, 0),
    _xlpm.val, INDEX(Minimos!$A:$ZZ, _xlpm.fila, _xlpm.colIni),
    IF(_xlpm.val="", "", _xlpm.val)
  ),
"")</f>
        <v>19.399999999999999</v>
      </c>
      <c r="AV28" s="91">
        <f t="array" ref="AV2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MATCH($A28, Minimos!$A:$A, 0),
    _xlpm.anio, INDEX(Minimos!$A:$ZZ, _xlpm.fila, _xlpm.colIni+1),
    _xlpm.dia, INDEX(Minimos!$A:$ZZ, _xlpm.fila, _xlpm.colIni+2),
    IF(OR(_xlpm.anio="",_xlpm.dia=""), "", DATE(_xlpm.anio, _xlpm.mesNum, _xlpm.dia))
  ),
"")</f>
        <v>39703</v>
      </c>
      <c r="AW28" s="92">
        <f t="shared" si="5"/>
        <v>2</v>
      </c>
    </row>
    <row r="29" spans="1:49" ht="15" customHeight="1" x14ac:dyDescent="0.2">
      <c r="A29" s="46">
        <v>38015030</v>
      </c>
      <c r="B29" s="55" t="s">
        <v>91</v>
      </c>
      <c r="C29" s="52" t="s">
        <v>25</v>
      </c>
      <c r="D29" s="53">
        <v>-67.491</v>
      </c>
      <c r="E29" s="53">
        <v>6.1820000000000004</v>
      </c>
      <c r="F29" s="54">
        <v>57</v>
      </c>
      <c r="G29" s="54">
        <v>99</v>
      </c>
      <c r="H29" s="54">
        <v>99001</v>
      </c>
      <c r="I29" s="55" t="s">
        <v>92</v>
      </c>
      <c r="J29" s="64" t="s">
        <v>93</v>
      </c>
      <c r="K29" s="51">
        <v>25.8</v>
      </c>
      <c r="L29" s="51">
        <v>26</v>
      </c>
      <c r="M29" s="51">
        <v>25</v>
      </c>
      <c r="N29" s="51">
        <v>25.6</v>
      </c>
      <c r="O29" s="51">
        <v>25.2</v>
      </c>
      <c r="P29" s="51">
        <v>24.8</v>
      </c>
      <c r="Q29" s="51">
        <v>25</v>
      </c>
      <c r="R29" s="51">
        <v>25.4</v>
      </c>
      <c r="S29" s="51">
        <v>25.2</v>
      </c>
      <c r="T29" s="51">
        <v>25.6</v>
      </c>
      <c r="U29" s="51">
        <v>25.4</v>
      </c>
      <c r="V29" s="51">
        <v>25.8</v>
      </c>
      <c r="W29" s="51">
        <v>24.8</v>
      </c>
      <c r="X29" s="51"/>
      <c r="Y29" s="51"/>
      <c r="Z29" s="11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88">
        <f t="shared" si="1"/>
        <v>13</v>
      </c>
      <c r="AQ29" s="89" t="str">
        <f t="shared" si="2"/>
        <v/>
      </c>
      <c r="AR29" s="89">
        <f>IFERROR(VLOOKUP(A29,Climatologia!A:U,9+$E$2,FALSE),"")</f>
        <v>23.916765755053511</v>
      </c>
      <c r="AS29" s="89" t="str">
        <f t="shared" si="3"/>
        <v/>
      </c>
      <c r="AT29" s="90">
        <f t="shared" si="4"/>
        <v>24.8</v>
      </c>
      <c r="AU29" s="90">
        <f t="array" ref="AU29">IFERROR(
  _xlfn.LET(
    _xlpm.mesTxt, INDEX({"ENERO","FEBRERO","MARZO","ABRIL","MAYO","JUNIO","JULIO","AGOSTO","SEPTIEMBRE","OCTUBRE","NOVIEMBRE","DICIEMBRE"}, E$2),
    _xlpm.colIni, MATCH(_xlpm.mesTxt, Minimos!$1:$1, 0),
    _xlpm.fila, MATCH($A29, Minimos!$A:$A, 0),
    _xlpm.val, INDEX(Minimos!$A:$ZZ, _xlpm.fila, _xlpm.colIni),
    IF(_xlpm.val="", "", _xlpm.val)
  ),
"")</f>
        <v>19.5</v>
      </c>
      <c r="AV29" s="91">
        <f t="array" ref="AV2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MATCH($A29, Minimos!$A:$A, 0),
    _xlpm.anio, INDEX(Minimos!$A:$ZZ, _xlpm.fila, _xlpm.colIni+1),
    _xlpm.dia, INDEX(Minimos!$A:$ZZ, _xlpm.fila, _xlpm.colIni+2),
    IF(OR(_xlpm.anio="",_xlpm.dia=""), "", DATE(_xlpm.anio, _xlpm.mesNum, _xlpm.dia))
  ),
"")</f>
        <v>35320</v>
      </c>
      <c r="AW29" s="92">
        <f t="shared" si="5"/>
        <v>5.3000000000000007</v>
      </c>
    </row>
    <row r="30" spans="1:49" ht="14.25" customHeight="1" x14ac:dyDescent="0.2">
      <c r="A30" s="46">
        <v>35035020</v>
      </c>
      <c r="B30" s="47" t="s">
        <v>94</v>
      </c>
      <c r="C30" s="52" t="s">
        <v>25</v>
      </c>
      <c r="D30" s="49">
        <v>-73.617999999999995</v>
      </c>
      <c r="E30" s="49">
        <v>4.1619999999999999</v>
      </c>
      <c r="F30" s="50">
        <v>422</v>
      </c>
      <c r="G30" s="50">
        <v>50</v>
      </c>
      <c r="H30" s="50">
        <v>50001</v>
      </c>
      <c r="I30" s="47" t="s">
        <v>95</v>
      </c>
      <c r="J30" s="63" t="s">
        <v>96</v>
      </c>
      <c r="K30" s="51">
        <v>22.4</v>
      </c>
      <c r="L30" s="51">
        <v>21.7</v>
      </c>
      <c r="M30" s="51">
        <v>21</v>
      </c>
      <c r="N30" s="51">
        <v>22.2</v>
      </c>
      <c r="O30" s="51">
        <v>20.8</v>
      </c>
      <c r="P30" s="51">
        <v>21.8</v>
      </c>
      <c r="Q30" s="51">
        <v>21.4</v>
      </c>
      <c r="R30" s="51">
        <v>21.3</v>
      </c>
      <c r="S30" s="51">
        <v>22.8</v>
      </c>
      <c r="T30" s="51">
        <v>21.3</v>
      </c>
      <c r="U30" s="51">
        <v>20.399999999999999</v>
      </c>
      <c r="V30" s="51">
        <v>21.5</v>
      </c>
      <c r="W30" s="51">
        <v>21.2</v>
      </c>
      <c r="X30" s="51"/>
      <c r="Y30" s="51"/>
      <c r="Z30" s="11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88">
        <f t="shared" si="1"/>
        <v>13</v>
      </c>
      <c r="AQ30" s="89" t="str">
        <f t="shared" si="2"/>
        <v/>
      </c>
      <c r="AR30" s="89">
        <f>IFERROR(VLOOKUP(A30,Climatologia!A:U,9+$E$2,FALSE),"")</f>
        <v>20.68482758620689</v>
      </c>
      <c r="AS30" s="89" t="str">
        <f t="shared" si="3"/>
        <v/>
      </c>
      <c r="AT30" s="90">
        <f t="shared" si="4"/>
        <v>20.399999999999999</v>
      </c>
      <c r="AU30" s="90">
        <f t="array" ref="AU30">IFERROR(
  _xlfn.LET(
    _xlpm.mesTxt, INDEX({"ENERO","FEBRERO","MARZO","ABRIL","MAYO","JUNIO","JULIO","AGOSTO","SEPTIEMBRE","OCTUBRE","NOVIEMBRE","DICIEMBRE"}, E$2),
    _xlpm.colIni, MATCH(_xlpm.mesTxt, Minimos!$1:$1, 0),
    _xlpm.fila, MATCH($A30, Minimos!$A:$A, 0),
    _xlpm.val, INDEX(Minimos!$A:$ZZ, _xlpm.fila, _xlpm.colIni),
    IF(_xlpm.val="", "", _xlpm.val)
  ),
"")</f>
        <v>17.8</v>
      </c>
      <c r="AV30" s="91">
        <f t="array" ref="AV3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MATCH($A30, Minimos!$A:$A, 0),
    _xlpm.anio, INDEX(Minimos!$A:$ZZ, _xlpm.fila, _xlpm.colIni+1),
    _xlpm.dia, INDEX(Minimos!$A:$ZZ, _xlpm.fila, _xlpm.colIni+2),
    IF(OR(_xlpm.anio="",_xlpm.dia=""), "", DATE(_xlpm.anio, _xlpm.mesNum, _xlpm.dia))
  ),
"")</f>
        <v>33868</v>
      </c>
      <c r="AW30" s="92">
        <f t="shared" si="5"/>
        <v>2.5999999999999979</v>
      </c>
    </row>
    <row r="31" spans="1:49" ht="16.149999999999999" customHeight="1" x14ac:dyDescent="0.2">
      <c r="A31" s="98">
        <v>48015050</v>
      </c>
      <c r="B31" s="99" t="s">
        <v>97</v>
      </c>
      <c r="C31" s="100" t="s">
        <v>25</v>
      </c>
      <c r="D31" s="101">
        <v>-69.941000000000003</v>
      </c>
      <c r="E31" s="101">
        <v>-4.194</v>
      </c>
      <c r="F31" s="102">
        <v>84</v>
      </c>
      <c r="G31" s="102">
        <v>91</v>
      </c>
      <c r="H31" s="102">
        <v>91001</v>
      </c>
      <c r="I31" s="99" t="s">
        <v>98</v>
      </c>
      <c r="J31" s="103" t="s">
        <v>99</v>
      </c>
      <c r="K31" s="108">
        <v>24</v>
      </c>
      <c r="L31" s="108">
        <v>23.4</v>
      </c>
      <c r="M31" s="108">
        <v>23.3</v>
      </c>
      <c r="N31" s="108">
        <v>24.2</v>
      </c>
      <c r="O31" s="108">
        <v>24.5</v>
      </c>
      <c r="P31" s="108">
        <v>22.5</v>
      </c>
      <c r="Q31" s="108">
        <v>24</v>
      </c>
      <c r="R31" s="108">
        <v>21.6</v>
      </c>
      <c r="S31" s="108">
        <v>22.4</v>
      </c>
      <c r="T31" s="108">
        <v>23.2</v>
      </c>
      <c r="U31" s="108">
        <v>24.8</v>
      </c>
      <c r="V31" s="108">
        <v>23.3</v>
      </c>
      <c r="W31" s="108">
        <v>23.9</v>
      </c>
      <c r="X31" s="108"/>
      <c r="Y31" s="108"/>
      <c r="Z31" s="115"/>
      <c r="AA31" s="108"/>
      <c r="AB31" s="108"/>
      <c r="AC31" s="108"/>
      <c r="AD31" s="108"/>
      <c r="AE31" s="108"/>
      <c r="AF31" s="108"/>
      <c r="AG31" s="108"/>
      <c r="AH31" s="108"/>
      <c r="AI31" s="108"/>
      <c r="AJ31" s="108"/>
      <c r="AK31" s="108"/>
      <c r="AL31" s="108"/>
      <c r="AM31" s="108"/>
      <c r="AN31" s="108"/>
      <c r="AO31" s="108"/>
      <c r="AP31" s="88">
        <f t="shared" si="1"/>
        <v>13</v>
      </c>
      <c r="AQ31" s="89" t="str">
        <f t="shared" si="2"/>
        <v/>
      </c>
      <c r="AR31" s="89">
        <f>IFERROR(VLOOKUP(A31,Climatologia!A:U,9+$E$2,FALSE),"")</f>
        <v>22.350396614879379</v>
      </c>
      <c r="AS31" s="89" t="str">
        <f t="shared" si="3"/>
        <v/>
      </c>
      <c r="AT31" s="90">
        <f t="shared" si="4"/>
        <v>21.6</v>
      </c>
      <c r="AU31" s="90">
        <f t="array" ref="AU31">IFERROR(
  _xlfn.LET(
    _xlpm.mesTxt, INDEX({"ENERO","FEBRERO","MARZO","ABRIL","MAYO","JUNIO","JULIO","AGOSTO","SEPTIEMBRE","OCTUBRE","NOVIEMBRE","DICIEMBRE"}, E$2),
    _xlpm.colIni, MATCH(_xlpm.mesTxt, Minimos!$1:$1, 0),
    _xlpm.fila, MATCH($A31, Minimos!$A:$A, 0),
    _xlpm.val, INDEX(Minimos!$A:$ZZ, _xlpm.fila, _xlpm.colIni),
    IF(_xlpm.val="", "", _xlpm.val)
  ),
"")</f>
        <v>16.399999999999999</v>
      </c>
      <c r="AV31" s="91">
        <f t="array" ref="AV3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MATCH($A31, Minimos!$A:$A, 0),
    _xlpm.anio, INDEX(Minimos!$A:$ZZ, _xlpm.fila, _xlpm.colIni+1),
    _xlpm.dia, INDEX(Minimos!$A:$ZZ, _xlpm.fila, _xlpm.colIni+2),
    IF(OR(_xlpm.anio="",_xlpm.dia=""), "", DATE(_xlpm.anio, _xlpm.mesNum, _xlpm.dia))
  ),
"")</f>
        <v>29481</v>
      </c>
      <c r="AW31" s="92">
        <f t="shared" si="5"/>
        <v>5.2000000000000028</v>
      </c>
    </row>
    <row r="32" spans="1:49" ht="14.25" customHeight="1" x14ac:dyDescent="0.2">
      <c r="A32" s="48">
        <v>11075020</v>
      </c>
      <c r="B32" s="52" t="s">
        <v>100</v>
      </c>
      <c r="C32" s="52" t="s">
        <v>101</v>
      </c>
      <c r="D32" s="53">
        <v>-76.143305556000001</v>
      </c>
      <c r="E32" s="53">
        <v>6.2983055559999999</v>
      </c>
      <c r="F32" s="48">
        <v>1833</v>
      </c>
      <c r="G32" s="46">
        <v>5</v>
      </c>
      <c r="H32" s="46">
        <v>5847</v>
      </c>
      <c r="I32" s="55" t="s">
        <v>57</v>
      </c>
      <c r="J32" s="55" t="s">
        <v>100</v>
      </c>
      <c r="K32" s="51">
        <v>14.8</v>
      </c>
      <c r="L32" s="51">
        <v>15.2</v>
      </c>
      <c r="M32" s="51">
        <v>14.8</v>
      </c>
      <c r="N32" s="51">
        <v>15</v>
      </c>
      <c r="O32" s="51">
        <v>14.2</v>
      </c>
      <c r="P32" s="51">
        <v>13.8</v>
      </c>
      <c r="Q32" s="51">
        <v>14</v>
      </c>
      <c r="R32" s="51">
        <v>14.2</v>
      </c>
      <c r="S32" s="51">
        <v>13</v>
      </c>
      <c r="T32" s="51">
        <v>13.4</v>
      </c>
      <c r="U32" s="51">
        <v>15</v>
      </c>
      <c r="V32" s="51">
        <v>14</v>
      </c>
      <c r="W32" s="51">
        <v>14.2</v>
      </c>
      <c r="X32" s="51"/>
      <c r="Y32" s="51"/>
      <c r="Z32" s="11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88">
        <f t="shared" si="1"/>
        <v>13</v>
      </c>
      <c r="AQ32" s="89" t="str">
        <f t="shared" si="2"/>
        <v/>
      </c>
      <c r="AR32" s="89">
        <f>IFERROR(VLOOKUP(A32,Climatologia!A:U,9+$E$2,FALSE),"")</f>
        <v>13.518105175598549</v>
      </c>
      <c r="AS32" s="89" t="str">
        <f t="shared" si="3"/>
        <v/>
      </c>
      <c r="AT32" s="90">
        <f t="shared" si="4"/>
        <v>13</v>
      </c>
      <c r="AU32" s="90">
        <f t="array" ref="AU32">IFERROR(
  _xlfn.LET(
    _xlpm.mesTxt, INDEX({"ENERO","FEBRERO","MARZO","ABRIL","MAYO","JUNIO","JULIO","AGOSTO","SEPTIEMBRE","OCTUBRE","NOVIEMBRE","DICIEMBRE"}, E$2),
    _xlpm.colIni, MATCH(_xlpm.mesTxt, Minimos!$1:$1, 0),
    _xlpm.fila, MATCH($A32, Minimos!$A:$A, 0),
    _xlpm.val, INDEX(Minimos!$A:$ZZ, _xlpm.fila, _xlpm.colIni),
    IF(_xlpm.val="", "", _xlpm.val)
  ),
"")</f>
        <v>8.8000000000000007</v>
      </c>
      <c r="AV32" s="91">
        <f t="array" ref="AV3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MATCH($A32, Minimos!$A:$A, 0),
    _xlpm.anio, INDEX(Minimos!$A:$ZZ, _xlpm.fila, _xlpm.colIni+1),
    _xlpm.dia, INDEX(Minimos!$A:$ZZ, _xlpm.fila, _xlpm.colIni+2),
    IF(OR(_xlpm.anio="",_xlpm.dia=""), "", DATE(_xlpm.anio, _xlpm.mesNum, _xlpm.dia))
  ),
"")</f>
        <v>36067</v>
      </c>
      <c r="AW32" s="92">
        <f t="shared" si="5"/>
        <v>4.1999999999999993</v>
      </c>
    </row>
    <row r="33" spans="1:49" ht="14.25" customHeight="1" x14ac:dyDescent="0.2">
      <c r="A33" s="48">
        <v>12015020</v>
      </c>
      <c r="B33" s="52" t="s">
        <v>102</v>
      </c>
      <c r="C33" s="52" t="s">
        <v>101</v>
      </c>
      <c r="D33" s="53">
        <v>-76.65133333</v>
      </c>
      <c r="E33" s="53">
        <v>7.8259166670000004</v>
      </c>
      <c r="F33" s="48">
        <v>43</v>
      </c>
      <c r="G33" s="46">
        <v>5</v>
      </c>
      <c r="H33" s="46">
        <v>5045</v>
      </c>
      <c r="I33" s="55" t="s">
        <v>57</v>
      </c>
      <c r="J33" s="55" t="s">
        <v>103</v>
      </c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11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88">
        <f t="shared" si="1"/>
        <v>0</v>
      </c>
      <c r="AQ33" s="89" t="str">
        <f t="shared" si="2"/>
        <v/>
      </c>
      <c r="AR33" s="89">
        <f>IFERROR(VLOOKUP(A33,Climatologia!A:U,9+$E$2,FALSE),"")</f>
        <v>23.367963593239459</v>
      </c>
      <c r="AS33" s="89" t="str">
        <f t="shared" si="3"/>
        <v/>
      </c>
      <c r="AT33" s="90" t="str">
        <f t="shared" si="4"/>
        <v/>
      </c>
      <c r="AU33" s="90">
        <f t="array" ref="AU33">IFERROR(
  _xlfn.LET(
    _xlpm.mesTxt, INDEX({"ENERO","FEBRERO","MARZO","ABRIL","MAYO","JUNIO","JULIO","AGOSTO","SEPTIEMBRE","OCTUBRE","NOVIEMBRE","DICIEMBRE"}, E$2),
    _xlpm.colIni, MATCH(_xlpm.mesTxt, Minimos!$1:$1, 0),
    _xlpm.fila, MATCH($A33, Minimos!$A:$A, 0),
    _xlpm.val, INDEX(Minimos!$A:$ZZ, _xlpm.fila, _xlpm.colIni),
    IF(_xlpm.val="", "", _xlpm.val)
  ),
"")</f>
        <v>19</v>
      </c>
      <c r="AV33" s="91">
        <f t="array" ref="AV3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MATCH($A33, Minimos!$A:$A, 0),
    _xlpm.anio, INDEX(Minimos!$A:$ZZ, _xlpm.fila, _xlpm.colIni+1),
    _xlpm.dia, INDEX(Minimos!$A:$ZZ, _xlpm.fila, _xlpm.colIni+2),
    IF(OR(_xlpm.anio="",_xlpm.dia=""), "", DATE(_xlpm.anio, _xlpm.mesNum, _xlpm.dia))
  ),
"")</f>
        <v>29482</v>
      </c>
      <c r="AW33" s="92" t="str">
        <f t="shared" si="5"/>
        <v>NA</v>
      </c>
    </row>
    <row r="34" spans="1:49" ht="14.25" customHeight="1" x14ac:dyDescent="0.2">
      <c r="A34" s="48">
        <v>23085030</v>
      </c>
      <c r="B34" s="52" t="s">
        <v>104</v>
      </c>
      <c r="C34" s="52" t="s">
        <v>101</v>
      </c>
      <c r="D34" s="53">
        <v>-75.143388889999997</v>
      </c>
      <c r="E34" s="53">
        <v>6.3762499999999998</v>
      </c>
      <c r="F34" s="48">
        <v>1712</v>
      </c>
      <c r="G34" s="46">
        <v>5</v>
      </c>
      <c r="H34" s="46">
        <v>5021</v>
      </c>
      <c r="I34" s="55" t="s">
        <v>57</v>
      </c>
      <c r="J34" s="55" t="s">
        <v>105</v>
      </c>
      <c r="K34" s="51">
        <v>16.8</v>
      </c>
      <c r="L34" s="51">
        <v>15.8</v>
      </c>
      <c r="M34" s="51">
        <v>16.8</v>
      </c>
      <c r="N34" s="51">
        <v>16.600000000000001</v>
      </c>
      <c r="O34" s="51">
        <v>16.8</v>
      </c>
      <c r="P34" s="51">
        <v>15</v>
      </c>
      <c r="Q34" s="51">
        <v>14.8</v>
      </c>
      <c r="R34" s="51">
        <v>15.8</v>
      </c>
      <c r="S34" s="51">
        <v>15.8</v>
      </c>
      <c r="T34" s="51">
        <v>15.6</v>
      </c>
      <c r="U34" s="51">
        <v>16</v>
      </c>
      <c r="V34" s="51">
        <v>17</v>
      </c>
      <c r="W34" s="51">
        <v>16.8</v>
      </c>
      <c r="X34" s="51"/>
      <c r="Y34" s="51"/>
      <c r="Z34" s="11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88">
        <f t="shared" si="1"/>
        <v>13</v>
      </c>
      <c r="AQ34" s="89" t="str">
        <f t="shared" si="2"/>
        <v/>
      </c>
      <c r="AR34" s="89">
        <f>IFERROR(VLOOKUP(A34,Climatologia!A:U,9+$E$2,FALSE),"")</f>
        <v>15.0297619047619</v>
      </c>
      <c r="AS34" s="89" t="str">
        <f t="shared" si="3"/>
        <v/>
      </c>
      <c r="AT34" s="90">
        <f t="shared" si="4"/>
        <v>14.8</v>
      </c>
      <c r="AU34" s="90">
        <f t="array" ref="AU34">IFERROR(
  _xlfn.LET(
    _xlpm.mesTxt, INDEX({"ENERO","FEBRERO","MARZO","ABRIL","MAYO","JUNIO","JULIO","AGOSTO","SEPTIEMBRE","OCTUBRE","NOVIEMBRE","DICIEMBRE"}, E$2),
    _xlpm.colIni, MATCH(_xlpm.mesTxt, Minimos!$1:$1, 0),
    _xlpm.fila, MATCH($A34, Minimos!$A:$A, 0),
    _xlpm.val, INDEX(Minimos!$A:$ZZ, _xlpm.fila, _xlpm.colIni),
    IF(_xlpm.val="", "", _xlpm.val)
  ),
"")</f>
        <v>10</v>
      </c>
      <c r="AV34" s="91">
        <f t="array" ref="AV3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MATCH($A34, Minimos!$A:$A, 0),
    _xlpm.anio, INDEX(Minimos!$A:$ZZ, _xlpm.fila, _xlpm.colIni+1),
    _xlpm.dia, INDEX(Minimos!$A:$ZZ, _xlpm.fila, _xlpm.colIni+2),
    IF(OR(_xlpm.anio="",_xlpm.dia=""), "", DATE(_xlpm.anio, _xlpm.mesNum, _xlpm.dia))
  ),
"")</f>
        <v>37888</v>
      </c>
      <c r="AW34" s="92">
        <f t="shared" si="5"/>
        <v>4.8000000000000007</v>
      </c>
    </row>
    <row r="35" spans="1:49" ht="14.25" customHeight="1" x14ac:dyDescent="0.2">
      <c r="A35" s="48">
        <v>23085110</v>
      </c>
      <c r="B35" s="52" t="s">
        <v>106</v>
      </c>
      <c r="C35" s="52" t="s">
        <v>101</v>
      </c>
      <c r="D35" s="53">
        <v>-75.241388889000007</v>
      </c>
      <c r="E35" s="53">
        <v>6.2138888999999997</v>
      </c>
      <c r="F35" s="48">
        <v>2022</v>
      </c>
      <c r="G35" s="46">
        <v>5</v>
      </c>
      <c r="H35" s="46">
        <v>5541</v>
      </c>
      <c r="I35" s="55" t="s">
        <v>57</v>
      </c>
      <c r="J35" s="55" t="s">
        <v>107</v>
      </c>
      <c r="K35" s="51">
        <v>14.4</v>
      </c>
      <c r="L35" s="51">
        <v>14.8</v>
      </c>
      <c r="M35" s="51">
        <v>15.2</v>
      </c>
      <c r="N35" s="51">
        <v>15.6</v>
      </c>
      <c r="O35" s="51">
        <v>15.4</v>
      </c>
      <c r="P35" s="51">
        <v>15.2</v>
      </c>
      <c r="Q35" s="51">
        <v>14.8</v>
      </c>
      <c r="R35" s="51">
        <v>15</v>
      </c>
      <c r="S35" s="51">
        <v>15.6</v>
      </c>
      <c r="T35" s="51">
        <v>14.8</v>
      </c>
      <c r="U35" s="51">
        <v>15</v>
      </c>
      <c r="V35" s="51">
        <v>15.2</v>
      </c>
      <c r="W35" s="51">
        <v>15.4</v>
      </c>
      <c r="X35" s="51"/>
      <c r="Y35" s="51"/>
      <c r="Z35" s="11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88">
        <f t="shared" si="1"/>
        <v>13</v>
      </c>
      <c r="AQ35" s="89" t="str">
        <f t="shared" si="2"/>
        <v/>
      </c>
      <c r="AR35" s="89">
        <f>IFERROR(VLOOKUP(A35,Climatologia!A:U,9+$E$2,FALSE),"")</f>
        <v>13.05107074438971</v>
      </c>
      <c r="AS35" s="89" t="str">
        <f t="shared" si="3"/>
        <v/>
      </c>
      <c r="AT35" s="90">
        <f t="shared" si="4"/>
        <v>14.4</v>
      </c>
      <c r="AU35" s="90">
        <f t="array" ref="AU35">IFERROR(
  _xlfn.LET(
    _xlpm.mesTxt, INDEX({"ENERO","FEBRERO","MARZO","ABRIL","MAYO","JUNIO","JULIO","AGOSTO","SEPTIEMBRE","OCTUBRE","NOVIEMBRE","DICIEMBRE"}, E$2),
    _xlpm.colIni, MATCH(_xlpm.mesTxt, Minimos!$1:$1, 0),
    _xlpm.fila, MATCH($A35, Minimos!$A:$A, 0),
    _xlpm.val, INDEX(Minimos!$A:$ZZ, _xlpm.fila, _xlpm.colIni),
    IF(_xlpm.val="", "", _xlpm.val)
  ),
"")</f>
        <v>8.6</v>
      </c>
      <c r="AV35" s="91">
        <f t="array" ref="AV3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MATCH($A35, Minimos!$A:$A, 0),
    _xlpm.anio, INDEX(Minimos!$A:$ZZ, _xlpm.fila, _xlpm.colIni+1),
    _xlpm.dia, INDEX(Minimos!$A:$ZZ, _xlpm.fila, _xlpm.colIni+2),
    IF(OR(_xlpm.anio="",_xlpm.dia=""), "", DATE(_xlpm.anio, _xlpm.mesNum, _xlpm.dia))
  ),
"")</f>
        <v>36797</v>
      </c>
      <c r="AW35" s="92">
        <f t="shared" si="5"/>
        <v>5.8000000000000007</v>
      </c>
    </row>
    <row r="36" spans="1:49" ht="14.25" customHeight="1" x14ac:dyDescent="0.2">
      <c r="A36" s="48">
        <v>26175040</v>
      </c>
      <c r="B36" s="52" t="s">
        <v>108</v>
      </c>
      <c r="C36" s="52" t="s">
        <v>101</v>
      </c>
      <c r="D36" s="53">
        <v>-75.65097222</v>
      </c>
      <c r="E36" s="53">
        <v>5.8002500000000001</v>
      </c>
      <c r="F36" s="48">
        <v>604</v>
      </c>
      <c r="G36" s="46">
        <v>5</v>
      </c>
      <c r="H36" s="46">
        <v>5282</v>
      </c>
      <c r="I36" s="55" t="s">
        <v>57</v>
      </c>
      <c r="J36" s="55" t="s">
        <v>109</v>
      </c>
      <c r="K36" s="51">
        <v>20.2</v>
      </c>
      <c r="L36" s="51">
        <v>20.399999999999999</v>
      </c>
      <c r="M36" s="51">
        <v>17</v>
      </c>
      <c r="N36" s="51">
        <v>19.399999999999999</v>
      </c>
      <c r="O36" s="51">
        <v>18.399999999999999</v>
      </c>
      <c r="P36" s="51">
        <v>17.399999999999999</v>
      </c>
      <c r="Q36" s="51">
        <v>17.399999999999999</v>
      </c>
      <c r="R36" s="120"/>
      <c r="S36" s="51">
        <v>17.2</v>
      </c>
      <c r="T36" s="51">
        <v>19.600000000000001</v>
      </c>
      <c r="U36" s="51">
        <v>20.399999999999999</v>
      </c>
      <c r="V36" s="51">
        <v>19.2</v>
      </c>
      <c r="W36" s="51">
        <v>19.600000000000001</v>
      </c>
      <c r="X36" s="51"/>
      <c r="Y36" s="51"/>
      <c r="Z36" s="111"/>
      <c r="AA36" s="51"/>
      <c r="AB36" s="51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88">
        <f t="shared" si="1"/>
        <v>12</v>
      </c>
      <c r="AQ36" s="89" t="str">
        <f t="shared" si="2"/>
        <v/>
      </c>
      <c r="AR36" s="89">
        <f>IFERROR(VLOOKUP(A36,Climatologia!A:U,9+$E$2,FALSE),"")</f>
        <v>19.576900580794259</v>
      </c>
      <c r="AS36" s="89" t="str">
        <f t="shared" si="3"/>
        <v/>
      </c>
      <c r="AT36" s="90">
        <f t="shared" si="4"/>
        <v>17</v>
      </c>
      <c r="AU36" s="90">
        <f t="array" ref="AU36">IFERROR(
  _xlfn.LET(
    _xlpm.mesTxt, INDEX({"ENERO","FEBRERO","MARZO","ABRIL","MAYO","JUNIO","JULIO","AGOSTO","SEPTIEMBRE","OCTUBRE","NOVIEMBRE","DICIEMBRE"}, E$2),
    _xlpm.colIni, MATCH(_xlpm.mesTxt, Minimos!$1:$1, 0),
    _xlpm.fila, MATCH($A36, Minimos!$A:$A, 0),
    _xlpm.val, INDEX(Minimos!$A:$ZZ, _xlpm.fila, _xlpm.colIni),
    IF(_xlpm.val="", "", _xlpm.val)
  ),
"")</f>
        <v>16</v>
      </c>
      <c r="AV36" s="91">
        <f t="array" ref="AV3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MATCH($A36, Minimos!$A:$A, 0),
    _xlpm.anio, INDEX(Minimos!$A:$ZZ, _xlpm.fila, _xlpm.colIni+1),
    _xlpm.dia, INDEX(Minimos!$A:$ZZ, _xlpm.fila, _xlpm.colIni+2),
    IF(OR(_xlpm.anio="",_xlpm.dia=""), "", DATE(_xlpm.anio, _xlpm.mesNum, _xlpm.dia))
  ),
"")</f>
        <v>40081</v>
      </c>
      <c r="AW36" s="92">
        <f t="shared" si="5"/>
        <v>1</v>
      </c>
    </row>
    <row r="37" spans="1:49" ht="14.25" customHeight="1" x14ac:dyDescent="0.2">
      <c r="A37" s="48">
        <v>26185020</v>
      </c>
      <c r="B37" s="52" t="s">
        <v>110</v>
      </c>
      <c r="C37" s="52" t="s">
        <v>101</v>
      </c>
      <c r="D37" s="53">
        <v>-75.318638890000003</v>
      </c>
      <c r="E37" s="53">
        <v>5.8863611110000003</v>
      </c>
      <c r="F37" s="48">
        <v>2408</v>
      </c>
      <c r="G37" s="46">
        <v>5</v>
      </c>
      <c r="H37" s="46">
        <v>5400</v>
      </c>
      <c r="I37" s="55" t="s">
        <v>57</v>
      </c>
      <c r="J37" s="55" t="s">
        <v>111</v>
      </c>
      <c r="K37" s="51">
        <v>8.8000000000000007</v>
      </c>
      <c r="L37" s="51">
        <v>9</v>
      </c>
      <c r="M37" s="51">
        <v>8.4</v>
      </c>
      <c r="N37" s="51">
        <v>9.8000000000000007</v>
      </c>
      <c r="O37" s="51">
        <v>10.6</v>
      </c>
      <c r="P37" s="51">
        <v>10.199999999999999</v>
      </c>
      <c r="Q37" s="51">
        <v>8.4</v>
      </c>
      <c r="R37" s="51">
        <v>8.8000000000000007</v>
      </c>
      <c r="S37" s="51">
        <v>11.6</v>
      </c>
      <c r="T37" s="51">
        <v>8.4</v>
      </c>
      <c r="U37" s="51">
        <v>8.8000000000000007</v>
      </c>
      <c r="V37" s="51">
        <v>9.6</v>
      </c>
      <c r="W37" s="51">
        <v>8</v>
      </c>
      <c r="X37" s="51"/>
      <c r="Y37" s="51"/>
      <c r="Z37" s="11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88">
        <f t="shared" si="1"/>
        <v>13</v>
      </c>
      <c r="AQ37" s="89" t="str">
        <f t="shared" si="2"/>
        <v/>
      </c>
      <c r="AR37" s="89">
        <f>IFERROR(VLOOKUP(A37,Climatologia!A:U,9+$E$2,FALSE),"")</f>
        <v>9.8631470471660734</v>
      </c>
      <c r="AS37" s="89" t="str">
        <f t="shared" si="3"/>
        <v/>
      </c>
      <c r="AT37" s="90">
        <f t="shared" si="4"/>
        <v>8</v>
      </c>
      <c r="AU37" s="90" t="str">
        <f t="array" ref="AU37">IFERROR(
  _xlfn.LET(
    _xlpm.mesTxt, INDEX({"ENERO","FEBRERO","MARZO","ABRIL","MAYO","JUNIO","JULIO","AGOSTO","SEPTIEMBRE","OCTUBRE","NOVIEMBRE","DICIEMBRE"}, E$2),
    _xlpm.colIni, MATCH(_xlpm.mesTxt, Minimos!$1:$1, 0),
    _xlpm.fila, MATCH($A37, Minimos!$A:$A, 0),
    _xlpm.val, INDEX(Minimos!$A:$ZZ, _xlpm.fila, _xlpm.colIni),
    IF(_xlpm.val="", "", _xlpm.val)
  ),
"")</f>
        <v/>
      </c>
      <c r="AV37" s="91" t="str">
        <f t="array" ref="AV3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MATCH($A37,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37" s="92" t="str">
        <f t="shared" si="5"/>
        <v>NA</v>
      </c>
    </row>
    <row r="38" spans="1:49" ht="14.25" customHeight="1" x14ac:dyDescent="0.2">
      <c r="A38" s="48">
        <v>26205080</v>
      </c>
      <c r="B38" s="52" t="s">
        <v>112</v>
      </c>
      <c r="C38" s="52" t="s">
        <v>101</v>
      </c>
      <c r="D38" s="53">
        <v>-75.700944440000001</v>
      </c>
      <c r="E38" s="53">
        <v>6.3410555559999997</v>
      </c>
      <c r="F38" s="48">
        <v>1737</v>
      </c>
      <c r="G38" s="46">
        <v>5</v>
      </c>
      <c r="H38" s="46">
        <v>5001</v>
      </c>
      <c r="I38" s="55" t="s">
        <v>57</v>
      </c>
      <c r="J38" s="55" t="s">
        <v>60</v>
      </c>
      <c r="K38" s="51">
        <v>16</v>
      </c>
      <c r="L38" s="51">
        <v>16.399999999999999</v>
      </c>
      <c r="M38" s="51">
        <v>17</v>
      </c>
      <c r="N38" s="51">
        <v>16.600000000000001</v>
      </c>
      <c r="O38" s="51">
        <v>17.399999999999999</v>
      </c>
      <c r="P38" s="51">
        <v>17.8</v>
      </c>
      <c r="Q38" s="51">
        <v>17.399999999999999</v>
      </c>
      <c r="R38" s="51">
        <v>17</v>
      </c>
      <c r="S38" s="51">
        <v>18</v>
      </c>
      <c r="T38" s="51">
        <v>17.600000000000001</v>
      </c>
      <c r="U38" s="51">
        <v>16</v>
      </c>
      <c r="V38" s="51">
        <v>16</v>
      </c>
      <c r="W38" s="51">
        <v>17.399999999999999</v>
      </c>
      <c r="X38" s="51"/>
      <c r="Y38" s="51"/>
      <c r="Z38" s="11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88">
        <f t="shared" si="1"/>
        <v>13</v>
      </c>
      <c r="AQ38" s="89" t="str">
        <f t="shared" si="2"/>
        <v/>
      </c>
      <c r="AR38" s="89" t="str">
        <f>IFERROR(VLOOKUP(A38,Climatologia!A:U,9+$E$2,FALSE),"")</f>
        <v/>
      </c>
      <c r="AS38" s="89" t="str">
        <f t="shared" si="3"/>
        <v/>
      </c>
      <c r="AT38" s="90">
        <f t="shared" si="4"/>
        <v>16</v>
      </c>
      <c r="AU38" s="90">
        <f t="array" ref="AU38">IFERROR(
  _xlfn.LET(
    _xlpm.mesTxt, INDEX({"ENERO","FEBRERO","MARZO","ABRIL","MAYO","JUNIO","JULIO","AGOSTO","SEPTIEMBRE","OCTUBRE","NOVIEMBRE","DICIEMBRE"}, E$2),
    _xlpm.colIni, MATCH(_xlpm.mesTxt, Minimos!$1:$1, 0),
    _xlpm.fila, MATCH($A38, Minimos!$A:$A, 0),
    _xlpm.val, INDEX(Minimos!$A:$ZZ, _xlpm.fila, _xlpm.colIni),
    IF(_xlpm.val="", "", _xlpm.val)
  ),
"")</f>
        <v>14</v>
      </c>
      <c r="AV38" s="91">
        <f t="array" ref="AV3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MATCH($A38, Minimos!$A:$A, 0),
    _xlpm.anio, INDEX(Minimos!$A:$ZZ, _xlpm.fila, _xlpm.colIni+1),
    _xlpm.dia, INDEX(Minimos!$A:$ZZ, _xlpm.fila, _xlpm.colIni+2),
    IF(OR(_xlpm.anio="",_xlpm.dia=""), "", DATE(_xlpm.anio, _xlpm.mesNum, _xlpm.dia))
  ),
"")</f>
        <v>44444</v>
      </c>
      <c r="AW38" s="92">
        <f t="shared" si="5"/>
        <v>2</v>
      </c>
    </row>
    <row r="39" spans="1:49" ht="14.25" customHeight="1" x14ac:dyDescent="0.2">
      <c r="A39" s="48">
        <v>27015090</v>
      </c>
      <c r="B39" s="52" t="s">
        <v>113</v>
      </c>
      <c r="C39" s="52" t="s">
        <v>101</v>
      </c>
      <c r="D39" s="53">
        <v>-75.553250000000006</v>
      </c>
      <c r="E39" s="53">
        <v>6.3196944439999996</v>
      </c>
      <c r="F39" s="48">
        <v>1453</v>
      </c>
      <c r="G39" s="46">
        <v>5</v>
      </c>
      <c r="H39" s="46">
        <v>5088</v>
      </c>
      <c r="I39" s="55" t="s">
        <v>57</v>
      </c>
      <c r="J39" s="55" t="s">
        <v>114</v>
      </c>
      <c r="K39" s="51">
        <v>18.2</v>
      </c>
      <c r="L39" s="51">
        <v>18.8</v>
      </c>
      <c r="M39" s="51">
        <v>20</v>
      </c>
      <c r="N39" s="51">
        <v>20</v>
      </c>
      <c r="O39" s="51">
        <v>19.600000000000001</v>
      </c>
      <c r="P39" s="51">
        <v>19.2</v>
      </c>
      <c r="Q39" s="51">
        <v>18.8</v>
      </c>
      <c r="R39" s="51">
        <v>19.399999999999999</v>
      </c>
      <c r="S39" s="51">
        <v>19.8</v>
      </c>
      <c r="T39" s="51">
        <v>18.600000000000001</v>
      </c>
      <c r="U39" s="51">
        <v>18</v>
      </c>
      <c r="V39" s="51">
        <v>20.399999999999999</v>
      </c>
      <c r="W39" s="51">
        <v>20.2</v>
      </c>
      <c r="X39" s="51"/>
      <c r="Y39" s="51"/>
      <c r="Z39" s="11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88">
        <f t="shared" si="1"/>
        <v>13</v>
      </c>
      <c r="AQ39" s="89" t="str">
        <f t="shared" si="2"/>
        <v/>
      </c>
      <c r="AR39" s="89">
        <f>IFERROR(VLOOKUP(A39,Climatologia!A:U,9+$E$2,FALSE),"")</f>
        <v>17.370087470001259</v>
      </c>
      <c r="AS39" s="89" t="str">
        <f t="shared" si="3"/>
        <v/>
      </c>
      <c r="AT39" s="90">
        <f t="shared" si="4"/>
        <v>18</v>
      </c>
      <c r="AU39" s="90">
        <f t="array" ref="AU39">IFERROR(
  _xlfn.LET(
    _xlpm.mesTxt, INDEX({"ENERO","FEBRERO","MARZO","ABRIL","MAYO","JUNIO","JULIO","AGOSTO","SEPTIEMBRE","OCTUBRE","NOVIEMBRE","DICIEMBRE"}, E$2),
    _xlpm.colIni, MATCH(_xlpm.mesTxt, Minimos!$1:$1, 0),
    _xlpm.fila, MATCH($A39, Minimos!$A:$A, 0),
    _xlpm.val, INDEX(Minimos!$A:$ZZ, _xlpm.fila, _xlpm.colIni),
    IF(_xlpm.val="", "", _xlpm.val)
  ),
"")</f>
        <v>13</v>
      </c>
      <c r="AV39" s="91">
        <f t="array" ref="AV3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MATCH($A39, Minimos!$A:$A, 0),
    _xlpm.anio, INDEX(Minimos!$A:$ZZ, _xlpm.fila, _xlpm.colIni+1),
    _xlpm.dia, INDEX(Minimos!$A:$ZZ, _xlpm.fila, _xlpm.colIni+2),
    IF(OR(_xlpm.anio="",_xlpm.dia=""), "", DATE(_xlpm.anio, _xlpm.mesNum, _xlpm.dia))
  ),
"")</f>
        <v>33494</v>
      </c>
      <c r="AW39" s="92">
        <f t="shared" si="5"/>
        <v>5</v>
      </c>
    </row>
    <row r="40" spans="1:49" ht="14.25" customHeight="1" x14ac:dyDescent="0.2">
      <c r="A40" s="48">
        <v>27015260</v>
      </c>
      <c r="B40" s="52" t="s">
        <v>115</v>
      </c>
      <c r="C40" s="52" t="s">
        <v>101</v>
      </c>
      <c r="D40" s="53">
        <v>-75.624666669999996</v>
      </c>
      <c r="E40" s="53">
        <v>6.0483611110000002</v>
      </c>
      <c r="F40" s="48">
        <v>1923</v>
      </c>
      <c r="G40" s="46">
        <v>5</v>
      </c>
      <c r="H40" s="46">
        <v>5129</v>
      </c>
      <c r="I40" s="55" t="s">
        <v>57</v>
      </c>
      <c r="J40" s="55" t="s">
        <v>116</v>
      </c>
      <c r="K40" s="51">
        <v>14.6</v>
      </c>
      <c r="L40" s="51">
        <v>15.2</v>
      </c>
      <c r="M40" s="51">
        <v>14.8</v>
      </c>
      <c r="N40" s="51">
        <v>15</v>
      </c>
      <c r="O40" s="51">
        <v>14.2</v>
      </c>
      <c r="P40" s="51">
        <v>13</v>
      </c>
      <c r="Q40" s="51">
        <v>14</v>
      </c>
      <c r="R40" s="51">
        <v>13</v>
      </c>
      <c r="S40" s="51">
        <v>13.8</v>
      </c>
      <c r="T40" s="51">
        <v>14.2</v>
      </c>
      <c r="U40" s="51">
        <v>15</v>
      </c>
      <c r="V40" s="51">
        <v>15.8</v>
      </c>
      <c r="W40" s="51">
        <v>14.4</v>
      </c>
      <c r="X40" s="51"/>
      <c r="Y40" s="51"/>
      <c r="Z40" s="11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88">
        <f t="shared" si="1"/>
        <v>13</v>
      </c>
      <c r="AQ40" s="89" t="str">
        <f t="shared" si="2"/>
        <v/>
      </c>
      <c r="AR40" s="89">
        <f>IFERROR(VLOOKUP(A40,Climatologia!A:U,9+$E$2,FALSE),"")</f>
        <v>13.01098388839768</v>
      </c>
      <c r="AS40" s="89" t="str">
        <f t="shared" si="3"/>
        <v/>
      </c>
      <c r="AT40" s="90">
        <f t="shared" si="4"/>
        <v>13</v>
      </c>
      <c r="AU40" s="90">
        <f t="array" ref="AU40">IFERROR(
  _xlfn.LET(
    _xlpm.mesTxt, INDEX({"ENERO","FEBRERO","MARZO","ABRIL","MAYO","JUNIO","JULIO","AGOSTO","SEPTIEMBRE","OCTUBRE","NOVIEMBRE","DICIEMBRE"}, E$2),
    _xlpm.colIni, MATCH(_xlpm.mesTxt, Minimos!$1:$1, 0),
    _xlpm.fila, MATCH($A40, Minimos!$A:$A, 0),
    _xlpm.val, INDEX(Minimos!$A:$ZZ, _xlpm.fila, _xlpm.colIni),
    IF(_xlpm.val="", "", _xlpm.val)
  ),
"")</f>
        <v>9.1999999999999993</v>
      </c>
      <c r="AV40" s="91">
        <f t="array" ref="AV4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MATCH($A40, Minimos!$A:$A, 0),
    _xlpm.anio, INDEX(Minimos!$A:$ZZ, _xlpm.fila, _xlpm.colIni+1),
    _xlpm.dia, INDEX(Minimos!$A:$ZZ, _xlpm.fila, _xlpm.colIni+2),
    IF(OR(_xlpm.anio="",_xlpm.dia=""), "", DATE(_xlpm.anio, _xlpm.mesNum, _xlpm.dia))
  ),
"")</f>
        <v>37508</v>
      </c>
      <c r="AW40" s="92">
        <f t="shared" si="5"/>
        <v>3.8000000000000007</v>
      </c>
    </row>
    <row r="41" spans="1:49" ht="14.25" customHeight="1" x14ac:dyDescent="0.2">
      <c r="A41" s="48">
        <v>12045010</v>
      </c>
      <c r="B41" s="52" t="s">
        <v>117</v>
      </c>
      <c r="C41" s="52" t="s">
        <v>118</v>
      </c>
      <c r="D41" s="53">
        <v>-76.431944439999995</v>
      </c>
      <c r="E41" s="53">
        <v>8.846944444</v>
      </c>
      <c r="F41" s="48">
        <v>4</v>
      </c>
      <c r="G41" s="46">
        <v>5</v>
      </c>
      <c r="H41" s="46">
        <v>5051</v>
      </c>
      <c r="I41" s="55" t="s">
        <v>57</v>
      </c>
      <c r="J41" s="55" t="s">
        <v>117</v>
      </c>
      <c r="K41" s="51">
        <v>22.6</v>
      </c>
      <c r="L41" s="51">
        <v>25.4</v>
      </c>
      <c r="M41" s="51">
        <v>25.2</v>
      </c>
      <c r="N41" s="51">
        <v>26</v>
      </c>
      <c r="O41" s="51">
        <v>26.8</v>
      </c>
      <c r="P41" s="51">
        <v>25</v>
      </c>
      <c r="Q41" s="51">
        <v>22.4</v>
      </c>
      <c r="R41" s="51">
        <v>25.6</v>
      </c>
      <c r="S41" s="51">
        <v>26.8</v>
      </c>
      <c r="T41" s="51">
        <v>24.8</v>
      </c>
      <c r="U41" s="51">
        <v>22.6</v>
      </c>
      <c r="V41" s="51">
        <v>23.6</v>
      </c>
      <c r="W41" s="51">
        <v>26.2</v>
      </c>
      <c r="X41" s="51"/>
      <c r="Y41" s="51"/>
      <c r="Z41" s="111"/>
      <c r="AA41" s="51"/>
      <c r="AB41" s="51"/>
      <c r="AC41" s="51"/>
      <c r="AD41" s="51"/>
      <c r="AE41" s="51"/>
      <c r="AF41" s="51"/>
      <c r="AG41" s="51"/>
      <c r="AH41" s="51"/>
      <c r="AI41" s="51"/>
      <c r="AJ41" s="51"/>
      <c r="AK41" s="51"/>
      <c r="AL41" s="51"/>
      <c r="AM41" s="51"/>
      <c r="AN41" s="51"/>
      <c r="AO41" s="51"/>
      <c r="AP41" s="88">
        <f t="shared" si="1"/>
        <v>13</v>
      </c>
      <c r="AQ41" s="89" t="str">
        <f t="shared" si="2"/>
        <v/>
      </c>
      <c r="AR41" s="89" t="str">
        <f>IFERROR(VLOOKUP(A41,Climatologia!A:U,9+$E$2,FALSE),"")</f>
        <v/>
      </c>
      <c r="AS41" s="89" t="str">
        <f t="shared" si="3"/>
        <v/>
      </c>
      <c r="AT41" s="90">
        <f t="shared" si="4"/>
        <v>22.4</v>
      </c>
      <c r="AU41" s="90">
        <f t="array" ref="AU41">IFERROR(
  _xlfn.LET(
    _xlpm.mesTxt, INDEX({"ENERO","FEBRERO","MARZO","ABRIL","MAYO","JUNIO","JULIO","AGOSTO","SEPTIEMBRE","OCTUBRE","NOVIEMBRE","DICIEMBRE"}, E$2),
    _xlpm.colIni, MATCH(_xlpm.mesTxt, Minimos!$1:$1, 0),
    _xlpm.fila, MATCH($A41, Minimos!$A:$A, 0),
    _xlpm.val, INDEX(Minimos!$A:$ZZ, _xlpm.fila, _xlpm.colIni),
    IF(_xlpm.val="", "", _xlpm.val)
  ),
"")</f>
        <v>17.600000000000001</v>
      </c>
      <c r="AV41" s="91">
        <f t="array" ref="AV4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MATCH($A41, Minimos!$A:$A, 0),
    _xlpm.anio, INDEX(Minimos!$A:$ZZ, _xlpm.fila, _xlpm.colIni+1),
    _xlpm.dia, INDEX(Minimos!$A:$ZZ, _xlpm.fila, _xlpm.colIni+2),
    IF(OR(_xlpm.anio="",_xlpm.dia=""), "", DATE(_xlpm.anio, _xlpm.mesNum, _xlpm.dia))
  ),
"")</f>
        <v>37523</v>
      </c>
      <c r="AW41" s="92">
        <f t="shared" si="5"/>
        <v>4.7999999999999972</v>
      </c>
    </row>
    <row r="42" spans="1:49" ht="14.25" customHeight="1" x14ac:dyDescent="0.2">
      <c r="A42" s="48">
        <v>12045020</v>
      </c>
      <c r="B42" s="52" t="s">
        <v>119</v>
      </c>
      <c r="C42" s="52" t="s">
        <v>118</v>
      </c>
      <c r="D42" s="53">
        <v>-76.224444439999999</v>
      </c>
      <c r="E42" s="53">
        <v>9.0711111110000004</v>
      </c>
      <c r="F42" s="48">
        <v>15</v>
      </c>
      <c r="G42" s="46">
        <v>23</v>
      </c>
      <c r="H42" s="46">
        <v>23574</v>
      </c>
      <c r="I42" s="55" t="s">
        <v>46</v>
      </c>
      <c r="J42" s="55" t="s">
        <v>120</v>
      </c>
      <c r="K42" s="51">
        <v>25</v>
      </c>
      <c r="L42" s="51">
        <v>26.2</v>
      </c>
      <c r="M42" s="51">
        <v>24.6</v>
      </c>
      <c r="N42" s="51">
        <v>26.2</v>
      </c>
      <c r="O42" s="51">
        <v>27</v>
      </c>
      <c r="P42" s="51">
        <v>27.2</v>
      </c>
      <c r="Q42" s="51">
        <v>24.6</v>
      </c>
      <c r="R42" s="51">
        <v>26.6</v>
      </c>
      <c r="S42" s="51">
        <v>27</v>
      </c>
      <c r="T42" s="51">
        <v>24.2</v>
      </c>
      <c r="U42" s="51">
        <v>23.6</v>
      </c>
      <c r="V42" s="51">
        <v>25.2</v>
      </c>
      <c r="W42" s="51">
        <v>26.6</v>
      </c>
      <c r="X42" s="51"/>
      <c r="Y42" s="51"/>
      <c r="Z42" s="111"/>
      <c r="AA42" s="51"/>
      <c r="AB42" s="51"/>
      <c r="AC42" s="51"/>
      <c r="AD42" s="51"/>
      <c r="AE42" s="51"/>
      <c r="AF42" s="51"/>
      <c r="AG42" s="51"/>
      <c r="AH42" s="51"/>
      <c r="AI42" s="51"/>
      <c r="AJ42" s="51"/>
      <c r="AK42" s="51"/>
      <c r="AL42" s="51"/>
      <c r="AM42" s="51"/>
      <c r="AN42" s="51"/>
      <c r="AO42" s="51"/>
      <c r="AP42" s="88">
        <f t="shared" si="1"/>
        <v>13</v>
      </c>
      <c r="AQ42" s="89" t="str">
        <f t="shared" si="2"/>
        <v/>
      </c>
      <c r="AR42" s="89">
        <f>IFERROR(VLOOKUP(A42,Climatologia!A:U,9+$E$2,FALSE),"")</f>
        <v>24.10281124033644</v>
      </c>
      <c r="AS42" s="89" t="str">
        <f t="shared" si="3"/>
        <v/>
      </c>
      <c r="AT42" s="90">
        <f t="shared" si="4"/>
        <v>23.6</v>
      </c>
      <c r="AU42" s="90" t="str">
        <f t="array" ref="AU42">IFERROR(
  _xlfn.LET(
    _xlpm.mesTxt, INDEX({"ENERO","FEBRERO","MARZO","ABRIL","MAYO","JUNIO","JULIO","AGOSTO","SEPTIEMBRE","OCTUBRE","NOVIEMBRE","DICIEMBRE"}, E$2),
    _xlpm.colIni, MATCH(_xlpm.mesTxt, Minimos!$1:$1, 0),
    _xlpm.fila, MATCH($A42, Minimos!$A:$A, 0),
    _xlpm.val, INDEX(Minimos!$A:$ZZ, _xlpm.fila, _xlpm.colIni),
    IF(_xlpm.val="", "", _xlpm.val)
  ),
"")</f>
        <v/>
      </c>
      <c r="AV42" s="91" t="str">
        <f t="array" ref="AV4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42" s="92" t="str">
        <f t="shared" si="5"/>
        <v>NA</v>
      </c>
    </row>
    <row r="43" spans="1:49" ht="14.25" customHeight="1" x14ac:dyDescent="0.2">
      <c r="A43" s="48">
        <v>13015040</v>
      </c>
      <c r="B43" s="52" t="s">
        <v>121</v>
      </c>
      <c r="C43" s="52" t="s">
        <v>118</v>
      </c>
      <c r="D43" s="53">
        <v>-76.203055559999996</v>
      </c>
      <c r="E43" s="53">
        <v>8.0141666669999996</v>
      </c>
      <c r="F43" s="48">
        <v>300</v>
      </c>
      <c r="G43" s="46">
        <v>23</v>
      </c>
      <c r="H43" s="46">
        <v>23807</v>
      </c>
      <c r="I43" s="55" t="s">
        <v>46</v>
      </c>
      <c r="J43" s="55" t="s">
        <v>122</v>
      </c>
      <c r="K43" s="51">
        <v>22.4</v>
      </c>
      <c r="L43" s="51">
        <v>23.8</v>
      </c>
      <c r="M43" s="51">
        <v>26.6</v>
      </c>
      <c r="N43" s="51">
        <v>22.8</v>
      </c>
      <c r="O43" s="51">
        <v>24.9</v>
      </c>
      <c r="P43" s="51">
        <v>26</v>
      </c>
      <c r="Q43" s="51">
        <v>24.6</v>
      </c>
      <c r="R43" s="51">
        <v>24.6</v>
      </c>
      <c r="S43" s="51">
        <v>26</v>
      </c>
      <c r="T43" s="51">
        <v>20</v>
      </c>
      <c r="U43" s="51">
        <v>22</v>
      </c>
      <c r="V43" s="51">
        <v>23.9</v>
      </c>
      <c r="W43" s="51">
        <v>23.8</v>
      </c>
      <c r="X43" s="51"/>
      <c r="Y43" s="51"/>
      <c r="Z43" s="11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88">
        <f t="shared" si="1"/>
        <v>13</v>
      </c>
      <c r="AQ43" s="89" t="str">
        <f t="shared" si="2"/>
        <v/>
      </c>
      <c r="AR43" s="89">
        <f>IFERROR(VLOOKUP(A43,Climatologia!A:U,9+$E$2,FALSE),"")</f>
        <v>23.744525938089151</v>
      </c>
      <c r="AS43" s="89" t="str">
        <f t="shared" si="3"/>
        <v/>
      </c>
      <c r="AT43" s="90">
        <f t="shared" si="4"/>
        <v>20</v>
      </c>
      <c r="AU43" s="90">
        <f t="array" ref="AU43">IFERROR(
  _xlfn.LET(
    _xlpm.mesTxt, INDEX({"ENERO","FEBRERO","MARZO","ABRIL","MAYO","JUNIO","JULIO","AGOSTO","SEPTIEMBRE","OCTUBRE","NOVIEMBRE","DICIEMBRE"}, E$2),
    _xlpm.colIni, MATCH(_xlpm.mesTxt, Minimos!$1:$1, 0),
    _xlpm.fila, MATCH($A43, Minimos!$A:$A, 0),
    _xlpm.val, INDEX(Minimos!$A:$ZZ, _xlpm.fila, _xlpm.colIni),
    IF(_xlpm.val="", "", _xlpm.val)
  ),
"")</f>
        <v>19</v>
      </c>
      <c r="AV43" s="91">
        <f t="array" ref="AV4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MATCH($A43, Minimos!$A:$A, 0),
    _xlpm.anio, INDEX(Minimos!$A:$ZZ, _xlpm.fila, _xlpm.colIni+1),
    _xlpm.dia, INDEX(Minimos!$A:$ZZ, _xlpm.fila, _xlpm.colIni+2),
    IF(OR(_xlpm.anio="",_xlpm.dia=""), "", DATE(_xlpm.anio, _xlpm.mesNum, _xlpm.dia))
  ),
"")</f>
        <v>39712</v>
      </c>
      <c r="AW43" s="92">
        <f t="shared" si="5"/>
        <v>1</v>
      </c>
    </row>
    <row r="44" spans="1:49" ht="14.25" customHeight="1" x14ac:dyDescent="0.2">
      <c r="A44" s="48">
        <v>13075010</v>
      </c>
      <c r="B44" s="52" t="s">
        <v>123</v>
      </c>
      <c r="C44" s="52" t="s">
        <v>118</v>
      </c>
      <c r="D44" s="53">
        <v>-75.622083329999995</v>
      </c>
      <c r="E44" s="53">
        <v>9.1507500000000004</v>
      </c>
      <c r="F44" s="48">
        <v>20</v>
      </c>
      <c r="G44" s="46">
        <v>5</v>
      </c>
      <c r="H44" s="46">
        <v>5172</v>
      </c>
      <c r="I44" s="55" t="s">
        <v>57</v>
      </c>
      <c r="J44" s="55" t="s">
        <v>124</v>
      </c>
      <c r="K44" s="51">
        <v>23.4</v>
      </c>
      <c r="L44" s="51">
        <v>23.6</v>
      </c>
      <c r="M44" s="51">
        <v>24.2</v>
      </c>
      <c r="N44" s="51">
        <v>24</v>
      </c>
      <c r="O44" s="51">
        <v>25</v>
      </c>
      <c r="P44" s="51">
        <v>25.4</v>
      </c>
      <c r="Q44" s="51">
        <v>24.2</v>
      </c>
      <c r="R44" s="51">
        <v>25</v>
      </c>
      <c r="S44" s="51">
        <v>25.4</v>
      </c>
      <c r="T44" s="51">
        <v>23.8</v>
      </c>
      <c r="U44" s="51">
        <v>22.8</v>
      </c>
      <c r="V44" s="51">
        <v>23.2</v>
      </c>
      <c r="W44" s="51">
        <v>25.6</v>
      </c>
      <c r="X44" s="51"/>
      <c r="Y44" s="51"/>
      <c r="Z44" s="111"/>
      <c r="AA44" s="51"/>
      <c r="AB44" s="51"/>
      <c r="AC44" s="51"/>
      <c r="AD44" s="51"/>
      <c r="AE44" s="51"/>
      <c r="AF44" s="51"/>
      <c r="AG44" s="51"/>
      <c r="AH44" s="51"/>
      <c r="AI44" s="51"/>
      <c r="AJ44" s="51"/>
      <c r="AK44" s="51"/>
      <c r="AL44" s="51"/>
      <c r="AM44" s="51"/>
      <c r="AN44" s="51"/>
      <c r="AO44" s="51"/>
      <c r="AP44" s="88">
        <f t="shared" si="1"/>
        <v>13</v>
      </c>
      <c r="AQ44" s="89" t="str">
        <f t="shared" si="2"/>
        <v/>
      </c>
      <c r="AR44" s="89">
        <f>IFERROR(VLOOKUP(A44,Climatologia!A:U,9+$E$2,FALSE),"")</f>
        <v>22.988656597627109</v>
      </c>
      <c r="AS44" s="89" t="str">
        <f t="shared" si="3"/>
        <v/>
      </c>
      <c r="AT44" s="90">
        <f t="shared" si="4"/>
        <v>22.8</v>
      </c>
      <c r="AU44" s="90">
        <f t="array" ref="AU44">IFERROR(
  _xlfn.LET(
    _xlpm.mesTxt, INDEX({"ENERO","FEBRERO","MARZO","ABRIL","MAYO","JUNIO","JULIO","AGOSTO","SEPTIEMBRE","OCTUBRE","NOVIEMBRE","DICIEMBRE"}, E$2),
    _xlpm.colIni, MATCH(_xlpm.mesTxt, Minimos!$1:$1, 0),
    _xlpm.fila, MATCH($A44, Minimos!$A:$A, 0),
    _xlpm.val, INDEX(Minimos!$A:$ZZ, _xlpm.fila, _xlpm.colIni),
    IF(_xlpm.val="", "", _xlpm.val)
  ),
"")</f>
        <v>17.2</v>
      </c>
      <c r="AV44" s="91">
        <f t="array" ref="AV4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MATCH($A44, Minimos!$A:$A, 0),
    _xlpm.anio, INDEX(Minimos!$A:$ZZ, _xlpm.fila, _xlpm.colIni+1),
    _xlpm.dia, INDEX(Minimos!$A:$ZZ, _xlpm.fila, _xlpm.colIni+2),
    IF(OR(_xlpm.anio="",_xlpm.dia=""), "", DATE(_xlpm.anio, _xlpm.mesNum, _xlpm.dia))
  ),
"")</f>
        <v>33118</v>
      </c>
      <c r="AW44" s="92">
        <f t="shared" si="5"/>
        <v>5.6000000000000014</v>
      </c>
    </row>
    <row r="45" spans="1:49" ht="14.25" customHeight="1" x14ac:dyDescent="0.2">
      <c r="A45" s="48">
        <v>13075020</v>
      </c>
      <c r="B45" s="52" t="s">
        <v>125</v>
      </c>
      <c r="C45" s="52" t="s">
        <v>118</v>
      </c>
      <c r="D45" s="53">
        <v>-75.582222220000006</v>
      </c>
      <c r="E45" s="53">
        <v>8.9138888890000008</v>
      </c>
      <c r="F45" s="48">
        <v>40</v>
      </c>
      <c r="G45" s="46">
        <v>23</v>
      </c>
      <c r="H45" s="46">
        <v>23189</v>
      </c>
      <c r="I45" s="55" t="s">
        <v>46</v>
      </c>
      <c r="J45" s="55" t="s">
        <v>126</v>
      </c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111"/>
      <c r="AA45" s="51"/>
      <c r="AB45" s="51"/>
      <c r="AC45" s="51"/>
      <c r="AD45" s="51"/>
      <c r="AE45" s="51"/>
      <c r="AF45" s="51"/>
      <c r="AG45" s="51"/>
      <c r="AH45" s="51"/>
      <c r="AI45" s="51"/>
      <c r="AJ45" s="51"/>
      <c r="AK45" s="51"/>
      <c r="AL45" s="51"/>
      <c r="AM45" s="51"/>
      <c r="AN45" s="51"/>
      <c r="AO45" s="51"/>
      <c r="AP45" s="88">
        <f t="shared" si="1"/>
        <v>0</v>
      </c>
      <c r="AQ45" s="89" t="str">
        <f t="shared" si="2"/>
        <v/>
      </c>
      <c r="AR45" s="89">
        <f>IFERROR(VLOOKUP(A45,Climatologia!A:U,9+$E$2,FALSE),"")</f>
        <v>23.250966831086199</v>
      </c>
      <c r="AS45" s="89" t="str">
        <f t="shared" si="3"/>
        <v/>
      </c>
      <c r="AT45" s="90" t="str">
        <f t="shared" si="4"/>
        <v/>
      </c>
      <c r="AU45" s="90">
        <f t="array" ref="AU45">IFERROR(
  _xlfn.LET(
    _xlpm.mesTxt, INDEX({"ENERO","FEBRERO","MARZO","ABRIL","MAYO","JUNIO","JULIO","AGOSTO","SEPTIEMBRE","OCTUBRE","NOVIEMBRE","DICIEMBRE"}, E$2),
    _xlpm.colIni, MATCH(_xlpm.mesTxt, Minimos!$1:$1, 0),
    _xlpm.fila, MATCH($A45, Minimos!$A:$A, 0),
    _xlpm.val, INDEX(Minimos!$A:$ZZ, _xlpm.fila, _xlpm.colIni),
    IF(_xlpm.val="", "", _xlpm.val)
  ),
"")</f>
        <v>17</v>
      </c>
      <c r="AV45" s="91">
        <f t="array" ref="AV4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MATCH($A45, Minimos!$A:$A, 0),
    _xlpm.anio, INDEX(Minimos!$A:$ZZ, _xlpm.fila, _xlpm.colIni+1),
    _xlpm.dia, INDEX(Minimos!$A:$ZZ, _xlpm.fila, _xlpm.colIni+2),
    IF(OR(_xlpm.anio="",_xlpm.dia=""), "", DATE(_xlpm.anio, _xlpm.mesNum, _xlpm.dia))
  ),
"")</f>
        <v>29850</v>
      </c>
      <c r="AW45" s="92" t="str">
        <f t="shared" si="5"/>
        <v>NA</v>
      </c>
    </row>
    <row r="46" spans="1:49" ht="14.25" customHeight="1" x14ac:dyDescent="0.2">
      <c r="A46" s="48">
        <v>13085030</v>
      </c>
      <c r="B46" s="52" t="s">
        <v>127</v>
      </c>
      <c r="C46" s="52" t="s">
        <v>118</v>
      </c>
      <c r="D46" s="53">
        <v>-75.95</v>
      </c>
      <c r="E46" s="53">
        <v>9.3699999999999992</v>
      </c>
      <c r="F46" s="48">
        <v>22</v>
      </c>
      <c r="G46" s="46">
        <v>23</v>
      </c>
      <c r="H46" s="46">
        <v>23675</v>
      </c>
      <c r="I46" s="55" t="s">
        <v>46</v>
      </c>
      <c r="J46" s="55" t="s">
        <v>127</v>
      </c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111"/>
      <c r="AA46" s="51"/>
      <c r="AB46" s="51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1"/>
      <c r="AO46" s="51"/>
      <c r="AP46" s="88">
        <f t="shared" si="1"/>
        <v>0</v>
      </c>
      <c r="AQ46" s="89" t="str">
        <f t="shared" si="2"/>
        <v/>
      </c>
      <c r="AR46" s="89">
        <f>IFERROR(VLOOKUP(A46,Climatologia!A:U,9+$E$2,FALSE),"")</f>
        <v>22.241141302681989</v>
      </c>
      <c r="AS46" s="89" t="str">
        <f t="shared" si="3"/>
        <v/>
      </c>
      <c r="AT46" s="90" t="str">
        <f t="shared" si="4"/>
        <v/>
      </c>
      <c r="AU46" s="90">
        <f t="array" ref="AU46">IFERROR(
  _xlfn.LET(
    _xlpm.mesTxt, INDEX({"ENERO","FEBRERO","MARZO","ABRIL","MAYO","JUNIO","JULIO","AGOSTO","SEPTIEMBRE","OCTUBRE","NOVIEMBRE","DICIEMBRE"}, E$2),
    _xlpm.colIni, MATCH(_xlpm.mesTxt, Minimos!$1:$1, 0),
    _xlpm.fila, MATCH($A46, Minimos!$A:$A, 0),
    _xlpm.val, INDEX(Minimos!$A:$ZZ, _xlpm.fila, _xlpm.colIni),
    IF(_xlpm.val="", "", _xlpm.val)
  ),
"")</f>
        <v>17</v>
      </c>
      <c r="AV46" s="91">
        <f t="array" ref="AV4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MATCH($A46, Minimos!$A:$A, 0),
    _xlpm.anio, INDEX(Minimos!$A:$ZZ, _xlpm.fila, _xlpm.colIni+1),
    _xlpm.dia, INDEX(Minimos!$A:$ZZ, _xlpm.fila, _xlpm.colIni+2),
    IF(OR(_xlpm.anio="",_xlpm.dia=""), "", DATE(_xlpm.anio, _xlpm.mesNum, _xlpm.dia))
  ),
"")</f>
        <v>32760</v>
      </c>
      <c r="AW46" s="92" t="str">
        <f t="shared" si="5"/>
        <v>NA</v>
      </c>
    </row>
    <row r="47" spans="1:49" ht="14.25" customHeight="1" x14ac:dyDescent="0.2">
      <c r="A47" s="48">
        <v>25025080</v>
      </c>
      <c r="B47" s="52" t="s">
        <v>128</v>
      </c>
      <c r="C47" s="52" t="s">
        <v>118</v>
      </c>
      <c r="D47" s="53">
        <v>-75.283055559999994</v>
      </c>
      <c r="E47" s="53">
        <v>9.3338888890000007</v>
      </c>
      <c r="F47" s="48">
        <v>166</v>
      </c>
      <c r="G47" s="46">
        <v>70</v>
      </c>
      <c r="H47" s="46">
        <v>70215</v>
      </c>
      <c r="I47" s="55" t="s">
        <v>129</v>
      </c>
      <c r="J47" s="55" t="s">
        <v>130</v>
      </c>
      <c r="K47" s="51">
        <v>23</v>
      </c>
      <c r="L47" s="51">
        <v>24.8</v>
      </c>
      <c r="M47" s="51">
        <v>23</v>
      </c>
      <c r="N47" s="51">
        <v>23.8</v>
      </c>
      <c r="O47" s="51">
        <v>26</v>
      </c>
      <c r="P47" s="51">
        <v>26.4</v>
      </c>
      <c r="Q47" s="51">
        <v>25.6</v>
      </c>
      <c r="R47" s="51">
        <v>25.4</v>
      </c>
      <c r="S47" s="51">
        <v>25.4</v>
      </c>
      <c r="T47" s="51">
        <v>26.8</v>
      </c>
      <c r="U47" s="51">
        <v>23</v>
      </c>
      <c r="V47" s="51">
        <v>23.2</v>
      </c>
      <c r="W47" s="51">
        <v>26.8</v>
      </c>
      <c r="X47" s="51"/>
      <c r="Y47" s="51"/>
      <c r="Z47" s="111"/>
      <c r="AA47" s="51"/>
      <c r="AB47" s="51"/>
      <c r="AC47" s="51"/>
      <c r="AD47" s="51"/>
      <c r="AE47" s="51"/>
      <c r="AF47" s="51"/>
      <c r="AG47" s="51"/>
      <c r="AH47" s="51"/>
      <c r="AI47" s="51"/>
      <c r="AJ47" s="51"/>
      <c r="AK47" s="51"/>
      <c r="AL47" s="51"/>
      <c r="AM47" s="51"/>
      <c r="AN47" s="51"/>
      <c r="AO47" s="51"/>
      <c r="AP47" s="88">
        <f t="shared" si="1"/>
        <v>13</v>
      </c>
      <c r="AQ47" s="89" t="str">
        <f t="shared" si="2"/>
        <v/>
      </c>
      <c r="AR47" s="89">
        <f>IFERROR(VLOOKUP(A47,Climatologia!A:U,9+$E$2,FALSE),"")</f>
        <v>22.692015599343179</v>
      </c>
      <c r="AS47" s="89" t="str">
        <f t="shared" si="3"/>
        <v/>
      </c>
      <c r="AT47" s="90">
        <f t="shared" si="4"/>
        <v>23</v>
      </c>
      <c r="AU47" s="90">
        <f t="array" ref="AU47">IFERROR(
  _xlfn.LET(
    _xlpm.mesTxt, INDEX({"ENERO","FEBRERO","MARZO","ABRIL","MAYO","JUNIO","JULIO","AGOSTO","SEPTIEMBRE","OCTUBRE","NOVIEMBRE","DICIEMBRE"}, E$2),
    _xlpm.colIni, MATCH(_xlpm.mesTxt, Minimos!$1:$1, 0),
    _xlpm.fila, MATCH($A47, Minimos!$A:$A, 0),
    _xlpm.val, INDEX(Minimos!$A:$ZZ, _xlpm.fila, _xlpm.colIni),
    IF(_xlpm.val="", "", _xlpm.val)
  ),
"")</f>
        <v>17.8</v>
      </c>
      <c r="AV47" s="91">
        <f t="array" ref="AV4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MATCH($A47, Minimos!$A:$A, 0),
    _xlpm.anio, INDEX(Minimos!$A:$ZZ, _xlpm.fila, _xlpm.colIni+1),
    _xlpm.dia, INDEX(Minimos!$A:$ZZ, _xlpm.fila, _xlpm.colIni+2),
    IF(OR(_xlpm.anio="",_xlpm.dia=""), "", DATE(_xlpm.anio, _xlpm.mesNum, _xlpm.dia))
  ),
"")</f>
        <v>40426</v>
      </c>
      <c r="AW47" s="92">
        <f t="shared" si="5"/>
        <v>5.1999999999999993</v>
      </c>
    </row>
    <row r="48" spans="1:49" ht="14.25" customHeight="1" x14ac:dyDescent="0.2">
      <c r="A48" s="48">
        <v>25025160</v>
      </c>
      <c r="B48" s="52" t="s">
        <v>131</v>
      </c>
      <c r="C48" s="52" t="s">
        <v>118</v>
      </c>
      <c r="D48" s="53">
        <v>-75.402777779999994</v>
      </c>
      <c r="E48" s="53">
        <v>8.0038888890000006</v>
      </c>
      <c r="F48" s="48">
        <v>50</v>
      </c>
      <c r="G48" s="46">
        <v>23</v>
      </c>
      <c r="H48" s="46">
        <v>23466</v>
      </c>
      <c r="I48" s="55" t="s">
        <v>46</v>
      </c>
      <c r="J48" s="55" t="s">
        <v>132</v>
      </c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111"/>
      <c r="AA48" s="51"/>
      <c r="AB48" s="51"/>
      <c r="AC48" s="51"/>
      <c r="AD48" s="51"/>
      <c r="AE48" s="51"/>
      <c r="AF48" s="51"/>
      <c r="AG48" s="51"/>
      <c r="AH48" s="51"/>
      <c r="AI48" s="51"/>
      <c r="AJ48" s="51"/>
      <c r="AK48" s="51"/>
      <c r="AL48" s="51"/>
      <c r="AM48" s="51"/>
      <c r="AN48" s="51"/>
      <c r="AO48" s="51"/>
      <c r="AP48" s="88">
        <f t="shared" si="1"/>
        <v>0</v>
      </c>
      <c r="AQ48" s="89" t="str">
        <f t="shared" si="2"/>
        <v/>
      </c>
      <c r="AR48" s="89">
        <f>IFERROR(VLOOKUP(A48,Climatologia!A:U,9+$E$2,FALSE),"")</f>
        <v>22.870691637545079</v>
      </c>
      <c r="AS48" s="89" t="str">
        <f t="shared" si="3"/>
        <v/>
      </c>
      <c r="AT48" s="90" t="str">
        <f t="shared" si="4"/>
        <v/>
      </c>
      <c r="AU48" s="90">
        <f t="array" ref="AU48">IFERROR(
  _xlfn.LET(
    _xlpm.mesTxt, INDEX({"ENERO","FEBRERO","MARZO","ABRIL","MAYO","JUNIO","JULIO","AGOSTO","SEPTIEMBRE","OCTUBRE","NOVIEMBRE","DICIEMBRE"}, E$2),
    _xlpm.colIni, MATCH(_xlpm.mesTxt, Minimos!$1:$1, 0),
    _xlpm.fila, MATCH($A48, Minimos!$A:$A, 0),
    _xlpm.val, INDEX(Minimos!$A:$ZZ, _xlpm.fila, _xlpm.colIni),
    IF(_xlpm.val="", "", _xlpm.val)
  ),
"")</f>
        <v>19.2</v>
      </c>
      <c r="AV48" s="91">
        <f t="array" ref="AV4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MATCH($A48, Minimos!$A:$A, 0),
    _xlpm.anio, INDEX(Minimos!$A:$ZZ, _xlpm.fila, _xlpm.colIni+1),
    _xlpm.dia, INDEX(Minimos!$A:$ZZ, _xlpm.fila, _xlpm.colIni+2),
    IF(OR(_xlpm.anio="",_xlpm.dia=""), "", DATE(_xlpm.anio, _xlpm.mesNum, _xlpm.dia))
  ),
"")</f>
        <v>32762</v>
      </c>
      <c r="AW48" s="92" t="str">
        <f t="shared" si="5"/>
        <v>NA</v>
      </c>
    </row>
    <row r="49" spans="1:49" ht="14.25" customHeight="1" x14ac:dyDescent="0.2">
      <c r="A49" s="48">
        <v>25025190</v>
      </c>
      <c r="B49" s="52" t="s">
        <v>133</v>
      </c>
      <c r="C49" s="52" t="s">
        <v>118</v>
      </c>
      <c r="D49" s="53">
        <v>-75.583722219999999</v>
      </c>
      <c r="E49" s="53">
        <v>8.3993333329999995</v>
      </c>
      <c r="F49" s="48">
        <v>90</v>
      </c>
      <c r="G49" s="46">
        <v>23</v>
      </c>
      <c r="H49" s="46">
        <v>23555</v>
      </c>
      <c r="I49" s="55" t="s">
        <v>46</v>
      </c>
      <c r="J49" s="55" t="s">
        <v>134</v>
      </c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111"/>
      <c r="AA49" s="51"/>
      <c r="AB49" s="51"/>
      <c r="AC49" s="51"/>
      <c r="AD49" s="51"/>
      <c r="AE49" s="51"/>
      <c r="AF49" s="51"/>
      <c r="AG49" s="51"/>
      <c r="AH49" s="51"/>
      <c r="AI49" s="51"/>
      <c r="AJ49" s="51"/>
      <c r="AK49" s="51"/>
      <c r="AL49" s="51"/>
      <c r="AM49" s="51"/>
      <c r="AN49" s="51"/>
      <c r="AO49" s="51"/>
      <c r="AP49" s="88">
        <f t="shared" si="1"/>
        <v>0</v>
      </c>
      <c r="AQ49" s="89" t="str">
        <f t="shared" si="2"/>
        <v/>
      </c>
      <c r="AR49" s="89">
        <f>IFERROR(VLOOKUP(A49,Climatologia!A:U,9+$E$2,FALSE),"")</f>
        <v>23.264589393806901</v>
      </c>
      <c r="AS49" s="89" t="str">
        <f t="shared" si="3"/>
        <v/>
      </c>
      <c r="AT49" s="90" t="str">
        <f t="shared" si="4"/>
        <v/>
      </c>
      <c r="AU49" s="90">
        <f t="array" ref="AU49">IFERROR(
  _xlfn.LET(
    _xlpm.mesTxt, INDEX({"ENERO","FEBRERO","MARZO","ABRIL","MAYO","JUNIO","JULIO","AGOSTO","SEPTIEMBRE","OCTUBRE","NOVIEMBRE","DICIEMBRE"}, E$2),
    _xlpm.colIni, MATCH(_xlpm.mesTxt, Minimos!$1:$1, 0),
    _xlpm.fila, MATCH($A49, Minimos!$A:$A, 0),
    _xlpm.val, INDEX(Minimos!$A:$ZZ, _xlpm.fila, _xlpm.colIni),
    IF(_xlpm.val="", "", _xlpm.val)
  ),
"")</f>
        <v>19.2</v>
      </c>
      <c r="AV49" s="91">
        <f t="array" ref="AV4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MATCH($A49, Minimos!$A:$A, 0),
    _xlpm.anio, INDEX(Minimos!$A:$ZZ, _xlpm.fila, _xlpm.colIni+1),
    _xlpm.dia, INDEX(Minimos!$A:$ZZ, _xlpm.fila, _xlpm.colIni+2),
    IF(OR(_xlpm.anio="",_xlpm.dia=""), "", DATE(_xlpm.anio, _xlpm.mesNum, _xlpm.dia))
  ),
"")</f>
        <v>33126</v>
      </c>
      <c r="AW49" s="92" t="str">
        <f t="shared" si="5"/>
        <v>NA</v>
      </c>
    </row>
    <row r="50" spans="1:49" ht="14.25" customHeight="1" x14ac:dyDescent="0.2">
      <c r="A50" s="48">
        <v>25025210</v>
      </c>
      <c r="B50" s="52" t="s">
        <v>135</v>
      </c>
      <c r="C50" s="52" t="s">
        <v>118</v>
      </c>
      <c r="D50" s="53">
        <v>-74.457777780000001</v>
      </c>
      <c r="E50" s="53">
        <v>8.9113888889999995</v>
      </c>
      <c r="F50" s="48">
        <v>10</v>
      </c>
      <c r="G50" s="46">
        <v>13</v>
      </c>
      <c r="H50" s="46">
        <v>13549</v>
      </c>
      <c r="I50" s="55" t="s">
        <v>34</v>
      </c>
      <c r="J50" s="55" t="s">
        <v>135</v>
      </c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111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1"/>
      <c r="AN50" s="51"/>
      <c r="AO50" s="51"/>
      <c r="AP50" s="88">
        <f t="shared" si="1"/>
        <v>0</v>
      </c>
      <c r="AQ50" s="89" t="str">
        <f t="shared" si="2"/>
        <v/>
      </c>
      <c r="AR50" s="89" t="str">
        <f>IFERROR(VLOOKUP(A50,Climatologia!A:U,9+$E$2,FALSE),"")</f>
        <v/>
      </c>
      <c r="AS50" s="89" t="str">
        <f t="shared" si="3"/>
        <v/>
      </c>
      <c r="AT50" s="90" t="str">
        <f t="shared" si="4"/>
        <v/>
      </c>
      <c r="AU50" s="90">
        <f t="array" ref="AU50">IFERROR(
  _xlfn.LET(
    _xlpm.mesTxt, INDEX({"ENERO","FEBRERO","MARZO","ABRIL","MAYO","JUNIO","JULIO","AGOSTO","SEPTIEMBRE","OCTUBRE","NOVIEMBRE","DICIEMBRE"}, E$2),
    _xlpm.colIni, MATCH(_xlpm.mesTxt, Minimos!$1:$1, 0),
    _xlpm.fila, MATCH($A50, Minimos!$A:$A, 0),
    _xlpm.val, INDEX(Minimos!$A:$ZZ, _xlpm.fila, _xlpm.colIni),
    IF(_xlpm.val="", "", _xlpm.val)
  ),
"")</f>
        <v>18.399999999999999</v>
      </c>
      <c r="AV50" s="91">
        <f t="array" ref="AV5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MATCH($A50, Minimos!$A:$A, 0),
    _xlpm.anio, INDEX(Minimos!$A:$ZZ, _xlpm.fila, _xlpm.colIni+1),
    _xlpm.dia, INDEX(Minimos!$A:$ZZ, _xlpm.fila, _xlpm.colIni+2),
    IF(OR(_xlpm.anio="",_xlpm.dia=""), "", DATE(_xlpm.anio, _xlpm.mesNum, _xlpm.dia))
  ),
"")</f>
        <v>43732</v>
      </c>
      <c r="AW50" s="92" t="str">
        <f t="shared" si="5"/>
        <v>NA</v>
      </c>
    </row>
    <row r="51" spans="1:49" ht="14.25" customHeight="1" x14ac:dyDescent="0.2">
      <c r="A51" s="48">
        <v>25025270</v>
      </c>
      <c r="B51" s="52" t="s">
        <v>136</v>
      </c>
      <c r="C51" s="52" t="s">
        <v>118</v>
      </c>
      <c r="D51" s="53">
        <v>-75.387500000000003</v>
      </c>
      <c r="E51" s="53">
        <v>9.3163888890000006</v>
      </c>
      <c r="F51" s="48">
        <v>160</v>
      </c>
      <c r="G51" s="46">
        <v>70</v>
      </c>
      <c r="H51" s="46">
        <v>70670</v>
      </c>
      <c r="I51" s="55" t="s">
        <v>129</v>
      </c>
      <c r="J51" s="55" t="s">
        <v>137</v>
      </c>
      <c r="K51" s="51">
        <v>22.6</v>
      </c>
      <c r="L51" s="51">
        <v>24.6</v>
      </c>
      <c r="M51" s="51">
        <v>23</v>
      </c>
      <c r="N51" s="51">
        <v>24.8</v>
      </c>
      <c r="O51" s="51">
        <v>26.2</v>
      </c>
      <c r="P51" s="51">
        <v>26.4</v>
      </c>
      <c r="Q51" s="51">
        <v>24.8</v>
      </c>
      <c r="R51" s="51">
        <v>25.8</v>
      </c>
      <c r="S51" s="51">
        <v>25.6</v>
      </c>
      <c r="T51" s="51">
        <v>24.8</v>
      </c>
      <c r="U51" s="51">
        <v>21.8</v>
      </c>
      <c r="V51" s="51">
        <v>23</v>
      </c>
      <c r="W51" s="51">
        <v>25.4</v>
      </c>
      <c r="X51" s="51"/>
      <c r="Y51" s="51"/>
      <c r="Z51" s="111"/>
      <c r="AA51" s="51"/>
      <c r="AB51" s="51"/>
      <c r="AC51" s="51"/>
      <c r="AD51" s="51"/>
      <c r="AE51" s="51"/>
      <c r="AF51" s="51"/>
      <c r="AG51" s="51"/>
      <c r="AH51" s="51"/>
      <c r="AI51" s="51"/>
      <c r="AJ51" s="51"/>
      <c r="AK51" s="51"/>
      <c r="AL51" s="51"/>
      <c r="AM51" s="51"/>
      <c r="AN51" s="51"/>
      <c r="AO51" s="51"/>
      <c r="AP51" s="88">
        <f t="shared" si="1"/>
        <v>13</v>
      </c>
      <c r="AQ51" s="89" t="str">
        <f t="shared" si="2"/>
        <v/>
      </c>
      <c r="AR51" s="89">
        <f>IFERROR(VLOOKUP(A51,Climatologia!A:U,9+$E$2,FALSE),"")</f>
        <v>23.050863235049139</v>
      </c>
      <c r="AS51" s="89" t="str">
        <f t="shared" si="3"/>
        <v/>
      </c>
      <c r="AT51" s="90">
        <f t="shared" si="4"/>
        <v>21.8</v>
      </c>
      <c r="AU51" s="90">
        <f t="array" ref="AU51">IFERROR(
  _xlfn.LET(
    _xlpm.mesTxt, INDEX({"ENERO","FEBRERO","MARZO","ABRIL","MAYO","JUNIO","JULIO","AGOSTO","SEPTIEMBRE","OCTUBRE","NOVIEMBRE","DICIEMBRE"}, E$2),
    _xlpm.colIni, MATCH(_xlpm.mesTxt, Minimos!$1:$1, 0),
    _xlpm.fila, MATCH($A51, Minimos!$A:$A, 0),
    _xlpm.val, INDEX(Minimos!$A:$ZZ, _xlpm.fila, _xlpm.colIni),
    IF(_xlpm.val="", "", _xlpm.val)
  ),
"")</f>
        <v>18.2</v>
      </c>
      <c r="AV51" s="91">
        <f t="array" ref="AV5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MATCH($A51, Minimos!$A:$A, 0),
    _xlpm.anio, INDEX(Minimos!$A:$ZZ, _xlpm.fila, _xlpm.colIni+1),
    _xlpm.dia, INDEX(Minimos!$A:$ZZ, _xlpm.fila, _xlpm.colIni+2),
    IF(OR(_xlpm.anio="",_xlpm.dia=""), "", DATE(_xlpm.anio, _xlpm.mesNum, _xlpm.dia))
  ),
"")</f>
        <v>32755</v>
      </c>
      <c r="AW51" s="92">
        <f t="shared" si="5"/>
        <v>3.6000000000000014</v>
      </c>
    </row>
    <row r="52" spans="1:49" ht="14.25" customHeight="1" x14ac:dyDescent="0.2">
      <c r="A52" s="48">
        <v>25025380</v>
      </c>
      <c r="B52" s="52" t="s">
        <v>138</v>
      </c>
      <c r="C52" s="52" t="s">
        <v>118</v>
      </c>
      <c r="D52" s="53">
        <v>-75.044722219999997</v>
      </c>
      <c r="E52" s="53">
        <v>9.1638888890000008</v>
      </c>
      <c r="F52" s="48">
        <v>20</v>
      </c>
      <c r="G52" s="46">
        <v>70</v>
      </c>
      <c r="H52" s="46">
        <v>70678</v>
      </c>
      <c r="I52" s="55" t="s">
        <v>129</v>
      </c>
      <c r="J52" s="55" t="s">
        <v>139</v>
      </c>
      <c r="K52" s="51">
        <v>24</v>
      </c>
      <c r="L52" s="51">
        <v>25.6</v>
      </c>
      <c r="M52" s="51">
        <v>24.2</v>
      </c>
      <c r="N52" s="51">
        <v>24</v>
      </c>
      <c r="O52" s="51">
        <v>24</v>
      </c>
      <c r="P52" s="51">
        <v>23.8</v>
      </c>
      <c r="Q52" s="51">
        <v>24.6</v>
      </c>
      <c r="R52" s="51">
        <v>24.4</v>
      </c>
      <c r="S52" s="51">
        <v>24.6</v>
      </c>
      <c r="T52" s="51">
        <v>24.8</v>
      </c>
      <c r="U52" s="51">
        <v>22.4</v>
      </c>
      <c r="V52" s="51">
        <v>22.2</v>
      </c>
      <c r="W52" s="51">
        <v>22.4</v>
      </c>
      <c r="X52" s="51"/>
      <c r="Y52" s="51"/>
      <c r="Z52" s="111"/>
      <c r="AA52" s="51"/>
      <c r="AB52" s="51"/>
      <c r="AC52" s="51"/>
      <c r="AD52" s="51"/>
      <c r="AE52" s="51"/>
      <c r="AF52" s="51"/>
      <c r="AG52" s="51"/>
      <c r="AH52" s="119"/>
      <c r="AI52" s="119"/>
      <c r="AJ52" s="119"/>
      <c r="AK52" s="119"/>
      <c r="AL52" s="51"/>
      <c r="AM52" s="51"/>
      <c r="AN52" s="51"/>
      <c r="AO52" s="51"/>
      <c r="AP52" s="88">
        <f t="shared" si="1"/>
        <v>13</v>
      </c>
      <c r="AQ52" s="89" t="str">
        <f t="shared" si="2"/>
        <v/>
      </c>
      <c r="AR52" s="89">
        <f>IFERROR(VLOOKUP(A52,Climatologia!A:U,9+$E$2,FALSE),"")</f>
        <v>22.452709359605912</v>
      </c>
      <c r="AS52" s="89" t="str">
        <f t="shared" si="3"/>
        <v/>
      </c>
      <c r="AT52" s="90">
        <f t="shared" si="4"/>
        <v>22.2</v>
      </c>
      <c r="AU52" s="90">
        <f t="array" ref="AU52">IFERROR(
  _xlfn.LET(
    _xlpm.mesTxt, INDEX({"ENERO","FEBRERO","MARZO","ABRIL","MAYO","JUNIO","JULIO","AGOSTO","SEPTIEMBRE","OCTUBRE","NOVIEMBRE","DICIEMBRE"}, E$2),
    _xlpm.colIni, MATCH(_xlpm.mesTxt, Minimos!$1:$1, 0),
    _xlpm.fila, MATCH($A52, Minimos!$A:$A, 0),
    _xlpm.val, INDEX(Minimos!$A:$ZZ, _xlpm.fila, _xlpm.colIni),
    IF(_xlpm.val="", "", _xlpm.val)
  ),
"")</f>
        <v>18.2</v>
      </c>
      <c r="AV52" s="91">
        <f t="array" ref="AV5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MATCH($A52, Minimos!$A:$A, 0),
    _xlpm.anio, INDEX(Minimos!$A:$ZZ, _xlpm.fila, _xlpm.colIni+1),
    _xlpm.dia, INDEX(Minimos!$A:$ZZ, _xlpm.fila, _xlpm.colIni+2),
    IF(OR(_xlpm.anio="",_xlpm.dia=""), "", DATE(_xlpm.anio, _xlpm.mesNum, _xlpm.dia))
  ),
"")</f>
        <v>40426</v>
      </c>
      <c r="AW52" s="92">
        <f t="shared" si="5"/>
        <v>4</v>
      </c>
    </row>
    <row r="53" spans="1:49" ht="14.25" customHeight="1" x14ac:dyDescent="0.2">
      <c r="A53" s="48">
        <v>29015000</v>
      </c>
      <c r="B53" s="52" t="s">
        <v>140</v>
      </c>
      <c r="C53" s="52" t="s">
        <v>118</v>
      </c>
      <c r="D53" s="53">
        <v>-74.976637999999994</v>
      </c>
      <c r="E53" s="53">
        <v>10.034606999999999</v>
      </c>
      <c r="F53" s="48">
        <v>75</v>
      </c>
      <c r="G53" s="46">
        <v>13</v>
      </c>
      <c r="H53" s="46">
        <v>13248</v>
      </c>
      <c r="I53" s="55" t="s">
        <v>34</v>
      </c>
      <c r="J53" s="55" t="s">
        <v>141</v>
      </c>
      <c r="K53" s="51">
        <v>25.6</v>
      </c>
      <c r="L53" s="51">
        <v>25.6</v>
      </c>
      <c r="M53" s="51">
        <v>23.2</v>
      </c>
      <c r="N53" s="51">
        <v>24.2</v>
      </c>
      <c r="O53" s="51">
        <v>26.2</v>
      </c>
      <c r="P53" s="51">
        <v>25.4</v>
      </c>
      <c r="Q53" s="51">
        <v>23.2</v>
      </c>
      <c r="R53" s="51">
        <v>24.8</v>
      </c>
      <c r="S53" s="51">
        <v>25.4</v>
      </c>
      <c r="T53" s="51">
        <v>26</v>
      </c>
      <c r="U53" s="51">
        <v>25.8</v>
      </c>
      <c r="V53" s="51">
        <v>25.6</v>
      </c>
      <c r="W53" s="51"/>
      <c r="X53" s="51"/>
      <c r="Y53" s="51"/>
      <c r="Z53" s="111"/>
      <c r="AA53" s="51"/>
      <c r="AB53" s="51"/>
      <c r="AC53" s="51"/>
      <c r="AD53" s="51"/>
      <c r="AE53" s="51"/>
      <c r="AF53" s="51"/>
      <c r="AG53" s="51"/>
      <c r="AH53" s="51"/>
      <c r="AI53" s="51"/>
      <c r="AJ53" s="51"/>
      <c r="AK53" s="51"/>
      <c r="AL53" s="51"/>
      <c r="AM53" s="51"/>
      <c r="AN53" s="51"/>
      <c r="AO53" s="51"/>
      <c r="AP53" s="88">
        <f t="shared" si="1"/>
        <v>12</v>
      </c>
      <c r="AQ53" s="89" t="str">
        <f t="shared" si="2"/>
        <v/>
      </c>
      <c r="AR53" s="89" t="str">
        <f>IFERROR(VLOOKUP(A53,Climatologia!A:U,9+$E$2,FALSE),"")</f>
        <v/>
      </c>
      <c r="AS53" s="89" t="str">
        <f t="shared" si="3"/>
        <v/>
      </c>
      <c r="AT53" s="90">
        <f t="shared" si="4"/>
        <v>23.2</v>
      </c>
      <c r="AU53" s="90">
        <f t="array" ref="AU53">IFERROR(
  _xlfn.LET(
    _xlpm.mesTxt, INDEX({"ENERO","FEBRERO","MARZO","ABRIL","MAYO","JUNIO","JULIO","AGOSTO","SEPTIEMBRE","OCTUBRE","NOVIEMBRE","DICIEMBRE"}, E$2),
    _xlpm.colIni, MATCH(_xlpm.mesTxt, Minimos!$1:$1, 0),
    _xlpm.fila, MATCH($A53, Minimos!$A:$A, 0),
    _xlpm.val, INDEX(Minimos!$A:$ZZ, _xlpm.fila, _xlpm.colIni),
    IF(_xlpm.val="", "", _xlpm.val)
  ),
"")</f>
        <v>20.2</v>
      </c>
      <c r="AV53" s="91">
        <f t="array" ref="AV5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MATCH($A53, Minimos!$A:$A, 0),
    _xlpm.anio, INDEX(Minimos!$A:$ZZ, _xlpm.fila, _xlpm.colIni+1),
    _xlpm.dia, INDEX(Minimos!$A:$ZZ, _xlpm.fila, _xlpm.colIni+2),
    IF(OR(_xlpm.anio="",_xlpm.dia=""), "", DATE(_xlpm.anio, _xlpm.mesNum, _xlpm.dia))
  ),
"")</f>
        <v>36046</v>
      </c>
      <c r="AW53" s="92">
        <f t="shared" si="5"/>
        <v>3</v>
      </c>
    </row>
    <row r="54" spans="1:49" ht="14.25" customHeight="1" x14ac:dyDescent="0.2">
      <c r="A54" s="48">
        <v>29035000</v>
      </c>
      <c r="B54" s="52" t="s">
        <v>142</v>
      </c>
      <c r="C54" s="52" t="s">
        <v>118</v>
      </c>
      <c r="D54" s="53">
        <v>-75.278277779999996</v>
      </c>
      <c r="E54" s="53">
        <v>10.142583330000001</v>
      </c>
      <c r="F54" s="48">
        <v>10</v>
      </c>
      <c r="G54" s="46">
        <v>13</v>
      </c>
      <c r="H54" s="46">
        <v>13052</v>
      </c>
      <c r="I54" s="55" t="s">
        <v>34</v>
      </c>
      <c r="J54" s="55" t="s">
        <v>143</v>
      </c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111"/>
      <c r="AA54" s="51"/>
      <c r="AB54" s="51"/>
      <c r="AC54" s="51"/>
      <c r="AD54" s="51"/>
      <c r="AE54" s="51"/>
      <c r="AF54" s="51"/>
      <c r="AG54" s="51"/>
      <c r="AH54" s="51"/>
      <c r="AI54" s="51"/>
      <c r="AJ54" s="51"/>
      <c r="AK54" s="51"/>
      <c r="AL54" s="51"/>
      <c r="AM54" s="51"/>
      <c r="AN54" s="51"/>
      <c r="AO54" s="51"/>
      <c r="AP54" s="88">
        <f t="shared" si="1"/>
        <v>0</v>
      </c>
      <c r="AQ54" s="89" t="str">
        <f t="shared" si="2"/>
        <v/>
      </c>
      <c r="AR54" s="89" t="str">
        <f>IFERROR(VLOOKUP(A54,Climatologia!A:U,9+$E$2,FALSE),"")</f>
        <v/>
      </c>
      <c r="AS54" s="89" t="str">
        <f t="shared" si="3"/>
        <v/>
      </c>
      <c r="AT54" s="90" t="str">
        <f t="shared" si="4"/>
        <v/>
      </c>
      <c r="AU54" s="90">
        <f t="array" ref="AU54">IFERROR(
  _xlfn.LET(
    _xlpm.mesTxt, INDEX({"ENERO","FEBRERO","MARZO","ABRIL","MAYO","JUNIO","JULIO","AGOSTO","SEPTIEMBRE","OCTUBRE","NOVIEMBRE","DICIEMBRE"}, E$2),
    _xlpm.colIni, MATCH(_xlpm.mesTxt, Minimos!$1:$1, 0),
    _xlpm.fila, MATCH($A54, Minimos!$A:$A, 0),
    _xlpm.val, INDEX(Minimos!$A:$ZZ, _xlpm.fila, _xlpm.colIni),
    IF(_xlpm.val="", "", _xlpm.val)
  ),
"")</f>
        <v>20</v>
      </c>
      <c r="AV54" s="91">
        <f t="array" ref="AV5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MATCH($A54, Minimos!$A:$A, 0),
    _xlpm.anio, INDEX(Minimos!$A:$ZZ, _xlpm.fila, _xlpm.colIni+1),
    _xlpm.dia, INDEX(Minimos!$A:$ZZ, _xlpm.fila, _xlpm.colIni+2),
    IF(OR(_xlpm.anio="",_xlpm.dia=""), "", DATE(_xlpm.anio, _xlpm.mesNum, _xlpm.dia))
  ),
"")</f>
        <v>31296</v>
      </c>
      <c r="AW54" s="92" t="str">
        <f t="shared" si="5"/>
        <v>NA</v>
      </c>
    </row>
    <row r="55" spans="1:49" ht="14.25" customHeight="1" x14ac:dyDescent="0.2">
      <c r="A55" s="48">
        <v>29035030</v>
      </c>
      <c r="B55" s="52" t="s">
        <v>144</v>
      </c>
      <c r="C55" s="52" t="s">
        <v>118</v>
      </c>
      <c r="D55" s="53">
        <v>-75.326301000000001</v>
      </c>
      <c r="E55" s="53">
        <v>9.8796339999999994</v>
      </c>
      <c r="F55" s="48">
        <v>60</v>
      </c>
      <c r="G55" s="46">
        <v>13</v>
      </c>
      <c r="H55" s="46">
        <v>13442</v>
      </c>
      <c r="I55" s="55" t="s">
        <v>34</v>
      </c>
      <c r="J55" s="55" t="s">
        <v>145</v>
      </c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11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51"/>
      <c r="AM55" s="51"/>
      <c r="AN55" s="51"/>
      <c r="AO55" s="51"/>
      <c r="AP55" s="88">
        <f t="shared" si="1"/>
        <v>0</v>
      </c>
      <c r="AQ55" s="89" t="str">
        <f t="shared" si="2"/>
        <v/>
      </c>
      <c r="AR55" s="89" t="str">
        <f>IFERROR(VLOOKUP(A55,Climatologia!A:U,9+$E$2,FALSE),"")</f>
        <v/>
      </c>
      <c r="AS55" s="89" t="str">
        <f t="shared" si="3"/>
        <v/>
      </c>
      <c r="AT55" s="90" t="str">
        <f t="shared" si="4"/>
        <v/>
      </c>
      <c r="AU55" s="90">
        <f t="array" ref="AU55">IFERROR(
  _xlfn.LET(
    _xlpm.mesTxt, INDEX({"ENERO","FEBRERO","MARZO","ABRIL","MAYO","JUNIO","JULIO","AGOSTO","SEPTIEMBRE","OCTUBRE","NOVIEMBRE","DICIEMBRE"}, E$2),
    _xlpm.colIni, MATCH(_xlpm.mesTxt, Minimos!$1:$1, 0),
    _xlpm.fila, MATCH($A55, Minimos!$A:$A, 0),
    _xlpm.val, INDEX(Minimos!$A:$ZZ, _xlpm.fila, _xlpm.colIni),
    IF(_xlpm.val="", "", _xlpm.val)
  ),
"")</f>
        <v>20</v>
      </c>
      <c r="AV55" s="91">
        <f t="array" ref="AV5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MATCH($A55, Minimos!$A:$A, 0),
    _xlpm.anio, INDEX(Minimos!$A:$ZZ, _xlpm.fila, _xlpm.colIni+1),
    _xlpm.dia, INDEX(Minimos!$A:$ZZ, _xlpm.fila, _xlpm.colIni+2),
    IF(OR(_xlpm.anio="",_xlpm.dia=""), "", DATE(_xlpm.anio, _xlpm.mesNum, _xlpm.dia))
  ),
"")</f>
        <v>41536</v>
      </c>
      <c r="AW55" s="92" t="str">
        <f t="shared" si="5"/>
        <v>NA</v>
      </c>
    </row>
    <row r="56" spans="1:49" ht="14.25" customHeight="1" x14ac:dyDescent="0.2">
      <c r="A56" s="48">
        <v>29035080</v>
      </c>
      <c r="B56" s="52" t="s">
        <v>146</v>
      </c>
      <c r="C56" s="52" t="s">
        <v>118</v>
      </c>
      <c r="D56" s="53">
        <v>-74.954725999999994</v>
      </c>
      <c r="E56" s="53">
        <v>10.453965999999999</v>
      </c>
      <c r="F56" s="48">
        <v>10</v>
      </c>
      <c r="G56" s="46">
        <v>8</v>
      </c>
      <c r="H56" s="46">
        <v>8436</v>
      </c>
      <c r="I56" s="55" t="s">
        <v>37</v>
      </c>
      <c r="J56" s="55" t="s">
        <v>147</v>
      </c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11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51"/>
      <c r="AM56" s="51"/>
      <c r="AN56" s="51"/>
      <c r="AO56" s="51"/>
      <c r="AP56" s="88">
        <f t="shared" si="1"/>
        <v>0</v>
      </c>
      <c r="AQ56" s="89" t="str">
        <f t="shared" si="2"/>
        <v/>
      </c>
      <c r="AR56" s="89">
        <f>IFERROR(VLOOKUP(A56,Climatologia!A:U,9+$E$2,FALSE),"")</f>
        <v>24.120038760462609</v>
      </c>
      <c r="AS56" s="89" t="str">
        <f t="shared" si="3"/>
        <v/>
      </c>
      <c r="AT56" s="90" t="str">
        <f t="shared" si="4"/>
        <v/>
      </c>
      <c r="AU56" s="90">
        <f t="array" ref="AU56">IFERROR(
  _xlfn.LET(
    _xlpm.mesTxt, INDEX({"ENERO","FEBRERO","MARZO","ABRIL","MAYO","JUNIO","JULIO","AGOSTO","SEPTIEMBRE","OCTUBRE","NOVIEMBRE","DICIEMBRE"}, E$2),
    _xlpm.colIni, MATCH(_xlpm.mesTxt, Minimos!$1:$1, 0),
    _xlpm.fila, MATCH($A56, Minimos!$A:$A, 0),
    _xlpm.val, INDEX(Minimos!$A:$ZZ, _xlpm.fila, _xlpm.colIni),
    IF(_xlpm.val="", "", _xlpm.val)
  ),
"")</f>
        <v>18.600000000000001</v>
      </c>
      <c r="AV56" s="91">
        <f t="array" ref="AV5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MATCH($A56, Minimos!$A:$A, 0),
    _xlpm.anio, INDEX(Minimos!$A:$ZZ, _xlpm.fila, _xlpm.colIni+1),
    _xlpm.dia, INDEX(Minimos!$A:$ZZ, _xlpm.fila, _xlpm.colIni+2),
    IF(OR(_xlpm.anio="",_xlpm.dia=""), "", DATE(_xlpm.anio, _xlpm.mesNum, _xlpm.dia))
  ),
"")</f>
        <v>36051</v>
      </c>
      <c r="AW56" s="92" t="str">
        <f t="shared" si="5"/>
        <v>NA</v>
      </c>
    </row>
    <row r="57" spans="1:49" ht="14.25" customHeight="1" x14ac:dyDescent="0.2">
      <c r="A57" s="48">
        <v>29035110</v>
      </c>
      <c r="B57" s="52" t="s">
        <v>148</v>
      </c>
      <c r="C57" s="52" t="s">
        <v>118</v>
      </c>
      <c r="D57" s="53">
        <v>-75.258611110000004</v>
      </c>
      <c r="E57" s="53">
        <v>10.04316667</v>
      </c>
      <c r="F57" s="48">
        <v>20</v>
      </c>
      <c r="G57" s="46">
        <v>13</v>
      </c>
      <c r="H57" s="46">
        <v>13442</v>
      </c>
      <c r="I57" s="55" t="s">
        <v>34</v>
      </c>
      <c r="J57" s="55" t="s">
        <v>145</v>
      </c>
      <c r="K57" s="51">
        <v>25</v>
      </c>
      <c r="L57" s="51">
        <v>25.2</v>
      </c>
      <c r="M57" s="51">
        <v>23.6</v>
      </c>
      <c r="N57" s="51">
        <v>24.4</v>
      </c>
      <c r="O57" s="51">
        <v>25.2</v>
      </c>
      <c r="P57" s="51">
        <v>25</v>
      </c>
      <c r="Q57" s="51">
        <v>24.6</v>
      </c>
      <c r="R57" s="51">
        <v>25.4</v>
      </c>
      <c r="S57" s="51">
        <v>25</v>
      </c>
      <c r="T57" s="51">
        <v>25.4</v>
      </c>
      <c r="U57" s="51">
        <v>25.8</v>
      </c>
      <c r="V57" s="51">
        <v>26.8</v>
      </c>
      <c r="W57" s="51">
        <v>25.6</v>
      </c>
      <c r="X57" s="51"/>
      <c r="Y57" s="51"/>
      <c r="Z57" s="111"/>
      <c r="AA57" s="51"/>
      <c r="AB57" s="51"/>
      <c r="AC57" s="51"/>
      <c r="AD57" s="51"/>
      <c r="AE57" s="51"/>
      <c r="AF57" s="51"/>
      <c r="AG57" s="51"/>
      <c r="AH57" s="51"/>
      <c r="AI57" s="51"/>
      <c r="AJ57" s="51"/>
      <c r="AK57" s="51"/>
      <c r="AL57" s="51"/>
      <c r="AM57" s="51"/>
      <c r="AN57" s="51"/>
      <c r="AO57" s="51"/>
      <c r="AP57" s="88">
        <f t="shared" si="1"/>
        <v>13</v>
      </c>
      <c r="AQ57" s="89" t="str">
        <f t="shared" si="2"/>
        <v/>
      </c>
      <c r="AR57" s="89">
        <f>IFERROR(VLOOKUP(A57,Climatologia!A:U,9+$E$2,FALSE),"")</f>
        <v>23.7254865927842</v>
      </c>
      <c r="AS57" s="89" t="str">
        <f t="shared" si="3"/>
        <v/>
      </c>
      <c r="AT57" s="90">
        <f t="shared" si="4"/>
        <v>23.6</v>
      </c>
      <c r="AU57" s="90">
        <f t="array" ref="AU57">IFERROR(
  _xlfn.LET(
    _xlpm.mesTxt, INDEX({"ENERO","FEBRERO","MARZO","ABRIL","MAYO","JUNIO","JULIO","AGOSTO","SEPTIEMBRE","OCTUBRE","NOVIEMBRE","DICIEMBRE"}, E$2),
    _xlpm.colIni, MATCH(_xlpm.mesTxt, Minimos!$1:$1, 0),
    _xlpm.fila, MATCH($A57, Minimos!$A:$A, 0),
    _xlpm.val, INDEX(Minimos!$A:$ZZ, _xlpm.fila, _xlpm.colIni),
    IF(_xlpm.val="", "", _xlpm.val)
  ),
"")</f>
        <v>17.2</v>
      </c>
      <c r="AV57" s="91">
        <f t="array" ref="AV5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MATCH($A57, Minimos!$A:$A, 0),
    _xlpm.anio, INDEX(Minimos!$A:$ZZ, _xlpm.fila, _xlpm.colIni+1),
    _xlpm.dia, INDEX(Minimos!$A:$ZZ, _xlpm.fila, _xlpm.colIni+2),
    IF(OR(_xlpm.anio="",_xlpm.dia=""), "", DATE(_xlpm.anio, _xlpm.mesNum, _xlpm.dia))
  ),
"")</f>
        <v>28734</v>
      </c>
      <c r="AW57" s="92">
        <f t="shared" si="5"/>
        <v>6.4000000000000021</v>
      </c>
    </row>
    <row r="58" spans="1:49" ht="14.25" customHeight="1" x14ac:dyDescent="0.2">
      <c r="A58" s="48">
        <v>31015010</v>
      </c>
      <c r="B58" s="52" t="s">
        <v>149</v>
      </c>
      <c r="C58" s="52" t="s">
        <v>150</v>
      </c>
      <c r="D58" s="53">
        <v>-72.639860999999996</v>
      </c>
      <c r="E58" s="53">
        <v>2.372592</v>
      </c>
      <c r="F58" s="48">
        <v>216</v>
      </c>
      <c r="G58" s="46">
        <v>95</v>
      </c>
      <c r="H58" s="46">
        <v>95025</v>
      </c>
      <c r="I58" s="55" t="s">
        <v>151</v>
      </c>
      <c r="J58" s="55" t="s">
        <v>152</v>
      </c>
      <c r="K58" s="51">
        <v>24.6</v>
      </c>
      <c r="L58" s="51">
        <v>23.6</v>
      </c>
      <c r="M58" s="51"/>
      <c r="N58" s="51">
        <v>23.6</v>
      </c>
      <c r="O58" s="51">
        <v>22.2</v>
      </c>
      <c r="P58" s="51">
        <v>21.8</v>
      </c>
      <c r="Q58" s="51">
        <v>22.4</v>
      </c>
      <c r="R58" s="51">
        <v>23.4</v>
      </c>
      <c r="S58" s="51">
        <v>22.6</v>
      </c>
      <c r="T58" s="51"/>
      <c r="U58" s="51">
        <v>22.4</v>
      </c>
      <c r="V58" s="51">
        <v>19.600000000000001</v>
      </c>
      <c r="W58" s="51"/>
      <c r="X58" s="51"/>
      <c r="Y58" s="51"/>
      <c r="Z58" s="11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88">
        <f t="shared" si="1"/>
        <v>10</v>
      </c>
      <c r="AQ58" s="89" t="str">
        <f t="shared" si="2"/>
        <v/>
      </c>
      <c r="AR58" s="89">
        <f>IFERROR(VLOOKUP(A58,Climatologia!A:U,9+$E$2,FALSE),"")</f>
        <v>21.37518499513471</v>
      </c>
      <c r="AS58" s="89" t="str">
        <f t="shared" si="3"/>
        <v/>
      </c>
      <c r="AT58" s="90">
        <f t="shared" si="4"/>
        <v>19.600000000000001</v>
      </c>
      <c r="AU58" s="90">
        <f t="array" ref="AU58">IFERROR(
  _xlfn.LET(
    _xlpm.mesTxt, INDEX({"ENERO","FEBRERO","MARZO","ABRIL","MAYO","JUNIO","JULIO","AGOSTO","SEPTIEMBRE","OCTUBRE","NOVIEMBRE","DICIEMBRE"}, E$2),
    _xlpm.colIni, MATCH(_xlpm.mesTxt, Minimos!$1:$1, 0),
    _xlpm.fila, MATCH($A58, Minimos!$A:$A, 0),
    _xlpm.val, INDEX(Minimos!$A:$ZZ, _xlpm.fila, _xlpm.colIni),
    IF(_xlpm.val="", "", _xlpm.val)
  ),
"")</f>
        <v>15.8</v>
      </c>
      <c r="AV58" s="91">
        <f t="array" ref="AV5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MATCH($A58, Minimos!$A:$A, 0),
    _xlpm.anio, INDEX(Minimos!$A:$ZZ, _xlpm.fila, _xlpm.colIni+1),
    _xlpm.dia, INDEX(Minimos!$A:$ZZ, _xlpm.fila, _xlpm.colIni+2),
    IF(OR(_xlpm.anio="",_xlpm.dia=""), "", DATE(_xlpm.anio, _xlpm.mesNum, _xlpm.dia))
  ),
"")</f>
        <v>31302</v>
      </c>
      <c r="AW58" s="92">
        <f t="shared" si="5"/>
        <v>3.8000000000000007</v>
      </c>
    </row>
    <row r="59" spans="1:49" ht="14.25" customHeight="1" x14ac:dyDescent="0.2">
      <c r="A59" s="48">
        <v>31095030</v>
      </c>
      <c r="B59" s="52" t="s">
        <v>153</v>
      </c>
      <c r="C59" s="52" t="s">
        <v>150</v>
      </c>
      <c r="D59" s="53">
        <v>-67.919111110000003</v>
      </c>
      <c r="E59" s="53">
        <v>3.874444</v>
      </c>
      <c r="F59" s="48">
        <v>98</v>
      </c>
      <c r="G59" s="46">
        <v>94</v>
      </c>
      <c r="H59" s="46">
        <v>94001</v>
      </c>
      <c r="I59" s="55" t="s">
        <v>154</v>
      </c>
      <c r="J59" s="55" t="s">
        <v>155</v>
      </c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11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51"/>
      <c r="AM59" s="51"/>
      <c r="AN59" s="51"/>
      <c r="AO59" s="51"/>
      <c r="AP59" s="88">
        <f t="shared" si="1"/>
        <v>0</v>
      </c>
      <c r="AQ59" s="89" t="str">
        <f t="shared" si="2"/>
        <v/>
      </c>
      <c r="AR59" s="89">
        <f>IFERROR(VLOOKUP(A59,Climatologia!A:U,9+$E$2,FALSE),"")</f>
        <v>22.62268199233716</v>
      </c>
      <c r="AS59" s="89" t="str">
        <f t="shared" si="3"/>
        <v/>
      </c>
      <c r="AT59" s="90" t="str">
        <f t="shared" si="4"/>
        <v/>
      </c>
      <c r="AU59" s="90">
        <f t="array" ref="AU59">IFERROR(
  _xlfn.LET(
    _xlpm.mesTxt, INDEX({"ENERO","FEBRERO","MARZO","ABRIL","MAYO","JUNIO","JULIO","AGOSTO","SEPTIEMBRE","OCTUBRE","NOVIEMBRE","DICIEMBRE"}, E$2),
    _xlpm.colIni, MATCH(_xlpm.mesTxt, Minimos!$1:$1, 0),
    _xlpm.fila, MATCH($A59, Minimos!$A:$A, 0),
    _xlpm.val, INDEX(Minimos!$A:$ZZ, _xlpm.fila, _xlpm.colIni),
    IF(_xlpm.val="", "", _xlpm.val)
  ),
"")</f>
        <v>18.2</v>
      </c>
      <c r="AV59" s="91">
        <f t="array" ref="AV5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MATCH($A59, Minimos!$A:$A, 0),
    _xlpm.anio, INDEX(Minimos!$A:$ZZ, _xlpm.fila, _xlpm.colIni+1),
    _xlpm.dia, INDEX(Minimos!$A:$ZZ, _xlpm.fila, _xlpm.colIni+2),
    IF(OR(_xlpm.anio="",_xlpm.dia=""), "", DATE(_xlpm.anio, _xlpm.mesNum, _xlpm.dia))
  ),
"")</f>
        <v>29842</v>
      </c>
      <c r="AW59" s="92" t="str">
        <f t="shared" si="5"/>
        <v>NA</v>
      </c>
    </row>
    <row r="60" spans="1:49" ht="14.25" customHeight="1" x14ac:dyDescent="0.2">
      <c r="A60" s="48">
        <v>32035010</v>
      </c>
      <c r="B60" s="52" t="s">
        <v>156</v>
      </c>
      <c r="C60" s="52" t="s">
        <v>150</v>
      </c>
      <c r="D60" s="53">
        <v>-73.793471999999994</v>
      </c>
      <c r="E60" s="53">
        <v>2.176139</v>
      </c>
      <c r="F60" s="48">
        <v>227</v>
      </c>
      <c r="G60" s="46">
        <v>50</v>
      </c>
      <c r="H60" s="46">
        <v>50350</v>
      </c>
      <c r="I60" s="55" t="s">
        <v>95</v>
      </c>
      <c r="J60" s="55" t="s">
        <v>156</v>
      </c>
      <c r="K60" s="51">
        <v>22.4</v>
      </c>
      <c r="L60" s="51">
        <v>23</v>
      </c>
      <c r="M60" s="51">
        <v>21.8</v>
      </c>
      <c r="N60" s="51">
        <v>22.8</v>
      </c>
      <c r="O60" s="51">
        <v>21.4</v>
      </c>
      <c r="P60" s="51">
        <v>20.6</v>
      </c>
      <c r="Q60" s="51">
        <v>22.4</v>
      </c>
      <c r="R60" s="51">
        <v>22.6</v>
      </c>
      <c r="S60" s="51">
        <v>22</v>
      </c>
      <c r="T60" s="51">
        <v>22.8</v>
      </c>
      <c r="U60" s="51">
        <v>22.2</v>
      </c>
      <c r="V60" s="51">
        <v>23</v>
      </c>
      <c r="W60" s="51"/>
      <c r="X60" s="51"/>
      <c r="Y60" s="51"/>
      <c r="Z60" s="11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1"/>
      <c r="AN60" s="51"/>
      <c r="AO60" s="51"/>
      <c r="AP60" s="88">
        <f t="shared" si="1"/>
        <v>12</v>
      </c>
      <c r="AQ60" s="89" t="str">
        <f t="shared" si="2"/>
        <v/>
      </c>
      <c r="AR60" s="89">
        <f>IFERROR(VLOOKUP(A60,Climatologia!A:U,9+$E$2,FALSE),"")</f>
        <v>21.711950830140491</v>
      </c>
      <c r="AS60" s="89" t="str">
        <f t="shared" si="3"/>
        <v/>
      </c>
      <c r="AT60" s="90">
        <f t="shared" si="4"/>
        <v>20.6</v>
      </c>
      <c r="AU60" s="90">
        <f t="array" ref="AU60">IFERROR(
  _xlfn.LET(
    _xlpm.mesTxt, INDEX({"ENERO","FEBRERO","MARZO","ABRIL","MAYO","JUNIO","JULIO","AGOSTO","SEPTIEMBRE","OCTUBRE","NOVIEMBRE","DICIEMBRE"}, E$2),
    _xlpm.colIni, MATCH(_xlpm.mesTxt, Minimos!$1:$1, 0),
    _xlpm.fila, MATCH($A60, Minimos!$A:$A, 0),
    _xlpm.val, INDEX(Minimos!$A:$ZZ, _xlpm.fila, _xlpm.colIni),
    IF(_xlpm.val="", "", _xlpm.val)
  ),
"")</f>
        <v>17.100000000000001</v>
      </c>
      <c r="AV60" s="91">
        <f t="array" ref="AV6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MATCH($A60, Minimos!$A:$A, 0),
    _xlpm.anio, INDEX(Minimos!$A:$ZZ, _xlpm.fila, _xlpm.colIni+1),
    _xlpm.dia, INDEX(Minimos!$A:$ZZ, _xlpm.fila, _xlpm.colIni+2),
    IF(OR(_xlpm.anio="",_xlpm.dia=""), "", DATE(_xlpm.anio, _xlpm.mesNum, _xlpm.dia))
  ),
"")</f>
        <v>30568</v>
      </c>
      <c r="AW60" s="92">
        <f t="shared" si="5"/>
        <v>3.5</v>
      </c>
    </row>
    <row r="61" spans="1:49" ht="14.25" customHeight="1" x14ac:dyDescent="0.2">
      <c r="A61" s="48">
        <v>32075050</v>
      </c>
      <c r="B61" s="52" t="s">
        <v>157</v>
      </c>
      <c r="C61" s="52" t="s">
        <v>150</v>
      </c>
      <c r="D61" s="53">
        <v>-74.043000000000006</v>
      </c>
      <c r="E61" s="53">
        <v>3.38008</v>
      </c>
      <c r="F61" s="48">
        <v>556</v>
      </c>
      <c r="G61" s="46">
        <v>50</v>
      </c>
      <c r="H61" s="46">
        <v>50330</v>
      </c>
      <c r="I61" s="55" t="s">
        <v>95</v>
      </c>
      <c r="J61" s="55" t="s">
        <v>157</v>
      </c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111"/>
      <c r="AA61" s="51"/>
      <c r="AB61" s="51"/>
      <c r="AC61" s="51"/>
      <c r="AD61" s="51"/>
      <c r="AE61" s="51"/>
      <c r="AF61" s="51"/>
      <c r="AG61" s="51"/>
      <c r="AH61" s="51"/>
      <c r="AI61" s="51"/>
      <c r="AJ61" s="51"/>
      <c r="AK61" s="51"/>
      <c r="AL61" s="51"/>
      <c r="AM61" s="51"/>
      <c r="AN61" s="51"/>
      <c r="AO61" s="51"/>
      <c r="AP61" s="88">
        <f t="shared" si="1"/>
        <v>0</v>
      </c>
      <c r="AQ61" s="89" t="str">
        <f t="shared" si="2"/>
        <v/>
      </c>
      <c r="AR61" s="89">
        <f>IFERROR(VLOOKUP(A61,Climatologia!A:U,9+$E$2,FALSE),"")</f>
        <v>19.32154907161804</v>
      </c>
      <c r="AS61" s="89" t="str">
        <f t="shared" si="3"/>
        <v/>
      </c>
      <c r="AT61" s="90" t="str">
        <f t="shared" si="4"/>
        <v/>
      </c>
      <c r="AU61" s="90" t="str">
        <f t="array" ref="AU61">IFERROR(
  _xlfn.LET(
    _xlpm.mesTxt, INDEX({"ENERO","FEBRERO","MARZO","ABRIL","MAYO","JUNIO","JULIO","AGOSTO","SEPTIEMBRE","OCTUBRE","NOVIEMBRE","DICIEMBRE"}, E$2),
    _xlpm.colIni, MATCH(_xlpm.mesTxt, Minimos!$1:$1, 0),
    _xlpm.fila, MATCH($A61, Minimos!$A:$A, 0),
    _xlpm.val, INDEX(Minimos!$A:$ZZ, _xlpm.fila, _xlpm.colIni),
    IF(_xlpm.val="", "", _xlpm.val)
  ),
"")</f>
        <v/>
      </c>
      <c r="AV61" s="91" t="str">
        <f t="array" ref="AV6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61" s="92" t="str">
        <f t="shared" si="5"/>
        <v>NA</v>
      </c>
    </row>
    <row r="62" spans="1:49" ht="14.25" customHeight="1" x14ac:dyDescent="0.2">
      <c r="A62" s="48">
        <v>32155010</v>
      </c>
      <c r="B62" s="52" t="s">
        <v>158</v>
      </c>
      <c r="C62" s="52" t="s">
        <v>150</v>
      </c>
      <c r="D62" s="53">
        <v>-70.475138999999999</v>
      </c>
      <c r="E62" s="53">
        <v>2.8117779999999999</v>
      </c>
      <c r="F62" s="48">
        <v>154</v>
      </c>
      <c r="G62" s="46">
        <v>94</v>
      </c>
      <c r="H62" s="46">
        <v>94343</v>
      </c>
      <c r="I62" s="55" t="s">
        <v>154</v>
      </c>
      <c r="J62" s="55" t="s">
        <v>159</v>
      </c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111"/>
      <c r="AA62" s="51"/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51"/>
      <c r="AN62" s="51"/>
      <c r="AO62" s="51"/>
      <c r="AP62" s="88">
        <f t="shared" si="1"/>
        <v>0</v>
      </c>
      <c r="AQ62" s="89" t="str">
        <f t="shared" si="2"/>
        <v/>
      </c>
      <c r="AR62" s="89">
        <f>IFERROR(VLOOKUP(A62,Climatologia!A:U,9+$E$2,FALSE),"")</f>
        <v>22.15150467164079</v>
      </c>
      <c r="AS62" s="89" t="str">
        <f t="shared" si="3"/>
        <v/>
      </c>
      <c r="AT62" s="90" t="str">
        <f t="shared" si="4"/>
        <v/>
      </c>
      <c r="AU62" s="90">
        <f t="array" ref="AU62">IFERROR(
  _xlfn.LET(
    _xlpm.mesTxt, INDEX({"ENERO","FEBRERO","MARZO","ABRIL","MAYO","JUNIO","JULIO","AGOSTO","SEPTIEMBRE","OCTUBRE","NOVIEMBRE","DICIEMBRE"}, E$2),
    _xlpm.colIni, MATCH(_xlpm.mesTxt, Minimos!$1:$1, 0),
    _xlpm.fila, MATCH($A62, Minimos!$A:$A, 0),
    _xlpm.val, INDEX(Minimos!$A:$ZZ, _xlpm.fila, _xlpm.colIni),
    IF(_xlpm.val="", "", _xlpm.val)
  ),
"")</f>
        <v>18.5</v>
      </c>
      <c r="AV62" s="91">
        <f t="array" ref="AV6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MATCH($A62, Minimos!$A:$A, 0),
    _xlpm.anio, INDEX(Minimos!$A:$ZZ, _xlpm.fila, _xlpm.colIni+1),
    _xlpm.dia, INDEX(Minimos!$A:$ZZ, _xlpm.fila, _xlpm.colIni+2),
    IF(OR(_xlpm.anio="",_xlpm.dia=""), "", DATE(_xlpm.anio, _xlpm.mesNum, _xlpm.dia))
  ),
"")</f>
        <v>33488</v>
      </c>
      <c r="AW62" s="92" t="str">
        <f t="shared" si="5"/>
        <v>NA</v>
      </c>
    </row>
    <row r="63" spans="1:49" ht="14.25" customHeight="1" x14ac:dyDescent="0.2">
      <c r="A63" s="48">
        <v>33055010</v>
      </c>
      <c r="B63" s="52" t="s">
        <v>160</v>
      </c>
      <c r="C63" s="52" t="s">
        <v>150</v>
      </c>
      <c r="D63" s="53">
        <v>-69.812306000000007</v>
      </c>
      <c r="E63" s="53">
        <v>4.4948059999999996</v>
      </c>
      <c r="F63" s="48">
        <v>158</v>
      </c>
      <c r="G63" s="46">
        <v>99</v>
      </c>
      <c r="H63" s="46">
        <v>99773</v>
      </c>
      <c r="I63" s="55" t="s">
        <v>92</v>
      </c>
      <c r="J63" s="55" t="s">
        <v>160</v>
      </c>
      <c r="K63" s="51">
        <v>23.6</v>
      </c>
      <c r="L63" s="51">
        <v>22.6</v>
      </c>
      <c r="M63" s="51">
        <v>23</v>
      </c>
      <c r="N63" s="51">
        <v>21.2</v>
      </c>
      <c r="O63" s="51">
        <v>21.6</v>
      </c>
      <c r="P63" s="51">
        <v>20.399999999999999</v>
      </c>
      <c r="Q63" s="51">
        <v>21.6</v>
      </c>
      <c r="R63" s="51">
        <v>22</v>
      </c>
      <c r="S63" s="51">
        <v>23.8</v>
      </c>
      <c r="T63" s="51">
        <v>23.6</v>
      </c>
      <c r="U63" s="51">
        <v>21.2</v>
      </c>
      <c r="V63" s="51"/>
      <c r="W63" s="51"/>
      <c r="X63" s="51"/>
      <c r="Y63" s="51"/>
      <c r="Z63" s="111"/>
      <c r="AA63" s="51"/>
      <c r="AB63" s="51"/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88">
        <f t="shared" si="1"/>
        <v>11</v>
      </c>
      <c r="AQ63" s="89" t="str">
        <f t="shared" si="2"/>
        <v/>
      </c>
      <c r="AR63" s="89">
        <f>IFERROR(VLOOKUP(A63,Climatologia!A:U,9+$E$2,FALSE),"")</f>
        <v>22.363032714412022</v>
      </c>
      <c r="AS63" s="89" t="str">
        <f t="shared" si="3"/>
        <v/>
      </c>
      <c r="AT63" s="90">
        <f t="shared" si="4"/>
        <v>20.399999999999999</v>
      </c>
      <c r="AU63" s="90">
        <f t="array" ref="AU63">IFERROR(
  _xlfn.LET(
    _xlpm.mesTxt, INDEX({"ENERO","FEBRERO","MARZO","ABRIL","MAYO","JUNIO","JULIO","AGOSTO","SEPTIEMBRE","OCTUBRE","NOVIEMBRE","DICIEMBRE"}, E$2),
    _xlpm.colIni, MATCH(_xlpm.mesTxt, Minimos!$1:$1, 0),
    _xlpm.fila, MATCH($A63, Minimos!$A:$A, 0),
    _xlpm.val, INDEX(Minimos!$A:$ZZ, _xlpm.fila, _xlpm.colIni),
    IF(_xlpm.val="", "", _xlpm.val)
  ),
"")</f>
        <v>17.8</v>
      </c>
      <c r="AV63" s="91">
        <f t="array" ref="AV6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MATCH($A63, Minimos!$A:$A, 0),
    _xlpm.anio, INDEX(Minimos!$A:$ZZ, _xlpm.fila, _xlpm.colIni+1),
    _xlpm.dia, INDEX(Minimos!$A:$ZZ, _xlpm.fila, _xlpm.colIni+2),
    IF(OR(_xlpm.anio="",_xlpm.dia=""), "", DATE(_xlpm.anio, _xlpm.mesNum, _xlpm.dia))
  ),
"")</f>
        <v>37882</v>
      </c>
      <c r="AW63" s="92">
        <f t="shared" si="5"/>
        <v>2.5999999999999979</v>
      </c>
    </row>
    <row r="64" spans="1:49" ht="14.25" customHeight="1" x14ac:dyDescent="0.2">
      <c r="A64" s="48">
        <v>34015010</v>
      </c>
      <c r="B64" s="52" t="s">
        <v>161</v>
      </c>
      <c r="C64" s="52" t="s">
        <v>150</v>
      </c>
      <c r="D64" s="53">
        <v>-70.930224999999993</v>
      </c>
      <c r="E64" s="53">
        <v>4.5538910000000001</v>
      </c>
      <c r="F64" s="48">
        <v>173</v>
      </c>
      <c r="G64" s="46">
        <v>99</v>
      </c>
      <c r="H64" s="46">
        <v>99773</v>
      </c>
      <c r="I64" s="55" t="s">
        <v>92</v>
      </c>
      <c r="J64" s="55" t="s">
        <v>160</v>
      </c>
      <c r="K64" s="51">
        <v>23.2</v>
      </c>
      <c r="L64" s="51">
        <v>24</v>
      </c>
      <c r="M64" s="51">
        <v>23</v>
      </c>
      <c r="N64" s="51">
        <v>23.8</v>
      </c>
      <c r="O64" s="51">
        <v>22</v>
      </c>
      <c r="P64" s="51">
        <v>21.8</v>
      </c>
      <c r="Q64" s="51">
        <v>22.8</v>
      </c>
      <c r="R64" s="51">
        <v>21.8</v>
      </c>
      <c r="S64" s="51">
        <v>23.4</v>
      </c>
      <c r="T64" s="51">
        <v>24</v>
      </c>
      <c r="U64" s="51">
        <v>22.2</v>
      </c>
      <c r="V64" s="51">
        <v>23.6</v>
      </c>
      <c r="W64" s="51">
        <v>22.6</v>
      </c>
      <c r="X64" s="51"/>
      <c r="Y64" s="51"/>
      <c r="Z64" s="111"/>
      <c r="AA64" s="51"/>
      <c r="AB64" s="51"/>
      <c r="AC64" s="51"/>
      <c r="AD64" s="51"/>
      <c r="AE64" s="51"/>
      <c r="AF64" s="51"/>
      <c r="AG64" s="51"/>
      <c r="AH64" s="51"/>
      <c r="AI64" s="51"/>
      <c r="AJ64" s="51"/>
      <c r="AK64" s="51"/>
      <c r="AL64" s="51"/>
      <c r="AM64" s="51"/>
      <c r="AN64" s="51"/>
      <c r="AO64" s="51"/>
      <c r="AP64" s="88">
        <f t="shared" si="1"/>
        <v>13</v>
      </c>
      <c r="AQ64" s="89" t="str">
        <f t="shared" si="2"/>
        <v/>
      </c>
      <c r="AR64" s="89">
        <f>IFERROR(VLOOKUP(A64,Climatologia!A:U,9+$E$2,FALSE),"")</f>
        <v>22.055755336617409</v>
      </c>
      <c r="AS64" s="89" t="str">
        <f t="shared" si="3"/>
        <v/>
      </c>
      <c r="AT64" s="90">
        <f t="shared" si="4"/>
        <v>21.8</v>
      </c>
      <c r="AU64" s="90">
        <f t="array" ref="AU64">IFERROR(
  _xlfn.LET(
    _xlpm.mesTxt, INDEX({"ENERO","FEBRERO","MARZO","ABRIL","MAYO","JUNIO","JULIO","AGOSTO","SEPTIEMBRE","OCTUBRE","NOVIEMBRE","DICIEMBRE"}, E$2),
    _xlpm.colIni, MATCH(_xlpm.mesTxt, Minimos!$1:$1, 0),
    _xlpm.fila, MATCH($A64, Minimos!$A:$A, 0),
    _xlpm.val, INDEX(Minimos!$A:$ZZ, _xlpm.fila, _xlpm.colIni),
    IF(_xlpm.val="", "", _xlpm.val)
  ),
"")</f>
        <v>17.899999999999999</v>
      </c>
      <c r="AV64" s="91">
        <f t="array" ref="AV6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MATCH($A64, Minimos!$A:$A, 0),
    _xlpm.anio, INDEX(Minimos!$A:$ZZ, _xlpm.fila, _xlpm.colIni+1),
    _xlpm.dia, INDEX(Minimos!$A:$ZZ, _xlpm.fila, _xlpm.colIni+2),
    IF(OR(_xlpm.anio="",_xlpm.dia=""), "", DATE(_xlpm.anio, _xlpm.mesNum, _xlpm.dia))
  ),
"")</f>
        <v>33493</v>
      </c>
      <c r="AW64" s="92">
        <f t="shared" si="5"/>
        <v>3.9000000000000021</v>
      </c>
    </row>
    <row r="65" spans="1:49" ht="14.25" customHeight="1" x14ac:dyDescent="0.2">
      <c r="A65" s="48">
        <v>35025110</v>
      </c>
      <c r="B65" s="52" t="s">
        <v>162</v>
      </c>
      <c r="C65" s="52" t="s">
        <v>150</v>
      </c>
      <c r="D65" s="53">
        <v>-73.467865000000003</v>
      </c>
      <c r="E65" s="53">
        <v>4.0574149999999998</v>
      </c>
      <c r="F65" s="48">
        <v>340</v>
      </c>
      <c r="G65" s="46">
        <v>50</v>
      </c>
      <c r="H65" s="46">
        <v>50001</v>
      </c>
      <c r="I65" s="55" t="s">
        <v>95</v>
      </c>
      <c r="J65" s="55" t="s">
        <v>96</v>
      </c>
      <c r="K65" s="51">
        <v>24</v>
      </c>
      <c r="L65" s="51">
        <v>22.2</v>
      </c>
      <c r="M65" s="51">
        <v>22.2</v>
      </c>
      <c r="N65" s="51">
        <v>22.8</v>
      </c>
      <c r="O65" s="51">
        <v>22.8</v>
      </c>
      <c r="P65" s="51">
        <v>22.4</v>
      </c>
      <c r="Q65" s="51">
        <v>23.2</v>
      </c>
      <c r="R65" s="51">
        <v>22</v>
      </c>
      <c r="S65" s="51">
        <v>24</v>
      </c>
      <c r="T65" s="51">
        <v>21.8</v>
      </c>
      <c r="U65" s="51">
        <v>21.8</v>
      </c>
      <c r="V65" s="51">
        <v>22</v>
      </c>
      <c r="W65" s="51">
        <v>22.6</v>
      </c>
      <c r="X65" s="51"/>
      <c r="Y65" s="51"/>
      <c r="Z65" s="111"/>
      <c r="AA65" s="51"/>
      <c r="AB65" s="51"/>
      <c r="AC65" s="51"/>
      <c r="AD65" s="51"/>
      <c r="AE65" s="51"/>
      <c r="AF65" s="51"/>
      <c r="AG65" s="51"/>
      <c r="AH65" s="51"/>
      <c r="AI65" s="51"/>
      <c r="AJ65" s="51"/>
      <c r="AK65" s="51"/>
      <c r="AL65" s="51"/>
      <c r="AM65" s="51"/>
      <c r="AN65" s="51"/>
      <c r="AO65" s="51"/>
      <c r="AP65" s="88">
        <f t="shared" si="1"/>
        <v>13</v>
      </c>
      <c r="AQ65" s="89" t="str">
        <f t="shared" si="2"/>
        <v/>
      </c>
      <c r="AR65" s="89">
        <f>IFERROR(VLOOKUP(A65,Climatologia!A:U,9+$E$2,FALSE),"")</f>
        <v>21.68406544285855</v>
      </c>
      <c r="AS65" s="89" t="str">
        <f t="shared" si="3"/>
        <v/>
      </c>
      <c r="AT65" s="90">
        <f t="shared" si="4"/>
        <v>21.8</v>
      </c>
      <c r="AU65" s="90">
        <f t="array" ref="AU65">IFERROR(
  _xlfn.LET(
    _xlpm.mesTxt, INDEX({"ENERO","FEBRERO","MARZO","ABRIL","MAYO","JUNIO","JULIO","AGOSTO","SEPTIEMBRE","OCTUBRE","NOVIEMBRE","DICIEMBRE"}, E$2),
    _xlpm.colIni, MATCH(_xlpm.mesTxt, Minimos!$1:$1, 0),
    _xlpm.fila, MATCH($A65, Minimos!$A:$A, 0),
    _xlpm.val, INDEX(Minimos!$A:$ZZ, _xlpm.fila, _xlpm.colIni),
    IF(_xlpm.val="", "", _xlpm.val)
  ),
"")</f>
        <v>18</v>
      </c>
      <c r="AV65" s="91">
        <f t="array" ref="AV6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MATCH($A65, Minimos!$A:$A, 0),
    _xlpm.anio, INDEX(Minimos!$A:$ZZ, _xlpm.fila, _xlpm.colIni+1),
    _xlpm.dia, INDEX(Minimos!$A:$ZZ, _xlpm.fila, _xlpm.colIni+2),
    IF(OR(_xlpm.anio="",_xlpm.dia=""), "", DATE(_xlpm.anio, _xlpm.mesNum, _xlpm.dia))
  ),
"")</f>
        <v>39330</v>
      </c>
      <c r="AW65" s="92">
        <f t="shared" si="5"/>
        <v>3.8000000000000007</v>
      </c>
    </row>
    <row r="66" spans="1:49" ht="14.25" customHeight="1" x14ac:dyDescent="0.2">
      <c r="A66" s="48">
        <v>35045020</v>
      </c>
      <c r="B66" s="52" t="s">
        <v>163</v>
      </c>
      <c r="C66" s="52" t="s">
        <v>150</v>
      </c>
      <c r="D66" s="53">
        <v>-73.357500000000002</v>
      </c>
      <c r="E66" s="53">
        <v>4.300444444</v>
      </c>
      <c r="F66" s="48">
        <v>310</v>
      </c>
      <c r="G66" s="46">
        <v>50</v>
      </c>
      <c r="H66" s="46">
        <v>50226</v>
      </c>
      <c r="I66" s="55" t="s">
        <v>95</v>
      </c>
      <c r="J66" s="55" t="s">
        <v>164</v>
      </c>
      <c r="K66" s="51">
        <v>21.4</v>
      </c>
      <c r="L66" s="51">
        <v>22</v>
      </c>
      <c r="M66" s="51">
        <v>20.8</v>
      </c>
      <c r="N66" s="51">
        <v>21.6</v>
      </c>
      <c r="O66" s="51">
        <v>21</v>
      </c>
      <c r="P66" s="51">
        <v>20.6</v>
      </c>
      <c r="Q66" s="51">
        <v>21.2</v>
      </c>
      <c r="R66" s="51">
        <v>20</v>
      </c>
      <c r="S66" s="51">
        <v>21</v>
      </c>
      <c r="T66" s="51">
        <v>19.2</v>
      </c>
      <c r="U66" s="51">
        <v>19.399999999999999</v>
      </c>
      <c r="V66" s="51">
        <v>20</v>
      </c>
      <c r="W66" s="51">
        <v>21.8</v>
      </c>
      <c r="X66" s="51"/>
      <c r="Y66" s="51"/>
      <c r="Z66" s="111"/>
      <c r="AA66" s="51"/>
      <c r="AB66" s="51"/>
      <c r="AC66" s="51"/>
      <c r="AD66" s="51"/>
      <c r="AE66" s="51"/>
      <c r="AF66" s="51"/>
      <c r="AG66" s="51"/>
      <c r="AH66" s="51"/>
      <c r="AI66" s="51"/>
      <c r="AJ66" s="51"/>
      <c r="AK66" s="51"/>
      <c r="AL66" s="51"/>
      <c r="AM66" s="51"/>
      <c r="AN66" s="51"/>
      <c r="AO66" s="51"/>
      <c r="AP66" s="88">
        <f t="shared" si="1"/>
        <v>13</v>
      </c>
      <c r="AQ66" s="89" t="str">
        <f t="shared" si="2"/>
        <v/>
      </c>
      <c r="AR66" s="89">
        <f>IFERROR(VLOOKUP(A66,Climatologia!A:U,9+$E$2,FALSE),"")</f>
        <v>21.265392804773391</v>
      </c>
      <c r="AS66" s="89" t="str">
        <f t="shared" si="3"/>
        <v/>
      </c>
      <c r="AT66" s="90">
        <f t="shared" si="4"/>
        <v>19.2</v>
      </c>
      <c r="AU66" s="90">
        <f t="array" ref="AU66">IFERROR(
  _xlfn.LET(
    _xlpm.mesTxt, INDEX({"ENERO","FEBRERO","MARZO","ABRIL","MAYO","JUNIO","JULIO","AGOSTO","SEPTIEMBRE","OCTUBRE","NOVIEMBRE","DICIEMBRE"}, E$2),
    _xlpm.colIni, MATCH(_xlpm.mesTxt, Minimos!$1:$1, 0),
    _xlpm.fila, MATCH($A66, Minimos!$A:$A, 0),
    _xlpm.val, INDEX(Minimos!$A:$ZZ, _xlpm.fila, _xlpm.colIni),
    IF(_xlpm.val="", "", _xlpm.val)
  ),
"")</f>
        <v>18.2</v>
      </c>
      <c r="AV66" s="91">
        <f t="array" ref="AV6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MATCH($A66, Minimos!$A:$A, 0),
    _xlpm.anio, INDEX(Minimos!$A:$ZZ, _xlpm.fila, _xlpm.colIni+1),
    _xlpm.dia, INDEX(Minimos!$A:$ZZ, _xlpm.fila, _xlpm.colIni+2),
    IF(OR(_xlpm.anio="",_xlpm.dia=""), "", DATE(_xlpm.anio, _xlpm.mesNum, _xlpm.dia))
  ),
"")</f>
        <v>30931</v>
      </c>
      <c r="AW66" s="92">
        <f t="shared" si="5"/>
        <v>1</v>
      </c>
    </row>
    <row r="67" spans="1:49" ht="14.25" customHeight="1" x14ac:dyDescent="0.2">
      <c r="A67" s="48">
        <v>35095110</v>
      </c>
      <c r="B67" s="52" t="s">
        <v>165</v>
      </c>
      <c r="C67" s="52" t="s">
        <v>150</v>
      </c>
      <c r="D67" s="53">
        <v>-72.915458000000001</v>
      </c>
      <c r="E67" s="53">
        <v>4.65144</v>
      </c>
      <c r="F67" s="48">
        <v>345</v>
      </c>
      <c r="G67" s="46">
        <v>85</v>
      </c>
      <c r="H67" s="46">
        <v>85440</v>
      </c>
      <c r="I67" s="55" t="s">
        <v>166</v>
      </c>
      <c r="J67" s="55" t="s">
        <v>167</v>
      </c>
      <c r="K67" s="51">
        <v>20.2</v>
      </c>
      <c r="L67" s="51">
        <v>21.4</v>
      </c>
      <c r="M67" s="51">
        <v>21.6</v>
      </c>
      <c r="N67" s="51">
        <v>22</v>
      </c>
      <c r="O67" s="51">
        <v>21.8</v>
      </c>
      <c r="P67" s="51">
        <v>20</v>
      </c>
      <c r="Q67" s="51">
        <v>20.100000000000001</v>
      </c>
      <c r="R67" s="51">
        <v>21.1</v>
      </c>
      <c r="S67" s="51">
        <v>22.2</v>
      </c>
      <c r="T67" s="51">
        <v>20.2</v>
      </c>
      <c r="U67" s="51">
        <v>21</v>
      </c>
      <c r="V67" s="51">
        <v>20</v>
      </c>
      <c r="W67" s="51">
        <v>21.6</v>
      </c>
      <c r="X67" s="51"/>
      <c r="Y67" s="51"/>
      <c r="Z67" s="111"/>
      <c r="AA67" s="51"/>
      <c r="AB67" s="51"/>
      <c r="AC67" s="51"/>
      <c r="AD67" s="51"/>
      <c r="AE67" s="51"/>
      <c r="AF67" s="51"/>
      <c r="AG67" s="51"/>
      <c r="AH67" s="51"/>
      <c r="AI67" s="51"/>
      <c r="AJ67" s="51"/>
      <c r="AK67" s="51"/>
      <c r="AL67" s="51"/>
      <c r="AM67" s="51"/>
      <c r="AN67" s="51"/>
      <c r="AO67" s="51"/>
      <c r="AP67" s="88">
        <f t="shared" si="1"/>
        <v>13</v>
      </c>
      <c r="AQ67" s="89" t="str">
        <f t="shared" si="2"/>
        <v/>
      </c>
      <c r="AR67" s="89">
        <f>IFERROR(VLOOKUP(A67,Climatologia!A:U,9+$E$2,FALSE),"")</f>
        <v>21.303087027914611</v>
      </c>
      <c r="AS67" s="89" t="str">
        <f t="shared" si="3"/>
        <v/>
      </c>
      <c r="AT67" s="90">
        <f t="shared" si="4"/>
        <v>20</v>
      </c>
      <c r="AU67" s="90" t="str">
        <f t="array" ref="AU67">IFERROR(
  _xlfn.LET(
    _xlpm.mesTxt, INDEX({"ENERO","FEBRERO","MARZO","ABRIL","MAYO","JUNIO","JULIO","AGOSTO","SEPTIEMBRE","OCTUBRE","NOVIEMBRE","DICIEMBRE"}, E$2),
    _xlpm.colIni, MATCH(_xlpm.mesTxt, Minimos!$1:$1, 0),
    _xlpm.fila, MATCH($A67, Minimos!$A:$A, 0),
    _xlpm.val, INDEX(Minimos!$A:$ZZ, _xlpm.fila, _xlpm.colIni),
    IF(_xlpm.val="", "", _xlpm.val)
  ),
"")</f>
        <v/>
      </c>
      <c r="AV67" s="91" t="str">
        <f t="array" ref="AV6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MATCH($A67,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67" s="92" t="str">
        <f t="shared" si="5"/>
        <v>NA</v>
      </c>
    </row>
    <row r="68" spans="1:49" ht="14.25" customHeight="1" x14ac:dyDescent="0.2">
      <c r="A68" s="48">
        <v>35105050</v>
      </c>
      <c r="B68" s="52" t="s">
        <v>168</v>
      </c>
      <c r="C68" s="52" t="s">
        <v>150</v>
      </c>
      <c r="D68" s="53">
        <v>-72.953639999999993</v>
      </c>
      <c r="E68" s="53">
        <v>4.4686500000000002</v>
      </c>
      <c r="F68" s="48">
        <v>199</v>
      </c>
      <c r="G68" s="46">
        <v>50</v>
      </c>
      <c r="H68" s="46">
        <v>50110</v>
      </c>
      <c r="I68" s="55" t="s">
        <v>95</v>
      </c>
      <c r="J68" s="55" t="s">
        <v>169</v>
      </c>
      <c r="K68" s="51">
        <v>23.6</v>
      </c>
      <c r="L68" s="51">
        <v>22.6</v>
      </c>
      <c r="M68" s="51">
        <v>22.4</v>
      </c>
      <c r="N68" s="51">
        <v>23.8</v>
      </c>
      <c r="O68" s="51">
        <v>22.8</v>
      </c>
      <c r="P68" s="51">
        <v>22.8</v>
      </c>
      <c r="Q68" s="51">
        <v>21.4</v>
      </c>
      <c r="R68" s="51">
        <v>22.8</v>
      </c>
      <c r="S68" s="51">
        <v>24.2</v>
      </c>
      <c r="T68" s="51">
        <v>22.2</v>
      </c>
      <c r="U68" s="51">
        <v>21.4</v>
      </c>
      <c r="V68" s="51">
        <v>22.2</v>
      </c>
      <c r="W68" s="51">
        <v>23.2</v>
      </c>
      <c r="X68" s="51"/>
      <c r="Y68" s="51"/>
      <c r="Z68" s="111"/>
      <c r="AA68" s="51"/>
      <c r="AB68" s="51"/>
      <c r="AC68" s="51"/>
      <c r="AD68" s="51"/>
      <c r="AE68" s="51"/>
      <c r="AF68" s="51"/>
      <c r="AG68" s="51"/>
      <c r="AH68" s="51"/>
      <c r="AI68" s="51"/>
      <c r="AJ68" s="51"/>
      <c r="AK68" s="51"/>
      <c r="AL68" s="51"/>
      <c r="AM68" s="51"/>
      <c r="AN68" s="51"/>
      <c r="AO68" s="51"/>
      <c r="AP68" s="88">
        <f t="shared" si="1"/>
        <v>13</v>
      </c>
      <c r="AQ68" s="89" t="str">
        <f t="shared" si="2"/>
        <v/>
      </c>
      <c r="AR68" s="89">
        <f>IFERROR(VLOOKUP(A68,Climatologia!A:U,9+$E$2,FALSE),"")</f>
        <v>21.233794084615539</v>
      </c>
      <c r="AS68" s="89" t="str">
        <f t="shared" si="3"/>
        <v/>
      </c>
      <c r="AT68" s="90">
        <f t="shared" si="4"/>
        <v>21.4</v>
      </c>
      <c r="AU68" s="90">
        <f t="array" ref="AU68">IFERROR(
  _xlfn.LET(
    _xlpm.mesTxt, INDEX({"ENERO","FEBRERO","MARZO","ABRIL","MAYO","JUNIO","JULIO","AGOSTO","SEPTIEMBRE","OCTUBRE","NOVIEMBRE","DICIEMBRE"}, E$2),
    _xlpm.colIni, MATCH(_xlpm.mesTxt, Minimos!$1:$1, 0),
    _xlpm.fila, MATCH($A68, Minimos!$A:$A, 0),
    _xlpm.val, INDEX(Minimos!$A:$ZZ, _xlpm.fila, _xlpm.colIni),
    IF(_xlpm.val="", "", _xlpm.val)
  ),
"")</f>
        <v>18.399999999999999</v>
      </c>
      <c r="AV68" s="91">
        <f t="array" ref="AV6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MATCH($A68, Minimos!$A:$A, 0),
    _xlpm.anio, INDEX(Minimos!$A:$ZZ, _xlpm.fila, _xlpm.colIni+1),
    _xlpm.dia, INDEX(Minimos!$A:$ZZ, _xlpm.fila, _xlpm.colIni+2),
    IF(OR(_xlpm.anio="",_xlpm.dia=""), "", DATE(_xlpm.anio, _xlpm.mesNum, _xlpm.dia))
  ),
"")</f>
        <v>35323</v>
      </c>
      <c r="AW68" s="92">
        <f t="shared" si="5"/>
        <v>3</v>
      </c>
    </row>
    <row r="69" spans="1:49" ht="14.25" customHeight="1" x14ac:dyDescent="0.2">
      <c r="A69" s="48">
        <v>35225030</v>
      </c>
      <c r="B69" s="52" t="s">
        <v>170</v>
      </c>
      <c r="C69" s="52" t="s">
        <v>150</v>
      </c>
      <c r="D69" s="53">
        <v>-71.433082999999996</v>
      </c>
      <c r="E69" s="53">
        <v>4.9105280000000002</v>
      </c>
      <c r="F69" s="48">
        <v>139</v>
      </c>
      <c r="G69" s="46">
        <v>85</v>
      </c>
      <c r="H69" s="46">
        <v>85230</v>
      </c>
      <c r="I69" s="55" t="s">
        <v>166</v>
      </c>
      <c r="J69" s="55" t="s">
        <v>171</v>
      </c>
      <c r="K69" s="51">
        <v>24.2</v>
      </c>
      <c r="L69" s="51">
        <v>22.3</v>
      </c>
      <c r="M69" s="51">
        <v>24</v>
      </c>
      <c r="N69" s="51">
        <v>23.3</v>
      </c>
      <c r="O69" s="51">
        <v>24</v>
      </c>
      <c r="P69" s="51"/>
      <c r="Q69" s="51">
        <v>23</v>
      </c>
      <c r="R69" s="51">
        <v>23.4</v>
      </c>
      <c r="S69" s="51">
        <v>24.4</v>
      </c>
      <c r="T69" s="51">
        <v>24.3</v>
      </c>
      <c r="U69" s="51">
        <v>22.3</v>
      </c>
      <c r="V69" s="51">
        <v>23.3</v>
      </c>
      <c r="W69" s="51">
        <v>21.3</v>
      </c>
      <c r="X69" s="51"/>
      <c r="Y69" s="51"/>
      <c r="Z69" s="111"/>
      <c r="AA69" s="51"/>
      <c r="AB69" s="51"/>
      <c r="AC69" s="51"/>
      <c r="AD69" s="51"/>
      <c r="AE69" s="51"/>
      <c r="AF69" s="51"/>
      <c r="AG69" s="51"/>
      <c r="AH69" s="51"/>
      <c r="AI69" s="51"/>
      <c r="AJ69" s="51"/>
      <c r="AK69" s="51"/>
      <c r="AL69" s="51"/>
      <c r="AM69" s="51"/>
      <c r="AN69" s="51"/>
      <c r="AO69" s="51"/>
      <c r="AP69" s="88">
        <f t="shared" ref="AP69:AP132" si="6">COUNTIF(K69:AO69,"&gt;0")</f>
        <v>12</v>
      </c>
      <c r="AQ69" s="89" t="str">
        <f t="shared" ref="AQ69:AQ132" si="7">IF(AP69&gt;14,AVERAGE(K69:AO69),"")</f>
        <v/>
      </c>
      <c r="AR69" s="89">
        <f>IFERROR(VLOOKUP(A69,Climatologia!A:U,9+$E$2,FALSE),"")</f>
        <v>22.62335339263911</v>
      </c>
      <c r="AS69" s="89" t="str">
        <f t="shared" ref="AS69:AS132" si="8">IF(OR(AQ69="",AR69=""),"",IFERROR(AQ69-AR69,""))</f>
        <v/>
      </c>
      <c r="AT69" s="90">
        <f t="shared" ref="AT69:AT132" si="9">IF(COUNT(K69:AO69)=0,"",MIN(K69:AO69))</f>
        <v>21.3</v>
      </c>
      <c r="AU69" s="90">
        <f t="array" ref="AU69">IFERROR(
  _xlfn.LET(
    _xlpm.mesTxt, INDEX({"ENERO","FEBRERO","MARZO","ABRIL","MAYO","JUNIO","JULIO","AGOSTO","SEPTIEMBRE","OCTUBRE","NOVIEMBRE","DICIEMBRE"}, E$2),
    _xlpm.colIni, MATCH(_xlpm.mesTxt, Minimos!$1:$1, 0),
    _xlpm.fila, MATCH($A69, Minimos!$A:$A, 0),
    _xlpm.val, INDEX(Minimos!$A:$ZZ, _xlpm.fila, _xlpm.colIni),
    IF(_xlpm.val="", "", _xlpm.val)
  ),
"")</f>
        <v>14</v>
      </c>
      <c r="AV69" s="91">
        <f t="array" ref="AV6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MATCH($A69, Minimos!$A:$A, 0),
    _xlpm.anio, INDEX(Minimos!$A:$ZZ, _xlpm.fila, _xlpm.colIni+1),
    _xlpm.dia, INDEX(Minimos!$A:$ZZ, _xlpm.fila, _xlpm.colIni+2),
    IF(OR(_xlpm.anio="",_xlpm.dia=""), "", DATE(_xlpm.anio, _xlpm.mesNum, _xlpm.dia))
  ),
"")</f>
        <v>30207</v>
      </c>
      <c r="AW69" s="92">
        <f t="shared" ref="AW69:AW132" si="10">IF(OR(AT69="",AU69=""),"NA",IFERROR(AT69-AU69,"NA"))</f>
        <v>7.3000000000000007</v>
      </c>
    </row>
    <row r="70" spans="1:49" ht="14.25" customHeight="1" x14ac:dyDescent="0.2">
      <c r="A70" s="48">
        <v>42075010</v>
      </c>
      <c r="B70" s="52" t="s">
        <v>172</v>
      </c>
      <c r="C70" s="52" t="s">
        <v>150</v>
      </c>
      <c r="D70" s="53">
        <v>-70.239204000000001</v>
      </c>
      <c r="E70" s="53">
        <v>1.2597020000000001</v>
      </c>
      <c r="F70" s="48">
        <v>168</v>
      </c>
      <c r="G70" s="46">
        <v>97</v>
      </c>
      <c r="H70" s="46">
        <v>97001</v>
      </c>
      <c r="I70" s="55" t="s">
        <v>173</v>
      </c>
      <c r="J70" s="55" t="s">
        <v>174</v>
      </c>
      <c r="K70" s="51">
        <v>23.3</v>
      </c>
      <c r="L70" s="51">
        <v>23.3</v>
      </c>
      <c r="M70" s="51">
        <v>22.3</v>
      </c>
      <c r="N70" s="51">
        <v>21.3</v>
      </c>
      <c r="O70" s="51">
        <v>21.3</v>
      </c>
      <c r="P70" s="51">
        <v>21.3</v>
      </c>
      <c r="Q70" s="51">
        <v>21.2</v>
      </c>
      <c r="R70" s="51">
        <v>21.1</v>
      </c>
      <c r="S70" s="51">
        <v>22</v>
      </c>
      <c r="T70" s="51">
        <v>22.2</v>
      </c>
      <c r="U70" s="51">
        <v>22.3</v>
      </c>
      <c r="V70" s="51">
        <v>22.3</v>
      </c>
      <c r="W70" s="51">
        <v>22.4</v>
      </c>
      <c r="X70" s="51"/>
      <c r="Y70" s="51"/>
      <c r="Z70" s="111"/>
      <c r="AA70" s="51"/>
      <c r="AB70" s="51"/>
      <c r="AC70" s="51"/>
      <c r="AD70" s="51"/>
      <c r="AE70" s="51"/>
      <c r="AF70" s="51"/>
      <c r="AG70" s="51"/>
      <c r="AH70" s="51"/>
      <c r="AI70" s="51"/>
      <c r="AJ70" s="51"/>
      <c r="AK70" s="51"/>
      <c r="AL70" s="51"/>
      <c r="AM70" s="51"/>
      <c r="AN70" s="51"/>
      <c r="AO70" s="51"/>
      <c r="AP70" s="88">
        <f t="shared" si="6"/>
        <v>13</v>
      </c>
      <c r="AQ70" s="89" t="str">
        <f t="shared" si="7"/>
        <v/>
      </c>
      <c r="AR70" s="89">
        <f>IFERROR(VLOOKUP(A70,Climatologia!A:U,9+$E$2,FALSE),"")</f>
        <v>21.58913993796752</v>
      </c>
      <c r="AS70" s="89" t="str">
        <f t="shared" si="8"/>
        <v/>
      </c>
      <c r="AT70" s="90">
        <f t="shared" si="9"/>
        <v>21.1</v>
      </c>
      <c r="AU70" s="90">
        <f t="array" ref="AU70">IFERROR(
  _xlfn.LET(
    _xlpm.mesTxt, INDEX({"ENERO","FEBRERO","MARZO","ABRIL","MAYO","JUNIO","JULIO","AGOSTO","SEPTIEMBRE","OCTUBRE","NOVIEMBRE","DICIEMBRE"}, E$2),
    _xlpm.colIni, MATCH(_xlpm.mesTxt, Minimos!$1:$1, 0),
    _xlpm.fila, MATCH($A70, Minimos!$A:$A, 0),
    _xlpm.val, INDEX(Minimos!$A:$ZZ, _xlpm.fila, _xlpm.colIni),
    IF(_xlpm.val="", "", _xlpm.val)
  ),
"")</f>
        <v>17.2</v>
      </c>
      <c r="AV70" s="91">
        <f t="array" ref="AV7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MATCH($A70, Minimos!$A:$A, 0),
    _xlpm.anio, INDEX(Minimos!$A:$ZZ, _xlpm.fila, _xlpm.colIni+1),
    _xlpm.dia, INDEX(Minimos!$A:$ZZ, _xlpm.fila, _xlpm.colIni+2),
    IF(OR(_xlpm.anio="",_xlpm.dia=""), "", DATE(_xlpm.anio, _xlpm.mesNum, _xlpm.dia))
  ),
"")</f>
        <v>37136</v>
      </c>
      <c r="AW70" s="92">
        <f t="shared" si="10"/>
        <v>3.9000000000000021</v>
      </c>
    </row>
    <row r="71" spans="1:49" ht="14.25" customHeight="1" x14ac:dyDescent="0.2">
      <c r="A71" s="48">
        <v>3502500006</v>
      </c>
      <c r="B71" s="52" t="s">
        <v>175</v>
      </c>
      <c r="C71" s="52" t="s">
        <v>150</v>
      </c>
      <c r="D71" s="53">
        <v>-73.242963888999995</v>
      </c>
      <c r="E71" s="53">
        <v>3.9325472220000002</v>
      </c>
      <c r="F71" s="48">
        <v>277</v>
      </c>
      <c r="G71" s="46">
        <v>50</v>
      </c>
      <c r="H71" s="46">
        <v>50680</v>
      </c>
      <c r="I71" s="55" t="s">
        <v>95</v>
      </c>
      <c r="J71" s="55" t="s">
        <v>176</v>
      </c>
      <c r="K71" s="51">
        <v>20.8</v>
      </c>
      <c r="L71" s="51">
        <v>21.8</v>
      </c>
      <c r="M71" s="51">
        <v>20.8</v>
      </c>
      <c r="N71" s="51">
        <v>20.8</v>
      </c>
      <c r="O71" s="51">
        <v>21</v>
      </c>
      <c r="P71" s="51">
        <v>20.8</v>
      </c>
      <c r="Q71" s="51"/>
      <c r="R71" s="51">
        <v>20.6</v>
      </c>
      <c r="S71" s="51">
        <v>22.6</v>
      </c>
      <c r="T71" s="51">
        <v>20.6</v>
      </c>
      <c r="U71" s="51">
        <v>20.399999999999999</v>
      </c>
      <c r="V71" s="51">
        <v>21.4</v>
      </c>
      <c r="W71" s="51"/>
      <c r="X71" s="51"/>
      <c r="Y71" s="51"/>
      <c r="Z71" s="111"/>
      <c r="AA71" s="51"/>
      <c r="AB71" s="51"/>
      <c r="AC71" s="51"/>
      <c r="AD71" s="51"/>
      <c r="AE71" s="51"/>
      <c r="AF71" s="51"/>
      <c r="AG71" s="51"/>
      <c r="AH71" s="51"/>
      <c r="AI71" s="51"/>
      <c r="AJ71" s="51"/>
      <c r="AK71" s="51"/>
      <c r="AL71" s="51"/>
      <c r="AM71" s="51"/>
      <c r="AN71" s="51"/>
      <c r="AO71" s="51"/>
      <c r="AP71" s="88">
        <f t="shared" si="6"/>
        <v>11</v>
      </c>
      <c r="AQ71" s="89" t="str">
        <f t="shared" si="7"/>
        <v/>
      </c>
      <c r="AR71" s="89" t="str">
        <f>IFERROR(VLOOKUP(A71,Climatologia!A:U,9+$E$2,FALSE),"")</f>
        <v/>
      </c>
      <c r="AS71" s="89" t="str">
        <f t="shared" si="8"/>
        <v/>
      </c>
      <c r="AT71" s="90">
        <f t="shared" si="9"/>
        <v>20.399999999999999</v>
      </c>
      <c r="AU71" s="90">
        <f t="array" ref="AU71">IFERROR(
  _xlfn.LET(
    _xlpm.mesTxt, INDEX({"ENERO","FEBRERO","MARZO","ABRIL","MAYO","JUNIO","JULIO","AGOSTO","SEPTIEMBRE","OCTUBRE","NOVIEMBRE","DICIEMBRE"}, E$2),
    _xlpm.colIni, MATCH(_xlpm.mesTxt, Minimos!$1:$1, 0),
    _xlpm.fila, MATCH($A71, Minimos!$A:$A, 0),
    _xlpm.val, INDEX(Minimos!$A:$ZZ, _xlpm.fila, _xlpm.colIni),
    IF(_xlpm.val="", "", _xlpm.val)
  ),
"")</f>
        <v>19</v>
      </c>
      <c r="AV71" s="91">
        <f t="array" ref="AV7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MATCH($A71, Minimos!$A:$A, 0),
    _xlpm.anio, INDEX(Minimos!$A:$ZZ, _xlpm.fila, _xlpm.colIni+1),
    _xlpm.dia, INDEX(Minimos!$A:$ZZ, _xlpm.fila, _xlpm.colIni+2),
    IF(OR(_xlpm.anio="",_xlpm.dia=""), "", DATE(_xlpm.anio, _xlpm.mesNum, _xlpm.dia))
  ),
"")</f>
        <v>44091</v>
      </c>
      <c r="AW71" s="92">
        <f t="shared" si="10"/>
        <v>1.3999999999999986</v>
      </c>
    </row>
    <row r="72" spans="1:49" ht="14.25" customHeight="1" x14ac:dyDescent="0.2">
      <c r="A72" s="48">
        <v>21025030</v>
      </c>
      <c r="B72" s="52" t="s">
        <v>177</v>
      </c>
      <c r="C72" s="52" t="s">
        <v>178</v>
      </c>
      <c r="D72" s="53">
        <v>-75.736222220000002</v>
      </c>
      <c r="E72" s="53">
        <v>2.079166667</v>
      </c>
      <c r="F72" s="48">
        <v>1368</v>
      </c>
      <c r="G72" s="46">
        <v>41</v>
      </c>
      <c r="H72" s="46">
        <v>41026</v>
      </c>
      <c r="I72" s="55" t="s">
        <v>79</v>
      </c>
      <c r="J72" s="55" t="s">
        <v>179</v>
      </c>
      <c r="K72" s="51">
        <v>18.2</v>
      </c>
      <c r="L72" s="51">
        <v>16.399999999999999</v>
      </c>
      <c r="M72" s="51">
        <v>17.2</v>
      </c>
      <c r="N72" s="51">
        <v>18.2</v>
      </c>
      <c r="O72" s="51">
        <v>17.2</v>
      </c>
      <c r="P72" s="51">
        <v>17.399999999999999</v>
      </c>
      <c r="Q72" s="51">
        <v>17</v>
      </c>
      <c r="R72" s="51">
        <v>17.2</v>
      </c>
      <c r="S72" s="51">
        <v>18.399999999999999</v>
      </c>
      <c r="T72" s="51">
        <v>17.399999999999999</v>
      </c>
      <c r="U72" s="51">
        <v>18</v>
      </c>
      <c r="V72" s="51">
        <v>18.2</v>
      </c>
      <c r="W72" s="51">
        <v>20.399999999999999</v>
      </c>
      <c r="X72" s="51"/>
      <c r="Y72" s="51"/>
      <c r="Z72" s="111"/>
      <c r="AA72" s="51"/>
      <c r="AB72" s="51"/>
      <c r="AC72" s="51"/>
      <c r="AD72" s="51"/>
      <c r="AE72" s="51"/>
      <c r="AF72" s="51"/>
      <c r="AG72" s="51"/>
      <c r="AH72" s="51"/>
      <c r="AI72" s="51"/>
      <c r="AJ72" s="51"/>
      <c r="AK72" s="51"/>
      <c r="AL72" s="51"/>
      <c r="AM72" s="51"/>
      <c r="AN72" s="51"/>
      <c r="AO72" s="51"/>
      <c r="AP72" s="88">
        <f t="shared" si="6"/>
        <v>13</v>
      </c>
      <c r="AQ72" s="89" t="str">
        <f t="shared" si="7"/>
        <v/>
      </c>
      <c r="AR72" s="89">
        <f>IFERROR(VLOOKUP(A72,Climatologia!A:U,9+$E$2,FALSE),"")</f>
        <v>16.856863660477451</v>
      </c>
      <c r="AS72" s="89" t="str">
        <f t="shared" si="8"/>
        <v/>
      </c>
      <c r="AT72" s="90">
        <f t="shared" si="9"/>
        <v>16.399999999999999</v>
      </c>
      <c r="AU72" s="90">
        <f t="array" ref="AU72">IFERROR(
  _xlfn.LET(
    _xlpm.mesTxt, INDEX({"ENERO","FEBRERO","MARZO","ABRIL","MAYO","JUNIO","JULIO","AGOSTO","SEPTIEMBRE","OCTUBRE","NOVIEMBRE","DICIEMBRE"}, E$2),
    _xlpm.colIni, MATCH(_xlpm.mesTxt, Minimos!$1:$1, 0),
    _xlpm.fila, MATCH($A72, Minimos!$A:$A, 0),
    _xlpm.val, INDEX(Minimos!$A:$ZZ, _xlpm.fila, _xlpm.colIni),
    IF(_xlpm.val="", "", _xlpm.val)
  ),
"")</f>
        <v>14.2</v>
      </c>
      <c r="AV72" s="91">
        <f t="array" ref="AV7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MATCH($A72, Minimos!$A:$A, 0),
    _xlpm.anio, INDEX(Minimos!$A:$ZZ, _xlpm.fila, _xlpm.colIni+1),
    _xlpm.dia, INDEX(Minimos!$A:$ZZ, _xlpm.fila, _xlpm.colIni+2),
    IF(OR(_xlpm.anio="",_xlpm.dia=""), "", DATE(_xlpm.anio, _xlpm.mesNum, _xlpm.dia))
  ),
"")</f>
        <v>37510</v>
      </c>
      <c r="AW72" s="92">
        <f t="shared" si="10"/>
        <v>2.1999999999999993</v>
      </c>
    </row>
    <row r="73" spans="1:49" ht="14.25" customHeight="1" x14ac:dyDescent="0.2">
      <c r="A73" s="48">
        <v>21055030</v>
      </c>
      <c r="B73" s="52" t="s">
        <v>180</v>
      </c>
      <c r="C73" s="52" t="s">
        <v>178</v>
      </c>
      <c r="D73" s="53">
        <v>-76.16</v>
      </c>
      <c r="E73" s="53">
        <v>2.2400000000000002</v>
      </c>
      <c r="F73" s="48">
        <v>2085</v>
      </c>
      <c r="G73" s="46">
        <v>19</v>
      </c>
      <c r="H73" s="46">
        <v>19355</v>
      </c>
      <c r="I73" s="55" t="s">
        <v>181</v>
      </c>
      <c r="J73" s="55" t="s">
        <v>182</v>
      </c>
      <c r="K73" s="51">
        <v>11.2</v>
      </c>
      <c r="L73" s="51">
        <v>11.2</v>
      </c>
      <c r="M73" s="51">
        <v>13</v>
      </c>
      <c r="N73" s="51">
        <v>12.2</v>
      </c>
      <c r="O73" s="51">
        <v>12.4</v>
      </c>
      <c r="P73" s="51">
        <v>12.2</v>
      </c>
      <c r="Q73" s="51">
        <v>12</v>
      </c>
      <c r="R73" s="51">
        <v>11.6</v>
      </c>
      <c r="S73" s="51">
        <v>12.4</v>
      </c>
      <c r="T73" s="51">
        <v>11.4</v>
      </c>
      <c r="U73" s="51">
        <v>12.6</v>
      </c>
      <c r="V73" s="51">
        <v>11</v>
      </c>
      <c r="W73" s="51">
        <v>12</v>
      </c>
      <c r="X73" s="51"/>
      <c r="Y73" s="51"/>
      <c r="Z73" s="111"/>
      <c r="AA73" s="51"/>
      <c r="AB73" s="51"/>
      <c r="AC73" s="51"/>
      <c r="AD73" s="51"/>
      <c r="AE73" s="51"/>
      <c r="AF73" s="51"/>
      <c r="AG73" s="51"/>
      <c r="AH73" s="51"/>
      <c r="AI73" s="51"/>
      <c r="AJ73" s="51"/>
      <c r="AK73" s="51"/>
      <c r="AL73" s="51"/>
      <c r="AM73" s="51"/>
      <c r="AN73" s="51"/>
      <c r="AO73" s="51"/>
      <c r="AP73" s="88">
        <f t="shared" si="6"/>
        <v>13</v>
      </c>
      <c r="AQ73" s="89" t="str">
        <f t="shared" si="7"/>
        <v/>
      </c>
      <c r="AR73" s="89">
        <f>IFERROR(VLOOKUP(A73,Climatologia!A:U,9+$E$2,FALSE),"")</f>
        <v>11.565427904789971</v>
      </c>
      <c r="AS73" s="89" t="str">
        <f t="shared" si="8"/>
        <v/>
      </c>
      <c r="AT73" s="90">
        <f t="shared" si="9"/>
        <v>11</v>
      </c>
      <c r="AU73" s="90">
        <f t="array" ref="AU73">IFERROR(
  _xlfn.LET(
    _xlpm.mesTxt, INDEX({"ENERO","FEBRERO","MARZO","ABRIL","MAYO","JUNIO","JULIO","AGOSTO","SEPTIEMBRE","OCTUBRE","NOVIEMBRE","DICIEMBRE"}, E$2),
    _xlpm.colIni, MATCH(_xlpm.mesTxt, Minimos!$1:$1, 0),
    _xlpm.fila, MATCH($A73, Minimos!$A:$A, 0),
    _xlpm.val, INDEX(Minimos!$A:$ZZ, _xlpm.fila, _xlpm.colIni),
    IF(_xlpm.val="", "", _xlpm.val)
  ),
"")</f>
        <v>8</v>
      </c>
      <c r="AV73" s="91">
        <f t="array" ref="AV7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MATCH($A73, Minimos!$A:$A, 0),
    _xlpm.anio, INDEX(Minimos!$A:$ZZ, _xlpm.fila, _xlpm.colIni+1),
    _xlpm.dia, INDEX(Minimos!$A:$ZZ, _xlpm.fila, _xlpm.colIni+2),
    IF(OR(_xlpm.anio="",_xlpm.dia=""), "", DATE(_xlpm.anio, _xlpm.mesNum, _xlpm.dia))
  ),
"")</f>
        <v>34218</v>
      </c>
      <c r="AW73" s="92">
        <f t="shared" si="10"/>
        <v>3</v>
      </c>
    </row>
    <row r="74" spans="1:49" ht="14.25" customHeight="1" x14ac:dyDescent="0.2">
      <c r="A74" s="48">
        <v>21065040</v>
      </c>
      <c r="B74" s="52" t="s">
        <v>183</v>
      </c>
      <c r="C74" s="52" t="s">
        <v>178</v>
      </c>
      <c r="D74" s="53">
        <v>-75.529444440000006</v>
      </c>
      <c r="E74" s="53">
        <v>2.2524999999999999</v>
      </c>
      <c r="F74" s="48">
        <v>1270</v>
      </c>
      <c r="G74" s="46">
        <v>41</v>
      </c>
      <c r="H74" s="46">
        <v>41298</v>
      </c>
      <c r="I74" s="55" t="s">
        <v>79</v>
      </c>
      <c r="J74" s="55" t="s">
        <v>184</v>
      </c>
      <c r="K74" s="51">
        <v>14.2</v>
      </c>
      <c r="L74" s="51">
        <v>14</v>
      </c>
      <c r="M74" s="51">
        <v>17.2</v>
      </c>
      <c r="N74" s="51">
        <v>16.2</v>
      </c>
      <c r="O74" s="51">
        <v>17.2</v>
      </c>
      <c r="P74" s="51">
        <v>17</v>
      </c>
      <c r="Q74" s="51">
        <v>15.2</v>
      </c>
      <c r="R74" s="51">
        <v>14</v>
      </c>
      <c r="S74" s="51">
        <v>17.2</v>
      </c>
      <c r="T74" s="51">
        <v>14.8</v>
      </c>
      <c r="U74" s="51">
        <v>16.899999999999999</v>
      </c>
      <c r="V74" s="51">
        <v>14.2</v>
      </c>
      <c r="W74" s="51">
        <v>16.2</v>
      </c>
      <c r="X74" s="51"/>
      <c r="Y74" s="51"/>
      <c r="Z74" s="11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88">
        <f t="shared" si="6"/>
        <v>13</v>
      </c>
      <c r="AQ74" s="89" t="str">
        <f t="shared" si="7"/>
        <v/>
      </c>
      <c r="AR74" s="89">
        <f>IFERROR(VLOOKUP(A74,Climatologia!A:U,9+$E$2,FALSE),"")</f>
        <v>15.41515998624619</v>
      </c>
      <c r="AS74" s="89" t="str">
        <f t="shared" si="8"/>
        <v/>
      </c>
      <c r="AT74" s="90">
        <f t="shared" si="9"/>
        <v>14</v>
      </c>
      <c r="AU74" s="90">
        <f t="array" ref="AU74">IFERROR(
  _xlfn.LET(
    _xlpm.mesTxt, INDEX({"ENERO","FEBRERO","MARZO","ABRIL","MAYO","JUNIO","JULIO","AGOSTO","SEPTIEMBRE","OCTUBRE","NOVIEMBRE","DICIEMBRE"}, E$2),
    _xlpm.colIni, MATCH(_xlpm.mesTxt, Minimos!$1:$1, 0),
    _xlpm.fila, MATCH($A74, Minimos!$A:$A, 0),
    _xlpm.val, INDEX(Minimos!$A:$ZZ, _xlpm.fila, _xlpm.colIni),
    IF(_xlpm.val="", "", _xlpm.val)
  ),
"")</f>
        <v>11.4</v>
      </c>
      <c r="AV74" s="91">
        <f t="array" ref="AV7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MATCH($A74, Minimos!$A:$A, 0),
    _xlpm.anio, INDEX(Minimos!$A:$ZZ, _xlpm.fila, _xlpm.colIni+1),
    _xlpm.dia, INDEX(Minimos!$A:$ZZ, _xlpm.fila, _xlpm.colIni+2),
    IF(OR(_xlpm.anio="",_xlpm.dia=""), "", DATE(_xlpm.anio, _xlpm.mesNum, _xlpm.dia))
  ),
"")</f>
        <v>30571</v>
      </c>
      <c r="AW74" s="92">
        <f t="shared" si="10"/>
        <v>2.5999999999999996</v>
      </c>
    </row>
    <row r="75" spans="1:49" ht="14.25" customHeight="1" x14ac:dyDescent="0.2">
      <c r="A75" s="48">
        <v>21115100</v>
      </c>
      <c r="B75" s="52" t="s">
        <v>185</v>
      </c>
      <c r="C75" s="52" t="s">
        <v>178</v>
      </c>
      <c r="D75" s="53">
        <v>-75.066388889999999</v>
      </c>
      <c r="E75" s="53">
        <v>2.9426388889999999</v>
      </c>
      <c r="F75" s="48">
        <v>1100</v>
      </c>
      <c r="G75" s="46">
        <v>41</v>
      </c>
      <c r="H75" s="46">
        <v>41001</v>
      </c>
      <c r="I75" s="55" t="s">
        <v>79</v>
      </c>
      <c r="J75" s="55" t="s">
        <v>80</v>
      </c>
      <c r="K75" s="51">
        <v>18</v>
      </c>
      <c r="L75" s="51">
        <v>16</v>
      </c>
      <c r="M75" s="51">
        <v>15.8</v>
      </c>
      <c r="N75" s="51">
        <v>18.2</v>
      </c>
      <c r="O75" s="51">
        <v>17.8</v>
      </c>
      <c r="P75" s="51">
        <v>18</v>
      </c>
      <c r="Q75" s="51">
        <v>17</v>
      </c>
      <c r="R75" s="51">
        <v>15.4</v>
      </c>
      <c r="S75" s="51">
        <v>18</v>
      </c>
      <c r="T75" s="51">
        <v>17.600000000000001</v>
      </c>
      <c r="U75" s="51">
        <v>16.2</v>
      </c>
      <c r="V75" s="51">
        <v>17.2</v>
      </c>
      <c r="W75" s="51">
        <v>17.8</v>
      </c>
      <c r="X75" s="51"/>
      <c r="Y75" s="51"/>
      <c r="Z75" s="111"/>
      <c r="AA75" s="51"/>
      <c r="AB75" s="51"/>
      <c r="AC75" s="51"/>
      <c r="AD75" s="51"/>
      <c r="AE75" s="51"/>
      <c r="AF75" s="51"/>
      <c r="AG75" s="51"/>
      <c r="AH75" s="51"/>
      <c r="AI75" s="51"/>
      <c r="AJ75" s="51"/>
      <c r="AK75" s="51"/>
      <c r="AL75" s="116"/>
      <c r="AM75" s="51"/>
      <c r="AN75" s="51"/>
      <c r="AO75" s="51"/>
      <c r="AP75" s="88">
        <f t="shared" si="6"/>
        <v>13</v>
      </c>
      <c r="AQ75" s="89" t="str">
        <f t="shared" si="7"/>
        <v/>
      </c>
      <c r="AR75" s="89">
        <f>IFERROR(VLOOKUP(A75,Climatologia!A:U,9+$E$2,FALSE),"")</f>
        <v>18.656310283027459</v>
      </c>
      <c r="AS75" s="89" t="str">
        <f t="shared" si="8"/>
        <v/>
      </c>
      <c r="AT75" s="90">
        <f t="shared" si="9"/>
        <v>15.4</v>
      </c>
      <c r="AU75" s="90">
        <f t="array" ref="AU75">IFERROR(
  _xlfn.LET(
    _xlpm.mesTxt, INDEX({"ENERO","FEBRERO","MARZO","ABRIL","MAYO","JUNIO","JULIO","AGOSTO","SEPTIEMBRE","OCTUBRE","NOVIEMBRE","DICIEMBRE"}, E$2),
    _xlpm.colIni, MATCH(_xlpm.mesTxt, Minimos!$1:$1, 0),
    _xlpm.fila, MATCH($A75, Minimos!$A:$A, 0),
    _xlpm.val, INDEX(Minimos!$A:$ZZ, _xlpm.fila, _xlpm.colIni),
    IF(_xlpm.val="", "", _xlpm.val)
  ),
"")</f>
        <v>14.6</v>
      </c>
      <c r="AV75" s="91">
        <f t="array" ref="AV7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MATCH($A75, Minimos!$A:$A, 0),
    _xlpm.anio, INDEX(Minimos!$A:$ZZ, _xlpm.fila, _xlpm.colIni+1),
    _xlpm.dia, INDEX(Minimos!$A:$ZZ, _xlpm.fila, _xlpm.colIni+2),
    IF(OR(_xlpm.anio="",_xlpm.dia=""), "", DATE(_xlpm.anio, _xlpm.mesNum, _xlpm.dia))
  ),
"")</f>
        <v>33873</v>
      </c>
      <c r="AW75" s="92">
        <f t="shared" si="10"/>
        <v>0.80000000000000071</v>
      </c>
    </row>
    <row r="76" spans="1:49" ht="14.25" customHeight="1" x14ac:dyDescent="0.2">
      <c r="A76" s="48">
        <v>21135030</v>
      </c>
      <c r="B76" s="52" t="s">
        <v>186</v>
      </c>
      <c r="C76" s="52" t="s">
        <v>178</v>
      </c>
      <c r="D76" s="53">
        <v>-75.108999999999995</v>
      </c>
      <c r="E76" s="53">
        <v>3.5738333330000001</v>
      </c>
      <c r="F76" s="48">
        <v>415</v>
      </c>
      <c r="G76" s="46">
        <v>73</v>
      </c>
      <c r="H76" s="46">
        <v>73483</v>
      </c>
      <c r="I76" s="55" t="s">
        <v>70</v>
      </c>
      <c r="J76" s="55" t="s">
        <v>187</v>
      </c>
      <c r="K76" s="51">
        <v>26</v>
      </c>
      <c r="L76" s="51">
        <v>25.8</v>
      </c>
      <c r="M76" s="51">
        <v>24</v>
      </c>
      <c r="N76" s="51">
        <v>27.8</v>
      </c>
      <c r="O76" s="51">
        <v>28.8</v>
      </c>
      <c r="P76" s="51">
        <v>28.8</v>
      </c>
      <c r="Q76" s="51">
        <v>29</v>
      </c>
      <c r="R76" s="51">
        <v>24</v>
      </c>
      <c r="S76" s="51">
        <v>28.6</v>
      </c>
      <c r="T76" s="51">
        <v>27.4</v>
      </c>
      <c r="U76" s="51">
        <v>29</v>
      </c>
      <c r="V76" s="51">
        <v>26.4</v>
      </c>
      <c r="W76" s="51">
        <v>28.6</v>
      </c>
      <c r="X76" s="51"/>
      <c r="Y76" s="51"/>
      <c r="Z76" s="111"/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88">
        <f t="shared" si="6"/>
        <v>13</v>
      </c>
      <c r="AQ76" s="89" t="str">
        <f t="shared" si="7"/>
        <v/>
      </c>
      <c r="AR76" s="89">
        <f>IFERROR(VLOOKUP(A76,Climatologia!A:U,9+$E$2,FALSE),"")</f>
        <v>24.258489020705198</v>
      </c>
      <c r="AS76" s="89" t="str">
        <f t="shared" si="8"/>
        <v/>
      </c>
      <c r="AT76" s="90">
        <f t="shared" si="9"/>
        <v>24</v>
      </c>
      <c r="AU76" s="90">
        <f t="array" ref="AU76">IFERROR(
  _xlfn.LET(
    _xlpm.mesTxt, INDEX({"ENERO","FEBRERO","MARZO","ABRIL","MAYO","JUNIO","JULIO","AGOSTO","SEPTIEMBRE","OCTUBRE","NOVIEMBRE","DICIEMBRE"}, E$2),
    _xlpm.colIni, MATCH(_xlpm.mesTxt, Minimos!$1:$1, 0),
    _xlpm.fila, MATCH($A76, Minimos!$A:$A, 0),
    _xlpm.val, INDEX(Minimos!$A:$ZZ, _xlpm.fila, _xlpm.colIni),
    IF(_xlpm.val="", "", _xlpm.val)
  ),
"")</f>
        <v>18.600000000000001</v>
      </c>
      <c r="AV76" s="91">
        <f t="array" ref="AV7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MATCH($A76, Minimos!$A:$A, 0),
    _xlpm.anio, INDEX(Minimos!$A:$ZZ, _xlpm.fila, _xlpm.colIni+1),
    _xlpm.dia, INDEX(Minimos!$A:$ZZ, _xlpm.fila, _xlpm.colIni+2),
    IF(OR(_xlpm.anio="",_xlpm.dia=""), "", DATE(_xlpm.anio, _xlpm.mesNum, _xlpm.dia))
  ),
"")</f>
        <v>29833</v>
      </c>
      <c r="AW76" s="92">
        <f t="shared" si="10"/>
        <v>5.3999999999999986</v>
      </c>
    </row>
    <row r="77" spans="1:49" ht="14.25" customHeight="1" x14ac:dyDescent="0.2">
      <c r="A77" s="48">
        <v>21145040</v>
      </c>
      <c r="B77" s="52" t="s">
        <v>188</v>
      </c>
      <c r="C77" s="52" t="s">
        <v>178</v>
      </c>
      <c r="D77" s="53">
        <v>-75.110111110000005</v>
      </c>
      <c r="E77" s="53">
        <v>3.3733611109999999</v>
      </c>
      <c r="F77" s="48">
        <v>440</v>
      </c>
      <c r="G77" s="46">
        <v>41</v>
      </c>
      <c r="H77" s="46">
        <v>41872</v>
      </c>
      <c r="I77" s="55" t="s">
        <v>79</v>
      </c>
      <c r="J77" s="55" t="s">
        <v>189</v>
      </c>
      <c r="K77" s="51">
        <v>24.6</v>
      </c>
      <c r="L77" s="51">
        <v>23.6</v>
      </c>
      <c r="M77" s="51">
        <v>22.6</v>
      </c>
      <c r="N77" s="51">
        <v>24.8</v>
      </c>
      <c r="O77" s="51">
        <v>24.8</v>
      </c>
      <c r="P77" s="51">
        <v>27.8</v>
      </c>
      <c r="Q77" s="51">
        <v>27.4</v>
      </c>
      <c r="R77" s="51">
        <v>24.6</v>
      </c>
      <c r="S77" s="51">
        <v>27.4</v>
      </c>
      <c r="T77" s="51">
        <v>25.4</v>
      </c>
      <c r="U77" s="51">
        <v>26.2</v>
      </c>
      <c r="V77" s="51">
        <v>26</v>
      </c>
      <c r="W77" s="51">
        <v>26.6</v>
      </c>
      <c r="X77" s="51"/>
      <c r="Y77" s="51"/>
      <c r="Z77" s="111"/>
      <c r="AA77" s="51"/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N77" s="51"/>
      <c r="AO77" s="51"/>
      <c r="AP77" s="88">
        <f t="shared" si="6"/>
        <v>13</v>
      </c>
      <c r="AQ77" s="89" t="str">
        <f t="shared" si="7"/>
        <v/>
      </c>
      <c r="AR77" s="89">
        <f>IFERROR(VLOOKUP(A77,Climatologia!A:U,9+$E$2,FALSE),"")</f>
        <v>23.486005023711911</v>
      </c>
      <c r="AS77" s="89" t="str">
        <f t="shared" si="8"/>
        <v/>
      </c>
      <c r="AT77" s="90">
        <f t="shared" si="9"/>
        <v>22.6</v>
      </c>
      <c r="AU77" s="90">
        <f t="array" ref="AU77">IFERROR(
  _xlfn.LET(
    _xlpm.mesTxt, INDEX({"ENERO","FEBRERO","MARZO","ABRIL","MAYO","JUNIO","JULIO","AGOSTO","SEPTIEMBRE","OCTUBRE","NOVIEMBRE","DICIEMBRE"}, E$2),
    _xlpm.colIni, MATCH(_xlpm.mesTxt, Minimos!$1:$1, 0),
    _xlpm.fila, MATCH($A77, Minimos!$A:$A, 0),
    _xlpm.val, INDEX(Minimos!$A:$ZZ, _xlpm.fila, _xlpm.colIni),
    IF(_xlpm.val="", "", _xlpm.val)
  ),
"")</f>
        <v>18</v>
      </c>
      <c r="AV77" s="91">
        <f t="array" ref="AV7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MATCH($A77, Minimos!$A:$A, 0),
    _xlpm.anio, INDEX(Minimos!$A:$ZZ, _xlpm.fila, _xlpm.colIni+1),
    _xlpm.dia, INDEX(Minimos!$A:$ZZ, _xlpm.fila, _xlpm.colIni+2),
    IF(OR(_xlpm.anio="",_xlpm.dia=""), "", DATE(_xlpm.anio, _xlpm.mesNum, _xlpm.dia))
  ),
"")</f>
        <v>29099</v>
      </c>
      <c r="AW77" s="92">
        <f t="shared" si="10"/>
        <v>4.6000000000000014</v>
      </c>
    </row>
    <row r="78" spans="1:49" ht="14.25" customHeight="1" x14ac:dyDescent="0.2">
      <c r="A78" s="48">
        <v>21145080</v>
      </c>
      <c r="B78" s="52" t="s">
        <v>190</v>
      </c>
      <c r="C78" s="52" t="s">
        <v>178</v>
      </c>
      <c r="D78" s="53">
        <v>-74.702944439999996</v>
      </c>
      <c r="E78" s="53">
        <v>3.5897777780000002</v>
      </c>
      <c r="F78" s="48">
        <v>1410</v>
      </c>
      <c r="G78" s="46">
        <v>41</v>
      </c>
      <c r="H78" s="46">
        <v>41206</v>
      </c>
      <c r="I78" s="55" t="s">
        <v>79</v>
      </c>
      <c r="J78" s="55" t="s">
        <v>191</v>
      </c>
      <c r="K78" s="51">
        <v>14.8</v>
      </c>
      <c r="L78" s="51">
        <v>15</v>
      </c>
      <c r="M78" s="51">
        <v>14.4</v>
      </c>
      <c r="N78" s="51">
        <v>14.2</v>
      </c>
      <c r="O78" s="51">
        <v>14.2</v>
      </c>
      <c r="P78" s="51">
        <v>15.2</v>
      </c>
      <c r="Q78" s="51">
        <v>14.4</v>
      </c>
      <c r="R78" s="51">
        <v>15.8</v>
      </c>
      <c r="S78" s="51">
        <v>18</v>
      </c>
      <c r="T78" s="51">
        <v>13.6</v>
      </c>
      <c r="U78" s="51">
        <v>15.4</v>
      </c>
      <c r="V78" s="51">
        <v>14.2</v>
      </c>
      <c r="W78" s="51">
        <v>15</v>
      </c>
      <c r="X78" s="51"/>
      <c r="Y78" s="51"/>
      <c r="Z78" s="111"/>
      <c r="AA78" s="51"/>
      <c r="AB78" s="51"/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1"/>
      <c r="AN78" s="51"/>
      <c r="AO78" s="51"/>
      <c r="AP78" s="88">
        <f t="shared" si="6"/>
        <v>13</v>
      </c>
      <c r="AQ78" s="89" t="str">
        <f t="shared" si="7"/>
        <v/>
      </c>
      <c r="AR78" s="89">
        <f>IFERROR(VLOOKUP(A78,Climatologia!A:U,9+$E$2,FALSE),"")</f>
        <v>15.67780219897565</v>
      </c>
      <c r="AS78" s="89" t="str">
        <f t="shared" si="8"/>
        <v/>
      </c>
      <c r="AT78" s="90">
        <f t="shared" si="9"/>
        <v>13.6</v>
      </c>
      <c r="AU78" s="90" t="str">
        <f t="array" ref="AU78">IFERROR(
  _xlfn.LET(
    _xlpm.mesTxt, INDEX({"ENERO","FEBRERO","MARZO","ABRIL","MAYO","JUNIO","JULIO","AGOSTO","SEPTIEMBRE","OCTUBRE","NOVIEMBRE","DICIEMBRE"}, E$2),
    _xlpm.colIni, MATCH(_xlpm.mesTxt, Minimos!$1:$1, 0),
    _xlpm.fila, MATCH($A78, Minimos!$A:$A, 0),
    _xlpm.val, INDEX(Minimos!$A:$ZZ, _xlpm.fila, _xlpm.colIni),
    IF(_xlpm.val="", "", _xlpm.val)
  ),
"")</f>
        <v/>
      </c>
      <c r="AV78" s="91" t="str">
        <f t="array" ref="AV7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MATCH($A78,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78" s="92" t="str">
        <f t="shared" si="10"/>
        <v>NA</v>
      </c>
    </row>
    <row r="79" spans="1:49" ht="14.25" customHeight="1" x14ac:dyDescent="0.2">
      <c r="A79" s="48">
        <v>44045010</v>
      </c>
      <c r="B79" s="52" t="s">
        <v>192</v>
      </c>
      <c r="C79" s="52" t="s">
        <v>178</v>
      </c>
      <c r="D79" s="53">
        <v>-75.961500000000001</v>
      </c>
      <c r="E79" s="53">
        <v>1.325138889</v>
      </c>
      <c r="F79" s="48">
        <v>320</v>
      </c>
      <c r="G79" s="46">
        <v>18</v>
      </c>
      <c r="H79" s="46">
        <v>18610</v>
      </c>
      <c r="I79" s="55" t="s">
        <v>193</v>
      </c>
      <c r="J79" s="55" t="s">
        <v>194</v>
      </c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11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88">
        <f t="shared" si="6"/>
        <v>0</v>
      </c>
      <c r="AQ79" s="89" t="str">
        <f t="shared" si="7"/>
        <v/>
      </c>
      <c r="AR79" s="89">
        <f>IFERROR(VLOOKUP(A79,Climatologia!A:U,9+$E$2,FALSE),"")</f>
        <v>20.9214094475129</v>
      </c>
      <c r="AS79" s="89" t="str">
        <f t="shared" si="8"/>
        <v/>
      </c>
      <c r="AT79" s="90" t="str">
        <f t="shared" si="9"/>
        <v/>
      </c>
      <c r="AU79" s="90">
        <f t="array" ref="AU79">IFERROR(
  _xlfn.LET(
    _xlpm.mesTxt, INDEX({"ENERO","FEBRERO","MARZO","ABRIL","MAYO","JUNIO","JULIO","AGOSTO","SEPTIEMBRE","OCTUBRE","NOVIEMBRE","DICIEMBRE"}, E$2),
    _xlpm.colIni, MATCH(_xlpm.mesTxt, Minimos!$1:$1, 0),
    _xlpm.fila, MATCH($A79, Minimos!$A:$A, 0),
    _xlpm.val, INDEX(Minimos!$A:$ZZ, _xlpm.fila, _xlpm.colIni),
    IF(_xlpm.val="", "", _xlpm.val)
  ),
"")</f>
        <v>17</v>
      </c>
      <c r="AV79" s="91">
        <f t="array" ref="AV7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MATCH($A79, Minimos!$A:$A, 0),
    _xlpm.anio, INDEX(Minimos!$A:$ZZ, _xlpm.fila, _xlpm.colIni+1),
    _xlpm.dia, INDEX(Minimos!$A:$ZZ, _xlpm.fila, _xlpm.colIni+2),
    IF(OR(_xlpm.anio="",_xlpm.dia=""), "", DATE(_xlpm.anio, _xlpm.mesNum, _xlpm.dia))
  ),
"")</f>
        <v>33132</v>
      </c>
      <c r="AW79" s="92" t="str">
        <f t="shared" si="10"/>
        <v>NA</v>
      </c>
    </row>
    <row r="80" spans="1:49" ht="14.25" customHeight="1" x14ac:dyDescent="0.2">
      <c r="A80" s="48">
        <v>44045020</v>
      </c>
      <c r="B80" s="52" t="s">
        <v>195</v>
      </c>
      <c r="C80" s="52" t="s">
        <v>178</v>
      </c>
      <c r="D80" s="53">
        <v>-75.70447222</v>
      </c>
      <c r="E80" s="53">
        <v>1.1952499999999999</v>
      </c>
      <c r="F80" s="48">
        <v>270</v>
      </c>
      <c r="G80" s="46">
        <v>18</v>
      </c>
      <c r="H80" s="46">
        <v>18860</v>
      </c>
      <c r="I80" s="55" t="s">
        <v>193</v>
      </c>
      <c r="J80" s="55" t="s">
        <v>196</v>
      </c>
      <c r="K80" s="51">
        <v>23.6</v>
      </c>
      <c r="L80" s="51">
        <v>23.2</v>
      </c>
      <c r="M80" s="51">
        <v>23.2</v>
      </c>
      <c r="N80" s="51">
        <v>23.8</v>
      </c>
      <c r="O80" s="51">
        <v>23.6</v>
      </c>
      <c r="P80" s="51">
        <v>23.4</v>
      </c>
      <c r="Q80" s="51">
        <v>23</v>
      </c>
      <c r="R80" s="51">
        <v>23</v>
      </c>
      <c r="S80" s="51">
        <v>23.8</v>
      </c>
      <c r="T80" s="51">
        <v>22.4</v>
      </c>
      <c r="U80" s="51">
        <v>22.6</v>
      </c>
      <c r="V80" s="51">
        <v>23.6</v>
      </c>
      <c r="W80" s="51">
        <v>23.4</v>
      </c>
      <c r="X80" s="51"/>
      <c r="Y80" s="51"/>
      <c r="Z80" s="11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88">
        <f t="shared" si="6"/>
        <v>13</v>
      </c>
      <c r="AQ80" s="89" t="str">
        <f t="shared" si="7"/>
        <v/>
      </c>
      <c r="AR80" s="89">
        <f>IFERROR(VLOOKUP(A80,Climatologia!A:U,9+$E$2,FALSE),"")</f>
        <v>22.145798455144551</v>
      </c>
      <c r="AS80" s="89" t="str">
        <f t="shared" si="8"/>
        <v/>
      </c>
      <c r="AT80" s="90">
        <f t="shared" si="9"/>
        <v>22.4</v>
      </c>
      <c r="AU80" s="90">
        <f t="array" ref="AU80">IFERROR(
  _xlfn.LET(
    _xlpm.mesTxt, INDEX({"ENERO","FEBRERO","MARZO","ABRIL","MAYO","JUNIO","JULIO","AGOSTO","SEPTIEMBRE","OCTUBRE","NOVIEMBRE","DICIEMBRE"}, E$2),
    _xlpm.colIni, MATCH(_xlpm.mesTxt, Minimos!$1:$1, 0),
    _xlpm.fila, MATCH($A80, Minimos!$A:$A, 0),
    _xlpm.val, INDEX(Minimos!$A:$ZZ, _xlpm.fila, _xlpm.colIni),
    IF(_xlpm.val="", "", _xlpm.val)
  ),
"")</f>
        <v>17.600000000000001</v>
      </c>
      <c r="AV80" s="91">
        <f t="array" ref="AV8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MATCH($A80, Minimos!$A:$A, 0),
    _xlpm.anio, INDEX(Minimos!$A:$ZZ, _xlpm.fila, _xlpm.colIni+1),
    _xlpm.dia, INDEX(Minimos!$A:$ZZ, _xlpm.fila, _xlpm.colIni+2),
    IF(OR(_xlpm.anio="",_xlpm.dia=""), "", DATE(_xlpm.anio, _xlpm.mesNum, _xlpm.dia))
  ),
"")</f>
        <v>33132</v>
      </c>
      <c r="AW80" s="92">
        <f t="shared" si="10"/>
        <v>4.7999999999999972</v>
      </c>
    </row>
    <row r="81" spans="1:49" ht="14.25" customHeight="1" x14ac:dyDescent="0.2">
      <c r="A81" s="48">
        <v>15045010</v>
      </c>
      <c r="B81" s="52" t="s">
        <v>197</v>
      </c>
      <c r="C81" s="52" t="s">
        <v>198</v>
      </c>
      <c r="D81" s="53">
        <v>-73.030277780000006</v>
      </c>
      <c r="E81" s="53">
        <v>11.26388889</v>
      </c>
      <c r="F81" s="48">
        <v>20</v>
      </c>
      <c r="G81" s="46">
        <v>44</v>
      </c>
      <c r="H81" s="46">
        <v>44001</v>
      </c>
      <c r="I81" s="55" t="s">
        <v>40</v>
      </c>
      <c r="J81" s="55" t="s">
        <v>41</v>
      </c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11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88">
        <f t="shared" si="6"/>
        <v>0</v>
      </c>
      <c r="AQ81" s="89" t="str">
        <f t="shared" si="7"/>
        <v/>
      </c>
      <c r="AR81" s="89" t="str">
        <f>IFERROR(VLOOKUP(A81,Climatologia!A:U,9+$E$2,FALSE),"")</f>
        <v/>
      </c>
      <c r="AS81" s="89" t="str">
        <f t="shared" si="8"/>
        <v/>
      </c>
      <c r="AT81" s="90" t="str">
        <f t="shared" si="9"/>
        <v/>
      </c>
      <c r="AU81" s="90">
        <f t="array" ref="AU81">IFERROR(
  _xlfn.LET(
    _xlpm.mesTxt, INDEX({"ENERO","FEBRERO","MARZO","ABRIL","MAYO","JUNIO","JULIO","AGOSTO","SEPTIEMBRE","OCTUBRE","NOVIEMBRE","DICIEMBRE"}, E$2),
    _xlpm.colIni, MATCH(_xlpm.mesTxt, Minimos!$1:$1, 0),
    _xlpm.fila, MATCH($A81, Minimos!$A:$A, 0),
    _xlpm.val, INDEX(Minimos!$A:$ZZ, _xlpm.fila, _xlpm.colIni),
    IF(_xlpm.val="", "", _xlpm.val)
  ),
"")</f>
        <v>18</v>
      </c>
      <c r="AV81" s="91">
        <f t="array" ref="AV8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MATCH($A81, Minimos!$A:$A, 0),
    _xlpm.anio, INDEX(Minimos!$A:$ZZ, _xlpm.fila, _xlpm.colIni+1),
    _xlpm.dia, INDEX(Minimos!$A:$ZZ, _xlpm.fila, _xlpm.colIni+2),
    IF(OR(_xlpm.anio="",_xlpm.dia=""), "", DATE(_xlpm.anio, _xlpm.mesNum, _xlpm.dia))
  ),
"")</f>
        <v>29125</v>
      </c>
      <c r="AW81" s="92" t="str">
        <f t="shared" si="10"/>
        <v>NA</v>
      </c>
    </row>
    <row r="82" spans="1:49" ht="14.25" customHeight="1" x14ac:dyDescent="0.2">
      <c r="A82" s="48">
        <v>15075030</v>
      </c>
      <c r="B82" s="52" t="s">
        <v>199</v>
      </c>
      <c r="C82" s="52" t="s">
        <v>198</v>
      </c>
      <c r="D82" s="53">
        <v>-72.463499999999996</v>
      </c>
      <c r="E82" s="53">
        <v>11.78105556</v>
      </c>
      <c r="F82" s="48">
        <v>1</v>
      </c>
      <c r="G82" s="46">
        <v>44</v>
      </c>
      <c r="H82" s="46">
        <v>44560</v>
      </c>
      <c r="I82" s="55" t="s">
        <v>40</v>
      </c>
      <c r="J82" s="55" t="s">
        <v>199</v>
      </c>
      <c r="K82" s="51">
        <v>27.2</v>
      </c>
      <c r="L82" s="51">
        <v>26.8</v>
      </c>
      <c r="M82" s="51">
        <v>27</v>
      </c>
      <c r="N82" s="51">
        <v>27.4</v>
      </c>
      <c r="O82" s="51">
        <v>28</v>
      </c>
      <c r="P82" s="51">
        <v>28.8</v>
      </c>
      <c r="Q82" s="51">
        <v>29.4</v>
      </c>
      <c r="R82" s="51">
        <v>28.6</v>
      </c>
      <c r="S82" s="51">
        <v>27.4</v>
      </c>
      <c r="T82" s="51">
        <v>28.4</v>
      </c>
      <c r="U82" s="51">
        <v>28.8</v>
      </c>
      <c r="V82" s="51"/>
      <c r="W82" s="51">
        <v>28.2</v>
      </c>
      <c r="X82" s="51"/>
      <c r="Y82" s="51"/>
      <c r="Z82" s="11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88">
        <f t="shared" si="6"/>
        <v>12</v>
      </c>
      <c r="AQ82" s="89" t="str">
        <f t="shared" si="7"/>
        <v/>
      </c>
      <c r="AR82" s="89" t="str">
        <f>IFERROR(VLOOKUP(A82,Climatologia!A:U,9+$E$2,FALSE),"")</f>
        <v/>
      </c>
      <c r="AS82" s="89" t="str">
        <f t="shared" si="8"/>
        <v/>
      </c>
      <c r="AT82" s="90">
        <f t="shared" si="9"/>
        <v>26.8</v>
      </c>
      <c r="AU82" s="90">
        <f t="array" ref="AU82">IFERROR(
  _xlfn.LET(
    _xlpm.mesTxt, INDEX({"ENERO","FEBRERO","MARZO","ABRIL","MAYO","JUNIO","JULIO","AGOSTO","SEPTIEMBRE","OCTUBRE","NOVIEMBRE","DICIEMBRE"}, E$2),
    _xlpm.colIni, MATCH(_xlpm.mesTxt, Minimos!$1:$1, 0),
    _xlpm.fila, MATCH($A82, Minimos!$A:$A, 0),
    _xlpm.val, INDEX(Minimos!$A:$ZZ, _xlpm.fila, _xlpm.colIni),
    IF(_xlpm.val="", "", _xlpm.val)
  ),
"")</f>
        <v>17.8</v>
      </c>
      <c r="AV82" s="91">
        <f t="array" ref="AV8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MATCH($A82, Minimos!$A:$A, 0),
    _xlpm.anio, INDEX(Minimos!$A:$ZZ, _xlpm.fila, _xlpm.colIni+1),
    _xlpm.dia, INDEX(Minimos!$A:$ZZ, _xlpm.fila, _xlpm.colIni+2),
    IF(OR(_xlpm.anio="",_xlpm.dia=""), "", DATE(_xlpm.anio, _xlpm.mesNum, _xlpm.dia))
  ),
"")</f>
        <v>31662</v>
      </c>
      <c r="AW82" s="92">
        <f t="shared" si="10"/>
        <v>9</v>
      </c>
    </row>
    <row r="83" spans="1:49" ht="14.25" customHeight="1" x14ac:dyDescent="0.2">
      <c r="A83" s="48">
        <v>15085030</v>
      </c>
      <c r="B83" s="52" t="s">
        <v>200</v>
      </c>
      <c r="C83" s="52" t="s">
        <v>198</v>
      </c>
      <c r="D83" s="53">
        <v>-72.359944440000007</v>
      </c>
      <c r="E83" s="53">
        <v>11.216749999999999</v>
      </c>
      <c r="F83" s="48">
        <v>118</v>
      </c>
      <c r="G83" s="46">
        <v>44</v>
      </c>
      <c r="H83" s="46">
        <v>44430</v>
      </c>
      <c r="I83" s="55" t="s">
        <v>40</v>
      </c>
      <c r="J83" s="55" t="s">
        <v>201</v>
      </c>
      <c r="K83" s="51">
        <v>25.4</v>
      </c>
      <c r="L83" s="51">
        <v>26.8</v>
      </c>
      <c r="M83" s="51">
        <v>27.2</v>
      </c>
      <c r="N83" s="51">
        <v>26</v>
      </c>
      <c r="O83" s="51">
        <v>27.6</v>
      </c>
      <c r="P83" s="51">
        <v>27</v>
      </c>
      <c r="Q83" s="51">
        <v>27.8</v>
      </c>
      <c r="R83" s="51">
        <v>27.2</v>
      </c>
      <c r="S83" s="51">
        <v>27.8</v>
      </c>
      <c r="T83" s="51">
        <v>27.6</v>
      </c>
      <c r="U83" s="51">
        <v>27</v>
      </c>
      <c r="V83" s="51">
        <v>27.6</v>
      </c>
      <c r="W83" s="51">
        <v>27</v>
      </c>
      <c r="X83" s="51"/>
      <c r="Y83" s="51"/>
      <c r="Z83" s="111"/>
      <c r="AA83" s="51"/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88">
        <f t="shared" si="6"/>
        <v>13</v>
      </c>
      <c r="AQ83" s="89" t="str">
        <f t="shared" si="7"/>
        <v/>
      </c>
      <c r="AR83" s="89">
        <f>IFERROR(VLOOKUP(A83,Climatologia!A:U,9+$E$2,FALSE),"")</f>
        <v>23.18181172727245</v>
      </c>
      <c r="AS83" s="89" t="str">
        <f t="shared" si="8"/>
        <v/>
      </c>
      <c r="AT83" s="90">
        <f t="shared" si="9"/>
        <v>25.4</v>
      </c>
      <c r="AU83" s="90">
        <f t="array" ref="AU83">IFERROR(
  _xlfn.LET(
    _xlpm.mesTxt, INDEX({"ENERO","FEBRERO","MARZO","ABRIL","MAYO","JUNIO","JULIO","AGOSTO","SEPTIEMBRE","OCTUBRE","NOVIEMBRE","DICIEMBRE"}, E$2),
    _xlpm.colIni, MATCH(_xlpm.mesTxt, Minimos!$1:$1, 0),
    _xlpm.fila, MATCH($A83, Minimos!$A:$A, 0),
    _xlpm.val, INDEX(Minimos!$A:$ZZ, _xlpm.fila, _xlpm.colIni),
    IF(_xlpm.val="", "", _xlpm.val)
  ),
"")</f>
        <v>15.2</v>
      </c>
      <c r="AV83" s="91">
        <f t="array" ref="AV8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MATCH($A83, Minimos!$A:$A, 0),
    _xlpm.anio, INDEX(Minimos!$A:$ZZ, _xlpm.fila, _xlpm.colIni+1),
    _xlpm.dia, INDEX(Minimos!$A:$ZZ, _xlpm.fila, _xlpm.colIni+2),
    IF(OR(_xlpm.anio="",_xlpm.dia=""), "", DATE(_xlpm.anio, _xlpm.mesNum, _xlpm.dia))
  ),
"")</f>
        <v>33120</v>
      </c>
      <c r="AW83" s="92">
        <f t="shared" si="10"/>
        <v>10.199999999999999</v>
      </c>
    </row>
    <row r="84" spans="1:49" ht="14.25" customHeight="1" x14ac:dyDescent="0.2">
      <c r="A84" s="48">
        <v>25025002</v>
      </c>
      <c r="B84" s="52" t="s">
        <v>202</v>
      </c>
      <c r="C84" s="52" t="s">
        <v>198</v>
      </c>
      <c r="D84" s="53">
        <v>-74.273638890000001</v>
      </c>
      <c r="E84" s="53">
        <v>9.3040555559999998</v>
      </c>
      <c r="F84" s="48">
        <v>25</v>
      </c>
      <c r="G84" s="46">
        <v>47</v>
      </c>
      <c r="H84" s="46">
        <v>47692</v>
      </c>
      <c r="I84" s="55" t="s">
        <v>31</v>
      </c>
      <c r="J84" s="55" t="s">
        <v>203</v>
      </c>
      <c r="K84" s="51">
        <v>23.6</v>
      </c>
      <c r="L84" s="51">
        <v>25.2</v>
      </c>
      <c r="M84" s="51">
        <v>23.6</v>
      </c>
      <c r="N84" s="51">
        <v>26.6</v>
      </c>
      <c r="O84" s="51">
        <v>24.8</v>
      </c>
      <c r="P84" s="51">
        <v>24.6</v>
      </c>
      <c r="Q84" s="51">
        <v>24.4</v>
      </c>
      <c r="R84" s="51">
        <v>24.7</v>
      </c>
      <c r="S84" s="51">
        <v>25.4</v>
      </c>
      <c r="T84" s="51">
        <v>26.2</v>
      </c>
      <c r="U84" s="51">
        <v>24</v>
      </c>
      <c r="V84" s="51">
        <v>24.6</v>
      </c>
      <c r="W84" s="51">
        <v>24.8</v>
      </c>
      <c r="X84" s="51"/>
      <c r="Y84" s="51"/>
      <c r="Z84" s="111"/>
      <c r="AA84" s="51"/>
      <c r="AB84" s="51"/>
      <c r="AC84" s="51"/>
      <c r="AD84" s="51"/>
      <c r="AE84" s="51"/>
      <c r="AF84" s="51"/>
      <c r="AG84" s="51"/>
      <c r="AH84" s="51"/>
      <c r="AI84" s="51"/>
      <c r="AJ84" s="51"/>
      <c r="AK84" s="51"/>
      <c r="AL84" s="51"/>
      <c r="AM84" s="51"/>
      <c r="AN84" s="51"/>
      <c r="AO84" s="51"/>
      <c r="AP84" s="88">
        <f t="shared" si="6"/>
        <v>13</v>
      </c>
      <c r="AQ84" s="89" t="str">
        <f t="shared" si="7"/>
        <v/>
      </c>
      <c r="AR84" s="89">
        <f>IFERROR(VLOOKUP(A84,Climatologia!A:U,9+$E$2,FALSE),"")</f>
        <v>22.978702810599369</v>
      </c>
      <c r="AS84" s="89" t="str">
        <f t="shared" si="8"/>
        <v/>
      </c>
      <c r="AT84" s="90">
        <f t="shared" si="9"/>
        <v>23.6</v>
      </c>
      <c r="AU84" s="90">
        <f t="array" ref="AU84">IFERROR(
  _xlfn.LET(
    _xlpm.mesTxt, INDEX({"ENERO","FEBRERO","MARZO","ABRIL","MAYO","JUNIO","JULIO","AGOSTO","SEPTIEMBRE","OCTUBRE","NOVIEMBRE","DICIEMBRE"}, E$2),
    _xlpm.colIni, MATCH(_xlpm.mesTxt, Minimos!$1:$1, 0),
    _xlpm.fila, MATCH($A84, Minimos!$A:$A, 0),
    _xlpm.val, INDEX(Minimos!$A:$ZZ, _xlpm.fila, _xlpm.colIni),
    IF(_xlpm.val="", "", _xlpm.val)
  ),
"")</f>
        <v>18</v>
      </c>
      <c r="AV84" s="91">
        <f t="array" ref="AV8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MATCH($A84, Minimos!$A:$A, 0),
    _xlpm.anio, INDEX(Minimos!$A:$ZZ, _xlpm.fila, _xlpm.colIni+1),
    _xlpm.dia, INDEX(Minimos!$A:$ZZ, _xlpm.fila, _xlpm.colIni+2),
    IF(OR(_xlpm.anio="",_xlpm.dia=""), "", DATE(_xlpm.anio, _xlpm.mesNum, _xlpm.dia))
  ),
"")</f>
        <v>38244</v>
      </c>
      <c r="AW84" s="92">
        <f t="shared" si="10"/>
        <v>5.6000000000000014</v>
      </c>
    </row>
    <row r="85" spans="1:49" ht="14.25" customHeight="1" x14ac:dyDescent="0.2">
      <c r="A85" s="48">
        <v>28015070</v>
      </c>
      <c r="B85" s="52" t="s">
        <v>204</v>
      </c>
      <c r="C85" s="52" t="s">
        <v>198</v>
      </c>
      <c r="D85" s="53">
        <v>-73.016388890000002</v>
      </c>
      <c r="E85" s="53">
        <v>10.566388890000001</v>
      </c>
      <c r="F85" s="48">
        <v>255</v>
      </c>
      <c r="G85" s="46">
        <v>44</v>
      </c>
      <c r="H85" s="46">
        <v>44855</v>
      </c>
      <c r="I85" s="55" t="s">
        <v>40</v>
      </c>
      <c r="J85" s="55" t="s">
        <v>205</v>
      </c>
      <c r="K85" s="51">
        <v>20</v>
      </c>
      <c r="L85" s="51">
        <v>19.8</v>
      </c>
      <c r="M85" s="51">
        <v>21.8</v>
      </c>
      <c r="N85" s="51">
        <v>20</v>
      </c>
      <c r="O85" s="51">
        <v>21.8</v>
      </c>
      <c r="P85" s="51">
        <v>21.6</v>
      </c>
      <c r="Q85" s="51">
        <v>20.6</v>
      </c>
      <c r="R85" s="51">
        <v>20.399999999999999</v>
      </c>
      <c r="S85" s="51">
        <v>22</v>
      </c>
      <c r="T85" s="51">
        <v>22.2</v>
      </c>
      <c r="U85" s="51">
        <v>20.8</v>
      </c>
      <c r="V85" s="51">
        <v>21.4</v>
      </c>
      <c r="W85" s="51"/>
      <c r="X85" s="51"/>
      <c r="Y85" s="51"/>
      <c r="Z85" s="111"/>
      <c r="AA85" s="51"/>
      <c r="AB85" s="51"/>
      <c r="AC85" s="51"/>
      <c r="AD85" s="51"/>
      <c r="AE85" s="51"/>
      <c r="AF85" s="51"/>
      <c r="AG85" s="51"/>
      <c r="AH85" s="51"/>
      <c r="AI85" s="51"/>
      <c r="AJ85" s="51"/>
      <c r="AK85" s="51"/>
      <c r="AL85" s="51"/>
      <c r="AM85" s="51"/>
      <c r="AN85" s="51"/>
      <c r="AO85" s="51"/>
      <c r="AP85" s="88">
        <f t="shared" si="6"/>
        <v>12</v>
      </c>
      <c r="AQ85" s="89" t="str">
        <f t="shared" si="7"/>
        <v/>
      </c>
      <c r="AR85" s="89">
        <f>IFERROR(VLOOKUP(A85,Climatologia!A:U,9+$E$2,FALSE),"")</f>
        <v>22.3738564692013</v>
      </c>
      <c r="AS85" s="89" t="str">
        <f t="shared" si="8"/>
        <v/>
      </c>
      <c r="AT85" s="90">
        <f t="shared" si="9"/>
        <v>19.8</v>
      </c>
      <c r="AU85" s="90">
        <f t="array" ref="AU85">IFERROR(
  _xlfn.LET(
    _xlpm.mesTxt, INDEX({"ENERO","FEBRERO","MARZO","ABRIL","MAYO","JUNIO","JULIO","AGOSTO","SEPTIEMBRE","OCTUBRE","NOVIEMBRE","DICIEMBRE"}, E$2),
    _xlpm.colIni, MATCH(_xlpm.mesTxt, Minimos!$1:$1, 0),
    _xlpm.fila, MATCH($A85, Minimos!$A:$A, 0),
    _xlpm.val, INDEX(Minimos!$A:$ZZ, _xlpm.fila, _xlpm.colIni),
    IF(_xlpm.val="", "", _xlpm.val)
  ),
"")</f>
        <v>18.5</v>
      </c>
      <c r="AV85" s="91">
        <f t="array" ref="AV8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MATCH($A85, Minimos!$A:$A, 0),
    _xlpm.anio, INDEX(Minimos!$A:$ZZ, _xlpm.fila, _xlpm.colIni+1),
    _xlpm.dia, INDEX(Minimos!$A:$ZZ, _xlpm.fila, _xlpm.colIni+2),
    IF(OR(_xlpm.anio="",_xlpm.dia=""), "", DATE(_xlpm.anio, _xlpm.mesNum, _xlpm.dia))
  ),
"")</f>
        <v>36430</v>
      </c>
      <c r="AW85" s="92">
        <f t="shared" si="10"/>
        <v>1.3000000000000007</v>
      </c>
    </row>
    <row r="86" spans="1:49" ht="14.25" customHeight="1" x14ac:dyDescent="0.2">
      <c r="A86" s="48">
        <v>28035010</v>
      </c>
      <c r="B86" s="52" t="s">
        <v>206</v>
      </c>
      <c r="C86" s="52" t="s">
        <v>198</v>
      </c>
      <c r="D86" s="53">
        <v>-73.547388889999993</v>
      </c>
      <c r="E86" s="53">
        <v>10.190666670000001</v>
      </c>
      <c r="F86" s="48">
        <v>70</v>
      </c>
      <c r="G86" s="46">
        <v>20</v>
      </c>
      <c r="H86" s="46">
        <v>20001</v>
      </c>
      <c r="I86" s="55" t="s">
        <v>43</v>
      </c>
      <c r="J86" s="55" t="s">
        <v>44</v>
      </c>
      <c r="K86" s="51">
        <v>23.4</v>
      </c>
      <c r="L86" s="51"/>
      <c r="M86" s="51">
        <v>24.2</v>
      </c>
      <c r="N86" s="51">
        <v>24</v>
      </c>
      <c r="O86" s="51">
        <v>26.6</v>
      </c>
      <c r="P86" s="51">
        <v>25</v>
      </c>
      <c r="Q86" s="51">
        <v>24.2</v>
      </c>
      <c r="R86" s="51">
        <v>25.2</v>
      </c>
      <c r="S86" s="51">
        <v>27.2</v>
      </c>
      <c r="T86" s="51">
        <v>27.8</v>
      </c>
      <c r="U86" s="51">
        <v>25.6</v>
      </c>
      <c r="V86" s="51">
        <v>26.4</v>
      </c>
      <c r="W86" s="51">
        <v>26.2</v>
      </c>
      <c r="X86" s="51"/>
      <c r="Y86" s="51"/>
      <c r="Z86" s="111"/>
      <c r="AA86" s="51"/>
      <c r="AB86" s="51"/>
      <c r="AC86" s="51"/>
      <c r="AD86" s="51"/>
      <c r="AE86" s="51"/>
      <c r="AF86" s="51"/>
      <c r="AG86" s="51"/>
      <c r="AH86" s="51"/>
      <c r="AI86" s="51"/>
      <c r="AJ86" s="51"/>
      <c r="AK86" s="51"/>
      <c r="AL86" s="51"/>
      <c r="AM86" s="51"/>
      <c r="AN86" s="51"/>
      <c r="AO86" s="51"/>
      <c r="AP86" s="88">
        <f t="shared" si="6"/>
        <v>12</v>
      </c>
      <c r="AQ86" s="89" t="str">
        <f t="shared" si="7"/>
        <v/>
      </c>
      <c r="AR86" s="89">
        <f>IFERROR(VLOOKUP(A86,Climatologia!A:U,9+$E$2,FALSE),"")</f>
        <v>23.309072933771219</v>
      </c>
      <c r="AS86" s="89" t="str">
        <f t="shared" si="8"/>
        <v/>
      </c>
      <c r="AT86" s="90">
        <f t="shared" si="9"/>
        <v>23.4</v>
      </c>
      <c r="AU86" s="90">
        <f t="array" ref="AU86">IFERROR(
  _xlfn.LET(
    _xlpm.mesTxt, INDEX({"ENERO","FEBRERO","MARZO","ABRIL","MAYO","JUNIO","JULIO","AGOSTO","SEPTIEMBRE","OCTUBRE","NOVIEMBRE","DICIEMBRE"}, E$2),
    _xlpm.colIni, MATCH(_xlpm.mesTxt, Minimos!$1:$1, 0),
    _xlpm.fila, MATCH($A86, Minimos!$A:$A, 0),
    _xlpm.val, INDEX(Minimos!$A:$ZZ, _xlpm.fila, _xlpm.colIni),
    IF(_xlpm.val="", "", _xlpm.val)
  ),
"")</f>
        <v>18</v>
      </c>
      <c r="AV86" s="91">
        <f t="array" ref="AV8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MATCH($A86, Minimos!$A:$A, 0),
    _xlpm.anio, INDEX(Minimos!$A:$ZZ, _xlpm.fila, _xlpm.colIni+1),
    _xlpm.dia, INDEX(Minimos!$A:$ZZ, _xlpm.fila, _xlpm.colIni+2),
    IF(OR(_xlpm.anio="",_xlpm.dia=""), "", DATE(_xlpm.anio, _xlpm.mesNum, _xlpm.dia))
  ),
"")</f>
        <v>31684</v>
      </c>
      <c r="AW86" s="92">
        <f t="shared" si="10"/>
        <v>5.3999999999999986</v>
      </c>
    </row>
    <row r="87" spans="1:49" ht="14.25" customHeight="1" x14ac:dyDescent="0.2">
      <c r="A87" s="48">
        <v>28035020</v>
      </c>
      <c r="B87" s="52" t="s">
        <v>207</v>
      </c>
      <c r="C87" s="52" t="s">
        <v>198</v>
      </c>
      <c r="D87" s="53">
        <v>-73.319444439999998</v>
      </c>
      <c r="E87" s="53">
        <v>10.363055559999999</v>
      </c>
      <c r="F87" s="48">
        <v>110</v>
      </c>
      <c r="G87" s="46">
        <v>20</v>
      </c>
      <c r="H87" s="46">
        <v>20001</v>
      </c>
      <c r="I87" s="55" t="s">
        <v>43</v>
      </c>
      <c r="J87" s="55" t="s">
        <v>44</v>
      </c>
      <c r="K87" s="51">
        <v>24</v>
      </c>
      <c r="L87" s="51">
        <v>24.2</v>
      </c>
      <c r="M87" s="51">
        <v>23.6</v>
      </c>
      <c r="N87" s="51">
        <v>22.8</v>
      </c>
      <c r="O87" s="51">
        <v>25.6</v>
      </c>
      <c r="P87" s="51">
        <v>25</v>
      </c>
      <c r="Q87" s="51">
        <v>23.4</v>
      </c>
      <c r="R87" s="51">
        <v>26.6</v>
      </c>
      <c r="S87" s="51">
        <v>28.4</v>
      </c>
      <c r="T87" s="51">
        <v>27.4</v>
      </c>
      <c r="U87" s="51">
        <v>25.2</v>
      </c>
      <c r="V87" s="51">
        <v>26.6</v>
      </c>
      <c r="W87" s="51">
        <v>27.8</v>
      </c>
      <c r="X87" s="51"/>
      <c r="Y87" s="51"/>
      <c r="Z87" s="111"/>
      <c r="AA87" s="51"/>
      <c r="AB87" s="51"/>
      <c r="AC87" s="51"/>
      <c r="AD87" s="51"/>
      <c r="AE87" s="51"/>
      <c r="AF87" s="51"/>
      <c r="AG87" s="51"/>
      <c r="AH87" s="51"/>
      <c r="AI87" s="51"/>
      <c r="AJ87" s="51"/>
      <c r="AK87" s="51"/>
      <c r="AL87" s="51"/>
      <c r="AM87" s="51"/>
      <c r="AN87" s="51"/>
      <c r="AO87" s="51"/>
      <c r="AP87" s="88">
        <f t="shared" si="6"/>
        <v>13</v>
      </c>
      <c r="AQ87" s="89" t="str">
        <f t="shared" si="7"/>
        <v/>
      </c>
      <c r="AR87" s="89">
        <f>IFERROR(VLOOKUP(A87,Climatologia!A:U,9+$E$2,FALSE),"")</f>
        <v>22.641522648439089</v>
      </c>
      <c r="AS87" s="89" t="str">
        <f t="shared" si="8"/>
        <v/>
      </c>
      <c r="AT87" s="90">
        <f t="shared" si="9"/>
        <v>22.8</v>
      </c>
      <c r="AU87" s="90">
        <f t="array" ref="AU87">IFERROR(
  _xlfn.LET(
    _xlpm.mesTxt, INDEX({"ENERO","FEBRERO","MARZO","ABRIL","MAYO","JUNIO","JULIO","AGOSTO","SEPTIEMBRE","OCTUBRE","NOVIEMBRE","DICIEMBRE"}, E$2),
    _xlpm.colIni, MATCH(_xlpm.mesTxt, Minimos!$1:$1, 0),
    _xlpm.fila, MATCH($A87, Minimos!$A:$A, 0),
    _xlpm.val, INDEX(Minimos!$A:$ZZ, _xlpm.fila, _xlpm.colIni),
    IF(_xlpm.val="", "", _xlpm.val)
  ),
"")</f>
        <v>17</v>
      </c>
      <c r="AV87" s="91">
        <f t="array" ref="AV8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MATCH($A87, Minimos!$A:$A, 0),
    _xlpm.anio, INDEX(Minimos!$A:$ZZ, _xlpm.fila, _xlpm.colIni+1),
    _xlpm.dia, INDEX(Minimos!$A:$ZZ, _xlpm.fila, _xlpm.colIni+2),
    IF(OR(_xlpm.anio="",_xlpm.dia=""), "", DATE(_xlpm.anio, _xlpm.mesNum, _xlpm.dia))
  ),
"")</f>
        <v>29469</v>
      </c>
      <c r="AW87" s="92">
        <f t="shared" si="10"/>
        <v>5.8000000000000007</v>
      </c>
    </row>
    <row r="88" spans="1:49" s="118" customFormat="1" ht="14.25" customHeight="1" x14ac:dyDescent="0.2">
      <c r="A88" s="48">
        <v>25025330</v>
      </c>
      <c r="B88" s="52" t="s">
        <v>208</v>
      </c>
      <c r="C88" s="52" t="s">
        <v>198</v>
      </c>
      <c r="D88" s="53">
        <v>-73.630083330000005</v>
      </c>
      <c r="E88" s="53">
        <v>8.9542222220000003</v>
      </c>
      <c r="F88" s="48">
        <v>50</v>
      </c>
      <c r="G88" s="46">
        <v>20</v>
      </c>
      <c r="H88" s="46">
        <v>20517</v>
      </c>
      <c r="I88" s="55" t="s">
        <v>43</v>
      </c>
      <c r="J88" s="55" t="s">
        <v>209</v>
      </c>
      <c r="K88" s="116">
        <v>24.8</v>
      </c>
      <c r="L88" s="116">
        <v>26.4</v>
      </c>
      <c r="M88" s="116">
        <v>24.2</v>
      </c>
      <c r="N88" s="116">
        <v>25.8</v>
      </c>
      <c r="O88" s="116">
        <v>25.6</v>
      </c>
      <c r="P88" s="116">
        <v>26.2</v>
      </c>
      <c r="Q88" s="116">
        <v>25.2</v>
      </c>
      <c r="R88" s="116">
        <v>26.2</v>
      </c>
      <c r="S88" s="116">
        <v>26.8</v>
      </c>
      <c r="T88" s="116">
        <v>27.4</v>
      </c>
      <c r="U88" s="116">
        <v>25</v>
      </c>
      <c r="V88" s="116">
        <v>25.8</v>
      </c>
      <c r="W88" s="116">
        <v>27.2</v>
      </c>
      <c r="X88" s="116"/>
      <c r="Y88" s="116"/>
      <c r="Z88" s="117"/>
      <c r="AA88" s="116"/>
      <c r="AB88" s="116"/>
      <c r="AC88" s="116"/>
      <c r="AD88" s="116"/>
      <c r="AE88" s="116"/>
      <c r="AF88" s="116"/>
      <c r="AG88" s="116"/>
      <c r="AH88" s="116"/>
      <c r="AI88" s="116"/>
      <c r="AJ88" s="116"/>
      <c r="AK88" s="116"/>
      <c r="AL88" s="116"/>
      <c r="AM88" s="116"/>
      <c r="AN88" s="116"/>
      <c r="AO88" s="116"/>
      <c r="AP88" s="88">
        <f t="shared" si="6"/>
        <v>13</v>
      </c>
      <c r="AQ88" s="89" t="str">
        <f t="shared" si="7"/>
        <v/>
      </c>
      <c r="AR88" s="89">
        <f>IFERROR(VLOOKUP(A88,Climatologia!A:U,9+$E$2,FALSE),"")</f>
        <v>22.80732142857142</v>
      </c>
      <c r="AS88" s="89" t="str">
        <f t="shared" si="8"/>
        <v/>
      </c>
      <c r="AT88" s="90">
        <f t="shared" si="9"/>
        <v>24.2</v>
      </c>
      <c r="AU88" s="90">
        <f t="array" ref="AU88">IFERROR(
  _xlfn.LET(
    _xlpm.mesTxt, INDEX({"ENERO","FEBRERO","MARZO","ABRIL","MAYO","JUNIO","JULIO","AGOSTO","SEPTIEMBRE","OCTUBRE","NOVIEMBRE","DICIEMBRE"}, E$2),
    _xlpm.colIni, MATCH(_xlpm.mesTxt, Minimos!$1:$1, 0),
    _xlpm.fila, MATCH($A88, Minimos!$A:$A, 0),
    _xlpm.val, INDEX(Minimos!$A:$ZZ, _xlpm.fila, _xlpm.colIni),
    IF(_xlpm.val="", "", _xlpm.val)
  ),
"")</f>
        <v>14.2</v>
      </c>
      <c r="AV88" s="91">
        <f t="array" ref="AV8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MATCH($A88, Minimos!$A:$A, 0),
    _xlpm.anio, INDEX(Minimos!$A:$ZZ, _xlpm.fila, _xlpm.colIni+1),
    _xlpm.dia, INDEX(Minimos!$A:$ZZ, _xlpm.fila, _xlpm.colIni+2),
    IF(OR(_xlpm.anio="",_xlpm.dia=""), "", DATE(_xlpm.anio, _xlpm.mesNum, _xlpm.dia))
  ),
"")</f>
        <v>34231</v>
      </c>
      <c r="AW88" s="92">
        <f t="shared" si="10"/>
        <v>10</v>
      </c>
    </row>
    <row r="89" spans="1:49" ht="14.25" customHeight="1" x14ac:dyDescent="0.2">
      <c r="A89" s="48">
        <v>23125100</v>
      </c>
      <c r="B89" s="52" t="s">
        <v>210</v>
      </c>
      <c r="C89" s="52" t="s">
        <v>211</v>
      </c>
      <c r="D89" s="53">
        <v>-73.943111110000004</v>
      </c>
      <c r="E89" s="53">
        <v>5.5149166669999996</v>
      </c>
      <c r="F89" s="48">
        <v>2200</v>
      </c>
      <c r="G89" s="46">
        <v>15</v>
      </c>
      <c r="H89" s="46">
        <v>15109</v>
      </c>
      <c r="I89" s="55" t="s">
        <v>212</v>
      </c>
      <c r="J89" s="55" t="s">
        <v>210</v>
      </c>
      <c r="K89" s="51">
        <v>11.2</v>
      </c>
      <c r="L89" s="51">
        <v>10.199999999999999</v>
      </c>
      <c r="M89" s="51">
        <v>11</v>
      </c>
      <c r="N89" s="51">
        <v>11</v>
      </c>
      <c r="O89" s="51">
        <v>13.2</v>
      </c>
      <c r="P89" s="51">
        <v>11.6</v>
      </c>
      <c r="Q89" s="51">
        <v>11.8</v>
      </c>
      <c r="R89" s="51">
        <v>10.4</v>
      </c>
      <c r="S89" s="51">
        <v>12</v>
      </c>
      <c r="T89" s="51">
        <v>12.4</v>
      </c>
      <c r="U89" s="51">
        <v>13</v>
      </c>
      <c r="V89" s="51">
        <v>11.2</v>
      </c>
      <c r="W89" s="51">
        <v>11</v>
      </c>
      <c r="X89" s="51"/>
      <c r="Y89" s="51"/>
      <c r="Z89" s="111"/>
      <c r="AA89" s="51"/>
      <c r="AB89" s="51"/>
      <c r="AC89" s="51"/>
      <c r="AD89" s="51"/>
      <c r="AE89" s="51"/>
      <c r="AF89" s="51"/>
      <c r="AG89" s="51"/>
      <c r="AH89" s="51"/>
      <c r="AI89" s="51"/>
      <c r="AJ89" s="51"/>
      <c r="AK89" s="51"/>
      <c r="AL89" s="51"/>
      <c r="AM89" s="51"/>
      <c r="AN89" s="51"/>
      <c r="AO89" s="51"/>
      <c r="AP89" s="88">
        <f t="shared" si="6"/>
        <v>13</v>
      </c>
      <c r="AQ89" s="89" t="str">
        <f t="shared" si="7"/>
        <v/>
      </c>
      <c r="AR89" s="89">
        <f>IFERROR(VLOOKUP(A89,Climatologia!A:U,9+$E$2,FALSE),"")</f>
        <v>11.04377011494253</v>
      </c>
      <c r="AS89" s="89" t="str">
        <f t="shared" si="8"/>
        <v/>
      </c>
      <c r="AT89" s="90">
        <f t="shared" si="9"/>
        <v>10.199999999999999</v>
      </c>
      <c r="AU89" s="90">
        <f t="array" ref="AU89">IFERROR(
  _xlfn.LET(
    _xlpm.mesTxt, INDEX({"ENERO","FEBRERO","MARZO","ABRIL","MAYO","JUNIO","JULIO","AGOSTO","SEPTIEMBRE","OCTUBRE","NOVIEMBRE","DICIEMBRE"}, E$2),
    _xlpm.colIni, MATCH(_xlpm.mesTxt, Minimos!$1:$1, 0),
    _xlpm.fila, MATCH($A89, Minimos!$A:$A, 0),
    _xlpm.val, INDEX(Minimos!$A:$ZZ, _xlpm.fila, _xlpm.colIni),
    IF(_xlpm.val="", "", _xlpm.val)
  ),
"")</f>
        <v>4.2</v>
      </c>
      <c r="AV89" s="91">
        <f t="array" ref="AV8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MATCH($A89, Minimos!$A:$A, 0),
    _xlpm.anio, INDEX(Minimos!$A:$ZZ, _xlpm.fila, _xlpm.colIni+1),
    _xlpm.dia, INDEX(Minimos!$A:$ZZ, _xlpm.fila, _xlpm.colIni+2),
    IF(OR(_xlpm.anio="",_xlpm.dia=""), "", DATE(_xlpm.anio, _xlpm.mesNum, _xlpm.dia))
  ),
"")</f>
        <v>36787</v>
      </c>
      <c r="AW89" s="92">
        <f t="shared" si="10"/>
        <v>5.9999999999999991</v>
      </c>
    </row>
    <row r="90" spans="1:49" ht="14.25" customHeight="1" x14ac:dyDescent="0.2">
      <c r="A90" s="48">
        <v>23125140</v>
      </c>
      <c r="B90" s="52" t="s">
        <v>213</v>
      </c>
      <c r="C90" s="52" t="s">
        <v>211</v>
      </c>
      <c r="D90" s="53">
        <v>-74.182416669999995</v>
      </c>
      <c r="E90" s="53">
        <v>5.5208333329999997</v>
      </c>
      <c r="F90" s="48">
        <v>1250</v>
      </c>
      <c r="G90" s="46">
        <v>15</v>
      </c>
      <c r="H90" s="46">
        <v>15580</v>
      </c>
      <c r="I90" s="55" t="s">
        <v>212</v>
      </c>
      <c r="J90" s="55" t="s">
        <v>214</v>
      </c>
      <c r="K90" s="51">
        <v>19.2</v>
      </c>
      <c r="L90" s="51">
        <v>18.600000000000001</v>
      </c>
      <c r="M90" s="51">
        <v>19</v>
      </c>
      <c r="N90" s="51">
        <v>19.2</v>
      </c>
      <c r="O90" s="51">
        <v>19</v>
      </c>
      <c r="P90" s="51">
        <v>19.399999999999999</v>
      </c>
      <c r="Q90" s="51">
        <v>17.600000000000001</v>
      </c>
      <c r="R90" s="51">
        <v>18.399999999999999</v>
      </c>
      <c r="S90" s="51">
        <v>19.899999999999999</v>
      </c>
      <c r="T90" s="51">
        <v>18.399999999999999</v>
      </c>
      <c r="U90" s="51">
        <v>19</v>
      </c>
      <c r="V90" s="51">
        <v>19.2</v>
      </c>
      <c r="W90" s="51">
        <v>19.399999999999999</v>
      </c>
      <c r="X90" s="51"/>
      <c r="Y90" s="51"/>
      <c r="Z90" s="111"/>
      <c r="AA90" s="51"/>
      <c r="AB90" s="51"/>
      <c r="AC90" s="51"/>
      <c r="AD90" s="51"/>
      <c r="AE90" s="51"/>
      <c r="AF90" s="51"/>
      <c r="AG90" s="51"/>
      <c r="AH90" s="51"/>
      <c r="AI90" s="51"/>
      <c r="AJ90" s="51"/>
      <c r="AK90" s="51"/>
      <c r="AL90" s="51"/>
      <c r="AM90" s="51"/>
      <c r="AN90" s="51"/>
      <c r="AO90" s="51"/>
      <c r="AP90" s="88">
        <f t="shared" si="6"/>
        <v>13</v>
      </c>
      <c r="AQ90" s="89" t="str">
        <f t="shared" si="7"/>
        <v/>
      </c>
      <c r="AR90" s="89">
        <f>IFERROR(VLOOKUP(A90,Climatologia!A:U,9+$E$2,FALSE),"")</f>
        <v>17.65629355956942</v>
      </c>
      <c r="AS90" s="89" t="str">
        <f t="shared" si="8"/>
        <v/>
      </c>
      <c r="AT90" s="90">
        <f t="shared" si="9"/>
        <v>17.600000000000001</v>
      </c>
      <c r="AU90" s="90">
        <f t="array" ref="AU90">IFERROR(
  _xlfn.LET(
    _xlpm.mesTxt, INDEX({"ENERO","FEBRERO","MARZO","ABRIL","MAYO","JUNIO","JULIO","AGOSTO","SEPTIEMBRE","OCTUBRE","NOVIEMBRE","DICIEMBRE"}, E$2),
    _xlpm.colIni, MATCH(_xlpm.mesTxt, Minimos!$1:$1, 0),
    _xlpm.fila, MATCH($A90, Minimos!$A:$A, 0),
    _xlpm.val, INDEX(Minimos!$A:$ZZ, _xlpm.fila, _xlpm.colIni),
    IF(_xlpm.val="", "", _xlpm.val)
  ),
"")</f>
        <v>14.2</v>
      </c>
      <c r="AV90" s="91">
        <f t="array" ref="AV9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MATCH($A90, Minimos!$A:$A, 0),
    _xlpm.anio, INDEX(Minimos!$A:$ZZ, _xlpm.fila, _xlpm.colIni+1),
    _xlpm.dia, INDEX(Minimos!$A:$ZZ, _xlpm.fila, _xlpm.colIni+2),
    IF(OR(_xlpm.anio="",_xlpm.dia=""), "", DATE(_xlpm.anio, _xlpm.mesNum, _xlpm.dia))
  ),
"")</f>
        <v>36793</v>
      </c>
      <c r="AW90" s="92">
        <f t="shared" si="10"/>
        <v>3.4000000000000021</v>
      </c>
    </row>
    <row r="91" spans="1:49" ht="14.25" customHeight="1" x14ac:dyDescent="0.2">
      <c r="A91" s="48">
        <v>24015090</v>
      </c>
      <c r="B91" s="52" t="s">
        <v>215</v>
      </c>
      <c r="C91" s="52" t="s">
        <v>211</v>
      </c>
      <c r="D91" s="53">
        <v>-73.602277779999994</v>
      </c>
      <c r="E91" s="53">
        <v>5.7106666669999999</v>
      </c>
      <c r="F91" s="48">
        <v>2300</v>
      </c>
      <c r="G91" s="46">
        <v>15</v>
      </c>
      <c r="H91" s="46">
        <v>15696</v>
      </c>
      <c r="I91" s="55" t="s">
        <v>212</v>
      </c>
      <c r="J91" s="55" t="s">
        <v>216</v>
      </c>
      <c r="K91" s="51">
        <v>12.2</v>
      </c>
      <c r="L91" s="51">
        <v>10.199999999999999</v>
      </c>
      <c r="M91" s="51">
        <v>10.199999999999999</v>
      </c>
      <c r="N91" s="51">
        <v>10.8</v>
      </c>
      <c r="O91" s="51"/>
      <c r="P91" s="51"/>
      <c r="Q91" s="51">
        <v>12</v>
      </c>
      <c r="R91" s="51">
        <v>9</v>
      </c>
      <c r="S91" s="51">
        <v>12.4</v>
      </c>
      <c r="T91" s="51">
        <v>12.4</v>
      </c>
      <c r="U91" s="51">
        <v>12.4</v>
      </c>
      <c r="V91" s="51">
        <v>11.8</v>
      </c>
      <c r="W91" s="51">
        <v>11.8</v>
      </c>
      <c r="X91" s="51"/>
      <c r="Y91" s="51"/>
      <c r="Z91" s="111"/>
      <c r="AA91" s="51"/>
      <c r="AB91" s="51"/>
      <c r="AC91" s="51"/>
      <c r="AD91" s="51"/>
      <c r="AE91" s="51"/>
      <c r="AF91" s="51"/>
      <c r="AG91" s="51"/>
      <c r="AH91" s="51"/>
      <c r="AI91" s="51"/>
      <c r="AJ91" s="51"/>
      <c r="AK91" s="51"/>
      <c r="AL91" s="51"/>
      <c r="AM91" s="51"/>
      <c r="AN91" s="51"/>
      <c r="AO91" s="51"/>
      <c r="AP91" s="88">
        <f t="shared" si="6"/>
        <v>11</v>
      </c>
      <c r="AQ91" s="89" t="str">
        <f t="shared" si="7"/>
        <v/>
      </c>
      <c r="AR91" s="89">
        <f>IFERROR(VLOOKUP(A91,Climatologia!A:U,9+$E$2,FALSE),"")</f>
        <v>11.22937715871128</v>
      </c>
      <c r="AS91" s="89" t="str">
        <f t="shared" si="8"/>
        <v/>
      </c>
      <c r="AT91" s="90">
        <f t="shared" si="9"/>
        <v>9</v>
      </c>
      <c r="AU91" s="90">
        <f t="array" ref="AU91">IFERROR(
  _xlfn.LET(
    _xlpm.mesTxt, INDEX({"ENERO","FEBRERO","MARZO","ABRIL","MAYO","JUNIO","JULIO","AGOSTO","SEPTIEMBRE","OCTUBRE","NOVIEMBRE","DICIEMBRE"}, E$2),
    _xlpm.colIni, MATCH(_xlpm.mesTxt, Minimos!$1:$1, 0),
    _xlpm.fila, MATCH($A91, Minimos!$A:$A, 0),
    _xlpm.val, INDEX(Minimos!$A:$ZZ, _xlpm.fila, _xlpm.colIni),
    IF(_xlpm.val="", "", _xlpm.val)
  ),
"")</f>
        <v>7</v>
      </c>
      <c r="AV91" s="91">
        <f t="array" ref="AV9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MATCH($A91, Minimos!$A:$A, 0),
    _xlpm.anio, INDEX(Minimos!$A:$ZZ, _xlpm.fila, _xlpm.colIni+1),
    _xlpm.dia, INDEX(Minimos!$A:$ZZ, _xlpm.fila, _xlpm.colIni+2),
    IF(OR(_xlpm.anio="",_xlpm.dia=""), "", DATE(_xlpm.anio, _xlpm.mesNum, _xlpm.dia))
  ),
"")</f>
        <v>33864</v>
      </c>
      <c r="AW91" s="92">
        <f t="shared" si="10"/>
        <v>2</v>
      </c>
    </row>
    <row r="92" spans="1:49" ht="14.25" customHeight="1" x14ac:dyDescent="0.2">
      <c r="A92" s="48">
        <v>24015220</v>
      </c>
      <c r="B92" s="52" t="s">
        <v>217</v>
      </c>
      <c r="C92" s="52" t="s">
        <v>211</v>
      </c>
      <c r="D92" s="53">
        <v>-73.495777779999997</v>
      </c>
      <c r="E92" s="53">
        <v>5.5093888890000002</v>
      </c>
      <c r="F92" s="48">
        <v>2600</v>
      </c>
      <c r="G92" s="46">
        <v>15</v>
      </c>
      <c r="H92" s="46">
        <v>15646</v>
      </c>
      <c r="I92" s="55" t="s">
        <v>212</v>
      </c>
      <c r="J92" s="55" t="s">
        <v>218</v>
      </c>
      <c r="K92" s="51">
        <v>9.4</v>
      </c>
      <c r="L92" s="51">
        <v>10.4</v>
      </c>
      <c r="M92" s="51">
        <v>9.6</v>
      </c>
      <c r="N92" s="51">
        <v>9.4</v>
      </c>
      <c r="O92" s="51">
        <v>10</v>
      </c>
      <c r="P92" s="51">
        <v>8.8000000000000007</v>
      </c>
      <c r="Q92" s="51">
        <v>8.1999999999999993</v>
      </c>
      <c r="R92" s="51">
        <v>6</v>
      </c>
      <c r="S92" s="51">
        <v>11.4</v>
      </c>
      <c r="T92" s="51">
        <v>10.4</v>
      </c>
      <c r="U92" s="51">
        <v>9.8000000000000007</v>
      </c>
      <c r="V92" s="51">
        <v>10</v>
      </c>
      <c r="W92" s="51">
        <v>10.4</v>
      </c>
      <c r="X92" s="51"/>
      <c r="Y92" s="51"/>
      <c r="Z92" s="111"/>
      <c r="AA92" s="51"/>
      <c r="AB92" s="51"/>
      <c r="AC92" s="51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88">
        <f t="shared" si="6"/>
        <v>13</v>
      </c>
      <c r="AQ92" s="89" t="str">
        <f t="shared" si="7"/>
        <v/>
      </c>
      <c r="AR92" s="89">
        <f>IFERROR(VLOOKUP(A92,Climatologia!A:U,9+$E$2,FALSE),"")</f>
        <v>8.2655190007037298</v>
      </c>
      <c r="AS92" s="89" t="str">
        <f t="shared" si="8"/>
        <v/>
      </c>
      <c r="AT92" s="90">
        <f t="shared" si="9"/>
        <v>6</v>
      </c>
      <c r="AU92" s="90">
        <f t="array" ref="AU92">IFERROR(
  _xlfn.LET(
    _xlpm.mesTxt, INDEX({"ENERO","FEBRERO","MARZO","ABRIL","MAYO","JUNIO","JULIO","AGOSTO","SEPTIEMBRE","OCTUBRE","NOVIEMBRE","DICIEMBRE"}, E$2),
    _xlpm.colIni, MATCH(_xlpm.mesTxt, Minimos!$1:$1, 0),
    _xlpm.fila, MATCH($A92, Minimos!$A:$A, 0),
    _xlpm.val, INDEX(Minimos!$A:$ZZ, _xlpm.fila, _xlpm.colIni),
    IF(_xlpm.val="", "", _xlpm.val)
  ),
"")</f>
        <v>1</v>
      </c>
      <c r="AV92" s="91">
        <f t="array" ref="AV9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MATCH($A92, Minimos!$A:$A, 0),
    _xlpm.anio, INDEX(Minimos!$A:$ZZ, _xlpm.fila, _xlpm.colIni+1),
    _xlpm.dia, INDEX(Minimos!$A:$ZZ, _xlpm.fila, _xlpm.colIni+2),
    IF(OR(_xlpm.anio="",_xlpm.dia=""), "", DATE(_xlpm.anio, _xlpm.mesNum, _xlpm.dia))
  ),
"")</f>
        <v>33864</v>
      </c>
      <c r="AW92" s="92">
        <f t="shared" si="10"/>
        <v>5</v>
      </c>
    </row>
    <row r="93" spans="1:49" ht="14.25" customHeight="1" x14ac:dyDescent="0.2">
      <c r="A93" s="48">
        <v>24015300</v>
      </c>
      <c r="B93" s="52" t="s">
        <v>219</v>
      </c>
      <c r="C93" s="52" t="s">
        <v>211</v>
      </c>
      <c r="D93" s="53">
        <v>-73.517740000000003</v>
      </c>
      <c r="E93" s="53">
        <v>5.6432599999999997</v>
      </c>
      <c r="F93" s="48">
        <v>2174</v>
      </c>
      <c r="G93" s="46">
        <v>15</v>
      </c>
      <c r="H93" s="46">
        <v>15407</v>
      </c>
      <c r="I93" s="55" t="s">
        <v>212</v>
      </c>
      <c r="J93" s="55" t="s">
        <v>220</v>
      </c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111"/>
      <c r="AA93" s="51"/>
      <c r="AB93" s="51"/>
      <c r="AC93" s="51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88">
        <f t="shared" si="6"/>
        <v>0</v>
      </c>
      <c r="AQ93" s="89" t="str">
        <f t="shared" si="7"/>
        <v/>
      </c>
      <c r="AR93" s="89">
        <f>IFERROR(VLOOKUP(A93,Climatologia!A:U,9+$E$2,FALSE),"")</f>
        <v>10.537256571653121</v>
      </c>
      <c r="AS93" s="89" t="str">
        <f t="shared" si="8"/>
        <v/>
      </c>
      <c r="AT93" s="90" t="str">
        <f t="shared" si="9"/>
        <v/>
      </c>
      <c r="AU93" s="90" t="str">
        <f t="array" ref="AU93">IFERROR(
  _xlfn.LET(
    _xlpm.mesTxt, INDEX({"ENERO","FEBRERO","MARZO","ABRIL","MAYO","JUNIO","JULIO","AGOSTO","SEPTIEMBRE","OCTUBRE","NOVIEMBRE","DICIEMBRE"}, E$2),
    _xlpm.colIni, MATCH(_xlpm.mesTxt, Minimos!$1:$1, 0),
    _xlpm.fila, MATCH($A93, Minimos!$A:$A, 0),
    _xlpm.val, INDEX(Minimos!$A:$ZZ, _xlpm.fila, _xlpm.colIni),
    IF(_xlpm.val="", "", _xlpm.val)
  ),
"")</f>
        <v/>
      </c>
      <c r="AV93" s="91" t="str">
        <f t="array" ref="AV9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MATCH($A93,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93" s="92" t="str">
        <f t="shared" si="10"/>
        <v>NA</v>
      </c>
    </row>
    <row r="94" spans="1:49" ht="14.25" customHeight="1" x14ac:dyDescent="0.2">
      <c r="A94" s="48">
        <v>24015360</v>
      </c>
      <c r="B94" s="52" t="s">
        <v>221</v>
      </c>
      <c r="C94" s="52" t="s">
        <v>211</v>
      </c>
      <c r="D94" s="53">
        <v>-73.759</v>
      </c>
      <c r="E94" s="53">
        <v>5.6962222220000003</v>
      </c>
      <c r="F94" s="48">
        <v>2550</v>
      </c>
      <c r="G94" s="46">
        <v>15</v>
      </c>
      <c r="H94" s="46">
        <v>15632</v>
      </c>
      <c r="I94" s="55" t="s">
        <v>212</v>
      </c>
      <c r="J94" s="55" t="s">
        <v>222</v>
      </c>
      <c r="K94" s="51">
        <v>7.2</v>
      </c>
      <c r="L94" s="51">
        <v>6.2</v>
      </c>
      <c r="M94" s="51">
        <v>4.4000000000000004</v>
      </c>
      <c r="N94" s="51">
        <v>4.2</v>
      </c>
      <c r="O94" s="51">
        <v>7.2</v>
      </c>
      <c r="P94" s="51">
        <v>8.4</v>
      </c>
      <c r="Q94" s="51">
        <v>2.2000000000000002</v>
      </c>
      <c r="R94" s="51">
        <v>4.4000000000000004</v>
      </c>
      <c r="S94" s="51">
        <v>3.2</v>
      </c>
      <c r="T94" s="51">
        <v>7.4</v>
      </c>
      <c r="U94" s="51">
        <v>3.2</v>
      </c>
      <c r="V94" s="51">
        <v>7.2</v>
      </c>
      <c r="W94" s="51">
        <v>8.1999999999999993</v>
      </c>
      <c r="X94" s="51"/>
      <c r="Y94" s="51"/>
      <c r="Z94" s="111"/>
      <c r="AA94" s="51"/>
      <c r="AB94" s="51"/>
      <c r="AC94" s="51"/>
      <c r="AD94" s="51"/>
      <c r="AE94" s="51"/>
      <c r="AF94" s="51"/>
      <c r="AG94" s="51"/>
      <c r="AH94" s="51"/>
      <c r="AI94" s="51"/>
      <c r="AJ94" s="51"/>
      <c r="AK94" s="51"/>
      <c r="AL94" s="51"/>
      <c r="AM94" s="51"/>
      <c r="AN94" s="51"/>
      <c r="AO94" s="51"/>
      <c r="AP94" s="88">
        <f t="shared" si="6"/>
        <v>13</v>
      </c>
      <c r="AQ94" s="89" t="str">
        <f t="shared" si="7"/>
        <v/>
      </c>
      <c r="AR94" s="89" t="str">
        <f>IFERROR(VLOOKUP(A94,Climatologia!A:U,9+$E$2,FALSE),"")</f>
        <v/>
      </c>
      <c r="AS94" s="89" t="str">
        <f t="shared" si="8"/>
        <v/>
      </c>
      <c r="AT94" s="90">
        <f t="shared" si="9"/>
        <v>2.2000000000000002</v>
      </c>
      <c r="AU94" s="90">
        <f t="array" ref="AU94">IFERROR(
  _xlfn.LET(
    _xlpm.mesTxt, INDEX({"ENERO","FEBRERO","MARZO","ABRIL","MAYO","JUNIO","JULIO","AGOSTO","SEPTIEMBRE","OCTUBRE","NOVIEMBRE","DICIEMBRE"}, E$2),
    _xlpm.colIni, MATCH(_xlpm.mesTxt, Minimos!$1:$1, 0),
    _xlpm.fila, MATCH($A94, Minimos!$A:$A, 0),
    _xlpm.val, INDEX(Minimos!$A:$ZZ, _xlpm.fila, _xlpm.colIni),
    IF(_xlpm.val="", "", _xlpm.val)
  ),
"")</f>
        <v>0</v>
      </c>
      <c r="AV94" s="91">
        <f t="array" ref="AV9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MATCH($A94, Minimos!$A:$A, 0),
    _xlpm.anio, INDEX(Minimos!$A:$ZZ, _xlpm.fila, _xlpm.colIni+1),
    _xlpm.dia, INDEX(Minimos!$A:$ZZ, _xlpm.fila, _xlpm.colIni+2),
    IF(OR(_xlpm.anio="",_xlpm.dia=""), "", DATE(_xlpm.anio, _xlpm.mesNum, _xlpm.dia))
  ),
"")</f>
        <v>45190</v>
      </c>
      <c r="AW94" s="92">
        <f t="shared" si="10"/>
        <v>2.2000000000000002</v>
      </c>
    </row>
    <row r="95" spans="1:49" ht="14.25" customHeight="1" x14ac:dyDescent="0.2">
      <c r="A95" s="48">
        <v>24035040</v>
      </c>
      <c r="B95" s="52" t="s">
        <v>223</v>
      </c>
      <c r="C95" s="52" t="s">
        <v>211</v>
      </c>
      <c r="D95" s="53">
        <v>-73.208777777999998</v>
      </c>
      <c r="E95" s="53">
        <v>5.5791944439999996</v>
      </c>
      <c r="F95" s="48">
        <v>2700</v>
      </c>
      <c r="G95" s="46">
        <v>15</v>
      </c>
      <c r="H95" s="46">
        <v>15814</v>
      </c>
      <c r="I95" s="55" t="s">
        <v>212</v>
      </c>
      <c r="J95" s="55" t="s">
        <v>224</v>
      </c>
      <c r="K95" s="51">
        <v>3.2</v>
      </c>
      <c r="L95" s="51">
        <v>6.4</v>
      </c>
      <c r="M95" s="51">
        <v>5.6</v>
      </c>
      <c r="N95" s="51">
        <v>6.8</v>
      </c>
      <c r="O95" s="51">
        <v>4.4000000000000004</v>
      </c>
      <c r="P95" s="51">
        <v>6.2</v>
      </c>
      <c r="Q95" s="51">
        <v>5</v>
      </c>
      <c r="R95" s="51">
        <v>7</v>
      </c>
      <c r="S95" s="51">
        <v>6.8</v>
      </c>
      <c r="T95" s="51">
        <v>8</v>
      </c>
      <c r="U95" s="51">
        <v>9</v>
      </c>
      <c r="V95" s="51">
        <v>5.2</v>
      </c>
      <c r="W95" s="51">
        <v>5.4</v>
      </c>
      <c r="X95" s="51"/>
      <c r="Y95" s="51"/>
      <c r="Z95" s="111"/>
      <c r="AA95" s="51"/>
      <c r="AB95" s="51"/>
      <c r="AC95" s="51"/>
      <c r="AD95" s="51"/>
      <c r="AE95" s="51"/>
      <c r="AF95" s="51"/>
      <c r="AG95" s="51"/>
      <c r="AH95" s="51"/>
      <c r="AI95" s="51"/>
      <c r="AJ95" s="51"/>
      <c r="AK95" s="51"/>
      <c r="AL95" s="51"/>
      <c r="AM95" s="51"/>
      <c r="AN95" s="51"/>
      <c r="AO95" s="51"/>
      <c r="AP95" s="88">
        <f t="shared" si="6"/>
        <v>13</v>
      </c>
      <c r="AQ95" s="89" t="str">
        <f t="shared" si="7"/>
        <v/>
      </c>
      <c r="AR95" s="89">
        <f>IFERROR(VLOOKUP(A95,Climatologia!A:U,9+$E$2,FALSE),"")</f>
        <v>6.9772719899777336</v>
      </c>
      <c r="AS95" s="89" t="str">
        <f t="shared" si="8"/>
        <v/>
      </c>
      <c r="AT95" s="90">
        <f t="shared" si="9"/>
        <v>3.2</v>
      </c>
      <c r="AU95" s="90">
        <f t="array" ref="AU95">IFERROR(
  _xlfn.LET(
    _xlpm.mesTxt, INDEX({"ENERO","FEBRERO","MARZO","ABRIL","MAYO","JUNIO","JULIO","AGOSTO","SEPTIEMBRE","OCTUBRE","NOVIEMBRE","DICIEMBRE"}, E$2),
    _xlpm.colIni, MATCH(_xlpm.mesTxt, Minimos!$1:$1, 0),
    _xlpm.fila, MATCH($A95, Minimos!$A:$A, 0),
    _xlpm.val, INDEX(Minimos!$A:$ZZ, _xlpm.fila, _xlpm.colIni),
    IF(_xlpm.val="", "", _xlpm.val)
  ),
"")</f>
        <v>0.4</v>
      </c>
      <c r="AV95" s="91">
        <f t="array" ref="AV9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MATCH($A95, Minimos!$A:$A, 0),
    _xlpm.anio, INDEX(Minimos!$A:$ZZ, _xlpm.fila, _xlpm.colIni+1),
    _xlpm.dia, INDEX(Minimos!$A:$ZZ, _xlpm.fila, _xlpm.colIni+2),
    IF(OR(_xlpm.anio="",_xlpm.dia=""), "", DATE(_xlpm.anio, _xlpm.mesNum, _xlpm.dia))
  ),
"")</f>
        <v>36424</v>
      </c>
      <c r="AW95" s="92">
        <f t="shared" si="10"/>
        <v>2.8000000000000003</v>
      </c>
    </row>
    <row r="96" spans="1:49" ht="14.25" customHeight="1" x14ac:dyDescent="0.2">
      <c r="A96" s="48">
        <v>24035070</v>
      </c>
      <c r="B96" s="52" t="s">
        <v>225</v>
      </c>
      <c r="C96" s="52" t="s">
        <v>211</v>
      </c>
      <c r="D96" s="53">
        <v>-72.409194439999993</v>
      </c>
      <c r="E96" s="53">
        <v>6.463472222</v>
      </c>
      <c r="F96" s="48">
        <v>2963</v>
      </c>
      <c r="G96" s="46">
        <v>15</v>
      </c>
      <c r="H96" s="46">
        <v>15332</v>
      </c>
      <c r="I96" s="55" t="s">
        <v>212</v>
      </c>
      <c r="J96" s="55" t="s">
        <v>226</v>
      </c>
      <c r="K96" s="51">
        <v>7.9</v>
      </c>
      <c r="L96" s="51">
        <v>9</v>
      </c>
      <c r="M96" s="51">
        <v>9.6</v>
      </c>
      <c r="N96" s="51">
        <v>8</v>
      </c>
      <c r="O96" s="51">
        <v>7.6</v>
      </c>
      <c r="P96" s="51">
        <v>8</v>
      </c>
      <c r="Q96" s="51">
        <v>7</v>
      </c>
      <c r="R96" s="51">
        <v>7.4</v>
      </c>
      <c r="S96" s="51">
        <v>8</v>
      </c>
      <c r="T96" s="51">
        <v>8.8000000000000007</v>
      </c>
      <c r="U96" s="51">
        <v>9.1999999999999993</v>
      </c>
      <c r="V96" s="51">
        <v>8</v>
      </c>
      <c r="W96" s="51">
        <v>9</v>
      </c>
      <c r="X96" s="51"/>
      <c r="Y96" s="51"/>
      <c r="Z96" s="111"/>
      <c r="AA96" s="51"/>
      <c r="AB96" s="51"/>
      <c r="AC96" s="51"/>
      <c r="AD96" s="51"/>
      <c r="AE96" s="51"/>
      <c r="AF96" s="51"/>
      <c r="AG96" s="51"/>
      <c r="AH96" s="51"/>
      <c r="AI96" s="51"/>
      <c r="AJ96" s="51"/>
      <c r="AK96" s="51"/>
      <c r="AL96" s="51"/>
      <c r="AM96" s="51"/>
      <c r="AN96" s="51"/>
      <c r="AO96" s="51"/>
      <c r="AP96" s="88">
        <f t="shared" si="6"/>
        <v>13</v>
      </c>
      <c r="AQ96" s="89" t="str">
        <f t="shared" si="7"/>
        <v/>
      </c>
      <c r="AR96" s="89">
        <f>IFERROR(VLOOKUP(A96,Climatologia!A:U,9+$E$2,FALSE),"")</f>
        <v>8.3739754437240048</v>
      </c>
      <c r="AS96" s="89" t="str">
        <f t="shared" si="8"/>
        <v/>
      </c>
      <c r="AT96" s="90">
        <f t="shared" si="9"/>
        <v>7</v>
      </c>
      <c r="AU96" s="90">
        <f t="array" ref="AU96">IFERROR(
  _xlfn.LET(
    _xlpm.mesTxt, INDEX({"ENERO","FEBRERO","MARZO","ABRIL","MAYO","JUNIO","JULIO","AGOSTO","SEPTIEMBRE","OCTUBRE","NOVIEMBRE","DICIEMBRE"}, E$2),
    _xlpm.colIni, MATCH(_xlpm.mesTxt, Minimos!$1:$1, 0),
    _xlpm.fila, MATCH($A96, Minimos!$A:$A, 0),
    _xlpm.val, INDEX(Minimos!$A:$ZZ, _xlpm.fila, _xlpm.colIni),
    IF(_xlpm.val="", "", _xlpm.val)
  ),
"")</f>
        <v>3.6</v>
      </c>
      <c r="AV96" s="91">
        <f t="array" ref="AV9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MATCH($A96, Minimos!$A:$A, 0),
    _xlpm.anio, INDEX(Minimos!$A:$ZZ, _xlpm.fila, _xlpm.colIni+1),
    _xlpm.dia, INDEX(Minimos!$A:$ZZ, _xlpm.fila, _xlpm.colIni+2),
    IF(OR(_xlpm.anio="",_xlpm.dia=""), "", DATE(_xlpm.anio, _xlpm.mesNum, _xlpm.dia))
  ),
"")</f>
        <v>39332</v>
      </c>
      <c r="AW96" s="92">
        <f t="shared" si="10"/>
        <v>3.4</v>
      </c>
    </row>
    <row r="97" spans="1:49" ht="14.25" customHeight="1" x14ac:dyDescent="0.2">
      <c r="A97" s="48">
        <v>24035120</v>
      </c>
      <c r="B97" s="52" t="s">
        <v>227</v>
      </c>
      <c r="C97" s="52" t="s">
        <v>211</v>
      </c>
      <c r="D97" s="53">
        <v>-73.074472220000004</v>
      </c>
      <c r="E97" s="53">
        <v>5.8024444439999998</v>
      </c>
      <c r="F97" s="48">
        <v>2485</v>
      </c>
      <c r="G97" s="46">
        <v>15</v>
      </c>
      <c r="H97" s="46">
        <v>15238</v>
      </c>
      <c r="I97" s="55" t="s">
        <v>212</v>
      </c>
      <c r="J97" s="55" t="s">
        <v>228</v>
      </c>
      <c r="K97" s="51">
        <v>4.8</v>
      </c>
      <c r="L97" s="51">
        <v>7</v>
      </c>
      <c r="M97" s="51">
        <v>4.8</v>
      </c>
      <c r="N97" s="51">
        <v>5.4</v>
      </c>
      <c r="O97" s="51">
        <v>3.8</v>
      </c>
      <c r="P97" s="51">
        <v>7.8</v>
      </c>
      <c r="Q97" s="51">
        <v>4.8</v>
      </c>
      <c r="R97" s="51">
        <v>3</v>
      </c>
      <c r="S97" s="51">
        <v>4.8</v>
      </c>
      <c r="T97" s="51">
        <v>9.1999999999999993</v>
      </c>
      <c r="U97" s="51">
        <v>9.4</v>
      </c>
      <c r="V97" s="51">
        <v>5.4</v>
      </c>
      <c r="W97" s="51">
        <v>5.4</v>
      </c>
      <c r="X97" s="51"/>
      <c r="Y97" s="51"/>
      <c r="Z97" s="111"/>
      <c r="AA97" s="51"/>
      <c r="AB97" s="51"/>
      <c r="AC97" s="51"/>
      <c r="AD97" s="51"/>
      <c r="AE97" s="51"/>
      <c r="AF97" s="51"/>
      <c r="AG97" s="51"/>
      <c r="AH97" s="51"/>
      <c r="AI97" s="51"/>
      <c r="AJ97" s="51"/>
      <c r="AK97" s="51"/>
      <c r="AL97" s="51"/>
      <c r="AM97" s="51"/>
      <c r="AN97" s="51"/>
      <c r="AO97" s="51"/>
      <c r="AP97" s="88">
        <f t="shared" si="6"/>
        <v>13</v>
      </c>
      <c r="AQ97" s="89" t="str">
        <f t="shared" si="7"/>
        <v/>
      </c>
      <c r="AR97" s="89">
        <f>IFERROR(VLOOKUP(A97,Climatologia!A:U,9+$E$2,FALSE),"")</f>
        <v>6.2010253961478679</v>
      </c>
      <c r="AS97" s="89" t="str">
        <f t="shared" si="8"/>
        <v/>
      </c>
      <c r="AT97" s="90">
        <f t="shared" si="9"/>
        <v>3</v>
      </c>
      <c r="AU97" s="90">
        <f t="array" ref="AU97">IFERROR(
  _xlfn.LET(
    _xlpm.mesTxt, INDEX({"ENERO","FEBRERO","MARZO","ABRIL","MAYO","JUNIO","JULIO","AGOSTO","SEPTIEMBRE","OCTUBRE","NOVIEMBRE","DICIEMBRE"}, E$2),
    _xlpm.colIni, MATCH(_xlpm.mesTxt, Minimos!$1:$1, 0),
    _xlpm.fila, MATCH($A97, Minimos!$A:$A, 0),
    _xlpm.val, INDEX(Minimos!$A:$ZZ, _xlpm.fila, _xlpm.colIni),
    IF(_xlpm.val="", "", _xlpm.val)
  ),
"")</f>
        <v>-0.2</v>
      </c>
      <c r="AV97" s="91">
        <f t="array" ref="AV9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MATCH($A97, Minimos!$A:$A, 0),
    _xlpm.anio, INDEX(Minimos!$A:$ZZ, _xlpm.fila, _xlpm.colIni+1),
    _xlpm.dia, INDEX(Minimos!$A:$ZZ, _xlpm.fila, _xlpm.colIni+2),
    IF(OR(_xlpm.anio="",_xlpm.dia=""), "", DATE(_xlpm.anio, _xlpm.mesNum, _xlpm.dia))
  ),
"")</f>
        <v>31671</v>
      </c>
      <c r="AW97" s="92">
        <f t="shared" si="10"/>
        <v>3.2</v>
      </c>
    </row>
    <row r="98" spans="1:49" ht="14.25" customHeight="1" x14ac:dyDescent="0.2">
      <c r="A98" s="48">
        <v>24035130</v>
      </c>
      <c r="B98" s="52" t="s">
        <v>229</v>
      </c>
      <c r="C98" s="52" t="s">
        <v>211</v>
      </c>
      <c r="D98" s="53">
        <v>-73.360813059999998</v>
      </c>
      <c r="E98" s="53">
        <v>5.5430774999999999</v>
      </c>
      <c r="F98" s="48">
        <v>2690</v>
      </c>
      <c r="G98" s="46">
        <v>15</v>
      </c>
      <c r="H98" s="46">
        <v>15001</v>
      </c>
      <c r="I98" s="55" t="s">
        <v>212</v>
      </c>
      <c r="J98" s="55" t="s">
        <v>230</v>
      </c>
      <c r="K98" s="51">
        <v>7</v>
      </c>
      <c r="L98" s="51">
        <v>8.8000000000000007</v>
      </c>
      <c r="M98" s="51">
        <v>9.8000000000000007</v>
      </c>
      <c r="N98" s="51">
        <v>10.199999999999999</v>
      </c>
      <c r="O98" s="51">
        <v>9.6</v>
      </c>
      <c r="P98" s="51">
        <v>10.6</v>
      </c>
      <c r="Q98" s="51">
        <v>7.6</v>
      </c>
      <c r="R98" s="51">
        <v>5.4</v>
      </c>
      <c r="S98" s="51">
        <v>10</v>
      </c>
      <c r="T98" s="51">
        <v>10.8</v>
      </c>
      <c r="U98" s="51">
        <v>9.6</v>
      </c>
      <c r="V98" s="51">
        <v>8.8000000000000007</v>
      </c>
      <c r="W98" s="51">
        <v>9.8000000000000007</v>
      </c>
      <c r="X98" s="51"/>
      <c r="Y98" s="51"/>
      <c r="Z98" s="11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1"/>
      <c r="AN98" s="51"/>
      <c r="AO98" s="51"/>
      <c r="AP98" s="88">
        <f t="shared" si="6"/>
        <v>13</v>
      </c>
      <c r="AQ98" s="89" t="str">
        <f t="shared" si="7"/>
        <v/>
      </c>
      <c r="AR98" s="89">
        <f>IFERROR(VLOOKUP(A98,Climatologia!A:U,9+$E$2,FALSE),"")</f>
        <v>8.159618451306919</v>
      </c>
      <c r="AS98" s="89" t="str">
        <f t="shared" si="8"/>
        <v/>
      </c>
      <c r="AT98" s="90">
        <f t="shared" si="9"/>
        <v>5.4</v>
      </c>
      <c r="AU98" s="90">
        <f t="array" ref="AU98">IFERROR(
  _xlfn.LET(
    _xlpm.mesTxt, INDEX({"ENERO","FEBRERO","MARZO","ABRIL","MAYO","JUNIO","JULIO","AGOSTO","SEPTIEMBRE","OCTUBRE","NOVIEMBRE","DICIEMBRE"}, E$2),
    _xlpm.colIni, MATCH(_xlpm.mesTxt, Minimos!$1:$1, 0),
    _xlpm.fila, MATCH($A98, Minimos!$A:$A, 0),
    _xlpm.val, INDEX(Minimos!$A:$ZZ, _xlpm.fila, _xlpm.colIni),
    IF(_xlpm.val="", "", _xlpm.val)
  ),
"")</f>
        <v>2.9</v>
      </c>
      <c r="AV98" s="91">
        <f t="array" ref="AV9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MATCH($A98, Minimos!$A:$A, 0),
    _xlpm.anio, INDEX(Minimos!$A:$ZZ, _xlpm.fila, _xlpm.colIni+1),
    _xlpm.dia, INDEX(Minimos!$A:$ZZ, _xlpm.fila, _xlpm.colIni+2),
    IF(OR(_xlpm.anio="",_xlpm.dia=""), "", DATE(_xlpm.anio, _xlpm.mesNum, _xlpm.dia))
  ),
"")</f>
        <v>44096</v>
      </c>
      <c r="AW98" s="92">
        <f t="shared" si="10"/>
        <v>2.5000000000000004</v>
      </c>
    </row>
    <row r="99" spans="1:49" ht="14.25" customHeight="1" x14ac:dyDescent="0.2">
      <c r="A99" s="48">
        <v>24035250</v>
      </c>
      <c r="B99" s="52" t="s">
        <v>231</v>
      </c>
      <c r="C99" s="52" t="s">
        <v>211</v>
      </c>
      <c r="D99" s="53">
        <v>-72.465559999999996</v>
      </c>
      <c r="E99" s="53">
        <v>6.1877800000000001</v>
      </c>
      <c r="F99" s="48">
        <v>2961</v>
      </c>
      <c r="G99" s="46">
        <v>15</v>
      </c>
      <c r="H99" s="46">
        <v>15183</v>
      </c>
      <c r="I99" s="55" t="s">
        <v>212</v>
      </c>
      <c r="J99" s="55" t="s">
        <v>232</v>
      </c>
      <c r="K99" s="51">
        <v>6.4</v>
      </c>
      <c r="L99" s="51"/>
      <c r="M99" s="51">
        <v>7</v>
      </c>
      <c r="N99" s="51">
        <v>7.2</v>
      </c>
      <c r="O99" s="51"/>
      <c r="P99" s="51">
        <v>7.8</v>
      </c>
      <c r="Q99" s="51"/>
      <c r="R99" s="51">
        <v>6.2</v>
      </c>
      <c r="S99" s="51">
        <v>8.8000000000000007</v>
      </c>
      <c r="T99" s="51">
        <v>9</v>
      </c>
      <c r="U99" s="51">
        <v>9.1999999999999993</v>
      </c>
      <c r="V99" s="51">
        <v>7.8</v>
      </c>
      <c r="W99" s="51">
        <v>7.4</v>
      </c>
      <c r="X99" s="51"/>
      <c r="Y99" s="51"/>
      <c r="Z99" s="111"/>
      <c r="AA99" s="51"/>
      <c r="AB99" s="51"/>
      <c r="AC99" s="51"/>
      <c r="AD99" s="51"/>
      <c r="AE99" s="51"/>
      <c r="AF99" s="51"/>
      <c r="AG99" s="51"/>
      <c r="AH99" s="51"/>
      <c r="AI99" s="51"/>
      <c r="AJ99" s="51"/>
      <c r="AK99" s="51"/>
      <c r="AL99" s="51"/>
      <c r="AM99" s="51"/>
      <c r="AN99" s="51"/>
      <c r="AO99" s="51"/>
      <c r="AP99" s="88">
        <f t="shared" si="6"/>
        <v>10</v>
      </c>
      <c r="AQ99" s="89" t="str">
        <f t="shared" si="7"/>
        <v/>
      </c>
      <c r="AR99" s="89">
        <f>IFERROR(VLOOKUP(A99,Climatologia!A:U,9+$E$2,FALSE),"")</f>
        <v>6.6991656023839923</v>
      </c>
      <c r="AS99" s="89" t="str">
        <f t="shared" si="8"/>
        <v/>
      </c>
      <c r="AT99" s="90">
        <f t="shared" si="9"/>
        <v>6.2</v>
      </c>
      <c r="AU99" s="90" t="str">
        <f t="array" ref="AU99">IFERROR(
  _xlfn.LET(
    _xlpm.mesTxt, INDEX({"ENERO","FEBRERO","MARZO","ABRIL","MAYO","JUNIO","JULIO","AGOSTO","SEPTIEMBRE","OCTUBRE","NOVIEMBRE","DICIEMBRE"}, E$2),
    _xlpm.colIni, MATCH(_xlpm.mesTxt, Minimos!$1:$1, 0),
    _xlpm.fila, MATCH($A99, Minimos!$A:$A, 0),
    _xlpm.val, INDEX(Minimos!$A:$ZZ, _xlpm.fila, _xlpm.colIni),
    IF(_xlpm.val="", "", _xlpm.val)
  ),
"")</f>
        <v/>
      </c>
      <c r="AV99" s="91" t="str">
        <f t="array" ref="AV9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99" s="92" t="str">
        <f t="shared" si="10"/>
        <v>NA</v>
      </c>
    </row>
    <row r="100" spans="1:49" ht="14.25" customHeight="1" x14ac:dyDescent="0.2">
      <c r="A100" s="48">
        <v>24035260</v>
      </c>
      <c r="B100" s="52" t="s">
        <v>233</v>
      </c>
      <c r="C100" s="52" t="s">
        <v>211</v>
      </c>
      <c r="D100" s="53">
        <v>-72.696611110000006</v>
      </c>
      <c r="E100" s="53">
        <v>6.5207222219999998</v>
      </c>
      <c r="F100" s="48">
        <v>1160</v>
      </c>
      <c r="G100" s="46">
        <v>68</v>
      </c>
      <c r="H100" s="46">
        <v>68147</v>
      </c>
      <c r="I100" s="55" t="s">
        <v>49</v>
      </c>
      <c r="J100" s="55" t="s">
        <v>233</v>
      </c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111"/>
      <c r="AA100" s="51"/>
      <c r="AB100" s="51"/>
      <c r="AC100" s="51"/>
      <c r="AD100" s="51"/>
      <c r="AE100" s="51"/>
      <c r="AF100" s="51"/>
      <c r="AG100" s="51"/>
      <c r="AH100" s="51"/>
      <c r="AI100" s="51"/>
      <c r="AJ100" s="51"/>
      <c r="AK100" s="51"/>
      <c r="AL100" s="51"/>
      <c r="AM100" s="51"/>
      <c r="AN100" s="51"/>
      <c r="AO100" s="51"/>
      <c r="AP100" s="88">
        <f t="shared" si="6"/>
        <v>0</v>
      </c>
      <c r="AQ100" s="89" t="str">
        <f t="shared" si="7"/>
        <v/>
      </c>
      <c r="AR100" s="89">
        <f>IFERROR(VLOOKUP(A100,Climatologia!A:U,9+$E$2,FALSE),"")</f>
        <v>17.818800331214131</v>
      </c>
      <c r="AS100" s="89" t="str">
        <f t="shared" si="8"/>
        <v/>
      </c>
      <c r="AT100" s="90" t="str">
        <f t="shared" si="9"/>
        <v/>
      </c>
      <c r="AU100" s="90">
        <f t="array" ref="AU100">IFERROR(
  _xlfn.LET(
    _xlpm.mesTxt, INDEX({"ENERO","FEBRERO","MARZO","ABRIL","MAYO","JUNIO","JULIO","AGOSTO","SEPTIEMBRE","OCTUBRE","NOVIEMBRE","DICIEMBRE"}, E$2),
    _xlpm.colIni, MATCH(_xlpm.mesTxt, Minimos!$1:$1, 0),
    _xlpm.fila, MATCH($A100, Minimos!$A:$A, 0),
    _xlpm.val, INDEX(Minimos!$A:$ZZ, _xlpm.fila, _xlpm.colIni),
    IF(_xlpm.val="", "", _xlpm.val)
  ),
"")</f>
        <v>14</v>
      </c>
      <c r="AV100" s="91">
        <f t="array" ref="AV10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MATCH($A100, Minimos!$A:$A, 0),
    _xlpm.anio, INDEX(Minimos!$A:$ZZ, _xlpm.fila, _xlpm.colIni+1),
    _xlpm.dia, INDEX(Minimos!$A:$ZZ, _xlpm.fila, _xlpm.colIni+2),
    IF(OR(_xlpm.anio="",_xlpm.dia=""), "", DATE(_xlpm.anio, _xlpm.mesNum, _xlpm.dia))
  ),
"")</f>
        <v>36068</v>
      </c>
      <c r="AW100" s="92" t="str">
        <f t="shared" si="10"/>
        <v>NA</v>
      </c>
    </row>
    <row r="101" spans="1:49" ht="14.25" customHeight="1" x14ac:dyDescent="0.2">
      <c r="A101" s="48">
        <v>24035310</v>
      </c>
      <c r="B101" s="52" t="s">
        <v>234</v>
      </c>
      <c r="C101" s="52" t="s">
        <v>211</v>
      </c>
      <c r="D101" s="53">
        <v>-72.504722220000005</v>
      </c>
      <c r="E101" s="53">
        <v>6.5495277779999999</v>
      </c>
      <c r="F101" s="48">
        <v>2350</v>
      </c>
      <c r="G101" s="46">
        <v>15</v>
      </c>
      <c r="H101" s="46">
        <v>15180</v>
      </c>
      <c r="I101" s="55" t="s">
        <v>212</v>
      </c>
      <c r="J101" s="55" t="s">
        <v>234</v>
      </c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111"/>
      <c r="AA101" s="51"/>
      <c r="AB101" s="51"/>
      <c r="AC101" s="51"/>
      <c r="AD101" s="51"/>
      <c r="AE101" s="51"/>
      <c r="AF101" s="51"/>
      <c r="AG101" s="51"/>
      <c r="AH101" s="51"/>
      <c r="AI101" s="51"/>
      <c r="AJ101" s="51"/>
      <c r="AK101" s="51"/>
      <c r="AL101" s="51"/>
      <c r="AM101" s="51"/>
      <c r="AN101" s="51"/>
      <c r="AO101" s="51"/>
      <c r="AP101" s="88">
        <f t="shared" si="6"/>
        <v>0</v>
      </c>
      <c r="AQ101" s="89" t="str">
        <f t="shared" si="7"/>
        <v/>
      </c>
      <c r="AR101" s="89">
        <f>IFERROR(VLOOKUP(A101,Climatologia!A:U,9+$E$2,FALSE),"")</f>
        <v>10.55201043605182</v>
      </c>
      <c r="AS101" s="89" t="str">
        <f t="shared" si="8"/>
        <v/>
      </c>
      <c r="AT101" s="90" t="str">
        <f t="shared" si="9"/>
        <v/>
      </c>
      <c r="AU101" s="90">
        <f t="array" ref="AU101">IFERROR(
  _xlfn.LET(
    _xlpm.mesTxt, INDEX({"ENERO","FEBRERO","MARZO","ABRIL","MAYO","JUNIO","JULIO","AGOSTO","SEPTIEMBRE","OCTUBRE","NOVIEMBRE","DICIEMBRE"}, E$2),
    _xlpm.colIni, MATCH(_xlpm.mesTxt, Minimos!$1:$1, 0),
    _xlpm.fila, MATCH($A101, Minimos!$A:$A, 0),
    _xlpm.val, INDEX(Minimos!$A:$ZZ, _xlpm.fila, _xlpm.colIni),
    IF(_xlpm.val="", "", _xlpm.val)
  ),
"")</f>
        <v>4.8</v>
      </c>
      <c r="AV101" s="91">
        <f t="array" ref="AV10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MATCH($A101, Minimos!$A:$A, 0),
    _xlpm.anio, INDEX(Minimos!$A:$ZZ, _xlpm.fila, _xlpm.colIni+1),
    _xlpm.dia, INDEX(Minimos!$A:$ZZ, _xlpm.fila, _xlpm.colIni+2),
    IF(OR(_xlpm.anio="",_xlpm.dia=""), "", DATE(_xlpm.anio, _xlpm.mesNum, _xlpm.dia))
  ),
"")</f>
        <v>30944</v>
      </c>
      <c r="AW101" s="92" t="str">
        <f t="shared" si="10"/>
        <v>NA</v>
      </c>
    </row>
    <row r="102" spans="1:49" ht="14.25" customHeight="1" x14ac:dyDescent="0.2">
      <c r="A102" s="48">
        <v>24035330</v>
      </c>
      <c r="B102" s="52" t="s">
        <v>235</v>
      </c>
      <c r="C102" s="52" t="s">
        <v>211</v>
      </c>
      <c r="D102" s="53">
        <v>-72.582277779999998</v>
      </c>
      <c r="E102" s="53">
        <v>6.328972222</v>
      </c>
      <c r="F102" s="48">
        <v>2150</v>
      </c>
      <c r="G102" s="46">
        <v>15</v>
      </c>
      <c r="H102" s="46">
        <v>15097</v>
      </c>
      <c r="I102" s="55" t="s">
        <v>212</v>
      </c>
      <c r="J102" s="55" t="s">
        <v>235</v>
      </c>
      <c r="K102" s="51">
        <v>11</v>
      </c>
      <c r="L102" s="51">
        <v>13</v>
      </c>
      <c r="M102" s="51">
        <v>12</v>
      </c>
      <c r="N102" s="51">
        <v>12.2</v>
      </c>
      <c r="O102" s="51">
        <v>10.199999999999999</v>
      </c>
      <c r="P102" s="51">
        <v>12</v>
      </c>
      <c r="Q102" s="51">
        <v>11</v>
      </c>
      <c r="R102" s="51">
        <v>11.2</v>
      </c>
      <c r="S102" s="51">
        <v>11</v>
      </c>
      <c r="T102" s="51">
        <v>13.8</v>
      </c>
      <c r="U102" s="51">
        <v>12.6</v>
      </c>
      <c r="V102" s="51">
        <v>11</v>
      </c>
      <c r="W102" s="51">
        <v>12.8</v>
      </c>
      <c r="X102" s="51"/>
      <c r="Y102" s="51"/>
      <c r="Z102" s="111"/>
      <c r="AA102" s="51"/>
      <c r="AB102" s="51"/>
      <c r="AC102" s="51"/>
      <c r="AD102" s="51"/>
      <c r="AE102" s="51"/>
      <c r="AF102" s="51"/>
      <c r="AG102" s="51"/>
      <c r="AH102" s="51"/>
      <c r="AI102" s="51"/>
      <c r="AJ102" s="51"/>
      <c r="AK102" s="51"/>
      <c r="AL102" s="51"/>
      <c r="AM102" s="51"/>
      <c r="AN102" s="51"/>
      <c r="AO102" s="51"/>
      <c r="AP102" s="88">
        <f t="shared" si="6"/>
        <v>13</v>
      </c>
      <c r="AQ102" s="89" t="str">
        <f t="shared" si="7"/>
        <v/>
      </c>
      <c r="AR102" s="89">
        <f>IFERROR(VLOOKUP(A102,Climatologia!A:U,9+$E$2,FALSE),"")</f>
        <v>11.245521419341051</v>
      </c>
      <c r="AS102" s="89" t="str">
        <f t="shared" si="8"/>
        <v/>
      </c>
      <c r="AT102" s="90">
        <f t="shared" si="9"/>
        <v>10.199999999999999</v>
      </c>
      <c r="AU102" s="90">
        <f t="array" ref="AU102">IFERROR(
  _xlfn.LET(
    _xlpm.mesTxt, INDEX({"ENERO","FEBRERO","MARZO","ABRIL","MAYO","JUNIO","JULIO","AGOSTO","SEPTIEMBRE","OCTUBRE","NOVIEMBRE","DICIEMBRE"}, E$2),
    _xlpm.colIni, MATCH(_xlpm.mesTxt, Minimos!$1:$1, 0),
    _xlpm.fila, MATCH($A102, Minimos!$A:$A, 0),
    _xlpm.val, INDEX(Minimos!$A:$ZZ, _xlpm.fila, _xlpm.colIni),
    IF(_xlpm.val="", "", _xlpm.val)
  ),
"")</f>
        <v>6.6</v>
      </c>
      <c r="AV102" s="91">
        <f t="array" ref="AV10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MATCH($A102, Minimos!$A:$A, 0),
    _xlpm.anio, INDEX(Minimos!$A:$ZZ, _xlpm.fila, _xlpm.colIni+1),
    _xlpm.dia, INDEX(Minimos!$A:$ZZ, _xlpm.fila, _xlpm.colIni+2),
    IF(OR(_xlpm.anio="",_xlpm.dia=""), "", DATE(_xlpm.anio, _xlpm.mesNum, _xlpm.dia))
  ),
"")</f>
        <v>33131</v>
      </c>
      <c r="AW102" s="92">
        <f t="shared" si="10"/>
        <v>3.5999999999999996</v>
      </c>
    </row>
    <row r="103" spans="1:49" ht="14.25" customHeight="1" x14ac:dyDescent="0.2">
      <c r="A103" s="48">
        <v>24035420</v>
      </c>
      <c r="B103" s="52" t="s">
        <v>236</v>
      </c>
      <c r="C103" s="52" t="s">
        <v>211</v>
      </c>
      <c r="D103" s="53">
        <v>-72.938500000000005</v>
      </c>
      <c r="E103" s="53">
        <v>5.96225</v>
      </c>
      <c r="F103" s="48">
        <v>2643</v>
      </c>
      <c r="G103" s="46">
        <v>15</v>
      </c>
      <c r="H103" s="46">
        <v>15162</v>
      </c>
      <c r="I103" s="55" t="s">
        <v>212</v>
      </c>
      <c r="J103" s="55" t="s">
        <v>236</v>
      </c>
      <c r="K103" s="51">
        <v>2.2000000000000002</v>
      </c>
      <c r="L103" s="109">
        <v>5.4</v>
      </c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111"/>
      <c r="AA103" s="51"/>
      <c r="AB103" s="51"/>
      <c r="AC103" s="51"/>
      <c r="AD103" s="51"/>
      <c r="AE103" s="51"/>
      <c r="AF103" s="51"/>
      <c r="AG103" s="51"/>
      <c r="AH103" s="51"/>
      <c r="AI103" s="51"/>
      <c r="AJ103" s="51"/>
      <c r="AK103" s="51"/>
      <c r="AL103" s="51"/>
      <c r="AM103" s="51"/>
      <c r="AN103" s="51"/>
      <c r="AO103" s="51"/>
      <c r="AP103" s="88">
        <f t="shared" si="6"/>
        <v>2</v>
      </c>
      <c r="AQ103" s="89" t="str">
        <f t="shared" si="7"/>
        <v/>
      </c>
      <c r="AR103" s="89">
        <f>IFERROR(VLOOKUP(A103,Climatologia!A:U,9+$E$2,FALSE),"")</f>
        <v>5.5502937420178808</v>
      </c>
      <c r="AS103" s="89" t="str">
        <f t="shared" si="8"/>
        <v/>
      </c>
      <c r="AT103" s="90">
        <f t="shared" si="9"/>
        <v>2.2000000000000002</v>
      </c>
      <c r="AU103" s="90">
        <f t="array" ref="AU103">IFERROR(
  _xlfn.LET(
    _xlpm.mesTxt, INDEX({"ENERO","FEBRERO","MARZO","ABRIL","MAYO","JUNIO","JULIO","AGOSTO","SEPTIEMBRE","OCTUBRE","NOVIEMBRE","DICIEMBRE"}, E$2),
    _xlpm.colIni, MATCH(_xlpm.mesTxt, Minimos!$1:$1, 0),
    _xlpm.fila, MATCH($A103, Minimos!$A:$A, 0),
    _xlpm.val, INDEX(Minimos!$A:$ZZ, _xlpm.fila, _xlpm.colIni),
    IF(_xlpm.val="", "", _xlpm.val)
  ),
"")</f>
        <v>0</v>
      </c>
      <c r="AV103" s="91">
        <f t="array" ref="AV10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MATCH($A103, Minimos!$A:$A, 0),
    _xlpm.anio, INDEX(Minimos!$A:$ZZ, _xlpm.fila, _xlpm.colIni+1),
    _xlpm.dia, INDEX(Minimos!$A:$ZZ, _xlpm.fila, _xlpm.colIni+2),
    IF(OR(_xlpm.anio="",_xlpm.dia=""), "", DATE(_xlpm.anio, _xlpm.mesNum, _xlpm.dia))
  ),
"")</f>
        <v>40062</v>
      </c>
      <c r="AW103" s="92">
        <f t="shared" si="10"/>
        <v>2.2000000000000002</v>
      </c>
    </row>
    <row r="104" spans="1:49" ht="14.25" customHeight="1" x14ac:dyDescent="0.2">
      <c r="A104" s="48">
        <v>24035430</v>
      </c>
      <c r="B104" s="52" t="s">
        <v>237</v>
      </c>
      <c r="C104" s="52" t="s">
        <v>211</v>
      </c>
      <c r="D104" s="53">
        <v>-73.11636</v>
      </c>
      <c r="E104" s="53">
        <v>5.7458299999999998</v>
      </c>
      <c r="F104" s="48">
        <v>2521</v>
      </c>
      <c r="G104" s="46">
        <v>15</v>
      </c>
      <c r="H104" s="46">
        <v>15516</v>
      </c>
      <c r="I104" s="55" t="s">
        <v>212</v>
      </c>
      <c r="J104" s="55" t="s">
        <v>238</v>
      </c>
      <c r="K104" s="51">
        <v>4.5999999999999996</v>
      </c>
      <c r="L104" s="51">
        <v>8.4</v>
      </c>
      <c r="M104" s="51">
        <v>3.4</v>
      </c>
      <c r="N104" s="51">
        <v>3.8</v>
      </c>
      <c r="O104" s="51">
        <v>2.6</v>
      </c>
      <c r="P104" s="51">
        <v>2.4</v>
      </c>
      <c r="Q104" s="51">
        <v>3.6</v>
      </c>
      <c r="R104" s="51">
        <v>5.6</v>
      </c>
      <c r="S104" s="51">
        <v>3</v>
      </c>
      <c r="T104" s="51">
        <v>2.4</v>
      </c>
      <c r="U104" s="51">
        <v>8.1999999999999993</v>
      </c>
      <c r="V104" s="51">
        <v>4</v>
      </c>
      <c r="W104" s="51">
        <v>5</v>
      </c>
      <c r="X104" s="51"/>
      <c r="Y104" s="51"/>
      <c r="Z104" s="111"/>
      <c r="AA104" s="51"/>
      <c r="AB104" s="51"/>
      <c r="AC104" s="51"/>
      <c r="AD104" s="51"/>
      <c r="AE104" s="51"/>
      <c r="AF104" s="51"/>
      <c r="AG104" s="51"/>
      <c r="AH104" s="51"/>
      <c r="AI104" s="51"/>
      <c r="AJ104" s="51"/>
      <c r="AK104" s="51"/>
      <c r="AL104" s="51"/>
      <c r="AM104" s="51"/>
      <c r="AN104" s="51"/>
      <c r="AO104" s="51"/>
      <c r="AP104" s="88">
        <f t="shared" si="6"/>
        <v>13</v>
      </c>
      <c r="AQ104" s="89" t="str">
        <f t="shared" si="7"/>
        <v/>
      </c>
      <c r="AR104" s="89">
        <f>IFERROR(VLOOKUP(A104,Climatologia!A:U,9+$E$2,FALSE),"")</f>
        <v>6.577004617349445</v>
      </c>
      <c r="AS104" s="89" t="str">
        <f t="shared" si="8"/>
        <v/>
      </c>
      <c r="AT104" s="90">
        <f t="shared" si="9"/>
        <v>2.4</v>
      </c>
      <c r="AU104" s="90">
        <f t="array" ref="AU104">IFERROR(
  _xlfn.LET(
    _xlpm.mesTxt, INDEX({"ENERO","FEBRERO","MARZO","ABRIL","MAYO","JUNIO","JULIO","AGOSTO","SEPTIEMBRE","OCTUBRE","NOVIEMBRE","DICIEMBRE"}, E$2),
    _xlpm.colIni, MATCH(_xlpm.mesTxt, Minimos!$1:$1, 0),
    _xlpm.fila, MATCH($A104, Minimos!$A:$A, 0),
    _xlpm.val, INDEX(Minimos!$A:$ZZ, _xlpm.fila, _xlpm.colIni),
    IF(_xlpm.val="", "", _xlpm.val)
  ),
"")</f>
        <v>-0.4</v>
      </c>
      <c r="AV104" s="91">
        <f t="array" ref="AV10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MATCH($A104, Minimos!$A:$A, 0),
    _xlpm.anio, INDEX(Minimos!$A:$ZZ, _xlpm.fila, _xlpm.colIni+1),
    _xlpm.dia, INDEX(Minimos!$A:$ZZ, _xlpm.fila, _xlpm.colIni+2),
    IF(OR(_xlpm.anio="",_xlpm.dia=""), "", DATE(_xlpm.anio, _xlpm.mesNum, _xlpm.dia))
  ),
"")</f>
        <v>31670</v>
      </c>
      <c r="AW104" s="92">
        <f t="shared" si="10"/>
        <v>2.8</v>
      </c>
    </row>
    <row r="105" spans="1:49" ht="14.25" customHeight="1" x14ac:dyDescent="0.2">
      <c r="A105" s="48">
        <v>35075010</v>
      </c>
      <c r="B105" s="52" t="s">
        <v>239</v>
      </c>
      <c r="C105" s="52" t="s">
        <v>211</v>
      </c>
      <c r="D105" s="53">
        <v>-73.453777779999996</v>
      </c>
      <c r="E105" s="53">
        <v>5.3526944439999999</v>
      </c>
      <c r="F105" s="48">
        <v>2438</v>
      </c>
      <c r="G105" s="46">
        <v>15</v>
      </c>
      <c r="H105" s="46">
        <v>15494</v>
      </c>
      <c r="I105" s="55" t="s">
        <v>212</v>
      </c>
      <c r="J105" s="55" t="s">
        <v>240</v>
      </c>
      <c r="K105" s="51">
        <v>10</v>
      </c>
      <c r="L105" s="51">
        <v>9.8000000000000007</v>
      </c>
      <c r="M105" s="51">
        <v>10.4</v>
      </c>
      <c r="N105" s="51">
        <v>10.4</v>
      </c>
      <c r="O105" s="51">
        <v>10.6</v>
      </c>
      <c r="P105" s="51">
        <v>9.4</v>
      </c>
      <c r="Q105" s="51">
        <v>9.8000000000000007</v>
      </c>
      <c r="R105" s="51">
        <v>9.6</v>
      </c>
      <c r="S105" s="51">
        <v>11.4</v>
      </c>
      <c r="T105" s="51">
        <v>12</v>
      </c>
      <c r="U105" s="51">
        <v>10.8</v>
      </c>
      <c r="V105" s="51">
        <v>11.6</v>
      </c>
      <c r="W105" s="51">
        <v>12.2</v>
      </c>
      <c r="X105" s="51"/>
      <c r="Y105" s="51"/>
      <c r="Z105" s="111"/>
      <c r="AA105" s="51"/>
      <c r="AB105" s="51"/>
      <c r="AC105" s="51"/>
      <c r="AD105" s="51"/>
      <c r="AE105" s="51"/>
      <c r="AF105" s="51"/>
      <c r="AG105" s="51"/>
      <c r="AH105" s="51"/>
      <c r="AI105" s="51"/>
      <c r="AJ105" s="51"/>
      <c r="AK105" s="51"/>
      <c r="AL105" s="51"/>
      <c r="AM105" s="51"/>
      <c r="AN105" s="51"/>
      <c r="AO105" s="51"/>
      <c r="AP105" s="88">
        <f t="shared" si="6"/>
        <v>13</v>
      </c>
      <c r="AQ105" s="89" t="str">
        <f t="shared" si="7"/>
        <v/>
      </c>
      <c r="AR105" s="89">
        <f>IFERROR(VLOOKUP(A105,Climatologia!A:U,9+$E$2,FALSE),"")</f>
        <v>9.5729657311464695</v>
      </c>
      <c r="AS105" s="89" t="str">
        <f t="shared" si="8"/>
        <v/>
      </c>
      <c r="AT105" s="90">
        <f t="shared" si="9"/>
        <v>9.4</v>
      </c>
      <c r="AU105" s="90">
        <f t="array" ref="AU105">IFERROR(
  _xlfn.LET(
    _xlpm.mesTxt, INDEX({"ENERO","FEBRERO","MARZO","ABRIL","MAYO","JUNIO","JULIO","AGOSTO","SEPTIEMBRE","OCTUBRE","NOVIEMBRE","DICIEMBRE"}, E$2),
    _xlpm.colIni, MATCH(_xlpm.mesTxt, Minimos!$1:$1, 0),
    _xlpm.fila, MATCH($A105, Minimos!$A:$A, 0),
    _xlpm.val, INDEX(Minimos!$A:$ZZ, _xlpm.fila, _xlpm.colIni),
    IF(_xlpm.val="", "", _xlpm.val)
  ),
"")</f>
        <v>3.8</v>
      </c>
      <c r="AV105" s="91">
        <f t="array" ref="AV10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MATCH($A105, Minimos!$A:$A, 0),
    _xlpm.anio, INDEX(Minimos!$A:$ZZ, _xlpm.fila, _xlpm.colIni+1),
    _xlpm.dia, INDEX(Minimos!$A:$ZZ, _xlpm.fila, _xlpm.colIni+2),
    IF(OR(_xlpm.anio="",_xlpm.dia=""), "", DATE(_xlpm.anio, _xlpm.mesNum, _xlpm.dia))
  ),
"")</f>
        <v>38238</v>
      </c>
      <c r="AW105" s="92">
        <f t="shared" si="10"/>
        <v>5.6000000000000005</v>
      </c>
    </row>
    <row r="106" spans="1:49" ht="14.25" customHeight="1" x14ac:dyDescent="0.2">
      <c r="A106" s="48">
        <v>35075020</v>
      </c>
      <c r="B106" s="52" t="s">
        <v>241</v>
      </c>
      <c r="C106" s="52" t="s">
        <v>211</v>
      </c>
      <c r="D106" s="53">
        <v>-73.449166669999997</v>
      </c>
      <c r="E106" s="53">
        <v>5.0222777780000003</v>
      </c>
      <c r="F106" s="48">
        <v>1930</v>
      </c>
      <c r="G106" s="46">
        <v>15</v>
      </c>
      <c r="H106" s="46">
        <v>15778</v>
      </c>
      <c r="I106" s="55" t="s">
        <v>212</v>
      </c>
      <c r="J106" s="55" t="s">
        <v>241</v>
      </c>
      <c r="K106" s="51"/>
      <c r="L106" s="51">
        <v>13.6</v>
      </c>
      <c r="M106" s="51">
        <v>13.6</v>
      </c>
      <c r="N106" s="51">
        <v>14.4</v>
      </c>
      <c r="O106" s="51">
        <v>13.8</v>
      </c>
      <c r="P106" s="51">
        <v>13.6</v>
      </c>
      <c r="Q106" s="51"/>
      <c r="R106" s="51">
        <v>14</v>
      </c>
      <c r="S106" s="51">
        <v>14.8</v>
      </c>
      <c r="T106" s="51">
        <v>14.6</v>
      </c>
      <c r="U106" s="51">
        <v>14.8</v>
      </c>
      <c r="V106" s="51">
        <v>15</v>
      </c>
      <c r="W106" s="51">
        <v>15.2</v>
      </c>
      <c r="X106" s="51"/>
      <c r="Y106" s="51"/>
      <c r="Z106" s="111"/>
      <c r="AA106" s="51"/>
      <c r="AB106" s="51"/>
      <c r="AC106" s="51"/>
      <c r="AD106" s="51"/>
      <c r="AE106" s="51"/>
      <c r="AF106" s="51"/>
      <c r="AG106" s="51"/>
      <c r="AH106" s="51"/>
      <c r="AI106" s="51"/>
      <c r="AJ106" s="51"/>
      <c r="AK106" s="51"/>
      <c r="AL106" s="51"/>
      <c r="AM106" s="51"/>
      <c r="AN106" s="51"/>
      <c r="AO106" s="51"/>
      <c r="AP106" s="88">
        <f t="shared" si="6"/>
        <v>11</v>
      </c>
      <c r="AQ106" s="89" t="str">
        <f t="shared" si="7"/>
        <v/>
      </c>
      <c r="AR106" s="89">
        <f>IFERROR(VLOOKUP(A106,Climatologia!A:U,9+$E$2,FALSE),"")</f>
        <v>13.60304714989444</v>
      </c>
      <c r="AS106" s="89" t="str">
        <f t="shared" si="8"/>
        <v/>
      </c>
      <c r="AT106" s="90">
        <f t="shared" si="9"/>
        <v>13.6</v>
      </c>
      <c r="AU106" s="90">
        <f t="array" ref="AU106">IFERROR(
  _xlfn.LET(
    _xlpm.mesTxt, INDEX({"ENERO","FEBRERO","MARZO","ABRIL","MAYO","JUNIO","JULIO","AGOSTO","SEPTIEMBRE","OCTUBRE","NOVIEMBRE","DICIEMBRE"}, E$2),
    _xlpm.colIni, MATCH(_xlpm.mesTxt, Minimos!$1:$1, 0),
    _xlpm.fila, MATCH($A106, Minimos!$A:$A, 0),
    _xlpm.val, INDEX(Minimos!$A:$ZZ, _xlpm.fila, _xlpm.colIni),
    IF(_xlpm.val="", "", _xlpm.val)
  ),
"")</f>
        <v>7.3</v>
      </c>
      <c r="AV106" s="91">
        <f t="array" ref="AV10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MATCH($A106, Minimos!$A:$A, 0),
    _xlpm.anio, INDEX(Minimos!$A:$ZZ, _xlpm.fila, _xlpm.colIni+1),
    _xlpm.dia, INDEX(Minimos!$A:$ZZ, _xlpm.fila, _xlpm.colIni+2),
    IF(OR(_xlpm.anio="",_xlpm.dia=""), "", DATE(_xlpm.anio, _xlpm.mesNum, _xlpm.dia))
  ),
"")</f>
        <v>31294</v>
      </c>
      <c r="AW106" s="92">
        <f t="shared" si="10"/>
        <v>6.3</v>
      </c>
    </row>
    <row r="107" spans="1:49" ht="14.25" customHeight="1" x14ac:dyDescent="0.2">
      <c r="A107" s="48">
        <v>35075030</v>
      </c>
      <c r="B107" s="52" t="s">
        <v>242</v>
      </c>
      <c r="C107" s="52" t="s">
        <v>211</v>
      </c>
      <c r="D107" s="53">
        <v>-73.349416669999997</v>
      </c>
      <c r="E107" s="53">
        <v>5.4222222220000003</v>
      </c>
      <c r="F107" s="48">
        <v>2200</v>
      </c>
      <c r="G107" s="46">
        <v>15</v>
      </c>
      <c r="H107" s="46">
        <v>15599</v>
      </c>
      <c r="I107" s="55" t="s">
        <v>212</v>
      </c>
      <c r="J107" s="55" t="s">
        <v>243</v>
      </c>
      <c r="K107" s="51">
        <v>9.8000000000000007</v>
      </c>
      <c r="L107" s="51">
        <v>11.6</v>
      </c>
      <c r="M107" s="51">
        <v>12.8</v>
      </c>
      <c r="N107" s="51">
        <v>11</v>
      </c>
      <c r="O107" s="51">
        <v>11</v>
      </c>
      <c r="P107" s="51">
        <v>9.6</v>
      </c>
      <c r="Q107" s="51">
        <v>10.6</v>
      </c>
      <c r="R107" s="51">
        <v>9.1999999999999993</v>
      </c>
      <c r="S107" s="51">
        <v>12.6</v>
      </c>
      <c r="T107" s="51">
        <v>12.8</v>
      </c>
      <c r="U107" s="51">
        <v>12.8</v>
      </c>
      <c r="V107" s="51">
        <v>11.8</v>
      </c>
      <c r="W107" s="51">
        <v>13.2</v>
      </c>
      <c r="X107" s="51"/>
      <c r="Y107" s="51"/>
      <c r="Z107" s="111"/>
      <c r="AA107" s="51"/>
      <c r="AB107" s="51"/>
      <c r="AC107" s="51"/>
      <c r="AD107" s="51"/>
      <c r="AE107" s="51"/>
      <c r="AF107" s="51"/>
      <c r="AG107" s="51"/>
      <c r="AH107" s="51"/>
      <c r="AI107" s="51"/>
      <c r="AJ107" s="51"/>
      <c r="AK107" s="51"/>
      <c r="AL107" s="51"/>
      <c r="AM107" s="51"/>
      <c r="AN107" s="51"/>
      <c r="AO107" s="51"/>
      <c r="AP107" s="88">
        <f t="shared" si="6"/>
        <v>13</v>
      </c>
      <c r="AQ107" s="89" t="str">
        <f t="shared" si="7"/>
        <v/>
      </c>
      <c r="AR107" s="89">
        <f>IFERROR(VLOOKUP(A107,Climatologia!A:U,9+$E$2,FALSE),"")</f>
        <v>11.188895457033389</v>
      </c>
      <c r="AS107" s="89" t="str">
        <f t="shared" si="8"/>
        <v/>
      </c>
      <c r="AT107" s="90">
        <f t="shared" si="9"/>
        <v>9.1999999999999993</v>
      </c>
      <c r="AU107" s="90">
        <f t="array" ref="AU107">IFERROR(
  _xlfn.LET(
    _xlpm.mesTxt, INDEX({"ENERO","FEBRERO","MARZO","ABRIL","MAYO","JUNIO","JULIO","AGOSTO","SEPTIEMBRE","OCTUBRE","NOVIEMBRE","DICIEMBRE"}, E$2),
    _xlpm.colIni, MATCH(_xlpm.mesTxt, Minimos!$1:$1, 0),
    _xlpm.fila, MATCH($A107, Minimos!$A:$A, 0),
    _xlpm.val, INDEX(Minimos!$A:$ZZ, _xlpm.fila, _xlpm.colIni),
    IF(_xlpm.val="", "", _xlpm.val)
  ),
"")</f>
        <v>1.2</v>
      </c>
      <c r="AV107" s="91">
        <f t="array" ref="AV10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MATCH($A107, Minimos!$A:$A, 0),
    _xlpm.anio, INDEX(Minimos!$A:$ZZ, _xlpm.fila, _xlpm.colIni+1),
    _xlpm.dia, INDEX(Minimos!$A:$ZZ, _xlpm.fila, _xlpm.colIni+2),
    IF(OR(_xlpm.anio="",_xlpm.dia=""), "", DATE(_xlpm.anio, _xlpm.mesNum, _xlpm.dia))
  ),
"")</f>
        <v>34216</v>
      </c>
      <c r="AW107" s="92">
        <f t="shared" si="10"/>
        <v>7.9999999999999991</v>
      </c>
    </row>
    <row r="108" spans="1:49" ht="14.25" customHeight="1" x14ac:dyDescent="0.2">
      <c r="A108" s="48">
        <v>35075040</v>
      </c>
      <c r="B108" s="52" t="s">
        <v>244</v>
      </c>
      <c r="C108" s="52" t="s">
        <v>211</v>
      </c>
      <c r="D108" s="53">
        <v>-73.316749999999999</v>
      </c>
      <c r="E108" s="53">
        <v>4.9743611110000003</v>
      </c>
      <c r="F108" s="48">
        <v>1300</v>
      </c>
      <c r="G108" s="46">
        <v>15</v>
      </c>
      <c r="H108" s="46">
        <v>15425</v>
      </c>
      <c r="I108" s="55" t="s">
        <v>212</v>
      </c>
      <c r="J108" s="55" t="s">
        <v>245</v>
      </c>
      <c r="K108" s="51">
        <v>14.2</v>
      </c>
      <c r="L108" s="51">
        <v>15.4</v>
      </c>
      <c r="M108" s="51">
        <v>14</v>
      </c>
      <c r="N108" s="51">
        <v>15.4</v>
      </c>
      <c r="O108" s="51">
        <v>14</v>
      </c>
      <c r="P108" s="51">
        <v>14.2</v>
      </c>
      <c r="Q108" s="51">
        <v>14.2</v>
      </c>
      <c r="R108" s="51">
        <v>14.8</v>
      </c>
      <c r="S108" s="51">
        <v>15</v>
      </c>
      <c r="T108" s="51">
        <v>15.2</v>
      </c>
      <c r="U108" s="51">
        <v>14.6</v>
      </c>
      <c r="V108" s="51">
        <v>15.4</v>
      </c>
      <c r="W108" s="51">
        <v>15.6</v>
      </c>
      <c r="X108" s="51"/>
      <c r="Y108" s="51"/>
      <c r="Z108" s="111"/>
      <c r="AA108" s="51"/>
      <c r="AB108" s="51"/>
      <c r="AC108" s="51"/>
      <c r="AD108" s="51"/>
      <c r="AE108" s="51"/>
      <c r="AF108" s="51"/>
      <c r="AG108" s="51"/>
      <c r="AH108" s="51"/>
      <c r="AI108" s="51"/>
      <c r="AJ108" s="51"/>
      <c r="AK108" s="51"/>
      <c r="AL108" s="51"/>
      <c r="AM108" s="51"/>
      <c r="AN108" s="51"/>
      <c r="AO108" s="51"/>
      <c r="AP108" s="88">
        <f t="shared" si="6"/>
        <v>13</v>
      </c>
      <c r="AQ108" s="89" t="str">
        <f t="shared" si="7"/>
        <v/>
      </c>
      <c r="AR108" s="89">
        <f>IFERROR(VLOOKUP(A108,Climatologia!A:U,9+$E$2,FALSE),"")</f>
        <v>13.358971566848149</v>
      </c>
      <c r="AS108" s="89" t="str">
        <f t="shared" si="8"/>
        <v/>
      </c>
      <c r="AT108" s="90">
        <f t="shared" si="9"/>
        <v>14</v>
      </c>
      <c r="AU108" s="90">
        <f t="array" ref="AU108">IFERROR(
  _xlfn.LET(
    _xlpm.mesTxt, INDEX({"ENERO","FEBRERO","MARZO","ABRIL","MAYO","JUNIO","JULIO","AGOSTO","SEPTIEMBRE","OCTUBRE","NOVIEMBRE","DICIEMBRE"}, E$2),
    _xlpm.colIni, MATCH(_xlpm.mesTxt, Minimos!$1:$1, 0),
    _xlpm.fila, MATCH($A108, Minimos!$A:$A, 0),
    _xlpm.val, INDEX(Minimos!$A:$ZZ, _xlpm.fila, _xlpm.colIni),
    IF(_xlpm.val="", "", _xlpm.val)
  ),
"")</f>
        <v>9.4</v>
      </c>
      <c r="AV108" s="91">
        <f t="array" ref="AV10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MATCH($A108, Minimos!$A:$A, 0),
    _xlpm.anio, INDEX(Minimos!$A:$ZZ, _xlpm.fila, _xlpm.colIni+1),
    _xlpm.dia, INDEX(Minimos!$A:$ZZ, _xlpm.fila, _xlpm.colIni+2),
    IF(OR(_xlpm.anio="",_xlpm.dia=""), "", DATE(_xlpm.anio, _xlpm.mesNum, _xlpm.dia))
  ),
"")</f>
        <v>30567</v>
      </c>
      <c r="AW108" s="92">
        <f t="shared" si="10"/>
        <v>4.5999999999999996</v>
      </c>
    </row>
    <row r="109" spans="1:49" ht="14.25" customHeight="1" x14ac:dyDescent="0.2">
      <c r="A109" s="48">
        <v>35085040</v>
      </c>
      <c r="B109" s="52" t="s">
        <v>246</v>
      </c>
      <c r="C109" s="52" t="s">
        <v>211</v>
      </c>
      <c r="D109" s="53">
        <v>-73.144777779999998</v>
      </c>
      <c r="E109" s="53">
        <v>5.1925555560000003</v>
      </c>
      <c r="F109" s="48">
        <v>1640</v>
      </c>
      <c r="G109" s="46">
        <v>15</v>
      </c>
      <c r="H109" s="46">
        <v>15455</v>
      </c>
      <c r="I109" s="55" t="s">
        <v>212</v>
      </c>
      <c r="J109" s="55" t="s">
        <v>247</v>
      </c>
      <c r="K109" s="51">
        <v>15.4</v>
      </c>
      <c r="L109" s="51">
        <v>15.4</v>
      </c>
      <c r="M109" s="51">
        <v>15.2</v>
      </c>
      <c r="N109" s="51">
        <v>15.2</v>
      </c>
      <c r="O109" s="51">
        <v>14.8</v>
      </c>
      <c r="P109" s="51">
        <v>14.6</v>
      </c>
      <c r="Q109" s="51">
        <v>15.4</v>
      </c>
      <c r="R109" s="51">
        <v>15.2</v>
      </c>
      <c r="S109" s="51">
        <v>16</v>
      </c>
      <c r="T109" s="51">
        <v>15.8</v>
      </c>
      <c r="U109" s="51">
        <v>15.4</v>
      </c>
      <c r="V109" s="51">
        <v>16.399999999999999</v>
      </c>
      <c r="W109" s="51">
        <v>17</v>
      </c>
      <c r="X109" s="51"/>
      <c r="Y109" s="51"/>
      <c r="Z109" s="111"/>
      <c r="AA109" s="51"/>
      <c r="AB109" s="51"/>
      <c r="AC109" s="51"/>
      <c r="AD109" s="51"/>
      <c r="AE109" s="51"/>
      <c r="AF109" s="51"/>
      <c r="AG109" s="51"/>
      <c r="AH109" s="51"/>
      <c r="AI109" s="51"/>
      <c r="AJ109" s="51"/>
      <c r="AK109" s="51"/>
      <c r="AL109" s="51"/>
      <c r="AM109" s="51"/>
      <c r="AN109" s="51"/>
      <c r="AO109" s="51"/>
      <c r="AP109" s="88">
        <f t="shared" si="6"/>
        <v>13</v>
      </c>
      <c r="AQ109" s="89" t="str">
        <f t="shared" si="7"/>
        <v/>
      </c>
      <c r="AR109" s="89">
        <f>IFERROR(VLOOKUP(A109,Climatologia!A:U,9+$E$2,FALSE),"")</f>
        <v>13.685588761174969</v>
      </c>
      <c r="AS109" s="89" t="str">
        <f t="shared" si="8"/>
        <v/>
      </c>
      <c r="AT109" s="90">
        <f t="shared" si="9"/>
        <v>14.6</v>
      </c>
      <c r="AU109" s="90">
        <f t="array" ref="AU109">IFERROR(
  _xlfn.LET(
    _xlpm.mesTxt, INDEX({"ENERO","FEBRERO","MARZO","ABRIL","MAYO","JUNIO","JULIO","AGOSTO","SEPTIEMBRE","OCTUBRE","NOVIEMBRE","DICIEMBRE"}, E$2),
    _xlpm.colIni, MATCH(_xlpm.mesTxt, Minimos!$1:$1, 0),
    _xlpm.fila, MATCH($A109, Minimos!$A:$A, 0),
    _xlpm.val, INDEX(Minimos!$A:$ZZ, _xlpm.fila, _xlpm.colIni),
    IF(_xlpm.val="", "", _xlpm.val)
  ),
"")</f>
        <v>8</v>
      </c>
      <c r="AV109" s="91">
        <f t="array" ref="AV10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MATCH($A109, Minimos!$A:$A, 0),
    _xlpm.anio, INDEX(Minimos!$A:$ZZ, _xlpm.fila, _xlpm.colIni+1),
    _xlpm.dia, INDEX(Minimos!$A:$ZZ, _xlpm.fila, _xlpm.colIni+2),
    IF(OR(_xlpm.anio="",_xlpm.dia=""), "", DATE(_xlpm.anio, _xlpm.mesNum, _xlpm.dia))
  ),
"")</f>
        <v>39340</v>
      </c>
      <c r="AW109" s="92">
        <f t="shared" si="10"/>
        <v>6.6</v>
      </c>
    </row>
    <row r="110" spans="1:49" ht="14.25" customHeight="1" x14ac:dyDescent="0.2">
      <c r="A110" s="48">
        <v>35085050</v>
      </c>
      <c r="B110" s="52" t="s">
        <v>248</v>
      </c>
      <c r="C110" s="52" t="s">
        <v>211</v>
      </c>
      <c r="D110" s="53">
        <v>-73.103666669999996</v>
      </c>
      <c r="E110" s="53">
        <v>5.0345000000000004</v>
      </c>
      <c r="F110" s="48">
        <v>1300</v>
      </c>
      <c r="G110" s="46">
        <v>15</v>
      </c>
      <c r="H110" s="46">
        <v>15135</v>
      </c>
      <c r="I110" s="55" t="s">
        <v>212</v>
      </c>
      <c r="J110" s="55" t="s">
        <v>248</v>
      </c>
      <c r="K110" s="51">
        <v>17.600000000000001</v>
      </c>
      <c r="L110" s="51">
        <v>18.600000000000001</v>
      </c>
      <c r="M110" s="51">
        <v>17.8</v>
      </c>
      <c r="N110" s="51">
        <v>19.2</v>
      </c>
      <c r="O110" s="51"/>
      <c r="P110" s="51"/>
      <c r="Q110" s="51">
        <v>17.399999999999999</v>
      </c>
      <c r="R110" s="51">
        <v>19.2</v>
      </c>
      <c r="S110" s="51">
        <v>18.8</v>
      </c>
      <c r="T110" s="51">
        <v>18.399999999999999</v>
      </c>
      <c r="U110" s="51">
        <v>17.8</v>
      </c>
      <c r="V110" s="51"/>
      <c r="W110" s="51">
        <v>19.399999999999999</v>
      </c>
      <c r="X110" s="51"/>
      <c r="Y110" s="51"/>
      <c r="Z110" s="111"/>
      <c r="AA110" s="51"/>
      <c r="AB110" s="51"/>
      <c r="AC110" s="51"/>
      <c r="AD110" s="51"/>
      <c r="AE110" s="51"/>
      <c r="AF110" s="51"/>
      <c r="AG110" s="51"/>
      <c r="AH110" s="51"/>
      <c r="AI110" s="51"/>
      <c r="AJ110" s="51"/>
      <c r="AK110" s="51"/>
      <c r="AL110" s="51"/>
      <c r="AM110" s="51"/>
      <c r="AN110" s="51"/>
      <c r="AO110" s="51"/>
      <c r="AP110" s="88">
        <f t="shared" si="6"/>
        <v>10</v>
      </c>
      <c r="AQ110" s="89" t="str">
        <f t="shared" si="7"/>
        <v/>
      </c>
      <c r="AR110" s="89">
        <f>IFERROR(VLOOKUP(A110,Climatologia!A:U,9+$E$2,FALSE),"")</f>
        <v>16.876051428203631</v>
      </c>
      <c r="AS110" s="89" t="str">
        <f t="shared" si="8"/>
        <v/>
      </c>
      <c r="AT110" s="90">
        <f t="shared" si="9"/>
        <v>17.399999999999999</v>
      </c>
      <c r="AU110" s="90">
        <f t="array" ref="AU110">IFERROR(
  _xlfn.LET(
    _xlpm.mesTxt, INDEX({"ENERO","FEBRERO","MARZO","ABRIL","MAYO","JUNIO","JULIO","AGOSTO","SEPTIEMBRE","OCTUBRE","NOVIEMBRE","DICIEMBRE"}, E$2),
    _xlpm.colIni, MATCH(_xlpm.mesTxt, Minimos!$1:$1, 0),
    _xlpm.fila, MATCH($A110, Minimos!$A:$A, 0),
    _xlpm.val, INDEX(Minimos!$A:$ZZ, _xlpm.fila, _xlpm.colIni),
    IF(_xlpm.val="", "", _xlpm.val)
  ),
"")</f>
        <v>13.4</v>
      </c>
      <c r="AV110" s="91">
        <f t="array" ref="AV11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MATCH($A110, Minimos!$A:$A, 0),
    _xlpm.anio, INDEX(Minimos!$A:$ZZ, _xlpm.fila, _xlpm.colIni+1),
    _xlpm.dia, INDEX(Minimos!$A:$ZZ, _xlpm.fila, _xlpm.colIni+2),
    IF(OR(_xlpm.anio="",_xlpm.dia=""), "", DATE(_xlpm.anio, _xlpm.mesNum, _xlpm.dia))
  ),
"")</f>
        <v>35697</v>
      </c>
      <c r="AW110" s="92">
        <f t="shared" si="10"/>
        <v>3.9999999999999982</v>
      </c>
    </row>
    <row r="111" spans="1:49" ht="14.25" customHeight="1" x14ac:dyDescent="0.2">
      <c r="A111" s="48">
        <v>35195030</v>
      </c>
      <c r="B111" s="52" t="s">
        <v>249</v>
      </c>
      <c r="C111" s="52" t="s">
        <v>211</v>
      </c>
      <c r="D111" s="53">
        <v>-72.547388889999993</v>
      </c>
      <c r="E111" s="53">
        <v>5.1770833329999997</v>
      </c>
      <c r="F111" s="48">
        <v>380</v>
      </c>
      <c r="G111" s="46">
        <v>85</v>
      </c>
      <c r="H111" s="46">
        <v>85010</v>
      </c>
      <c r="I111" s="55" t="s">
        <v>166</v>
      </c>
      <c r="J111" s="55" t="s">
        <v>249</v>
      </c>
      <c r="K111" s="51">
        <v>24.8</v>
      </c>
      <c r="L111" s="51">
        <v>21.6</v>
      </c>
      <c r="M111" s="51">
        <v>23.6</v>
      </c>
      <c r="N111" s="51">
        <v>24</v>
      </c>
      <c r="O111" s="51">
        <v>23.2</v>
      </c>
      <c r="P111" s="51">
        <v>21</v>
      </c>
      <c r="Q111" s="51">
        <v>23.2</v>
      </c>
      <c r="R111" s="51">
        <v>23.8</v>
      </c>
      <c r="S111" s="51">
        <v>24.8</v>
      </c>
      <c r="T111" s="51">
        <v>24</v>
      </c>
      <c r="U111" s="51">
        <v>22.4</v>
      </c>
      <c r="V111" s="51">
        <v>23.6</v>
      </c>
      <c r="W111" s="51">
        <v>22.6</v>
      </c>
      <c r="X111" s="51"/>
      <c r="Y111" s="51"/>
      <c r="Z111" s="111"/>
      <c r="AA111" s="51"/>
      <c r="AB111" s="51"/>
      <c r="AC111" s="51"/>
      <c r="AD111" s="51"/>
      <c r="AE111" s="51"/>
      <c r="AF111" s="51"/>
      <c r="AG111" s="51"/>
      <c r="AH111" s="51"/>
      <c r="AI111" s="51"/>
      <c r="AJ111" s="51"/>
      <c r="AK111" s="51"/>
      <c r="AL111" s="51"/>
      <c r="AM111" s="51"/>
      <c r="AN111" s="51"/>
      <c r="AO111" s="51"/>
      <c r="AP111" s="88">
        <f t="shared" si="6"/>
        <v>13</v>
      </c>
      <c r="AQ111" s="89" t="str">
        <f t="shared" si="7"/>
        <v/>
      </c>
      <c r="AR111" s="89">
        <f>IFERROR(VLOOKUP(A111,Climatologia!A:U,9+$E$2,FALSE),"")</f>
        <v>22.868438849358391</v>
      </c>
      <c r="AS111" s="89" t="str">
        <f t="shared" si="8"/>
        <v/>
      </c>
      <c r="AT111" s="90">
        <f t="shared" si="9"/>
        <v>21</v>
      </c>
      <c r="AU111" s="90" t="str">
        <f t="array" ref="AU111">IFERROR(
  _xlfn.LET(
    _xlpm.mesTxt, INDEX({"ENERO","FEBRERO","MARZO","ABRIL","MAYO","JUNIO","JULIO","AGOSTO","SEPTIEMBRE","OCTUBRE","NOVIEMBRE","DICIEMBRE"}, E$2),
    _xlpm.colIni, MATCH(_xlpm.mesTxt, Minimos!$1:$1, 0),
    _xlpm.fila, MATCH($A111, Minimos!$A:$A, 0),
    _xlpm.val, INDEX(Minimos!$A:$ZZ, _xlpm.fila, _xlpm.colIni),
    IF(_xlpm.val="", "", _xlpm.val)
  ),
"")</f>
        <v/>
      </c>
      <c r="AV111" s="91" t="str">
        <f t="array" ref="AV11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11" s="92" t="str">
        <f t="shared" si="10"/>
        <v>NA</v>
      </c>
    </row>
    <row r="112" spans="1:49" ht="14.25" customHeight="1" x14ac:dyDescent="0.2">
      <c r="A112" s="48">
        <v>35195050</v>
      </c>
      <c r="B112" s="52" t="s">
        <v>250</v>
      </c>
      <c r="C112" s="52" t="s">
        <v>211</v>
      </c>
      <c r="D112" s="53">
        <v>-72.717222219999996</v>
      </c>
      <c r="E112" s="53">
        <v>5.4072777780000001</v>
      </c>
      <c r="F112" s="48">
        <v>1550</v>
      </c>
      <c r="G112" s="46">
        <v>15</v>
      </c>
      <c r="H112" s="46">
        <v>15518</v>
      </c>
      <c r="I112" s="55" t="s">
        <v>212</v>
      </c>
      <c r="J112" s="55" t="s">
        <v>251</v>
      </c>
      <c r="K112" s="51">
        <v>14.4</v>
      </c>
      <c r="L112" s="51">
        <v>14.6</v>
      </c>
      <c r="M112" s="51">
        <v>16.5</v>
      </c>
      <c r="N112" s="51">
        <v>14.2</v>
      </c>
      <c r="O112" s="51">
        <v>15.5</v>
      </c>
      <c r="P112" s="51">
        <v>14.2</v>
      </c>
      <c r="Q112" s="51">
        <v>16.5</v>
      </c>
      <c r="R112" s="51">
        <v>15.8</v>
      </c>
      <c r="S112" s="51">
        <v>14.4</v>
      </c>
      <c r="T112" s="51">
        <v>15.6</v>
      </c>
      <c r="U112" s="51">
        <v>16.8</v>
      </c>
      <c r="V112" s="51">
        <v>14.6</v>
      </c>
      <c r="W112" s="51">
        <v>14</v>
      </c>
      <c r="X112" s="51"/>
      <c r="Y112" s="51"/>
      <c r="Z112" s="111"/>
      <c r="AA112" s="51"/>
      <c r="AB112" s="51"/>
      <c r="AC112" s="51"/>
      <c r="AD112" s="51"/>
      <c r="AE112" s="51"/>
      <c r="AF112" s="51"/>
      <c r="AG112" s="51"/>
      <c r="AH112" s="51"/>
      <c r="AI112" s="51"/>
      <c r="AJ112" s="51"/>
      <c r="AK112" s="51"/>
      <c r="AL112" s="51"/>
      <c r="AM112" s="51"/>
      <c r="AN112" s="51"/>
      <c r="AO112" s="51"/>
      <c r="AP112" s="88">
        <f t="shared" si="6"/>
        <v>13</v>
      </c>
      <c r="AQ112" s="89" t="str">
        <f t="shared" si="7"/>
        <v/>
      </c>
      <c r="AR112" s="89">
        <f>IFERROR(VLOOKUP(A112,Climatologia!A:U,9+$E$2,FALSE),"")</f>
        <v>15.184620689655169</v>
      </c>
      <c r="AS112" s="89" t="str">
        <f t="shared" si="8"/>
        <v/>
      </c>
      <c r="AT112" s="90">
        <f t="shared" si="9"/>
        <v>14</v>
      </c>
      <c r="AU112" s="90">
        <f t="array" ref="AU112">IFERROR(
  _xlfn.LET(
    _xlpm.mesTxt, INDEX({"ENERO","FEBRERO","MARZO","ABRIL","MAYO","JUNIO","JULIO","AGOSTO","SEPTIEMBRE","OCTUBRE","NOVIEMBRE","DICIEMBRE"}, E$2),
    _xlpm.colIni, MATCH(_xlpm.mesTxt, Minimos!$1:$1, 0),
    _xlpm.fila, MATCH($A112, Minimos!$A:$A, 0),
    _xlpm.val, INDEX(Minimos!$A:$ZZ, _xlpm.fila, _xlpm.colIni),
    IF(_xlpm.val="", "", _xlpm.val)
  ),
"")</f>
        <v>8.4</v>
      </c>
      <c r="AV112" s="91">
        <f t="array" ref="AV11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MATCH($A112, Minimos!$A:$A, 0),
    _xlpm.anio, INDEX(Minimos!$A:$ZZ, _xlpm.fila, _xlpm.colIni+1),
    _xlpm.dia, INDEX(Minimos!$A:$ZZ, _xlpm.fila, _xlpm.colIni+2),
    IF(OR(_xlpm.anio="",_xlpm.dia=""), "", DATE(_xlpm.anio, _xlpm.mesNum, _xlpm.dia))
  ),
"")</f>
        <v>34593</v>
      </c>
      <c r="AW112" s="92">
        <f t="shared" si="10"/>
        <v>5.6</v>
      </c>
    </row>
    <row r="113" spans="1:49" ht="14.25" customHeight="1" x14ac:dyDescent="0.2">
      <c r="A113" s="48">
        <v>35215020</v>
      </c>
      <c r="B113" s="52" t="s">
        <v>252</v>
      </c>
      <c r="C113" s="52" t="s">
        <v>211</v>
      </c>
      <c r="D113" s="53">
        <v>-72.387500000000003</v>
      </c>
      <c r="E113" s="53">
        <v>5.3204444439999996</v>
      </c>
      <c r="F113" s="48">
        <v>325</v>
      </c>
      <c r="G113" s="46">
        <v>85</v>
      </c>
      <c r="H113" s="46">
        <v>85001</v>
      </c>
      <c r="I113" s="55" t="s">
        <v>166</v>
      </c>
      <c r="J113" s="55" t="s">
        <v>253</v>
      </c>
      <c r="K113" s="51">
        <v>21.4</v>
      </c>
      <c r="L113" s="51">
        <v>18.399999999999999</v>
      </c>
      <c r="M113" s="51">
        <v>19.2</v>
      </c>
      <c r="N113" s="51">
        <v>19.399999999999999</v>
      </c>
      <c r="O113" s="51">
        <v>19</v>
      </c>
      <c r="P113" s="51">
        <v>17.600000000000001</v>
      </c>
      <c r="Q113" s="51">
        <v>19.399999999999999</v>
      </c>
      <c r="R113" s="51">
        <v>20</v>
      </c>
      <c r="S113" s="51">
        <v>20.2</v>
      </c>
      <c r="T113" s="51">
        <v>19.8</v>
      </c>
      <c r="U113" s="51">
        <v>18.399999999999999</v>
      </c>
      <c r="V113" s="51">
        <v>19.600000000000001</v>
      </c>
      <c r="W113" s="51">
        <v>18.8</v>
      </c>
      <c r="X113" s="51"/>
      <c r="Y113" s="51"/>
      <c r="Z113" s="111"/>
      <c r="AA113" s="51"/>
      <c r="AB113" s="51"/>
      <c r="AC113" s="51"/>
      <c r="AD113" s="51"/>
      <c r="AE113" s="51"/>
      <c r="AF113" s="51"/>
      <c r="AG113" s="51"/>
      <c r="AH113" s="51"/>
      <c r="AI113" s="51"/>
      <c r="AJ113" s="51"/>
      <c r="AK113" s="51"/>
      <c r="AL113" s="51"/>
      <c r="AM113" s="51"/>
      <c r="AN113" s="51"/>
      <c r="AO113" s="51"/>
      <c r="AP113" s="88">
        <f t="shared" si="6"/>
        <v>13</v>
      </c>
      <c r="AQ113" s="89" t="str">
        <f t="shared" si="7"/>
        <v/>
      </c>
      <c r="AR113" s="89">
        <f>IFERROR(VLOOKUP(A113,Climatologia!A:U,9+$E$2,FALSE),"")</f>
        <v>22.39663970483894</v>
      </c>
      <c r="AS113" s="89" t="str">
        <f t="shared" si="8"/>
        <v/>
      </c>
      <c r="AT113" s="90">
        <f t="shared" si="9"/>
        <v>17.600000000000001</v>
      </c>
      <c r="AU113" s="90">
        <f t="array" ref="AU113">IFERROR(
  _xlfn.LET(
    _xlpm.mesTxt, INDEX({"ENERO","FEBRERO","MARZO","ABRIL","MAYO","JUNIO","JULIO","AGOSTO","SEPTIEMBRE","OCTUBRE","NOVIEMBRE","DICIEMBRE"}, E$2),
    _xlpm.colIni, MATCH(_xlpm.mesTxt, Minimos!$1:$1, 0),
    _xlpm.fila, MATCH($A113, Minimos!$A:$A, 0),
    _xlpm.val, INDEX(Minimos!$A:$ZZ, _xlpm.fila, _xlpm.colIni),
    IF(_xlpm.val="", "", _xlpm.val)
  ),
"")</f>
        <v>18</v>
      </c>
      <c r="AV113" s="91">
        <f t="array" ref="AV11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MATCH($A113, Minimos!$A:$A, 0),
    _xlpm.anio, INDEX(Minimos!$A:$ZZ, _xlpm.fila, _xlpm.colIni+1),
    _xlpm.dia, INDEX(Minimos!$A:$ZZ, _xlpm.fila, _xlpm.colIni+2),
    IF(OR(_xlpm.anio="",_xlpm.dia=""), "", DATE(_xlpm.anio, _xlpm.mesNum, _xlpm.dia))
  ),
"")</f>
        <v>30947</v>
      </c>
      <c r="AW113" s="92">
        <f t="shared" si="10"/>
        <v>-0.39999999999999858</v>
      </c>
    </row>
    <row r="114" spans="1:49" ht="14.25" customHeight="1" x14ac:dyDescent="0.2">
      <c r="A114" s="48">
        <v>35235040</v>
      </c>
      <c r="B114" s="52" t="s">
        <v>254</v>
      </c>
      <c r="C114" s="52" t="s">
        <v>211</v>
      </c>
      <c r="D114" s="53">
        <v>-71.666166669999996</v>
      </c>
      <c r="E114" s="53">
        <v>5.4190277780000002</v>
      </c>
      <c r="F114" s="48">
        <v>265</v>
      </c>
      <c r="G114" s="46">
        <v>85</v>
      </c>
      <c r="H114" s="46">
        <v>85430</v>
      </c>
      <c r="I114" s="55" t="s">
        <v>166</v>
      </c>
      <c r="J114" s="55" t="s">
        <v>255</v>
      </c>
      <c r="K114" s="51"/>
      <c r="L114" s="51">
        <v>21.6</v>
      </c>
      <c r="M114" s="51"/>
      <c r="N114" s="51"/>
      <c r="O114" s="51"/>
      <c r="P114" s="51">
        <v>22</v>
      </c>
      <c r="Q114" s="51">
        <v>21.8</v>
      </c>
      <c r="R114" s="51">
        <v>22</v>
      </c>
      <c r="S114" s="51">
        <v>23</v>
      </c>
      <c r="T114" s="51">
        <v>23.2</v>
      </c>
      <c r="U114" s="51">
        <v>21.6</v>
      </c>
      <c r="V114" s="51">
        <v>22.2</v>
      </c>
      <c r="W114" s="51">
        <v>23</v>
      </c>
      <c r="X114" s="51"/>
      <c r="Y114" s="51"/>
      <c r="Z114" s="111"/>
      <c r="AA114" s="51"/>
      <c r="AB114" s="51"/>
      <c r="AC114" s="51"/>
      <c r="AD114" s="51"/>
      <c r="AE114" s="51"/>
      <c r="AF114" s="51"/>
      <c r="AG114" s="51"/>
      <c r="AH114" s="51"/>
      <c r="AI114" s="51"/>
      <c r="AJ114" s="51"/>
      <c r="AK114" s="51"/>
      <c r="AL114" s="51"/>
      <c r="AM114" s="51"/>
      <c r="AN114" s="51"/>
      <c r="AO114" s="51"/>
      <c r="AP114" s="88">
        <f t="shared" si="6"/>
        <v>9</v>
      </c>
      <c r="AQ114" s="89" t="str">
        <f t="shared" si="7"/>
        <v/>
      </c>
      <c r="AR114" s="89" t="str">
        <f>IFERROR(VLOOKUP(A114,Climatologia!A:U,9+$E$2,FALSE),"")</f>
        <v/>
      </c>
      <c r="AS114" s="89" t="str">
        <f t="shared" si="8"/>
        <v/>
      </c>
      <c r="AT114" s="90">
        <f t="shared" si="9"/>
        <v>21.6</v>
      </c>
      <c r="AU114" s="90" t="str">
        <f t="array" ref="AU114">IFERROR(
  _xlfn.LET(
    _xlpm.mesTxt, INDEX({"ENERO","FEBRERO","MARZO","ABRIL","MAYO","JUNIO","JULIO","AGOSTO","SEPTIEMBRE","OCTUBRE","NOVIEMBRE","DICIEMBRE"}, E$2),
    _xlpm.colIni, MATCH(_xlpm.mesTxt, Minimos!$1:$1, 0),
    _xlpm.fila, MATCH($A114, Minimos!$A:$A, 0),
    _xlpm.val, INDEX(Minimos!$A:$ZZ, _xlpm.fila, _xlpm.colIni),
    IF(_xlpm.val="", "", _xlpm.val)
  ),
"")</f>
        <v/>
      </c>
      <c r="AV114" s="91" t="str">
        <f t="array" ref="AV11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14" s="92" t="str">
        <f t="shared" si="10"/>
        <v>NA</v>
      </c>
    </row>
    <row r="115" spans="1:49" ht="14.25" customHeight="1" x14ac:dyDescent="0.2">
      <c r="A115" s="48">
        <v>35235050</v>
      </c>
      <c r="B115" s="52" t="s">
        <v>256</v>
      </c>
      <c r="C115" s="52" t="s">
        <v>211</v>
      </c>
      <c r="D115" s="53">
        <v>-72.166777780000004</v>
      </c>
      <c r="E115" s="53">
        <v>5.8185833330000003</v>
      </c>
      <c r="F115" s="48">
        <v>117</v>
      </c>
      <c r="G115" s="46">
        <v>85</v>
      </c>
      <c r="H115" s="46">
        <v>85400</v>
      </c>
      <c r="I115" s="55" t="s">
        <v>166</v>
      </c>
      <c r="J115" s="55" t="s">
        <v>257</v>
      </c>
      <c r="K115" s="51">
        <v>20.2</v>
      </c>
      <c r="L115" s="51">
        <v>19.399999999999999</v>
      </c>
      <c r="M115" s="51">
        <v>20.2</v>
      </c>
      <c r="N115" s="51">
        <v>21.2</v>
      </c>
      <c r="O115" s="51">
        <v>22.4</v>
      </c>
      <c r="P115" s="51">
        <v>20.2</v>
      </c>
      <c r="Q115" s="51">
        <v>20.2</v>
      </c>
      <c r="R115" s="51">
        <v>21.2</v>
      </c>
      <c r="S115" s="51">
        <v>20.2</v>
      </c>
      <c r="T115" s="51">
        <v>20.2</v>
      </c>
      <c r="U115" s="51"/>
      <c r="V115" s="51">
        <v>21.2</v>
      </c>
      <c r="W115" s="51">
        <v>21.2</v>
      </c>
      <c r="X115" s="51"/>
      <c r="Y115" s="51"/>
      <c r="Z115" s="111"/>
      <c r="AA115" s="51"/>
      <c r="AB115" s="51"/>
      <c r="AC115" s="51"/>
      <c r="AD115" s="51"/>
      <c r="AE115" s="51"/>
      <c r="AF115" s="51"/>
      <c r="AG115" s="51"/>
      <c r="AH115" s="51"/>
      <c r="AI115" s="51"/>
      <c r="AJ115" s="51"/>
      <c r="AK115" s="51"/>
      <c r="AL115" s="51"/>
      <c r="AM115" s="51"/>
      <c r="AN115" s="51"/>
      <c r="AO115" s="51"/>
      <c r="AP115" s="88">
        <f t="shared" si="6"/>
        <v>12</v>
      </c>
      <c r="AQ115" s="89" t="str">
        <f t="shared" si="7"/>
        <v/>
      </c>
      <c r="AR115" s="89">
        <f>IFERROR(VLOOKUP(A115,Climatologia!A:U,9+$E$2,FALSE),"")</f>
        <v>18.540485312899111</v>
      </c>
      <c r="AS115" s="89" t="str">
        <f t="shared" si="8"/>
        <v/>
      </c>
      <c r="AT115" s="90">
        <f t="shared" si="9"/>
        <v>19.399999999999999</v>
      </c>
      <c r="AU115" s="90">
        <f t="array" ref="AU115">IFERROR(
  _xlfn.LET(
    _xlpm.mesTxt, INDEX({"ENERO","FEBRERO","MARZO","ABRIL","MAYO","JUNIO","JULIO","AGOSTO","SEPTIEMBRE","OCTUBRE","NOVIEMBRE","DICIEMBRE"}, E$2),
    _xlpm.colIni, MATCH(_xlpm.mesTxt, Minimos!$1:$1, 0),
    _xlpm.fila, MATCH($A115, Minimos!$A:$A, 0),
    _xlpm.val, INDEX(Minimos!$A:$ZZ, _xlpm.fila, _xlpm.colIni),
    IF(_xlpm.val="", "", _xlpm.val)
  ),
"")</f>
        <v>14.5</v>
      </c>
      <c r="AV115" s="91">
        <f t="array" ref="AV11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MATCH($A115, Minimos!$A:$A, 0),
    _xlpm.anio, INDEX(Minimos!$A:$ZZ, _xlpm.fila, _xlpm.colIni+1),
    _xlpm.dia, INDEX(Minimos!$A:$ZZ, _xlpm.fila, _xlpm.colIni+2),
    IF(OR(_xlpm.anio="",_xlpm.dia=""), "", DATE(_xlpm.anio, _xlpm.mesNum, _xlpm.dia))
  ),
"")</f>
        <v>41901</v>
      </c>
      <c r="AW115" s="92">
        <f t="shared" si="10"/>
        <v>4.8999999999999986</v>
      </c>
    </row>
    <row r="116" spans="1:49" ht="14.25" customHeight="1" x14ac:dyDescent="0.2">
      <c r="A116" s="48">
        <v>36015010</v>
      </c>
      <c r="B116" s="52" t="s">
        <v>258</v>
      </c>
      <c r="C116" s="52" t="s">
        <v>211</v>
      </c>
      <c r="D116" s="53">
        <v>-71.887194440000002</v>
      </c>
      <c r="E116" s="53">
        <v>5.8785277779999996</v>
      </c>
      <c r="F116" s="48">
        <v>342</v>
      </c>
      <c r="G116" s="46">
        <v>85</v>
      </c>
      <c r="H116" s="46">
        <v>85250</v>
      </c>
      <c r="I116" s="55" t="s">
        <v>166</v>
      </c>
      <c r="J116" s="55" t="s">
        <v>258</v>
      </c>
      <c r="K116" s="51">
        <v>22.2</v>
      </c>
      <c r="L116" s="51"/>
      <c r="M116" s="51">
        <v>22.4</v>
      </c>
      <c r="N116" s="51">
        <v>22.2</v>
      </c>
      <c r="O116" s="51">
        <v>22</v>
      </c>
      <c r="P116" s="51">
        <v>22.2</v>
      </c>
      <c r="Q116" s="51"/>
      <c r="R116" s="51">
        <v>24.2</v>
      </c>
      <c r="S116" s="51">
        <v>22.6</v>
      </c>
      <c r="T116" s="51">
        <v>24</v>
      </c>
      <c r="U116" s="51">
        <v>22.8</v>
      </c>
      <c r="V116" s="51">
        <v>24.2</v>
      </c>
      <c r="W116" s="51">
        <v>23</v>
      </c>
      <c r="X116" s="51"/>
      <c r="Y116" s="51"/>
      <c r="Z116" s="111"/>
      <c r="AA116" s="51"/>
      <c r="AB116" s="51"/>
      <c r="AC116" s="51"/>
      <c r="AD116" s="51"/>
      <c r="AE116" s="51"/>
      <c r="AF116" s="51"/>
      <c r="AG116" s="51"/>
      <c r="AH116" s="51"/>
      <c r="AI116" s="51"/>
      <c r="AJ116" s="51"/>
      <c r="AK116" s="51"/>
      <c r="AL116" s="51"/>
      <c r="AM116" s="51"/>
      <c r="AN116" s="51"/>
      <c r="AO116" s="51"/>
      <c r="AP116" s="88">
        <f t="shared" si="6"/>
        <v>11</v>
      </c>
      <c r="AQ116" s="89" t="str">
        <f t="shared" si="7"/>
        <v/>
      </c>
      <c r="AR116" s="89">
        <f>IFERROR(VLOOKUP(A116,Climatologia!A:U,9+$E$2,FALSE),"")</f>
        <v>22.374270023718299</v>
      </c>
      <c r="AS116" s="89" t="str">
        <f t="shared" si="8"/>
        <v/>
      </c>
      <c r="AT116" s="90">
        <f t="shared" si="9"/>
        <v>22</v>
      </c>
      <c r="AU116" s="90">
        <f t="array" ref="AU116">IFERROR(
  _xlfn.LET(
    _xlpm.mesTxt, INDEX({"ENERO","FEBRERO","MARZO","ABRIL","MAYO","JUNIO","JULIO","AGOSTO","SEPTIEMBRE","OCTUBRE","NOVIEMBRE","DICIEMBRE"}, E$2),
    _xlpm.colIni, MATCH(_xlpm.mesTxt, Minimos!$1:$1, 0),
    _xlpm.fila, MATCH($A116, Minimos!$A:$A, 0),
    _xlpm.val, INDEX(Minimos!$A:$ZZ, _xlpm.fila, _xlpm.colIni),
    IF(_xlpm.val="", "", _xlpm.val)
  ),
"")</f>
        <v>18</v>
      </c>
      <c r="AV116" s="91">
        <f t="array" ref="AV11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MATCH($A116, Minimos!$A:$A, 0),
    _xlpm.anio, INDEX(Minimos!$A:$ZZ, _xlpm.fila, _xlpm.colIni+1),
    _xlpm.dia, INDEX(Minimos!$A:$ZZ, _xlpm.fila, _xlpm.colIni+2),
    IF(OR(_xlpm.anio="",_xlpm.dia=""), "", DATE(_xlpm.anio, _xlpm.mesNum, _xlpm.dia))
  ),
"")</f>
        <v>39345</v>
      </c>
      <c r="AW116" s="92">
        <f t="shared" si="10"/>
        <v>4</v>
      </c>
    </row>
    <row r="117" spans="1:49" ht="14.25" customHeight="1" x14ac:dyDescent="0.2">
      <c r="A117" s="48">
        <v>36025010</v>
      </c>
      <c r="B117" s="52" t="s">
        <v>259</v>
      </c>
      <c r="C117" s="52" t="s">
        <v>211</v>
      </c>
      <c r="D117" s="53">
        <v>-71.745027780000001</v>
      </c>
      <c r="E117" s="53">
        <v>6.4561944440000003</v>
      </c>
      <c r="F117" s="48">
        <v>350</v>
      </c>
      <c r="G117" s="46">
        <v>81</v>
      </c>
      <c r="H117" s="46">
        <v>81794</v>
      </c>
      <c r="I117" s="55" t="s">
        <v>90</v>
      </c>
      <c r="J117" s="55" t="s">
        <v>259</v>
      </c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111"/>
      <c r="AA117" s="51"/>
      <c r="AB117" s="51"/>
      <c r="AC117" s="51"/>
      <c r="AD117" s="51"/>
      <c r="AE117" s="51"/>
      <c r="AF117" s="51"/>
      <c r="AG117" s="51"/>
      <c r="AH117" s="51"/>
      <c r="AI117" s="51"/>
      <c r="AJ117" s="51"/>
      <c r="AK117" s="51"/>
      <c r="AL117" s="51"/>
      <c r="AM117" s="51"/>
      <c r="AN117" s="51"/>
      <c r="AO117" s="51"/>
      <c r="AP117" s="88">
        <f t="shared" si="6"/>
        <v>0</v>
      </c>
      <c r="AQ117" s="89" t="str">
        <f t="shared" si="7"/>
        <v/>
      </c>
      <c r="AR117" s="89">
        <f>IFERROR(VLOOKUP(A117,Climatologia!A:U,9+$E$2,FALSE),"")</f>
        <v>21.63752371829958</v>
      </c>
      <c r="AS117" s="89" t="str">
        <f t="shared" si="8"/>
        <v/>
      </c>
      <c r="AT117" s="90" t="str">
        <f t="shared" si="9"/>
        <v/>
      </c>
      <c r="AU117" s="90">
        <f t="array" ref="AU117">IFERROR(
  _xlfn.LET(
    _xlpm.mesTxt, INDEX({"ENERO","FEBRERO","MARZO","ABRIL","MAYO","JUNIO","JULIO","AGOSTO","SEPTIEMBRE","OCTUBRE","NOVIEMBRE","DICIEMBRE"}, E$2),
    _xlpm.colIni, MATCH(_xlpm.mesTxt, Minimos!$1:$1, 0),
    _xlpm.fila, MATCH($A117, Minimos!$A:$A, 0),
    _xlpm.val, INDEX(Minimos!$A:$ZZ, _xlpm.fila, _xlpm.colIni),
    IF(_xlpm.val="", "", _xlpm.val)
  ),
"")</f>
        <v>18</v>
      </c>
      <c r="AV117" s="91">
        <f t="array" ref="AV11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MATCH($A117, Minimos!$A:$A, 0),
    _xlpm.anio, INDEX(Minimos!$A:$ZZ, _xlpm.fila, _xlpm.colIni+1),
    _xlpm.dia, INDEX(Minimos!$A:$ZZ, _xlpm.fila, _xlpm.colIni+2),
    IF(OR(_xlpm.anio="",_xlpm.dia=""), "", DATE(_xlpm.anio, _xlpm.mesNum, _xlpm.dia))
  ),
"")</f>
        <v>40790</v>
      </c>
      <c r="AW117" s="92" t="str">
        <f t="shared" si="10"/>
        <v>NA</v>
      </c>
    </row>
    <row r="118" spans="1:49" ht="14.25" customHeight="1" x14ac:dyDescent="0.2">
      <c r="A118" s="48">
        <v>44015030</v>
      </c>
      <c r="B118" s="52" t="s">
        <v>260</v>
      </c>
      <c r="C118" s="52" t="s">
        <v>261</v>
      </c>
      <c r="D118" s="53">
        <v>-76.668750000000003</v>
      </c>
      <c r="E118" s="53">
        <v>1.900416667</v>
      </c>
      <c r="F118" s="48">
        <v>2900</v>
      </c>
      <c r="G118" s="46">
        <v>19</v>
      </c>
      <c r="H118" s="46">
        <v>19693</v>
      </c>
      <c r="I118" s="55" t="s">
        <v>181</v>
      </c>
      <c r="J118" s="55" t="s">
        <v>262</v>
      </c>
      <c r="K118" s="51">
        <v>4.5999999999999996</v>
      </c>
      <c r="L118" s="51">
        <v>7.4</v>
      </c>
      <c r="M118" s="51">
        <v>9.6</v>
      </c>
      <c r="N118" s="51">
        <v>8</v>
      </c>
      <c r="O118" s="51">
        <v>9.1999999999999993</v>
      </c>
      <c r="P118" s="51">
        <v>7.6</v>
      </c>
      <c r="Q118" s="51">
        <v>8.8000000000000007</v>
      </c>
      <c r="R118" s="51">
        <v>8.6</v>
      </c>
      <c r="S118" s="51">
        <v>10.199999999999999</v>
      </c>
      <c r="T118" s="51">
        <v>9.1999999999999993</v>
      </c>
      <c r="U118" s="51">
        <v>9.4</v>
      </c>
      <c r="V118" s="51">
        <v>5</v>
      </c>
      <c r="W118" s="51">
        <v>5.6</v>
      </c>
      <c r="X118" s="51"/>
      <c r="Y118" s="51"/>
      <c r="Z118" s="111"/>
      <c r="AA118" s="51"/>
      <c r="AB118" s="51"/>
      <c r="AC118" s="51"/>
      <c r="AD118" s="51"/>
      <c r="AE118" s="51"/>
      <c r="AF118" s="51"/>
      <c r="AG118" s="51"/>
      <c r="AH118" s="51"/>
      <c r="AI118" s="51"/>
      <c r="AJ118" s="51"/>
      <c r="AK118" s="51"/>
      <c r="AL118" s="51"/>
      <c r="AM118" s="51"/>
      <c r="AN118" s="51"/>
      <c r="AO118" s="51"/>
      <c r="AP118" s="88">
        <f t="shared" si="6"/>
        <v>13</v>
      </c>
      <c r="AQ118" s="89" t="str">
        <f t="shared" si="7"/>
        <v/>
      </c>
      <c r="AR118" s="89">
        <f>IFERROR(VLOOKUP(A118,Climatologia!A:U,9+$E$2,FALSE),"")</f>
        <v>5.3443424510780826</v>
      </c>
      <c r="AS118" s="89" t="str">
        <f t="shared" si="8"/>
        <v/>
      </c>
      <c r="AT118" s="90">
        <f t="shared" si="9"/>
        <v>4.5999999999999996</v>
      </c>
      <c r="AU118" s="90">
        <f t="array" ref="AU118">IFERROR(
  _xlfn.LET(
    _xlpm.mesTxt, INDEX({"ENERO","FEBRERO","MARZO","ABRIL","MAYO","JUNIO","JULIO","AGOSTO","SEPTIEMBRE","OCTUBRE","NOVIEMBRE","DICIEMBRE"}, E$2),
    _xlpm.colIni, MATCH(_xlpm.mesTxt, Minimos!$1:$1, 0),
    _xlpm.fila, MATCH($A118, Minimos!$A:$A, 0),
    _xlpm.val, INDEX(Minimos!$A:$ZZ, _xlpm.fila, _xlpm.colIni),
    IF(_xlpm.val="", "", _xlpm.val)
  ),
"")</f>
        <v>-1.6</v>
      </c>
      <c r="AV118" s="91">
        <f t="array" ref="AV11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MATCH($A118, Minimos!$A:$A, 0),
    _xlpm.anio, INDEX(Minimos!$A:$ZZ, _xlpm.fila, _xlpm.colIni+1),
    _xlpm.dia, INDEX(Minimos!$A:$ZZ, _xlpm.fila, _xlpm.colIni+2),
    IF(OR(_xlpm.anio="",_xlpm.dia=""), "", DATE(_xlpm.anio, _xlpm.mesNum, _xlpm.dia))
  ),
"")</f>
        <v>41529</v>
      </c>
      <c r="AW118" s="92">
        <f t="shared" si="10"/>
        <v>6.1999999999999993</v>
      </c>
    </row>
    <row r="119" spans="1:49" ht="14.25" customHeight="1" x14ac:dyDescent="0.2">
      <c r="A119" s="48">
        <v>44015060</v>
      </c>
      <c r="B119" s="52" t="s">
        <v>263</v>
      </c>
      <c r="C119" s="52" t="s">
        <v>261</v>
      </c>
      <c r="D119" s="53">
        <v>-76.651833330000002</v>
      </c>
      <c r="E119" s="53">
        <v>1.157333333</v>
      </c>
      <c r="F119" s="48">
        <v>650</v>
      </c>
      <c r="G119" s="46">
        <v>86</v>
      </c>
      <c r="H119" s="46">
        <v>86001</v>
      </c>
      <c r="I119" s="55" t="s">
        <v>264</v>
      </c>
      <c r="J119" s="55" t="s">
        <v>265</v>
      </c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111"/>
      <c r="AA119" s="51"/>
      <c r="AB119" s="51"/>
      <c r="AC119" s="51"/>
      <c r="AD119" s="51"/>
      <c r="AE119" s="51"/>
      <c r="AF119" s="51"/>
      <c r="AG119" s="51"/>
      <c r="AH119" s="51"/>
      <c r="AI119" s="51"/>
      <c r="AJ119" s="51"/>
      <c r="AK119" s="51"/>
      <c r="AL119" s="51"/>
      <c r="AM119" s="51"/>
      <c r="AN119" s="51"/>
      <c r="AO119" s="51"/>
      <c r="AP119" s="88">
        <f t="shared" si="6"/>
        <v>0</v>
      </c>
      <c r="AQ119" s="89" t="str">
        <f t="shared" si="7"/>
        <v/>
      </c>
      <c r="AR119" s="89">
        <f>IFERROR(VLOOKUP(A119,Climatologia!A:U,9+$E$2,FALSE),"")</f>
        <v>19.974118469865591</v>
      </c>
      <c r="AS119" s="89" t="str">
        <f t="shared" si="8"/>
        <v/>
      </c>
      <c r="AT119" s="90" t="str">
        <f t="shared" si="9"/>
        <v/>
      </c>
      <c r="AU119" s="90">
        <f t="array" ref="AU119">IFERROR(
  _xlfn.LET(
    _xlpm.mesTxt, INDEX({"ENERO","FEBRERO","MARZO","ABRIL","MAYO","JUNIO","JULIO","AGOSTO","SEPTIEMBRE","OCTUBRE","NOVIEMBRE","DICIEMBRE"}, E$2),
    _xlpm.colIni, MATCH(_xlpm.mesTxt, Minimos!$1:$1, 0),
    _xlpm.fila, MATCH($A119, Minimos!$A:$A, 0),
    _xlpm.val, INDEX(Minimos!$A:$ZZ, _xlpm.fila, _xlpm.colIni),
    IF(_xlpm.val="", "", _xlpm.val)
  ),
"")</f>
        <v>16</v>
      </c>
      <c r="AV119" s="91">
        <f t="array" ref="AV11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MATCH($A119, Minimos!$A:$A, 0),
    _xlpm.anio, INDEX(Minimos!$A:$ZZ, _xlpm.fila, _xlpm.colIni+1),
    _xlpm.dia, INDEX(Minimos!$A:$ZZ, _xlpm.fila, _xlpm.colIni+2),
    IF(OR(_xlpm.anio="",_xlpm.dia=""), "", DATE(_xlpm.anio, _xlpm.mesNum, _xlpm.dia))
  ),
"")</f>
        <v>33132</v>
      </c>
      <c r="AW119" s="92" t="str">
        <f t="shared" si="10"/>
        <v>NA</v>
      </c>
    </row>
    <row r="120" spans="1:49" ht="14.25" customHeight="1" x14ac:dyDescent="0.2">
      <c r="A120" s="48">
        <v>47015040</v>
      </c>
      <c r="B120" s="52" t="s">
        <v>266</v>
      </c>
      <c r="C120" s="52" t="s">
        <v>261</v>
      </c>
      <c r="D120" s="53">
        <v>-76.960972220000002</v>
      </c>
      <c r="E120" s="53">
        <v>1.198277778</v>
      </c>
      <c r="F120" s="48">
        <v>2100</v>
      </c>
      <c r="G120" s="46">
        <v>86</v>
      </c>
      <c r="H120" s="46">
        <v>86219</v>
      </c>
      <c r="I120" s="55" t="s">
        <v>264</v>
      </c>
      <c r="J120" s="55" t="s">
        <v>267</v>
      </c>
      <c r="K120" s="51">
        <v>8.3000000000000007</v>
      </c>
      <c r="L120" s="51">
        <v>9.3000000000000007</v>
      </c>
      <c r="M120" s="51">
        <v>10.5</v>
      </c>
      <c r="N120" s="51">
        <v>12.9</v>
      </c>
      <c r="O120" s="51">
        <v>12.4</v>
      </c>
      <c r="P120" s="51">
        <v>12.7</v>
      </c>
      <c r="Q120" s="51">
        <v>10.4</v>
      </c>
      <c r="R120" s="51">
        <v>11.5</v>
      </c>
      <c r="S120" s="51">
        <v>10.7</v>
      </c>
      <c r="T120" s="51">
        <v>11.4</v>
      </c>
      <c r="U120" s="51">
        <v>12.4</v>
      </c>
      <c r="V120" s="51">
        <v>11.7</v>
      </c>
      <c r="W120" s="51"/>
      <c r="X120" s="51"/>
      <c r="Y120" s="51"/>
      <c r="Z120" s="111"/>
      <c r="AA120" s="51"/>
      <c r="AB120" s="51"/>
      <c r="AC120" s="51"/>
      <c r="AD120" s="51"/>
      <c r="AE120" s="51"/>
      <c r="AF120" s="51"/>
      <c r="AG120" s="51"/>
      <c r="AH120" s="51"/>
      <c r="AI120" s="51"/>
      <c r="AJ120" s="51"/>
      <c r="AK120" s="51"/>
      <c r="AL120" s="51"/>
      <c r="AM120" s="51"/>
      <c r="AN120" s="51"/>
      <c r="AO120" s="51"/>
      <c r="AP120" s="88">
        <f t="shared" si="6"/>
        <v>12</v>
      </c>
      <c r="AQ120" s="89" t="str">
        <f t="shared" si="7"/>
        <v/>
      </c>
      <c r="AR120" s="89">
        <f>IFERROR(VLOOKUP(A120,Climatologia!A:U,9+$E$2,FALSE),"")</f>
        <v>10.619220882169749</v>
      </c>
      <c r="AS120" s="89" t="str">
        <f t="shared" si="8"/>
        <v/>
      </c>
      <c r="AT120" s="90">
        <f t="shared" si="9"/>
        <v>8.3000000000000007</v>
      </c>
      <c r="AU120" s="90">
        <f t="array" ref="AU120">IFERROR(
  _xlfn.LET(
    _xlpm.mesTxt, INDEX({"ENERO","FEBRERO","MARZO","ABRIL","MAYO","JUNIO","JULIO","AGOSTO","SEPTIEMBRE","OCTUBRE","NOVIEMBRE","DICIEMBRE"}, E$2),
    _xlpm.colIni, MATCH(_xlpm.mesTxt, Minimos!$1:$1, 0),
    _xlpm.fila, MATCH($A120, Minimos!$A:$A, 0),
    _xlpm.val, INDEX(Minimos!$A:$ZZ, _xlpm.fila, _xlpm.colIni),
    IF(_xlpm.val="", "", _xlpm.val)
  ),
"")</f>
        <v>3.4</v>
      </c>
      <c r="AV120" s="91">
        <f t="array" ref="AV12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MATCH($A120, Minimos!$A:$A, 0),
    _xlpm.anio, INDEX(Minimos!$A:$ZZ, _xlpm.fila, _xlpm.colIni+1),
    _xlpm.dia, INDEX(Minimos!$A:$ZZ, _xlpm.fila, _xlpm.colIni+2),
    IF(OR(_xlpm.anio="",_xlpm.dia=""), "", DATE(_xlpm.anio, _xlpm.mesNum, _xlpm.dia))
  ),
"")</f>
        <v>33139</v>
      </c>
      <c r="AW120" s="92">
        <f t="shared" si="10"/>
        <v>4.9000000000000004</v>
      </c>
    </row>
    <row r="121" spans="1:49" ht="14.25" customHeight="1" x14ac:dyDescent="0.2">
      <c r="A121" s="48">
        <v>47015080</v>
      </c>
      <c r="B121" s="52" t="s">
        <v>268</v>
      </c>
      <c r="C121" s="52" t="s">
        <v>261</v>
      </c>
      <c r="D121" s="53">
        <v>-77.303611110000006</v>
      </c>
      <c r="E121" s="53">
        <v>0.80491666699999997</v>
      </c>
      <c r="F121" s="48">
        <v>1776</v>
      </c>
      <c r="G121" s="46">
        <v>52</v>
      </c>
      <c r="H121" s="46">
        <v>52573</v>
      </c>
      <c r="I121" s="55" t="s">
        <v>82</v>
      </c>
      <c r="J121" s="55" t="s">
        <v>269</v>
      </c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111"/>
      <c r="AA121" s="51"/>
      <c r="AB121" s="51"/>
      <c r="AC121" s="51"/>
      <c r="AD121" s="51"/>
      <c r="AE121" s="51"/>
      <c r="AF121" s="51"/>
      <c r="AG121" s="51"/>
      <c r="AH121" s="51"/>
      <c r="AI121" s="51"/>
      <c r="AJ121" s="51"/>
      <c r="AK121" s="51"/>
      <c r="AL121" s="51"/>
      <c r="AM121" s="51"/>
      <c r="AN121" s="51"/>
      <c r="AO121" s="51"/>
      <c r="AP121" s="88">
        <f t="shared" si="6"/>
        <v>0</v>
      </c>
      <c r="AQ121" s="89" t="str">
        <f t="shared" si="7"/>
        <v/>
      </c>
      <c r="AR121" s="89">
        <f>IFERROR(VLOOKUP(A121,Climatologia!A:U,9+$E$2,FALSE),"")</f>
        <v>13.27264042872071</v>
      </c>
      <c r="AS121" s="89" t="str">
        <f t="shared" si="8"/>
        <v/>
      </c>
      <c r="AT121" s="90" t="str">
        <f t="shared" si="9"/>
        <v/>
      </c>
      <c r="AU121" s="90">
        <f t="array" ref="AU121">IFERROR(
  _xlfn.LET(
    _xlpm.mesTxt, INDEX({"ENERO","FEBRERO","MARZO","ABRIL","MAYO","JUNIO","JULIO","AGOSTO","SEPTIEMBRE","OCTUBRE","NOVIEMBRE","DICIEMBRE"}, E$2),
    _xlpm.colIni, MATCH(_xlpm.mesTxt, Minimos!$1:$1, 0),
    _xlpm.fila, MATCH($A121, Minimos!$A:$A, 0),
    _xlpm.val, INDEX(Minimos!$A:$ZZ, _xlpm.fila, _xlpm.colIni),
    IF(_xlpm.val="", "", _xlpm.val)
  ),
"")</f>
        <v>9</v>
      </c>
      <c r="AV121" s="91">
        <f t="array" ref="AV12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MATCH($A121, Minimos!$A:$A, 0),
    _xlpm.anio, INDEX(Minimos!$A:$ZZ, _xlpm.fila, _xlpm.colIni+1),
    _xlpm.dia, INDEX(Minimos!$A:$ZZ, _xlpm.fila, _xlpm.colIni+2),
    IF(OR(_xlpm.anio="",_xlpm.dia=""), "", DATE(_xlpm.anio, _xlpm.mesNum, _xlpm.dia))
  ),
"")</f>
        <v>37144</v>
      </c>
      <c r="AW121" s="92" t="str">
        <f t="shared" si="10"/>
        <v>NA</v>
      </c>
    </row>
    <row r="122" spans="1:49" ht="14.25" customHeight="1" x14ac:dyDescent="0.2">
      <c r="A122" s="48">
        <v>47015100</v>
      </c>
      <c r="B122" s="52" t="s">
        <v>270</v>
      </c>
      <c r="C122" s="52" t="s">
        <v>261</v>
      </c>
      <c r="D122" s="53">
        <v>-77.161472219999993</v>
      </c>
      <c r="E122" s="53">
        <v>1.159944444</v>
      </c>
      <c r="F122" s="48">
        <v>2830</v>
      </c>
      <c r="G122" s="46">
        <v>52</v>
      </c>
      <c r="H122" s="46">
        <v>52001</v>
      </c>
      <c r="I122" s="55" t="s">
        <v>82</v>
      </c>
      <c r="J122" s="55" t="s">
        <v>271</v>
      </c>
      <c r="K122" s="51">
        <v>5.4</v>
      </c>
      <c r="L122" s="51">
        <v>6.8</v>
      </c>
      <c r="M122" s="51">
        <v>9.8000000000000007</v>
      </c>
      <c r="N122" s="51">
        <v>7.8</v>
      </c>
      <c r="O122" s="51">
        <v>9.1999999999999993</v>
      </c>
      <c r="P122" s="51">
        <v>7.2</v>
      </c>
      <c r="Q122" s="51">
        <v>7</v>
      </c>
      <c r="R122" s="51">
        <v>5.8</v>
      </c>
      <c r="S122" s="51">
        <v>8</v>
      </c>
      <c r="T122" s="51">
        <v>9</v>
      </c>
      <c r="U122" s="51">
        <v>8.4</v>
      </c>
      <c r="V122" s="51">
        <v>7.8</v>
      </c>
      <c r="W122" s="51">
        <v>7</v>
      </c>
      <c r="X122" s="51"/>
      <c r="Y122" s="51"/>
      <c r="Z122" s="111"/>
      <c r="AA122" s="51"/>
      <c r="AB122" s="51"/>
      <c r="AC122" s="51"/>
      <c r="AD122" s="51"/>
      <c r="AE122" s="51"/>
      <c r="AF122" s="51"/>
      <c r="AG122" s="51"/>
      <c r="AH122" s="51"/>
      <c r="AI122" s="51"/>
      <c r="AJ122" s="51"/>
      <c r="AK122" s="51"/>
      <c r="AL122" s="51"/>
      <c r="AM122" s="51"/>
      <c r="AN122" s="51"/>
      <c r="AO122" s="51"/>
      <c r="AP122" s="88">
        <f t="shared" si="6"/>
        <v>13</v>
      </c>
      <c r="AQ122" s="89" t="str">
        <f t="shared" si="7"/>
        <v/>
      </c>
      <c r="AR122" s="89">
        <f>IFERROR(VLOOKUP(A122,Climatologia!A:U,9+$E$2,FALSE),"")</f>
        <v>7.3917414401264976</v>
      </c>
      <c r="AS122" s="89" t="str">
        <f t="shared" si="8"/>
        <v/>
      </c>
      <c r="AT122" s="90">
        <f t="shared" si="9"/>
        <v>5.4</v>
      </c>
      <c r="AU122" s="90">
        <f t="array" ref="AU122">IFERROR(
  _xlfn.LET(
    _xlpm.mesTxt, INDEX({"ENERO","FEBRERO","MARZO","ABRIL","MAYO","JUNIO","JULIO","AGOSTO","SEPTIEMBRE","OCTUBRE","NOVIEMBRE","DICIEMBRE"}, E$2),
    _xlpm.colIni, MATCH(_xlpm.mesTxt, Minimos!$1:$1, 0),
    _xlpm.fila, MATCH($A122, Minimos!$A:$A, 0),
    _xlpm.val, INDEX(Minimos!$A:$ZZ, _xlpm.fila, _xlpm.colIni),
    IF(_xlpm.val="", "", _xlpm.val)
  ),
"")</f>
        <v>1.2</v>
      </c>
      <c r="AV122" s="91">
        <f t="array" ref="AV12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MATCH($A122, Minimos!$A:$A, 0),
    _xlpm.anio, INDEX(Minimos!$A:$ZZ, _xlpm.fila, _xlpm.colIni+1),
    _xlpm.dia, INDEX(Minimos!$A:$ZZ, _xlpm.fila, _xlpm.colIni+2),
    IF(OR(_xlpm.anio="",_xlpm.dia=""), "", DATE(_xlpm.anio, _xlpm.mesNum, _xlpm.dia))
  ),
"")</f>
        <v>33484</v>
      </c>
      <c r="AW122" s="92">
        <f t="shared" si="10"/>
        <v>4.2</v>
      </c>
    </row>
    <row r="123" spans="1:49" ht="14.25" customHeight="1" x14ac:dyDescent="0.2">
      <c r="A123" s="48">
        <v>47035020</v>
      </c>
      <c r="B123" s="52" t="s">
        <v>272</v>
      </c>
      <c r="C123" s="52" t="s">
        <v>261</v>
      </c>
      <c r="D123" s="53">
        <v>-75.851111110000005</v>
      </c>
      <c r="E123" s="53">
        <v>0.132861111</v>
      </c>
      <c r="F123" s="48">
        <v>190</v>
      </c>
      <c r="G123" s="46">
        <v>86</v>
      </c>
      <c r="H123" s="46">
        <v>86573</v>
      </c>
      <c r="I123" s="55" t="s">
        <v>264</v>
      </c>
      <c r="J123" s="55" t="s">
        <v>273</v>
      </c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111"/>
      <c r="AA123" s="51"/>
      <c r="AB123" s="51"/>
      <c r="AC123" s="51"/>
      <c r="AD123" s="51"/>
      <c r="AE123" s="51"/>
      <c r="AF123" s="51"/>
      <c r="AG123" s="51"/>
      <c r="AH123" s="51"/>
      <c r="AI123" s="51"/>
      <c r="AJ123" s="51"/>
      <c r="AK123" s="51"/>
      <c r="AL123" s="51"/>
      <c r="AM123" s="51"/>
      <c r="AN123" s="51"/>
      <c r="AO123" s="51"/>
      <c r="AP123" s="88">
        <f t="shared" si="6"/>
        <v>0</v>
      </c>
      <c r="AQ123" s="89" t="str">
        <f t="shared" si="7"/>
        <v/>
      </c>
      <c r="AR123" s="89">
        <f>IFERROR(VLOOKUP(A123,Climatologia!A:U,9+$E$2,FALSE),"")</f>
        <v>20.95607142857143</v>
      </c>
      <c r="AS123" s="89" t="str">
        <f t="shared" si="8"/>
        <v/>
      </c>
      <c r="AT123" s="90" t="str">
        <f t="shared" si="9"/>
        <v/>
      </c>
      <c r="AU123" s="90">
        <f t="array" ref="AU123">IFERROR(
  _xlfn.LET(
    _xlpm.mesTxt, INDEX({"ENERO","FEBRERO","MARZO","ABRIL","MAYO","JUNIO","JULIO","AGOSTO","SEPTIEMBRE","OCTUBRE","NOVIEMBRE","DICIEMBRE"}, E$2),
    _xlpm.colIni, MATCH(_xlpm.mesTxt, Minimos!$1:$1, 0),
    _xlpm.fila, MATCH($A123, Minimos!$A:$A, 0),
    _xlpm.val, INDEX(Minimos!$A:$ZZ, _xlpm.fila, _xlpm.colIni),
    IF(_xlpm.val="", "", _xlpm.val)
  ),
"")</f>
        <v>17.399999999999999</v>
      </c>
      <c r="AV123" s="91">
        <f t="array" ref="AV12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MATCH($A123, Minimos!$A:$A, 0),
    _xlpm.anio, INDEX(Minimos!$A:$ZZ, _xlpm.fila, _xlpm.colIni+1),
    _xlpm.dia, INDEX(Minimos!$A:$ZZ, _xlpm.fila, _xlpm.colIni+2),
    IF(OR(_xlpm.anio="",_xlpm.dia=""), "", DATE(_xlpm.anio, _xlpm.mesNum, _xlpm.dia))
  ),
"")</f>
        <v>35681</v>
      </c>
      <c r="AW123" s="92" t="str">
        <f t="shared" si="10"/>
        <v>NA</v>
      </c>
    </row>
    <row r="124" spans="1:49" ht="14.25" customHeight="1" x14ac:dyDescent="0.2">
      <c r="A124" s="48">
        <v>51025090</v>
      </c>
      <c r="B124" s="52" t="s">
        <v>274</v>
      </c>
      <c r="C124" s="52" t="s">
        <v>261</v>
      </c>
      <c r="D124" s="53">
        <v>-78.695583330000005</v>
      </c>
      <c r="E124" s="53">
        <v>1.5501944439999999</v>
      </c>
      <c r="F124" s="48">
        <v>16</v>
      </c>
      <c r="G124" s="46">
        <v>52</v>
      </c>
      <c r="H124" s="46">
        <v>52835</v>
      </c>
      <c r="I124" s="55" t="s">
        <v>82</v>
      </c>
      <c r="J124" s="55" t="s">
        <v>275</v>
      </c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111"/>
      <c r="AA124" s="51"/>
      <c r="AB124" s="51"/>
      <c r="AC124" s="51"/>
      <c r="AD124" s="51"/>
      <c r="AE124" s="51"/>
      <c r="AF124" s="51"/>
      <c r="AG124" s="51"/>
      <c r="AH124" s="51"/>
      <c r="AI124" s="51"/>
      <c r="AJ124" s="51"/>
      <c r="AK124" s="51"/>
      <c r="AL124" s="51"/>
      <c r="AM124" s="51"/>
      <c r="AN124" s="51"/>
      <c r="AO124" s="51"/>
      <c r="AP124" s="88">
        <f t="shared" si="6"/>
        <v>0</v>
      </c>
      <c r="AQ124" s="89" t="str">
        <f t="shared" si="7"/>
        <v/>
      </c>
      <c r="AR124" s="89">
        <f>IFERROR(VLOOKUP(A124,Climatologia!A:U,9+$E$2,FALSE),"")</f>
        <v>23.01698412698412</v>
      </c>
      <c r="AS124" s="89" t="str">
        <f t="shared" si="8"/>
        <v/>
      </c>
      <c r="AT124" s="90" t="str">
        <f t="shared" si="9"/>
        <v/>
      </c>
      <c r="AU124" s="90" t="str">
        <f t="array" ref="AU124">IFERROR(
  _xlfn.LET(
    _xlpm.mesTxt, INDEX({"ENERO","FEBRERO","MARZO","ABRIL","MAYO","JUNIO","JULIO","AGOSTO","SEPTIEMBRE","OCTUBRE","NOVIEMBRE","DICIEMBRE"}, E$2),
    _xlpm.colIni, MATCH(_xlpm.mesTxt, Minimos!$1:$1, 0),
    _xlpm.fila, MATCH($A124, Minimos!$A:$A, 0),
    _xlpm.val, INDEX(Minimos!$A:$ZZ, _xlpm.fila, _xlpm.colIni),
    IF(_xlpm.val="", "", _xlpm.val)
  ),
"")</f>
        <v/>
      </c>
      <c r="AV124" s="91" t="str">
        <f t="array" ref="AV12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24" s="92" t="str">
        <f t="shared" si="10"/>
        <v>NA</v>
      </c>
    </row>
    <row r="125" spans="1:49" ht="14.25" customHeight="1" x14ac:dyDescent="0.2">
      <c r="A125" s="48">
        <v>52015010</v>
      </c>
      <c r="B125" s="52" t="s">
        <v>276</v>
      </c>
      <c r="C125" s="52" t="s">
        <v>261</v>
      </c>
      <c r="D125" s="53">
        <v>-76.611944440000002</v>
      </c>
      <c r="E125" s="53">
        <v>2.2497222219999999</v>
      </c>
      <c r="F125" s="48">
        <v>2450</v>
      </c>
      <c r="G125" s="46">
        <v>19</v>
      </c>
      <c r="H125" s="46">
        <v>19760</v>
      </c>
      <c r="I125" s="55" t="s">
        <v>181</v>
      </c>
      <c r="J125" s="55" t="s">
        <v>277</v>
      </c>
      <c r="K125" s="51">
        <v>11.4</v>
      </c>
      <c r="L125" s="51">
        <v>12.6</v>
      </c>
      <c r="M125" s="51">
        <v>13.9</v>
      </c>
      <c r="N125" s="51">
        <v>13.8</v>
      </c>
      <c r="O125" s="51">
        <v>13.7</v>
      </c>
      <c r="P125" s="51">
        <v>13.2</v>
      </c>
      <c r="Q125" s="51">
        <v>12.6</v>
      </c>
      <c r="R125" s="51">
        <v>12.8</v>
      </c>
      <c r="S125" s="51">
        <v>14.7</v>
      </c>
      <c r="T125" s="51">
        <v>12.8</v>
      </c>
      <c r="U125" s="51">
        <v>13.4</v>
      </c>
      <c r="V125" s="51">
        <v>11.7</v>
      </c>
      <c r="W125" s="51">
        <v>13.3</v>
      </c>
      <c r="X125" s="51"/>
      <c r="Y125" s="51"/>
      <c r="Z125" s="111"/>
      <c r="AA125" s="51"/>
      <c r="AB125" s="51"/>
      <c r="AC125" s="51"/>
      <c r="AD125" s="51"/>
      <c r="AE125" s="51"/>
      <c r="AF125" s="51"/>
      <c r="AG125" s="51"/>
      <c r="AH125" s="51"/>
      <c r="AI125" s="51"/>
      <c r="AJ125" s="51"/>
      <c r="AK125" s="51"/>
      <c r="AL125" s="51"/>
      <c r="AM125" s="51"/>
      <c r="AN125" s="51"/>
      <c r="AO125" s="51"/>
      <c r="AP125" s="88">
        <f t="shared" si="6"/>
        <v>13</v>
      </c>
      <c r="AQ125" s="89" t="str">
        <f t="shared" si="7"/>
        <v/>
      </c>
      <c r="AR125" s="89">
        <f>IFERROR(VLOOKUP(A125,Climatologia!A:U,9+$E$2,FALSE),"")</f>
        <v>11.326784072249589</v>
      </c>
      <c r="AS125" s="89" t="str">
        <f t="shared" si="8"/>
        <v/>
      </c>
      <c r="AT125" s="90">
        <f t="shared" si="9"/>
        <v>11.4</v>
      </c>
      <c r="AU125" s="90">
        <f t="array" ref="AU125">IFERROR(
  _xlfn.LET(
    _xlpm.mesTxt, INDEX({"ENERO","FEBRERO","MARZO","ABRIL","MAYO","JUNIO","JULIO","AGOSTO","SEPTIEMBRE","OCTUBRE","NOVIEMBRE","DICIEMBRE"}, E$2),
    _xlpm.colIni, MATCH(_xlpm.mesTxt, Minimos!$1:$1, 0),
    _xlpm.fila, MATCH($A125, Minimos!$A:$A, 0),
    _xlpm.val, INDEX(Minimos!$A:$ZZ, _xlpm.fila, _xlpm.colIni),
    IF(_xlpm.val="", "", _xlpm.val)
  ),
"")</f>
        <v>4.7</v>
      </c>
      <c r="AV125" s="91">
        <f t="array" ref="AV12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MATCH($A125, Minimos!$A:$A, 0),
    _xlpm.anio, INDEX(Minimos!$A:$ZZ, _xlpm.fila, _xlpm.colIni+1),
    _xlpm.dia, INDEX(Minimos!$A:$ZZ, _xlpm.fila, _xlpm.colIni+2),
    IF(OR(_xlpm.anio="",_xlpm.dia=""), "", DATE(_xlpm.anio, _xlpm.mesNum, _xlpm.dia))
  ),
"")</f>
        <v>44805</v>
      </c>
      <c r="AW125" s="92">
        <f t="shared" si="10"/>
        <v>6.7</v>
      </c>
    </row>
    <row r="126" spans="1:49" ht="14.25" customHeight="1" x14ac:dyDescent="0.2">
      <c r="A126" s="48">
        <v>52025020</v>
      </c>
      <c r="B126" s="52" t="s">
        <v>278</v>
      </c>
      <c r="C126" s="52" t="s">
        <v>261</v>
      </c>
      <c r="D126" s="53">
        <v>-76.891666670000006</v>
      </c>
      <c r="E126" s="53">
        <v>1.753333333</v>
      </c>
      <c r="F126" s="48">
        <v>2300</v>
      </c>
      <c r="G126" s="46">
        <v>19</v>
      </c>
      <c r="H126" s="46">
        <v>19100</v>
      </c>
      <c r="I126" s="55" t="s">
        <v>181</v>
      </c>
      <c r="J126" s="55" t="s">
        <v>34</v>
      </c>
      <c r="K126" s="51">
        <v>13.4</v>
      </c>
      <c r="L126" s="51">
        <v>14.4</v>
      </c>
      <c r="M126" s="51">
        <v>15.8</v>
      </c>
      <c r="N126" s="51">
        <v>15.4</v>
      </c>
      <c r="O126" s="51">
        <v>15.2</v>
      </c>
      <c r="P126" s="51">
        <v>15.6</v>
      </c>
      <c r="Q126" s="51">
        <v>15.4</v>
      </c>
      <c r="R126" s="51">
        <v>15.6</v>
      </c>
      <c r="S126" s="51">
        <v>16.2</v>
      </c>
      <c r="T126" s="51">
        <v>14.4</v>
      </c>
      <c r="U126" s="51">
        <v>14.6</v>
      </c>
      <c r="V126" s="51">
        <v>15.4</v>
      </c>
      <c r="W126" s="51">
        <v>15.2</v>
      </c>
      <c r="X126" s="51"/>
      <c r="Y126" s="51"/>
      <c r="Z126" s="111"/>
      <c r="AA126" s="51"/>
      <c r="AB126" s="51"/>
      <c r="AC126" s="51"/>
      <c r="AD126" s="51"/>
      <c r="AE126" s="51"/>
      <c r="AF126" s="51"/>
      <c r="AG126" s="51"/>
      <c r="AH126" s="51"/>
      <c r="AI126" s="51"/>
      <c r="AJ126" s="51"/>
      <c r="AK126" s="51"/>
      <c r="AL126" s="51"/>
      <c r="AM126" s="51"/>
      <c r="AN126" s="51"/>
      <c r="AO126" s="51"/>
      <c r="AP126" s="88">
        <f t="shared" si="6"/>
        <v>13</v>
      </c>
      <c r="AQ126" s="89" t="str">
        <f t="shared" si="7"/>
        <v/>
      </c>
      <c r="AR126" s="89">
        <f>IFERROR(VLOOKUP(A126,Climatologia!A:U,9+$E$2,FALSE),"")</f>
        <v>13.24615019157088</v>
      </c>
      <c r="AS126" s="89" t="str">
        <f t="shared" si="8"/>
        <v/>
      </c>
      <c r="AT126" s="90">
        <f t="shared" si="9"/>
        <v>13.4</v>
      </c>
      <c r="AU126" s="90">
        <f t="array" ref="AU126">IFERROR(
  _xlfn.LET(
    _xlpm.mesTxt, INDEX({"ENERO","FEBRERO","MARZO","ABRIL","MAYO","JUNIO","JULIO","AGOSTO","SEPTIEMBRE","OCTUBRE","NOVIEMBRE","DICIEMBRE"}, E$2),
    _xlpm.colIni, MATCH(_xlpm.mesTxt, Minimos!$1:$1, 0),
    _xlpm.fila, MATCH($A126, Minimos!$A:$A, 0),
    _xlpm.val, INDEX(Minimos!$A:$ZZ, _xlpm.fila, _xlpm.colIni),
    IF(_xlpm.val="", "", _xlpm.val)
  ),
"")</f>
        <v>8.1999999999999993</v>
      </c>
      <c r="AV126" s="91">
        <f t="array" ref="AV12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MATCH($A126, Minimos!$A:$A, 0),
    _xlpm.anio, INDEX(Minimos!$A:$ZZ, _xlpm.fila, _xlpm.colIni+1),
    _xlpm.dia, INDEX(Minimos!$A:$ZZ, _xlpm.fila, _xlpm.colIni+2),
    IF(OR(_xlpm.anio="",_xlpm.dia=""), "", DATE(_xlpm.anio, _xlpm.mesNum, _xlpm.dia))
  ),
"")</f>
        <v>29113</v>
      </c>
      <c r="AW126" s="92">
        <f t="shared" si="10"/>
        <v>5.2000000000000011</v>
      </c>
    </row>
    <row r="127" spans="1:49" ht="14.25" customHeight="1" x14ac:dyDescent="0.2">
      <c r="A127" s="48">
        <v>52025090</v>
      </c>
      <c r="B127" s="52" t="s">
        <v>279</v>
      </c>
      <c r="C127" s="52" t="s">
        <v>261</v>
      </c>
      <c r="D127" s="53">
        <v>-76.750333330000004</v>
      </c>
      <c r="E127" s="53">
        <v>2.1938333330000002</v>
      </c>
      <c r="F127" s="48">
        <v>1870</v>
      </c>
      <c r="G127" s="46">
        <v>19</v>
      </c>
      <c r="H127" s="46">
        <v>19392</v>
      </c>
      <c r="I127" s="55" t="s">
        <v>181</v>
      </c>
      <c r="J127" s="55" t="s">
        <v>280</v>
      </c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111"/>
      <c r="AA127" s="51"/>
      <c r="AB127" s="51"/>
      <c r="AC127" s="51"/>
      <c r="AD127" s="51"/>
      <c r="AE127" s="51"/>
      <c r="AF127" s="51"/>
      <c r="AG127" s="51"/>
      <c r="AH127" s="51"/>
      <c r="AI127" s="51"/>
      <c r="AJ127" s="51"/>
      <c r="AK127" s="51"/>
      <c r="AL127" s="51"/>
      <c r="AM127" s="51"/>
      <c r="AN127" s="51"/>
      <c r="AO127" s="51"/>
      <c r="AP127" s="88">
        <f t="shared" si="6"/>
        <v>0</v>
      </c>
      <c r="AQ127" s="89" t="str">
        <f t="shared" si="7"/>
        <v/>
      </c>
      <c r="AR127" s="89">
        <f>IFERROR(VLOOKUP(A127,Climatologia!A:U,9+$E$2,FALSE),"")</f>
        <v>14.9793962585034</v>
      </c>
      <c r="AS127" s="89" t="str">
        <f t="shared" si="8"/>
        <v/>
      </c>
      <c r="AT127" s="90" t="str">
        <f t="shared" si="9"/>
        <v/>
      </c>
      <c r="AU127" s="90">
        <f t="array" ref="AU127">IFERROR(
  _xlfn.LET(
    _xlpm.mesTxt, INDEX({"ENERO","FEBRERO","MARZO","ABRIL","MAYO","JUNIO","JULIO","AGOSTO","SEPTIEMBRE","OCTUBRE","NOVIEMBRE","DICIEMBRE"}, E$2),
    _xlpm.colIni, MATCH(_xlpm.mesTxt, Minimos!$1:$1, 0),
    _xlpm.fila, MATCH($A127, Minimos!$A:$A, 0),
    _xlpm.val, INDEX(Minimos!$A:$ZZ, _xlpm.fila, _xlpm.colIni),
    IF(_xlpm.val="", "", _xlpm.val)
  ),
"")</f>
        <v>10.199999999999999</v>
      </c>
      <c r="AV127" s="91">
        <f t="array" ref="AV12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MATCH($A127, Minimos!$A:$A, 0),
    _xlpm.anio, INDEX(Minimos!$A:$ZZ, _xlpm.fila, _xlpm.colIni+1),
    _xlpm.dia, INDEX(Minimos!$A:$ZZ, _xlpm.fila, _xlpm.colIni+2),
    IF(OR(_xlpm.anio="",_xlpm.dia=""), "", DATE(_xlpm.anio, _xlpm.mesNum, _xlpm.dia))
  ),
"")</f>
        <v>32764</v>
      </c>
      <c r="AW127" s="92" t="str">
        <f t="shared" si="10"/>
        <v>NA</v>
      </c>
    </row>
    <row r="128" spans="1:49" ht="14.25" customHeight="1" x14ac:dyDescent="0.2">
      <c r="A128" s="48">
        <v>52045010</v>
      </c>
      <c r="B128" s="52" t="s">
        <v>281</v>
      </c>
      <c r="C128" s="52" t="s">
        <v>261</v>
      </c>
      <c r="D128" s="53">
        <v>-77.303083330000007</v>
      </c>
      <c r="E128" s="53">
        <v>1.1982222220000001</v>
      </c>
      <c r="F128" s="48">
        <v>2710</v>
      </c>
      <c r="G128" s="46">
        <v>52</v>
      </c>
      <c r="H128" s="46">
        <v>52001</v>
      </c>
      <c r="I128" s="55" t="s">
        <v>82</v>
      </c>
      <c r="J128" s="55" t="s">
        <v>271</v>
      </c>
      <c r="K128" s="51">
        <v>8.8000000000000007</v>
      </c>
      <c r="L128" s="51">
        <v>10.199999999999999</v>
      </c>
      <c r="M128" s="51">
        <v>10.8</v>
      </c>
      <c r="N128" s="51">
        <v>9.6</v>
      </c>
      <c r="O128" s="51">
        <v>11.4</v>
      </c>
      <c r="P128" s="51">
        <v>9.1999999999999993</v>
      </c>
      <c r="Q128" s="51">
        <v>8.8000000000000007</v>
      </c>
      <c r="R128" s="51">
        <v>9.8000000000000007</v>
      </c>
      <c r="S128" s="51">
        <v>10.8</v>
      </c>
      <c r="T128" s="51">
        <v>11</v>
      </c>
      <c r="U128" s="51">
        <v>10.199999999999999</v>
      </c>
      <c r="V128" s="51">
        <v>11.2</v>
      </c>
      <c r="W128" s="51">
        <v>11</v>
      </c>
      <c r="X128" s="51"/>
      <c r="Y128" s="51"/>
      <c r="Z128" s="111"/>
      <c r="AA128" s="51"/>
      <c r="AB128" s="51"/>
      <c r="AC128" s="51"/>
      <c r="AD128" s="51"/>
      <c r="AE128" s="51"/>
      <c r="AF128" s="51"/>
      <c r="AG128" s="51"/>
      <c r="AH128" s="51"/>
      <c r="AI128" s="51"/>
      <c r="AJ128" s="51"/>
      <c r="AK128" s="51"/>
      <c r="AL128" s="51"/>
      <c r="AM128" s="51"/>
      <c r="AN128" s="51"/>
      <c r="AO128" s="51"/>
      <c r="AP128" s="88">
        <f t="shared" si="6"/>
        <v>13</v>
      </c>
      <c r="AQ128" s="89" t="str">
        <f t="shared" si="7"/>
        <v/>
      </c>
      <c r="AR128" s="89">
        <f>IFERROR(VLOOKUP(A128,Climatologia!A:U,9+$E$2,FALSE),"")</f>
        <v>9.1450862068965524</v>
      </c>
      <c r="AS128" s="89" t="str">
        <f t="shared" si="8"/>
        <v/>
      </c>
      <c r="AT128" s="90">
        <f t="shared" si="9"/>
        <v>8.8000000000000007</v>
      </c>
      <c r="AU128" s="90">
        <f t="array" ref="AU128">IFERROR(
  _xlfn.LET(
    _xlpm.mesTxt, INDEX({"ENERO","FEBRERO","MARZO","ABRIL","MAYO","JUNIO","JULIO","AGOSTO","SEPTIEMBRE","OCTUBRE","NOVIEMBRE","DICIEMBRE"}, E$2),
    _xlpm.colIni, MATCH(_xlpm.mesTxt, Minimos!$1:$1, 0),
    _xlpm.fila, MATCH($A128, Minimos!$A:$A, 0),
    _xlpm.val, INDEX(Minimos!$A:$ZZ, _xlpm.fila, _xlpm.colIni),
    IF(_xlpm.val="", "", _xlpm.val)
  ),
"")</f>
        <v>4</v>
      </c>
      <c r="AV128" s="91">
        <f t="array" ref="AV12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MATCH($A128, Minimos!$A:$A, 0),
    _xlpm.anio, INDEX(Minimos!$A:$ZZ, _xlpm.fila, _xlpm.colIni+1),
    _xlpm.dia, INDEX(Minimos!$A:$ZZ, _xlpm.fila, _xlpm.colIni+2),
    IF(OR(_xlpm.anio="",_xlpm.dia=""), "", DATE(_xlpm.anio, _xlpm.mesNum, _xlpm.dia))
  ),
"")</f>
        <v>44453</v>
      </c>
      <c r="AW128" s="92">
        <f t="shared" si="10"/>
        <v>4.8000000000000007</v>
      </c>
    </row>
    <row r="129" spans="1:49" ht="14.25" customHeight="1" x14ac:dyDescent="0.2">
      <c r="A129" s="48">
        <v>52045030</v>
      </c>
      <c r="B129" s="52" t="s">
        <v>282</v>
      </c>
      <c r="C129" s="52" t="s">
        <v>261</v>
      </c>
      <c r="D129" s="53">
        <v>-77.032611110000005</v>
      </c>
      <c r="E129" s="53">
        <v>1.5387222220000001</v>
      </c>
      <c r="F129" s="48">
        <v>2190</v>
      </c>
      <c r="G129" s="46">
        <v>52</v>
      </c>
      <c r="H129" s="46">
        <v>52685</v>
      </c>
      <c r="I129" s="55" t="s">
        <v>82</v>
      </c>
      <c r="J129" s="55" t="s">
        <v>282</v>
      </c>
      <c r="K129" s="51">
        <v>9.4</v>
      </c>
      <c r="L129" s="51">
        <v>13</v>
      </c>
      <c r="M129" s="51">
        <v>12.6</v>
      </c>
      <c r="N129" s="51">
        <v>13</v>
      </c>
      <c r="O129" s="51">
        <v>12.4</v>
      </c>
      <c r="P129" s="51">
        <v>11.8</v>
      </c>
      <c r="Q129" s="51">
        <v>12.2</v>
      </c>
      <c r="R129" s="51">
        <v>9.8000000000000007</v>
      </c>
      <c r="S129" s="51">
        <v>14.6</v>
      </c>
      <c r="T129" s="51">
        <v>9.6</v>
      </c>
      <c r="U129" s="51">
        <v>10</v>
      </c>
      <c r="V129" s="51">
        <v>9.6</v>
      </c>
      <c r="W129" s="51">
        <v>10.4</v>
      </c>
      <c r="X129" s="51"/>
      <c r="Y129" s="51"/>
      <c r="Z129" s="111"/>
      <c r="AA129" s="51"/>
      <c r="AB129" s="51"/>
      <c r="AC129" s="51"/>
      <c r="AD129" s="51"/>
      <c r="AE129" s="51"/>
      <c r="AF129" s="51"/>
      <c r="AG129" s="51"/>
      <c r="AH129" s="51"/>
      <c r="AI129" s="51"/>
      <c r="AJ129" s="51"/>
      <c r="AK129" s="51"/>
      <c r="AL129" s="51"/>
      <c r="AM129" s="51"/>
      <c r="AN129" s="51"/>
      <c r="AO129" s="51"/>
      <c r="AP129" s="88">
        <f t="shared" si="6"/>
        <v>13</v>
      </c>
      <c r="AQ129" s="89" t="str">
        <f t="shared" si="7"/>
        <v/>
      </c>
      <c r="AR129" s="89">
        <f>IFERROR(VLOOKUP(A129,Climatologia!A:U,9+$E$2,FALSE),"")</f>
        <v>10.51523938340441</v>
      </c>
      <c r="AS129" s="89" t="str">
        <f t="shared" si="8"/>
        <v/>
      </c>
      <c r="AT129" s="90">
        <f t="shared" si="9"/>
        <v>9.4</v>
      </c>
      <c r="AU129" s="90">
        <f t="array" ref="AU129">IFERROR(
  _xlfn.LET(
    _xlpm.mesTxt, INDEX({"ENERO","FEBRERO","MARZO","ABRIL","MAYO","JUNIO","JULIO","AGOSTO","SEPTIEMBRE","OCTUBRE","NOVIEMBRE","DICIEMBRE"}, E$2),
    _xlpm.colIni, MATCH(_xlpm.mesTxt, Minimos!$1:$1, 0),
    _xlpm.fila, MATCH($A129, Minimos!$A:$A, 0),
    _xlpm.val, INDEX(Minimos!$A:$ZZ, _xlpm.fila, _xlpm.colIni),
    IF(_xlpm.val="", "", _xlpm.val)
  ),
"")</f>
        <v>7</v>
      </c>
      <c r="AV129" s="91">
        <f t="array" ref="AV12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MATCH($A129, Minimos!$A:$A, 0),
    _xlpm.anio, INDEX(Minimos!$A:$ZZ, _xlpm.fila, _xlpm.colIni+1),
    _xlpm.dia, INDEX(Minimos!$A:$ZZ, _xlpm.fila, _xlpm.colIni+2),
    IF(OR(_xlpm.anio="",_xlpm.dia=""), "", DATE(_xlpm.anio, _xlpm.mesNum, _xlpm.dia))
  ),
"")</f>
        <v>35683</v>
      </c>
      <c r="AW129" s="92">
        <f t="shared" si="10"/>
        <v>2.4000000000000004</v>
      </c>
    </row>
    <row r="130" spans="1:49" ht="14.25" customHeight="1" x14ac:dyDescent="0.2">
      <c r="A130" s="48">
        <v>52045040</v>
      </c>
      <c r="B130" s="52" t="s">
        <v>283</v>
      </c>
      <c r="C130" s="52" t="s">
        <v>261</v>
      </c>
      <c r="D130" s="53">
        <v>-77.267499999999998</v>
      </c>
      <c r="E130" s="53">
        <v>1.5491666669999999</v>
      </c>
      <c r="F130" s="48">
        <v>1875</v>
      </c>
      <c r="G130" s="46">
        <v>52</v>
      </c>
      <c r="H130" s="46">
        <v>52786</v>
      </c>
      <c r="I130" s="55" t="s">
        <v>82</v>
      </c>
      <c r="J130" s="55" t="s">
        <v>283</v>
      </c>
      <c r="K130" s="51">
        <v>14.6</v>
      </c>
      <c r="L130" s="51">
        <v>15.2</v>
      </c>
      <c r="M130" s="51">
        <v>14.8</v>
      </c>
      <c r="N130" s="51">
        <v>16</v>
      </c>
      <c r="O130" s="51">
        <v>15.6</v>
      </c>
      <c r="P130" s="51">
        <v>15.4</v>
      </c>
      <c r="Q130" s="51">
        <v>15.2</v>
      </c>
      <c r="R130" s="51">
        <v>15</v>
      </c>
      <c r="S130" s="51">
        <v>14</v>
      </c>
      <c r="T130" s="51">
        <v>15.6</v>
      </c>
      <c r="U130" s="51">
        <v>15.8</v>
      </c>
      <c r="V130" s="51">
        <v>15.2</v>
      </c>
      <c r="W130" s="51">
        <v>16.8</v>
      </c>
      <c r="X130" s="51"/>
      <c r="Y130" s="51"/>
      <c r="Z130" s="111"/>
      <c r="AA130" s="51"/>
      <c r="AB130" s="51"/>
      <c r="AC130" s="51"/>
      <c r="AD130" s="51"/>
      <c r="AE130" s="51"/>
      <c r="AF130" s="51"/>
      <c r="AG130" s="51"/>
      <c r="AH130" s="51"/>
      <c r="AI130" s="51"/>
      <c r="AJ130" s="51"/>
      <c r="AK130" s="51"/>
      <c r="AL130" s="51"/>
      <c r="AM130" s="51"/>
      <c r="AN130" s="51"/>
      <c r="AO130" s="51"/>
      <c r="AP130" s="88">
        <f t="shared" si="6"/>
        <v>13</v>
      </c>
      <c r="AQ130" s="89" t="str">
        <f t="shared" si="7"/>
        <v/>
      </c>
      <c r="AR130" s="89">
        <f>IFERROR(VLOOKUP(A130,Climatologia!A:U,9+$E$2,FALSE),"")</f>
        <v>14.537346512473739</v>
      </c>
      <c r="AS130" s="89" t="str">
        <f t="shared" si="8"/>
        <v/>
      </c>
      <c r="AT130" s="90">
        <f t="shared" si="9"/>
        <v>14</v>
      </c>
      <c r="AU130" s="90">
        <f t="array" ref="AU130">IFERROR(
  _xlfn.LET(
    _xlpm.mesTxt, INDEX({"ENERO","FEBRERO","MARZO","ABRIL","MAYO","JUNIO","JULIO","AGOSTO","SEPTIEMBRE","OCTUBRE","NOVIEMBRE","DICIEMBRE"}, E$2),
    _xlpm.colIni, MATCH(_xlpm.mesTxt, Minimos!$1:$1, 0),
    _xlpm.fila, MATCH($A130, Minimos!$A:$A, 0),
    _xlpm.val, INDEX(Minimos!$A:$ZZ, _xlpm.fila, _xlpm.colIni),
    IF(_xlpm.val="", "", _xlpm.val)
  ),
"")</f>
        <v>10</v>
      </c>
      <c r="AV130" s="91">
        <f t="array" ref="AV13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MATCH($A130, Minimos!$A:$A, 0),
    _xlpm.anio, INDEX(Minimos!$A:$ZZ, _xlpm.fila, _xlpm.colIni+1),
    _xlpm.dia, INDEX(Minimos!$A:$ZZ, _xlpm.fila, _xlpm.colIni+2),
    IF(OR(_xlpm.anio="",_xlpm.dia=""), "", DATE(_xlpm.anio, _xlpm.mesNum, _xlpm.dia))
  ),
"")</f>
        <v>30952</v>
      </c>
      <c r="AW130" s="92">
        <f t="shared" si="10"/>
        <v>4</v>
      </c>
    </row>
    <row r="131" spans="1:49" ht="14.25" customHeight="1" x14ac:dyDescent="0.2">
      <c r="A131" s="48">
        <v>52045090</v>
      </c>
      <c r="B131" s="52" t="s">
        <v>284</v>
      </c>
      <c r="C131" s="52" t="s">
        <v>261</v>
      </c>
      <c r="D131" s="53">
        <v>-77.629583330000003</v>
      </c>
      <c r="E131" s="53">
        <v>0.93263888900000003</v>
      </c>
      <c r="F131" s="48">
        <v>3141</v>
      </c>
      <c r="G131" s="46">
        <v>52</v>
      </c>
      <c r="H131" s="46">
        <v>52585</v>
      </c>
      <c r="I131" s="55" t="s">
        <v>82</v>
      </c>
      <c r="J131" s="55" t="s">
        <v>285</v>
      </c>
      <c r="K131" s="51">
        <v>2.2000000000000002</v>
      </c>
      <c r="L131" s="51">
        <v>3</v>
      </c>
      <c r="M131" s="51">
        <v>6.2</v>
      </c>
      <c r="N131" s="51">
        <v>6.4</v>
      </c>
      <c r="O131" s="51">
        <v>6</v>
      </c>
      <c r="P131" s="51">
        <v>6.4</v>
      </c>
      <c r="Q131" s="51">
        <v>6.2</v>
      </c>
      <c r="R131" s="51">
        <v>6.4</v>
      </c>
      <c r="S131" s="51">
        <v>5.2</v>
      </c>
      <c r="T131" s="51"/>
      <c r="U131" s="51">
        <v>6</v>
      </c>
      <c r="V131" s="51">
        <v>4.8</v>
      </c>
      <c r="W131" s="51"/>
      <c r="X131" s="51"/>
      <c r="Y131" s="51"/>
      <c r="Z131" s="111"/>
      <c r="AA131" s="51"/>
      <c r="AB131" s="51"/>
      <c r="AC131" s="51"/>
      <c r="AD131" s="51"/>
      <c r="AE131" s="51"/>
      <c r="AF131" s="51"/>
      <c r="AG131" s="51"/>
      <c r="AH131" s="51"/>
      <c r="AI131" s="51"/>
      <c r="AJ131" s="51"/>
      <c r="AK131" s="51"/>
      <c r="AL131" s="51"/>
      <c r="AM131" s="51"/>
      <c r="AN131" s="51"/>
      <c r="AO131" s="51"/>
      <c r="AP131" s="88">
        <f t="shared" si="6"/>
        <v>11</v>
      </c>
      <c r="AQ131" s="89" t="str">
        <f t="shared" si="7"/>
        <v/>
      </c>
      <c r="AR131" s="89">
        <f>IFERROR(VLOOKUP(A131,Climatologia!A:U,9+$E$2,FALSE),"")</f>
        <v>5.9172796934865914</v>
      </c>
      <c r="AS131" s="89" t="str">
        <f t="shared" si="8"/>
        <v/>
      </c>
      <c r="AT131" s="90">
        <f t="shared" si="9"/>
        <v>2.2000000000000002</v>
      </c>
      <c r="AU131" s="90">
        <f t="array" ref="AU131">IFERROR(
  _xlfn.LET(
    _xlpm.mesTxt, INDEX({"ENERO","FEBRERO","MARZO","ABRIL","MAYO","JUNIO","JULIO","AGOSTO","SEPTIEMBRE","OCTUBRE","NOVIEMBRE","DICIEMBRE"}, E$2),
    _xlpm.colIni, MATCH(_xlpm.mesTxt, Minimos!$1:$1, 0),
    _xlpm.fila, MATCH($A131, Minimos!$A:$A, 0),
    _xlpm.val, INDEX(Minimos!$A:$ZZ, _xlpm.fila, _xlpm.colIni),
    IF(_xlpm.val="", "", _xlpm.val)
  ),
"")</f>
        <v>1.2</v>
      </c>
      <c r="AV131" s="91">
        <f t="array" ref="AV13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MATCH($A131, Minimos!$A:$A, 0),
    _xlpm.anio, INDEX(Minimos!$A:$ZZ, _xlpm.fila, _xlpm.colIni+1),
    _xlpm.dia, INDEX(Minimos!$A:$ZZ, _xlpm.fila, _xlpm.colIni+2),
    IF(OR(_xlpm.anio="",_xlpm.dia=""), "", DATE(_xlpm.anio, _xlpm.mesNum, _xlpm.dia))
  ),
"")</f>
        <v>40069</v>
      </c>
      <c r="AW131" s="92">
        <f t="shared" si="10"/>
        <v>1.0000000000000002</v>
      </c>
    </row>
    <row r="132" spans="1:49" ht="14.25" customHeight="1" x14ac:dyDescent="0.2">
      <c r="A132" s="48">
        <v>52055030</v>
      </c>
      <c r="B132" s="52" t="s">
        <v>286</v>
      </c>
      <c r="C132" s="52" t="s">
        <v>261</v>
      </c>
      <c r="D132" s="53">
        <v>-77.465111109999995</v>
      </c>
      <c r="E132" s="53">
        <v>1.1843611110000001</v>
      </c>
      <c r="F132" s="48">
        <v>1493</v>
      </c>
      <c r="G132" s="46">
        <v>52</v>
      </c>
      <c r="H132" s="46">
        <v>52207</v>
      </c>
      <c r="I132" s="55" t="s">
        <v>82</v>
      </c>
      <c r="J132" s="55" t="s">
        <v>287</v>
      </c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111"/>
      <c r="AA132" s="51"/>
      <c r="AB132" s="51"/>
      <c r="AC132" s="51"/>
      <c r="AD132" s="51"/>
      <c r="AE132" s="51"/>
      <c r="AF132" s="51"/>
      <c r="AG132" s="51"/>
      <c r="AH132" s="51"/>
      <c r="AI132" s="51"/>
      <c r="AJ132" s="51"/>
      <c r="AK132" s="51"/>
      <c r="AL132" s="51"/>
      <c r="AM132" s="51"/>
      <c r="AN132" s="51"/>
      <c r="AO132" s="51"/>
      <c r="AP132" s="88">
        <f t="shared" si="6"/>
        <v>0</v>
      </c>
      <c r="AQ132" s="89" t="str">
        <f t="shared" si="7"/>
        <v/>
      </c>
      <c r="AR132" s="89">
        <f>IFERROR(VLOOKUP(A132,Climatologia!A:U,9+$E$2,FALSE),"")</f>
        <v>15.46328945133345</v>
      </c>
      <c r="AS132" s="89" t="str">
        <f t="shared" si="8"/>
        <v/>
      </c>
      <c r="AT132" s="90" t="str">
        <f t="shared" si="9"/>
        <v/>
      </c>
      <c r="AU132" s="90">
        <f t="array" ref="AU132">IFERROR(
  _xlfn.LET(
    _xlpm.mesTxt, INDEX({"ENERO","FEBRERO","MARZO","ABRIL","MAYO","JUNIO","JULIO","AGOSTO","SEPTIEMBRE","OCTUBRE","NOVIEMBRE","DICIEMBRE"}, E$2),
    _xlpm.colIni, MATCH(_xlpm.mesTxt, Minimos!$1:$1, 0),
    _xlpm.fila, MATCH($A132, Minimos!$A:$A, 0),
    _xlpm.val, INDEX(Minimos!$A:$ZZ, _xlpm.fila, _xlpm.colIni),
    IF(_xlpm.val="", "", _xlpm.val)
  ),
"")</f>
        <v>8.6</v>
      </c>
      <c r="AV132" s="91">
        <f t="array" ref="AV13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MATCH($A132, Minimos!$A:$A, 0),
    _xlpm.anio, INDEX(Minimos!$A:$ZZ, _xlpm.fila, _xlpm.colIni+1),
    _xlpm.dia, INDEX(Minimos!$A:$ZZ, _xlpm.fila, _xlpm.colIni+2),
    IF(OR(_xlpm.anio="",_xlpm.dia=""), "", DATE(_xlpm.anio, _xlpm.mesNum, _xlpm.dia))
  ),
"")</f>
        <v>28740</v>
      </c>
      <c r="AW132" s="92" t="str">
        <f t="shared" si="10"/>
        <v>NA</v>
      </c>
    </row>
    <row r="133" spans="1:49" ht="14.25" customHeight="1" x14ac:dyDescent="0.2">
      <c r="A133" s="48">
        <v>52055060</v>
      </c>
      <c r="B133" s="52" t="s">
        <v>288</v>
      </c>
      <c r="C133" s="52" t="s">
        <v>261</v>
      </c>
      <c r="D133" s="53">
        <v>-77.583055560000005</v>
      </c>
      <c r="E133" s="53">
        <v>1.3735555559999999</v>
      </c>
      <c r="F133" s="48">
        <v>1500</v>
      </c>
      <c r="G133" s="46">
        <v>52</v>
      </c>
      <c r="H133" s="46">
        <v>52678</v>
      </c>
      <c r="I133" s="55" t="s">
        <v>82</v>
      </c>
      <c r="J133" s="55" t="s">
        <v>289</v>
      </c>
      <c r="K133" s="51">
        <v>14.2</v>
      </c>
      <c r="L133" s="51">
        <v>16</v>
      </c>
      <c r="M133" s="51">
        <v>15.8</v>
      </c>
      <c r="N133" s="51">
        <v>16.2</v>
      </c>
      <c r="O133" s="51">
        <v>15.4</v>
      </c>
      <c r="P133" s="51">
        <v>17</v>
      </c>
      <c r="Q133" s="51">
        <v>15</v>
      </c>
      <c r="R133" s="51">
        <v>14.8</v>
      </c>
      <c r="S133" s="51">
        <v>16.600000000000001</v>
      </c>
      <c r="T133" s="51">
        <v>14.2</v>
      </c>
      <c r="U133" s="51">
        <v>17.2</v>
      </c>
      <c r="V133" s="51">
        <v>15</v>
      </c>
      <c r="W133" s="51">
        <v>14.6</v>
      </c>
      <c r="X133" s="51"/>
      <c r="Y133" s="51"/>
      <c r="Z133" s="111"/>
      <c r="AA133" s="51"/>
      <c r="AB133" s="51"/>
      <c r="AC133" s="51"/>
      <c r="AD133" s="51"/>
      <c r="AE133" s="51"/>
      <c r="AF133" s="51"/>
      <c r="AG133" s="51"/>
      <c r="AH133" s="51"/>
      <c r="AI133" s="51"/>
      <c r="AJ133" s="51"/>
      <c r="AK133" s="51"/>
      <c r="AL133" s="51"/>
      <c r="AM133" s="51"/>
      <c r="AN133" s="51"/>
      <c r="AO133" s="51"/>
      <c r="AP133" s="88">
        <f t="shared" ref="AP133:AP196" si="11">COUNTIF(K133:AO133,"&gt;0")</f>
        <v>13</v>
      </c>
      <c r="AQ133" s="89" t="str">
        <f t="shared" ref="AQ133:AQ196" si="12">IF(AP133&gt;14,AVERAGE(K133:AO133),"")</f>
        <v/>
      </c>
      <c r="AR133" s="89">
        <f>IFERROR(VLOOKUP(A133,Climatologia!A:U,9+$E$2,FALSE),"")</f>
        <v>13.931554654444071</v>
      </c>
      <c r="AS133" s="89" t="str">
        <f t="shared" ref="AS133:AS196" si="13">IF(OR(AQ133="",AR133=""),"",IFERROR(AQ133-AR133,""))</f>
        <v/>
      </c>
      <c r="AT133" s="90">
        <f t="shared" ref="AT133:AT196" si="14">IF(COUNT(K133:AO133)=0,"",MIN(K133:AO133))</f>
        <v>14.2</v>
      </c>
      <c r="AU133" s="90">
        <f t="array" ref="AU133">IFERROR(
  _xlfn.LET(
    _xlpm.mesTxt, INDEX({"ENERO","FEBRERO","MARZO","ABRIL","MAYO","JUNIO","JULIO","AGOSTO","SEPTIEMBRE","OCTUBRE","NOVIEMBRE","DICIEMBRE"}, E$2),
    _xlpm.colIni, MATCH(_xlpm.mesTxt, Minimos!$1:$1, 0),
    _xlpm.fila, MATCH($A133, Minimos!$A:$A, 0),
    _xlpm.val, INDEX(Minimos!$A:$ZZ, _xlpm.fila, _xlpm.colIni),
    IF(_xlpm.val="", "", _xlpm.val)
  ),
"")</f>
        <v>10</v>
      </c>
      <c r="AV133" s="91">
        <f t="array" ref="AV13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MATCH($A133, Minimos!$A:$A, 0),
    _xlpm.anio, INDEX(Minimos!$A:$ZZ, _xlpm.fila, _xlpm.colIni+1),
    _xlpm.dia, INDEX(Minimos!$A:$ZZ, _xlpm.fila, _xlpm.colIni+2),
    IF(OR(_xlpm.anio="",_xlpm.dia=""), "", DATE(_xlpm.anio, _xlpm.mesNum, _xlpm.dia))
  ),
"")</f>
        <v>33485</v>
      </c>
      <c r="AW133" s="92">
        <f t="shared" ref="AW133:AW196" si="15">IF(OR(AT133="",AU133=""),"NA",IFERROR(AT133-AU133,"NA"))</f>
        <v>4.1999999999999993</v>
      </c>
    </row>
    <row r="134" spans="1:49" ht="14.25" customHeight="1" x14ac:dyDescent="0.2">
      <c r="A134" s="48">
        <v>52055090</v>
      </c>
      <c r="B134" s="52" t="s">
        <v>290</v>
      </c>
      <c r="C134" s="52" t="s">
        <v>261</v>
      </c>
      <c r="D134" s="53">
        <v>-77.389361109999996</v>
      </c>
      <c r="E134" s="53">
        <v>1.107583333</v>
      </c>
      <c r="F134" s="48">
        <v>2800</v>
      </c>
      <c r="G134" s="46">
        <v>52</v>
      </c>
      <c r="H134" s="46">
        <v>52788</v>
      </c>
      <c r="I134" s="55" t="s">
        <v>82</v>
      </c>
      <c r="J134" s="55" t="s">
        <v>291</v>
      </c>
      <c r="K134" s="51">
        <v>8.4</v>
      </c>
      <c r="L134" s="51">
        <v>9</v>
      </c>
      <c r="M134" s="51">
        <v>12</v>
      </c>
      <c r="N134" s="51">
        <v>12</v>
      </c>
      <c r="O134" s="51"/>
      <c r="P134" s="51"/>
      <c r="Q134" s="51">
        <v>10</v>
      </c>
      <c r="R134" s="51">
        <v>10.8</v>
      </c>
      <c r="S134" s="51">
        <v>11.8</v>
      </c>
      <c r="T134" s="51">
        <v>11</v>
      </c>
      <c r="U134" s="51">
        <v>10.1</v>
      </c>
      <c r="V134" s="51">
        <v>11</v>
      </c>
      <c r="W134" s="51">
        <v>12</v>
      </c>
      <c r="X134" s="51"/>
      <c r="Y134" s="51"/>
      <c r="Z134" s="111"/>
      <c r="AA134" s="51"/>
      <c r="AB134" s="51"/>
      <c r="AC134" s="51"/>
      <c r="AD134" s="51"/>
      <c r="AE134" s="51"/>
      <c r="AF134" s="51"/>
      <c r="AG134" s="51"/>
      <c r="AH134" s="51"/>
      <c r="AI134" s="51"/>
      <c r="AJ134" s="51"/>
      <c r="AK134" s="51"/>
      <c r="AL134" s="51"/>
      <c r="AM134" s="51"/>
      <c r="AN134" s="51"/>
      <c r="AO134" s="51"/>
      <c r="AP134" s="88">
        <f t="shared" si="11"/>
        <v>11</v>
      </c>
      <c r="AQ134" s="89" t="str">
        <f t="shared" si="12"/>
        <v/>
      </c>
      <c r="AR134" s="89">
        <f>IFERROR(VLOOKUP(A134,Climatologia!A:U,9+$E$2,FALSE),"")</f>
        <v>9.2348212445501403</v>
      </c>
      <c r="AS134" s="89" t="str">
        <f t="shared" si="13"/>
        <v/>
      </c>
      <c r="AT134" s="90">
        <f t="shared" si="14"/>
        <v>8.4</v>
      </c>
      <c r="AU134" s="90">
        <f t="array" ref="AU134">IFERROR(
  _xlfn.LET(
    _xlpm.mesTxt, INDEX({"ENERO","FEBRERO","MARZO","ABRIL","MAYO","JUNIO","JULIO","AGOSTO","SEPTIEMBRE","OCTUBRE","NOVIEMBRE","DICIEMBRE"}, E$2),
    _xlpm.colIni, MATCH(_xlpm.mesTxt, Minimos!$1:$1, 0),
    _xlpm.fila, MATCH($A134, Minimos!$A:$A, 0),
    _xlpm.val, INDEX(Minimos!$A:$ZZ, _xlpm.fila, _xlpm.colIni),
    IF(_xlpm.val="", "", _xlpm.val)
  ),
"")</f>
        <v>5</v>
      </c>
      <c r="AV134" s="91">
        <f t="array" ref="AV13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MATCH($A134, Minimos!$A:$A, 0),
    _xlpm.anio, INDEX(Minimos!$A:$ZZ, _xlpm.fila, _xlpm.colIni+1),
    _xlpm.dia, INDEX(Minimos!$A:$ZZ, _xlpm.fila, _xlpm.colIni+2),
    IF(OR(_xlpm.anio="",_xlpm.dia=""), "", DATE(_xlpm.anio, _xlpm.mesNum, _xlpm.dia))
  ),
"")</f>
        <v>36039</v>
      </c>
      <c r="AW134" s="92">
        <f t="shared" si="15"/>
        <v>3.4000000000000004</v>
      </c>
    </row>
    <row r="135" spans="1:49" ht="14.25" customHeight="1" x14ac:dyDescent="0.2">
      <c r="A135" s="48">
        <v>52055200</v>
      </c>
      <c r="B135" s="52" t="s">
        <v>292</v>
      </c>
      <c r="C135" s="52" t="s">
        <v>261</v>
      </c>
      <c r="D135" s="53">
        <v>-77.445805559999997</v>
      </c>
      <c r="E135" s="53">
        <v>1.0042222220000001</v>
      </c>
      <c r="F135" s="48">
        <v>2181</v>
      </c>
      <c r="G135" s="46">
        <v>52</v>
      </c>
      <c r="H135" s="46">
        <v>52287</v>
      </c>
      <c r="I135" s="55" t="s">
        <v>82</v>
      </c>
      <c r="J135" s="55" t="s">
        <v>292</v>
      </c>
      <c r="K135" s="51">
        <v>10.4</v>
      </c>
      <c r="L135" s="51">
        <v>12</v>
      </c>
      <c r="M135" s="51">
        <v>13.8</v>
      </c>
      <c r="N135" s="51">
        <v>9.1999999999999993</v>
      </c>
      <c r="O135" s="51">
        <v>16</v>
      </c>
      <c r="P135" s="51">
        <v>14.4</v>
      </c>
      <c r="Q135" s="51">
        <v>11.6</v>
      </c>
      <c r="R135" s="51">
        <v>12</v>
      </c>
      <c r="S135" s="51">
        <v>16.2</v>
      </c>
      <c r="T135" s="51">
        <v>11.8</v>
      </c>
      <c r="U135" s="51">
        <v>13.6</v>
      </c>
      <c r="V135" s="51">
        <v>13.8</v>
      </c>
      <c r="W135" s="51">
        <v>15</v>
      </c>
      <c r="X135" s="51"/>
      <c r="Y135" s="51"/>
      <c r="Z135" s="111"/>
      <c r="AA135" s="51"/>
      <c r="AB135" s="51"/>
      <c r="AC135" s="51"/>
      <c r="AD135" s="51"/>
      <c r="AE135" s="51"/>
      <c r="AF135" s="51"/>
      <c r="AG135" s="51"/>
      <c r="AH135" s="51"/>
      <c r="AI135" s="51"/>
      <c r="AJ135" s="51"/>
      <c r="AK135" s="51"/>
      <c r="AL135" s="51"/>
      <c r="AM135" s="51"/>
      <c r="AN135" s="51"/>
      <c r="AO135" s="51"/>
      <c r="AP135" s="88">
        <f t="shared" si="11"/>
        <v>13</v>
      </c>
      <c r="AQ135" s="89" t="str">
        <f t="shared" si="12"/>
        <v/>
      </c>
      <c r="AR135" s="89">
        <f>IFERROR(VLOOKUP(A135,Climatologia!A:U,9+$E$2,FALSE),"")</f>
        <v>12.205965517241379</v>
      </c>
      <c r="AS135" s="89" t="str">
        <f t="shared" si="13"/>
        <v/>
      </c>
      <c r="AT135" s="90">
        <f t="shared" si="14"/>
        <v>9.1999999999999993</v>
      </c>
      <c r="AU135" s="90">
        <f t="array" ref="AU135">IFERROR(
  _xlfn.LET(
    _xlpm.mesTxt, INDEX({"ENERO","FEBRERO","MARZO","ABRIL","MAYO","JUNIO","JULIO","AGOSTO","SEPTIEMBRE","OCTUBRE","NOVIEMBRE","DICIEMBRE"}, E$2),
    _xlpm.colIni, MATCH(_xlpm.mesTxt, Minimos!$1:$1, 0),
    _xlpm.fila, MATCH($A135, Minimos!$A:$A, 0),
    _xlpm.val, INDEX(Minimos!$A:$ZZ, _xlpm.fila, _xlpm.colIni),
    IF(_xlpm.val="", "", _xlpm.val)
  ),
"")</f>
        <v>8</v>
      </c>
      <c r="AV135" s="91">
        <f t="array" ref="AV13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MATCH($A135, Minimos!$A:$A, 0),
    _xlpm.anio, INDEX(Minimos!$A:$ZZ, _xlpm.fila, _xlpm.colIni+1),
    _xlpm.dia, INDEX(Minimos!$A:$ZZ, _xlpm.fila, _xlpm.colIni+2),
    IF(OR(_xlpm.anio="",_xlpm.dia=""), "", DATE(_xlpm.anio, _xlpm.mesNum, _xlpm.dia))
  ),
"")</f>
        <v>44100</v>
      </c>
      <c r="AW135" s="92">
        <f t="shared" si="15"/>
        <v>1.1999999999999993</v>
      </c>
    </row>
    <row r="136" spans="1:49" ht="14.25" customHeight="1" x14ac:dyDescent="0.2">
      <c r="A136" s="48">
        <v>52055210</v>
      </c>
      <c r="B136" s="52" t="s">
        <v>293</v>
      </c>
      <c r="C136" s="52" t="s">
        <v>261</v>
      </c>
      <c r="D136" s="53">
        <v>-77.278805559999995</v>
      </c>
      <c r="E136" s="53">
        <v>1.1599999999999999</v>
      </c>
      <c r="F136" s="48">
        <v>2820</v>
      </c>
      <c r="G136" s="46">
        <v>52</v>
      </c>
      <c r="H136" s="46">
        <v>52001</v>
      </c>
      <c r="I136" s="55" t="s">
        <v>82</v>
      </c>
      <c r="J136" s="55" t="s">
        <v>271</v>
      </c>
      <c r="K136" s="51">
        <v>6.4</v>
      </c>
      <c r="L136" s="51">
        <v>9.1999999999999993</v>
      </c>
      <c r="M136" s="51">
        <v>10.8</v>
      </c>
      <c r="N136" s="51">
        <v>9</v>
      </c>
      <c r="O136" s="51">
        <v>10.8</v>
      </c>
      <c r="P136" s="51">
        <v>8</v>
      </c>
      <c r="Q136" s="51">
        <v>7.2</v>
      </c>
      <c r="R136" s="51">
        <v>8.6</v>
      </c>
      <c r="S136" s="51">
        <v>10</v>
      </c>
      <c r="T136" s="51">
        <v>10.6</v>
      </c>
      <c r="U136" s="51">
        <v>10.4</v>
      </c>
      <c r="V136" s="51">
        <v>10.8</v>
      </c>
      <c r="W136" s="51">
        <v>9.8000000000000007</v>
      </c>
      <c r="X136" s="51"/>
      <c r="Y136" s="51"/>
      <c r="Z136" s="11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1"/>
      <c r="AN136" s="51"/>
      <c r="AO136" s="51"/>
      <c r="AP136" s="88">
        <f t="shared" si="11"/>
        <v>13</v>
      </c>
      <c r="AQ136" s="89" t="str">
        <f t="shared" si="12"/>
        <v/>
      </c>
      <c r="AR136" s="89">
        <f>IFERROR(VLOOKUP(A136,Climatologia!A:U,9+$E$2,FALSE),"")</f>
        <v>8.3700583367250037</v>
      </c>
      <c r="AS136" s="89" t="str">
        <f t="shared" si="13"/>
        <v/>
      </c>
      <c r="AT136" s="90">
        <f t="shared" si="14"/>
        <v>6.4</v>
      </c>
      <c r="AU136" s="90">
        <f t="array" ref="AU136">IFERROR(
  _xlfn.LET(
    _xlpm.mesTxt, INDEX({"ENERO","FEBRERO","MARZO","ABRIL","MAYO","JUNIO","JULIO","AGOSTO","SEPTIEMBRE","OCTUBRE","NOVIEMBRE","DICIEMBRE"}, E$2),
    _xlpm.colIni, MATCH(_xlpm.mesTxt, Minimos!$1:$1, 0),
    _xlpm.fila, MATCH($A136, Minimos!$A:$A, 0),
    _xlpm.val, INDEX(Minimos!$A:$ZZ, _xlpm.fila, _xlpm.colIni),
    IF(_xlpm.val="", "", _xlpm.val)
  ),
"")</f>
        <v>2.8</v>
      </c>
      <c r="AV136" s="91">
        <f t="array" ref="AV13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MATCH($A136, Minimos!$A:$A, 0),
    _xlpm.anio, INDEX(Minimos!$A:$ZZ, _xlpm.fila, _xlpm.colIni+1),
    _xlpm.dia, INDEX(Minimos!$A:$ZZ, _xlpm.fila, _xlpm.colIni+2),
    IF(OR(_xlpm.anio="",_xlpm.dia=""), "", DATE(_xlpm.anio, _xlpm.mesNum, _xlpm.dia))
  ),
"")</f>
        <v>44453</v>
      </c>
      <c r="AW136" s="92">
        <f t="shared" si="15"/>
        <v>3.6000000000000005</v>
      </c>
    </row>
    <row r="137" spans="1:49" ht="14.25" customHeight="1" x14ac:dyDescent="0.2">
      <c r="A137" s="48">
        <v>52055220</v>
      </c>
      <c r="B137" s="52" t="s">
        <v>294</v>
      </c>
      <c r="C137" s="52" t="s">
        <v>261</v>
      </c>
      <c r="D137" s="53">
        <v>-77.636935688999998</v>
      </c>
      <c r="E137" s="53">
        <v>1.070707855</v>
      </c>
      <c r="F137" s="48">
        <v>3033</v>
      </c>
      <c r="G137" s="46">
        <v>52</v>
      </c>
      <c r="H137" s="46">
        <v>52838</v>
      </c>
      <c r="I137" s="55" t="s">
        <v>82</v>
      </c>
      <c r="J137" s="55" t="s">
        <v>295</v>
      </c>
      <c r="K137" s="51">
        <v>6</v>
      </c>
      <c r="L137" s="51">
        <v>6.2</v>
      </c>
      <c r="M137" s="51">
        <v>8.4</v>
      </c>
      <c r="N137" s="51">
        <v>8</v>
      </c>
      <c r="O137" s="51">
        <v>8.4</v>
      </c>
      <c r="P137" s="51">
        <v>5.6</v>
      </c>
      <c r="Q137" s="51">
        <v>6.2</v>
      </c>
      <c r="R137" s="51">
        <v>6</v>
      </c>
      <c r="S137" s="51">
        <v>6.4</v>
      </c>
      <c r="T137" s="51">
        <v>7.2</v>
      </c>
      <c r="U137" s="51">
        <v>7.8</v>
      </c>
      <c r="V137" s="51">
        <v>7.6</v>
      </c>
      <c r="W137" s="51">
        <v>7.8</v>
      </c>
      <c r="X137" s="51"/>
      <c r="Y137" s="51"/>
      <c r="Z137" s="111"/>
      <c r="AA137" s="51"/>
      <c r="AB137" s="51"/>
      <c r="AC137" s="51"/>
      <c r="AD137" s="51"/>
      <c r="AE137" s="51"/>
      <c r="AF137" s="51"/>
      <c r="AG137" s="51"/>
      <c r="AH137" s="51"/>
      <c r="AI137" s="51"/>
      <c r="AJ137" s="51"/>
      <c r="AK137" s="51"/>
      <c r="AL137" s="51"/>
      <c r="AM137" s="51"/>
      <c r="AN137" s="51"/>
      <c r="AO137" s="51"/>
      <c r="AP137" s="88">
        <f t="shared" si="11"/>
        <v>13</v>
      </c>
      <c r="AQ137" s="89" t="str">
        <f t="shared" si="12"/>
        <v/>
      </c>
      <c r="AR137" s="89">
        <f>IFERROR(VLOOKUP(A137,Climatologia!A:U,9+$E$2,FALSE),"")</f>
        <v>6.6653428458184703</v>
      </c>
      <c r="AS137" s="89" t="str">
        <f t="shared" si="13"/>
        <v/>
      </c>
      <c r="AT137" s="90">
        <f t="shared" si="14"/>
        <v>5.6</v>
      </c>
      <c r="AU137" s="90">
        <f t="array" ref="AU137">IFERROR(
  _xlfn.LET(
    _xlpm.mesTxt, INDEX({"ENERO","FEBRERO","MARZO","ABRIL","MAYO","JUNIO","JULIO","AGOSTO","SEPTIEMBRE","OCTUBRE","NOVIEMBRE","DICIEMBRE"}, E$2),
    _xlpm.colIni, MATCH(_xlpm.mesTxt, Minimos!$1:$1, 0),
    _xlpm.fila, MATCH($A137, Minimos!$A:$A, 0),
    _xlpm.val, INDEX(Minimos!$A:$ZZ, _xlpm.fila, _xlpm.colIni),
    IF(_xlpm.val="", "", _xlpm.val)
  ),
"")</f>
        <v>2.2000000000000002</v>
      </c>
      <c r="AV137" s="91">
        <f t="array" ref="AV13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MATCH($A137, Minimos!$A:$A, 0),
    _xlpm.anio, INDEX(Minimos!$A:$ZZ, _xlpm.fila, _xlpm.colIni+1),
    _xlpm.dia, INDEX(Minimos!$A:$ZZ, _xlpm.fila, _xlpm.colIni+2),
    IF(OR(_xlpm.anio="",_xlpm.dia=""), "", DATE(_xlpm.anio, _xlpm.mesNum, _xlpm.dia))
  ),
"")</f>
        <v>39715</v>
      </c>
      <c r="AW137" s="92">
        <f t="shared" si="15"/>
        <v>3.3999999999999995</v>
      </c>
    </row>
    <row r="138" spans="1:49" ht="14.25" customHeight="1" x14ac:dyDescent="0.2">
      <c r="A138" s="48">
        <v>53045040</v>
      </c>
      <c r="B138" s="52" t="s">
        <v>296</v>
      </c>
      <c r="C138" s="52" t="s">
        <v>261</v>
      </c>
      <c r="D138" s="53">
        <v>-77.894750000000002</v>
      </c>
      <c r="E138" s="53">
        <v>2.5744166669999999</v>
      </c>
      <c r="F138" s="48">
        <v>42</v>
      </c>
      <c r="G138" s="46">
        <v>19</v>
      </c>
      <c r="H138" s="46">
        <v>19318</v>
      </c>
      <c r="I138" s="55" t="s">
        <v>181</v>
      </c>
      <c r="J138" s="55" t="s">
        <v>297</v>
      </c>
      <c r="K138" s="51">
        <v>23.8</v>
      </c>
      <c r="L138" s="51">
        <v>23.6</v>
      </c>
      <c r="M138" s="51">
        <v>24.2</v>
      </c>
      <c r="N138" s="51">
        <v>25.4</v>
      </c>
      <c r="O138" s="51">
        <v>24.6</v>
      </c>
      <c r="P138" s="51">
        <v>24.2</v>
      </c>
      <c r="Q138" s="51">
        <v>24</v>
      </c>
      <c r="R138" s="51">
        <v>24.2</v>
      </c>
      <c r="S138" s="51">
        <v>24.6</v>
      </c>
      <c r="T138" s="51">
        <v>24.4</v>
      </c>
      <c r="U138" s="51">
        <v>23.8</v>
      </c>
      <c r="V138" s="51">
        <v>23.6</v>
      </c>
      <c r="W138" s="51">
        <v>24.8</v>
      </c>
      <c r="X138" s="51"/>
      <c r="Y138" s="51"/>
      <c r="Z138" s="111"/>
      <c r="AA138" s="51"/>
      <c r="AB138" s="51"/>
      <c r="AC138" s="51"/>
      <c r="AD138" s="51"/>
      <c r="AE138" s="51"/>
      <c r="AF138" s="51"/>
      <c r="AG138" s="51"/>
      <c r="AH138" s="51"/>
      <c r="AI138" s="51"/>
      <c r="AJ138" s="51"/>
      <c r="AK138" s="51"/>
      <c r="AL138" s="51"/>
      <c r="AM138" s="51"/>
      <c r="AN138" s="51"/>
      <c r="AO138" s="51"/>
      <c r="AP138" s="88">
        <f t="shared" si="11"/>
        <v>13</v>
      </c>
      <c r="AQ138" s="89" t="str">
        <f t="shared" si="12"/>
        <v/>
      </c>
      <c r="AR138" s="89" t="str">
        <f>IFERROR(VLOOKUP(A138,Climatologia!A:U,9+$E$2,FALSE),"")</f>
        <v/>
      </c>
      <c r="AS138" s="89" t="str">
        <f t="shared" si="13"/>
        <v/>
      </c>
      <c r="AT138" s="90">
        <f t="shared" si="14"/>
        <v>23.6</v>
      </c>
      <c r="AU138" s="90" t="str">
        <f t="array" ref="AU138">IFERROR(
  _xlfn.LET(
    _xlpm.mesTxt, INDEX({"ENERO","FEBRERO","MARZO","ABRIL","MAYO","JUNIO","JULIO","AGOSTO","SEPTIEMBRE","OCTUBRE","NOVIEMBRE","DICIEMBRE"}, E$2),
    _xlpm.colIni, MATCH(_xlpm.mesTxt, Minimos!$1:$1, 0),
    _xlpm.fila, MATCH($A138, Minimos!$A:$A, 0),
    _xlpm.val, INDEX(Minimos!$A:$ZZ, _xlpm.fila, _xlpm.colIni),
    IF(_xlpm.val="", "", _xlpm.val)
  ),
"")</f>
        <v/>
      </c>
      <c r="AV138" s="91" t="str">
        <f t="array" ref="AV13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MATCH($A138,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38" s="92" t="str">
        <f t="shared" si="15"/>
        <v>NA</v>
      </c>
    </row>
    <row r="139" spans="1:49" ht="14.25" customHeight="1" x14ac:dyDescent="0.2">
      <c r="A139" s="48">
        <v>16015020</v>
      </c>
      <c r="B139" s="52" t="s">
        <v>298</v>
      </c>
      <c r="C139" s="52" t="s">
        <v>299</v>
      </c>
      <c r="D139" s="53">
        <v>-72.644999999999996</v>
      </c>
      <c r="E139" s="53">
        <v>7.3731111110000001</v>
      </c>
      <c r="F139" s="48">
        <v>2340</v>
      </c>
      <c r="G139" s="46">
        <v>54</v>
      </c>
      <c r="H139" s="46">
        <v>54518</v>
      </c>
      <c r="I139" s="55" t="s">
        <v>300</v>
      </c>
      <c r="J139" s="55" t="s">
        <v>301</v>
      </c>
      <c r="K139" s="51">
        <v>11.8</v>
      </c>
      <c r="L139" s="51">
        <v>12</v>
      </c>
      <c r="M139" s="51">
        <v>12.2</v>
      </c>
      <c r="N139" s="51">
        <v>10.4</v>
      </c>
      <c r="O139" s="51">
        <v>12.2</v>
      </c>
      <c r="P139" s="51">
        <v>11.8</v>
      </c>
      <c r="Q139" s="51">
        <v>11.2</v>
      </c>
      <c r="R139" s="51">
        <v>12</v>
      </c>
      <c r="S139" s="51">
        <v>10.8</v>
      </c>
      <c r="T139" s="51">
        <v>11.8</v>
      </c>
      <c r="U139" s="51">
        <v>12.2</v>
      </c>
      <c r="V139" s="51">
        <v>12.6</v>
      </c>
      <c r="W139" s="51">
        <v>13</v>
      </c>
      <c r="X139" s="51"/>
      <c r="Y139" s="51"/>
      <c r="Z139" s="111"/>
      <c r="AA139" s="51"/>
      <c r="AB139" s="51"/>
      <c r="AC139" s="51"/>
      <c r="AD139" s="51"/>
      <c r="AE139" s="51"/>
      <c r="AF139" s="51"/>
      <c r="AG139" s="51"/>
      <c r="AH139" s="51"/>
      <c r="AI139" s="51"/>
      <c r="AJ139" s="51"/>
      <c r="AK139" s="51"/>
      <c r="AL139" s="51"/>
      <c r="AM139" s="51"/>
      <c r="AN139" s="51"/>
      <c r="AO139" s="51"/>
      <c r="AP139" s="88">
        <f t="shared" si="11"/>
        <v>13</v>
      </c>
      <c r="AQ139" s="89" t="str">
        <f t="shared" si="12"/>
        <v/>
      </c>
      <c r="AR139" s="89">
        <f>IFERROR(VLOOKUP(A139,Climatologia!A:U,9+$E$2,FALSE),"")</f>
        <v>10.703855500821019</v>
      </c>
      <c r="AS139" s="89" t="str">
        <f t="shared" si="13"/>
        <v/>
      </c>
      <c r="AT139" s="90">
        <f t="shared" si="14"/>
        <v>10.4</v>
      </c>
      <c r="AU139" s="90">
        <f t="array" ref="AU139">IFERROR(
  _xlfn.LET(
    _xlpm.mesTxt, INDEX({"ENERO","FEBRERO","MARZO","ABRIL","MAYO","JUNIO","JULIO","AGOSTO","SEPTIEMBRE","OCTUBRE","NOVIEMBRE","DICIEMBRE"}, E$2),
    _xlpm.colIni, MATCH(_xlpm.mesTxt, Minimos!$1:$1, 0),
    _xlpm.fila, MATCH($A139, Minimos!$A:$A, 0),
    _xlpm.val, INDEX(Minimos!$A:$ZZ, _xlpm.fila, _xlpm.colIni),
    IF(_xlpm.val="", "", _xlpm.val)
  ),
"")</f>
        <v>5</v>
      </c>
      <c r="AV139" s="91">
        <f t="array" ref="AV13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MATCH($A139, Minimos!$A:$A, 0),
    _xlpm.anio, INDEX(Minimos!$A:$ZZ, _xlpm.fila, _xlpm.colIni+1),
    _xlpm.dia, INDEX(Minimos!$A:$ZZ, _xlpm.fila, _xlpm.colIni+2),
    IF(OR(_xlpm.anio="",_xlpm.dia=""), "", DATE(_xlpm.anio, _xlpm.mesNum, _xlpm.dia))
  ),
"")</f>
        <v>35703</v>
      </c>
      <c r="AW139" s="92">
        <f t="shared" si="15"/>
        <v>5.4</v>
      </c>
    </row>
    <row r="140" spans="1:49" ht="14.25" customHeight="1" x14ac:dyDescent="0.2">
      <c r="A140" s="48">
        <v>16015100</v>
      </c>
      <c r="B140" s="52" t="s">
        <v>302</v>
      </c>
      <c r="C140" s="52" t="s">
        <v>299</v>
      </c>
      <c r="D140" s="53">
        <v>-72.483888890000003</v>
      </c>
      <c r="E140" s="53">
        <v>7.5766666669999996</v>
      </c>
      <c r="F140" s="48">
        <v>1550</v>
      </c>
      <c r="G140" s="46">
        <v>54</v>
      </c>
      <c r="H140" s="46">
        <v>54599</v>
      </c>
      <c r="I140" s="55" t="s">
        <v>300</v>
      </c>
      <c r="J140" s="55" t="s">
        <v>302</v>
      </c>
      <c r="K140" s="51">
        <v>16.2</v>
      </c>
      <c r="L140" s="51">
        <v>15.6</v>
      </c>
      <c r="M140" s="51">
        <v>15.4</v>
      </c>
      <c r="N140" s="51">
        <v>14.6</v>
      </c>
      <c r="O140" s="51">
        <v>14.8</v>
      </c>
      <c r="P140" s="51">
        <v>14.4</v>
      </c>
      <c r="Q140" s="51">
        <v>14.4</v>
      </c>
      <c r="R140" s="51">
        <v>14.2</v>
      </c>
      <c r="S140" s="51">
        <v>15</v>
      </c>
      <c r="T140" s="51">
        <v>14.8</v>
      </c>
      <c r="U140" s="51">
        <v>15.6</v>
      </c>
      <c r="V140" s="51">
        <v>14.6</v>
      </c>
      <c r="W140" s="51">
        <v>16.2</v>
      </c>
      <c r="X140" s="51"/>
      <c r="Y140" s="51"/>
      <c r="Z140" s="111"/>
      <c r="AA140" s="51"/>
      <c r="AB140" s="51"/>
      <c r="AC140" s="51"/>
      <c r="AD140" s="51"/>
      <c r="AE140" s="51"/>
      <c r="AF140" s="51"/>
      <c r="AG140" s="51"/>
      <c r="AH140" s="51"/>
      <c r="AI140" s="51"/>
      <c r="AJ140" s="51"/>
      <c r="AK140" s="51"/>
      <c r="AL140" s="51"/>
      <c r="AM140" s="51"/>
      <c r="AN140" s="51"/>
      <c r="AO140" s="51"/>
      <c r="AP140" s="88">
        <f t="shared" si="11"/>
        <v>13</v>
      </c>
      <c r="AQ140" s="89" t="str">
        <f t="shared" si="12"/>
        <v/>
      </c>
      <c r="AR140" s="89">
        <f>IFERROR(VLOOKUP(A140,Climatologia!A:U,9+$E$2,FALSE),"")</f>
        <v>14.545254688445249</v>
      </c>
      <c r="AS140" s="89" t="str">
        <f t="shared" si="13"/>
        <v/>
      </c>
      <c r="AT140" s="90">
        <f t="shared" si="14"/>
        <v>14.2</v>
      </c>
      <c r="AU140" s="90">
        <f t="array" ref="AU140">IFERROR(
  _xlfn.LET(
    _xlpm.mesTxt, INDEX({"ENERO","FEBRERO","MARZO","ABRIL","MAYO","JUNIO","JULIO","AGOSTO","SEPTIEMBRE","OCTUBRE","NOVIEMBRE","DICIEMBRE"}, E$2),
    _xlpm.colIni, MATCH(_xlpm.mesTxt, Minimos!$1:$1, 0),
    _xlpm.fila, MATCH($A140, Minimos!$A:$A, 0),
    _xlpm.val, INDEX(Minimos!$A:$ZZ, _xlpm.fila, _xlpm.colIni),
    IF(_xlpm.val="", "", _xlpm.val)
  ),
"")</f>
        <v>11.8</v>
      </c>
      <c r="AV140" s="91">
        <f t="array" ref="AV14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MATCH($A140, Minimos!$A:$A, 0),
    _xlpm.anio, INDEX(Minimos!$A:$ZZ, _xlpm.fila, _xlpm.colIni+1),
    _xlpm.dia, INDEX(Minimos!$A:$ZZ, _xlpm.fila, _xlpm.colIni+2),
    IF(OR(_xlpm.anio="",_xlpm.dia=""), "", DATE(_xlpm.anio, _xlpm.mesNum, _xlpm.dia))
  ),
"")</f>
        <v>42643</v>
      </c>
      <c r="AW140" s="92">
        <f t="shared" si="15"/>
        <v>2.3999999999999986</v>
      </c>
    </row>
    <row r="141" spans="1:49" ht="14.25" customHeight="1" x14ac:dyDescent="0.2">
      <c r="A141" s="48">
        <v>16025010</v>
      </c>
      <c r="B141" s="52" t="s">
        <v>303</v>
      </c>
      <c r="C141" s="52" t="s">
        <v>299</v>
      </c>
      <c r="D141" s="53">
        <v>-72.566111109999994</v>
      </c>
      <c r="E141" s="53">
        <v>7.8488888890000004</v>
      </c>
      <c r="F141" s="48">
        <v>285</v>
      </c>
      <c r="G141" s="46">
        <v>54</v>
      </c>
      <c r="H141" s="46">
        <v>54001</v>
      </c>
      <c r="I141" s="55" t="s">
        <v>300</v>
      </c>
      <c r="J141" s="55" t="s">
        <v>304</v>
      </c>
      <c r="K141" s="51">
        <v>24.8</v>
      </c>
      <c r="L141" s="51">
        <v>24.4</v>
      </c>
      <c r="M141" s="51">
        <v>23.4</v>
      </c>
      <c r="N141" s="51">
        <v>24.2</v>
      </c>
      <c r="O141" s="51">
        <v>24.4</v>
      </c>
      <c r="P141" s="51">
        <v>24.8</v>
      </c>
      <c r="Q141" s="51">
        <v>24</v>
      </c>
      <c r="R141" s="51">
        <v>26</v>
      </c>
      <c r="S141" s="51">
        <v>27.2</v>
      </c>
      <c r="T141" s="51">
        <v>26.4</v>
      </c>
      <c r="U141" s="51">
        <v>24</v>
      </c>
      <c r="V141" s="51"/>
      <c r="W141" s="51"/>
      <c r="X141" s="51"/>
      <c r="Y141" s="51"/>
      <c r="Z141" s="111"/>
      <c r="AA141" s="51"/>
      <c r="AB141" s="51"/>
      <c r="AC141" s="51"/>
      <c r="AD141" s="51"/>
      <c r="AE141" s="51"/>
      <c r="AF141" s="51"/>
      <c r="AG141" s="51"/>
      <c r="AH141" s="51"/>
      <c r="AI141" s="51"/>
      <c r="AJ141" s="51"/>
      <c r="AK141" s="51"/>
      <c r="AL141" s="51"/>
      <c r="AM141" s="51"/>
      <c r="AN141" s="51"/>
      <c r="AO141" s="51"/>
      <c r="AP141" s="88">
        <f t="shared" si="11"/>
        <v>11</v>
      </c>
      <c r="AQ141" s="89" t="str">
        <f t="shared" si="12"/>
        <v/>
      </c>
      <c r="AR141" s="89">
        <f>IFERROR(VLOOKUP(A141,Climatologia!A:U,9+$E$2,FALSE),"")</f>
        <v>22.455977862920388</v>
      </c>
      <c r="AS141" s="89" t="str">
        <f t="shared" si="13"/>
        <v/>
      </c>
      <c r="AT141" s="90">
        <f t="shared" si="14"/>
        <v>23.4</v>
      </c>
      <c r="AU141" s="90">
        <f t="array" ref="AU141">IFERROR(
  _xlfn.LET(
    _xlpm.mesTxt, INDEX({"ENERO","FEBRERO","MARZO","ABRIL","MAYO","JUNIO","JULIO","AGOSTO","SEPTIEMBRE","OCTUBRE","NOVIEMBRE","DICIEMBRE"}, E$2),
    _xlpm.colIni, MATCH(_xlpm.mesTxt, Minimos!$1:$1, 0),
    _xlpm.fila, MATCH($A141, Minimos!$A:$A, 0),
    _xlpm.val, INDEX(Minimos!$A:$ZZ, _xlpm.fila, _xlpm.colIni),
    IF(_xlpm.val="", "", _xlpm.val)
  ),
"")</f>
        <v>19</v>
      </c>
      <c r="AV141" s="91">
        <f t="array" ref="AV14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MATCH($A141, Minimos!$A:$A, 0),
    _xlpm.anio, INDEX(Minimos!$A:$ZZ, _xlpm.fila, _xlpm.colIni+1),
    _xlpm.dia, INDEX(Minimos!$A:$ZZ, _xlpm.fila, _xlpm.colIni+2),
    IF(OR(_xlpm.anio="",_xlpm.dia=""), "", DATE(_xlpm.anio, _xlpm.mesNum, _xlpm.dia))
  ),
"")</f>
        <v>32410</v>
      </c>
      <c r="AW141" s="92">
        <f t="shared" si="15"/>
        <v>4.3999999999999986</v>
      </c>
    </row>
    <row r="142" spans="1:49" ht="14.25" customHeight="1" x14ac:dyDescent="0.2">
      <c r="A142" s="48">
        <v>16025030</v>
      </c>
      <c r="B142" s="52" t="s">
        <v>305</v>
      </c>
      <c r="C142" s="52" t="s">
        <v>299</v>
      </c>
      <c r="D142" s="53">
        <v>-72.830555559999993</v>
      </c>
      <c r="E142" s="53">
        <v>7.7745833329999998</v>
      </c>
      <c r="F142" s="48">
        <v>860</v>
      </c>
      <c r="G142" s="46">
        <v>54</v>
      </c>
      <c r="H142" s="46">
        <v>54660</v>
      </c>
      <c r="I142" s="55" t="s">
        <v>300</v>
      </c>
      <c r="J142" s="55" t="s">
        <v>305</v>
      </c>
      <c r="K142" s="51">
        <v>20.399999999999999</v>
      </c>
      <c r="L142" s="51">
        <v>21</v>
      </c>
      <c r="M142" s="51">
        <v>21.2</v>
      </c>
      <c r="N142" s="51">
        <v>20.6</v>
      </c>
      <c r="O142" s="51">
        <v>20.399999999999999</v>
      </c>
      <c r="P142" s="51">
        <v>20.399999999999999</v>
      </c>
      <c r="Q142" s="51">
        <v>20.6</v>
      </c>
      <c r="R142" s="51">
        <v>22.2</v>
      </c>
      <c r="S142" s="51">
        <v>20.2</v>
      </c>
      <c r="T142" s="51">
        <v>21.2</v>
      </c>
      <c r="U142" s="51">
        <v>20.399999999999999</v>
      </c>
      <c r="V142" s="51">
        <v>20</v>
      </c>
      <c r="W142" s="51">
        <v>20.2</v>
      </c>
      <c r="X142" s="51"/>
      <c r="Y142" s="51"/>
      <c r="Z142" s="111"/>
      <c r="AA142" s="51"/>
      <c r="AB142" s="51"/>
      <c r="AC142" s="51"/>
      <c r="AD142" s="51"/>
      <c r="AE142" s="51"/>
      <c r="AF142" s="51"/>
      <c r="AG142" s="51"/>
      <c r="AH142" s="51"/>
      <c r="AI142" s="51"/>
      <c r="AJ142" s="51"/>
      <c r="AK142" s="51"/>
      <c r="AL142" s="51"/>
      <c r="AM142" s="51"/>
      <c r="AN142" s="51"/>
      <c r="AO142" s="51"/>
      <c r="AP142" s="88">
        <f t="shared" si="11"/>
        <v>13</v>
      </c>
      <c r="AQ142" s="89" t="str">
        <f t="shared" si="12"/>
        <v/>
      </c>
      <c r="AR142" s="89">
        <f>IFERROR(VLOOKUP(A142,Climatologia!A:U,9+$E$2,FALSE),"")</f>
        <v>19.329999999999998</v>
      </c>
      <c r="AS142" s="89" t="str">
        <f t="shared" si="13"/>
        <v/>
      </c>
      <c r="AT142" s="90">
        <f t="shared" si="14"/>
        <v>20</v>
      </c>
      <c r="AU142" s="90">
        <f t="array" ref="AU142">IFERROR(
  _xlfn.LET(
    _xlpm.mesTxt, INDEX({"ENERO","FEBRERO","MARZO","ABRIL","MAYO","JUNIO","JULIO","AGOSTO","SEPTIEMBRE","OCTUBRE","NOVIEMBRE","DICIEMBRE"}, E$2),
    _xlpm.colIni, MATCH(_xlpm.mesTxt, Minimos!$1:$1, 0),
    _xlpm.fila, MATCH($A142, Minimos!$A:$A, 0),
    _xlpm.val, INDEX(Minimos!$A:$ZZ, _xlpm.fila, _xlpm.colIni),
    IF(_xlpm.val="", "", _xlpm.val)
  ),
"")</f>
        <v>15.2</v>
      </c>
      <c r="AV142" s="91">
        <f t="array" ref="AV14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MATCH($A142, Minimos!$A:$A, 0),
    _xlpm.anio, INDEX(Minimos!$A:$ZZ, _xlpm.fila, _xlpm.colIni+1),
    _xlpm.dia, INDEX(Minimos!$A:$ZZ, _xlpm.fila, _xlpm.colIni+2),
    IF(OR(_xlpm.anio="",_xlpm.dia=""), "", DATE(_xlpm.anio, _xlpm.mesNum, _xlpm.dia))
  ),
"")</f>
        <v>39326</v>
      </c>
      <c r="AW142" s="92">
        <f t="shared" si="15"/>
        <v>4.8000000000000007</v>
      </c>
    </row>
    <row r="143" spans="1:49" ht="14.25" customHeight="1" x14ac:dyDescent="0.2">
      <c r="A143" s="48">
        <v>16025040</v>
      </c>
      <c r="B143" s="52" t="s">
        <v>306</v>
      </c>
      <c r="C143" s="52" t="s">
        <v>299</v>
      </c>
      <c r="D143" s="53">
        <v>-72.47878</v>
      </c>
      <c r="E143" s="53">
        <v>8.1672799999999999</v>
      </c>
      <c r="F143" s="48">
        <v>96</v>
      </c>
      <c r="G143" s="46">
        <v>54</v>
      </c>
      <c r="H143" s="46">
        <v>54001</v>
      </c>
      <c r="I143" s="55" t="s">
        <v>300</v>
      </c>
      <c r="J143" s="55" t="s">
        <v>304</v>
      </c>
      <c r="K143" s="51">
        <v>25</v>
      </c>
      <c r="L143" s="51">
        <v>25.2</v>
      </c>
      <c r="M143" s="51">
        <v>24.8</v>
      </c>
      <c r="N143" s="51">
        <v>24.2</v>
      </c>
      <c r="O143" s="51">
        <v>25</v>
      </c>
      <c r="P143" s="51">
        <v>24.4</v>
      </c>
      <c r="Q143" s="51">
        <v>24</v>
      </c>
      <c r="R143" s="51">
        <v>26</v>
      </c>
      <c r="S143" s="51">
        <v>24.8</v>
      </c>
      <c r="T143" s="51">
        <v>25.8</v>
      </c>
      <c r="U143" s="51">
        <v>23.6</v>
      </c>
      <c r="V143" s="51">
        <v>24.6</v>
      </c>
      <c r="W143" s="51">
        <v>23.4</v>
      </c>
      <c r="X143" s="51"/>
      <c r="Y143" s="51"/>
      <c r="Z143" s="111"/>
      <c r="AA143" s="51"/>
      <c r="AB143" s="51"/>
      <c r="AC143" s="51"/>
      <c r="AD143" s="51"/>
      <c r="AE143" s="51"/>
      <c r="AF143" s="51"/>
      <c r="AG143" s="51"/>
      <c r="AH143" s="51"/>
      <c r="AI143" s="51"/>
      <c r="AJ143" s="51"/>
      <c r="AK143" s="51"/>
      <c r="AL143" s="51"/>
      <c r="AM143" s="51"/>
      <c r="AN143" s="51"/>
      <c r="AO143" s="51"/>
      <c r="AP143" s="88">
        <f t="shared" si="11"/>
        <v>13</v>
      </c>
      <c r="AQ143" s="89" t="str">
        <f t="shared" si="12"/>
        <v/>
      </c>
      <c r="AR143" s="89">
        <f>IFERROR(VLOOKUP(A143,Climatologia!A:U,9+$E$2,FALSE),"")</f>
        <v>23.11510704812429</v>
      </c>
      <c r="AS143" s="89" t="str">
        <f t="shared" si="13"/>
        <v/>
      </c>
      <c r="AT143" s="90">
        <f t="shared" si="14"/>
        <v>23.4</v>
      </c>
      <c r="AU143" s="90">
        <f t="array" ref="AU143">IFERROR(
  _xlfn.LET(
    _xlpm.mesTxt, INDEX({"ENERO","FEBRERO","MARZO","ABRIL","MAYO","JUNIO","JULIO","AGOSTO","SEPTIEMBRE","OCTUBRE","NOVIEMBRE","DICIEMBRE"}, E$2),
    _xlpm.colIni, MATCH(_xlpm.mesTxt, Minimos!$1:$1, 0),
    _xlpm.fila, MATCH($A143, Minimos!$A:$A, 0),
    _xlpm.val, INDEX(Minimos!$A:$ZZ, _xlpm.fila, _xlpm.colIni),
    IF(_xlpm.val="", "", _xlpm.val)
  ),
"")</f>
        <v>16.2</v>
      </c>
      <c r="AV143" s="91">
        <f t="array" ref="AV14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MATCH($A143, Minimos!$A:$A, 0),
    _xlpm.anio, INDEX(Minimos!$A:$ZZ, _xlpm.fila, _xlpm.colIni+1),
    _xlpm.dia, INDEX(Minimos!$A:$ZZ, _xlpm.fila, _xlpm.colIni+2),
    IF(OR(_xlpm.anio="",_xlpm.dia=""), "", DATE(_xlpm.anio, _xlpm.mesNum, _xlpm.dia))
  ),
"")</f>
        <v>29843</v>
      </c>
      <c r="AW143" s="92">
        <f t="shared" si="15"/>
        <v>7.1999999999999993</v>
      </c>
    </row>
    <row r="144" spans="1:49" ht="14.25" customHeight="1" x14ac:dyDescent="0.2">
      <c r="A144" s="48">
        <v>16055010</v>
      </c>
      <c r="B144" s="52" t="s">
        <v>307</v>
      </c>
      <c r="C144" s="52" t="s">
        <v>299</v>
      </c>
      <c r="D144" s="53">
        <v>-73.357500000000002</v>
      </c>
      <c r="E144" s="53">
        <v>8.3152777780000005</v>
      </c>
      <c r="F144" s="48">
        <v>1435</v>
      </c>
      <c r="G144" s="46">
        <v>54</v>
      </c>
      <c r="H144" s="46">
        <v>54498</v>
      </c>
      <c r="I144" s="55" t="s">
        <v>300</v>
      </c>
      <c r="J144" s="55" t="s">
        <v>308</v>
      </c>
      <c r="K144" s="51">
        <v>18.2</v>
      </c>
      <c r="L144" s="51">
        <v>18</v>
      </c>
      <c r="M144" s="51">
        <v>17.2</v>
      </c>
      <c r="N144" s="51">
        <v>17.600000000000001</v>
      </c>
      <c r="O144" s="51">
        <v>16.600000000000001</v>
      </c>
      <c r="P144" s="51">
        <v>15.2</v>
      </c>
      <c r="Q144" s="51">
        <v>14.6</v>
      </c>
      <c r="R144" s="51">
        <v>19.2</v>
      </c>
      <c r="S144" s="51">
        <v>15.6</v>
      </c>
      <c r="T144" s="51">
        <v>18</v>
      </c>
      <c r="U144" s="51">
        <v>18.399999999999999</v>
      </c>
      <c r="V144" s="51">
        <v>17</v>
      </c>
      <c r="W144" s="51">
        <v>18.399999999999999</v>
      </c>
      <c r="X144" s="51"/>
      <c r="Y144" s="51"/>
      <c r="Z144" s="111"/>
      <c r="AA144" s="51"/>
      <c r="AB144" s="51"/>
      <c r="AC144" s="51"/>
      <c r="AD144" s="51"/>
      <c r="AE144" s="51"/>
      <c r="AF144" s="51"/>
      <c r="AG144" s="51"/>
      <c r="AH144" s="51"/>
      <c r="AI144" s="51"/>
      <c r="AJ144" s="51"/>
      <c r="AK144" s="51"/>
      <c r="AL144" s="51"/>
      <c r="AM144" s="51"/>
      <c r="AN144" s="51"/>
      <c r="AO144" s="51"/>
      <c r="AP144" s="88">
        <f t="shared" si="11"/>
        <v>13</v>
      </c>
      <c r="AQ144" s="89" t="str">
        <f t="shared" si="12"/>
        <v/>
      </c>
      <c r="AR144" s="89">
        <f>IFERROR(VLOOKUP(A144,Climatologia!A:U,9+$E$2,FALSE),"")</f>
        <v>16.00302197802198</v>
      </c>
      <c r="AS144" s="89" t="str">
        <f t="shared" si="13"/>
        <v/>
      </c>
      <c r="AT144" s="90">
        <f t="shared" si="14"/>
        <v>14.6</v>
      </c>
      <c r="AU144" s="90">
        <f t="array" ref="AU144">IFERROR(
  _xlfn.LET(
    _xlpm.mesTxt, INDEX({"ENERO","FEBRERO","MARZO","ABRIL","MAYO","JUNIO","JULIO","AGOSTO","SEPTIEMBRE","OCTUBRE","NOVIEMBRE","DICIEMBRE"}, E$2),
    _xlpm.colIni, MATCH(_xlpm.mesTxt, Minimos!$1:$1, 0),
    _xlpm.fila, MATCH($A144, Minimos!$A:$A, 0),
    _xlpm.val, INDEX(Minimos!$A:$ZZ, _xlpm.fila, _xlpm.colIni),
    IF(_xlpm.val="", "", _xlpm.val)
  ),
"")</f>
        <v>11.4</v>
      </c>
      <c r="AV144" s="91">
        <f t="array" ref="AV14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MATCH($A144, Minimos!$A:$A, 0),
    _xlpm.anio, INDEX(Minimos!$A:$ZZ, _xlpm.fila, _xlpm.colIni+1),
    _xlpm.dia, INDEX(Minimos!$A:$ZZ, _xlpm.fila, _xlpm.colIni+2),
    IF(OR(_xlpm.anio="",_xlpm.dia=""), "", DATE(_xlpm.anio, _xlpm.mesNum, _xlpm.dia))
  ),
"")</f>
        <v>31670</v>
      </c>
      <c r="AW144" s="92">
        <f t="shared" si="15"/>
        <v>3.1999999999999993</v>
      </c>
    </row>
    <row r="145" spans="1:49" ht="14.25" customHeight="1" x14ac:dyDescent="0.2">
      <c r="A145" s="48">
        <v>16055040</v>
      </c>
      <c r="B145" s="52" t="s">
        <v>309</v>
      </c>
      <c r="C145" s="52" t="s">
        <v>299</v>
      </c>
      <c r="D145" s="53">
        <v>-73.223055560000006</v>
      </c>
      <c r="E145" s="53">
        <v>8.0872222219999994</v>
      </c>
      <c r="F145" s="48">
        <v>1430</v>
      </c>
      <c r="G145" s="46">
        <v>54</v>
      </c>
      <c r="H145" s="46">
        <v>54003</v>
      </c>
      <c r="I145" s="55" t="s">
        <v>300</v>
      </c>
      <c r="J145" s="55" t="s">
        <v>310</v>
      </c>
      <c r="K145" s="51">
        <v>15</v>
      </c>
      <c r="L145" s="51">
        <v>14</v>
      </c>
      <c r="M145" s="51">
        <v>14</v>
      </c>
      <c r="N145" s="51">
        <v>13.6</v>
      </c>
      <c r="O145" s="51">
        <v>16.2</v>
      </c>
      <c r="P145" s="51">
        <v>11.4</v>
      </c>
      <c r="Q145" s="51">
        <v>11.2</v>
      </c>
      <c r="R145" s="51">
        <v>12.2</v>
      </c>
      <c r="S145" s="51">
        <v>12</v>
      </c>
      <c r="T145" s="51">
        <v>13.2</v>
      </c>
      <c r="U145" s="51">
        <v>15</v>
      </c>
      <c r="V145" s="51">
        <v>14.2</v>
      </c>
      <c r="W145" s="51"/>
      <c r="X145" s="51"/>
      <c r="Y145" s="51"/>
      <c r="Z145" s="111"/>
      <c r="AA145" s="51"/>
      <c r="AB145" s="51"/>
      <c r="AC145" s="51"/>
      <c r="AD145" s="51"/>
      <c r="AE145" s="51"/>
      <c r="AF145" s="51"/>
      <c r="AG145" s="51"/>
      <c r="AH145" s="51"/>
      <c r="AI145" s="51"/>
      <c r="AJ145" s="51"/>
      <c r="AK145" s="51"/>
      <c r="AL145" s="51"/>
      <c r="AM145" s="51"/>
      <c r="AN145" s="51"/>
      <c r="AO145" s="51"/>
      <c r="AP145" s="88">
        <f t="shared" si="11"/>
        <v>12</v>
      </c>
      <c r="AQ145" s="89" t="str">
        <f t="shared" si="12"/>
        <v/>
      </c>
      <c r="AR145" s="89">
        <f>IFERROR(VLOOKUP(A145,Climatologia!A:U,9+$E$2,FALSE),"")</f>
        <v>14.45928882262166</v>
      </c>
      <c r="AS145" s="89" t="str">
        <f t="shared" si="13"/>
        <v/>
      </c>
      <c r="AT145" s="90">
        <f t="shared" si="14"/>
        <v>11.2</v>
      </c>
      <c r="AU145" s="90">
        <f t="array" ref="AU145">IFERROR(
  _xlfn.LET(
    _xlpm.mesTxt, INDEX({"ENERO","FEBRERO","MARZO","ABRIL","MAYO","JUNIO","JULIO","AGOSTO","SEPTIEMBRE","OCTUBRE","NOVIEMBRE","DICIEMBRE"}, E$2),
    _xlpm.colIni, MATCH(_xlpm.mesTxt, Minimos!$1:$1, 0),
    _xlpm.fila, MATCH($A145, Minimos!$A:$A, 0),
    _xlpm.val, INDEX(Minimos!$A:$ZZ, _xlpm.fila, _xlpm.colIni),
    IF(_xlpm.val="", "", _xlpm.val)
  ),
"")</f>
        <v>8.6</v>
      </c>
      <c r="AV145" s="91">
        <f t="array" ref="AV14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MATCH($A145, Minimos!$A:$A, 0),
    _xlpm.anio, INDEX(Minimos!$A:$ZZ, _xlpm.fila, _xlpm.colIni+1),
    _xlpm.dia, INDEX(Minimos!$A:$ZZ, _xlpm.fila, _xlpm.colIni+2),
    IF(OR(_xlpm.anio="",_xlpm.dia=""), "", DATE(_xlpm.anio, _xlpm.mesNum, _xlpm.dia))
  ),
"")</f>
        <v>37135</v>
      </c>
      <c r="AW145" s="92">
        <f t="shared" si="15"/>
        <v>2.5999999999999996</v>
      </c>
    </row>
    <row r="146" spans="1:49" ht="14.25" customHeight="1" x14ac:dyDescent="0.2">
      <c r="A146" s="48">
        <v>23125060</v>
      </c>
      <c r="B146" s="52" t="s">
        <v>311</v>
      </c>
      <c r="C146" s="52" t="s">
        <v>299</v>
      </c>
      <c r="D146" s="53">
        <v>-73.91333333</v>
      </c>
      <c r="E146" s="53">
        <v>5.7583333330000004</v>
      </c>
      <c r="F146" s="48">
        <v>1690</v>
      </c>
      <c r="G146" s="46">
        <v>68</v>
      </c>
      <c r="H146" s="46">
        <v>68020</v>
      </c>
      <c r="I146" s="55" t="s">
        <v>49</v>
      </c>
      <c r="J146" s="55" t="s">
        <v>311</v>
      </c>
      <c r="K146" s="51">
        <v>17.2</v>
      </c>
      <c r="L146" s="51">
        <v>17</v>
      </c>
      <c r="M146" s="51">
        <v>16.2</v>
      </c>
      <c r="N146" s="51">
        <v>16.2</v>
      </c>
      <c r="O146" s="51">
        <v>16.600000000000001</v>
      </c>
      <c r="P146" s="51">
        <v>16.8</v>
      </c>
      <c r="Q146" s="51">
        <v>15.2</v>
      </c>
      <c r="R146" s="51">
        <v>16.2</v>
      </c>
      <c r="S146" s="51">
        <v>17</v>
      </c>
      <c r="T146" s="51">
        <v>16.8</v>
      </c>
      <c r="U146" s="51">
        <v>17.600000000000001</v>
      </c>
      <c r="V146" s="51">
        <v>16.399999999999999</v>
      </c>
      <c r="W146" s="51">
        <v>16.2</v>
      </c>
      <c r="X146" s="51"/>
      <c r="Y146" s="51"/>
      <c r="Z146" s="111"/>
      <c r="AA146" s="51"/>
      <c r="AB146" s="51"/>
      <c r="AC146" s="51"/>
      <c r="AD146" s="51"/>
      <c r="AE146" s="51"/>
      <c r="AF146" s="51"/>
      <c r="AG146" s="51"/>
      <c r="AH146" s="51"/>
      <c r="AI146" s="51"/>
      <c r="AJ146" s="51"/>
      <c r="AK146" s="51"/>
      <c r="AL146" s="51"/>
      <c r="AM146" s="51"/>
      <c r="AN146" s="51"/>
      <c r="AO146" s="51"/>
      <c r="AP146" s="88">
        <f t="shared" si="11"/>
        <v>13</v>
      </c>
      <c r="AQ146" s="89" t="str">
        <f t="shared" si="12"/>
        <v/>
      </c>
      <c r="AR146" s="89">
        <f>IFERROR(VLOOKUP(A146,Climatologia!A:U,9+$E$2,FALSE),"")</f>
        <v>14.599499815025331</v>
      </c>
      <c r="AS146" s="89" t="str">
        <f t="shared" si="13"/>
        <v/>
      </c>
      <c r="AT146" s="90">
        <f t="shared" si="14"/>
        <v>15.2</v>
      </c>
      <c r="AU146" s="90">
        <f t="array" ref="AU146">IFERROR(
  _xlfn.LET(
    _xlpm.mesTxt, INDEX({"ENERO","FEBRERO","MARZO","ABRIL","MAYO","JUNIO","JULIO","AGOSTO","SEPTIEMBRE","OCTUBRE","NOVIEMBRE","DICIEMBRE"}, E$2),
    _xlpm.colIni, MATCH(_xlpm.mesTxt, Minimos!$1:$1, 0),
    _xlpm.fila, MATCH($A146, Minimos!$A:$A, 0),
    _xlpm.val, INDEX(Minimos!$A:$ZZ, _xlpm.fila, _xlpm.colIni),
    IF(_xlpm.val="", "", _xlpm.val)
  ),
"")</f>
        <v>11.2</v>
      </c>
      <c r="AV146" s="91">
        <f t="array" ref="AV14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MATCH($A146, Minimos!$A:$A, 0),
    _xlpm.anio, INDEX(Minimos!$A:$ZZ, _xlpm.fila, _xlpm.colIni+1),
    _xlpm.dia, INDEX(Minimos!$A:$ZZ, _xlpm.fila, _xlpm.colIni+2),
    IF(OR(_xlpm.anio="",_xlpm.dia=""), "", DATE(_xlpm.anio, _xlpm.mesNum, _xlpm.dia))
  ),
"")</f>
        <v>28737</v>
      </c>
      <c r="AW146" s="92">
        <f t="shared" si="15"/>
        <v>4</v>
      </c>
    </row>
    <row r="147" spans="1:49" ht="14.25" customHeight="1" x14ac:dyDescent="0.2">
      <c r="A147" s="48">
        <v>23125120</v>
      </c>
      <c r="B147" s="52" t="s">
        <v>312</v>
      </c>
      <c r="C147" s="52" t="s">
        <v>299</v>
      </c>
      <c r="D147" s="53">
        <v>-73.952222219999996</v>
      </c>
      <c r="E147" s="53">
        <v>6.3086111110000003</v>
      </c>
      <c r="F147" s="48">
        <v>198</v>
      </c>
      <c r="G147" s="46">
        <v>68</v>
      </c>
      <c r="H147" s="46">
        <v>68190</v>
      </c>
      <c r="I147" s="55" t="s">
        <v>49</v>
      </c>
      <c r="J147" s="55" t="s">
        <v>312</v>
      </c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111"/>
      <c r="AA147" s="51"/>
      <c r="AB147" s="51"/>
      <c r="AC147" s="51"/>
      <c r="AD147" s="51"/>
      <c r="AE147" s="51"/>
      <c r="AF147" s="51"/>
      <c r="AG147" s="51"/>
      <c r="AH147" s="51"/>
      <c r="AI147" s="51"/>
      <c r="AJ147" s="51"/>
      <c r="AK147" s="51"/>
      <c r="AL147" s="51"/>
      <c r="AM147" s="51"/>
      <c r="AN147" s="51"/>
      <c r="AO147" s="51"/>
      <c r="AP147" s="88">
        <f t="shared" si="11"/>
        <v>0</v>
      </c>
      <c r="AQ147" s="89" t="str">
        <f t="shared" si="12"/>
        <v/>
      </c>
      <c r="AR147" s="89">
        <f>IFERROR(VLOOKUP(A147,Climatologia!A:U,9+$E$2,FALSE),"")</f>
        <v>22.255609026988331</v>
      </c>
      <c r="AS147" s="89" t="str">
        <f t="shared" si="13"/>
        <v/>
      </c>
      <c r="AT147" s="90" t="str">
        <f t="shared" si="14"/>
        <v/>
      </c>
      <c r="AU147" s="90">
        <f t="array" ref="AU147">IFERROR(
  _xlfn.LET(
    _xlpm.mesTxt, INDEX({"ENERO","FEBRERO","MARZO","ABRIL","MAYO","JUNIO","JULIO","AGOSTO","SEPTIEMBRE","OCTUBRE","NOVIEMBRE","DICIEMBRE"}, E$2),
    _xlpm.colIni, MATCH(_xlpm.mesTxt, Minimos!$1:$1, 0),
    _xlpm.fila, MATCH($A147, Minimos!$A:$A, 0),
    _xlpm.val, INDEX(Minimos!$A:$ZZ, _xlpm.fila, _xlpm.colIni),
    IF(_xlpm.val="", "", _xlpm.val)
  ),
"")</f>
        <v>17</v>
      </c>
      <c r="AV147" s="91">
        <f t="array" ref="AV14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MATCH($A147, Minimos!$A:$A, 0),
    _xlpm.anio, INDEX(Minimos!$A:$ZZ, _xlpm.fila, _xlpm.colIni+1),
    _xlpm.dia, INDEX(Minimos!$A:$ZZ, _xlpm.fila, _xlpm.colIni+2),
    IF(OR(_xlpm.anio="",_xlpm.dia=""), "", DATE(_xlpm.anio, _xlpm.mesNum, _xlpm.dia))
  ),
"")</f>
        <v>37518</v>
      </c>
      <c r="AW147" s="92" t="str">
        <f t="shared" si="15"/>
        <v>NA</v>
      </c>
    </row>
    <row r="148" spans="1:49" ht="14.25" customHeight="1" x14ac:dyDescent="0.2">
      <c r="A148" s="48">
        <v>23145020</v>
      </c>
      <c r="B148" s="52" t="s">
        <v>313</v>
      </c>
      <c r="C148" s="52" t="s">
        <v>299</v>
      </c>
      <c r="D148" s="53">
        <v>-73.510000000000005</v>
      </c>
      <c r="E148" s="53">
        <v>6.6963888889999996</v>
      </c>
      <c r="F148" s="48">
        <v>805</v>
      </c>
      <c r="G148" s="46">
        <v>68</v>
      </c>
      <c r="H148" s="46">
        <v>68235</v>
      </c>
      <c r="I148" s="55" t="s">
        <v>49</v>
      </c>
      <c r="J148" s="55" t="s">
        <v>314</v>
      </c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111"/>
      <c r="AA148" s="51"/>
      <c r="AB148" s="51"/>
      <c r="AC148" s="51"/>
      <c r="AD148" s="51"/>
      <c r="AE148" s="51"/>
      <c r="AF148" s="51"/>
      <c r="AG148" s="51"/>
      <c r="AH148" s="51"/>
      <c r="AI148" s="51"/>
      <c r="AJ148" s="51"/>
      <c r="AK148" s="51"/>
      <c r="AL148" s="51"/>
      <c r="AM148" s="51"/>
      <c r="AN148" s="51"/>
      <c r="AO148" s="51"/>
      <c r="AP148" s="88">
        <f t="shared" si="11"/>
        <v>0</v>
      </c>
      <c r="AQ148" s="89" t="str">
        <f t="shared" si="12"/>
        <v/>
      </c>
      <c r="AR148" s="89">
        <f>IFERROR(VLOOKUP(A148,Climatologia!A:U,9+$E$2,FALSE),"")</f>
        <v>19.720218938149969</v>
      </c>
      <c r="AS148" s="89" t="str">
        <f t="shared" si="13"/>
        <v/>
      </c>
      <c r="AT148" s="90" t="str">
        <f t="shared" si="14"/>
        <v/>
      </c>
      <c r="AU148" s="90">
        <f t="array" ref="AU148">IFERROR(
  _xlfn.LET(
    _xlpm.mesTxt, INDEX({"ENERO","FEBRERO","MARZO","ABRIL","MAYO","JUNIO","JULIO","AGOSTO","SEPTIEMBRE","OCTUBRE","NOVIEMBRE","DICIEMBRE"}, E$2),
    _xlpm.colIni, MATCH(_xlpm.mesTxt, Minimos!$1:$1, 0),
    _xlpm.fila, MATCH($A148, Minimos!$A:$A, 0),
    _xlpm.val, INDEX(Minimos!$A:$ZZ, _xlpm.fila, _xlpm.colIni),
    IF(_xlpm.val="", "", _xlpm.val)
  ),
"")</f>
        <v>16.399999999999999</v>
      </c>
      <c r="AV148" s="91">
        <f t="array" ref="AV14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MATCH($A148, Minimos!$A:$A, 0),
    _xlpm.anio, INDEX(Minimos!$A:$ZZ, _xlpm.fila, _xlpm.colIni+1),
    _xlpm.dia, INDEX(Minimos!$A:$ZZ, _xlpm.fila, _xlpm.colIni+2),
    IF(OR(_xlpm.anio="",_xlpm.dia=""), "", DATE(_xlpm.anio, _xlpm.mesNum, _xlpm.dia))
  ),
"")</f>
        <v>42277</v>
      </c>
      <c r="AW148" s="92" t="str">
        <f t="shared" si="15"/>
        <v>NA</v>
      </c>
    </row>
    <row r="149" spans="1:49" ht="14.25" customHeight="1" x14ac:dyDescent="0.2">
      <c r="A149" s="48">
        <v>23155040</v>
      </c>
      <c r="B149" s="52" t="s">
        <v>315</v>
      </c>
      <c r="C149" s="52" t="s">
        <v>299</v>
      </c>
      <c r="D149" s="53">
        <v>-73.765083329999996</v>
      </c>
      <c r="E149" s="53">
        <v>6.8595555560000001</v>
      </c>
      <c r="F149" s="48">
        <v>114</v>
      </c>
      <c r="G149" s="46">
        <v>68</v>
      </c>
      <c r="H149" s="46">
        <v>68081</v>
      </c>
      <c r="I149" s="55" t="s">
        <v>49</v>
      </c>
      <c r="J149" s="55" t="s">
        <v>50</v>
      </c>
      <c r="K149" s="51">
        <v>25.8</v>
      </c>
      <c r="L149" s="51">
        <v>25.2</v>
      </c>
      <c r="M149" s="51">
        <v>24.8</v>
      </c>
      <c r="N149" s="51">
        <v>24</v>
      </c>
      <c r="O149" s="51">
        <v>23.8</v>
      </c>
      <c r="P149" s="51">
        <v>24.8</v>
      </c>
      <c r="Q149" s="51">
        <v>24.6</v>
      </c>
      <c r="R149" s="51">
        <v>24.8</v>
      </c>
      <c r="S149" s="51">
        <v>24.8</v>
      </c>
      <c r="T149" s="51">
        <v>26.2</v>
      </c>
      <c r="U149" s="51">
        <v>23.8</v>
      </c>
      <c r="V149" s="51">
        <v>25.2</v>
      </c>
      <c r="W149" s="51">
        <v>23.4</v>
      </c>
      <c r="X149" s="51"/>
      <c r="Y149" s="51"/>
      <c r="Z149" s="111"/>
      <c r="AA149" s="51"/>
      <c r="AB149" s="51"/>
      <c r="AC149" s="51"/>
      <c r="AD149" s="51"/>
      <c r="AE149" s="51"/>
      <c r="AF149" s="51"/>
      <c r="AG149" s="51"/>
      <c r="AH149" s="51"/>
      <c r="AI149" s="51"/>
      <c r="AJ149" s="51"/>
      <c r="AK149" s="51"/>
      <c r="AL149" s="51"/>
      <c r="AM149" s="51"/>
      <c r="AN149" s="51"/>
      <c r="AO149" s="51"/>
      <c r="AP149" s="88">
        <f t="shared" si="11"/>
        <v>13</v>
      </c>
      <c r="AQ149" s="89" t="str">
        <f t="shared" si="12"/>
        <v/>
      </c>
      <c r="AR149" s="89">
        <f>IFERROR(VLOOKUP(A149,Climatologia!A:U,9+$E$2,FALSE),"")</f>
        <v>22.212792092964509</v>
      </c>
      <c r="AS149" s="89" t="str">
        <f t="shared" si="13"/>
        <v/>
      </c>
      <c r="AT149" s="90">
        <f t="shared" si="14"/>
        <v>23.4</v>
      </c>
      <c r="AU149" s="90">
        <f t="array" ref="AU149">IFERROR(
  _xlfn.LET(
    _xlpm.mesTxt, INDEX({"ENERO","FEBRERO","MARZO","ABRIL","MAYO","JUNIO","JULIO","AGOSTO","SEPTIEMBRE","OCTUBRE","NOVIEMBRE","DICIEMBRE"}, E$2),
    _xlpm.colIni, MATCH(_xlpm.mesTxt, Minimos!$1:$1, 0),
    _xlpm.fila, MATCH($A149, Minimos!$A:$A, 0),
    _xlpm.val, INDEX(Minimos!$A:$ZZ, _xlpm.fila, _xlpm.colIni),
    IF(_xlpm.val="", "", _xlpm.val)
  ),
"")</f>
        <v>19</v>
      </c>
      <c r="AV149" s="91">
        <f t="array" ref="AV14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MATCH($A149, Minimos!$A:$A, 0),
    _xlpm.anio, INDEX(Minimos!$A:$ZZ, _xlpm.fila, _xlpm.colIni+1),
    _xlpm.dia, INDEX(Minimos!$A:$ZZ, _xlpm.fila, _xlpm.colIni+2),
    IF(OR(_xlpm.anio="",_xlpm.dia=""), "", DATE(_xlpm.anio, _xlpm.mesNum, _xlpm.dia))
  ),
"")</f>
        <v>34584</v>
      </c>
      <c r="AW149" s="92">
        <f t="shared" si="15"/>
        <v>4.3999999999999986</v>
      </c>
    </row>
    <row r="150" spans="1:49" ht="14.25" customHeight="1" x14ac:dyDescent="0.2">
      <c r="A150" s="48">
        <v>23185010</v>
      </c>
      <c r="B150" s="52" t="s">
        <v>316</v>
      </c>
      <c r="C150" s="52" t="s">
        <v>299</v>
      </c>
      <c r="D150" s="53">
        <v>-73.537222220000004</v>
      </c>
      <c r="E150" s="53">
        <v>7.4561111110000002</v>
      </c>
      <c r="F150" s="48">
        <v>328</v>
      </c>
      <c r="G150" s="46">
        <v>68</v>
      </c>
      <c r="H150" s="46">
        <v>68655</v>
      </c>
      <c r="I150" s="55" t="s">
        <v>49</v>
      </c>
      <c r="J150" s="55" t="s">
        <v>317</v>
      </c>
      <c r="K150" s="51">
        <v>24.4</v>
      </c>
      <c r="L150" s="51">
        <v>25</v>
      </c>
      <c r="M150" s="51">
        <v>24.4</v>
      </c>
      <c r="N150" s="51">
        <v>23.4</v>
      </c>
      <c r="O150" s="51">
        <v>24.8</v>
      </c>
      <c r="P150" s="51">
        <v>24.4</v>
      </c>
      <c r="Q150" s="51">
        <v>26</v>
      </c>
      <c r="R150" s="51">
        <v>24</v>
      </c>
      <c r="S150" s="51">
        <v>24</v>
      </c>
      <c r="T150" s="51">
        <v>25</v>
      </c>
      <c r="U150" s="51">
        <v>23.4</v>
      </c>
      <c r="V150" s="51">
        <v>23.8</v>
      </c>
      <c r="W150" s="51">
        <v>26</v>
      </c>
      <c r="X150" s="51"/>
      <c r="Y150" s="51"/>
      <c r="Z150" s="111"/>
      <c r="AA150" s="51"/>
      <c r="AB150" s="51"/>
      <c r="AC150" s="51"/>
      <c r="AD150" s="51"/>
      <c r="AE150" s="51"/>
      <c r="AF150" s="51"/>
      <c r="AG150" s="51"/>
      <c r="AH150" s="51"/>
      <c r="AI150" s="51"/>
      <c r="AJ150" s="51"/>
      <c r="AK150" s="51"/>
      <c r="AL150" s="51"/>
      <c r="AM150" s="51"/>
      <c r="AN150" s="51"/>
      <c r="AO150" s="51"/>
      <c r="AP150" s="88">
        <f t="shared" si="11"/>
        <v>13</v>
      </c>
      <c r="AQ150" s="89" t="str">
        <f t="shared" si="12"/>
        <v/>
      </c>
      <c r="AR150" s="89">
        <f>IFERROR(VLOOKUP(A150,Climatologia!A:U,9+$E$2,FALSE),"")</f>
        <v>23.24969243701382</v>
      </c>
      <c r="AS150" s="89" t="str">
        <f t="shared" si="13"/>
        <v/>
      </c>
      <c r="AT150" s="90">
        <f t="shared" si="14"/>
        <v>23.4</v>
      </c>
      <c r="AU150" s="90">
        <f t="array" ref="AU150">IFERROR(
  _xlfn.LET(
    _xlpm.mesTxt, INDEX({"ENERO","FEBRERO","MARZO","ABRIL","MAYO","JUNIO","JULIO","AGOSTO","SEPTIEMBRE","OCTUBRE","NOVIEMBRE","DICIEMBRE"}, E$2),
    _xlpm.colIni, MATCH(_xlpm.mesTxt, Minimos!$1:$1, 0),
    _xlpm.fila, MATCH($A150, Minimos!$A:$A, 0),
    _xlpm.val, INDEX(Minimos!$A:$ZZ, _xlpm.fila, _xlpm.colIni),
    IF(_xlpm.val="", "", _xlpm.val)
  ),
"")</f>
        <v>17</v>
      </c>
      <c r="AV150" s="91">
        <f t="array" ref="AV15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MATCH($A150, Minimos!$A:$A, 0),
    _xlpm.anio, INDEX(Minimos!$A:$ZZ, _xlpm.fila, _xlpm.colIni+1),
    _xlpm.dia, INDEX(Minimos!$A:$ZZ, _xlpm.fila, _xlpm.colIni+2),
    IF(OR(_xlpm.anio="",_xlpm.dia=""), "", DATE(_xlpm.anio, _xlpm.mesNum, _xlpm.dia))
  ),
"")</f>
        <v>31308</v>
      </c>
      <c r="AW150" s="92">
        <f t="shared" si="15"/>
        <v>6.3999999999999986</v>
      </c>
    </row>
    <row r="151" spans="1:49" ht="14.25" customHeight="1" x14ac:dyDescent="0.2">
      <c r="A151" s="48">
        <v>23195090</v>
      </c>
      <c r="B151" s="52" t="s">
        <v>318</v>
      </c>
      <c r="C151" s="52" t="s">
        <v>299</v>
      </c>
      <c r="D151" s="53">
        <v>-72.987499999999997</v>
      </c>
      <c r="E151" s="53">
        <v>7.3658299999999999</v>
      </c>
      <c r="F151" s="48">
        <v>1791</v>
      </c>
      <c r="G151" s="46">
        <v>68</v>
      </c>
      <c r="H151" s="46">
        <v>68780</v>
      </c>
      <c r="I151" s="55" t="s">
        <v>49</v>
      </c>
      <c r="J151" s="55" t="s">
        <v>319</v>
      </c>
      <c r="K151" s="51">
        <v>15.4</v>
      </c>
      <c r="L151" s="51">
        <v>15.4</v>
      </c>
      <c r="M151" s="51">
        <v>15</v>
      </c>
      <c r="N151" s="51">
        <v>14.8</v>
      </c>
      <c r="O151" s="51">
        <v>14.2</v>
      </c>
      <c r="P151" s="51">
        <v>14.8</v>
      </c>
      <c r="Q151" s="51">
        <v>14.2</v>
      </c>
      <c r="R151" s="51">
        <v>15.4</v>
      </c>
      <c r="S151" s="51">
        <v>15.8</v>
      </c>
      <c r="T151" s="51">
        <v>16.2</v>
      </c>
      <c r="U151" s="51">
        <v>16.399999999999999</v>
      </c>
      <c r="V151" s="51">
        <v>14.4</v>
      </c>
      <c r="W151" s="51">
        <v>14.4</v>
      </c>
      <c r="X151" s="51"/>
      <c r="Y151" s="51"/>
      <c r="Z151" s="111"/>
      <c r="AA151" s="51"/>
      <c r="AB151" s="51"/>
      <c r="AC151" s="51"/>
      <c r="AD151" s="51"/>
      <c r="AE151" s="51"/>
      <c r="AF151" s="51"/>
      <c r="AG151" s="51"/>
      <c r="AH151" s="51"/>
      <c r="AI151" s="51"/>
      <c r="AJ151" s="51"/>
      <c r="AK151" s="51"/>
      <c r="AL151" s="51"/>
      <c r="AM151" s="51"/>
      <c r="AN151" s="51"/>
      <c r="AO151" s="51"/>
      <c r="AP151" s="88">
        <f t="shared" si="11"/>
        <v>13</v>
      </c>
      <c r="AQ151" s="89" t="str">
        <f t="shared" si="12"/>
        <v/>
      </c>
      <c r="AR151" s="89">
        <f>IFERROR(VLOOKUP(A151,Climatologia!A:U,9+$E$2,FALSE),"")</f>
        <v>14.218116214197231</v>
      </c>
      <c r="AS151" s="89" t="str">
        <f t="shared" si="13"/>
        <v/>
      </c>
      <c r="AT151" s="90">
        <f t="shared" si="14"/>
        <v>14.2</v>
      </c>
      <c r="AU151" s="90">
        <f t="array" ref="AU151">IFERROR(
  _xlfn.LET(
    _xlpm.mesTxt, INDEX({"ENERO","FEBRERO","MARZO","ABRIL","MAYO","JUNIO","JULIO","AGOSTO","SEPTIEMBRE","OCTUBRE","NOVIEMBRE","DICIEMBRE"}, E$2),
    _xlpm.colIni, MATCH(_xlpm.mesTxt, Minimos!$1:$1, 0),
    _xlpm.fila, MATCH($A151, Minimos!$A:$A, 0),
    _xlpm.val, INDEX(Minimos!$A:$ZZ, _xlpm.fila, _xlpm.colIni),
    IF(_xlpm.val="", "", _xlpm.val)
  ),
"")</f>
        <v>11</v>
      </c>
      <c r="AV151" s="91">
        <f t="array" ref="AV15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MATCH($A151, Minimos!$A:$A, 0),
    _xlpm.anio, INDEX(Minimos!$A:$ZZ, _xlpm.fila, _xlpm.colIni+1),
    _xlpm.dia, INDEX(Minimos!$A:$ZZ, _xlpm.fila, _xlpm.colIni+2),
    IF(OR(_xlpm.anio="",_xlpm.dia=""), "", DATE(_xlpm.anio, _xlpm.mesNum, _xlpm.dia))
  ),
"")</f>
        <v>31657</v>
      </c>
      <c r="AW151" s="92">
        <f t="shared" si="15"/>
        <v>3.1999999999999993</v>
      </c>
    </row>
    <row r="152" spans="1:49" ht="14.25" customHeight="1" x14ac:dyDescent="0.2">
      <c r="A152" s="48">
        <v>23195110</v>
      </c>
      <c r="B152" s="52" t="s">
        <v>320</v>
      </c>
      <c r="C152" s="52" t="s">
        <v>299</v>
      </c>
      <c r="D152" s="53">
        <v>-73.167222219999999</v>
      </c>
      <c r="E152" s="53">
        <v>7.0255555559999996</v>
      </c>
      <c r="F152" s="48">
        <v>777</v>
      </c>
      <c r="G152" s="46">
        <v>68</v>
      </c>
      <c r="H152" s="46">
        <v>68307</v>
      </c>
      <c r="I152" s="55" t="s">
        <v>49</v>
      </c>
      <c r="J152" s="55" t="s">
        <v>321</v>
      </c>
      <c r="K152" s="51">
        <v>21.2</v>
      </c>
      <c r="L152" s="51">
        <v>19.8</v>
      </c>
      <c r="M152" s="51">
        <v>20.399999999999999</v>
      </c>
      <c r="N152" s="51">
        <v>19.399999999999999</v>
      </c>
      <c r="O152" s="51">
        <v>20.399999999999999</v>
      </c>
      <c r="P152" s="51">
        <v>20</v>
      </c>
      <c r="Q152" s="51">
        <v>18.8</v>
      </c>
      <c r="R152" s="51">
        <v>19.600000000000001</v>
      </c>
      <c r="S152" s="51">
        <v>19.399999999999999</v>
      </c>
      <c r="T152" s="51">
        <v>20.6</v>
      </c>
      <c r="U152" s="51">
        <v>20</v>
      </c>
      <c r="V152" s="51">
        <v>19.8</v>
      </c>
      <c r="W152" s="51">
        <v>20.399999999999999</v>
      </c>
      <c r="X152" s="51"/>
      <c r="Y152" s="51"/>
      <c r="Z152" s="111"/>
      <c r="AA152" s="51"/>
      <c r="AB152" s="51"/>
      <c r="AC152" s="51"/>
      <c r="AD152" s="51"/>
      <c r="AE152" s="51"/>
      <c r="AF152" s="51"/>
      <c r="AG152" s="51"/>
      <c r="AH152" s="51"/>
      <c r="AI152" s="51"/>
      <c r="AJ152" s="51"/>
      <c r="AK152" s="51"/>
      <c r="AL152" s="51"/>
      <c r="AM152" s="51"/>
      <c r="AN152" s="51"/>
      <c r="AO152" s="51"/>
      <c r="AP152" s="88">
        <f t="shared" si="11"/>
        <v>13</v>
      </c>
      <c r="AQ152" s="89" t="str">
        <f t="shared" si="12"/>
        <v/>
      </c>
      <c r="AR152" s="89">
        <f>IFERROR(VLOOKUP(A152,Climatologia!A:U,9+$E$2,FALSE),"")</f>
        <v>19.470720699479319</v>
      </c>
      <c r="AS152" s="89" t="str">
        <f t="shared" si="13"/>
        <v/>
      </c>
      <c r="AT152" s="90">
        <f t="shared" si="14"/>
        <v>18.8</v>
      </c>
      <c r="AU152" s="90">
        <f t="array" ref="AU152">IFERROR(
  _xlfn.LET(
    _xlpm.mesTxt, INDEX({"ENERO","FEBRERO","MARZO","ABRIL","MAYO","JUNIO","JULIO","AGOSTO","SEPTIEMBRE","OCTUBRE","NOVIEMBRE","DICIEMBRE"}, E$2),
    _xlpm.colIni, MATCH(_xlpm.mesTxt, Minimos!$1:$1, 0),
    _xlpm.fila, MATCH($A152, Minimos!$A:$A, 0),
    _xlpm.val, INDEX(Minimos!$A:$ZZ, _xlpm.fila, _xlpm.colIni),
    IF(_xlpm.val="", "", _xlpm.val)
  ),
"")</f>
        <v>14</v>
      </c>
      <c r="AV152" s="91">
        <f t="array" ref="AV15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MATCH($A152, Minimos!$A:$A, 0),
    _xlpm.anio, INDEX(Minimos!$A:$ZZ, _xlpm.fila, _xlpm.colIni+1),
    _xlpm.dia, INDEX(Minimos!$A:$ZZ, _xlpm.fila, _xlpm.colIni+2),
    IF(OR(_xlpm.anio="",_xlpm.dia=""), "", DATE(_xlpm.anio, _xlpm.mesNum, _xlpm.dia))
  ),
"")</f>
        <v>37871</v>
      </c>
      <c r="AW152" s="92">
        <f t="shared" si="15"/>
        <v>4.8000000000000007</v>
      </c>
    </row>
    <row r="153" spans="1:49" ht="14.25" customHeight="1" x14ac:dyDescent="0.2">
      <c r="A153" s="48">
        <v>24015250</v>
      </c>
      <c r="B153" s="52" t="s">
        <v>322</v>
      </c>
      <c r="C153" s="52" t="s">
        <v>299</v>
      </c>
      <c r="D153" s="53">
        <v>-73.415388890000003</v>
      </c>
      <c r="E153" s="53">
        <v>6.2371666670000003</v>
      </c>
      <c r="F153" s="48">
        <v>1400</v>
      </c>
      <c r="G153" s="46">
        <v>68</v>
      </c>
      <c r="H153" s="46">
        <v>68320</v>
      </c>
      <c r="I153" s="55" t="s">
        <v>49</v>
      </c>
      <c r="J153" s="55" t="s">
        <v>323</v>
      </c>
      <c r="K153" s="51">
        <v>16</v>
      </c>
      <c r="L153" s="51">
        <v>16.2</v>
      </c>
      <c r="M153" s="51">
        <v>17</v>
      </c>
      <c r="N153" s="51">
        <v>16</v>
      </c>
      <c r="O153" s="51">
        <v>16</v>
      </c>
      <c r="P153" s="51">
        <v>15.2</v>
      </c>
      <c r="Q153" s="51">
        <v>14.8</v>
      </c>
      <c r="R153" s="51">
        <v>15</v>
      </c>
      <c r="S153" s="51">
        <v>16</v>
      </c>
      <c r="T153" s="51">
        <v>14</v>
      </c>
      <c r="U153" s="51">
        <v>16.399999999999999</v>
      </c>
      <c r="V153" s="51">
        <v>17</v>
      </c>
      <c r="W153" s="51">
        <v>16.399999999999999</v>
      </c>
      <c r="X153" s="51"/>
      <c r="Y153" s="51"/>
      <c r="Z153" s="111"/>
      <c r="AA153" s="51"/>
      <c r="AB153" s="51"/>
      <c r="AC153" s="51"/>
      <c r="AD153" s="51"/>
      <c r="AE153" s="51"/>
      <c r="AF153" s="51"/>
      <c r="AG153" s="51"/>
      <c r="AH153" s="51"/>
      <c r="AI153" s="51"/>
      <c r="AJ153" s="51"/>
      <c r="AK153" s="51"/>
      <c r="AL153" s="51"/>
      <c r="AM153" s="51"/>
      <c r="AN153" s="51"/>
      <c r="AO153" s="51"/>
      <c r="AP153" s="88">
        <f t="shared" si="11"/>
        <v>13</v>
      </c>
      <c r="AQ153" s="89" t="str">
        <f t="shared" si="12"/>
        <v/>
      </c>
      <c r="AR153" s="89">
        <f>IFERROR(VLOOKUP(A153,Climatologia!A:U,9+$E$2,FALSE),"")</f>
        <v>15.55247935291613</v>
      </c>
      <c r="AS153" s="89" t="str">
        <f t="shared" si="13"/>
        <v/>
      </c>
      <c r="AT153" s="90">
        <f t="shared" si="14"/>
        <v>14</v>
      </c>
      <c r="AU153" s="90">
        <f t="array" ref="AU153">IFERROR(
  _xlfn.LET(
    _xlpm.mesTxt, INDEX({"ENERO","FEBRERO","MARZO","ABRIL","MAYO","JUNIO","JULIO","AGOSTO","SEPTIEMBRE","OCTUBRE","NOVIEMBRE","DICIEMBRE"}, E$2),
    _xlpm.colIni, MATCH(_xlpm.mesTxt, Minimos!$1:$1, 0),
    _xlpm.fila, MATCH($A153, Minimos!$A:$A, 0),
    _xlpm.val, INDEX(Minimos!$A:$ZZ, _xlpm.fila, _xlpm.colIni),
    IF(_xlpm.val="", "", _xlpm.val)
  ),
"")</f>
        <v>11</v>
      </c>
      <c r="AV153" s="91">
        <f t="array" ref="AV15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MATCH($A153, Minimos!$A:$A, 0),
    _xlpm.anio, INDEX(Minimos!$A:$ZZ, _xlpm.fila, _xlpm.colIni+1),
    _xlpm.dia, INDEX(Minimos!$A:$ZZ, _xlpm.fila, _xlpm.colIni+2),
    IF(OR(_xlpm.anio="",_xlpm.dia=""), "", DATE(_xlpm.anio, _xlpm.mesNum, _xlpm.dia))
  ),
"")</f>
        <v>37160</v>
      </c>
      <c r="AW153" s="92">
        <f t="shared" si="15"/>
        <v>3</v>
      </c>
    </row>
    <row r="154" spans="1:49" ht="14.25" customHeight="1" x14ac:dyDescent="0.2">
      <c r="A154" s="48">
        <v>24015260</v>
      </c>
      <c r="B154" s="52" t="s">
        <v>123</v>
      </c>
      <c r="C154" s="52" t="s">
        <v>299</v>
      </c>
      <c r="D154" s="53">
        <v>-73.368333329999999</v>
      </c>
      <c r="E154" s="53">
        <v>6.3550000000000004</v>
      </c>
      <c r="F154" s="48">
        <v>190</v>
      </c>
      <c r="G154" s="46">
        <v>68</v>
      </c>
      <c r="H154" s="46">
        <v>68176</v>
      </c>
      <c r="I154" s="55" t="s">
        <v>49</v>
      </c>
      <c r="J154" s="55" t="s">
        <v>123</v>
      </c>
      <c r="K154" s="51">
        <v>19.399999999999999</v>
      </c>
      <c r="L154" s="51">
        <v>19</v>
      </c>
      <c r="M154" s="51">
        <v>18.8</v>
      </c>
      <c r="N154" s="51">
        <v>19.2</v>
      </c>
      <c r="O154" s="51">
        <v>18.600000000000001</v>
      </c>
      <c r="P154" s="51">
        <v>19.600000000000001</v>
      </c>
      <c r="Q154" s="51">
        <v>18</v>
      </c>
      <c r="R154" s="51">
        <v>18.2</v>
      </c>
      <c r="S154" s="51">
        <v>19</v>
      </c>
      <c r="T154" s="51">
        <v>18.399999999999999</v>
      </c>
      <c r="U154" s="51">
        <v>19.600000000000001</v>
      </c>
      <c r="V154" s="51">
        <v>19.2</v>
      </c>
      <c r="W154" s="51">
        <v>18.8</v>
      </c>
      <c r="X154" s="51"/>
      <c r="Y154" s="51"/>
      <c r="Z154" s="111"/>
      <c r="AA154" s="51"/>
      <c r="AB154" s="51"/>
      <c r="AC154" s="51"/>
      <c r="AD154" s="51"/>
      <c r="AE154" s="51"/>
      <c r="AF154" s="51"/>
      <c r="AG154" s="51"/>
      <c r="AH154" s="51"/>
      <c r="AI154" s="51"/>
      <c r="AJ154" s="51"/>
      <c r="AK154" s="51"/>
      <c r="AL154" s="51"/>
      <c r="AM154" s="51"/>
      <c r="AN154" s="51"/>
      <c r="AO154" s="51"/>
      <c r="AP154" s="88">
        <f t="shared" si="11"/>
        <v>13</v>
      </c>
      <c r="AQ154" s="89" t="str">
        <f t="shared" si="12"/>
        <v/>
      </c>
      <c r="AR154" s="89">
        <f>IFERROR(VLOOKUP(A154,Climatologia!A:U,9+$E$2,FALSE),"")</f>
        <v>17.95067323481117</v>
      </c>
      <c r="AS154" s="89" t="str">
        <f t="shared" si="13"/>
        <v/>
      </c>
      <c r="AT154" s="90">
        <f t="shared" si="14"/>
        <v>18</v>
      </c>
      <c r="AU154" s="90">
        <f t="array" ref="AU154">IFERROR(
  _xlfn.LET(
    _xlpm.mesTxt, INDEX({"ENERO","FEBRERO","MARZO","ABRIL","MAYO","JUNIO","JULIO","AGOSTO","SEPTIEMBRE","OCTUBRE","NOVIEMBRE","DICIEMBRE"}, E$2),
    _xlpm.colIni, MATCH(_xlpm.mesTxt, Minimos!$1:$1, 0),
    _xlpm.fila, MATCH($A154, Minimos!$A:$A, 0),
    _xlpm.val, INDEX(Minimos!$A:$ZZ, _xlpm.fila, _xlpm.colIni),
    IF(_xlpm.val="", "", _xlpm.val)
  ),
"")</f>
        <v>11</v>
      </c>
      <c r="AV154" s="91">
        <f t="array" ref="AV15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MATCH($A154, Minimos!$A:$A, 0),
    _xlpm.anio, INDEX(Minimos!$A:$ZZ, _xlpm.fila, _xlpm.colIni+1),
    _xlpm.dia, INDEX(Minimos!$A:$ZZ, _xlpm.fila, _xlpm.colIni+2),
    IF(OR(_xlpm.anio="",_xlpm.dia=""), "", DATE(_xlpm.anio, _xlpm.mesNum, _xlpm.dia))
  ),
"")</f>
        <v>29476</v>
      </c>
      <c r="AW154" s="92">
        <f t="shared" si="15"/>
        <v>7</v>
      </c>
    </row>
    <row r="155" spans="1:49" ht="14.25" customHeight="1" x14ac:dyDescent="0.2">
      <c r="A155" s="48">
        <v>24025040</v>
      </c>
      <c r="B155" s="52" t="s">
        <v>324</v>
      </c>
      <c r="C155" s="52" t="s">
        <v>299</v>
      </c>
      <c r="D155" s="53">
        <v>-72.968888890000002</v>
      </c>
      <c r="E155" s="53">
        <v>6.47</v>
      </c>
      <c r="F155" s="48">
        <v>1673</v>
      </c>
      <c r="G155" s="46">
        <v>68</v>
      </c>
      <c r="H155" s="46">
        <v>68464</v>
      </c>
      <c r="I155" s="55" t="s">
        <v>49</v>
      </c>
      <c r="J155" s="55" t="s">
        <v>325</v>
      </c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111"/>
      <c r="AA155" s="51"/>
      <c r="AB155" s="51"/>
      <c r="AC155" s="51"/>
      <c r="AD155" s="51"/>
      <c r="AE155" s="51"/>
      <c r="AF155" s="51"/>
      <c r="AG155" s="51"/>
      <c r="AH155" s="51"/>
      <c r="AI155" s="51"/>
      <c r="AJ155" s="51"/>
      <c r="AK155" s="51"/>
      <c r="AL155" s="51"/>
      <c r="AM155" s="51"/>
      <c r="AN155" s="51"/>
      <c r="AO155" s="51"/>
      <c r="AP155" s="88">
        <f t="shared" si="11"/>
        <v>0</v>
      </c>
      <c r="AQ155" s="89" t="str">
        <f t="shared" si="12"/>
        <v/>
      </c>
      <c r="AR155" s="89">
        <f>IFERROR(VLOOKUP(A155,Climatologia!A:U,9+$E$2,FALSE),"")</f>
        <v>13.359148505747131</v>
      </c>
      <c r="AS155" s="89" t="str">
        <f t="shared" si="13"/>
        <v/>
      </c>
      <c r="AT155" s="90" t="str">
        <f t="shared" si="14"/>
        <v/>
      </c>
      <c r="AU155" s="90">
        <f t="array" ref="AU155">IFERROR(
  _xlfn.LET(
    _xlpm.mesTxt, INDEX({"ENERO","FEBRERO","MARZO","ABRIL","MAYO","JUNIO","JULIO","AGOSTO","SEPTIEMBRE","OCTUBRE","NOVIEMBRE","DICIEMBRE"}, E$2),
    _xlpm.colIni, MATCH(_xlpm.mesTxt, Minimos!$1:$1, 0),
    _xlpm.fila, MATCH($A155, Minimos!$A:$A, 0),
    _xlpm.val, INDEX(Minimos!$A:$ZZ, _xlpm.fila, _xlpm.colIni),
    IF(_xlpm.val="", "", _xlpm.val)
  ),
"")</f>
        <v>8</v>
      </c>
      <c r="AV155" s="91">
        <f t="array" ref="AV15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MATCH($A155, Minimos!$A:$A, 0),
    _xlpm.anio, INDEX(Minimos!$A:$ZZ, _xlpm.fila, _xlpm.colIni+1),
    _xlpm.dia, INDEX(Minimos!$A:$ZZ, _xlpm.fila, _xlpm.colIni+2),
    IF(OR(_xlpm.anio="",_xlpm.dia=""), "", DATE(_xlpm.anio, _xlpm.mesNum, _xlpm.dia))
  ),
"")</f>
        <v>35677</v>
      </c>
      <c r="AW155" s="92" t="str">
        <f t="shared" si="15"/>
        <v>NA</v>
      </c>
    </row>
    <row r="156" spans="1:49" ht="14.25" customHeight="1" x14ac:dyDescent="0.2">
      <c r="A156" s="48">
        <v>24035400</v>
      </c>
      <c r="B156" s="52" t="s">
        <v>326</v>
      </c>
      <c r="C156" s="52" t="s">
        <v>299</v>
      </c>
      <c r="D156" s="53">
        <v>-72.67777778</v>
      </c>
      <c r="E156" s="53">
        <v>6.8452777779999998</v>
      </c>
      <c r="F156" s="48">
        <v>2841</v>
      </c>
      <c r="G156" s="46">
        <v>68</v>
      </c>
      <c r="H156" s="46">
        <v>68162</v>
      </c>
      <c r="I156" s="55" t="s">
        <v>49</v>
      </c>
      <c r="J156" s="55" t="s">
        <v>327</v>
      </c>
      <c r="K156" s="51">
        <v>9</v>
      </c>
      <c r="L156" s="51">
        <v>10</v>
      </c>
      <c r="M156" s="51">
        <v>10</v>
      </c>
      <c r="N156" s="51">
        <v>9.1999999999999993</v>
      </c>
      <c r="O156" s="51">
        <v>9</v>
      </c>
      <c r="P156" s="51">
        <v>10.6</v>
      </c>
      <c r="Q156" s="51">
        <v>10.199999999999999</v>
      </c>
      <c r="R156" s="51">
        <v>11</v>
      </c>
      <c r="S156" s="51">
        <v>10.199999999999999</v>
      </c>
      <c r="T156" s="51">
        <v>9.8000000000000007</v>
      </c>
      <c r="U156" s="51">
        <v>11</v>
      </c>
      <c r="V156" s="51">
        <v>12</v>
      </c>
      <c r="W156" s="51">
        <v>11.2</v>
      </c>
      <c r="X156" s="51"/>
      <c r="Y156" s="51"/>
      <c r="Z156" s="111"/>
      <c r="AA156" s="51"/>
      <c r="AB156" s="51"/>
      <c r="AC156" s="51"/>
      <c r="AD156" s="51"/>
      <c r="AE156" s="51"/>
      <c r="AF156" s="51"/>
      <c r="AG156" s="51"/>
      <c r="AH156" s="51"/>
      <c r="AI156" s="51"/>
      <c r="AJ156" s="51"/>
      <c r="AK156" s="51"/>
      <c r="AL156" s="51"/>
      <c r="AM156" s="51"/>
      <c r="AN156" s="51"/>
      <c r="AO156" s="51"/>
      <c r="AP156" s="88">
        <f t="shared" si="11"/>
        <v>13</v>
      </c>
      <c r="AQ156" s="89" t="str">
        <f t="shared" si="12"/>
        <v/>
      </c>
      <c r="AR156" s="89">
        <f>IFERROR(VLOOKUP(A156,Climatologia!A:U,9+$E$2,FALSE),"")</f>
        <v>8.9902791461412157</v>
      </c>
      <c r="AS156" s="89" t="str">
        <f t="shared" si="13"/>
        <v/>
      </c>
      <c r="AT156" s="90">
        <f t="shared" si="14"/>
        <v>9</v>
      </c>
      <c r="AU156" s="90">
        <f t="array" ref="AU156">IFERROR(
  _xlfn.LET(
    _xlpm.mesTxt, INDEX({"ENERO","FEBRERO","MARZO","ABRIL","MAYO","JUNIO","JULIO","AGOSTO","SEPTIEMBRE","OCTUBRE","NOVIEMBRE","DICIEMBRE"}, E$2),
    _xlpm.colIni, MATCH(_xlpm.mesTxt, Minimos!$1:$1, 0),
    _xlpm.fila, MATCH($A156, Minimos!$A:$A, 0),
    _xlpm.val, INDEX(Minimos!$A:$ZZ, _xlpm.fila, _xlpm.colIni),
    IF(_xlpm.val="", "", _xlpm.val)
  ),
"")</f>
        <v>5.4</v>
      </c>
      <c r="AV156" s="91">
        <f t="array" ref="AV15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MATCH($A156, Minimos!$A:$A, 0),
    _xlpm.anio, INDEX(Minimos!$A:$ZZ, _xlpm.fila, _xlpm.colIni+1),
    _xlpm.dia, INDEX(Minimos!$A:$ZZ, _xlpm.fila, _xlpm.colIni+2),
    IF(OR(_xlpm.anio="",_xlpm.dia=""), "", DATE(_xlpm.anio, _xlpm.mesNum, _xlpm.dia))
  ),
"")</f>
        <v>41902</v>
      </c>
      <c r="AW156" s="92">
        <f t="shared" si="15"/>
        <v>3.5999999999999996</v>
      </c>
    </row>
    <row r="157" spans="1:49" ht="14.25" customHeight="1" x14ac:dyDescent="0.2">
      <c r="A157" s="48">
        <v>24055030</v>
      </c>
      <c r="B157" s="52" t="s">
        <v>328</v>
      </c>
      <c r="C157" s="52" t="s">
        <v>299</v>
      </c>
      <c r="D157" s="53">
        <v>-73.282749999999993</v>
      </c>
      <c r="E157" s="53">
        <v>6.7927777779999996</v>
      </c>
      <c r="F157" s="48">
        <v>1810</v>
      </c>
      <c r="G157" s="46">
        <v>68</v>
      </c>
      <c r="H157" s="46">
        <v>68895</v>
      </c>
      <c r="I157" s="55" t="s">
        <v>49</v>
      </c>
      <c r="J157" s="55" t="s">
        <v>328</v>
      </c>
      <c r="K157" s="51">
        <v>13.8</v>
      </c>
      <c r="L157" s="51">
        <v>14.2</v>
      </c>
      <c r="M157" s="51">
        <v>14.4</v>
      </c>
      <c r="N157" s="51">
        <v>14</v>
      </c>
      <c r="O157" s="51">
        <v>12.8</v>
      </c>
      <c r="P157" s="51">
        <v>14</v>
      </c>
      <c r="Q157" s="51">
        <v>13.2</v>
      </c>
      <c r="R157" s="51">
        <v>13.2</v>
      </c>
      <c r="S157" s="51">
        <v>13.6</v>
      </c>
      <c r="T157" s="51">
        <v>13.8</v>
      </c>
      <c r="U157" s="51">
        <v>13.2</v>
      </c>
      <c r="V157" s="51">
        <v>13.6</v>
      </c>
      <c r="W157" s="51">
        <v>15.8</v>
      </c>
      <c r="X157" s="51"/>
      <c r="Y157" s="51"/>
      <c r="Z157" s="111"/>
      <c r="AA157" s="51"/>
      <c r="AB157" s="51"/>
      <c r="AC157" s="51"/>
      <c r="AD157" s="51"/>
      <c r="AE157" s="51"/>
      <c r="AF157" s="51"/>
      <c r="AG157" s="51"/>
      <c r="AH157" s="51"/>
      <c r="AI157" s="51"/>
      <c r="AJ157" s="51"/>
      <c r="AK157" s="51"/>
      <c r="AL157" s="51"/>
      <c r="AM157" s="51"/>
      <c r="AN157" s="51"/>
      <c r="AO157" s="51"/>
      <c r="AP157" s="88">
        <f t="shared" si="11"/>
        <v>13</v>
      </c>
      <c r="AQ157" s="89" t="str">
        <f t="shared" si="12"/>
        <v/>
      </c>
      <c r="AR157" s="89">
        <f>IFERROR(VLOOKUP(A157,Climatologia!A:U,9+$E$2,FALSE),"")</f>
        <v>14.050960919540231</v>
      </c>
      <c r="AS157" s="89" t="str">
        <f t="shared" si="13"/>
        <v/>
      </c>
      <c r="AT157" s="90">
        <f t="shared" si="14"/>
        <v>12.8</v>
      </c>
      <c r="AU157" s="90">
        <f t="array" ref="AU157">IFERROR(
  _xlfn.LET(
    _xlpm.mesTxt, INDEX({"ENERO","FEBRERO","MARZO","ABRIL","MAYO","JUNIO","JULIO","AGOSTO","SEPTIEMBRE","OCTUBRE","NOVIEMBRE","DICIEMBRE"}, E$2),
    _xlpm.colIni, MATCH(_xlpm.mesTxt, Minimos!$1:$1, 0),
    _xlpm.fila, MATCH($A157, Minimos!$A:$A, 0),
    _xlpm.val, INDEX(Minimos!$A:$ZZ, _xlpm.fila, _xlpm.colIni),
    IF(_xlpm.val="", "", _xlpm.val)
  ),
"")</f>
        <v>11</v>
      </c>
      <c r="AV157" s="91">
        <f t="array" ref="AV15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MATCH($A157, Minimos!$A:$A, 0),
    _xlpm.anio, INDEX(Minimos!$A:$ZZ, _xlpm.fila, _xlpm.colIni+1),
    _xlpm.dia, INDEX(Minimos!$A:$ZZ, _xlpm.fila, _xlpm.colIni+2),
    IF(OR(_xlpm.anio="",_xlpm.dia=""), "", DATE(_xlpm.anio, _xlpm.mesNum, _xlpm.dia))
  ),
"")</f>
        <v>33127</v>
      </c>
      <c r="AW157" s="92">
        <f t="shared" si="15"/>
        <v>1.8000000000000007</v>
      </c>
    </row>
    <row r="158" spans="1:49" ht="14.25" customHeight="1" x14ac:dyDescent="0.2">
      <c r="A158" s="48">
        <v>24055040</v>
      </c>
      <c r="B158" s="52" t="s">
        <v>329</v>
      </c>
      <c r="C158" s="52" t="s">
        <v>299</v>
      </c>
      <c r="D158" s="53">
        <v>-73.292000000000002</v>
      </c>
      <c r="E158" s="53">
        <v>6.5497222219999998</v>
      </c>
      <c r="F158" s="48">
        <v>940</v>
      </c>
      <c r="G158" s="46">
        <v>68</v>
      </c>
      <c r="H158" s="46">
        <v>68522</v>
      </c>
      <c r="I158" s="55" t="s">
        <v>49</v>
      </c>
      <c r="J158" s="55" t="s">
        <v>330</v>
      </c>
      <c r="K158" s="51">
        <v>21.4</v>
      </c>
      <c r="L158" s="51">
        <v>21</v>
      </c>
      <c r="M158" s="51">
        <v>21.2</v>
      </c>
      <c r="N158" s="51">
        <v>21.6</v>
      </c>
      <c r="O158" s="51">
        <v>21</v>
      </c>
      <c r="P158" s="51">
        <v>19.2</v>
      </c>
      <c r="Q158" s="51">
        <v>19.8</v>
      </c>
      <c r="R158" s="51">
        <v>21</v>
      </c>
      <c r="S158" s="51">
        <v>21.2</v>
      </c>
      <c r="T158" s="51">
        <v>20.8</v>
      </c>
      <c r="U158" s="51">
        <v>20.399999999999999</v>
      </c>
      <c r="V158" s="51">
        <v>21</v>
      </c>
      <c r="W158" s="51">
        <v>21.4</v>
      </c>
      <c r="X158" s="51"/>
      <c r="Y158" s="51"/>
      <c r="Z158" s="111"/>
      <c r="AA158" s="51"/>
      <c r="AB158" s="51"/>
      <c r="AC158" s="51"/>
      <c r="AD158" s="51"/>
      <c r="AE158" s="51"/>
      <c r="AF158" s="51"/>
      <c r="AG158" s="51"/>
      <c r="AH158" s="51"/>
      <c r="AI158" s="51"/>
      <c r="AJ158" s="51"/>
      <c r="AK158" s="51"/>
      <c r="AL158" s="51"/>
      <c r="AM158" s="51"/>
      <c r="AN158" s="51"/>
      <c r="AO158" s="51"/>
      <c r="AP158" s="88">
        <f t="shared" si="11"/>
        <v>13</v>
      </c>
      <c r="AQ158" s="89" t="str">
        <f t="shared" si="12"/>
        <v/>
      </c>
      <c r="AR158" s="89">
        <f>IFERROR(VLOOKUP(A158,Climatologia!A:U,9+$E$2,FALSE),"")</f>
        <v>19.856944177063081</v>
      </c>
      <c r="AS158" s="89" t="str">
        <f t="shared" si="13"/>
        <v/>
      </c>
      <c r="AT158" s="90">
        <f t="shared" si="14"/>
        <v>19.2</v>
      </c>
      <c r="AU158" s="90">
        <f t="array" ref="AU158">IFERROR(
  _xlfn.LET(
    _xlpm.mesTxt, INDEX({"ENERO","FEBRERO","MARZO","ABRIL","MAYO","JUNIO","JULIO","AGOSTO","SEPTIEMBRE","OCTUBRE","NOVIEMBRE","DICIEMBRE"}, E$2),
    _xlpm.colIni, MATCH(_xlpm.mesTxt, Minimos!$1:$1, 0),
    _xlpm.fila, MATCH($A158, Minimos!$A:$A, 0),
    _xlpm.val, INDEX(Minimos!$A:$ZZ, _xlpm.fila, _xlpm.colIni),
    IF(_xlpm.val="", "", _xlpm.val)
  ),
"")</f>
        <v>16.2</v>
      </c>
      <c r="AV158" s="91">
        <f t="array" ref="AV15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MATCH($A158, Minimos!$A:$A, 0),
    _xlpm.anio, INDEX(Minimos!$A:$ZZ, _xlpm.fila, _xlpm.colIni+1),
    _xlpm.dia, INDEX(Minimos!$A:$ZZ, _xlpm.fila, _xlpm.colIni+2),
    IF(OR(_xlpm.anio="",_xlpm.dia=""), "", DATE(_xlpm.anio, _xlpm.mesNum, _xlpm.dia))
  ),
"")</f>
        <v>30927</v>
      </c>
      <c r="AW158" s="92">
        <f t="shared" si="15"/>
        <v>3</v>
      </c>
    </row>
    <row r="159" spans="1:49" ht="14.25" customHeight="1" x14ac:dyDescent="0.2">
      <c r="A159" s="48">
        <v>37015020</v>
      </c>
      <c r="B159" s="52" t="s">
        <v>331</v>
      </c>
      <c r="C159" s="52" t="s">
        <v>299</v>
      </c>
      <c r="D159" s="53">
        <v>-72.868611110000003</v>
      </c>
      <c r="E159" s="53">
        <v>7.1869444439999999</v>
      </c>
      <c r="F159" s="48">
        <v>3214</v>
      </c>
      <c r="G159" s="46">
        <v>68</v>
      </c>
      <c r="H159" s="46">
        <v>68820</v>
      </c>
      <c r="I159" s="55" t="s">
        <v>49</v>
      </c>
      <c r="J159" s="55" t="s">
        <v>332</v>
      </c>
      <c r="K159" s="51">
        <v>5.4</v>
      </c>
      <c r="L159" s="51">
        <v>6.6</v>
      </c>
      <c r="M159" s="51">
        <v>7.2</v>
      </c>
      <c r="N159" s="51">
        <v>5.8</v>
      </c>
      <c r="O159" s="51">
        <v>6.2</v>
      </c>
      <c r="P159" s="51">
        <v>6.6</v>
      </c>
      <c r="Q159" s="51">
        <v>5.8</v>
      </c>
      <c r="R159" s="51">
        <v>6</v>
      </c>
      <c r="S159" s="51">
        <v>7.2</v>
      </c>
      <c r="T159" s="51">
        <v>7</v>
      </c>
      <c r="U159" s="51">
        <v>6.8</v>
      </c>
      <c r="V159" s="51">
        <v>6.4</v>
      </c>
      <c r="W159" s="51">
        <v>6.8</v>
      </c>
      <c r="X159" s="51"/>
      <c r="Y159" s="51"/>
      <c r="Z159" s="111"/>
      <c r="AA159" s="51"/>
      <c r="AB159" s="51"/>
      <c r="AC159" s="51"/>
      <c r="AD159" s="51"/>
      <c r="AE159" s="51"/>
      <c r="AF159" s="51"/>
      <c r="AG159" s="51"/>
      <c r="AH159" s="51"/>
      <c r="AI159" s="51"/>
      <c r="AJ159" s="51"/>
      <c r="AK159" s="51"/>
      <c r="AL159" s="51"/>
      <c r="AM159" s="51"/>
      <c r="AN159" s="51"/>
      <c r="AO159" s="51"/>
      <c r="AP159" s="88">
        <f t="shared" si="11"/>
        <v>13</v>
      </c>
      <c r="AQ159" s="89" t="str">
        <f t="shared" si="12"/>
        <v/>
      </c>
      <c r="AR159" s="89">
        <f>IFERROR(VLOOKUP(A159,Climatologia!A:U,9+$E$2,FALSE),"")</f>
        <v>5.302976940353874</v>
      </c>
      <c r="AS159" s="89" t="str">
        <f t="shared" si="13"/>
        <v/>
      </c>
      <c r="AT159" s="90">
        <f t="shared" si="14"/>
        <v>5.4</v>
      </c>
      <c r="AU159" s="90">
        <f t="array" ref="AU159">IFERROR(
  _xlfn.LET(
    _xlpm.mesTxt, INDEX({"ENERO","FEBRERO","MARZO","ABRIL","MAYO","JUNIO","JULIO","AGOSTO","SEPTIEMBRE","OCTUBRE","NOVIEMBRE","DICIEMBRE"}, E$2),
    _xlpm.colIni, MATCH(_xlpm.mesTxt, Minimos!$1:$1, 0),
    _xlpm.fila, MATCH($A159, Minimos!$A:$A, 0),
    _xlpm.val, INDEX(Minimos!$A:$ZZ, _xlpm.fila, _xlpm.colIni),
    IF(_xlpm.val="", "", _xlpm.val)
  ),
"")</f>
        <v>-4.4000000000000004</v>
      </c>
      <c r="AV159" s="91">
        <f t="array" ref="AV15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MATCH($A159, Minimos!$A:$A, 0),
    _xlpm.anio, INDEX(Minimos!$A:$ZZ, _xlpm.fila, _xlpm.colIni+1),
    _xlpm.dia, INDEX(Minimos!$A:$ZZ, _xlpm.fila, _xlpm.colIni+2),
    IF(OR(_xlpm.anio="",_xlpm.dia=""), "", DATE(_xlpm.anio, _xlpm.mesNum, _xlpm.dia))
  ),
"")</f>
        <v>31681</v>
      </c>
      <c r="AW159" s="92">
        <f t="shared" si="15"/>
        <v>9.8000000000000007</v>
      </c>
    </row>
    <row r="160" spans="1:49" ht="14.25" customHeight="1" x14ac:dyDescent="0.2">
      <c r="A160" s="48">
        <v>37035010</v>
      </c>
      <c r="B160" s="52" t="s">
        <v>333</v>
      </c>
      <c r="C160" s="52" t="s">
        <v>299</v>
      </c>
      <c r="D160" s="53">
        <v>-72.115833330000001</v>
      </c>
      <c r="E160" s="53">
        <v>7.0061111110000001</v>
      </c>
      <c r="F160" s="48">
        <v>370</v>
      </c>
      <c r="G160" s="46">
        <v>54</v>
      </c>
      <c r="H160" s="46">
        <v>54820</v>
      </c>
      <c r="I160" s="55" t="s">
        <v>300</v>
      </c>
      <c r="J160" s="55" t="s">
        <v>334</v>
      </c>
      <c r="K160" s="51">
        <v>22</v>
      </c>
      <c r="L160" s="51">
        <v>22.2</v>
      </c>
      <c r="M160" s="51">
        <v>20.2</v>
      </c>
      <c r="N160" s="51">
        <v>22</v>
      </c>
      <c r="O160" s="51">
        <v>20</v>
      </c>
      <c r="P160" s="51">
        <v>21</v>
      </c>
      <c r="Q160" s="51">
        <v>19.600000000000001</v>
      </c>
      <c r="R160" s="51">
        <v>21</v>
      </c>
      <c r="S160" s="51">
        <v>21</v>
      </c>
      <c r="T160" s="51">
        <v>21.6</v>
      </c>
      <c r="U160" s="51">
        <v>20.2</v>
      </c>
      <c r="V160" s="51">
        <v>21.4</v>
      </c>
      <c r="W160" s="51">
        <v>21.4</v>
      </c>
      <c r="X160" s="51"/>
      <c r="Y160" s="51"/>
      <c r="Z160" s="111"/>
      <c r="AA160" s="51"/>
      <c r="AB160" s="51"/>
      <c r="AC160" s="51"/>
      <c r="AD160" s="51"/>
      <c r="AE160" s="51"/>
      <c r="AF160" s="51"/>
      <c r="AG160" s="51"/>
      <c r="AH160" s="51"/>
      <c r="AI160" s="51"/>
      <c r="AJ160" s="51"/>
      <c r="AK160" s="51"/>
      <c r="AL160" s="51"/>
      <c r="AM160" s="51"/>
      <c r="AN160" s="51"/>
      <c r="AO160" s="51"/>
      <c r="AP160" s="88">
        <f t="shared" si="11"/>
        <v>13</v>
      </c>
      <c r="AQ160" s="89" t="str">
        <f t="shared" si="12"/>
        <v/>
      </c>
      <c r="AR160" s="89">
        <f>IFERROR(VLOOKUP(A160,Climatologia!A:U,9+$E$2,FALSE),"")</f>
        <v>20.703538991340711</v>
      </c>
      <c r="AS160" s="89" t="str">
        <f t="shared" si="13"/>
        <v/>
      </c>
      <c r="AT160" s="90">
        <f t="shared" si="14"/>
        <v>19.600000000000001</v>
      </c>
      <c r="AU160" s="90">
        <f t="array" ref="AU160">IFERROR(
  _xlfn.LET(
    _xlpm.mesTxt, INDEX({"ENERO","FEBRERO","MARZO","ABRIL","MAYO","JUNIO","JULIO","AGOSTO","SEPTIEMBRE","OCTUBRE","NOVIEMBRE","DICIEMBRE"}, E$2),
    _xlpm.colIni, MATCH(_xlpm.mesTxt, Minimos!$1:$1, 0),
    _xlpm.fila, MATCH($A160, Minimos!$A:$A, 0),
    _xlpm.val, INDEX(Minimos!$A:$ZZ, _xlpm.fila, _xlpm.colIni),
    IF(_xlpm.val="", "", _xlpm.val)
  ),
"")</f>
        <v>16.399999999999999</v>
      </c>
      <c r="AV160" s="91">
        <f t="array" ref="AV16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MATCH($A160, Minimos!$A:$A, 0),
    _xlpm.anio, INDEX(Minimos!$A:$ZZ, _xlpm.fila, _xlpm.colIni+1),
    _xlpm.dia, INDEX(Minimos!$A:$ZZ, _xlpm.fila, _xlpm.colIni+2),
    IF(OR(_xlpm.anio="",_xlpm.dia=""), "", DATE(_xlpm.anio, _xlpm.mesNum, _xlpm.dia))
  ),
"")</f>
        <v>28744</v>
      </c>
      <c r="AW160" s="92">
        <f t="shared" si="15"/>
        <v>3.2000000000000028</v>
      </c>
    </row>
    <row r="161" spans="1:49" ht="14.25" customHeight="1" x14ac:dyDescent="0.2">
      <c r="A161" s="48">
        <v>26025090</v>
      </c>
      <c r="B161" s="52" t="s">
        <v>335</v>
      </c>
      <c r="C161" s="52" t="s">
        <v>336</v>
      </c>
      <c r="D161" s="53">
        <v>-76.561833332999996</v>
      </c>
      <c r="E161" s="53">
        <v>2.5847500000000001</v>
      </c>
      <c r="F161" s="48">
        <v>1850</v>
      </c>
      <c r="G161" s="46">
        <v>19</v>
      </c>
      <c r="H161" s="46">
        <v>19130</v>
      </c>
      <c r="I161" s="55" t="s">
        <v>181</v>
      </c>
      <c r="J161" s="55" t="s">
        <v>337</v>
      </c>
      <c r="K161" s="51">
        <v>14.8</v>
      </c>
      <c r="L161" s="51">
        <v>15.8</v>
      </c>
      <c r="M161" s="51">
        <v>16</v>
      </c>
      <c r="N161" s="51"/>
      <c r="O161" s="51">
        <v>15</v>
      </c>
      <c r="P161" s="51"/>
      <c r="Q161" s="51"/>
      <c r="R161" s="51">
        <v>14.8</v>
      </c>
      <c r="S161" s="51">
        <v>15</v>
      </c>
      <c r="T161" s="51">
        <v>14.2</v>
      </c>
      <c r="U161" s="51">
        <v>16.2</v>
      </c>
      <c r="V161" s="51">
        <v>14.8</v>
      </c>
      <c r="W161" s="51">
        <v>14.6</v>
      </c>
      <c r="X161" s="51"/>
      <c r="Y161" s="51"/>
      <c r="Z161" s="111"/>
      <c r="AA161" s="51"/>
      <c r="AB161" s="51"/>
      <c r="AC161" s="51"/>
      <c r="AD161" s="51"/>
      <c r="AE161" s="51"/>
      <c r="AF161" s="51"/>
      <c r="AG161" s="51"/>
      <c r="AH161" s="51"/>
      <c r="AI161" s="51"/>
      <c r="AJ161" s="51"/>
      <c r="AK161" s="51"/>
      <c r="AL161" s="51"/>
      <c r="AM161" s="51"/>
      <c r="AN161" s="51"/>
      <c r="AO161" s="51"/>
      <c r="AP161" s="88">
        <f t="shared" si="11"/>
        <v>10</v>
      </c>
      <c r="AQ161" s="89" t="str">
        <f t="shared" si="12"/>
        <v/>
      </c>
      <c r="AR161" s="89">
        <f>IFERROR(VLOOKUP(A161,Climatologia!A:U,9+$E$2,FALSE),"")</f>
        <v>13.66748994960647</v>
      </c>
      <c r="AS161" s="89" t="str">
        <f t="shared" si="13"/>
        <v/>
      </c>
      <c r="AT161" s="90">
        <f t="shared" si="14"/>
        <v>14.2</v>
      </c>
      <c r="AU161" s="90">
        <f t="array" ref="AU161">IFERROR(
  _xlfn.LET(
    _xlpm.mesTxt, INDEX({"ENERO","FEBRERO","MARZO","ABRIL","MAYO","JUNIO","JULIO","AGOSTO","SEPTIEMBRE","OCTUBRE","NOVIEMBRE","DICIEMBRE"}, E$2),
    _xlpm.colIni, MATCH(_xlpm.mesTxt, Minimos!$1:$1, 0),
    _xlpm.fila, MATCH($A161, Minimos!$A:$A, 0),
    _xlpm.val, INDEX(Minimos!$A:$ZZ, _xlpm.fila, _xlpm.colIni),
    IF(_xlpm.val="", "", _xlpm.val)
  ),
"")</f>
        <v>10</v>
      </c>
      <c r="AV161" s="91">
        <f t="array" ref="AV16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MATCH($A161, Minimos!$A:$A, 0),
    _xlpm.anio, INDEX(Minimos!$A:$ZZ, _xlpm.fila, _xlpm.colIni+1),
    _xlpm.dia, INDEX(Minimos!$A:$ZZ, _xlpm.fila, _xlpm.colIni+2),
    IF(OR(_xlpm.anio="",_xlpm.dia=""), "", DATE(_xlpm.anio, _xlpm.mesNum, _xlpm.dia))
  ),
"")</f>
        <v>31311</v>
      </c>
      <c r="AW161" s="92">
        <f t="shared" si="15"/>
        <v>4.1999999999999993</v>
      </c>
    </row>
    <row r="162" spans="1:49" ht="14.25" customHeight="1" x14ac:dyDescent="0.2">
      <c r="A162" s="48">
        <v>26025110</v>
      </c>
      <c r="B162" s="52" t="s">
        <v>338</v>
      </c>
      <c r="C162" s="52" t="s">
        <v>336</v>
      </c>
      <c r="D162" s="53">
        <v>-76.556250000000006</v>
      </c>
      <c r="E162" s="53">
        <v>3.0753888890000001</v>
      </c>
      <c r="F162" s="48">
        <v>1009</v>
      </c>
      <c r="G162" s="46">
        <v>19</v>
      </c>
      <c r="H162" s="46">
        <v>19698</v>
      </c>
      <c r="I162" s="55" t="s">
        <v>181</v>
      </c>
      <c r="J162" s="55" t="s">
        <v>339</v>
      </c>
      <c r="K162" s="51">
        <v>19</v>
      </c>
      <c r="L162" s="51">
        <v>19.600000000000001</v>
      </c>
      <c r="M162" s="51">
        <v>19</v>
      </c>
      <c r="N162" s="51">
        <v>18</v>
      </c>
      <c r="O162" s="51">
        <v>18.600000000000001</v>
      </c>
      <c r="P162" s="51">
        <v>18.399999999999999</v>
      </c>
      <c r="Q162" s="51">
        <v>18.8</v>
      </c>
      <c r="R162" s="51">
        <v>18</v>
      </c>
      <c r="S162" s="51">
        <v>18.600000000000001</v>
      </c>
      <c r="T162" s="51">
        <v>18</v>
      </c>
      <c r="U162" s="51">
        <v>18</v>
      </c>
      <c r="V162" s="51">
        <v>18</v>
      </c>
      <c r="W162" s="51">
        <v>19</v>
      </c>
      <c r="X162" s="51"/>
      <c r="Y162" s="51"/>
      <c r="Z162" s="111"/>
      <c r="AA162" s="51"/>
      <c r="AB162" s="51"/>
      <c r="AC162" s="51"/>
      <c r="AD162" s="51"/>
      <c r="AE162" s="51"/>
      <c r="AF162" s="51"/>
      <c r="AG162" s="51"/>
      <c r="AH162" s="51"/>
      <c r="AI162" s="51"/>
      <c r="AJ162" s="51"/>
      <c r="AK162" s="51"/>
      <c r="AL162" s="51"/>
      <c r="AM162" s="51"/>
      <c r="AN162" s="51"/>
      <c r="AO162" s="51"/>
      <c r="AP162" s="88">
        <f t="shared" si="11"/>
        <v>13</v>
      </c>
      <c r="AQ162" s="89" t="str">
        <f t="shared" si="12"/>
        <v/>
      </c>
      <c r="AR162" s="89">
        <f>IFERROR(VLOOKUP(A162,Climatologia!A:U,9+$E$2,FALSE),"")</f>
        <v>18.073157894736841</v>
      </c>
      <c r="AS162" s="89" t="str">
        <f t="shared" si="13"/>
        <v/>
      </c>
      <c r="AT162" s="90">
        <f t="shared" si="14"/>
        <v>18</v>
      </c>
      <c r="AU162" s="90">
        <f t="array" ref="AU162">IFERROR(
  _xlfn.LET(
    _xlpm.mesTxt, INDEX({"ENERO","FEBRERO","MARZO","ABRIL","MAYO","JUNIO","JULIO","AGOSTO","SEPTIEMBRE","OCTUBRE","NOVIEMBRE","DICIEMBRE"}, E$2),
    _xlpm.colIni, MATCH(_xlpm.mesTxt, Minimos!$1:$1, 0),
    _xlpm.fila, MATCH($A162, Minimos!$A:$A, 0),
    _xlpm.val, INDEX(Minimos!$A:$ZZ, _xlpm.fila, _xlpm.colIni),
    IF(_xlpm.val="", "", _xlpm.val)
  ),
"")</f>
        <v>15</v>
      </c>
      <c r="AV162" s="91">
        <f t="array" ref="AV16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MATCH($A162, Minimos!$A:$A, 0),
    _xlpm.anio, INDEX(Minimos!$A:$ZZ, _xlpm.fila, _xlpm.colIni+1),
    _xlpm.dia, INDEX(Minimos!$A:$ZZ, _xlpm.fila, _xlpm.colIni+2),
    IF(OR(_xlpm.anio="",_xlpm.dia=""), "", DATE(_xlpm.anio, _xlpm.mesNum, _xlpm.dia))
  ),
"")</f>
        <v>37507</v>
      </c>
      <c r="AW162" s="92">
        <f t="shared" si="15"/>
        <v>3</v>
      </c>
    </row>
    <row r="163" spans="1:49" ht="14.25" customHeight="1" x14ac:dyDescent="0.2">
      <c r="A163" s="48">
        <v>26075010</v>
      </c>
      <c r="B163" s="52" t="s">
        <v>340</v>
      </c>
      <c r="C163" s="52" t="s">
        <v>336</v>
      </c>
      <c r="D163" s="53">
        <v>-76.314888889000002</v>
      </c>
      <c r="E163" s="53">
        <v>3.5134722219999999</v>
      </c>
      <c r="F163" s="48">
        <v>1018</v>
      </c>
      <c r="G163" s="46">
        <v>76</v>
      </c>
      <c r="H163" s="46">
        <v>76520</v>
      </c>
      <c r="I163" s="55" t="s">
        <v>341</v>
      </c>
      <c r="J163" s="55" t="s">
        <v>77</v>
      </c>
      <c r="K163" s="51">
        <v>19</v>
      </c>
      <c r="L163" s="51">
        <v>20.399999999999999</v>
      </c>
      <c r="M163" s="51">
        <v>19</v>
      </c>
      <c r="N163" s="51">
        <v>19.2</v>
      </c>
      <c r="O163" s="51">
        <v>18</v>
      </c>
      <c r="P163" s="51">
        <v>18.600000000000001</v>
      </c>
      <c r="Q163" s="51">
        <v>21.6</v>
      </c>
      <c r="R163" s="51">
        <v>18</v>
      </c>
      <c r="S163" s="51">
        <v>19.2</v>
      </c>
      <c r="T163" s="51">
        <v>20.2</v>
      </c>
      <c r="U163" s="51">
        <v>22.6</v>
      </c>
      <c r="V163" s="51">
        <v>19.2</v>
      </c>
      <c r="W163" s="51">
        <v>20</v>
      </c>
      <c r="X163" s="51"/>
      <c r="Y163" s="51"/>
      <c r="Z163" s="111"/>
      <c r="AA163" s="51"/>
      <c r="AB163" s="51"/>
      <c r="AC163" s="51"/>
      <c r="AD163" s="51"/>
      <c r="AE163" s="51"/>
      <c r="AF163" s="51"/>
      <c r="AG163" s="51"/>
      <c r="AH163" s="51"/>
      <c r="AI163" s="51"/>
      <c r="AJ163" s="51"/>
      <c r="AK163" s="51"/>
      <c r="AL163" s="51"/>
      <c r="AM163" s="51"/>
      <c r="AN163" s="51"/>
      <c r="AO163" s="51"/>
      <c r="AP163" s="88">
        <f t="shared" si="11"/>
        <v>13</v>
      </c>
      <c r="AQ163" s="89" t="str">
        <f t="shared" si="12"/>
        <v/>
      </c>
      <c r="AR163" s="89">
        <f>IFERROR(VLOOKUP(A163,Climatologia!A:U,9+$E$2,FALSE),"")</f>
        <v>19.171552610996091</v>
      </c>
      <c r="AS163" s="89" t="str">
        <f t="shared" si="13"/>
        <v/>
      </c>
      <c r="AT163" s="90">
        <f t="shared" si="14"/>
        <v>18</v>
      </c>
      <c r="AU163" s="90">
        <f t="array" ref="AU163">IFERROR(
  _xlfn.LET(
    _xlpm.mesTxt, INDEX({"ENERO","FEBRERO","MARZO","ABRIL","MAYO","JUNIO","JULIO","AGOSTO","SEPTIEMBRE","OCTUBRE","NOVIEMBRE","DICIEMBRE"}, E$2),
    _xlpm.colIni, MATCH(_xlpm.mesTxt, Minimos!$1:$1, 0),
    _xlpm.fila, MATCH($A163, Minimos!$A:$A, 0),
    _xlpm.val, INDEX(Minimos!$A:$ZZ, _xlpm.fila, _xlpm.colIni),
    IF(_xlpm.val="", "", _xlpm.val)
  ),
"")</f>
        <v>15.7</v>
      </c>
      <c r="AV163" s="91">
        <f t="array" ref="AV16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MATCH($A163, Minimos!$A:$A, 0),
    _xlpm.anio, INDEX(Minimos!$A:$ZZ, _xlpm.fila, _xlpm.colIni+1),
    _xlpm.dia, INDEX(Minimos!$A:$ZZ, _xlpm.fila, _xlpm.colIni+2),
    IF(OR(_xlpm.anio="",_xlpm.dia=""), "", DATE(_xlpm.anio, _xlpm.mesNum, _xlpm.dia))
  ),
"")</f>
        <v>28744</v>
      </c>
      <c r="AW163" s="92">
        <f t="shared" si="15"/>
        <v>2.3000000000000007</v>
      </c>
    </row>
    <row r="164" spans="1:49" ht="14.25" customHeight="1" x14ac:dyDescent="0.2">
      <c r="A164" s="48">
        <v>26105140</v>
      </c>
      <c r="B164" s="52" t="s">
        <v>342</v>
      </c>
      <c r="C164" s="52" t="s">
        <v>336</v>
      </c>
      <c r="D164" s="53">
        <v>-75.888027777999994</v>
      </c>
      <c r="E164" s="53">
        <v>4.0330555559999999</v>
      </c>
      <c r="F164" s="48">
        <v>2902</v>
      </c>
      <c r="G164" s="46">
        <v>76</v>
      </c>
      <c r="H164" s="46">
        <v>76834</v>
      </c>
      <c r="I164" s="55" t="s">
        <v>341</v>
      </c>
      <c r="J164" s="55" t="s">
        <v>343</v>
      </c>
      <c r="K164" s="51">
        <v>11</v>
      </c>
      <c r="L164" s="51">
        <v>8</v>
      </c>
      <c r="M164" s="51">
        <v>9</v>
      </c>
      <c r="N164" s="51">
        <v>10.8</v>
      </c>
      <c r="O164" s="51">
        <v>9</v>
      </c>
      <c r="P164" s="51">
        <v>8</v>
      </c>
      <c r="Q164" s="51">
        <v>9.1999999999999993</v>
      </c>
      <c r="R164" s="51">
        <v>10</v>
      </c>
      <c r="S164" s="51"/>
      <c r="T164" s="51"/>
      <c r="U164" s="51"/>
      <c r="V164" s="51"/>
      <c r="W164" s="51"/>
      <c r="X164" s="51"/>
      <c r="Y164" s="51"/>
      <c r="Z164" s="111"/>
      <c r="AA164" s="51"/>
      <c r="AB164" s="51"/>
      <c r="AC164" s="51"/>
      <c r="AD164" s="51"/>
      <c r="AE164" s="51"/>
      <c r="AF164" s="51"/>
      <c r="AG164" s="51"/>
      <c r="AH164" s="51"/>
      <c r="AI164" s="51"/>
      <c r="AJ164" s="51"/>
      <c r="AK164" s="51"/>
      <c r="AL164" s="51"/>
      <c r="AM164" s="51"/>
      <c r="AN164" s="51"/>
      <c r="AO164" s="51"/>
      <c r="AP164" s="88">
        <f t="shared" si="11"/>
        <v>8</v>
      </c>
      <c r="AQ164" s="89" t="str">
        <f t="shared" si="12"/>
        <v/>
      </c>
      <c r="AR164" s="89">
        <f>IFERROR(VLOOKUP(A164,Climatologia!A:U,9+$E$2,FALSE),"")</f>
        <v>8.1571670780627432</v>
      </c>
      <c r="AS164" s="89" t="str">
        <f t="shared" si="13"/>
        <v/>
      </c>
      <c r="AT164" s="90">
        <f t="shared" si="14"/>
        <v>8</v>
      </c>
      <c r="AU164" s="90">
        <f t="array" ref="AU164">IFERROR(
  _xlfn.LET(
    _xlpm.mesTxt, INDEX({"ENERO","FEBRERO","MARZO","ABRIL","MAYO","JUNIO","JULIO","AGOSTO","SEPTIEMBRE","OCTUBRE","NOVIEMBRE","DICIEMBRE"}, E$2),
    _xlpm.colIni, MATCH(_xlpm.mesTxt, Minimos!$1:$1, 0),
    _xlpm.fila, MATCH($A164, Minimos!$A:$A, 0),
    _xlpm.val, INDEX(Minimos!$A:$ZZ, _xlpm.fila, _xlpm.colIni),
    IF(_xlpm.val="", "", _xlpm.val)
  ),
"")</f>
        <v>3</v>
      </c>
      <c r="AV164" s="91">
        <f t="array" ref="AV16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MATCH($A164, Minimos!$A:$A, 0),
    _xlpm.anio, INDEX(Minimos!$A:$ZZ, _xlpm.fila, _xlpm.colIni+1),
    _xlpm.dia, INDEX(Minimos!$A:$ZZ, _xlpm.fila, _xlpm.colIni+2),
    IF(OR(_xlpm.anio="",_xlpm.dia=""), "", DATE(_xlpm.anio, _xlpm.mesNum, _xlpm.dia))
  ),
"")</f>
        <v>31672</v>
      </c>
      <c r="AW164" s="92">
        <f t="shared" si="15"/>
        <v>5</v>
      </c>
    </row>
    <row r="165" spans="1:49" ht="14.25" customHeight="1" x14ac:dyDescent="0.2">
      <c r="A165" s="48">
        <v>26105150</v>
      </c>
      <c r="B165" s="52" t="s">
        <v>344</v>
      </c>
      <c r="C165" s="52" t="s">
        <v>336</v>
      </c>
      <c r="D165" s="53">
        <v>-76.033055555999994</v>
      </c>
      <c r="E165" s="53">
        <v>4.2389166669999998</v>
      </c>
      <c r="F165" s="48">
        <v>1011</v>
      </c>
      <c r="G165" s="46">
        <v>76</v>
      </c>
      <c r="H165" s="46">
        <v>76113</v>
      </c>
      <c r="I165" s="55" t="s">
        <v>341</v>
      </c>
      <c r="J165" s="55" t="s">
        <v>345</v>
      </c>
      <c r="K165" s="51">
        <v>19.600000000000001</v>
      </c>
      <c r="L165" s="51">
        <v>19</v>
      </c>
      <c r="M165" s="51">
        <v>19.600000000000001</v>
      </c>
      <c r="N165" s="51"/>
      <c r="O165" s="51">
        <v>19.600000000000001</v>
      </c>
      <c r="P165" s="51"/>
      <c r="Q165" s="51"/>
      <c r="R165" s="51"/>
      <c r="S165" s="51">
        <v>18</v>
      </c>
      <c r="T165" s="51">
        <v>19.399999999999999</v>
      </c>
      <c r="U165" s="51">
        <v>18.600000000000001</v>
      </c>
      <c r="V165" s="51">
        <v>19</v>
      </c>
      <c r="W165" s="51"/>
      <c r="X165" s="51"/>
      <c r="Y165" s="51"/>
      <c r="Z165" s="111"/>
      <c r="AA165" s="51"/>
      <c r="AB165" s="51"/>
      <c r="AC165" s="51"/>
      <c r="AD165" s="51"/>
      <c r="AE165" s="51"/>
      <c r="AF165" s="51"/>
      <c r="AG165" s="51"/>
      <c r="AH165" s="51"/>
      <c r="AI165" s="51"/>
      <c r="AJ165" s="51"/>
      <c r="AK165" s="51"/>
      <c r="AL165" s="51"/>
      <c r="AM165" s="51"/>
      <c r="AN165" s="51"/>
      <c r="AO165" s="51"/>
      <c r="AP165" s="88">
        <f t="shared" si="11"/>
        <v>8</v>
      </c>
      <c r="AQ165" s="89" t="str">
        <f t="shared" si="12"/>
        <v/>
      </c>
      <c r="AR165" s="89">
        <f>IFERROR(VLOOKUP(A165,Climatologia!A:U,9+$E$2,FALSE),"")</f>
        <v>17.38327387384858</v>
      </c>
      <c r="AS165" s="89" t="str">
        <f t="shared" si="13"/>
        <v/>
      </c>
      <c r="AT165" s="90">
        <f t="shared" si="14"/>
        <v>18</v>
      </c>
      <c r="AU165" s="90">
        <f t="array" ref="AU165">IFERROR(
  _xlfn.LET(
    _xlpm.mesTxt, INDEX({"ENERO","FEBRERO","MARZO","ABRIL","MAYO","JUNIO","JULIO","AGOSTO","SEPTIEMBRE","OCTUBRE","NOVIEMBRE","DICIEMBRE"}, E$2),
    _xlpm.colIni, MATCH(_xlpm.mesTxt, Minimos!$1:$1, 0),
    _xlpm.fila, MATCH($A165, Minimos!$A:$A, 0),
    _xlpm.val, INDEX(Minimos!$A:$ZZ, _xlpm.fila, _xlpm.colIni),
    IF(_xlpm.val="", "", _xlpm.val)
  ),
"")</f>
        <v>12.6</v>
      </c>
      <c r="AV165" s="91">
        <f t="array" ref="AV16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MATCH($A165, Minimos!$A:$A, 0),
    _xlpm.anio, INDEX(Minimos!$A:$ZZ, _xlpm.fila, _xlpm.colIni+1),
    _xlpm.dia, INDEX(Minimos!$A:$ZZ, _xlpm.fila, _xlpm.colIni+2),
    IF(OR(_xlpm.anio="",_xlpm.dia=""), "", DATE(_xlpm.anio, _xlpm.mesNum, _xlpm.dia))
  ),
"")</f>
        <v>40062</v>
      </c>
      <c r="AW165" s="92">
        <f t="shared" si="15"/>
        <v>5.4</v>
      </c>
    </row>
    <row r="166" spans="1:49" ht="14.25" customHeight="1" x14ac:dyDescent="0.2">
      <c r="A166" s="48">
        <v>26105230</v>
      </c>
      <c r="B166" s="52" t="s">
        <v>346</v>
      </c>
      <c r="C166" s="52" t="s">
        <v>336</v>
      </c>
      <c r="D166" s="53">
        <v>-76.168527780000005</v>
      </c>
      <c r="E166" s="53">
        <v>4.028333333</v>
      </c>
      <c r="F166" s="48">
        <v>1119</v>
      </c>
      <c r="G166" s="46">
        <v>76</v>
      </c>
      <c r="H166" s="46">
        <v>76834</v>
      </c>
      <c r="I166" s="55" t="s">
        <v>341</v>
      </c>
      <c r="J166" s="55" t="s">
        <v>343</v>
      </c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111"/>
      <c r="AA166" s="51"/>
      <c r="AB166" s="51"/>
      <c r="AC166" s="51"/>
      <c r="AD166" s="51"/>
      <c r="AE166" s="51"/>
      <c r="AF166" s="51"/>
      <c r="AG166" s="51"/>
      <c r="AH166" s="51"/>
      <c r="AI166" s="51"/>
      <c r="AJ166" s="51"/>
      <c r="AK166" s="51"/>
      <c r="AL166" s="51"/>
      <c r="AM166" s="51"/>
      <c r="AN166" s="51"/>
      <c r="AO166" s="51"/>
      <c r="AP166" s="88">
        <f t="shared" si="11"/>
        <v>0</v>
      </c>
      <c r="AQ166" s="89" t="str">
        <f t="shared" si="12"/>
        <v/>
      </c>
      <c r="AR166" s="89">
        <f>IFERROR(VLOOKUP(A166,Climatologia!A:U,9+$E$2,FALSE),"")</f>
        <v>17.538792398415641</v>
      </c>
      <c r="AS166" s="89" t="str">
        <f t="shared" si="13"/>
        <v/>
      </c>
      <c r="AT166" s="90" t="str">
        <f t="shared" si="14"/>
        <v/>
      </c>
      <c r="AU166" s="90">
        <f t="array" ref="AU166">IFERROR(
  _xlfn.LET(
    _xlpm.mesTxt, INDEX({"ENERO","FEBRERO","MARZO","ABRIL","MAYO","JUNIO","JULIO","AGOSTO","SEPTIEMBRE","OCTUBRE","NOVIEMBRE","DICIEMBRE"}, E$2),
    _xlpm.colIni, MATCH(_xlpm.mesTxt, Minimos!$1:$1, 0),
    _xlpm.fila, MATCH($A166, Minimos!$A:$A, 0),
    _xlpm.val, INDEX(Minimos!$A:$ZZ, _xlpm.fila, _xlpm.colIni),
    IF(_xlpm.val="", "", _xlpm.val)
  ),
"")</f>
        <v>14.2</v>
      </c>
      <c r="AV166" s="91">
        <f t="array" ref="AV16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MATCH($A166, Minimos!$A:$A, 0),
    _xlpm.anio, INDEX(Minimos!$A:$ZZ, _xlpm.fila, _xlpm.colIni+1),
    _xlpm.dia, INDEX(Minimos!$A:$ZZ, _xlpm.fila, _xlpm.colIni+2),
    IF(OR(_xlpm.anio="",_xlpm.dia=""), "", DATE(_xlpm.anio, _xlpm.mesNum, _xlpm.dia))
  ),
"")</f>
        <v>43362</v>
      </c>
      <c r="AW166" s="92" t="str">
        <f t="shared" si="15"/>
        <v>NA</v>
      </c>
    </row>
    <row r="167" spans="1:49" ht="14.25" customHeight="1" x14ac:dyDescent="0.2">
      <c r="A167" s="48">
        <v>26125130</v>
      </c>
      <c r="B167" s="52" t="s">
        <v>347</v>
      </c>
      <c r="C167" s="52" t="s">
        <v>336</v>
      </c>
      <c r="D167" s="53">
        <v>-75.832361109999994</v>
      </c>
      <c r="E167" s="53">
        <v>4.185055556</v>
      </c>
      <c r="F167" s="48">
        <v>1749</v>
      </c>
      <c r="G167" s="46">
        <v>76</v>
      </c>
      <c r="H167" s="46">
        <v>76736</v>
      </c>
      <c r="I167" s="55" t="s">
        <v>341</v>
      </c>
      <c r="J167" s="55" t="s">
        <v>348</v>
      </c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111"/>
      <c r="AA167" s="51"/>
      <c r="AB167" s="51"/>
      <c r="AC167" s="51"/>
      <c r="AD167" s="51"/>
      <c r="AE167" s="51"/>
      <c r="AF167" s="51"/>
      <c r="AG167" s="51"/>
      <c r="AH167" s="51"/>
      <c r="AI167" s="51"/>
      <c r="AJ167" s="51"/>
      <c r="AK167" s="51"/>
      <c r="AL167" s="51"/>
      <c r="AM167" s="51"/>
      <c r="AN167" s="51"/>
      <c r="AO167" s="51"/>
      <c r="AP167" s="88">
        <f t="shared" si="11"/>
        <v>0</v>
      </c>
      <c r="AQ167" s="89" t="str">
        <f t="shared" si="12"/>
        <v/>
      </c>
      <c r="AR167" s="89">
        <f>IFERROR(VLOOKUP(A167,Climatologia!A:U,9+$E$2,FALSE),"")</f>
        <v>15.58295354982547</v>
      </c>
      <c r="AS167" s="89" t="str">
        <f t="shared" si="13"/>
        <v/>
      </c>
      <c r="AT167" s="90" t="str">
        <f t="shared" si="14"/>
        <v/>
      </c>
      <c r="AU167" s="90">
        <f t="array" ref="AU167">IFERROR(
  _xlfn.LET(
    _xlpm.mesTxt, INDEX({"ENERO","FEBRERO","MARZO","ABRIL","MAYO","JUNIO","JULIO","AGOSTO","SEPTIEMBRE","OCTUBRE","NOVIEMBRE","DICIEMBRE"}, E$2),
    _xlpm.colIni, MATCH(_xlpm.mesTxt, Minimos!$1:$1, 0),
    _xlpm.fila, MATCH($A167, Minimos!$A:$A, 0),
    _xlpm.val, INDEX(Minimos!$A:$ZZ, _xlpm.fila, _xlpm.colIni),
    IF(_xlpm.val="", "", _xlpm.val)
  ),
"")</f>
        <v>8.6</v>
      </c>
      <c r="AV167" s="91">
        <f t="array" ref="AV16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MATCH($A167, Minimos!$A:$A, 0),
    _xlpm.anio, INDEX(Minimos!$A:$ZZ, _xlpm.fila, _xlpm.colIni+1),
    _xlpm.dia, INDEX(Minimos!$A:$ZZ, _xlpm.fila, _xlpm.colIni+2),
    IF(OR(_xlpm.anio="",_xlpm.dia=""), "", DATE(_xlpm.anio, _xlpm.mesNum, _xlpm.dia))
  ),
"")</f>
        <v>30209</v>
      </c>
      <c r="AW167" s="92" t="str">
        <f t="shared" si="15"/>
        <v>NA</v>
      </c>
    </row>
    <row r="168" spans="1:49" ht="14.25" customHeight="1" x14ac:dyDescent="0.2">
      <c r="A168" s="48">
        <v>26135100</v>
      </c>
      <c r="B168" s="52" t="s">
        <v>349</v>
      </c>
      <c r="C168" s="52" t="s">
        <v>336</v>
      </c>
      <c r="D168" s="53">
        <v>-75.877555560000005</v>
      </c>
      <c r="E168" s="53">
        <v>4.8780277779999999</v>
      </c>
      <c r="F168" s="48">
        <v>995</v>
      </c>
      <c r="G168" s="46">
        <v>66</v>
      </c>
      <c r="H168" s="46">
        <v>66001</v>
      </c>
      <c r="I168" s="55" t="s">
        <v>64</v>
      </c>
      <c r="J168" s="55" t="s">
        <v>65</v>
      </c>
      <c r="K168" s="51">
        <v>19.8</v>
      </c>
      <c r="L168" s="51">
        <v>20.2</v>
      </c>
      <c r="M168" s="51">
        <v>19.399999999999999</v>
      </c>
      <c r="N168" s="51">
        <v>19.8</v>
      </c>
      <c r="O168" s="51">
        <v>20.2</v>
      </c>
      <c r="P168" s="51">
        <v>19.600000000000001</v>
      </c>
      <c r="Q168" s="51">
        <v>19.2</v>
      </c>
      <c r="R168" s="51">
        <v>17.8</v>
      </c>
      <c r="S168" s="51">
        <v>18.399999999999999</v>
      </c>
      <c r="T168" s="51">
        <v>20.2</v>
      </c>
      <c r="U168" s="51">
        <v>20.8</v>
      </c>
      <c r="V168" s="51">
        <v>19.2</v>
      </c>
      <c r="W168" s="51">
        <v>20.399999999999999</v>
      </c>
      <c r="X168" s="51"/>
      <c r="Y168" s="51"/>
      <c r="Z168" s="111"/>
      <c r="AA168" s="51"/>
      <c r="AB168" s="51"/>
      <c r="AC168" s="51"/>
      <c r="AD168" s="51"/>
      <c r="AE168" s="51"/>
      <c r="AF168" s="51"/>
      <c r="AG168" s="51"/>
      <c r="AH168" s="51"/>
      <c r="AI168" s="51"/>
      <c r="AJ168" s="51"/>
      <c r="AK168" s="51"/>
      <c r="AL168" s="51"/>
      <c r="AM168" s="51"/>
      <c r="AN168" s="51"/>
      <c r="AO168" s="51"/>
      <c r="AP168" s="88">
        <f t="shared" si="11"/>
        <v>13</v>
      </c>
      <c r="AQ168" s="89" t="str">
        <f t="shared" si="12"/>
        <v/>
      </c>
      <c r="AR168" s="89">
        <f>IFERROR(VLOOKUP(A168,Climatologia!A:U,9+$E$2,FALSE),"")</f>
        <v>19.095617658203871</v>
      </c>
      <c r="AS168" s="89" t="str">
        <f t="shared" si="13"/>
        <v/>
      </c>
      <c r="AT168" s="90">
        <f t="shared" si="14"/>
        <v>17.8</v>
      </c>
      <c r="AU168" s="90">
        <f t="array" ref="AU168">IFERROR(
  _xlfn.LET(
    _xlpm.mesTxt, INDEX({"ENERO","FEBRERO","MARZO","ABRIL","MAYO","JUNIO","JULIO","AGOSTO","SEPTIEMBRE","OCTUBRE","NOVIEMBRE","DICIEMBRE"}, E$2),
    _xlpm.colIni, MATCH(_xlpm.mesTxt, Minimos!$1:$1, 0),
    _xlpm.fila, MATCH($A168, Minimos!$A:$A, 0),
    _xlpm.val, INDEX(Minimos!$A:$ZZ, _xlpm.fila, _xlpm.colIni),
    IF(_xlpm.val="", "", _xlpm.val)
  ),
"")</f>
        <v>15</v>
      </c>
      <c r="AV168" s="91">
        <f t="array" ref="AV16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MATCH($A168, Minimos!$A:$A, 0),
    _xlpm.anio, INDEX(Minimos!$A:$ZZ, _xlpm.fila, _xlpm.colIni+1),
    _xlpm.dia, INDEX(Minimos!$A:$ZZ, _xlpm.fila, _xlpm.colIni+2),
    IF(OR(_xlpm.anio="",_xlpm.dia=""), "", DATE(_xlpm.anio, _xlpm.mesNum, _xlpm.dia))
  ),
"")</f>
        <v>28739</v>
      </c>
      <c r="AW168" s="92">
        <f t="shared" si="15"/>
        <v>2.8000000000000007</v>
      </c>
    </row>
    <row r="169" spans="1:49" ht="14.25" customHeight="1" x14ac:dyDescent="0.2">
      <c r="A169" s="48">
        <v>26145020</v>
      </c>
      <c r="B169" s="52" t="s">
        <v>350</v>
      </c>
      <c r="C169" s="52" t="s">
        <v>336</v>
      </c>
      <c r="D169" s="53">
        <v>-75.800138888999996</v>
      </c>
      <c r="E169" s="53">
        <v>5.2759444440000003</v>
      </c>
      <c r="F169" s="48">
        <v>1984</v>
      </c>
      <c r="G169" s="46">
        <v>17</v>
      </c>
      <c r="H169" s="46">
        <v>17042</v>
      </c>
      <c r="I169" s="55" t="s">
        <v>116</v>
      </c>
      <c r="J169" s="55" t="s">
        <v>351</v>
      </c>
      <c r="K169" s="51">
        <v>15.2</v>
      </c>
      <c r="L169" s="51">
        <v>15.6</v>
      </c>
      <c r="M169" s="51">
        <v>14</v>
      </c>
      <c r="N169" s="51">
        <v>14.8</v>
      </c>
      <c r="O169" s="51">
        <v>13.6</v>
      </c>
      <c r="P169" s="51">
        <v>14.2</v>
      </c>
      <c r="Q169" s="51">
        <v>13.2</v>
      </c>
      <c r="R169" s="51">
        <v>14</v>
      </c>
      <c r="S169" s="51">
        <v>14.2</v>
      </c>
      <c r="T169" s="51">
        <v>15</v>
      </c>
      <c r="U169" s="51">
        <v>15</v>
      </c>
      <c r="V169" s="51">
        <v>14.8</v>
      </c>
      <c r="W169" s="51">
        <v>15</v>
      </c>
      <c r="X169" s="51"/>
      <c r="Y169" s="51"/>
      <c r="Z169" s="111"/>
      <c r="AA169" s="51"/>
      <c r="AB169" s="51"/>
      <c r="AC169" s="51"/>
      <c r="AD169" s="51"/>
      <c r="AE169" s="51"/>
      <c r="AF169" s="51"/>
      <c r="AG169" s="51"/>
      <c r="AH169" s="51"/>
      <c r="AI169" s="51"/>
      <c r="AJ169" s="51"/>
      <c r="AK169" s="51"/>
      <c r="AL169" s="51"/>
      <c r="AM169" s="51"/>
      <c r="AN169" s="51"/>
      <c r="AO169" s="51"/>
      <c r="AP169" s="88">
        <f t="shared" si="11"/>
        <v>13</v>
      </c>
      <c r="AQ169" s="89" t="str">
        <f t="shared" si="12"/>
        <v/>
      </c>
      <c r="AR169" s="89">
        <f>IFERROR(VLOOKUP(A169,Climatologia!A:U,9+$E$2,FALSE),"")</f>
        <v>13.604003489326759</v>
      </c>
      <c r="AS169" s="89" t="str">
        <f t="shared" si="13"/>
        <v/>
      </c>
      <c r="AT169" s="90">
        <f t="shared" si="14"/>
        <v>13.2</v>
      </c>
      <c r="AU169" s="90">
        <f t="array" ref="AU169">IFERROR(
  _xlfn.LET(
    _xlpm.mesTxt, INDEX({"ENERO","FEBRERO","MARZO","ABRIL","MAYO","JUNIO","JULIO","AGOSTO","SEPTIEMBRE","OCTUBRE","NOVIEMBRE","DICIEMBRE"}, E$2),
    _xlpm.colIni, MATCH(_xlpm.mesTxt, Minimos!$1:$1, 0),
    _xlpm.fila, MATCH($A169, Minimos!$A:$A, 0),
    _xlpm.val, INDEX(Minimos!$A:$ZZ, _xlpm.fila, _xlpm.colIni),
    IF(_xlpm.val="", "", _xlpm.val)
  ),
"")</f>
        <v>6</v>
      </c>
      <c r="AV169" s="91">
        <f t="array" ref="AV16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MATCH($A169, Minimos!$A:$A, 0),
    _xlpm.anio, INDEX(Minimos!$A:$ZZ, _xlpm.fila, _xlpm.colIni+1),
    _xlpm.dia, INDEX(Minimos!$A:$ZZ, _xlpm.fila, _xlpm.colIni+2),
    IF(OR(_xlpm.anio="",_xlpm.dia=""), "", DATE(_xlpm.anio, _xlpm.mesNum, _xlpm.dia))
  ),
"")</f>
        <v>31314</v>
      </c>
      <c r="AW169" s="92">
        <f t="shared" si="15"/>
        <v>7.1999999999999993</v>
      </c>
    </row>
    <row r="170" spans="1:49" ht="14.25" customHeight="1" x14ac:dyDescent="0.2">
      <c r="A170" s="48">
        <v>26155170</v>
      </c>
      <c r="B170" s="52" t="s">
        <v>352</v>
      </c>
      <c r="C170" s="52" t="s">
        <v>336</v>
      </c>
      <c r="D170" s="53">
        <v>-75.438333330000006</v>
      </c>
      <c r="E170" s="53">
        <v>5.0322222219999997</v>
      </c>
      <c r="F170" s="48">
        <v>2325</v>
      </c>
      <c r="G170" s="46">
        <v>17</v>
      </c>
      <c r="H170" s="46">
        <v>17001</v>
      </c>
      <c r="I170" s="55" t="s">
        <v>116</v>
      </c>
      <c r="J170" s="55" t="s">
        <v>353</v>
      </c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111"/>
      <c r="AA170" s="51"/>
      <c r="AB170" s="51"/>
      <c r="AC170" s="51"/>
      <c r="AD170" s="51"/>
      <c r="AE170" s="51"/>
      <c r="AF170" s="51"/>
      <c r="AG170" s="51"/>
      <c r="AH170" s="51"/>
      <c r="AI170" s="51"/>
      <c r="AJ170" s="51"/>
      <c r="AK170" s="51"/>
      <c r="AL170" s="51"/>
      <c r="AM170" s="51"/>
      <c r="AN170" s="51"/>
      <c r="AO170" s="51"/>
      <c r="AP170" s="88">
        <f t="shared" si="11"/>
        <v>0</v>
      </c>
      <c r="AQ170" s="89" t="str">
        <f t="shared" si="12"/>
        <v/>
      </c>
      <c r="AR170" s="89">
        <f>IFERROR(VLOOKUP(A170,Climatologia!A:U,9+$E$2,FALSE),"")</f>
        <v>11.71973333333333</v>
      </c>
      <c r="AS170" s="89" t="str">
        <f t="shared" si="13"/>
        <v/>
      </c>
      <c r="AT170" s="90" t="str">
        <f t="shared" si="14"/>
        <v/>
      </c>
      <c r="AU170" s="90">
        <f t="array" ref="AU170">IFERROR(
  _xlfn.LET(
    _xlpm.mesTxt, INDEX({"ENERO","FEBRERO","MARZO","ABRIL","MAYO","JUNIO","JULIO","AGOSTO","SEPTIEMBRE","OCTUBRE","NOVIEMBRE","DICIEMBRE"}, E$2),
    _xlpm.colIni, MATCH(_xlpm.mesTxt, Minimos!$1:$1, 0),
    _xlpm.fila, MATCH($A170, Minimos!$A:$A, 0),
    _xlpm.val, INDEX(Minimos!$A:$ZZ, _xlpm.fila, _xlpm.colIni),
    IF(_xlpm.val="", "", _xlpm.val)
  ),
"")</f>
        <v>9.6</v>
      </c>
      <c r="AV170" s="91">
        <f t="array" ref="AV17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MATCH($A170, Minimos!$A:$A, 0),
    _xlpm.anio, INDEX(Minimos!$A:$ZZ, _xlpm.fila, _xlpm.colIni+1),
    _xlpm.dia, INDEX(Minimos!$A:$ZZ, _xlpm.fila, _xlpm.colIni+2),
    IF(OR(_xlpm.anio="",_xlpm.dia=""), "", DATE(_xlpm.anio, _xlpm.mesNum, _xlpm.dia))
  ),
"")</f>
        <v>36055</v>
      </c>
      <c r="AW170" s="92" t="str">
        <f t="shared" si="15"/>
        <v>NA</v>
      </c>
    </row>
    <row r="171" spans="1:49" ht="14.25" customHeight="1" x14ac:dyDescent="0.2">
      <c r="A171" s="48">
        <v>21135020</v>
      </c>
      <c r="B171" s="52" t="s">
        <v>354</v>
      </c>
      <c r="C171" s="52" t="s">
        <v>355</v>
      </c>
      <c r="D171" s="53">
        <v>-75.015749999999997</v>
      </c>
      <c r="E171" s="53">
        <v>3.85575</v>
      </c>
      <c r="F171" s="48">
        <v>313</v>
      </c>
      <c r="G171" s="46">
        <v>73</v>
      </c>
      <c r="H171" s="46">
        <v>73671</v>
      </c>
      <c r="I171" s="55" t="s">
        <v>70</v>
      </c>
      <c r="J171" s="55" t="s">
        <v>356</v>
      </c>
      <c r="K171" s="51">
        <v>25</v>
      </c>
      <c r="L171" s="51">
        <v>20</v>
      </c>
      <c r="M171" s="51">
        <v>20.2</v>
      </c>
      <c r="N171" s="51">
        <v>20.399999999999999</v>
      </c>
      <c r="O171" s="51">
        <v>20.6</v>
      </c>
      <c r="P171" s="51">
        <v>21.2</v>
      </c>
      <c r="Q171" s="51">
        <v>21.8</v>
      </c>
      <c r="R171" s="51">
        <v>23.6</v>
      </c>
      <c r="S171" s="51">
        <v>24.2</v>
      </c>
      <c r="T171" s="51">
        <v>24.8</v>
      </c>
      <c r="U171" s="51">
        <v>25.2</v>
      </c>
      <c r="V171" s="51">
        <v>25.4</v>
      </c>
      <c r="W171" s="51">
        <v>26</v>
      </c>
      <c r="X171" s="51"/>
      <c r="Y171" s="51"/>
      <c r="Z171" s="111"/>
      <c r="AA171" s="51"/>
      <c r="AB171" s="51"/>
      <c r="AC171" s="51"/>
      <c r="AD171" s="51"/>
      <c r="AE171" s="51"/>
      <c r="AF171" s="51"/>
      <c r="AG171" s="51"/>
      <c r="AH171" s="51"/>
      <c r="AI171" s="51"/>
      <c r="AJ171" s="51"/>
      <c r="AK171" s="51"/>
      <c r="AL171" s="51"/>
      <c r="AM171" s="51"/>
      <c r="AN171" s="51"/>
      <c r="AO171" s="51"/>
      <c r="AP171" s="88">
        <f t="shared" si="11"/>
        <v>13</v>
      </c>
      <c r="AQ171" s="89" t="str">
        <f t="shared" si="12"/>
        <v/>
      </c>
      <c r="AR171" s="89" t="str">
        <f>IFERROR(VLOOKUP(A171,Climatologia!A:U,9+$E$2,FALSE),"")</f>
        <v/>
      </c>
      <c r="AS171" s="89" t="str">
        <f t="shared" si="13"/>
        <v/>
      </c>
      <c r="AT171" s="90">
        <f t="shared" si="14"/>
        <v>20</v>
      </c>
      <c r="AU171" s="90">
        <f t="array" ref="AU171">IFERROR(
  _xlfn.LET(
    _xlpm.mesTxt, INDEX({"ENERO","FEBRERO","MARZO","ABRIL","MAYO","JUNIO","JULIO","AGOSTO","SEPTIEMBRE","OCTUBRE","NOVIEMBRE","DICIEMBRE"}, E$2),
    _xlpm.colIni, MATCH(_xlpm.mesTxt, Minimos!$1:$1, 0),
    _xlpm.fila, MATCH($A171, Minimos!$A:$A, 0),
    _xlpm.val, INDEX(Minimos!$A:$ZZ, _xlpm.fila, _xlpm.colIni),
    IF(_xlpm.val="", "", _xlpm.val)
  ),
"")</f>
        <v>18</v>
      </c>
      <c r="AV171" s="91">
        <f t="array" ref="AV17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MATCH($A171, Minimos!$A:$A, 0),
    _xlpm.anio, INDEX(Minimos!$A:$ZZ, _xlpm.fila, _xlpm.colIni+1),
    _xlpm.dia, INDEX(Minimos!$A:$ZZ, _xlpm.fila, _xlpm.colIni+2),
    IF(OR(_xlpm.anio="",_xlpm.dia=""), "", DATE(_xlpm.anio, _xlpm.mesNum, _xlpm.dia))
  ),
"")</f>
        <v>29120</v>
      </c>
      <c r="AW171" s="92">
        <f t="shared" si="15"/>
        <v>2</v>
      </c>
    </row>
    <row r="172" spans="1:49" ht="14.25" customHeight="1" x14ac:dyDescent="0.2">
      <c r="A172" s="48">
        <v>21165010</v>
      </c>
      <c r="B172" s="52" t="s">
        <v>357</v>
      </c>
      <c r="C172" s="52" t="s">
        <v>355</v>
      </c>
      <c r="D172" s="53">
        <v>-74.917027779999998</v>
      </c>
      <c r="E172" s="53">
        <v>3.7876111109999999</v>
      </c>
      <c r="F172" s="48">
        <v>311</v>
      </c>
      <c r="G172" s="46">
        <v>73</v>
      </c>
      <c r="H172" s="46">
        <v>73563</v>
      </c>
      <c r="I172" s="55" t="s">
        <v>70</v>
      </c>
      <c r="J172" s="55" t="s">
        <v>358</v>
      </c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111"/>
      <c r="AA172" s="51"/>
      <c r="AB172" s="51"/>
      <c r="AC172" s="51"/>
      <c r="AD172" s="51"/>
      <c r="AE172" s="51"/>
      <c r="AF172" s="51"/>
      <c r="AG172" s="51"/>
      <c r="AH172" s="51"/>
      <c r="AI172" s="51"/>
      <c r="AJ172" s="51"/>
      <c r="AK172" s="51"/>
      <c r="AL172" s="51"/>
      <c r="AM172" s="51"/>
      <c r="AN172" s="51"/>
      <c r="AO172" s="51"/>
      <c r="AP172" s="88">
        <f t="shared" si="11"/>
        <v>0</v>
      </c>
      <c r="AQ172" s="89" t="str">
        <f t="shared" si="12"/>
        <v/>
      </c>
      <c r="AR172" s="89">
        <f>IFERROR(VLOOKUP(A172,Climatologia!A:U,9+$E$2,FALSE),"")</f>
        <v>22.290641792860178</v>
      </c>
      <c r="AS172" s="89" t="str">
        <f t="shared" si="13"/>
        <v/>
      </c>
      <c r="AT172" s="90" t="str">
        <f t="shared" si="14"/>
        <v/>
      </c>
      <c r="AU172" s="90">
        <f t="array" ref="AU172">IFERROR(
  _xlfn.LET(
    _xlpm.mesTxt, INDEX({"ENERO","FEBRERO","MARZO","ABRIL","MAYO","JUNIO","JULIO","AGOSTO","SEPTIEMBRE","OCTUBRE","NOVIEMBRE","DICIEMBRE"}, E$2),
    _xlpm.colIni, MATCH(_xlpm.mesTxt, Minimos!$1:$1, 0),
    _xlpm.fila, MATCH($A172, Minimos!$A:$A, 0),
    _xlpm.val, INDEX(Minimos!$A:$ZZ, _xlpm.fila, _xlpm.colIni),
    IF(_xlpm.val="", "", _xlpm.val)
  ),
"")</f>
        <v>19</v>
      </c>
      <c r="AV172" s="91">
        <f t="array" ref="AV17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MATCH($A172, Minimos!$A:$A, 0),
    _xlpm.anio, INDEX(Minimos!$A:$ZZ, _xlpm.fila, _xlpm.colIni+1),
    _xlpm.dia, INDEX(Minimos!$A:$ZZ, _xlpm.fila, _xlpm.colIni+2),
    IF(OR(_xlpm.anio="",_xlpm.dia=""), "", DATE(_xlpm.anio, _xlpm.mesNum, _xlpm.dia))
  ),
"")</f>
        <v>35324</v>
      </c>
      <c r="AW172" s="92" t="str">
        <f t="shared" si="15"/>
        <v>NA</v>
      </c>
    </row>
    <row r="173" spans="1:49" ht="14.25" customHeight="1" x14ac:dyDescent="0.2">
      <c r="A173" s="48">
        <v>21185030</v>
      </c>
      <c r="B173" s="52" t="s">
        <v>359</v>
      </c>
      <c r="C173" s="52" t="s">
        <v>355</v>
      </c>
      <c r="D173" s="53">
        <v>-74.981388890000005</v>
      </c>
      <c r="E173" s="53">
        <v>4.0088333330000001</v>
      </c>
      <c r="F173" s="48">
        <v>332</v>
      </c>
      <c r="G173" s="46">
        <v>73</v>
      </c>
      <c r="H173" s="46">
        <v>73319</v>
      </c>
      <c r="I173" s="55" t="s">
        <v>70</v>
      </c>
      <c r="J173" s="55" t="s">
        <v>359</v>
      </c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111"/>
      <c r="AA173" s="51"/>
      <c r="AB173" s="51"/>
      <c r="AC173" s="51"/>
      <c r="AD173" s="51"/>
      <c r="AE173" s="51"/>
      <c r="AF173" s="51"/>
      <c r="AG173" s="51"/>
      <c r="AH173" s="51"/>
      <c r="AI173" s="51"/>
      <c r="AJ173" s="51"/>
      <c r="AK173" s="51"/>
      <c r="AL173" s="51"/>
      <c r="AM173" s="51"/>
      <c r="AN173" s="51"/>
      <c r="AO173" s="51"/>
      <c r="AP173" s="88">
        <f t="shared" si="11"/>
        <v>0</v>
      </c>
      <c r="AQ173" s="89" t="str">
        <f t="shared" si="12"/>
        <v/>
      </c>
      <c r="AR173" s="89">
        <f>IFERROR(VLOOKUP(A173,Climatologia!A:U,9+$E$2,FALSE),"")</f>
        <v>22.991182948434439</v>
      </c>
      <c r="AS173" s="89" t="str">
        <f t="shared" si="13"/>
        <v/>
      </c>
      <c r="AT173" s="90" t="str">
        <f t="shared" si="14"/>
        <v/>
      </c>
      <c r="AU173" s="90">
        <f t="array" ref="AU173">IFERROR(
  _xlfn.LET(
    _xlpm.mesTxt, INDEX({"ENERO","FEBRERO","MARZO","ABRIL","MAYO","JUNIO","JULIO","AGOSTO","SEPTIEMBRE","OCTUBRE","NOVIEMBRE","DICIEMBRE"}, E$2),
    _xlpm.colIni, MATCH(_xlpm.mesTxt, Minimos!$1:$1, 0),
    _xlpm.fila, MATCH($A173, Minimos!$A:$A, 0),
    _xlpm.val, INDEX(Minimos!$A:$ZZ, _xlpm.fila, _xlpm.colIni),
    IF(_xlpm.val="", "", _xlpm.val)
  ),
"")</f>
        <v>18.399999999999999</v>
      </c>
      <c r="AV173" s="91">
        <f t="array" ref="AV17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MATCH($A173, Minimos!$A:$A, 0),
    _xlpm.anio, INDEX(Minimos!$A:$ZZ, _xlpm.fila, _xlpm.colIni+1),
    _xlpm.dia, INDEX(Minimos!$A:$ZZ, _xlpm.fila, _xlpm.colIni+2),
    IF(OR(_xlpm.anio="",_xlpm.dia=""), "", DATE(_xlpm.anio, _xlpm.mesNum, _xlpm.dia))
  ),
"")</f>
        <v>37142</v>
      </c>
      <c r="AW173" s="92" t="str">
        <f t="shared" si="15"/>
        <v>NA</v>
      </c>
    </row>
    <row r="174" spans="1:49" ht="14.25" customHeight="1" x14ac:dyDescent="0.2">
      <c r="A174" s="48">
        <v>21185080</v>
      </c>
      <c r="B174" s="52" t="s">
        <v>360</v>
      </c>
      <c r="C174" s="52" t="s">
        <v>355</v>
      </c>
      <c r="D174" s="53">
        <v>-75.104611110999997</v>
      </c>
      <c r="E174" s="53">
        <v>4.2164583330000003</v>
      </c>
      <c r="F174" s="48">
        <v>591</v>
      </c>
      <c r="G174" s="46">
        <v>73</v>
      </c>
      <c r="H174" s="46">
        <v>73854</v>
      </c>
      <c r="I174" s="55" t="s">
        <v>70</v>
      </c>
      <c r="J174" s="55" t="s">
        <v>360</v>
      </c>
      <c r="K174" s="51">
        <v>24.4</v>
      </c>
      <c r="L174" s="51">
        <v>21.6</v>
      </c>
      <c r="M174" s="51">
        <v>21.4</v>
      </c>
      <c r="N174" s="51">
        <v>21.8</v>
      </c>
      <c r="O174" s="51">
        <v>22.2</v>
      </c>
      <c r="P174" s="51">
        <v>20.6</v>
      </c>
      <c r="Q174" s="51">
        <v>23.8</v>
      </c>
      <c r="R174" s="51">
        <v>20.399999999999999</v>
      </c>
      <c r="S174" s="51">
        <v>20.6</v>
      </c>
      <c r="T174" s="51">
        <v>20.399999999999999</v>
      </c>
      <c r="U174" s="51">
        <v>23.6</v>
      </c>
      <c r="V174" s="51">
        <v>22</v>
      </c>
      <c r="W174" s="51">
        <v>22.2</v>
      </c>
      <c r="X174" s="51"/>
      <c r="Y174" s="51"/>
      <c r="Z174" s="11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1"/>
      <c r="AN174" s="51"/>
      <c r="AO174" s="51"/>
      <c r="AP174" s="88">
        <f t="shared" si="11"/>
        <v>13</v>
      </c>
      <c r="AQ174" s="89" t="str">
        <f t="shared" si="12"/>
        <v/>
      </c>
      <c r="AR174" s="89">
        <f>IFERROR(VLOOKUP(A174,Climatologia!A:U,9+$E$2,FALSE),"")</f>
        <v>20.74341280266896</v>
      </c>
      <c r="AS174" s="89" t="str">
        <f t="shared" si="13"/>
        <v/>
      </c>
      <c r="AT174" s="90">
        <f t="shared" si="14"/>
        <v>20.399999999999999</v>
      </c>
      <c r="AU174" s="90">
        <f t="array" ref="AU174">IFERROR(
  _xlfn.LET(
    _xlpm.mesTxt, INDEX({"ENERO","FEBRERO","MARZO","ABRIL","MAYO","JUNIO","JULIO","AGOSTO","SEPTIEMBRE","OCTUBRE","NOVIEMBRE","DICIEMBRE"}, E$2),
    _xlpm.colIni, MATCH(_xlpm.mesTxt, Minimos!$1:$1, 0),
    _xlpm.fila, MATCH($A174, Minimos!$A:$A, 0),
    _xlpm.val, INDEX(Minimos!$A:$ZZ, _xlpm.fila, _xlpm.colIni),
    IF(_xlpm.val="", "", _xlpm.val)
  ),
"")</f>
        <v>16</v>
      </c>
      <c r="AV174" s="91">
        <f t="array" ref="AV17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MATCH($A174, Minimos!$A:$A, 0),
    _xlpm.anio, INDEX(Minimos!$A:$ZZ, _xlpm.fila, _xlpm.colIni+1),
    _xlpm.dia, INDEX(Minimos!$A:$ZZ, _xlpm.fila, _xlpm.colIni+2),
    IF(OR(_xlpm.anio="",_xlpm.dia=""), "", DATE(_xlpm.anio, _xlpm.mesNum, _xlpm.dia))
  ),
"")</f>
        <v>33849</v>
      </c>
      <c r="AW174" s="92">
        <f t="shared" si="15"/>
        <v>4.3999999999999986</v>
      </c>
    </row>
    <row r="175" spans="1:49" ht="14.25" customHeight="1" x14ac:dyDescent="0.2">
      <c r="A175" s="48">
        <v>21215080</v>
      </c>
      <c r="B175" s="52" t="s">
        <v>361</v>
      </c>
      <c r="C175" s="52" t="s">
        <v>355</v>
      </c>
      <c r="D175" s="53">
        <v>-74.995361110000005</v>
      </c>
      <c r="E175" s="53">
        <v>4.2315277780000002</v>
      </c>
      <c r="F175" s="48">
        <v>432</v>
      </c>
      <c r="G175" s="46">
        <v>73</v>
      </c>
      <c r="H175" s="46">
        <v>73268</v>
      </c>
      <c r="I175" s="55" t="s">
        <v>70</v>
      </c>
      <c r="J175" s="55" t="s">
        <v>362</v>
      </c>
      <c r="K175" s="51">
        <v>24.4</v>
      </c>
      <c r="L175" s="51">
        <v>24.2</v>
      </c>
      <c r="M175" s="51">
        <v>23.4</v>
      </c>
      <c r="N175" s="51">
        <v>24.6</v>
      </c>
      <c r="O175" s="51">
        <v>25</v>
      </c>
      <c r="P175" s="51"/>
      <c r="Q175" s="51">
        <v>22.6</v>
      </c>
      <c r="R175" s="51">
        <v>25</v>
      </c>
      <c r="S175" s="51">
        <v>22.6</v>
      </c>
      <c r="T175" s="51">
        <v>22.8</v>
      </c>
      <c r="U175" s="51">
        <v>25.8</v>
      </c>
      <c r="V175" s="51">
        <v>24.4</v>
      </c>
      <c r="W175" s="51">
        <v>24.2</v>
      </c>
      <c r="X175" s="51"/>
      <c r="Y175" s="51"/>
      <c r="Z175" s="111"/>
      <c r="AA175" s="51"/>
      <c r="AB175" s="51"/>
      <c r="AC175" s="51"/>
      <c r="AD175" s="51"/>
      <c r="AE175" s="51"/>
      <c r="AF175" s="51"/>
      <c r="AG175" s="51"/>
      <c r="AH175" s="51"/>
      <c r="AI175" s="51"/>
      <c r="AJ175" s="51"/>
      <c r="AK175" s="51"/>
      <c r="AL175" s="51"/>
      <c r="AM175" s="51"/>
      <c r="AN175" s="51"/>
      <c r="AO175" s="51"/>
      <c r="AP175" s="88">
        <f t="shared" si="11"/>
        <v>12</v>
      </c>
      <c r="AQ175" s="89" t="str">
        <f t="shared" si="12"/>
        <v/>
      </c>
      <c r="AR175" s="89">
        <f>IFERROR(VLOOKUP(A175,Climatologia!A:U,9+$E$2,FALSE),"")</f>
        <v>21.67335632183908</v>
      </c>
      <c r="AS175" s="89" t="str">
        <f t="shared" si="13"/>
        <v/>
      </c>
      <c r="AT175" s="90">
        <f t="shared" si="14"/>
        <v>22.6</v>
      </c>
      <c r="AU175" s="90">
        <f t="array" ref="AU175">IFERROR(
  _xlfn.LET(
    _xlpm.mesTxt, INDEX({"ENERO","FEBRERO","MARZO","ABRIL","MAYO","JUNIO","JULIO","AGOSTO","SEPTIEMBRE","OCTUBRE","NOVIEMBRE","DICIEMBRE"}, E$2),
    _xlpm.colIni, MATCH(_xlpm.mesTxt, Minimos!$1:$1, 0),
    _xlpm.fila, MATCH($A175, Minimos!$A:$A, 0),
    _xlpm.val, INDEX(Minimos!$A:$ZZ, _xlpm.fila, _xlpm.colIni),
    IF(_xlpm.val="", "", _xlpm.val)
  ),
"")</f>
        <v>16</v>
      </c>
      <c r="AV175" s="91">
        <f t="array" ref="AV17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MATCH($A175, Minimos!$A:$A, 0),
    _xlpm.anio, INDEX(Minimos!$A:$ZZ, _xlpm.fila, _xlpm.colIni+1),
    _xlpm.dia, INDEX(Minimos!$A:$ZZ, _xlpm.fila, _xlpm.colIni+2),
    IF(OR(_xlpm.anio="",_xlpm.dia=""), "", DATE(_xlpm.anio, _xlpm.mesNum, _xlpm.dia))
  ),
"")</f>
        <v>36051</v>
      </c>
      <c r="AW175" s="92">
        <f t="shared" si="15"/>
        <v>6.6000000000000014</v>
      </c>
    </row>
    <row r="176" spans="1:49" ht="14.25" customHeight="1" x14ac:dyDescent="0.2">
      <c r="A176" s="48">
        <v>21235010</v>
      </c>
      <c r="B176" s="52" t="s">
        <v>363</v>
      </c>
      <c r="C176" s="52" t="s">
        <v>355</v>
      </c>
      <c r="D176" s="53">
        <v>-74.702388889999995</v>
      </c>
      <c r="E176" s="53">
        <v>4.5618055560000004</v>
      </c>
      <c r="F176" s="48">
        <v>297</v>
      </c>
      <c r="G176" s="46">
        <v>25</v>
      </c>
      <c r="H176" s="46">
        <v>25368</v>
      </c>
      <c r="I176" s="55" t="s">
        <v>73</v>
      </c>
      <c r="J176" s="55" t="s">
        <v>364</v>
      </c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111"/>
      <c r="AA176" s="51"/>
      <c r="AB176" s="51"/>
      <c r="AC176" s="51"/>
      <c r="AD176" s="51"/>
      <c r="AE176" s="51"/>
      <c r="AF176" s="51"/>
      <c r="AG176" s="51"/>
      <c r="AH176" s="51"/>
      <c r="AI176" s="51"/>
      <c r="AJ176" s="51"/>
      <c r="AK176" s="51"/>
      <c r="AL176" s="51"/>
      <c r="AM176" s="51"/>
      <c r="AN176" s="51"/>
      <c r="AO176" s="51"/>
      <c r="AP176" s="88">
        <f t="shared" si="11"/>
        <v>0</v>
      </c>
      <c r="AQ176" s="89" t="str">
        <f t="shared" si="12"/>
        <v/>
      </c>
      <c r="AR176" s="89" t="str">
        <f>IFERROR(VLOOKUP(A176,Climatologia!A:U,9+$E$2,FALSE),"")</f>
        <v/>
      </c>
      <c r="AS176" s="89" t="str">
        <f t="shared" si="13"/>
        <v/>
      </c>
      <c r="AT176" s="90" t="str">
        <f t="shared" si="14"/>
        <v/>
      </c>
      <c r="AU176" s="90">
        <f t="array" ref="AU176">IFERROR(
  _xlfn.LET(
    _xlpm.mesTxt, INDEX({"ENERO","FEBRERO","MARZO","ABRIL","MAYO","JUNIO","JULIO","AGOSTO","SEPTIEMBRE","OCTUBRE","NOVIEMBRE","DICIEMBRE"}, E$2),
    _xlpm.colIni, MATCH(_xlpm.mesTxt, Minimos!$1:$1, 0),
    _xlpm.fila, MATCH($A176, Minimos!$A:$A, 0),
    _xlpm.val, INDEX(Minimos!$A:$ZZ, _xlpm.fila, _xlpm.colIni),
    IF(_xlpm.val="", "", _xlpm.val)
  ),
"")</f>
        <v>17.399999999999999</v>
      </c>
      <c r="AV176" s="91">
        <f t="array" ref="AV17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MATCH($A176, Minimos!$A:$A, 0),
    _xlpm.anio, INDEX(Minimos!$A:$ZZ, _xlpm.fila, _xlpm.colIni+1),
    _xlpm.dia, INDEX(Minimos!$A:$ZZ, _xlpm.fila, _xlpm.colIni+2),
    IF(OR(_xlpm.anio="",_xlpm.dia=""), "", DATE(_xlpm.anio, _xlpm.mesNum, _xlpm.dia))
  ),
"")</f>
        <v>39717</v>
      </c>
      <c r="AW176" s="92" t="str">
        <f t="shared" si="15"/>
        <v>NA</v>
      </c>
    </row>
    <row r="177" spans="1:49" ht="14.25" customHeight="1" x14ac:dyDescent="0.2">
      <c r="A177" s="48">
        <v>21245010</v>
      </c>
      <c r="B177" s="52" t="s">
        <v>365</v>
      </c>
      <c r="C177" s="52" t="s">
        <v>355</v>
      </c>
      <c r="D177" s="53">
        <v>-75.200522219999996</v>
      </c>
      <c r="E177" s="53">
        <v>4.4296666670000002</v>
      </c>
      <c r="F177" s="48">
        <v>826</v>
      </c>
      <c r="G177" s="46">
        <v>73</v>
      </c>
      <c r="H177" s="46">
        <v>73001</v>
      </c>
      <c r="I177" s="55" t="s">
        <v>70</v>
      </c>
      <c r="J177" s="55" t="s">
        <v>71</v>
      </c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111"/>
      <c r="AA177" s="51"/>
      <c r="AB177" s="51"/>
      <c r="AC177" s="51"/>
      <c r="AD177" s="51"/>
      <c r="AE177" s="51"/>
      <c r="AF177" s="51"/>
      <c r="AG177" s="51"/>
      <c r="AH177" s="51"/>
      <c r="AI177" s="51"/>
      <c r="AJ177" s="51"/>
      <c r="AK177" s="51"/>
      <c r="AL177" s="51"/>
      <c r="AM177" s="51"/>
      <c r="AN177" s="51"/>
      <c r="AO177" s="51"/>
      <c r="AP177" s="88">
        <f t="shared" si="11"/>
        <v>0</v>
      </c>
      <c r="AQ177" s="89" t="str">
        <f t="shared" si="12"/>
        <v/>
      </c>
      <c r="AR177" s="89" t="str">
        <f>IFERROR(VLOOKUP(A177,Climatologia!A:U,9+$E$2,FALSE),"")</f>
        <v/>
      </c>
      <c r="AS177" s="89" t="str">
        <f t="shared" si="13"/>
        <v/>
      </c>
      <c r="AT177" s="90" t="str">
        <f t="shared" si="14"/>
        <v/>
      </c>
      <c r="AU177" s="90">
        <f t="array" ref="AU177">IFERROR(
  _xlfn.LET(
    _xlpm.mesTxt, INDEX({"ENERO","FEBRERO","MARZO","ABRIL","MAYO","JUNIO","JULIO","AGOSTO","SEPTIEMBRE","OCTUBRE","NOVIEMBRE","DICIEMBRE"}, E$2),
    _xlpm.colIni, MATCH(_xlpm.mesTxt, Minimos!$1:$1, 0),
    _xlpm.fila, MATCH($A177, Minimos!$A:$A, 0),
    _xlpm.val, INDEX(Minimos!$A:$ZZ, _xlpm.fila, _xlpm.colIni),
    IF(_xlpm.val="", "", _xlpm.val)
  ),
"")</f>
        <v>16</v>
      </c>
      <c r="AV177" s="91">
        <f t="array" ref="AV17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MATCH($A177, Minimos!$A:$A, 0),
    _xlpm.anio, INDEX(Minimos!$A:$ZZ, _xlpm.fila, _xlpm.colIni+1),
    _xlpm.dia, INDEX(Minimos!$A:$ZZ, _xlpm.fila, _xlpm.colIni+2),
    IF(OR(_xlpm.anio="",_xlpm.dia=""), "", DATE(_xlpm.anio, _xlpm.mesNum, _xlpm.dia))
  ),
"")</f>
        <v>33145</v>
      </c>
      <c r="AW177" s="92" t="str">
        <f t="shared" si="15"/>
        <v>NA</v>
      </c>
    </row>
    <row r="178" spans="1:49" ht="14.25" customHeight="1" x14ac:dyDescent="0.2">
      <c r="A178" s="48">
        <v>21245140</v>
      </c>
      <c r="B178" s="52" t="s">
        <v>366</v>
      </c>
      <c r="C178" s="52" t="s">
        <v>355</v>
      </c>
      <c r="D178" s="53">
        <v>-75.09445556</v>
      </c>
      <c r="E178" s="53">
        <v>4.7118611110000002</v>
      </c>
      <c r="F178" s="48">
        <v>2288</v>
      </c>
      <c r="G178" s="46">
        <v>73</v>
      </c>
      <c r="H178" s="46">
        <v>73686</v>
      </c>
      <c r="I178" s="55" t="s">
        <v>70</v>
      </c>
      <c r="J178" s="55" t="s">
        <v>366</v>
      </c>
      <c r="K178" s="51">
        <v>13.6</v>
      </c>
      <c r="L178" s="51">
        <v>12.4</v>
      </c>
      <c r="M178" s="51">
        <v>13.2</v>
      </c>
      <c r="N178" s="51">
        <v>12.6</v>
      </c>
      <c r="O178" s="51">
        <v>13.2</v>
      </c>
      <c r="P178" s="51">
        <v>13.8</v>
      </c>
      <c r="Q178" s="51">
        <v>13.8</v>
      </c>
      <c r="R178" s="51">
        <v>14</v>
      </c>
      <c r="S178" s="51">
        <v>14</v>
      </c>
      <c r="T178" s="51"/>
      <c r="U178" s="51">
        <v>13.4</v>
      </c>
      <c r="V178" s="51">
        <v>13.4</v>
      </c>
      <c r="W178" s="51">
        <v>13.6</v>
      </c>
      <c r="X178" s="51"/>
      <c r="Y178" s="51"/>
      <c r="Z178" s="111"/>
      <c r="AA178" s="51"/>
      <c r="AB178" s="51"/>
      <c r="AC178" s="51"/>
      <c r="AD178" s="51"/>
      <c r="AE178" s="51"/>
      <c r="AF178" s="51"/>
      <c r="AG178" s="51"/>
      <c r="AH178" s="51"/>
      <c r="AI178" s="51"/>
      <c r="AJ178" s="51"/>
      <c r="AK178" s="51"/>
      <c r="AL178" s="51"/>
      <c r="AM178" s="51"/>
      <c r="AN178" s="51"/>
      <c r="AO178" s="51"/>
      <c r="AP178" s="88">
        <f t="shared" si="11"/>
        <v>12</v>
      </c>
      <c r="AQ178" s="89" t="str">
        <f t="shared" si="12"/>
        <v/>
      </c>
      <c r="AR178" s="89" t="str">
        <f>IFERROR(VLOOKUP(A178,Climatologia!A:U,9+$E$2,FALSE),"")</f>
        <v/>
      </c>
      <c r="AS178" s="89" t="str">
        <f t="shared" si="13"/>
        <v/>
      </c>
      <c r="AT178" s="90">
        <f t="shared" si="14"/>
        <v>12.4</v>
      </c>
      <c r="AU178" s="90">
        <f t="array" ref="AU178">IFERROR(
  _xlfn.LET(
    _xlpm.mesTxt, INDEX({"ENERO","FEBRERO","MARZO","ABRIL","MAYO","JUNIO","JULIO","AGOSTO","SEPTIEMBRE","OCTUBRE","NOVIEMBRE","DICIEMBRE"}, E$2),
    _xlpm.colIni, MATCH(_xlpm.mesTxt, Minimos!$1:$1, 0),
    _xlpm.fila, MATCH($A178, Minimos!$A:$A, 0),
    _xlpm.val, INDEX(Minimos!$A:$ZZ, _xlpm.fila, _xlpm.colIni),
    IF(_xlpm.val="", "", _xlpm.val)
  ),
"")</f>
        <v>10.6</v>
      </c>
      <c r="AV178" s="91">
        <f t="array" ref="AV17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MATCH($A178, Minimos!$A:$A, 0),
    _xlpm.anio, INDEX(Minimos!$A:$ZZ, _xlpm.fila, _xlpm.colIni+1),
    _xlpm.dia, INDEX(Minimos!$A:$ZZ, _xlpm.fila, _xlpm.colIni+2),
    IF(OR(_xlpm.anio="",_xlpm.dia=""), "", DATE(_xlpm.anio, _xlpm.mesNum, _xlpm.dia))
  ),
"")</f>
        <v>30561</v>
      </c>
      <c r="AW178" s="92">
        <f t="shared" si="15"/>
        <v>1.8000000000000007</v>
      </c>
    </row>
    <row r="179" spans="1:49" ht="14.25" customHeight="1" x14ac:dyDescent="0.2">
      <c r="A179" s="48">
        <v>21255080</v>
      </c>
      <c r="B179" s="52" t="s">
        <v>367</v>
      </c>
      <c r="C179" s="52" t="s">
        <v>355</v>
      </c>
      <c r="D179" s="53">
        <v>-74.767944439999994</v>
      </c>
      <c r="E179" s="53">
        <v>4.7837779999999999</v>
      </c>
      <c r="F179" s="48">
        <v>308</v>
      </c>
      <c r="G179" s="46">
        <v>73</v>
      </c>
      <c r="H179" s="46">
        <v>73030</v>
      </c>
      <c r="I179" s="55" t="s">
        <v>70</v>
      </c>
      <c r="J179" s="55" t="s">
        <v>368</v>
      </c>
      <c r="K179" s="51">
        <v>26.4</v>
      </c>
      <c r="L179" s="51">
        <v>22.8</v>
      </c>
      <c r="M179" s="51"/>
      <c r="N179" s="51">
        <v>22.6</v>
      </c>
      <c r="O179" s="51">
        <v>25.6</v>
      </c>
      <c r="P179" s="51">
        <v>25</v>
      </c>
      <c r="Q179" s="51"/>
      <c r="R179" s="51">
        <v>25.8</v>
      </c>
      <c r="S179" s="51">
        <v>25.2</v>
      </c>
      <c r="T179" s="51">
        <v>25.6</v>
      </c>
      <c r="U179" s="51">
        <v>25.4</v>
      </c>
      <c r="V179" s="51">
        <v>25.4</v>
      </c>
      <c r="W179" s="51">
        <v>25.8</v>
      </c>
      <c r="X179" s="51"/>
      <c r="Y179" s="51"/>
      <c r="Z179" s="111"/>
      <c r="AA179" s="51"/>
      <c r="AB179" s="51"/>
      <c r="AC179" s="51"/>
      <c r="AD179" s="51"/>
      <c r="AE179" s="51"/>
      <c r="AF179" s="51"/>
      <c r="AG179" s="51"/>
      <c r="AH179" s="51"/>
      <c r="AI179" s="51"/>
      <c r="AJ179" s="51"/>
      <c r="AK179" s="51"/>
      <c r="AL179" s="51"/>
      <c r="AM179" s="51"/>
      <c r="AN179" s="51"/>
      <c r="AO179" s="51"/>
      <c r="AP179" s="88">
        <f t="shared" si="11"/>
        <v>11</v>
      </c>
      <c r="AQ179" s="89" t="str">
        <f t="shared" si="12"/>
        <v/>
      </c>
      <c r="AR179" s="89">
        <f>IFERROR(VLOOKUP(A179,Climatologia!A:U,9+$E$2,FALSE),"")</f>
        <v>22.952130860571948</v>
      </c>
      <c r="AS179" s="89" t="str">
        <f t="shared" si="13"/>
        <v/>
      </c>
      <c r="AT179" s="90">
        <f t="shared" si="14"/>
        <v>22.6</v>
      </c>
      <c r="AU179" s="90">
        <f t="array" ref="AU179">IFERROR(
  _xlfn.LET(
    _xlpm.mesTxt, INDEX({"ENERO","FEBRERO","MARZO","ABRIL","MAYO","JUNIO","JULIO","AGOSTO","SEPTIEMBRE","OCTUBRE","NOVIEMBRE","DICIEMBRE"}, E$2),
    _xlpm.colIni, MATCH(_xlpm.mesTxt, Minimos!$1:$1, 0),
    _xlpm.fila, MATCH($A179, Minimos!$A:$A, 0),
    _xlpm.val, INDEX(Minimos!$A:$ZZ, _xlpm.fila, _xlpm.colIni),
    IF(_xlpm.val="", "", _xlpm.val)
  ),
"")</f>
        <v>19</v>
      </c>
      <c r="AV179" s="91">
        <f t="array" ref="AV17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MATCH($A179, Minimos!$A:$A, 0),
    _xlpm.anio, INDEX(Minimos!$A:$ZZ, _xlpm.fila, _xlpm.colIni+1),
    _xlpm.dia, INDEX(Minimos!$A:$ZZ, _xlpm.fila, _xlpm.colIni+2),
    IF(OR(_xlpm.anio="",_xlpm.dia=""), "", DATE(_xlpm.anio, _xlpm.mesNum, _xlpm.dia))
  ),
"")</f>
        <v>30581</v>
      </c>
      <c r="AW179" s="92">
        <f t="shared" si="15"/>
        <v>3.6000000000000014</v>
      </c>
    </row>
    <row r="180" spans="1:49" ht="14.25" customHeight="1" x14ac:dyDescent="0.2">
      <c r="A180" s="48">
        <v>21255090</v>
      </c>
      <c r="B180" s="52" t="s">
        <v>369</v>
      </c>
      <c r="C180" s="52" t="s">
        <v>355</v>
      </c>
      <c r="D180" s="53">
        <v>-74.899991666999995</v>
      </c>
      <c r="E180" s="53">
        <v>5</v>
      </c>
      <c r="F180" s="48">
        <v>321</v>
      </c>
      <c r="G180" s="46">
        <v>73</v>
      </c>
      <c r="H180" s="46">
        <v>73055</v>
      </c>
      <c r="I180" s="55" t="s">
        <v>70</v>
      </c>
      <c r="J180" s="55" t="s">
        <v>370</v>
      </c>
      <c r="K180" s="51">
        <v>23.6</v>
      </c>
      <c r="L180" s="51">
        <v>21.8</v>
      </c>
      <c r="M180" s="51">
        <v>23.2</v>
      </c>
      <c r="N180" s="51">
        <v>23.8</v>
      </c>
      <c r="O180" s="51">
        <v>23.6</v>
      </c>
      <c r="P180" s="51">
        <v>22.2</v>
      </c>
      <c r="Q180" s="51">
        <v>23.4</v>
      </c>
      <c r="R180" s="51">
        <v>23.6</v>
      </c>
      <c r="S180" s="51">
        <v>22</v>
      </c>
      <c r="T180" s="51">
        <v>22.8</v>
      </c>
      <c r="U180" s="51">
        <v>23.8</v>
      </c>
      <c r="V180" s="51">
        <v>23.8</v>
      </c>
      <c r="W180" s="51">
        <v>24.2</v>
      </c>
      <c r="X180" s="51"/>
      <c r="Y180" s="51"/>
      <c r="Z180" s="111"/>
      <c r="AA180" s="51"/>
      <c r="AB180" s="51"/>
      <c r="AC180" s="51"/>
      <c r="AD180" s="51"/>
      <c r="AE180" s="51"/>
      <c r="AF180" s="51"/>
      <c r="AG180" s="51"/>
      <c r="AH180" s="51"/>
      <c r="AI180" s="51"/>
      <c r="AJ180" s="51"/>
      <c r="AK180" s="51"/>
      <c r="AL180" s="51"/>
      <c r="AM180" s="51"/>
      <c r="AN180" s="51"/>
      <c r="AO180" s="51"/>
      <c r="AP180" s="88">
        <f t="shared" si="11"/>
        <v>13</v>
      </c>
      <c r="AQ180" s="89" t="str">
        <f t="shared" si="12"/>
        <v/>
      </c>
      <c r="AR180" s="89">
        <f>IFERROR(VLOOKUP(A180,Climatologia!A:U,9+$E$2,FALSE),"")</f>
        <v>21.663136479048831</v>
      </c>
      <c r="AS180" s="89" t="str">
        <f t="shared" si="13"/>
        <v/>
      </c>
      <c r="AT180" s="90">
        <f t="shared" si="14"/>
        <v>21.8</v>
      </c>
      <c r="AU180" s="90">
        <f t="array" ref="AU180">IFERROR(
  _xlfn.LET(
    _xlpm.mesTxt, INDEX({"ENERO","FEBRERO","MARZO","ABRIL","MAYO","JUNIO","JULIO","AGOSTO","SEPTIEMBRE","OCTUBRE","NOVIEMBRE","DICIEMBRE"}, E$2),
    _xlpm.colIni, MATCH(_xlpm.mesTxt, Minimos!$1:$1, 0),
    _xlpm.fila, MATCH($A180, Minimos!$A:$A, 0),
    _xlpm.val, INDEX(Minimos!$A:$ZZ, _xlpm.fila, _xlpm.colIni),
    IF(_xlpm.val="", "", _xlpm.val)
  ),
"")</f>
        <v>16.2</v>
      </c>
      <c r="AV180" s="91">
        <f t="array" ref="AV18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MATCH($A180, Minimos!$A:$A, 0),
    _xlpm.anio, INDEX(Minimos!$A:$ZZ, _xlpm.fila, _xlpm.colIni+1),
    _xlpm.dia, INDEX(Minimos!$A:$ZZ, _xlpm.fila, _xlpm.colIni+2),
    IF(OR(_xlpm.anio="",_xlpm.dia=""), "", DATE(_xlpm.anio, _xlpm.mesNum, _xlpm.dia))
  ),
"")</f>
        <v>33850</v>
      </c>
      <c r="AW180" s="92">
        <f t="shared" si="15"/>
        <v>5.6000000000000014</v>
      </c>
    </row>
    <row r="181" spans="1:49" ht="14.25" customHeight="1" x14ac:dyDescent="0.2">
      <c r="A181" s="48">
        <v>21255120</v>
      </c>
      <c r="B181" s="52" t="s">
        <v>371</v>
      </c>
      <c r="C181" s="52" t="s">
        <v>355</v>
      </c>
      <c r="D181" s="53">
        <v>-75.117336111</v>
      </c>
      <c r="E181" s="53">
        <v>5.0267619440000004</v>
      </c>
      <c r="F181" s="48">
        <v>2069</v>
      </c>
      <c r="G181" s="46">
        <v>73</v>
      </c>
      <c r="H181" s="46">
        <v>73870</v>
      </c>
      <c r="I181" s="55" t="s">
        <v>70</v>
      </c>
      <c r="J181" s="55" t="s">
        <v>371</v>
      </c>
      <c r="K181" s="51">
        <v>12.6</v>
      </c>
      <c r="L181" s="51">
        <v>13.2</v>
      </c>
      <c r="M181" s="51">
        <v>13</v>
      </c>
      <c r="N181" s="51">
        <v>13.4</v>
      </c>
      <c r="O181" s="51">
        <v>13.2</v>
      </c>
      <c r="P181" s="51">
        <v>13</v>
      </c>
      <c r="Q181" s="51">
        <v>14.6</v>
      </c>
      <c r="R181" s="51">
        <v>13.8</v>
      </c>
      <c r="S181" s="51">
        <v>13</v>
      </c>
      <c r="T181" s="51">
        <v>13.8</v>
      </c>
      <c r="U181" s="51">
        <v>13.4</v>
      </c>
      <c r="V181" s="51">
        <v>13</v>
      </c>
      <c r="W181" s="51">
        <v>13.2</v>
      </c>
      <c r="X181" s="51"/>
      <c r="Y181" s="51"/>
      <c r="Z181" s="111"/>
      <c r="AA181" s="51"/>
      <c r="AB181" s="51"/>
      <c r="AC181" s="51"/>
      <c r="AD181" s="51"/>
      <c r="AE181" s="51"/>
      <c r="AF181" s="51"/>
      <c r="AG181" s="51"/>
      <c r="AH181" s="51"/>
      <c r="AI181" s="51"/>
      <c r="AJ181" s="51"/>
      <c r="AK181" s="51"/>
      <c r="AL181" s="51"/>
      <c r="AM181" s="51"/>
      <c r="AN181" s="51"/>
      <c r="AO181" s="51"/>
      <c r="AP181" s="88">
        <f t="shared" si="11"/>
        <v>13</v>
      </c>
      <c r="AQ181" s="89" t="str">
        <f t="shared" si="12"/>
        <v/>
      </c>
      <c r="AR181" s="89">
        <f>IFERROR(VLOOKUP(A181,Climatologia!A:U,9+$E$2,FALSE),"")</f>
        <v>14.28702791461412</v>
      </c>
      <c r="AS181" s="89" t="str">
        <f t="shared" si="13"/>
        <v/>
      </c>
      <c r="AT181" s="90">
        <f t="shared" si="14"/>
        <v>12.6</v>
      </c>
      <c r="AU181" s="90">
        <f t="array" ref="AU181">IFERROR(
  _xlfn.LET(
    _xlpm.mesTxt, INDEX({"ENERO","FEBRERO","MARZO","ABRIL","MAYO","JUNIO","JULIO","AGOSTO","SEPTIEMBRE","OCTUBRE","NOVIEMBRE","DICIEMBRE"}, E$2),
    _xlpm.colIni, MATCH(_xlpm.mesTxt, Minimos!$1:$1, 0),
    _xlpm.fila, MATCH($A181, Minimos!$A:$A, 0),
    _xlpm.val, INDEX(Minimos!$A:$ZZ, _xlpm.fila, _xlpm.colIni),
    IF(_xlpm.val="", "", _xlpm.val)
  ),
"")</f>
        <v>11</v>
      </c>
      <c r="AV181" s="91">
        <f t="array" ref="AV18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MATCH($A181, Minimos!$A:$A, 0),
    _xlpm.anio, INDEX(Minimos!$A:$ZZ, _xlpm.fila, _xlpm.colIni+1),
    _xlpm.dia, INDEX(Minimos!$A:$ZZ, _xlpm.fila, _xlpm.colIni+2),
    IF(OR(_xlpm.anio="",_xlpm.dia=""), "", DATE(_xlpm.anio, _xlpm.mesNum, _xlpm.dia))
  ),
"")</f>
        <v>29841</v>
      </c>
      <c r="AW181" s="92">
        <f t="shared" si="15"/>
        <v>1.5999999999999996</v>
      </c>
    </row>
    <row r="182" spans="1:49" ht="14.25" customHeight="1" x14ac:dyDescent="0.2">
      <c r="A182" s="48">
        <v>22045010</v>
      </c>
      <c r="B182" s="52" t="s">
        <v>372</v>
      </c>
      <c r="C182" s="52" t="s">
        <v>355</v>
      </c>
      <c r="D182" s="53">
        <v>-75.503444439999996</v>
      </c>
      <c r="E182" s="53">
        <v>3.7224444440000002</v>
      </c>
      <c r="F182" s="48">
        <v>895</v>
      </c>
      <c r="G182" s="46">
        <v>73</v>
      </c>
      <c r="H182" s="46">
        <v>73168</v>
      </c>
      <c r="I182" s="55" t="s">
        <v>70</v>
      </c>
      <c r="J182" s="55" t="s">
        <v>373</v>
      </c>
      <c r="K182" s="51">
        <v>18.8</v>
      </c>
      <c r="L182" s="51">
        <v>19.600000000000001</v>
      </c>
      <c r="M182" s="51">
        <v>17.2</v>
      </c>
      <c r="N182" s="51">
        <v>19.2</v>
      </c>
      <c r="O182" s="51">
        <v>19.600000000000001</v>
      </c>
      <c r="P182" s="51">
        <v>19</v>
      </c>
      <c r="Q182" s="51">
        <v>18.600000000000001</v>
      </c>
      <c r="R182" s="51">
        <v>18.2</v>
      </c>
      <c r="S182" s="51">
        <v>18.2</v>
      </c>
      <c r="T182" s="51">
        <v>19.2</v>
      </c>
      <c r="U182" s="51">
        <v>18.2</v>
      </c>
      <c r="V182" s="51">
        <v>18.600000000000001</v>
      </c>
      <c r="W182" s="51">
        <v>19.2</v>
      </c>
      <c r="X182" s="51"/>
      <c r="Y182" s="51"/>
      <c r="Z182" s="111"/>
      <c r="AA182" s="51"/>
      <c r="AB182" s="51"/>
      <c r="AC182" s="51"/>
      <c r="AD182" s="51"/>
      <c r="AE182" s="51"/>
      <c r="AF182" s="51"/>
      <c r="AG182" s="51"/>
      <c r="AH182" s="51"/>
      <c r="AI182" s="51"/>
      <c r="AJ182" s="51"/>
      <c r="AK182" s="51"/>
      <c r="AL182" s="51"/>
      <c r="AM182" s="51"/>
      <c r="AN182" s="51"/>
      <c r="AO182" s="51"/>
      <c r="AP182" s="88">
        <f t="shared" si="11"/>
        <v>13</v>
      </c>
      <c r="AQ182" s="89" t="str">
        <f t="shared" si="12"/>
        <v/>
      </c>
      <c r="AR182" s="89">
        <f>IFERROR(VLOOKUP(A182,Climatologia!A:U,9+$E$2,FALSE),"")</f>
        <v>19.90422009459251</v>
      </c>
      <c r="AS182" s="89" t="str">
        <f t="shared" si="13"/>
        <v/>
      </c>
      <c r="AT182" s="90">
        <f t="shared" si="14"/>
        <v>17.2</v>
      </c>
      <c r="AU182" s="90">
        <f t="array" ref="AU182">IFERROR(
  _xlfn.LET(
    _xlpm.mesTxt, INDEX({"ENERO","FEBRERO","MARZO","ABRIL","MAYO","JUNIO","JULIO","AGOSTO","SEPTIEMBRE","OCTUBRE","NOVIEMBRE","DICIEMBRE"}, E$2),
    _xlpm.colIni, MATCH(_xlpm.mesTxt, Minimos!$1:$1, 0),
    _xlpm.fila, MATCH($A182, Minimos!$A:$A, 0),
    _xlpm.val, INDEX(Minimos!$A:$ZZ, _xlpm.fila, _xlpm.colIni),
    IF(_xlpm.val="", "", _xlpm.val)
  ),
"")</f>
        <v>16.8</v>
      </c>
      <c r="AV182" s="91">
        <f t="array" ref="AV18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MATCH($A182, Minimos!$A:$A, 0),
    _xlpm.anio, INDEX(Minimos!$A:$ZZ, _xlpm.fila, _xlpm.colIni+1),
    _xlpm.dia, INDEX(Minimos!$A:$ZZ, _xlpm.fila, _xlpm.colIni+2),
    IF(OR(_xlpm.anio="",_xlpm.dia=""), "", DATE(_xlpm.anio, _xlpm.mesNum, _xlpm.dia))
  ),
"")</f>
        <v>37882</v>
      </c>
      <c r="AW182" s="92">
        <f t="shared" si="15"/>
        <v>0.39999999999999858</v>
      </c>
    </row>
    <row r="183" spans="1:49" ht="14.25" customHeight="1" x14ac:dyDescent="0.2">
      <c r="A183" s="48">
        <v>22055020</v>
      </c>
      <c r="B183" s="52" t="s">
        <v>374</v>
      </c>
      <c r="C183" s="52" t="s">
        <v>355</v>
      </c>
      <c r="D183" s="53">
        <v>-75.536361110000001</v>
      </c>
      <c r="E183" s="53">
        <v>3.4557777779999999</v>
      </c>
      <c r="F183" s="48">
        <v>699</v>
      </c>
      <c r="G183" s="46">
        <v>73</v>
      </c>
      <c r="H183" s="46">
        <v>73067</v>
      </c>
      <c r="I183" s="55" t="s">
        <v>70</v>
      </c>
      <c r="J183" s="55" t="s">
        <v>375</v>
      </c>
      <c r="K183" s="51">
        <v>21.4</v>
      </c>
      <c r="L183" s="51">
        <v>22.6</v>
      </c>
      <c r="M183" s="51">
        <v>22.4</v>
      </c>
      <c r="N183" s="51">
        <v>22.8</v>
      </c>
      <c r="O183" s="51">
        <v>23.8</v>
      </c>
      <c r="P183" s="51">
        <v>23.4</v>
      </c>
      <c r="Q183" s="51">
        <v>23.8</v>
      </c>
      <c r="R183" s="51">
        <v>21.2</v>
      </c>
      <c r="S183" s="51">
        <v>22.4</v>
      </c>
      <c r="T183" s="51">
        <v>20.6</v>
      </c>
      <c r="U183" s="51">
        <v>22</v>
      </c>
      <c r="V183" s="51">
        <v>20.6</v>
      </c>
      <c r="W183" s="51">
        <v>22</v>
      </c>
      <c r="X183" s="51"/>
      <c r="Y183" s="51"/>
      <c r="Z183" s="111"/>
      <c r="AA183" s="51"/>
      <c r="AB183" s="51"/>
      <c r="AC183" s="51"/>
      <c r="AD183" s="51"/>
      <c r="AE183" s="51"/>
      <c r="AF183" s="51"/>
      <c r="AG183" s="51"/>
      <c r="AH183" s="51"/>
      <c r="AI183" s="51"/>
      <c r="AJ183" s="51"/>
      <c r="AK183" s="51"/>
      <c r="AL183" s="51"/>
      <c r="AM183" s="51"/>
      <c r="AN183" s="51"/>
      <c r="AO183" s="51"/>
      <c r="AP183" s="88">
        <f t="shared" si="11"/>
        <v>13</v>
      </c>
      <c r="AQ183" s="89" t="str">
        <f t="shared" si="12"/>
        <v/>
      </c>
      <c r="AR183" s="89">
        <f>IFERROR(VLOOKUP(A183,Climatologia!A:U,9+$E$2,FALSE),"")</f>
        <v>20.13286316365626</v>
      </c>
      <c r="AS183" s="89" t="str">
        <f t="shared" si="13"/>
        <v/>
      </c>
      <c r="AT183" s="90">
        <f t="shared" si="14"/>
        <v>20.6</v>
      </c>
      <c r="AU183" s="90">
        <f t="array" ref="AU183">IFERROR(
  _xlfn.LET(
    _xlpm.mesTxt, INDEX({"ENERO","FEBRERO","MARZO","ABRIL","MAYO","JUNIO","JULIO","AGOSTO","SEPTIEMBRE","OCTUBRE","NOVIEMBRE","DICIEMBRE"}, E$2),
    _xlpm.colIni, MATCH(_xlpm.mesTxt, Minimos!$1:$1, 0),
    _xlpm.fila, MATCH($A183, Minimos!$A:$A, 0),
    _xlpm.val, INDEX(Minimos!$A:$ZZ, _xlpm.fila, _xlpm.colIni),
    IF(_xlpm.val="", "", _xlpm.val)
  ),
"")</f>
        <v>16</v>
      </c>
      <c r="AV183" s="91">
        <f t="array" ref="AV18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MATCH($A183, Minimos!$A:$A, 0),
    _xlpm.anio, INDEX(Minimos!$A:$ZZ, _xlpm.fila, _xlpm.colIni+1),
    _xlpm.dia, INDEX(Minimos!$A:$ZZ, _xlpm.fila, _xlpm.colIni+2),
    IF(OR(_xlpm.anio="",_xlpm.dia=""), "", DATE(_xlpm.anio, _xlpm.mesNum, _xlpm.dia))
  ),
"")</f>
        <v>41538</v>
      </c>
      <c r="AW183" s="92">
        <f t="shared" si="15"/>
        <v>4.6000000000000014</v>
      </c>
    </row>
    <row r="184" spans="1:49" ht="14.25" customHeight="1" x14ac:dyDescent="0.2">
      <c r="A184" s="48">
        <v>22065040</v>
      </c>
      <c r="B184" s="52" t="s">
        <v>376</v>
      </c>
      <c r="C184" s="52" t="s">
        <v>355</v>
      </c>
      <c r="D184" s="53">
        <v>-75.467749999999995</v>
      </c>
      <c r="E184" s="53">
        <v>3.9211999999999998</v>
      </c>
      <c r="F184" s="48">
        <v>1566</v>
      </c>
      <c r="G184" s="46">
        <v>73</v>
      </c>
      <c r="H184" s="46">
        <v>73675</v>
      </c>
      <c r="I184" s="55" t="s">
        <v>70</v>
      </c>
      <c r="J184" s="55" t="s">
        <v>377</v>
      </c>
      <c r="K184" s="51">
        <v>17.2</v>
      </c>
      <c r="L184" s="51">
        <v>17</v>
      </c>
      <c r="M184" s="51">
        <v>16</v>
      </c>
      <c r="N184" s="51">
        <v>15.8</v>
      </c>
      <c r="O184" s="51">
        <v>17.600000000000001</v>
      </c>
      <c r="P184" s="51">
        <v>16.399999999999999</v>
      </c>
      <c r="Q184" s="51">
        <v>15.8</v>
      </c>
      <c r="R184" s="51">
        <v>15.2</v>
      </c>
      <c r="S184" s="51">
        <v>16.600000000000001</v>
      </c>
      <c r="T184" s="51">
        <v>15.4</v>
      </c>
      <c r="U184" s="51">
        <v>16.399999999999999</v>
      </c>
      <c r="V184" s="51">
        <v>15.6</v>
      </c>
      <c r="W184" s="51">
        <v>17.8</v>
      </c>
      <c r="X184" s="51"/>
      <c r="Y184" s="51"/>
      <c r="Z184" s="111"/>
      <c r="AA184" s="51"/>
      <c r="AB184" s="51"/>
      <c r="AC184" s="51"/>
      <c r="AD184" s="51"/>
      <c r="AE184" s="51"/>
      <c r="AF184" s="51"/>
      <c r="AG184" s="51"/>
      <c r="AH184" s="51"/>
      <c r="AI184" s="51"/>
      <c r="AJ184" s="51"/>
      <c r="AK184" s="51"/>
      <c r="AL184" s="51"/>
      <c r="AM184" s="51"/>
      <c r="AN184" s="51"/>
      <c r="AO184" s="51"/>
      <c r="AP184" s="88">
        <f t="shared" si="11"/>
        <v>13</v>
      </c>
      <c r="AQ184" s="89" t="str">
        <f t="shared" si="12"/>
        <v/>
      </c>
      <c r="AR184" s="89">
        <f>IFERROR(VLOOKUP(A184,Climatologia!A:U,9+$E$2,FALSE),"")</f>
        <v>16.92344442575952</v>
      </c>
      <c r="AS184" s="89" t="str">
        <f t="shared" si="13"/>
        <v/>
      </c>
      <c r="AT184" s="90">
        <f t="shared" si="14"/>
        <v>15.2</v>
      </c>
      <c r="AU184" s="90">
        <f t="array" ref="AU184">IFERROR(
  _xlfn.LET(
    _xlpm.mesTxt, INDEX({"ENERO","FEBRERO","MARZO","ABRIL","MAYO","JUNIO","JULIO","AGOSTO","SEPTIEMBRE","OCTUBRE","NOVIEMBRE","DICIEMBRE"}, E$2),
    _xlpm.colIni, MATCH(_xlpm.mesTxt, Minimos!$1:$1, 0),
    _xlpm.fila, MATCH($A184, Minimos!$A:$A, 0),
    _xlpm.val, INDEX(Minimos!$A:$ZZ, _xlpm.fila, _xlpm.colIni),
    IF(_xlpm.val="", "", _xlpm.val)
  ),
"")</f>
        <v>12</v>
      </c>
      <c r="AV184" s="91">
        <f t="array" ref="AV18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MATCH($A184, Minimos!$A:$A, 0),
    _xlpm.anio, INDEX(Minimos!$A:$ZZ, _xlpm.fila, _xlpm.colIni+1),
    _xlpm.dia, INDEX(Minimos!$A:$ZZ, _xlpm.fila, _xlpm.colIni+2),
    IF(OR(_xlpm.anio="",_xlpm.dia=""), "", DATE(_xlpm.anio, _xlpm.mesNum, _xlpm.dia))
  ),
"")</f>
        <v>31315</v>
      </c>
      <c r="AW184" s="92">
        <f t="shared" si="15"/>
        <v>3.1999999999999993</v>
      </c>
    </row>
    <row r="185" spans="1:49" ht="14.25" customHeight="1" x14ac:dyDescent="0.2">
      <c r="A185" s="48">
        <v>23025040</v>
      </c>
      <c r="B185" s="52" t="s">
        <v>311</v>
      </c>
      <c r="C185" s="52" t="s">
        <v>355</v>
      </c>
      <c r="D185" s="53">
        <v>-74.914580556000004</v>
      </c>
      <c r="E185" s="53">
        <v>5.301108889</v>
      </c>
      <c r="F185" s="48">
        <v>788</v>
      </c>
      <c r="G185" s="46">
        <v>73</v>
      </c>
      <c r="H185" s="46">
        <v>73443</v>
      </c>
      <c r="I185" s="55" t="s">
        <v>70</v>
      </c>
      <c r="J185" s="55" t="s">
        <v>378</v>
      </c>
      <c r="K185" s="51">
        <v>21.8</v>
      </c>
      <c r="L185" s="51">
        <v>20.6</v>
      </c>
      <c r="M185" s="51">
        <v>20.399999999999999</v>
      </c>
      <c r="N185" s="51">
        <v>21.6</v>
      </c>
      <c r="O185" s="51"/>
      <c r="P185" s="51">
        <v>23</v>
      </c>
      <c r="Q185" s="51">
        <v>21.6</v>
      </c>
      <c r="R185" s="51">
        <v>22</v>
      </c>
      <c r="S185" s="51">
        <v>22.8</v>
      </c>
      <c r="T185" s="51">
        <v>23.4</v>
      </c>
      <c r="U185" s="51">
        <v>22.4</v>
      </c>
      <c r="V185" s="51">
        <v>21.6</v>
      </c>
      <c r="W185" s="51">
        <v>23</v>
      </c>
      <c r="X185" s="51"/>
      <c r="Y185" s="51"/>
      <c r="Z185" s="111"/>
      <c r="AA185" s="51"/>
      <c r="AB185" s="51"/>
      <c r="AC185" s="51"/>
      <c r="AD185" s="51"/>
      <c r="AE185" s="51"/>
      <c r="AF185" s="51"/>
      <c r="AG185" s="51"/>
      <c r="AH185" s="51"/>
      <c r="AI185" s="51"/>
      <c r="AJ185" s="51"/>
      <c r="AK185" s="51"/>
      <c r="AL185" s="51"/>
      <c r="AM185" s="51"/>
      <c r="AN185" s="51"/>
      <c r="AO185" s="51"/>
      <c r="AP185" s="88">
        <f t="shared" si="11"/>
        <v>12</v>
      </c>
      <c r="AQ185" s="89" t="str">
        <f t="shared" si="12"/>
        <v/>
      </c>
      <c r="AR185" s="89">
        <f>IFERROR(VLOOKUP(A185,Climatologia!A:U,9+$E$2,FALSE),"")</f>
        <v>20.23041991214405</v>
      </c>
      <c r="AS185" s="89" t="str">
        <f t="shared" si="13"/>
        <v/>
      </c>
      <c r="AT185" s="90">
        <f t="shared" si="14"/>
        <v>20.399999999999999</v>
      </c>
      <c r="AU185" s="90">
        <f t="array" ref="AU185">IFERROR(
  _xlfn.LET(
    _xlpm.mesTxt, INDEX({"ENERO","FEBRERO","MARZO","ABRIL","MAYO","JUNIO","JULIO","AGOSTO","SEPTIEMBRE","OCTUBRE","NOVIEMBRE","DICIEMBRE"}, E$2),
    _xlpm.colIni, MATCH(_xlpm.mesTxt, Minimos!$1:$1, 0),
    _xlpm.fila, MATCH($A185, Minimos!$A:$A, 0),
    _xlpm.val, INDEX(Minimos!$A:$ZZ, _xlpm.fila, _xlpm.colIni),
    IF(_xlpm.val="", "", _xlpm.val)
  ),
"")</f>
        <v>17</v>
      </c>
      <c r="AV185" s="91">
        <f t="array" ref="AV18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MATCH($A185, Minimos!$A:$A, 0),
    _xlpm.anio, INDEX(Minimos!$A:$ZZ, _xlpm.fila, _xlpm.colIni+1),
    _xlpm.dia, INDEX(Minimos!$A:$ZZ, _xlpm.fila, _xlpm.colIni+2),
    IF(OR(_xlpm.anio="",_xlpm.dia=""), "", DATE(_xlpm.anio, _xlpm.mesNum, _xlpm.dia))
  ),
"")</f>
        <v>33500</v>
      </c>
      <c r="AW185" s="92">
        <f t="shared" si="15"/>
        <v>3.3999999999999986</v>
      </c>
    </row>
    <row r="186" spans="1:49" ht="14.25" customHeight="1" x14ac:dyDescent="0.2">
      <c r="A186" s="48">
        <v>23055040</v>
      </c>
      <c r="B186" s="52" t="s">
        <v>379</v>
      </c>
      <c r="C186" s="52" t="s">
        <v>355</v>
      </c>
      <c r="D186" s="53">
        <v>-74.992927777999995</v>
      </c>
      <c r="E186" s="53">
        <v>5.4182880559999997</v>
      </c>
      <c r="F186" s="48">
        <v>1532</v>
      </c>
      <c r="G186" s="46">
        <v>17</v>
      </c>
      <c r="H186" s="46">
        <v>17662</v>
      </c>
      <c r="I186" s="55" t="s">
        <v>116</v>
      </c>
      <c r="J186" s="55" t="s">
        <v>380</v>
      </c>
      <c r="K186" s="51">
        <v>17.399999999999999</v>
      </c>
      <c r="L186" s="51">
        <v>16.2</v>
      </c>
      <c r="M186" s="51">
        <v>16.2</v>
      </c>
      <c r="N186" s="51">
        <v>18</v>
      </c>
      <c r="O186" s="51">
        <v>18.2</v>
      </c>
      <c r="P186" s="51">
        <v>19.2</v>
      </c>
      <c r="Q186" s="51">
        <v>17.399999999999999</v>
      </c>
      <c r="R186" s="51">
        <v>18.399999999999999</v>
      </c>
      <c r="S186" s="51">
        <v>18</v>
      </c>
      <c r="T186" s="51">
        <v>19</v>
      </c>
      <c r="U186" s="51">
        <v>17.399999999999999</v>
      </c>
      <c r="V186" s="51">
        <v>17.600000000000001</v>
      </c>
      <c r="W186" s="51">
        <v>19.399999999999999</v>
      </c>
      <c r="X186" s="51"/>
      <c r="Y186" s="51"/>
      <c r="Z186" s="111"/>
      <c r="AA186" s="51"/>
      <c r="AB186" s="51"/>
      <c r="AC186" s="51"/>
      <c r="AD186" s="51"/>
      <c r="AE186" s="51"/>
      <c r="AF186" s="51"/>
      <c r="AG186" s="51"/>
      <c r="AH186" s="51"/>
      <c r="AI186" s="51"/>
      <c r="AJ186" s="51"/>
      <c r="AK186" s="51"/>
      <c r="AL186" s="51"/>
      <c r="AM186" s="51"/>
      <c r="AN186" s="51"/>
      <c r="AO186" s="51"/>
      <c r="AP186" s="88">
        <f t="shared" si="11"/>
        <v>13</v>
      </c>
      <c r="AQ186" s="89" t="str">
        <f t="shared" si="12"/>
        <v/>
      </c>
      <c r="AR186" s="89">
        <f>IFERROR(VLOOKUP(A186,Climatologia!A:U,9+$E$2,FALSE),"")</f>
        <v>16.7940049395581</v>
      </c>
      <c r="AS186" s="89" t="str">
        <f t="shared" si="13"/>
        <v/>
      </c>
      <c r="AT186" s="90">
        <f t="shared" si="14"/>
        <v>16.2</v>
      </c>
      <c r="AU186" s="90">
        <f t="array" ref="AU186">IFERROR(
  _xlfn.LET(
    _xlpm.mesTxt, INDEX({"ENERO","FEBRERO","MARZO","ABRIL","MAYO","JUNIO","JULIO","AGOSTO","SEPTIEMBRE","OCTUBRE","NOVIEMBRE","DICIEMBRE"}, E$2),
    _xlpm.colIni, MATCH(_xlpm.mesTxt, Minimos!$1:$1, 0),
    _xlpm.fila, MATCH($A186, Minimos!$A:$A, 0),
    _xlpm.val, INDEX(Minimos!$A:$ZZ, _xlpm.fila, _xlpm.colIni),
    IF(_xlpm.val="", "", _xlpm.val)
  ),
"")</f>
        <v>14</v>
      </c>
      <c r="AV186" s="91">
        <f t="array" ref="AV18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MATCH($A186, Minimos!$A:$A, 0),
    _xlpm.anio, INDEX(Minimos!$A:$ZZ, _xlpm.fila, _xlpm.colIni+1),
    _xlpm.dia, INDEX(Minimos!$A:$ZZ, _xlpm.fila, _xlpm.colIni+2),
    IF(OR(_xlpm.anio="",_xlpm.dia=""), "", DATE(_xlpm.anio, _xlpm.mesNum, _xlpm.dia))
  ),
"")</f>
        <v>30207</v>
      </c>
      <c r="AW186" s="92">
        <f t="shared" si="15"/>
        <v>2.1999999999999993</v>
      </c>
    </row>
    <row r="187" spans="1:49" ht="14.25" customHeight="1" x14ac:dyDescent="0.2">
      <c r="A187" s="48">
        <v>21195060</v>
      </c>
      <c r="B187" s="52" t="s">
        <v>381</v>
      </c>
      <c r="C187" s="52" t="s">
        <v>382</v>
      </c>
      <c r="D187" s="93">
        <v>-74.487416670000002</v>
      </c>
      <c r="E187" s="93">
        <v>4.1927222220000004</v>
      </c>
      <c r="F187" s="48">
        <v>950</v>
      </c>
      <c r="G187" s="46">
        <v>25</v>
      </c>
      <c r="H187" s="46">
        <v>25524</v>
      </c>
      <c r="I187" s="55" t="s">
        <v>73</v>
      </c>
      <c r="J187" s="55" t="s">
        <v>381</v>
      </c>
      <c r="K187" s="51">
        <v>23.2</v>
      </c>
      <c r="L187" s="51">
        <v>20.8</v>
      </c>
      <c r="M187" s="51">
        <v>20.399999999999999</v>
      </c>
      <c r="N187" s="51">
        <v>20.8</v>
      </c>
      <c r="O187" s="51">
        <v>23.2</v>
      </c>
      <c r="P187" s="51">
        <v>22.6</v>
      </c>
      <c r="Q187" s="51">
        <v>22.8</v>
      </c>
      <c r="R187" s="51">
        <v>23.2</v>
      </c>
      <c r="S187" s="51">
        <v>22.8</v>
      </c>
      <c r="T187" s="51">
        <v>22.6</v>
      </c>
      <c r="U187" s="51">
        <v>23.2</v>
      </c>
      <c r="V187" s="51">
        <v>22.2</v>
      </c>
      <c r="W187" s="51">
        <v>23.2</v>
      </c>
      <c r="X187" s="51"/>
      <c r="Y187" s="51"/>
      <c r="Z187" s="111"/>
      <c r="AA187" s="51"/>
      <c r="AB187" s="51"/>
      <c r="AC187" s="51"/>
      <c r="AD187" s="51"/>
      <c r="AE187" s="51"/>
      <c r="AF187" s="51"/>
      <c r="AG187" s="51"/>
      <c r="AH187" s="51"/>
      <c r="AI187" s="51"/>
      <c r="AJ187" s="51"/>
      <c r="AK187" s="51"/>
      <c r="AL187" s="51"/>
      <c r="AM187" s="51"/>
      <c r="AN187" s="51"/>
      <c r="AO187" s="51"/>
      <c r="AP187" s="88">
        <f t="shared" si="11"/>
        <v>13</v>
      </c>
      <c r="AQ187" s="89" t="str">
        <f t="shared" si="12"/>
        <v/>
      </c>
      <c r="AR187" s="89">
        <f>IFERROR(VLOOKUP(A187,Climatologia!A:U,9+$E$2,FALSE),"")</f>
        <v>20.381504495550061</v>
      </c>
      <c r="AS187" s="89" t="str">
        <f t="shared" si="13"/>
        <v/>
      </c>
      <c r="AT187" s="90">
        <f t="shared" si="14"/>
        <v>20.399999999999999</v>
      </c>
      <c r="AU187" s="90">
        <f t="array" ref="AU187">IFERROR(
  _xlfn.LET(
    _xlpm.mesTxt, INDEX({"ENERO","FEBRERO","MARZO","ABRIL","MAYO","JUNIO","JULIO","AGOSTO","SEPTIEMBRE","OCTUBRE","NOVIEMBRE","DICIEMBRE"}, E$2),
    _xlpm.colIni, MATCH(_xlpm.mesTxt, Minimos!$1:$1, 0),
    _xlpm.fila, MATCH($A187, Minimos!$A:$A, 0),
    _xlpm.val, INDEX(Minimos!$A:$ZZ, _xlpm.fila, _xlpm.colIni),
    IF(_xlpm.val="", "", _xlpm.val)
  ),
"")</f>
        <v>14.8</v>
      </c>
      <c r="AV187" s="91">
        <f t="array" ref="AV18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MATCH($A187, Minimos!$A:$A, 0),
    _xlpm.anio, INDEX(Minimos!$A:$ZZ, _xlpm.fila, _xlpm.colIni+1),
    _xlpm.dia, INDEX(Minimos!$A:$ZZ, _xlpm.fila, _xlpm.colIni+2),
    IF(OR(_xlpm.anio="",_xlpm.dia=""), "", DATE(_xlpm.anio, _xlpm.mesNum, _xlpm.dia))
  ),
"")</f>
        <v>45543</v>
      </c>
      <c r="AW187" s="92">
        <f t="shared" si="15"/>
        <v>5.5999999999999979</v>
      </c>
    </row>
    <row r="188" spans="1:49" ht="14.25" customHeight="1" x14ac:dyDescent="0.2">
      <c r="A188" s="48">
        <v>21195120</v>
      </c>
      <c r="B188" s="52" t="s">
        <v>383</v>
      </c>
      <c r="C188" s="52" t="s">
        <v>382</v>
      </c>
      <c r="D188" s="53">
        <v>-74.392719999999997</v>
      </c>
      <c r="E188" s="53">
        <v>4.3929200000000002</v>
      </c>
      <c r="F188" s="48">
        <v>1421</v>
      </c>
      <c r="G188" s="46">
        <v>25</v>
      </c>
      <c r="H188" s="46">
        <v>25743</v>
      </c>
      <c r="I188" s="55" t="s">
        <v>73</v>
      </c>
      <c r="J188" s="55" t="s">
        <v>384</v>
      </c>
      <c r="K188" s="51">
        <v>19.399999999999999</v>
      </c>
      <c r="L188" s="51">
        <v>17.8</v>
      </c>
      <c r="M188" s="51">
        <v>18.399999999999999</v>
      </c>
      <c r="N188" s="51">
        <v>17.8</v>
      </c>
      <c r="O188" s="51">
        <v>18.8</v>
      </c>
      <c r="P188" s="51">
        <v>18.399999999999999</v>
      </c>
      <c r="Q188" s="51">
        <v>18.8</v>
      </c>
      <c r="R188" s="51">
        <v>19.399999999999999</v>
      </c>
      <c r="S188" s="51">
        <v>18.600000000000001</v>
      </c>
      <c r="T188" s="51">
        <v>19.2</v>
      </c>
      <c r="U188" s="51">
        <v>18.8</v>
      </c>
      <c r="V188" s="51">
        <v>18.399999999999999</v>
      </c>
      <c r="W188" s="51">
        <v>18.600000000000001</v>
      </c>
      <c r="X188" s="51"/>
      <c r="Y188" s="51"/>
      <c r="Z188" s="111"/>
      <c r="AA188" s="51"/>
      <c r="AB188" s="51"/>
      <c r="AC188" s="51"/>
      <c r="AD188" s="51"/>
      <c r="AE188" s="51"/>
      <c r="AF188" s="51"/>
      <c r="AG188" s="51"/>
      <c r="AH188" s="51"/>
      <c r="AI188" s="51"/>
      <c r="AJ188" s="51"/>
      <c r="AK188" s="51"/>
      <c r="AL188" s="51"/>
      <c r="AM188" s="51"/>
      <c r="AN188" s="51"/>
      <c r="AO188" s="51"/>
      <c r="AP188" s="88">
        <f t="shared" si="11"/>
        <v>13</v>
      </c>
      <c r="AQ188" s="89" t="str">
        <f t="shared" si="12"/>
        <v/>
      </c>
      <c r="AR188" s="89">
        <f>IFERROR(VLOOKUP(A188,Climatologia!A:U,9+$E$2,FALSE),"")</f>
        <v>15.6368235879347</v>
      </c>
      <c r="AS188" s="89" t="str">
        <f t="shared" si="13"/>
        <v/>
      </c>
      <c r="AT188" s="90">
        <f t="shared" si="14"/>
        <v>17.8</v>
      </c>
      <c r="AU188" s="90">
        <f t="array" ref="AU188">IFERROR(
  _xlfn.LET(
    _xlpm.mesTxt, INDEX({"ENERO","FEBRERO","MARZO","ABRIL","MAYO","JUNIO","JULIO","AGOSTO","SEPTIEMBRE","OCTUBRE","NOVIEMBRE","DICIEMBRE"}, E$2),
    _xlpm.colIni, MATCH(_xlpm.mesTxt, Minimos!$1:$1, 0),
    _xlpm.fila, MATCH($A188, Minimos!$A:$A, 0),
    _xlpm.val, INDEX(Minimos!$A:$ZZ, _xlpm.fila, _xlpm.colIni),
    IF(_xlpm.val="", "", _xlpm.val)
  ),
"")</f>
        <v>11.2</v>
      </c>
      <c r="AV188" s="91">
        <f t="array" ref="AV18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MATCH($A188, Minimos!$A:$A, 0),
    _xlpm.anio, INDEX(Minimos!$A:$ZZ, _xlpm.fila, _xlpm.colIni+1),
    _xlpm.dia, INDEX(Minimos!$A:$ZZ, _xlpm.fila, _xlpm.colIni+2),
    IF(OR(_xlpm.anio="",_xlpm.dia=""), "", DATE(_xlpm.anio, _xlpm.mesNum, _xlpm.dia))
  ),
"")</f>
        <v>39326</v>
      </c>
      <c r="AW188" s="92">
        <f t="shared" si="15"/>
        <v>6.6000000000000014</v>
      </c>
    </row>
    <row r="189" spans="1:49" ht="14.25" customHeight="1" x14ac:dyDescent="0.2">
      <c r="A189" s="48">
        <v>21195190</v>
      </c>
      <c r="B189" s="52" t="s">
        <v>385</v>
      </c>
      <c r="C189" s="52" t="s">
        <v>382</v>
      </c>
      <c r="D189" s="53">
        <v>-74.308398999999994</v>
      </c>
      <c r="E189" s="53">
        <v>4.3071890000000002</v>
      </c>
      <c r="F189" s="48">
        <v>2187</v>
      </c>
      <c r="G189" s="46">
        <v>25</v>
      </c>
      <c r="H189" s="46">
        <v>25535</v>
      </c>
      <c r="I189" s="55" t="s">
        <v>73</v>
      </c>
      <c r="J189" s="55" t="s">
        <v>385</v>
      </c>
      <c r="K189" s="51">
        <v>13.6</v>
      </c>
      <c r="L189" s="51">
        <v>13.8</v>
      </c>
      <c r="M189" s="51">
        <v>14.8</v>
      </c>
      <c r="N189" s="51">
        <v>13.4</v>
      </c>
      <c r="O189" s="51">
        <v>13.6</v>
      </c>
      <c r="P189" s="51">
        <v>14</v>
      </c>
      <c r="Q189" s="51">
        <v>13.2</v>
      </c>
      <c r="R189" s="51">
        <v>12.8</v>
      </c>
      <c r="S189" s="51">
        <v>14.2</v>
      </c>
      <c r="T189" s="51">
        <v>12.8</v>
      </c>
      <c r="U189" s="51">
        <v>13</v>
      </c>
      <c r="V189" s="51">
        <v>12.6</v>
      </c>
      <c r="W189" s="51">
        <v>14.4</v>
      </c>
      <c r="X189" s="51"/>
      <c r="Y189" s="51"/>
      <c r="Z189" s="111"/>
      <c r="AA189" s="51"/>
      <c r="AB189" s="51"/>
      <c r="AC189" s="51"/>
      <c r="AD189" s="51"/>
      <c r="AE189" s="51"/>
      <c r="AF189" s="51"/>
      <c r="AG189" s="51"/>
      <c r="AH189" s="51"/>
      <c r="AI189" s="51"/>
      <c r="AJ189" s="51"/>
      <c r="AK189" s="51"/>
      <c r="AL189" s="51"/>
      <c r="AM189" s="51"/>
      <c r="AN189" s="51"/>
      <c r="AO189" s="51"/>
      <c r="AP189" s="88">
        <f t="shared" si="11"/>
        <v>13</v>
      </c>
      <c r="AQ189" s="89" t="str">
        <f t="shared" si="12"/>
        <v/>
      </c>
      <c r="AR189" s="89">
        <f>IFERROR(VLOOKUP(A189,Climatologia!A:U,9+$E$2,FALSE),"")</f>
        <v>11.04110301039956</v>
      </c>
      <c r="AS189" s="89" t="str">
        <f t="shared" si="13"/>
        <v/>
      </c>
      <c r="AT189" s="90">
        <f t="shared" si="14"/>
        <v>12.6</v>
      </c>
      <c r="AU189" s="90" t="str">
        <f t="array" ref="AU189">IFERROR(
  _xlfn.LET(
    _xlpm.mesTxt, INDEX({"ENERO","FEBRERO","MARZO","ABRIL","MAYO","JUNIO","JULIO","AGOSTO","SEPTIEMBRE","OCTUBRE","NOVIEMBRE","DICIEMBRE"}, E$2),
    _xlpm.colIni, MATCH(_xlpm.mesTxt, Minimos!$1:$1, 0),
    _xlpm.fila, MATCH($A189, Minimos!$A:$A, 0),
    _xlpm.val, INDEX(Minimos!$A:$ZZ, _xlpm.fila, _xlpm.colIni),
    IF(_xlpm.val="", "", _xlpm.val)
  ),
"")</f>
        <v/>
      </c>
      <c r="AV189" s="91" t="str">
        <f t="array" ref="AV18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89" s="92" t="str">
        <f t="shared" si="15"/>
        <v>NA</v>
      </c>
    </row>
    <row r="190" spans="1:49" ht="14.25" customHeight="1" x14ac:dyDescent="0.2">
      <c r="A190" s="48">
        <v>21205420</v>
      </c>
      <c r="B190" s="52" t="s">
        <v>386</v>
      </c>
      <c r="C190" s="52" t="s">
        <v>382</v>
      </c>
      <c r="D190" s="53">
        <v>-74.205625999999995</v>
      </c>
      <c r="E190" s="53">
        <v>4.6886619999999999</v>
      </c>
      <c r="F190" s="48">
        <v>2543</v>
      </c>
      <c r="G190" s="46">
        <v>25</v>
      </c>
      <c r="H190" s="46">
        <v>25473</v>
      </c>
      <c r="I190" s="55" t="s">
        <v>73</v>
      </c>
      <c r="J190" s="55" t="s">
        <v>387</v>
      </c>
      <c r="K190" s="51">
        <v>8.4</v>
      </c>
      <c r="L190" s="51">
        <v>8.6</v>
      </c>
      <c r="M190" s="51">
        <v>7.4</v>
      </c>
      <c r="N190" s="51">
        <v>8.8000000000000007</v>
      </c>
      <c r="O190" s="51">
        <v>7</v>
      </c>
      <c r="P190" s="51">
        <v>6.4</v>
      </c>
      <c r="Q190" s="51">
        <v>6.2</v>
      </c>
      <c r="R190" s="51">
        <v>4.5999999999999996</v>
      </c>
      <c r="S190" s="51">
        <v>9</v>
      </c>
      <c r="T190" s="51">
        <v>6.4</v>
      </c>
      <c r="U190" s="51">
        <v>8</v>
      </c>
      <c r="V190" s="51">
        <v>6.8</v>
      </c>
      <c r="W190" s="51">
        <v>6</v>
      </c>
      <c r="X190" s="51"/>
      <c r="Y190" s="51"/>
      <c r="Z190" s="111"/>
      <c r="AA190" s="51"/>
      <c r="AB190" s="51"/>
      <c r="AC190" s="51"/>
      <c r="AD190" s="51"/>
      <c r="AE190" s="51"/>
      <c r="AF190" s="51"/>
      <c r="AG190" s="51"/>
      <c r="AH190" s="51"/>
      <c r="AI190" s="51"/>
      <c r="AJ190" s="51"/>
      <c r="AK190" s="51"/>
      <c r="AL190" s="51"/>
      <c r="AM190" s="51"/>
      <c r="AN190" s="51"/>
      <c r="AO190" s="51"/>
      <c r="AP190" s="88">
        <f t="shared" si="11"/>
        <v>13</v>
      </c>
      <c r="AQ190" s="89" t="str">
        <f t="shared" si="12"/>
        <v/>
      </c>
      <c r="AR190" s="89">
        <f>IFERROR(VLOOKUP(A190,Climatologia!A:U,9+$E$2,FALSE),"")</f>
        <v>6.3320712773816243</v>
      </c>
      <c r="AS190" s="89" t="str">
        <f t="shared" si="13"/>
        <v/>
      </c>
      <c r="AT190" s="90">
        <f t="shared" si="14"/>
        <v>4.5999999999999996</v>
      </c>
      <c r="AU190" s="90">
        <f t="array" ref="AU190">IFERROR(
  _xlfn.LET(
    _xlpm.mesTxt, INDEX({"ENERO","FEBRERO","MARZO","ABRIL","MAYO","JUNIO","JULIO","AGOSTO","SEPTIEMBRE","OCTUBRE","NOVIEMBRE","DICIEMBRE"}, E$2),
    _xlpm.colIni, MATCH(_xlpm.mesTxt, Minimos!$1:$1, 0),
    _xlpm.fila, MATCH($A190, Minimos!$A:$A, 0),
    _xlpm.val, INDEX(Minimos!$A:$ZZ, _xlpm.fila, _xlpm.colIni),
    IF(_xlpm.val="", "", _xlpm.val)
  ),
"")</f>
        <v>-1.8</v>
      </c>
      <c r="AV190" s="91">
        <f t="array" ref="AV19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MATCH($A190, Minimos!$A:$A, 0),
    _xlpm.anio, INDEX(Minimos!$A:$ZZ, _xlpm.fila, _xlpm.colIni+1),
    _xlpm.dia, INDEX(Minimos!$A:$ZZ, _xlpm.fila, _xlpm.colIni+2),
    IF(OR(_xlpm.anio="",_xlpm.dia=""), "", DATE(_xlpm.anio, _xlpm.mesNum, _xlpm.dia))
  ),
"")</f>
        <v>35331</v>
      </c>
      <c r="AW190" s="92">
        <f t="shared" si="15"/>
        <v>6.3999999999999995</v>
      </c>
    </row>
    <row r="191" spans="1:49" ht="14.25" customHeight="1" x14ac:dyDescent="0.2">
      <c r="A191" s="48">
        <v>21205660</v>
      </c>
      <c r="B191" s="52" t="s">
        <v>388</v>
      </c>
      <c r="C191" s="52" t="s">
        <v>382</v>
      </c>
      <c r="D191" s="93">
        <v>-74.523179999999996</v>
      </c>
      <c r="E191" s="93">
        <v>4.5791000000000004</v>
      </c>
      <c r="F191" s="48">
        <v>765</v>
      </c>
      <c r="G191" s="46">
        <v>25</v>
      </c>
      <c r="H191" s="46">
        <v>25035</v>
      </c>
      <c r="I191" s="55" t="s">
        <v>73</v>
      </c>
      <c r="J191" s="55" t="s">
        <v>389</v>
      </c>
      <c r="K191" s="51">
        <v>24.2</v>
      </c>
      <c r="L191" s="51">
        <v>21.4</v>
      </c>
      <c r="M191" s="51">
        <v>21</v>
      </c>
      <c r="N191" s="51">
        <v>23.4</v>
      </c>
      <c r="O191" s="51">
        <v>23.6</v>
      </c>
      <c r="P191" s="51">
        <v>22.6</v>
      </c>
      <c r="Q191" s="51">
        <v>23</v>
      </c>
      <c r="R191" s="51">
        <v>23.2</v>
      </c>
      <c r="S191" s="51">
        <v>23</v>
      </c>
      <c r="T191" s="51">
        <v>23.4</v>
      </c>
      <c r="U191" s="51">
        <v>22.2</v>
      </c>
      <c r="V191" s="51">
        <v>22.8</v>
      </c>
      <c r="W191" s="51">
        <v>24</v>
      </c>
      <c r="X191" s="51"/>
      <c r="Y191" s="51"/>
      <c r="Z191" s="111"/>
      <c r="AA191" s="51"/>
      <c r="AB191" s="51"/>
      <c r="AC191" s="51"/>
      <c r="AD191" s="51"/>
      <c r="AE191" s="51"/>
      <c r="AF191" s="51"/>
      <c r="AG191" s="51"/>
      <c r="AH191" s="51"/>
      <c r="AI191" s="51"/>
      <c r="AJ191" s="51"/>
      <c r="AK191" s="51"/>
      <c r="AL191" s="51"/>
      <c r="AM191" s="51"/>
      <c r="AN191" s="51"/>
      <c r="AO191" s="51"/>
      <c r="AP191" s="88">
        <f t="shared" si="11"/>
        <v>13</v>
      </c>
      <c r="AQ191" s="89" t="str">
        <f t="shared" si="12"/>
        <v/>
      </c>
      <c r="AR191" s="89">
        <f>IFERROR(VLOOKUP(A191,Climatologia!A:U,9+$E$2,FALSE),"")</f>
        <v>20.01407453289416</v>
      </c>
      <c r="AS191" s="89" t="str">
        <f t="shared" si="13"/>
        <v/>
      </c>
      <c r="AT191" s="90">
        <f t="shared" si="14"/>
        <v>21</v>
      </c>
      <c r="AU191" s="90" t="str">
        <f t="array" ref="AU191">IFERROR(
  _xlfn.LET(
    _xlpm.mesTxt, INDEX({"ENERO","FEBRERO","MARZO","ABRIL","MAYO","JUNIO","JULIO","AGOSTO","SEPTIEMBRE","OCTUBRE","NOVIEMBRE","DICIEMBRE"}, E$2),
    _xlpm.colIni, MATCH(_xlpm.mesTxt, Minimos!$1:$1, 0),
    _xlpm.fila, MATCH($A191, Minimos!$A:$A, 0),
    _xlpm.val, INDEX(Minimos!$A:$ZZ, _xlpm.fila, _xlpm.colIni),
    IF(_xlpm.val="", "", _xlpm.val)
  ),
"")</f>
        <v/>
      </c>
      <c r="AV191" s="91" t="str">
        <f t="array" ref="AV19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91" s="92" t="str">
        <f t="shared" si="15"/>
        <v>NA</v>
      </c>
    </row>
    <row r="192" spans="1:49" ht="14.25" customHeight="1" x14ac:dyDescent="0.2">
      <c r="A192" s="48">
        <v>21205700</v>
      </c>
      <c r="B192" s="52" t="s">
        <v>390</v>
      </c>
      <c r="C192" s="52" t="s">
        <v>382</v>
      </c>
      <c r="D192" s="53">
        <v>-73.864452999999997</v>
      </c>
      <c r="E192" s="53">
        <v>4.8779529999999998</v>
      </c>
      <c r="F192" s="48">
        <v>2750</v>
      </c>
      <c r="G192" s="46">
        <v>25</v>
      </c>
      <c r="H192" s="46">
        <v>25322</v>
      </c>
      <c r="I192" s="55" t="s">
        <v>73</v>
      </c>
      <c r="J192" s="55" t="s">
        <v>390</v>
      </c>
      <c r="K192" s="51">
        <v>10.199999999999999</v>
      </c>
      <c r="L192" s="51">
        <v>10.4</v>
      </c>
      <c r="M192" s="51">
        <v>10.199999999999999</v>
      </c>
      <c r="N192" s="51">
        <v>9.4</v>
      </c>
      <c r="O192" s="51">
        <v>9.6</v>
      </c>
      <c r="P192" s="51">
        <v>9.1999999999999993</v>
      </c>
      <c r="Q192" s="51">
        <v>10.4</v>
      </c>
      <c r="R192" s="51">
        <v>7.8</v>
      </c>
      <c r="S192" s="51">
        <v>10.8</v>
      </c>
      <c r="T192" s="51">
        <v>7.6</v>
      </c>
      <c r="U192" s="51">
        <v>9.6</v>
      </c>
      <c r="V192" s="51">
        <v>8.1999999999999993</v>
      </c>
      <c r="W192" s="51">
        <v>8.1999999999999993</v>
      </c>
      <c r="X192" s="51"/>
      <c r="Y192" s="51"/>
      <c r="Z192" s="111"/>
      <c r="AA192" s="51"/>
      <c r="AB192" s="51"/>
      <c r="AC192" s="51"/>
      <c r="AD192" s="51"/>
      <c r="AE192" s="51"/>
      <c r="AF192" s="51"/>
      <c r="AG192" s="51"/>
      <c r="AH192" s="51"/>
      <c r="AI192" s="51"/>
      <c r="AJ192" s="51"/>
      <c r="AK192" s="51"/>
      <c r="AL192" s="51"/>
      <c r="AM192" s="51"/>
      <c r="AN192" s="51"/>
      <c r="AO192" s="51"/>
      <c r="AP192" s="88">
        <f t="shared" si="11"/>
        <v>13</v>
      </c>
      <c r="AQ192" s="89" t="str">
        <f t="shared" si="12"/>
        <v/>
      </c>
      <c r="AR192" s="89">
        <f>IFERROR(VLOOKUP(A192,Climatologia!A:U,9+$E$2,FALSE),"")</f>
        <v>7.2971740738735793</v>
      </c>
      <c r="AS192" s="89" t="str">
        <f t="shared" si="13"/>
        <v/>
      </c>
      <c r="AT192" s="90">
        <f t="shared" si="14"/>
        <v>7.6</v>
      </c>
      <c r="AU192" s="90">
        <f t="array" ref="AU192">IFERROR(
  _xlfn.LET(
    _xlpm.mesTxt, INDEX({"ENERO","FEBRERO","MARZO","ABRIL","MAYO","JUNIO","JULIO","AGOSTO","SEPTIEMBRE","OCTUBRE","NOVIEMBRE","DICIEMBRE"}, E$2),
    _xlpm.colIni, MATCH(_xlpm.mesTxt, Minimos!$1:$1, 0),
    _xlpm.fila, MATCH($A192, Minimos!$A:$A, 0),
    _xlpm.val, INDEX(Minimos!$A:$ZZ, _xlpm.fila, _xlpm.colIni),
    IF(_xlpm.val="", "", _xlpm.val)
  ),
"")</f>
        <v>2</v>
      </c>
      <c r="AV192" s="91">
        <f t="array" ref="AV19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MATCH($A192, Minimos!$A:$A, 0),
    _xlpm.anio, INDEX(Minimos!$A:$ZZ, _xlpm.fila, _xlpm.colIni+1),
    _xlpm.dia, INDEX(Minimos!$A:$ZZ, _xlpm.fila, _xlpm.colIni+2),
    IF(OR(_xlpm.anio="",_xlpm.dia=""), "", DATE(_xlpm.anio, _xlpm.mesNum, _xlpm.dia))
  ),
"")</f>
        <v>44096</v>
      </c>
      <c r="AW192" s="92">
        <f t="shared" si="15"/>
        <v>5.6</v>
      </c>
    </row>
    <row r="193" spans="1:49" ht="14.25" customHeight="1" x14ac:dyDescent="0.2">
      <c r="A193" s="48">
        <v>21205720</v>
      </c>
      <c r="B193" s="52" t="s">
        <v>391</v>
      </c>
      <c r="C193" s="52" t="s">
        <v>382</v>
      </c>
      <c r="D193" s="53">
        <v>-74.189277779999998</v>
      </c>
      <c r="E193" s="53">
        <v>4.5057499999999999</v>
      </c>
      <c r="F193" s="48">
        <v>2900</v>
      </c>
      <c r="G193" s="46">
        <v>25</v>
      </c>
      <c r="H193" s="46">
        <v>25754</v>
      </c>
      <c r="I193" s="55" t="s">
        <v>73</v>
      </c>
      <c r="J193" s="55" t="s">
        <v>392</v>
      </c>
      <c r="K193" s="51">
        <v>8</v>
      </c>
      <c r="L193" s="51">
        <v>8.1999999999999993</v>
      </c>
      <c r="M193" s="51">
        <v>10.6</v>
      </c>
      <c r="N193" s="51">
        <v>8.1999999999999993</v>
      </c>
      <c r="O193" s="51">
        <v>10.6</v>
      </c>
      <c r="P193" s="51">
        <v>8.4</v>
      </c>
      <c r="Q193" s="51">
        <v>9.4</v>
      </c>
      <c r="R193" s="51">
        <v>6.2</v>
      </c>
      <c r="S193" s="51">
        <v>11.4</v>
      </c>
      <c r="T193" s="51">
        <v>7</v>
      </c>
      <c r="U193" s="51">
        <v>8.6</v>
      </c>
      <c r="V193" s="51">
        <v>8.4</v>
      </c>
      <c r="W193" s="51"/>
      <c r="X193" s="51"/>
      <c r="Y193" s="51"/>
      <c r="Z193" s="111"/>
      <c r="AA193" s="51"/>
      <c r="AB193" s="51"/>
      <c r="AC193" s="51"/>
      <c r="AD193" s="51"/>
      <c r="AE193" s="51"/>
      <c r="AF193" s="51"/>
      <c r="AG193" s="51"/>
      <c r="AH193" s="51"/>
      <c r="AI193" s="51"/>
      <c r="AJ193" s="51"/>
      <c r="AK193" s="51"/>
      <c r="AL193" s="51"/>
      <c r="AM193" s="51"/>
      <c r="AN193" s="51"/>
      <c r="AO193" s="51"/>
      <c r="AP193" s="88">
        <f t="shared" si="11"/>
        <v>12</v>
      </c>
      <c r="AQ193" s="89" t="str">
        <f t="shared" si="12"/>
        <v/>
      </c>
      <c r="AR193" s="89">
        <f>IFERROR(VLOOKUP(A193,Climatologia!A:U,9+$E$2,FALSE),"")</f>
        <v>7.3102534256681198</v>
      </c>
      <c r="AS193" s="89" t="str">
        <f t="shared" si="13"/>
        <v/>
      </c>
      <c r="AT193" s="90">
        <f t="shared" si="14"/>
        <v>6.2</v>
      </c>
      <c r="AU193" s="90">
        <f t="array" ref="AU193">IFERROR(
  _xlfn.LET(
    _xlpm.mesTxt, INDEX({"ENERO","FEBRERO","MARZO","ABRIL","MAYO","JUNIO","JULIO","AGOSTO","SEPTIEMBRE","OCTUBRE","NOVIEMBRE","DICIEMBRE"}, E$2),
    _xlpm.colIni, MATCH(_xlpm.mesTxt, Minimos!$1:$1, 0),
    _xlpm.fila, MATCH($A193, Minimos!$A:$A, 0),
    _xlpm.val, INDEX(Minimos!$A:$ZZ, _xlpm.fila, _xlpm.colIni),
    IF(_xlpm.val="", "", _xlpm.val)
  ),
"")</f>
        <v>2</v>
      </c>
      <c r="AV193" s="91">
        <f t="array" ref="AV19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MATCH($A193, Minimos!$A:$A, 0),
    _xlpm.anio, INDEX(Minimos!$A:$ZZ, _xlpm.fila, _xlpm.colIni+1),
    _xlpm.dia, INDEX(Minimos!$A:$ZZ, _xlpm.fila, _xlpm.colIni+2),
    IF(OR(_xlpm.anio="",_xlpm.dia=""), "", DATE(_xlpm.anio, _xlpm.mesNum, _xlpm.dia))
  ),
"")</f>
        <v>42260</v>
      </c>
      <c r="AW193" s="92">
        <f t="shared" si="15"/>
        <v>4.2</v>
      </c>
    </row>
    <row r="194" spans="1:49" ht="14.25" customHeight="1" x14ac:dyDescent="0.2">
      <c r="A194" s="48">
        <v>21205740</v>
      </c>
      <c r="B194" s="52" t="s">
        <v>393</v>
      </c>
      <c r="C194" s="52" t="s">
        <v>382</v>
      </c>
      <c r="D194" s="53">
        <v>-73.70141667</v>
      </c>
      <c r="E194" s="53">
        <v>5.1177222220000003</v>
      </c>
      <c r="F194" s="48">
        <v>2709</v>
      </c>
      <c r="G194" s="46">
        <v>25</v>
      </c>
      <c r="H194" s="46">
        <v>25183</v>
      </c>
      <c r="I194" s="55" t="s">
        <v>73</v>
      </c>
      <c r="J194" s="55" t="s">
        <v>394</v>
      </c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111"/>
      <c r="AA194" s="51"/>
      <c r="AB194" s="51"/>
      <c r="AC194" s="51"/>
      <c r="AD194" s="51"/>
      <c r="AE194" s="51"/>
      <c r="AF194" s="51"/>
      <c r="AG194" s="51"/>
      <c r="AH194" s="51"/>
      <c r="AI194" s="51"/>
      <c r="AJ194" s="51"/>
      <c r="AK194" s="51"/>
      <c r="AL194" s="51"/>
      <c r="AM194" s="51"/>
      <c r="AN194" s="51"/>
      <c r="AO194" s="51"/>
      <c r="AP194" s="88">
        <f t="shared" si="11"/>
        <v>0</v>
      </c>
      <c r="AQ194" s="89" t="str">
        <f t="shared" si="12"/>
        <v/>
      </c>
      <c r="AR194" s="89">
        <f>IFERROR(VLOOKUP(A194,Climatologia!A:U,9+$E$2,FALSE),"")</f>
        <v>7.6942555167267797</v>
      </c>
      <c r="AS194" s="89" t="str">
        <f t="shared" si="13"/>
        <v/>
      </c>
      <c r="AT194" s="90" t="str">
        <f t="shared" si="14"/>
        <v/>
      </c>
      <c r="AU194" s="90">
        <f t="array" ref="AU194">IFERROR(
  _xlfn.LET(
    _xlpm.mesTxt, INDEX({"ENERO","FEBRERO","MARZO","ABRIL","MAYO","JUNIO","JULIO","AGOSTO","SEPTIEMBRE","OCTUBRE","NOVIEMBRE","DICIEMBRE"}, E$2),
    _xlpm.colIni, MATCH(_xlpm.mesTxt, Minimos!$1:$1, 0),
    _xlpm.fila, MATCH($A194, Minimos!$A:$A, 0),
    _xlpm.val, INDEX(Minimos!$A:$ZZ, _xlpm.fila, _xlpm.colIni),
    IF(_xlpm.val="", "", _xlpm.val)
  ),
"")</f>
        <v>0.4</v>
      </c>
      <c r="AV194" s="91">
        <f t="array" ref="AV19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MATCH($A194, Minimos!$A:$A, 0),
    _xlpm.anio, INDEX(Minimos!$A:$ZZ, _xlpm.fila, _xlpm.colIni+1),
    _xlpm.dia, INDEX(Minimos!$A:$ZZ, _xlpm.fila, _xlpm.colIni+2),
    IF(OR(_xlpm.anio="",_xlpm.dia=""), "", DATE(_xlpm.anio, _xlpm.mesNum, _xlpm.dia))
  ),
"")</f>
        <v>37521</v>
      </c>
      <c r="AW194" s="92" t="str">
        <f t="shared" si="15"/>
        <v>NA</v>
      </c>
    </row>
    <row r="195" spans="1:49" ht="14.25" customHeight="1" x14ac:dyDescent="0.2">
      <c r="A195" s="48">
        <v>21205920</v>
      </c>
      <c r="B195" s="52" t="s">
        <v>395</v>
      </c>
      <c r="C195" s="52" t="s">
        <v>382</v>
      </c>
      <c r="D195" s="53">
        <v>-73.963888890000007</v>
      </c>
      <c r="E195" s="53">
        <v>4.8208333330000004</v>
      </c>
      <c r="F195" s="48">
        <v>2650</v>
      </c>
      <c r="G195" s="46">
        <v>25</v>
      </c>
      <c r="H195" s="46">
        <v>25758</v>
      </c>
      <c r="I195" s="55" t="s">
        <v>73</v>
      </c>
      <c r="J195" s="55" t="s">
        <v>396</v>
      </c>
      <c r="K195" s="51">
        <v>5.8</v>
      </c>
      <c r="L195" s="51">
        <v>8.6</v>
      </c>
      <c r="M195" s="51">
        <v>7.2</v>
      </c>
      <c r="N195" s="51">
        <v>8.1999999999999993</v>
      </c>
      <c r="O195" s="51">
        <v>5.8</v>
      </c>
      <c r="P195" s="51">
        <v>5.4</v>
      </c>
      <c r="Q195" s="51">
        <v>6</v>
      </c>
      <c r="R195" s="51">
        <v>5.4</v>
      </c>
      <c r="S195" s="51">
        <v>5.2</v>
      </c>
      <c r="T195" s="51">
        <v>7</v>
      </c>
      <c r="U195" s="51">
        <v>5.8</v>
      </c>
      <c r="V195" s="51">
        <v>4.5999999999999996</v>
      </c>
      <c r="W195" s="51">
        <v>5</v>
      </c>
      <c r="X195" s="51"/>
      <c r="Y195" s="51"/>
      <c r="Z195" s="111"/>
      <c r="AA195" s="51"/>
      <c r="AB195" s="51"/>
      <c r="AC195" s="51"/>
      <c r="AD195" s="51"/>
      <c r="AE195" s="51"/>
      <c r="AF195" s="51"/>
      <c r="AG195" s="51"/>
      <c r="AH195" s="51"/>
      <c r="AI195" s="51"/>
      <c r="AJ195" s="51"/>
      <c r="AK195" s="51"/>
      <c r="AL195" s="51"/>
      <c r="AM195" s="51"/>
      <c r="AN195" s="51"/>
      <c r="AO195" s="51"/>
      <c r="AP195" s="88">
        <f t="shared" si="11"/>
        <v>13</v>
      </c>
      <c r="AQ195" s="89" t="str">
        <f t="shared" si="12"/>
        <v/>
      </c>
      <c r="AR195" s="89">
        <f>IFERROR(VLOOKUP(A195,Climatologia!A:U,9+$E$2,FALSE),"")</f>
        <v>6.5871179225202194</v>
      </c>
      <c r="AS195" s="89" t="str">
        <f t="shared" si="13"/>
        <v/>
      </c>
      <c r="AT195" s="90">
        <f t="shared" si="14"/>
        <v>4.5999999999999996</v>
      </c>
      <c r="AU195" s="90">
        <f t="array" ref="AU195">IFERROR(
  _xlfn.LET(
    _xlpm.mesTxt, INDEX({"ENERO","FEBRERO","MARZO","ABRIL","MAYO","JUNIO","JULIO","AGOSTO","SEPTIEMBRE","OCTUBRE","NOVIEMBRE","DICIEMBRE"}, E$2),
    _xlpm.colIni, MATCH(_xlpm.mesTxt, Minimos!$1:$1, 0),
    _xlpm.fila, MATCH($A195, Minimos!$A:$A, 0),
    _xlpm.val, INDEX(Minimos!$A:$ZZ, _xlpm.fila, _xlpm.colIni),
    IF(_xlpm.val="", "", _xlpm.val)
  ),
"")</f>
        <v>-1.6</v>
      </c>
      <c r="AV195" s="91">
        <f t="array" ref="AV19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MATCH($A195, Minimos!$A:$A, 0),
    _xlpm.anio, INDEX(Minimos!$A:$ZZ, _xlpm.fila, _xlpm.colIni+1),
    _xlpm.dia, INDEX(Minimos!$A:$ZZ, _xlpm.fila, _xlpm.colIni+2),
    IF(OR(_xlpm.anio="",_xlpm.dia=""), "", DATE(_xlpm.anio, _xlpm.mesNum, _xlpm.dia))
  ),
"")</f>
        <v>37521</v>
      </c>
      <c r="AW195" s="92">
        <f t="shared" si="15"/>
        <v>6.1999999999999993</v>
      </c>
    </row>
    <row r="196" spans="1:49" ht="14.25" customHeight="1" x14ac:dyDescent="0.2">
      <c r="A196" s="48">
        <v>21205940</v>
      </c>
      <c r="B196" s="52" t="s">
        <v>397</v>
      </c>
      <c r="C196" s="52" t="s">
        <v>382</v>
      </c>
      <c r="D196" s="53">
        <v>-74.380560000000003</v>
      </c>
      <c r="E196" s="53">
        <v>4.8321100000000001</v>
      </c>
      <c r="F196" s="48">
        <v>2590</v>
      </c>
      <c r="G196" s="46">
        <v>25</v>
      </c>
      <c r="H196" s="46">
        <v>25269</v>
      </c>
      <c r="I196" s="55" t="s">
        <v>73</v>
      </c>
      <c r="J196" s="55" t="s">
        <v>398</v>
      </c>
      <c r="K196" s="51">
        <v>8.8000000000000007</v>
      </c>
      <c r="L196" s="51">
        <v>10</v>
      </c>
      <c r="M196" s="51">
        <v>8</v>
      </c>
      <c r="N196" s="51">
        <v>9.4</v>
      </c>
      <c r="O196" s="51">
        <v>9</v>
      </c>
      <c r="P196" s="51">
        <v>8</v>
      </c>
      <c r="Q196" s="51">
        <v>6.8</v>
      </c>
      <c r="R196" s="51">
        <v>8.8000000000000007</v>
      </c>
      <c r="S196" s="51">
        <v>9</v>
      </c>
      <c r="T196" s="51">
        <v>7</v>
      </c>
      <c r="U196" s="51">
        <v>10</v>
      </c>
      <c r="V196" s="51">
        <v>10.4</v>
      </c>
      <c r="W196" s="51"/>
      <c r="X196" s="51"/>
      <c r="Y196" s="51"/>
      <c r="Z196" s="111"/>
      <c r="AA196" s="51"/>
      <c r="AB196" s="51"/>
      <c r="AC196" s="51"/>
      <c r="AD196" s="51"/>
      <c r="AE196" s="51"/>
      <c r="AF196" s="51"/>
      <c r="AG196" s="51"/>
      <c r="AH196" s="51"/>
      <c r="AI196" s="51"/>
      <c r="AJ196" s="51"/>
      <c r="AK196" s="51"/>
      <c r="AL196" s="51"/>
      <c r="AM196" s="51"/>
      <c r="AN196" s="51"/>
      <c r="AO196" s="51"/>
      <c r="AP196" s="88">
        <f t="shared" si="11"/>
        <v>12</v>
      </c>
      <c r="AQ196" s="89" t="str">
        <f t="shared" si="12"/>
        <v/>
      </c>
      <c r="AR196" s="89">
        <f>IFERROR(VLOOKUP(A196,Climatologia!A:U,9+$E$2,FALSE),"")</f>
        <v>6.1188038398383222</v>
      </c>
      <c r="AS196" s="89" t="str">
        <f t="shared" si="13"/>
        <v/>
      </c>
      <c r="AT196" s="90">
        <f t="shared" si="14"/>
        <v>6.8</v>
      </c>
      <c r="AU196" s="90">
        <f t="array" ref="AU196">IFERROR(
  _xlfn.LET(
    _xlpm.mesTxt, INDEX({"ENERO","FEBRERO","MARZO","ABRIL","MAYO","JUNIO","JULIO","AGOSTO","SEPTIEMBRE","OCTUBRE","NOVIEMBRE","DICIEMBRE"}, E$2),
    _xlpm.colIni, MATCH(_xlpm.mesTxt, Minimos!$1:$1, 0),
    _xlpm.fila, MATCH($A196, Minimos!$A:$A, 0),
    _xlpm.val, INDEX(Minimos!$A:$ZZ, _xlpm.fila, _xlpm.colIni),
    IF(_xlpm.val="", "", _xlpm.val)
  ),
"")</f>
        <v>-1.6</v>
      </c>
      <c r="AV196" s="91">
        <f t="array" ref="AV19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MATCH($A196, Minimos!$A:$A, 0),
    _xlpm.anio, INDEX(Minimos!$A:$ZZ, _xlpm.fila, _xlpm.colIni+1),
    _xlpm.dia, INDEX(Minimos!$A:$ZZ, _xlpm.fila, _xlpm.colIni+2),
    IF(OR(_xlpm.anio="",_xlpm.dia=""), "", DATE(_xlpm.anio, _xlpm.mesNum, _xlpm.dia))
  ),
"")</f>
        <v>37521</v>
      </c>
      <c r="AW196" s="92">
        <f t="shared" si="15"/>
        <v>8.4</v>
      </c>
    </row>
    <row r="197" spans="1:49" ht="14.25" customHeight="1" x14ac:dyDescent="0.2">
      <c r="A197" s="48">
        <v>21205960</v>
      </c>
      <c r="B197" s="52" t="s">
        <v>399</v>
      </c>
      <c r="C197" s="52" t="s">
        <v>382</v>
      </c>
      <c r="D197" s="93">
        <v>-74.152583329999999</v>
      </c>
      <c r="E197" s="93">
        <v>4.9390555559999996</v>
      </c>
      <c r="F197" s="48">
        <v>2650</v>
      </c>
      <c r="G197" s="46">
        <v>25</v>
      </c>
      <c r="H197" s="46">
        <v>25769</v>
      </c>
      <c r="I197" s="55" t="s">
        <v>73</v>
      </c>
      <c r="J197" s="55" t="s">
        <v>400</v>
      </c>
      <c r="K197" s="51">
        <v>8.6</v>
      </c>
      <c r="L197" s="51">
        <v>9</v>
      </c>
      <c r="M197" s="51">
        <v>9.1999999999999993</v>
      </c>
      <c r="N197" s="51">
        <v>7.2</v>
      </c>
      <c r="O197" s="51">
        <v>10.4</v>
      </c>
      <c r="P197" s="51">
        <v>8.6</v>
      </c>
      <c r="Q197" s="51">
        <v>7.2</v>
      </c>
      <c r="R197" s="51">
        <v>5.2</v>
      </c>
      <c r="S197" s="51">
        <v>9.8000000000000007</v>
      </c>
      <c r="T197" s="51">
        <v>7</v>
      </c>
      <c r="U197" s="51">
        <v>9.6</v>
      </c>
      <c r="V197" s="51">
        <v>6.6</v>
      </c>
      <c r="W197" s="51"/>
      <c r="X197" s="51"/>
      <c r="Y197" s="51"/>
      <c r="Z197" s="111"/>
      <c r="AA197" s="51"/>
      <c r="AB197" s="51"/>
      <c r="AC197" s="51"/>
      <c r="AD197" s="51"/>
      <c r="AE197" s="51"/>
      <c r="AF197" s="51"/>
      <c r="AG197" s="51"/>
      <c r="AH197" s="51"/>
      <c r="AI197" s="51"/>
      <c r="AJ197" s="51"/>
      <c r="AK197" s="51"/>
      <c r="AL197" s="51"/>
      <c r="AM197" s="51"/>
      <c r="AN197" s="51"/>
      <c r="AO197" s="51"/>
      <c r="AP197" s="88">
        <f t="shared" ref="AP197:AP260" si="16">COUNTIF(K197:AO197,"&gt;0")</f>
        <v>12</v>
      </c>
      <c r="AQ197" s="89" t="str">
        <f t="shared" ref="AQ197:AQ260" si="17">IF(AP197&gt;14,AVERAGE(K197:AO197),"")</f>
        <v/>
      </c>
      <c r="AR197" s="89">
        <f>IFERROR(VLOOKUP(A197,Climatologia!A:U,9+$E$2,FALSE),"")</f>
        <v>6.6913987808700464</v>
      </c>
      <c r="AS197" s="89" t="str">
        <f t="shared" ref="AS197:AS260" si="18">IF(OR(AQ197="",AR197=""),"",IFERROR(AQ197-AR197,""))</f>
        <v/>
      </c>
      <c r="AT197" s="90">
        <f t="shared" ref="AT197:AT207" si="19">IF(COUNT(K197:AO197)=0,"",MIN(K197:AO197))</f>
        <v>5.2</v>
      </c>
      <c r="AU197" s="90">
        <f t="array" ref="AU197">IFERROR(
  _xlfn.LET(
    _xlpm.mesTxt, INDEX({"ENERO","FEBRERO","MARZO","ABRIL","MAYO","JUNIO","JULIO","AGOSTO","SEPTIEMBRE","OCTUBRE","NOVIEMBRE","DICIEMBRE"}, E$2),
    _xlpm.colIni, MATCH(_xlpm.mesTxt, Minimos!$1:$1, 0),
    _xlpm.fila, MATCH($A197, Minimos!$A:$A, 0),
    _xlpm.val, INDEX(Minimos!$A:$ZZ, _xlpm.fila, _xlpm.colIni),
    IF(_xlpm.val="", "", _xlpm.val)
  ),
"")</f>
        <v>0.2</v>
      </c>
      <c r="AV197" s="91">
        <f t="array" ref="AV19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MATCH($A197, Minimos!$A:$A, 0),
    _xlpm.anio, INDEX(Minimos!$A:$ZZ, _xlpm.fila, _xlpm.colIni+1),
    _xlpm.dia, INDEX(Minimos!$A:$ZZ, _xlpm.fila, _xlpm.colIni+2),
    IF(OR(_xlpm.anio="",_xlpm.dia=""), "", DATE(_xlpm.anio, _xlpm.mesNum, _xlpm.dia))
  ),
"")</f>
        <v>37521</v>
      </c>
      <c r="AW197" s="92">
        <f t="shared" ref="AW197:AW207" si="20">IF(OR(AT197="",AU197=""),"NA",IFERROR(AT197-AU197,"NA"))</f>
        <v>5</v>
      </c>
    </row>
    <row r="198" spans="1:49" ht="14.25" customHeight="1" x14ac:dyDescent="0.2">
      <c r="A198" s="48">
        <v>21205980</v>
      </c>
      <c r="B198" s="52" t="s">
        <v>401</v>
      </c>
      <c r="C198" s="52" t="s">
        <v>382</v>
      </c>
      <c r="D198" s="93">
        <v>-74.200916669999998</v>
      </c>
      <c r="E198" s="93">
        <v>4.7923888889999997</v>
      </c>
      <c r="F198" s="48">
        <v>2560</v>
      </c>
      <c r="G198" s="46">
        <v>47</v>
      </c>
      <c r="H198" s="46">
        <v>47798</v>
      </c>
      <c r="I198" s="55" t="s">
        <v>31</v>
      </c>
      <c r="J198" s="55" t="s">
        <v>402</v>
      </c>
      <c r="K198" s="51">
        <v>11</v>
      </c>
      <c r="L198" s="51">
        <v>9.1999999999999993</v>
      </c>
      <c r="M198" s="51">
        <v>10.199999999999999</v>
      </c>
      <c r="N198" s="51">
        <v>10</v>
      </c>
      <c r="O198" s="51">
        <v>10.6</v>
      </c>
      <c r="P198" s="51">
        <v>8.1999999999999993</v>
      </c>
      <c r="Q198" s="51">
        <v>8.6</v>
      </c>
      <c r="R198" s="51">
        <v>7</v>
      </c>
      <c r="S198" s="51">
        <v>11.2</v>
      </c>
      <c r="T198" s="51">
        <v>7.4</v>
      </c>
      <c r="U198" s="51">
        <v>10.8</v>
      </c>
      <c r="V198" s="51">
        <v>9</v>
      </c>
      <c r="W198" s="51">
        <v>7.6</v>
      </c>
      <c r="X198" s="51"/>
      <c r="Y198" s="51"/>
      <c r="Z198" s="111"/>
      <c r="AA198" s="51"/>
      <c r="AB198" s="51"/>
      <c r="AC198" s="51"/>
      <c r="AD198" s="51"/>
      <c r="AE198" s="51"/>
      <c r="AF198" s="51"/>
      <c r="AG198" s="51"/>
      <c r="AH198" s="51"/>
      <c r="AI198" s="51"/>
      <c r="AJ198" s="51"/>
      <c r="AK198" s="51"/>
      <c r="AL198" s="51"/>
      <c r="AM198" s="51"/>
      <c r="AN198" s="51"/>
      <c r="AO198" s="51"/>
      <c r="AP198" s="88">
        <f t="shared" si="16"/>
        <v>13</v>
      </c>
      <c r="AQ198" s="89" t="str">
        <f t="shared" si="17"/>
        <v/>
      </c>
      <c r="AR198" s="89">
        <f>IFERROR(VLOOKUP(A198,Climatologia!A:U,9+$E$2,FALSE),"")</f>
        <v>6.8721572322812943</v>
      </c>
      <c r="AS198" s="89" t="str">
        <f t="shared" si="18"/>
        <v/>
      </c>
      <c r="AT198" s="90">
        <f t="shared" si="19"/>
        <v>7</v>
      </c>
      <c r="AU198" s="90">
        <f t="array" ref="AU198">IFERROR(
  _xlfn.LET(
    _xlpm.mesTxt, INDEX({"ENERO","FEBRERO","MARZO","ABRIL","MAYO","JUNIO","JULIO","AGOSTO","SEPTIEMBRE","OCTUBRE","NOVIEMBRE","DICIEMBRE"}, E$2),
    _xlpm.colIni, MATCH(_xlpm.mesTxt, Minimos!$1:$1, 0),
    _xlpm.fila, MATCH($A198, Minimos!$A:$A, 0),
    _xlpm.val, INDEX(Minimos!$A:$ZZ, _xlpm.fila, _xlpm.colIni),
    IF(_xlpm.val="", "", _xlpm.val)
  ),
"")</f>
        <v>-1.8</v>
      </c>
      <c r="AV198" s="91">
        <f t="array" ref="AV19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MATCH($A198, Minimos!$A:$A, 0),
    _xlpm.anio, INDEX(Minimos!$A:$ZZ, _xlpm.fila, _xlpm.colIni+1),
    _xlpm.dia, INDEX(Minimos!$A:$ZZ, _xlpm.fila, _xlpm.colIni+2),
    IF(OR(_xlpm.anio="",_xlpm.dia=""), "", DATE(_xlpm.anio, _xlpm.mesNum, _xlpm.dia))
  ),
"")</f>
        <v>33867</v>
      </c>
      <c r="AW198" s="92">
        <f t="shared" si="20"/>
        <v>8.8000000000000007</v>
      </c>
    </row>
    <row r="199" spans="1:49" ht="14.25" customHeight="1" x14ac:dyDescent="0.2">
      <c r="A199" s="48">
        <v>21206020</v>
      </c>
      <c r="B199" s="52" t="s">
        <v>403</v>
      </c>
      <c r="C199" s="52" t="s">
        <v>382</v>
      </c>
      <c r="D199" s="93">
        <v>-74.104833330000005</v>
      </c>
      <c r="E199" s="93">
        <v>4.8985277780000001</v>
      </c>
      <c r="F199" s="48">
        <v>2575</v>
      </c>
      <c r="G199" s="46">
        <v>25</v>
      </c>
      <c r="H199" s="46">
        <v>25785</v>
      </c>
      <c r="I199" s="55" t="s">
        <v>73</v>
      </c>
      <c r="J199" s="55" t="s">
        <v>404</v>
      </c>
      <c r="K199" s="51">
        <v>10</v>
      </c>
      <c r="L199" s="51">
        <v>11</v>
      </c>
      <c r="M199" s="51">
        <v>10</v>
      </c>
      <c r="N199" s="51">
        <v>9.1999999999999993</v>
      </c>
      <c r="O199" s="51">
        <v>6.6</v>
      </c>
      <c r="P199" s="51">
        <v>7</v>
      </c>
      <c r="Q199" s="51">
        <v>9</v>
      </c>
      <c r="R199" s="51"/>
      <c r="S199" s="51">
        <v>7</v>
      </c>
      <c r="T199" s="51"/>
      <c r="U199" s="51">
        <v>8.1999999999999993</v>
      </c>
      <c r="V199" s="51"/>
      <c r="W199" s="51">
        <v>8</v>
      </c>
      <c r="X199" s="51"/>
      <c r="Y199" s="51"/>
      <c r="Z199" s="111"/>
      <c r="AA199" s="51"/>
      <c r="AB199" s="51"/>
      <c r="AC199" s="51"/>
      <c r="AD199" s="51"/>
      <c r="AE199" s="51"/>
      <c r="AF199" s="51"/>
      <c r="AG199" s="51"/>
      <c r="AH199" s="51"/>
      <c r="AI199" s="51"/>
      <c r="AJ199" s="51"/>
      <c r="AK199" s="51"/>
      <c r="AL199" s="51"/>
      <c r="AM199" s="51"/>
      <c r="AN199" s="51"/>
      <c r="AO199" s="51"/>
      <c r="AP199" s="88">
        <f t="shared" si="16"/>
        <v>10</v>
      </c>
      <c r="AQ199" s="89" t="str">
        <f t="shared" si="17"/>
        <v/>
      </c>
      <c r="AR199" s="89">
        <f>IFERROR(VLOOKUP(A199,Climatologia!A:U,9+$E$2,FALSE),"")</f>
        <v>6.8567518092805448</v>
      </c>
      <c r="AS199" s="89" t="str">
        <f t="shared" si="18"/>
        <v/>
      </c>
      <c r="AT199" s="90">
        <f t="shared" si="19"/>
        <v>6.6</v>
      </c>
      <c r="AU199" s="90">
        <f t="array" ref="AU199">IFERROR(
  _xlfn.LET(
    _xlpm.mesTxt, INDEX({"ENERO","FEBRERO","MARZO","ABRIL","MAYO","JUNIO","JULIO","AGOSTO","SEPTIEMBRE","OCTUBRE","NOVIEMBRE","DICIEMBRE"}, E$2),
    _xlpm.colIni, MATCH(_xlpm.mesTxt, Minimos!$1:$1, 0),
    _xlpm.fila, MATCH($A199, Minimos!$A:$A, 0),
    _xlpm.val, INDEX(Minimos!$A:$ZZ, _xlpm.fila, _xlpm.colIni),
    IF(_xlpm.val="", "", _xlpm.val)
  ),
"")</f>
        <v>-3.4</v>
      </c>
      <c r="AV199" s="91">
        <f t="array" ref="AV19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MATCH($A199, Minimos!$A:$A, 0),
    _xlpm.anio, INDEX(Minimos!$A:$ZZ, _xlpm.fila, _xlpm.colIni+1),
    _xlpm.dia, INDEX(Minimos!$A:$ZZ, _xlpm.fila, _xlpm.colIni+2),
    IF(OR(_xlpm.anio="",_xlpm.dia=""), "", DATE(_xlpm.anio, _xlpm.mesNum, _xlpm.dia))
  ),
"")</f>
        <v>35690</v>
      </c>
      <c r="AW199" s="92">
        <f t="shared" si="20"/>
        <v>10</v>
      </c>
    </row>
    <row r="200" spans="1:49" ht="14.25" customHeight="1" x14ac:dyDescent="0.2">
      <c r="A200" s="48">
        <v>21206060</v>
      </c>
      <c r="B200" s="52" t="s">
        <v>405</v>
      </c>
      <c r="C200" s="52" t="s">
        <v>382</v>
      </c>
      <c r="D200" s="53">
        <v>-74.253333330000004</v>
      </c>
      <c r="E200" s="53">
        <v>4.7171111110000004</v>
      </c>
      <c r="F200" s="48">
        <v>2575</v>
      </c>
      <c r="G200" s="46">
        <v>25</v>
      </c>
      <c r="H200" s="46">
        <v>25430</v>
      </c>
      <c r="I200" s="55" t="s">
        <v>73</v>
      </c>
      <c r="J200" s="55" t="s">
        <v>406</v>
      </c>
      <c r="K200" s="51">
        <v>10.8</v>
      </c>
      <c r="L200" s="51">
        <v>8.4</v>
      </c>
      <c r="M200" s="51">
        <v>8.1999999999999993</v>
      </c>
      <c r="N200" s="51">
        <v>10.199999999999999</v>
      </c>
      <c r="O200" s="51">
        <v>8.8000000000000007</v>
      </c>
      <c r="P200" s="51">
        <v>7.8</v>
      </c>
      <c r="Q200" s="51">
        <v>6.4</v>
      </c>
      <c r="R200" s="51">
        <v>5.8</v>
      </c>
      <c r="S200" s="51">
        <v>10.8</v>
      </c>
      <c r="T200" s="51">
        <v>7.4</v>
      </c>
      <c r="U200" s="51">
        <v>8.4</v>
      </c>
      <c r="V200" s="51">
        <v>8.1999999999999993</v>
      </c>
      <c r="W200" s="51"/>
      <c r="X200" s="51"/>
      <c r="Y200" s="51"/>
      <c r="Z200" s="111"/>
      <c r="AA200" s="51"/>
      <c r="AB200" s="51"/>
      <c r="AC200" s="51"/>
      <c r="AD200" s="51"/>
      <c r="AE200" s="51"/>
      <c r="AF200" s="51"/>
      <c r="AG200" s="51"/>
      <c r="AH200" s="51"/>
      <c r="AI200" s="51"/>
      <c r="AJ200" s="51"/>
      <c r="AK200" s="51"/>
      <c r="AL200" s="51"/>
      <c r="AM200" s="51"/>
      <c r="AN200" s="51"/>
      <c r="AO200" s="51"/>
      <c r="AP200" s="88">
        <f t="shared" si="16"/>
        <v>12</v>
      </c>
      <c r="AQ200" s="89" t="str">
        <f t="shared" si="17"/>
        <v/>
      </c>
      <c r="AR200" s="89">
        <f>IFERROR(VLOOKUP(A200,Climatologia!A:U,9+$E$2,FALSE),"")</f>
        <v>6.3417884368241078</v>
      </c>
      <c r="AS200" s="89" t="str">
        <f t="shared" si="18"/>
        <v/>
      </c>
      <c r="AT200" s="90">
        <f t="shared" si="19"/>
        <v>5.8</v>
      </c>
      <c r="AU200" s="90">
        <f t="array" ref="AU200">IFERROR(
  _xlfn.LET(
    _xlpm.mesTxt, INDEX({"ENERO","FEBRERO","MARZO","ABRIL","MAYO","JUNIO","JULIO","AGOSTO","SEPTIEMBRE","OCTUBRE","NOVIEMBRE","DICIEMBRE"}, E$2),
    _xlpm.colIni, MATCH(_xlpm.mesTxt, Minimos!$1:$1, 0),
    _xlpm.fila, MATCH($A200, Minimos!$A:$A, 0),
    _xlpm.val, INDEX(Minimos!$A:$ZZ, _xlpm.fila, _xlpm.colIni),
    IF(_xlpm.val="", "", _xlpm.val)
  ),
"")</f>
        <v>-0.6</v>
      </c>
      <c r="AV200" s="91">
        <f t="array" ref="AV20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MATCH($A200, Minimos!$A:$A, 0),
    _xlpm.anio, INDEX(Minimos!$A:$ZZ, _xlpm.fila, _xlpm.colIni+1),
    _xlpm.dia, INDEX(Minimos!$A:$ZZ, _xlpm.fila, _xlpm.colIni+2),
    IF(OR(_xlpm.anio="",_xlpm.dia=""), "", DATE(_xlpm.anio, _xlpm.mesNum, _xlpm.dia))
  ),
"")</f>
        <v>35690</v>
      </c>
      <c r="AW200" s="92">
        <f t="shared" si="20"/>
        <v>6.3999999999999995</v>
      </c>
    </row>
    <row r="201" spans="1:49" ht="14.25" customHeight="1" x14ac:dyDescent="0.2">
      <c r="A201" s="48">
        <v>21206260</v>
      </c>
      <c r="B201" s="52" t="s">
        <v>407</v>
      </c>
      <c r="C201" s="52" t="s">
        <v>382</v>
      </c>
      <c r="D201" s="93">
        <v>-74.049722220000007</v>
      </c>
      <c r="E201" s="93">
        <v>4.7986388890000002</v>
      </c>
      <c r="F201" s="48">
        <v>2570</v>
      </c>
      <c r="G201" s="46">
        <v>11</v>
      </c>
      <c r="H201" s="46">
        <v>11001</v>
      </c>
      <c r="I201" s="55" t="s">
        <v>408</v>
      </c>
      <c r="J201" s="55" t="s">
        <v>409</v>
      </c>
      <c r="K201" s="51">
        <v>10.6</v>
      </c>
      <c r="L201" s="51">
        <v>10</v>
      </c>
      <c r="M201" s="51">
        <v>9.6</v>
      </c>
      <c r="N201" s="51">
        <v>9.1999999999999993</v>
      </c>
      <c r="O201" s="51">
        <v>9.6</v>
      </c>
      <c r="P201" s="51">
        <v>9.6</v>
      </c>
      <c r="Q201" s="51">
        <v>8.4</v>
      </c>
      <c r="R201" s="51">
        <v>7</v>
      </c>
      <c r="S201" s="51">
        <v>9.8000000000000007</v>
      </c>
      <c r="T201" s="51">
        <v>8.4</v>
      </c>
      <c r="U201" s="51">
        <v>9.6</v>
      </c>
      <c r="V201" s="51">
        <v>9</v>
      </c>
      <c r="W201" s="51"/>
      <c r="X201" s="51"/>
      <c r="Y201" s="51"/>
      <c r="Z201" s="111"/>
      <c r="AA201" s="51"/>
      <c r="AB201" s="51"/>
      <c r="AC201" s="51"/>
      <c r="AD201" s="51"/>
      <c r="AE201" s="51"/>
      <c r="AF201" s="51"/>
      <c r="AG201" s="51"/>
      <c r="AH201" s="51"/>
      <c r="AI201" s="51"/>
      <c r="AJ201" s="51"/>
      <c r="AK201" s="51"/>
      <c r="AL201" s="51"/>
      <c r="AM201" s="51"/>
      <c r="AN201" s="51"/>
      <c r="AO201" s="51"/>
      <c r="AP201" s="88">
        <f t="shared" si="16"/>
        <v>12</v>
      </c>
      <c r="AQ201" s="89" t="str">
        <f t="shared" si="17"/>
        <v/>
      </c>
      <c r="AR201" s="89">
        <f>IFERROR(VLOOKUP(A201,Climatologia!A:U,9+$E$2,FALSE),"")</f>
        <v>7.0236414292537948</v>
      </c>
      <c r="AS201" s="89" t="str">
        <f t="shared" si="18"/>
        <v/>
      </c>
      <c r="AT201" s="90">
        <f t="shared" si="19"/>
        <v>7</v>
      </c>
      <c r="AU201" s="90">
        <f t="array" ref="AU201">IFERROR(
  _xlfn.LET(
    _xlpm.mesTxt, INDEX({"ENERO","FEBRERO","MARZO","ABRIL","MAYO","JUNIO","JULIO","AGOSTO","SEPTIEMBRE","OCTUBRE","NOVIEMBRE","DICIEMBRE"}, E$2),
    _xlpm.colIni, MATCH(_xlpm.mesTxt, Minimos!$1:$1, 0),
    _xlpm.fila, MATCH($A201, Minimos!$A:$A, 0),
    _xlpm.val, INDEX(Minimos!$A:$ZZ, _xlpm.fila, _xlpm.colIni),
    IF(_xlpm.val="", "", _xlpm.val)
  ),
"")</f>
        <v>0.2</v>
      </c>
      <c r="AV201" s="91">
        <f t="array" ref="AV20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MATCH($A201, Minimos!$A:$A, 0),
    _xlpm.anio, INDEX(Minimos!$A:$ZZ, _xlpm.fila, _xlpm.colIni+1),
    _xlpm.dia, INDEX(Minimos!$A:$ZZ, _xlpm.fila, _xlpm.colIni+2),
    IF(OR(_xlpm.anio="",_xlpm.dia=""), "", DATE(_xlpm.anio, _xlpm.mesNum, _xlpm.dia))
  ),
"")</f>
        <v>33849</v>
      </c>
      <c r="AW201" s="92">
        <f t="shared" si="20"/>
        <v>6.8</v>
      </c>
    </row>
    <row r="202" spans="1:49" ht="14.25" customHeight="1" x14ac:dyDescent="0.2">
      <c r="A202" s="48">
        <v>21206600</v>
      </c>
      <c r="B202" s="52" t="s">
        <v>410</v>
      </c>
      <c r="C202" s="52" t="s">
        <v>382</v>
      </c>
      <c r="D202" s="53">
        <v>-74.102247000000006</v>
      </c>
      <c r="E202" s="53">
        <v>4.786594</v>
      </c>
      <c r="F202" s="48">
        <v>2590</v>
      </c>
      <c r="G202" s="46">
        <v>11</v>
      </c>
      <c r="H202" s="46">
        <v>11001</v>
      </c>
      <c r="I202" s="55" t="s">
        <v>408</v>
      </c>
      <c r="J202" s="55" t="s">
        <v>409</v>
      </c>
      <c r="K202" s="51">
        <v>9.8000000000000007</v>
      </c>
      <c r="L202" s="51">
        <v>8.6</v>
      </c>
      <c r="M202" s="51">
        <v>8.6</v>
      </c>
      <c r="N202" s="51">
        <v>9.8000000000000007</v>
      </c>
      <c r="O202" s="51">
        <v>9</v>
      </c>
      <c r="P202" s="51">
        <v>6.8</v>
      </c>
      <c r="Q202" s="51">
        <v>8.4</v>
      </c>
      <c r="R202" s="51">
        <v>6.2</v>
      </c>
      <c r="S202" s="51">
        <v>9.6</v>
      </c>
      <c r="T202" s="51">
        <v>8.1999999999999993</v>
      </c>
      <c r="U202" s="51">
        <v>9.8000000000000007</v>
      </c>
      <c r="V202" s="51">
        <v>8.4</v>
      </c>
      <c r="W202" s="51">
        <v>8.1999999999999993</v>
      </c>
      <c r="X202" s="51"/>
      <c r="Y202" s="51"/>
      <c r="Z202" s="111"/>
      <c r="AA202" s="51"/>
      <c r="AB202" s="51"/>
      <c r="AC202" s="51"/>
      <c r="AD202" s="51"/>
      <c r="AE202" s="51"/>
      <c r="AF202" s="51"/>
      <c r="AG202" s="51"/>
      <c r="AH202" s="51"/>
      <c r="AI202" s="51"/>
      <c r="AJ202" s="51"/>
      <c r="AK202" s="51"/>
      <c r="AL202" s="51"/>
      <c r="AM202" s="51"/>
      <c r="AN202" s="51"/>
      <c r="AO202" s="51"/>
      <c r="AP202" s="88">
        <f t="shared" si="16"/>
        <v>13</v>
      </c>
      <c r="AQ202" s="89" t="str">
        <f t="shared" si="17"/>
        <v/>
      </c>
      <c r="AR202" s="89">
        <f>IFERROR(VLOOKUP(A202,Climatologia!A:U,9+$E$2,FALSE),"")</f>
        <v>8.052510832141536</v>
      </c>
      <c r="AS202" s="89" t="str">
        <f t="shared" si="18"/>
        <v/>
      </c>
      <c r="AT202" s="90">
        <f t="shared" si="19"/>
        <v>6.2</v>
      </c>
      <c r="AU202" s="90">
        <f t="array" ref="AU202">IFERROR(
  _xlfn.LET(
    _xlpm.mesTxt, INDEX({"ENERO","FEBRERO","MARZO","ABRIL","MAYO","JUNIO","JULIO","AGOSTO","SEPTIEMBRE","OCTUBRE","NOVIEMBRE","DICIEMBRE"}, E$2),
    _xlpm.colIni, MATCH(_xlpm.mesTxt, Minimos!$1:$1, 0),
    _xlpm.fila, MATCH($A202, Minimos!$A:$A, 0),
    _xlpm.val, INDEX(Minimos!$A:$ZZ, _xlpm.fila, _xlpm.colIni),
    IF(_xlpm.val="", "", _xlpm.val)
  ),
"")</f>
        <v>1.2</v>
      </c>
      <c r="AV202" s="91">
        <f t="array" ref="AV20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MATCH($A202, Minimos!$A:$A, 0),
    _xlpm.anio, INDEX(Minimos!$A:$ZZ, _xlpm.fila, _xlpm.colIni+1),
    _xlpm.dia, INDEX(Minimos!$A:$ZZ, _xlpm.fila, _xlpm.colIni+2),
    IF(OR(_xlpm.anio="",_xlpm.dia=""), "", DATE(_xlpm.anio, _xlpm.mesNum, _xlpm.dia))
  ),
"")</f>
        <v>40800</v>
      </c>
      <c r="AW202" s="92">
        <f t="shared" si="20"/>
        <v>5</v>
      </c>
    </row>
    <row r="203" spans="1:49" ht="14.25" customHeight="1" x14ac:dyDescent="0.2">
      <c r="A203" s="48">
        <v>21206650</v>
      </c>
      <c r="B203" s="52" t="s">
        <v>411</v>
      </c>
      <c r="C203" s="52" t="s">
        <v>382</v>
      </c>
      <c r="D203" s="53">
        <v>-74.088222221999999</v>
      </c>
      <c r="E203" s="53">
        <v>4.5167527779999999</v>
      </c>
      <c r="F203" s="48">
        <v>3100</v>
      </c>
      <c r="G203" s="46">
        <v>11</v>
      </c>
      <c r="H203" s="46">
        <v>11001</v>
      </c>
      <c r="I203" s="55" t="s">
        <v>408</v>
      </c>
      <c r="J203" s="55" t="s">
        <v>409</v>
      </c>
      <c r="K203" s="51">
        <v>6</v>
      </c>
      <c r="L203" s="51">
        <v>5.4</v>
      </c>
      <c r="M203" s="51">
        <v>5.6</v>
      </c>
      <c r="N203" s="51">
        <v>5.2</v>
      </c>
      <c r="O203" s="51">
        <v>6.2</v>
      </c>
      <c r="P203" s="51">
        <v>5.6</v>
      </c>
      <c r="Q203" s="51">
        <v>5.2</v>
      </c>
      <c r="R203" s="51">
        <v>4.8</v>
      </c>
      <c r="S203" s="51">
        <v>5</v>
      </c>
      <c r="T203" s="51">
        <v>5.4</v>
      </c>
      <c r="U203" s="51">
        <v>5</v>
      </c>
      <c r="V203" s="51">
        <v>5.8</v>
      </c>
      <c r="W203" s="51">
        <v>5.2</v>
      </c>
      <c r="X203" s="51"/>
      <c r="Y203" s="51"/>
      <c r="Z203" s="111"/>
      <c r="AA203" s="51"/>
      <c r="AB203" s="51"/>
      <c r="AC203" s="51"/>
      <c r="AD203" s="51"/>
      <c r="AE203" s="51"/>
      <c r="AF203" s="51"/>
      <c r="AG203" s="51"/>
      <c r="AH203" s="51"/>
      <c r="AI203" s="51"/>
      <c r="AJ203" s="51"/>
      <c r="AK203" s="51"/>
      <c r="AL203" s="51"/>
      <c r="AM203" s="51"/>
      <c r="AN203" s="51"/>
      <c r="AO203" s="51"/>
      <c r="AP203" s="88">
        <f t="shared" si="16"/>
        <v>13</v>
      </c>
      <c r="AQ203" s="89" t="str">
        <f t="shared" si="17"/>
        <v/>
      </c>
      <c r="AR203" s="89" t="str">
        <f>IFERROR(VLOOKUP(A203,Climatologia!A:U,9+$E$2,FALSE),"")</f>
        <v/>
      </c>
      <c r="AS203" s="89" t="str">
        <f t="shared" si="18"/>
        <v/>
      </c>
      <c r="AT203" s="90">
        <f t="shared" si="19"/>
        <v>4.8</v>
      </c>
      <c r="AU203" s="90">
        <f t="array" ref="AU203">IFERROR(
  _xlfn.LET(
    _xlpm.mesTxt, INDEX({"ENERO","FEBRERO","MARZO","ABRIL","MAYO","JUNIO","JULIO","AGOSTO","SEPTIEMBRE","OCTUBRE","NOVIEMBRE","DICIEMBRE"}, E$2),
    _xlpm.colIni, MATCH(_xlpm.mesTxt, Minimos!$1:$1, 0),
    _xlpm.fila, MATCH($A203, Minimos!$A:$A, 0),
    _xlpm.val, INDEX(Minimos!$A:$ZZ, _xlpm.fila, _xlpm.colIni),
    IF(_xlpm.val="", "", _xlpm.val)
  ),
"")</f>
        <v>3</v>
      </c>
      <c r="AV203" s="91">
        <f t="array" ref="AV20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MATCH($A203, Minimos!$A:$A, 0),
    _xlpm.anio, INDEX(Minimos!$A:$ZZ, _xlpm.fila, _xlpm.colIni+1),
    _xlpm.dia, INDEX(Minimos!$A:$ZZ, _xlpm.fila, _xlpm.colIni+2),
    IF(OR(_xlpm.anio="",_xlpm.dia=""), "", DATE(_xlpm.anio, _xlpm.mesNum, _xlpm.dia))
  ),
"")</f>
        <v>44104</v>
      </c>
      <c r="AW203" s="92">
        <f t="shared" si="20"/>
        <v>1.7999999999999998</v>
      </c>
    </row>
    <row r="204" spans="1:49" ht="14.25" customHeight="1" x14ac:dyDescent="0.2">
      <c r="A204" s="48">
        <v>23065110</v>
      </c>
      <c r="B204" s="52" t="s">
        <v>412</v>
      </c>
      <c r="C204" s="52" t="s">
        <v>382</v>
      </c>
      <c r="D204" s="53">
        <v>-74.351249999999993</v>
      </c>
      <c r="E204" s="53">
        <v>5.4812099999999999</v>
      </c>
      <c r="F204" s="48">
        <v>1347</v>
      </c>
      <c r="G204" s="46">
        <v>25</v>
      </c>
      <c r="H204" s="46">
        <v>25885</v>
      </c>
      <c r="I204" s="55" t="s">
        <v>73</v>
      </c>
      <c r="J204" s="55" t="s">
        <v>413</v>
      </c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111"/>
      <c r="AA204" s="51"/>
      <c r="AB204" s="51"/>
      <c r="AC204" s="51"/>
      <c r="AD204" s="51"/>
      <c r="AE204" s="51"/>
      <c r="AF204" s="51"/>
      <c r="AG204" s="51"/>
      <c r="AH204" s="51"/>
      <c r="AI204" s="51"/>
      <c r="AJ204" s="51"/>
      <c r="AK204" s="51"/>
      <c r="AL204" s="51"/>
      <c r="AM204" s="51"/>
      <c r="AN204" s="51"/>
      <c r="AO204" s="51"/>
      <c r="AP204" s="88">
        <f t="shared" si="16"/>
        <v>0</v>
      </c>
      <c r="AQ204" s="89" t="str">
        <f t="shared" si="17"/>
        <v/>
      </c>
      <c r="AR204" s="89">
        <f>IFERROR(VLOOKUP(A204,Climatologia!A:U,9+$E$2,FALSE),"")</f>
        <v>17.734083083854891</v>
      </c>
      <c r="AS204" s="89" t="str">
        <f t="shared" si="18"/>
        <v/>
      </c>
      <c r="AT204" s="90" t="str">
        <f t="shared" si="19"/>
        <v/>
      </c>
      <c r="AU204" s="90" t="str">
        <f t="array" ref="AU204">IFERROR(
  _xlfn.LET(
    _xlpm.mesTxt, INDEX({"ENERO","FEBRERO","MARZO","ABRIL","MAYO","JUNIO","JULIO","AGOSTO","SEPTIEMBRE","OCTUBRE","NOVIEMBRE","DICIEMBRE"}, E$2),
    _xlpm.colIni, MATCH(_xlpm.mesTxt, Minimos!$1:$1, 0),
    _xlpm.fila, MATCH($A204, Minimos!$A:$A, 0),
    _xlpm.val, INDEX(Minimos!$A:$ZZ, _xlpm.fila, _xlpm.colIni),
    IF(_xlpm.val="", "", _xlpm.val)
  ),
"")</f>
        <v/>
      </c>
      <c r="AV204" s="91" t="str">
        <f t="array" ref="AV20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204" s="92" t="str">
        <f t="shared" si="20"/>
        <v>NA</v>
      </c>
    </row>
    <row r="205" spans="1:49" ht="14.25" customHeight="1" x14ac:dyDescent="0.2">
      <c r="A205" s="48">
        <v>24015120</v>
      </c>
      <c r="B205" s="52" t="s">
        <v>414</v>
      </c>
      <c r="C205" s="52" t="s">
        <v>382</v>
      </c>
      <c r="D205" s="53">
        <v>-73.734805559999998</v>
      </c>
      <c r="E205" s="53">
        <v>5.4672777779999997</v>
      </c>
      <c r="F205" s="48">
        <v>2580</v>
      </c>
      <c r="G205" s="46">
        <v>25</v>
      </c>
      <c r="H205" s="46">
        <v>25288</v>
      </c>
      <c r="I205" s="55" t="s">
        <v>73</v>
      </c>
      <c r="J205" s="55" t="s">
        <v>415</v>
      </c>
      <c r="K205" s="51">
        <v>9.8000000000000007</v>
      </c>
      <c r="L205" s="51">
        <v>10.6</v>
      </c>
      <c r="M205" s="51">
        <v>11.6</v>
      </c>
      <c r="N205" s="51">
        <v>9.8000000000000007</v>
      </c>
      <c r="O205" s="51">
        <v>10.6</v>
      </c>
      <c r="P205" s="51">
        <v>11</v>
      </c>
      <c r="Q205" s="51">
        <v>10.4</v>
      </c>
      <c r="R205" s="51">
        <v>7.8</v>
      </c>
      <c r="S205" s="51">
        <v>13.2</v>
      </c>
      <c r="T205" s="51">
        <v>11.6</v>
      </c>
      <c r="U205" s="51">
        <v>11.6</v>
      </c>
      <c r="V205" s="51">
        <v>9.6</v>
      </c>
      <c r="W205" s="51"/>
      <c r="X205" s="51"/>
      <c r="Y205" s="51"/>
      <c r="Z205" s="111"/>
      <c r="AA205" s="51"/>
      <c r="AB205" s="51"/>
      <c r="AC205" s="51"/>
      <c r="AD205" s="51"/>
      <c r="AE205" s="51"/>
      <c r="AF205" s="51"/>
      <c r="AG205" s="51"/>
      <c r="AH205" s="51"/>
      <c r="AI205" s="51"/>
      <c r="AJ205" s="51"/>
      <c r="AK205" s="51"/>
      <c r="AL205" s="51"/>
      <c r="AM205" s="51"/>
      <c r="AN205" s="51"/>
      <c r="AO205" s="51"/>
      <c r="AP205" s="88">
        <f t="shared" si="16"/>
        <v>12</v>
      </c>
      <c r="AQ205" s="89" t="str">
        <f t="shared" si="17"/>
        <v/>
      </c>
      <c r="AR205" s="89">
        <f>IFERROR(VLOOKUP(A205,Climatologia!A:U,9+$E$2,FALSE),"")</f>
        <v>8.9660145437485337</v>
      </c>
      <c r="AS205" s="89" t="str">
        <f t="shared" si="18"/>
        <v/>
      </c>
      <c r="AT205" s="90">
        <f t="shared" si="19"/>
        <v>7.8</v>
      </c>
      <c r="AU205" s="90">
        <f t="array" ref="AU205">IFERROR(
  _xlfn.LET(
    _xlpm.mesTxt, INDEX({"ENERO","FEBRERO","MARZO","ABRIL","MAYO","JUNIO","JULIO","AGOSTO","SEPTIEMBRE","OCTUBRE","NOVIEMBRE","DICIEMBRE"}, E$2),
    _xlpm.colIni, MATCH(_xlpm.mesTxt, Minimos!$1:$1, 0),
    _xlpm.fila, MATCH($A205, Minimos!$A:$A, 0),
    _xlpm.val, INDEX(Minimos!$A:$ZZ, _xlpm.fila, _xlpm.colIni),
    IF(_xlpm.val="", "", _xlpm.val)
  ),
"")</f>
        <v>1.1000000000000001</v>
      </c>
      <c r="AV205" s="91">
        <f t="array" ref="AV20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MATCH($A205, Minimos!$A:$A, 0),
    _xlpm.anio, INDEX(Minimos!$A:$ZZ, _xlpm.fila, _xlpm.colIni+1),
    _xlpm.dia, INDEX(Minimos!$A:$ZZ, _xlpm.fila, _xlpm.colIni+2),
    IF(OR(_xlpm.anio="",_xlpm.dia=""), "", DATE(_xlpm.anio, _xlpm.mesNum, _xlpm.dia))
  ),
"")</f>
        <v>40085</v>
      </c>
      <c r="AW205" s="92">
        <f t="shared" si="20"/>
        <v>6.6999999999999993</v>
      </c>
    </row>
    <row r="206" spans="1:49" ht="14.25" customHeight="1" x14ac:dyDescent="0.2">
      <c r="A206" s="48">
        <v>35025060</v>
      </c>
      <c r="B206" s="52" t="s">
        <v>416</v>
      </c>
      <c r="C206" s="52" t="s">
        <v>382</v>
      </c>
      <c r="D206" s="53">
        <v>-73.995885000000001</v>
      </c>
      <c r="E206" s="53">
        <v>4.587059</v>
      </c>
      <c r="F206" s="48">
        <v>3195</v>
      </c>
      <c r="G206" s="46">
        <v>25</v>
      </c>
      <c r="H206" s="46">
        <v>25181</v>
      </c>
      <c r="I206" s="55" t="s">
        <v>73</v>
      </c>
      <c r="J206" s="55" t="s">
        <v>417</v>
      </c>
      <c r="K206" s="51">
        <v>7</v>
      </c>
      <c r="L206" s="51">
        <v>5.8</v>
      </c>
      <c r="M206" s="51">
        <v>7</v>
      </c>
      <c r="N206" s="51">
        <v>6</v>
      </c>
      <c r="O206" s="51">
        <v>5.2</v>
      </c>
      <c r="P206" s="51">
        <v>5.4</v>
      </c>
      <c r="Q206" s="51">
        <v>5.4</v>
      </c>
      <c r="R206" s="51">
        <v>4.8</v>
      </c>
      <c r="S206" s="51">
        <v>5</v>
      </c>
      <c r="T206" s="51">
        <v>4.4000000000000004</v>
      </c>
      <c r="U206" s="51">
        <v>6</v>
      </c>
      <c r="V206" s="51"/>
      <c r="W206" s="51"/>
      <c r="X206" s="51"/>
      <c r="Y206" s="51"/>
      <c r="Z206" s="111"/>
      <c r="AA206" s="51"/>
      <c r="AB206" s="51"/>
      <c r="AC206" s="51"/>
      <c r="AD206" s="51"/>
      <c r="AE206" s="51"/>
      <c r="AF206" s="51"/>
      <c r="AG206" s="51"/>
      <c r="AH206" s="51"/>
      <c r="AI206" s="51"/>
      <c r="AJ206" s="51"/>
      <c r="AK206" s="51"/>
      <c r="AL206" s="51"/>
      <c r="AM206" s="51"/>
      <c r="AN206" s="51"/>
      <c r="AO206" s="51"/>
      <c r="AP206" s="88">
        <f t="shared" si="16"/>
        <v>11</v>
      </c>
      <c r="AQ206" s="89" t="str">
        <f t="shared" si="17"/>
        <v/>
      </c>
      <c r="AR206" s="89">
        <f>IFERROR(VLOOKUP(A206,Climatologia!A:U,9+$E$2,FALSE),"")</f>
        <v>4.9011609803563827</v>
      </c>
      <c r="AS206" s="89" t="str">
        <f t="shared" si="18"/>
        <v/>
      </c>
      <c r="AT206" s="90">
        <f t="shared" si="19"/>
        <v>4.4000000000000004</v>
      </c>
      <c r="AU206" s="90">
        <f t="array" ref="AU206">IFERROR(
  _xlfn.LET(
    _xlpm.mesTxt, INDEX({"ENERO","FEBRERO","MARZO","ABRIL","MAYO","JUNIO","JULIO","AGOSTO","SEPTIEMBRE","OCTUBRE","NOVIEMBRE","DICIEMBRE"}, E$2),
    _xlpm.colIni, MATCH(_xlpm.mesTxt, Minimos!$1:$1, 0),
    _xlpm.fila, MATCH($A206, Minimos!$A:$A, 0),
    _xlpm.val, INDEX(Minimos!$A:$ZZ, _xlpm.fila, _xlpm.colIni),
    IF(_xlpm.val="", "", _xlpm.val)
  ),
"")</f>
        <v>0.2</v>
      </c>
      <c r="AV206" s="91">
        <f t="array" ref="AV20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MATCH($A206, Minimos!$A:$A, 0),
    _xlpm.anio, INDEX(Minimos!$A:$ZZ, _xlpm.fila, _xlpm.colIni+1),
    _xlpm.dia, INDEX(Minimos!$A:$ZZ, _xlpm.fila, _xlpm.colIni+2),
    IF(OR(_xlpm.anio="",_xlpm.dia=""), "", DATE(_xlpm.anio, _xlpm.mesNum, _xlpm.dia))
  ),
"")</f>
        <v>36045</v>
      </c>
      <c r="AW206" s="92">
        <f t="shared" si="20"/>
        <v>4.2</v>
      </c>
    </row>
    <row r="207" spans="1:49" ht="14.25" customHeight="1" x14ac:dyDescent="0.2">
      <c r="A207" s="48">
        <v>47075010</v>
      </c>
      <c r="B207" s="52" t="s">
        <v>418</v>
      </c>
      <c r="C207" s="52" t="s">
        <v>382</v>
      </c>
      <c r="D207" s="53">
        <v>-72.789583332999996</v>
      </c>
      <c r="E207" s="53">
        <v>-1.4446111109999999</v>
      </c>
      <c r="F207" s="48">
        <v>160</v>
      </c>
      <c r="G207" s="46">
        <v>91</v>
      </c>
      <c r="H207" s="46">
        <v>91405</v>
      </c>
      <c r="I207" s="55" t="s">
        <v>98</v>
      </c>
      <c r="J207" s="55" t="s">
        <v>418</v>
      </c>
      <c r="K207" s="51">
        <v>23</v>
      </c>
      <c r="L207" s="51">
        <v>23.2</v>
      </c>
      <c r="M207" s="51">
        <v>23</v>
      </c>
      <c r="N207" s="51">
        <v>23.2</v>
      </c>
      <c r="O207" s="51">
        <v>23.6</v>
      </c>
      <c r="P207" s="51">
        <v>23.2</v>
      </c>
      <c r="Q207" s="51">
        <v>23.8</v>
      </c>
      <c r="R207" s="51">
        <v>23.4</v>
      </c>
      <c r="S207" s="51">
        <v>24</v>
      </c>
      <c r="T207" s="51">
        <v>24.2</v>
      </c>
      <c r="U207" s="51">
        <v>23</v>
      </c>
      <c r="V207" s="51">
        <v>23.4</v>
      </c>
      <c r="W207" s="51"/>
      <c r="X207" s="51"/>
      <c r="Y207" s="51"/>
      <c r="Z207" s="111"/>
      <c r="AA207" s="51"/>
      <c r="AB207" s="51"/>
      <c r="AC207" s="51"/>
      <c r="AD207" s="51"/>
      <c r="AE207" s="51"/>
      <c r="AF207" s="51"/>
      <c r="AG207" s="51"/>
      <c r="AH207" s="51"/>
      <c r="AI207" s="51"/>
      <c r="AJ207" s="51"/>
      <c r="AK207" s="51"/>
      <c r="AL207" s="51"/>
      <c r="AM207" s="51"/>
      <c r="AN207" s="51"/>
      <c r="AO207" s="51"/>
      <c r="AP207" s="88">
        <f t="shared" si="16"/>
        <v>12</v>
      </c>
      <c r="AQ207" s="89" t="str">
        <f t="shared" si="17"/>
        <v/>
      </c>
      <c r="AR207" s="89" t="str">
        <f>IFERROR(VLOOKUP(A207,Climatologia!A:U,9+$E$2,FALSE),"")</f>
        <v/>
      </c>
      <c r="AS207" s="89" t="str">
        <f t="shared" si="18"/>
        <v/>
      </c>
      <c r="AT207" s="90">
        <f t="shared" si="19"/>
        <v>23</v>
      </c>
      <c r="AU207" s="90">
        <f t="array" ref="AU207">IFERROR(
  _xlfn.LET(
    _xlpm.mesTxt, INDEX({"ENERO","FEBRERO","MARZO","ABRIL","MAYO","JUNIO","JULIO","AGOSTO","SEPTIEMBRE","OCTUBRE","NOVIEMBRE","DICIEMBRE"}, E$2),
    _xlpm.colIni, MATCH(_xlpm.mesTxt, Minimos!$1:$1, 0),
    _xlpm.fila, MATCH($A207, Minimos!$A:$A, 0),
    _xlpm.val, INDEX(Minimos!$A:$ZZ, _xlpm.fila, _xlpm.colIni),
    IF(_xlpm.val="", "", _xlpm.val)
  ),
"")</f>
        <v>18.2</v>
      </c>
      <c r="AV207" s="91">
        <f t="array" ref="AV20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MATCH($A207, Minimos!$A:$A, 0),
    _xlpm.anio, INDEX(Minimos!$A:$ZZ, _xlpm.fila, _xlpm.colIni+1),
    _xlpm.dia, INDEX(Minimos!$A:$ZZ, _xlpm.fila, _xlpm.colIni+2),
    IF(OR(_xlpm.anio="",_xlpm.dia=""), "", DATE(_xlpm.anio, _xlpm.mesNum, _xlpm.dia))
  ),
"")</f>
        <v>37877</v>
      </c>
      <c r="AW207" s="92">
        <f t="shared" si="20"/>
        <v>4.8000000000000007</v>
      </c>
    </row>
    <row r="208" spans="1:49" x14ac:dyDescent="0.25">
      <c r="Z208" s="110"/>
      <c r="AB208" s="84"/>
      <c r="AC208" s="84"/>
      <c r="AD208" s="84"/>
      <c r="AE208" s="84"/>
      <c r="AF208" s="84"/>
      <c r="AG208" s="76"/>
      <c r="AH208" s="95"/>
      <c r="AI208" s="95"/>
      <c r="AJ208" s="95"/>
      <c r="AK208" s="95"/>
      <c r="AL208" s="95"/>
      <c r="AM208" s="95"/>
      <c r="AN208" s="95"/>
      <c r="AO208" s="95"/>
      <c r="AP208" s="96"/>
      <c r="AQ208" s="96"/>
    </row>
  </sheetData>
  <conditionalFormatting sqref="K5:AO207">
    <cfRule type="cellIs" dxfId="16" priority="1" operator="equal">
      <formula>""</formula>
    </cfRule>
    <cfRule type="cellIs" dxfId="15" priority="2" stopIfTrue="1" operator="between">
      <formula>40</formula>
      <formula>500</formula>
    </cfRule>
    <cfRule type="cellIs" dxfId="14" priority="3" stopIfTrue="1" operator="between">
      <formula>-9.9</formula>
      <formula>-500</formula>
    </cfRule>
  </conditionalFormatting>
  <conditionalFormatting sqref="U3:U4 W4 Y4 AA4 AC4">
    <cfRule type="cellIs" dxfId="13" priority="8915" stopIfTrue="1" operator="equal">
      <formula>1</formula>
    </cfRule>
  </conditionalFormatting>
  <conditionalFormatting sqref="U208">
    <cfRule type="cellIs" dxfId="12" priority="84" stopIfTrue="1" operator="equal">
      <formula>1</formula>
    </cfRule>
  </conditionalFormatting>
  <conditionalFormatting sqref="AP5:AP207">
    <cfRule type="cellIs" dxfId="11" priority="9" operator="lessThan">
      <formula>14</formula>
    </cfRule>
  </conditionalFormatting>
  <conditionalFormatting sqref="AR1">
    <cfRule type="cellIs" dxfId="10" priority="13609" stopIfTrue="1" operator="between">
      <formula>0.1</formula>
      <formula>10</formula>
    </cfRule>
    <cfRule type="cellIs" dxfId="9" priority="13610" stopIfTrue="1" operator="greaterThan">
      <formula>"0.1"</formula>
    </cfRule>
  </conditionalFormatting>
  <conditionalFormatting sqref="AT5:AT207">
    <cfRule type="cellIs" dxfId="8" priority="17376" stopIfTrue="1" operator="equal">
      <formula>"40.0"</formula>
    </cfRule>
    <cfRule type="cellIs" dxfId="7" priority="17377" stopIfTrue="1" operator="between">
      <formula>-8.1</formula>
      <formula>-10</formula>
    </cfRule>
    <cfRule type="cellIs" dxfId="6" priority="17378" stopIfTrue="1" operator="between">
      <formula>-9.9</formula>
      <formula>-10</formula>
    </cfRule>
    <cfRule type="cellIs" dxfId="5" priority="17379" stopIfTrue="1" operator="between">
      <formula>-9.9</formula>
      <formula>-10</formula>
    </cfRule>
    <cfRule type="cellIs" dxfId="4" priority="17737" stopIfTrue="1" operator="between">
      <formula>0</formula>
      <formula>-8</formula>
    </cfRule>
    <cfRule type="cellIs" dxfId="3" priority="17738" stopIfTrue="1" operator="lessThan">
      <formula>-8</formula>
    </cfRule>
  </conditionalFormatting>
  <conditionalFormatting sqref="AW5:AW207">
    <cfRule type="cellIs" dxfId="2" priority="7" operator="equal">
      <formula>"NA"</formula>
    </cfRule>
    <cfRule type="cellIs" dxfId="1" priority="12294" stopIfTrue="1" operator="lessThan">
      <formula>0</formula>
    </cfRule>
    <cfRule type="cellIs" dxfId="0" priority="12295" stopIfTrue="1" operator="greaterThan">
      <formula>0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5"/>
  <dimension ref="A1:X384"/>
  <sheetViews>
    <sheetView topLeftCell="A22" workbookViewId="0">
      <selection activeCell="A45" sqref="A45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4" ht="16.149999999999999" customHeight="1" thickBot="1" x14ac:dyDescent="0.25">
      <c r="A1" s="105" t="s">
        <v>419</v>
      </c>
      <c r="B1" s="106"/>
      <c r="C1" s="106"/>
      <c r="D1" s="106"/>
      <c r="E1" s="106"/>
      <c r="F1" s="106"/>
      <c r="G1" s="106"/>
      <c r="H1" s="106"/>
      <c r="I1" s="104"/>
      <c r="J1" s="107" t="s">
        <v>420</v>
      </c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4"/>
      <c r="W1" s="121" t="s">
        <v>421</v>
      </c>
      <c r="X1" s="122"/>
    </row>
    <row r="2" spans="1:24" ht="24.6" customHeight="1" thickBot="1" x14ac:dyDescent="0.25">
      <c r="A2" s="1" t="s">
        <v>422</v>
      </c>
      <c r="B2" s="2" t="s">
        <v>423</v>
      </c>
      <c r="C2" s="2" t="s">
        <v>424</v>
      </c>
      <c r="D2" s="2" t="s">
        <v>15</v>
      </c>
      <c r="E2" s="2" t="s">
        <v>14</v>
      </c>
      <c r="F2" s="3" t="s">
        <v>425</v>
      </c>
      <c r="G2" s="2" t="s">
        <v>426</v>
      </c>
      <c r="H2" s="4" t="s">
        <v>427</v>
      </c>
      <c r="I2" s="5" t="s">
        <v>428</v>
      </c>
      <c r="J2" s="6" t="s">
        <v>429</v>
      </c>
      <c r="K2" s="2" t="s">
        <v>430</v>
      </c>
      <c r="L2" s="2" t="s">
        <v>431</v>
      </c>
      <c r="M2" s="2" t="s">
        <v>432</v>
      </c>
      <c r="N2" s="2" t="s">
        <v>433</v>
      </c>
      <c r="O2" s="2" t="s">
        <v>434</v>
      </c>
      <c r="P2" s="2" t="s">
        <v>435</v>
      </c>
      <c r="Q2" s="2" t="s">
        <v>436</v>
      </c>
      <c r="R2" s="2" t="s">
        <v>437</v>
      </c>
      <c r="S2" s="2" t="s">
        <v>438</v>
      </c>
      <c r="T2" s="2" t="s">
        <v>439</v>
      </c>
      <c r="U2" s="2" t="s">
        <v>440</v>
      </c>
      <c r="V2" s="7" t="s">
        <v>441</v>
      </c>
      <c r="W2" s="8" t="s">
        <v>442</v>
      </c>
      <c r="X2" s="9" t="s">
        <v>443</v>
      </c>
    </row>
    <row r="3" spans="1:24" ht="13.9" customHeight="1" x14ac:dyDescent="0.2">
      <c r="A3" s="10">
        <v>48015050</v>
      </c>
      <c r="B3" s="11" t="s">
        <v>444</v>
      </c>
      <c r="C3" s="11" t="s">
        <v>97</v>
      </c>
      <c r="D3" s="11" t="s">
        <v>99</v>
      </c>
      <c r="E3" s="11" t="s">
        <v>98</v>
      </c>
      <c r="F3" s="11">
        <v>11</v>
      </c>
      <c r="G3" s="11">
        <v>84</v>
      </c>
      <c r="H3" s="12">
        <v>-69.940916669999993</v>
      </c>
      <c r="I3" s="13">
        <v>-4.1938611100000003</v>
      </c>
      <c r="J3" s="14">
        <v>23.177078853046591</v>
      </c>
      <c r="K3" s="15">
        <v>23.144264743628732</v>
      </c>
      <c r="L3" s="15">
        <v>23.220972323854951</v>
      </c>
      <c r="M3" s="15">
        <v>23.195559812686259</v>
      </c>
      <c r="N3" s="15">
        <v>23.001741108354011</v>
      </c>
      <c r="O3" s="15">
        <v>22.229531388152079</v>
      </c>
      <c r="P3" s="15">
        <v>21.59281959378734</v>
      </c>
      <c r="Q3" s="15">
        <v>21.82882961124896</v>
      </c>
      <c r="R3" s="15">
        <v>22.350396614879379</v>
      </c>
      <c r="S3" s="15">
        <v>22.908834408602139</v>
      </c>
      <c r="T3" s="15">
        <v>23.161927497789559</v>
      </c>
      <c r="U3" s="15">
        <v>23.166594982078859</v>
      </c>
      <c r="V3" s="16">
        <v>22.748212578175739</v>
      </c>
      <c r="W3" s="17">
        <v>314</v>
      </c>
      <c r="X3" s="18">
        <v>0.87222222222222223</v>
      </c>
    </row>
    <row r="4" spans="1:24" ht="13.9" customHeight="1" x14ac:dyDescent="0.2">
      <c r="A4" s="10">
        <v>23085030</v>
      </c>
      <c r="B4" s="11" t="s">
        <v>445</v>
      </c>
      <c r="C4" s="11" t="s">
        <v>105</v>
      </c>
      <c r="D4" s="11" t="s">
        <v>105</v>
      </c>
      <c r="E4" s="11" t="s">
        <v>57</v>
      </c>
      <c r="F4" s="11">
        <v>1</v>
      </c>
      <c r="G4" s="11">
        <v>1712</v>
      </c>
      <c r="H4" s="12">
        <v>-75.143388889999997</v>
      </c>
      <c r="I4" s="13">
        <v>6.3762499999999998</v>
      </c>
      <c r="J4" s="14">
        <v>14.716170506912441</v>
      </c>
      <c r="K4" s="15">
        <v>14.811488062658009</v>
      </c>
      <c r="L4" s="15">
        <v>15.17777085650723</v>
      </c>
      <c r="M4" s="15">
        <v>15.43755336617405</v>
      </c>
      <c r="N4" s="15">
        <v>15.61767281105991</v>
      </c>
      <c r="O4" s="15">
        <v>15.226738010305191</v>
      </c>
      <c r="P4" s="15">
        <v>14.773956247682611</v>
      </c>
      <c r="Q4" s="15">
        <v>14.78540372493654</v>
      </c>
      <c r="R4" s="15">
        <v>15.0297619047619</v>
      </c>
      <c r="S4" s="15">
        <v>15.19415680704239</v>
      </c>
      <c r="T4" s="15">
        <v>15.422869002006941</v>
      </c>
      <c r="U4" s="15">
        <v>15.01068799304463</v>
      </c>
      <c r="V4" s="16">
        <v>15.10035244109099</v>
      </c>
      <c r="W4" s="17">
        <v>343</v>
      </c>
      <c r="X4" s="18">
        <v>0.95277777777777772</v>
      </c>
    </row>
    <row r="5" spans="1:24" ht="13.9" customHeight="1" x14ac:dyDescent="0.2">
      <c r="A5" s="10">
        <v>26195020</v>
      </c>
      <c r="B5" s="11" t="s">
        <v>446</v>
      </c>
      <c r="C5" s="11" t="s">
        <v>447</v>
      </c>
      <c r="D5" s="11" t="s">
        <v>448</v>
      </c>
      <c r="E5" s="11" t="s">
        <v>57</v>
      </c>
      <c r="F5" s="11">
        <v>1</v>
      </c>
      <c r="G5" s="11">
        <v>1180</v>
      </c>
      <c r="H5" s="12">
        <v>-75.880222220000007</v>
      </c>
      <c r="I5" s="13">
        <v>5.6909999999999998</v>
      </c>
      <c r="J5" s="14">
        <v>16.488764988441599</v>
      </c>
      <c r="K5" s="15">
        <v>16.979963186732579</v>
      </c>
      <c r="L5" s="15">
        <v>17.115707368535212</v>
      </c>
      <c r="M5" s="15">
        <v>17.05762847772132</v>
      </c>
      <c r="N5" s="15">
        <v>17.102391833733769</v>
      </c>
      <c r="O5" s="15">
        <v>16.66091732979665</v>
      </c>
      <c r="P5" s="15">
        <v>16.49518923632569</v>
      </c>
      <c r="Q5" s="15">
        <v>16.446428066631661</v>
      </c>
      <c r="R5" s="15">
        <v>16.628004801697461</v>
      </c>
      <c r="S5" s="15">
        <v>16.630249261244259</v>
      </c>
      <c r="T5" s="15">
        <v>16.973086644095009</v>
      </c>
      <c r="U5" s="15">
        <v>16.863380792002879</v>
      </c>
      <c r="V5" s="16">
        <v>16.786809332246509</v>
      </c>
      <c r="W5" s="17">
        <v>293</v>
      </c>
      <c r="X5" s="18">
        <v>0.81388888888888888</v>
      </c>
    </row>
    <row r="6" spans="1:24" ht="13.9" customHeight="1" x14ac:dyDescent="0.2">
      <c r="A6" s="10">
        <v>27025030</v>
      </c>
      <c r="B6" s="11" t="s">
        <v>445</v>
      </c>
      <c r="C6" s="11" t="s">
        <v>449</v>
      </c>
      <c r="D6" s="11" t="s">
        <v>449</v>
      </c>
      <c r="E6" s="11" t="s">
        <v>57</v>
      </c>
      <c r="F6" s="11">
        <v>1</v>
      </c>
      <c r="G6" s="11">
        <v>1601</v>
      </c>
      <c r="H6" s="12">
        <v>-75.15052777999999</v>
      </c>
      <c r="I6" s="13">
        <v>7.0719166700000002</v>
      </c>
      <c r="J6" s="14">
        <v>14.830824319941859</v>
      </c>
      <c r="K6" s="15">
        <v>15.149268483584819</v>
      </c>
      <c r="L6" s="15">
        <v>15.56298565263991</v>
      </c>
      <c r="M6" s="15">
        <v>15.921864310701791</v>
      </c>
      <c r="N6" s="15">
        <v>16.13692626894796</v>
      </c>
      <c r="O6" s="15">
        <v>15.907920565170601</v>
      </c>
      <c r="P6" s="15">
        <v>15.700555598338131</v>
      </c>
      <c r="Q6" s="15">
        <v>15.713385333422821</v>
      </c>
      <c r="R6" s="15">
        <v>15.59440124325593</v>
      </c>
      <c r="S6" s="15">
        <v>15.59488583308741</v>
      </c>
      <c r="T6" s="15">
        <v>15.581394256970921</v>
      </c>
      <c r="U6" s="15">
        <v>15.315989683286681</v>
      </c>
      <c r="V6" s="16">
        <v>15.5842001291124</v>
      </c>
      <c r="W6" s="17">
        <v>316</v>
      </c>
      <c r="X6" s="18">
        <v>0.87777777777777777</v>
      </c>
    </row>
    <row r="7" spans="1:24" ht="13.9" customHeight="1" x14ac:dyDescent="0.2">
      <c r="A7" s="10">
        <v>12015020</v>
      </c>
      <c r="B7" s="11" t="s">
        <v>450</v>
      </c>
      <c r="C7" s="11" t="s">
        <v>102</v>
      </c>
      <c r="D7" s="11" t="s">
        <v>103</v>
      </c>
      <c r="E7" s="11" t="s">
        <v>57</v>
      </c>
      <c r="F7" s="11">
        <v>1</v>
      </c>
      <c r="G7" s="11">
        <v>43</v>
      </c>
      <c r="H7" s="12">
        <v>-76.65133333</v>
      </c>
      <c r="I7" s="13">
        <v>7.8259166699999998</v>
      </c>
      <c r="J7" s="14">
        <v>23.478516865221401</v>
      </c>
      <c r="K7" s="15">
        <v>23.520370697511112</v>
      </c>
      <c r="L7" s="15">
        <v>23.69844358608681</v>
      </c>
      <c r="M7" s="15">
        <v>23.8610202474656</v>
      </c>
      <c r="N7" s="15">
        <v>23.718104417413869</v>
      </c>
      <c r="O7" s="15">
        <v>23.506470898679868</v>
      </c>
      <c r="P7" s="15">
        <v>23.317238592830801</v>
      </c>
      <c r="Q7" s="15">
        <v>23.41484549163583</v>
      </c>
      <c r="R7" s="15">
        <v>23.367963593239459</v>
      </c>
      <c r="S7" s="15">
        <v>23.197178156046359</v>
      </c>
      <c r="T7" s="15">
        <v>23.157931507278288</v>
      </c>
      <c r="U7" s="15">
        <v>23.336841674913501</v>
      </c>
      <c r="V7" s="16">
        <v>23.464577144026919</v>
      </c>
      <c r="W7" s="17">
        <v>293</v>
      </c>
      <c r="X7" s="18">
        <v>0.81388888888888888</v>
      </c>
    </row>
    <row r="8" spans="1:24" ht="13.9" customHeight="1" x14ac:dyDescent="0.2">
      <c r="A8" s="10">
        <v>27015090</v>
      </c>
      <c r="B8" s="11" t="s">
        <v>445</v>
      </c>
      <c r="C8" s="19" t="s">
        <v>113</v>
      </c>
      <c r="D8" s="11" t="s">
        <v>114</v>
      </c>
      <c r="E8" s="11" t="s">
        <v>57</v>
      </c>
      <c r="F8" s="11">
        <v>1</v>
      </c>
      <c r="G8" s="11">
        <v>1453</v>
      </c>
      <c r="H8" s="12">
        <v>-75.553250000000006</v>
      </c>
      <c r="I8" s="13">
        <v>6.3196944400000001</v>
      </c>
      <c r="J8" s="14">
        <v>16.99809964503708</v>
      </c>
      <c r="K8" s="15">
        <v>17.308879847621981</v>
      </c>
      <c r="L8" s="15">
        <v>17.500943259922469</v>
      </c>
      <c r="M8" s="15">
        <v>17.755934855120259</v>
      </c>
      <c r="N8" s="15">
        <v>17.754915704234701</v>
      </c>
      <c r="O8" s="15">
        <v>17.421139901477829</v>
      </c>
      <c r="P8" s="15">
        <v>17.20506668314588</v>
      </c>
      <c r="Q8" s="15">
        <v>17.324090157154679</v>
      </c>
      <c r="R8" s="15">
        <v>17.370087470001259</v>
      </c>
      <c r="S8" s="15">
        <v>17.338956590999601</v>
      </c>
      <c r="T8" s="15">
        <v>17.363827144120251</v>
      </c>
      <c r="U8" s="15">
        <v>17.283107039390341</v>
      </c>
      <c r="V8" s="16">
        <v>17.38542069151886</v>
      </c>
      <c r="W8" s="17">
        <v>310</v>
      </c>
      <c r="X8" s="18">
        <v>0.86111111111111116</v>
      </c>
    </row>
    <row r="9" spans="1:24" ht="13.9" customHeight="1" x14ac:dyDescent="0.2">
      <c r="A9" s="10">
        <v>26225040</v>
      </c>
      <c r="B9" s="11" t="s">
        <v>445</v>
      </c>
      <c r="C9" s="11" t="s">
        <v>451</v>
      </c>
      <c r="D9" s="11" t="s">
        <v>452</v>
      </c>
      <c r="E9" s="11" t="s">
        <v>57</v>
      </c>
      <c r="F9" s="11">
        <v>1</v>
      </c>
      <c r="G9" s="11">
        <v>1650</v>
      </c>
      <c r="H9" s="12">
        <v>-75.91297222</v>
      </c>
      <c r="I9" s="13">
        <v>6.7294999999999998</v>
      </c>
      <c r="J9" s="14">
        <v>16.283263826356151</v>
      </c>
      <c r="K9" s="15">
        <v>16.448349450844919</v>
      </c>
      <c r="L9" s="15">
        <v>16.569784122275781</v>
      </c>
      <c r="M9" s="15">
        <v>16.606957671957669</v>
      </c>
      <c r="N9" s="15">
        <v>16.57034441560582</v>
      </c>
      <c r="O9" s="15">
        <v>16.555581463236638</v>
      </c>
      <c r="P9" s="15">
        <v>16.367985731849089</v>
      </c>
      <c r="Q9" s="15">
        <v>16.392800212067371</v>
      </c>
      <c r="R9" s="15">
        <v>16.291943684242529</v>
      </c>
      <c r="S9" s="15">
        <v>16.309027330407339</v>
      </c>
      <c r="T9" s="15">
        <v>16.344597701149429</v>
      </c>
      <c r="U9" s="15">
        <v>16.376738422499209</v>
      </c>
      <c r="V9" s="16">
        <v>16.426447836041</v>
      </c>
      <c r="W9" s="17">
        <v>222</v>
      </c>
      <c r="X9" s="18">
        <v>0.92500000000000004</v>
      </c>
    </row>
    <row r="10" spans="1:24" ht="13.9" customHeight="1" x14ac:dyDescent="0.2">
      <c r="A10" s="10">
        <v>27015260</v>
      </c>
      <c r="B10" s="11" t="s">
        <v>450</v>
      </c>
      <c r="C10" s="11" t="s">
        <v>115</v>
      </c>
      <c r="D10" s="11" t="s">
        <v>453</v>
      </c>
      <c r="E10" s="11" t="s">
        <v>57</v>
      </c>
      <c r="F10" s="11">
        <v>1</v>
      </c>
      <c r="G10" s="11">
        <v>1923</v>
      </c>
      <c r="H10" s="12">
        <v>-75.624666669999996</v>
      </c>
      <c r="I10" s="13">
        <v>6.0483611100000001</v>
      </c>
      <c r="J10" s="14">
        <v>12.6826193746538</v>
      </c>
      <c r="K10" s="15">
        <v>12.89204895897273</v>
      </c>
      <c r="L10" s="15">
        <v>13.210011947431299</v>
      </c>
      <c r="M10" s="15">
        <v>13.458282247765011</v>
      </c>
      <c r="N10" s="15">
        <v>13.751721889748451</v>
      </c>
      <c r="O10" s="15">
        <v>13.23694388100067</v>
      </c>
      <c r="P10" s="15">
        <v>12.94546489563567</v>
      </c>
      <c r="Q10" s="15">
        <v>13.024959037378389</v>
      </c>
      <c r="R10" s="15">
        <v>13.01098388839768</v>
      </c>
      <c r="S10" s="15">
        <v>13.21942693527788</v>
      </c>
      <c r="T10" s="15">
        <v>13.40481135902637</v>
      </c>
      <c r="U10" s="15">
        <v>13.14032258064516</v>
      </c>
      <c r="V10" s="16">
        <v>13.164799749661089</v>
      </c>
      <c r="W10" s="17">
        <v>215</v>
      </c>
      <c r="X10" s="18">
        <v>0.89583333333333337</v>
      </c>
    </row>
    <row r="11" spans="1:24" ht="13.9" customHeight="1" x14ac:dyDescent="0.2">
      <c r="A11" s="10">
        <v>11115020</v>
      </c>
      <c r="B11" s="11" t="s">
        <v>445</v>
      </c>
      <c r="C11" s="11" t="s">
        <v>454</v>
      </c>
      <c r="D11" s="11" t="s">
        <v>455</v>
      </c>
      <c r="E11" s="11" t="s">
        <v>57</v>
      </c>
      <c r="F11" s="11">
        <v>1</v>
      </c>
      <c r="G11" s="11">
        <v>1294</v>
      </c>
      <c r="H11" s="12">
        <v>-76.029666669999997</v>
      </c>
      <c r="I11" s="13">
        <v>6.7580277799999999</v>
      </c>
      <c r="J11" s="14">
        <v>15.872612391193041</v>
      </c>
      <c r="K11" s="15">
        <v>16.068372002114529</v>
      </c>
      <c r="L11" s="15">
        <v>16.303645648969571</v>
      </c>
      <c r="M11" s="15">
        <v>16.57672693757117</v>
      </c>
      <c r="N11" s="15">
        <v>16.819650697454389</v>
      </c>
      <c r="O11" s="15">
        <v>16.79455749957534</v>
      </c>
      <c r="P11" s="15">
        <v>16.588551341131989</v>
      </c>
      <c r="Q11" s="15">
        <v>16.522878982345059</v>
      </c>
      <c r="R11" s="15">
        <v>16.43886904761905</v>
      </c>
      <c r="S11" s="15">
        <v>16.389006656426009</v>
      </c>
      <c r="T11" s="15">
        <v>16.355192231470479</v>
      </c>
      <c r="U11" s="15">
        <v>16.172912826420891</v>
      </c>
      <c r="V11" s="16">
        <v>16.408581355190961</v>
      </c>
      <c r="W11" s="17">
        <v>341</v>
      </c>
      <c r="X11" s="18">
        <v>0.94722222222222219</v>
      </c>
    </row>
    <row r="12" spans="1:24" ht="13.9" customHeight="1" x14ac:dyDescent="0.2">
      <c r="A12" s="10">
        <v>12015070</v>
      </c>
      <c r="B12" s="11" t="s">
        <v>444</v>
      </c>
      <c r="C12" s="11" t="s">
        <v>56</v>
      </c>
      <c r="D12" s="11" t="s">
        <v>58</v>
      </c>
      <c r="E12" s="11" t="s">
        <v>57</v>
      </c>
      <c r="F12" s="11">
        <v>1</v>
      </c>
      <c r="G12" s="11">
        <v>41</v>
      </c>
      <c r="H12" s="12">
        <v>-76.717888889999998</v>
      </c>
      <c r="I12" s="13">
        <v>7.8163888899999998</v>
      </c>
      <c r="J12" s="14">
        <v>23.728304994967949</v>
      </c>
      <c r="K12" s="15">
        <v>23.896130677135432</v>
      </c>
      <c r="L12" s="15">
        <v>23.97659992584353</v>
      </c>
      <c r="M12" s="15">
        <v>24.109385652001588</v>
      </c>
      <c r="N12" s="15">
        <v>23.81853170189099</v>
      </c>
      <c r="O12" s="15">
        <v>23.515431034482759</v>
      </c>
      <c r="P12" s="15">
        <v>23.317825682382139</v>
      </c>
      <c r="Q12" s="15">
        <v>23.404404619673439</v>
      </c>
      <c r="R12" s="15">
        <v>23.20104269293925</v>
      </c>
      <c r="S12" s="15">
        <v>23.20756656273802</v>
      </c>
      <c r="T12" s="15">
        <v>23.186159334126039</v>
      </c>
      <c r="U12" s="15">
        <v>23.54193385827347</v>
      </c>
      <c r="V12" s="16">
        <v>23.575276394704549</v>
      </c>
      <c r="W12" s="17">
        <v>342</v>
      </c>
      <c r="X12" s="18">
        <v>0.95</v>
      </c>
    </row>
    <row r="13" spans="1:24" ht="13.9" customHeight="1" x14ac:dyDescent="0.2">
      <c r="A13" s="10">
        <v>12015060</v>
      </c>
      <c r="B13" s="11" t="s">
        <v>445</v>
      </c>
      <c r="C13" s="11" t="s">
        <v>456</v>
      </c>
      <c r="D13" s="11" t="s">
        <v>58</v>
      </c>
      <c r="E13" s="11" t="s">
        <v>57</v>
      </c>
      <c r="F13" s="11">
        <v>1</v>
      </c>
      <c r="G13" s="11">
        <v>39</v>
      </c>
      <c r="H13" s="12">
        <v>-76.67</v>
      </c>
      <c r="I13" s="13">
        <v>7.77</v>
      </c>
      <c r="J13" s="14">
        <v>23.23348388017973</v>
      </c>
      <c r="K13" s="15">
        <v>23.423157570248851</v>
      </c>
      <c r="L13" s="15">
        <v>23.56839225990505</v>
      </c>
      <c r="M13" s="15">
        <v>23.975380211854851</v>
      </c>
      <c r="N13" s="15">
        <v>23.840456989247311</v>
      </c>
      <c r="O13" s="15">
        <v>23.29631256640587</v>
      </c>
      <c r="P13" s="15">
        <v>23.243948676244688</v>
      </c>
      <c r="Q13" s="15">
        <v>23.51538385754694</v>
      </c>
      <c r="R13" s="15">
        <v>23.352842150045209</v>
      </c>
      <c r="S13" s="15">
        <v>23.361908410065869</v>
      </c>
      <c r="T13" s="15">
        <v>23.219751870096701</v>
      </c>
      <c r="U13" s="15">
        <v>23.23853683877147</v>
      </c>
      <c r="V13" s="16">
        <v>23.43912960671771</v>
      </c>
      <c r="W13" s="17">
        <v>207</v>
      </c>
      <c r="X13" s="18">
        <v>0.86250000000000004</v>
      </c>
    </row>
    <row r="14" spans="1:24" ht="13.9" customHeight="1" x14ac:dyDescent="0.2">
      <c r="A14" s="10">
        <v>11025010</v>
      </c>
      <c r="B14" s="11" t="s">
        <v>445</v>
      </c>
      <c r="C14" s="11" t="s">
        <v>457</v>
      </c>
      <c r="D14" s="11" t="s">
        <v>458</v>
      </c>
      <c r="E14" s="11" t="s">
        <v>57</v>
      </c>
      <c r="F14" s="11">
        <v>1</v>
      </c>
      <c r="G14" s="11">
        <v>2018</v>
      </c>
      <c r="H14" s="12">
        <v>-76.084333329999993</v>
      </c>
      <c r="I14" s="13">
        <v>5.8783055600000003</v>
      </c>
      <c r="J14" s="14">
        <v>13.092839930253071</v>
      </c>
      <c r="K14" s="15">
        <v>13.481900941714731</v>
      </c>
      <c r="L14" s="15">
        <v>13.593112580507841</v>
      </c>
      <c r="M14" s="15">
        <v>13.799119796459699</v>
      </c>
      <c r="N14" s="15">
        <v>13.846823694108419</v>
      </c>
      <c r="O14" s="15">
        <v>13.509455050168491</v>
      </c>
      <c r="P14" s="15">
        <v>13.08642339326126</v>
      </c>
      <c r="Q14" s="15">
        <v>12.977877889012481</v>
      </c>
      <c r="R14" s="15">
        <v>13.187741350999371</v>
      </c>
      <c r="S14" s="15">
        <v>13.22637992831541</v>
      </c>
      <c r="T14" s="15">
        <v>13.46837602627258</v>
      </c>
      <c r="U14" s="15">
        <v>13.44629575645992</v>
      </c>
      <c r="V14" s="16">
        <v>13.39302886146111</v>
      </c>
      <c r="W14" s="17">
        <v>346</v>
      </c>
      <c r="X14" s="18">
        <v>0.96111111111111114</v>
      </c>
    </row>
    <row r="15" spans="1:24" ht="13.9" customHeight="1" x14ac:dyDescent="0.2">
      <c r="A15" s="10">
        <v>26215010</v>
      </c>
      <c r="B15" s="11" t="s">
        <v>445</v>
      </c>
      <c r="C15" s="11" t="s">
        <v>459</v>
      </c>
      <c r="D15" s="11" t="s">
        <v>460</v>
      </c>
      <c r="E15" s="11" t="s">
        <v>57</v>
      </c>
      <c r="F15" s="11">
        <v>1</v>
      </c>
      <c r="G15" s="11">
        <v>2032</v>
      </c>
      <c r="H15" s="12">
        <v>-75.919527779999996</v>
      </c>
      <c r="I15" s="13">
        <v>6.0395555600000002</v>
      </c>
      <c r="J15" s="14">
        <v>14.5387233946728</v>
      </c>
      <c r="K15" s="15">
        <v>14.66319820919821</v>
      </c>
      <c r="L15" s="15">
        <v>14.69960808174738</v>
      </c>
      <c r="M15" s="15">
        <v>14.64590416644111</v>
      </c>
      <c r="N15" s="15">
        <v>14.67782256366795</v>
      </c>
      <c r="O15" s="15">
        <v>14.749659892389079</v>
      </c>
      <c r="P15" s="15">
        <v>14.59061390963504</v>
      </c>
      <c r="Q15" s="15">
        <v>14.52523923203233</v>
      </c>
      <c r="R15" s="15">
        <v>14.299974014349489</v>
      </c>
      <c r="S15" s="15">
        <v>14.26232861564341</v>
      </c>
      <c r="T15" s="15">
        <v>14.23358015202035</v>
      </c>
      <c r="U15" s="15">
        <v>14.401917650643339</v>
      </c>
      <c r="V15" s="16">
        <v>14.52404749020338</v>
      </c>
      <c r="W15" s="17">
        <v>317</v>
      </c>
      <c r="X15" s="18">
        <v>0.88055555555555554</v>
      </c>
    </row>
    <row r="16" spans="1:24" ht="13.9" customHeight="1" x14ac:dyDescent="0.2">
      <c r="A16" s="10">
        <v>26175040</v>
      </c>
      <c r="B16" s="11" t="s">
        <v>445</v>
      </c>
      <c r="C16" s="11" t="s">
        <v>108</v>
      </c>
      <c r="D16" s="11" t="s">
        <v>109</v>
      </c>
      <c r="E16" s="11" t="s">
        <v>57</v>
      </c>
      <c r="F16" s="11">
        <v>1</v>
      </c>
      <c r="G16" s="11">
        <v>604</v>
      </c>
      <c r="H16" s="12">
        <v>-75.650972220000014</v>
      </c>
      <c r="I16" s="13">
        <v>5.8002500000000001</v>
      </c>
      <c r="J16" s="14">
        <v>19.401021186181101</v>
      </c>
      <c r="K16" s="15">
        <v>19.63839930503724</v>
      </c>
      <c r="L16" s="15">
        <v>20.100866663442471</v>
      </c>
      <c r="M16" s="15">
        <v>20.324466794380591</v>
      </c>
      <c r="N16" s="15">
        <v>20.33293778801843</v>
      </c>
      <c r="O16" s="15">
        <v>19.961159777254231</v>
      </c>
      <c r="P16" s="15">
        <v>19.581162337847541</v>
      </c>
      <c r="Q16" s="15">
        <v>19.435919418842811</v>
      </c>
      <c r="R16" s="15">
        <v>19.576900580794259</v>
      </c>
      <c r="S16" s="15">
        <v>19.808075083426029</v>
      </c>
      <c r="T16" s="15">
        <v>20.052992230736489</v>
      </c>
      <c r="U16" s="15">
        <v>19.776212112857269</v>
      </c>
      <c r="V16" s="16">
        <v>19.832509439901539</v>
      </c>
      <c r="W16" s="17">
        <v>286</v>
      </c>
      <c r="X16" s="18">
        <v>0.7944444444444444</v>
      </c>
    </row>
    <row r="17" spans="1:24" ht="13.9" customHeight="1" x14ac:dyDescent="0.2">
      <c r="A17" s="10">
        <v>11115040</v>
      </c>
      <c r="B17" s="11" t="s">
        <v>445</v>
      </c>
      <c r="C17" s="11" t="s">
        <v>461</v>
      </c>
      <c r="D17" s="11" t="s">
        <v>462</v>
      </c>
      <c r="E17" s="11" t="s">
        <v>57</v>
      </c>
      <c r="F17" s="11">
        <v>1</v>
      </c>
      <c r="G17" s="11">
        <v>1396</v>
      </c>
      <c r="H17" s="12">
        <v>-76.203333329999992</v>
      </c>
      <c r="I17" s="13">
        <v>6.7779722199999997</v>
      </c>
      <c r="J17" s="14">
        <v>15.08752531157068</v>
      </c>
      <c r="K17" s="15">
        <v>15.12819772379819</v>
      </c>
      <c r="L17" s="15">
        <v>15.44082574873377</v>
      </c>
      <c r="M17" s="15">
        <v>15.826054104436979</v>
      </c>
      <c r="N17" s="15">
        <v>15.927893956247679</v>
      </c>
      <c r="O17" s="15">
        <v>15.83232373034989</v>
      </c>
      <c r="P17" s="15">
        <v>15.55446650124069</v>
      </c>
      <c r="Q17" s="15">
        <v>15.50039534896464</v>
      </c>
      <c r="R17" s="15">
        <v>15.470206481324199</v>
      </c>
      <c r="S17" s="15">
        <v>15.316941337916131</v>
      </c>
      <c r="T17" s="15">
        <v>15.481253043429019</v>
      </c>
      <c r="U17" s="15">
        <v>15.37084145776927</v>
      </c>
      <c r="V17" s="16">
        <v>15.4947437288151</v>
      </c>
      <c r="W17" s="17">
        <v>343</v>
      </c>
      <c r="X17" s="18">
        <v>0.95277777777777772</v>
      </c>
    </row>
    <row r="18" spans="1:24" ht="13.9" customHeight="1" x14ac:dyDescent="0.2">
      <c r="A18" s="10">
        <v>26195030</v>
      </c>
      <c r="B18" s="11" t="s">
        <v>445</v>
      </c>
      <c r="C18" s="11" t="s">
        <v>463</v>
      </c>
      <c r="D18" s="11" t="s">
        <v>464</v>
      </c>
      <c r="E18" s="11" t="s">
        <v>57</v>
      </c>
      <c r="F18" s="11">
        <v>1</v>
      </c>
      <c r="G18" s="11">
        <v>2161</v>
      </c>
      <c r="H18" s="12">
        <v>-75.800555560000006</v>
      </c>
      <c r="I18" s="13">
        <v>5.5877222199999999</v>
      </c>
      <c r="J18" s="14">
        <v>13.119338485170751</v>
      </c>
      <c r="K18" s="15">
        <v>13.34600533759982</v>
      </c>
      <c r="L18" s="15">
        <v>13.53329833147942</v>
      </c>
      <c r="M18" s="15">
        <v>13.69401394467601</v>
      </c>
      <c r="N18" s="15">
        <v>13.76180776259336</v>
      </c>
      <c r="O18" s="15">
        <v>13.4513929939792</v>
      </c>
      <c r="P18" s="15">
        <v>13.065449809657389</v>
      </c>
      <c r="Q18" s="15">
        <v>13.03569060419867</v>
      </c>
      <c r="R18" s="15">
        <v>13.091280326208491</v>
      </c>
      <c r="S18" s="15">
        <v>13.120148353882451</v>
      </c>
      <c r="T18" s="15">
        <v>13.28901149425287</v>
      </c>
      <c r="U18" s="15">
        <v>13.282352711728871</v>
      </c>
      <c r="V18" s="16">
        <v>13.3158158462856</v>
      </c>
      <c r="W18" s="17">
        <v>289</v>
      </c>
      <c r="X18" s="18">
        <v>0.80277777777777781</v>
      </c>
    </row>
    <row r="19" spans="1:24" ht="13.9" customHeight="1" x14ac:dyDescent="0.2">
      <c r="A19" s="10">
        <v>26185020</v>
      </c>
      <c r="B19" s="11" t="s">
        <v>445</v>
      </c>
      <c r="C19" s="11" t="s">
        <v>110</v>
      </c>
      <c r="D19" s="11" t="s">
        <v>465</v>
      </c>
      <c r="E19" s="11" t="s">
        <v>57</v>
      </c>
      <c r="F19" s="11">
        <v>1</v>
      </c>
      <c r="G19" s="11">
        <v>2408</v>
      </c>
      <c r="H19" s="12">
        <v>-75.318638890000003</v>
      </c>
      <c r="I19" s="13">
        <v>5.8863611100000002</v>
      </c>
      <c r="J19" s="14">
        <v>9.6394512421208756</v>
      </c>
      <c r="K19" s="15">
        <v>9.9988565514724854</v>
      </c>
      <c r="L19" s="15">
        <v>10.23607341490545</v>
      </c>
      <c r="M19" s="15">
        <v>10.3192191835117</v>
      </c>
      <c r="N19" s="15">
        <v>10.45509084167594</v>
      </c>
      <c r="O19" s="15">
        <v>9.7826991676575545</v>
      </c>
      <c r="P19" s="15">
        <v>9.3349769585253455</v>
      </c>
      <c r="Q19" s="15">
        <v>9.4603029050299927</v>
      </c>
      <c r="R19" s="15">
        <v>9.8631470471660734</v>
      </c>
      <c r="S19" s="15">
        <v>9.9480459770114962</v>
      </c>
      <c r="T19" s="15">
        <v>10.0772637449748</v>
      </c>
      <c r="U19" s="15">
        <v>9.7809121245828727</v>
      </c>
      <c r="V19" s="16">
        <v>9.9080032632195483</v>
      </c>
      <c r="W19" s="17">
        <v>347</v>
      </c>
      <c r="X19" s="18">
        <v>0.96388888888888891</v>
      </c>
    </row>
    <row r="20" spans="1:24" ht="13.9" customHeight="1" x14ac:dyDescent="0.2">
      <c r="A20" s="20">
        <v>27015330</v>
      </c>
      <c r="B20" s="11" t="s">
        <v>444</v>
      </c>
      <c r="C20" s="11" t="s">
        <v>59</v>
      </c>
      <c r="D20" s="11" t="s">
        <v>60</v>
      </c>
      <c r="E20" s="11" t="s">
        <v>57</v>
      </c>
      <c r="F20" s="11">
        <v>1</v>
      </c>
      <c r="G20" s="11">
        <v>1490</v>
      </c>
      <c r="H20" s="12">
        <v>-75.59</v>
      </c>
      <c r="I20" s="13">
        <v>6.22</v>
      </c>
      <c r="J20" s="14">
        <v>17.500007415647008</v>
      </c>
      <c r="K20" s="15">
        <v>17.806403154470932</v>
      </c>
      <c r="L20" s="15">
        <v>17.952932888394511</v>
      </c>
      <c r="M20" s="15">
        <v>17.932061147334629</v>
      </c>
      <c r="N20" s="15">
        <v>17.930255839822021</v>
      </c>
      <c r="O20" s="15">
        <v>17.698188664288551</v>
      </c>
      <c r="P20" s="15">
        <v>17.48384501297738</v>
      </c>
      <c r="Q20" s="15">
        <v>17.58853046594982</v>
      </c>
      <c r="R20" s="15">
        <v>17.481532567049811</v>
      </c>
      <c r="S20" s="15">
        <v>17.420270031836139</v>
      </c>
      <c r="T20" s="15">
        <v>17.55502972651605</v>
      </c>
      <c r="U20" s="15">
        <v>17.6117582754785</v>
      </c>
      <c r="V20" s="16">
        <v>17.663401265813778</v>
      </c>
      <c r="W20" s="17">
        <v>344</v>
      </c>
      <c r="X20" s="18">
        <v>0.9555555555555556</v>
      </c>
    </row>
    <row r="21" spans="1:24" ht="13.9" customHeight="1" x14ac:dyDescent="0.2">
      <c r="A21" s="10">
        <v>12015010</v>
      </c>
      <c r="B21" s="11" t="s">
        <v>445</v>
      </c>
      <c r="C21" s="11" t="s">
        <v>466</v>
      </c>
      <c r="D21" s="11" t="s">
        <v>467</v>
      </c>
      <c r="E21" s="11" t="s">
        <v>57</v>
      </c>
      <c r="F21" s="11">
        <v>1</v>
      </c>
      <c r="G21" s="11">
        <v>132</v>
      </c>
      <c r="H21" s="12">
        <v>-76.486027780000001</v>
      </c>
      <c r="I21" s="13">
        <v>7.3346666699999998</v>
      </c>
      <c r="J21" s="14">
        <v>22.612191689897781</v>
      </c>
      <c r="K21" s="15">
        <v>22.603365667254561</v>
      </c>
      <c r="L21" s="15">
        <v>22.701628924685409</v>
      </c>
      <c r="M21" s="15">
        <v>22.94704676762148</v>
      </c>
      <c r="N21" s="15">
        <v>22.886560272010769</v>
      </c>
      <c r="O21" s="15">
        <v>22.708438241196859</v>
      </c>
      <c r="P21" s="15">
        <v>22.493046594982079</v>
      </c>
      <c r="Q21" s="15">
        <v>22.48250430107527</v>
      </c>
      <c r="R21" s="15">
        <v>22.626776355828081</v>
      </c>
      <c r="S21" s="15">
        <v>22.353930704898449</v>
      </c>
      <c r="T21" s="15">
        <v>22.465556586785969</v>
      </c>
      <c r="U21" s="15">
        <v>22.58563236047107</v>
      </c>
      <c r="V21" s="16">
        <v>22.622223205558981</v>
      </c>
      <c r="W21" s="17">
        <v>108</v>
      </c>
      <c r="X21" s="18">
        <v>0.9</v>
      </c>
    </row>
    <row r="22" spans="1:24" ht="13.9" customHeight="1" x14ac:dyDescent="0.2">
      <c r="A22" s="10">
        <v>12025030</v>
      </c>
      <c r="B22" s="11" t="s">
        <v>445</v>
      </c>
      <c r="C22" s="11" t="s">
        <v>468</v>
      </c>
      <c r="D22" s="11" t="s">
        <v>469</v>
      </c>
      <c r="E22" s="11" t="s">
        <v>57</v>
      </c>
      <c r="F22" s="11">
        <v>1</v>
      </c>
      <c r="G22" s="11">
        <v>54</v>
      </c>
      <c r="H22" s="12">
        <v>-76.673361110000002</v>
      </c>
      <c r="I22" s="13">
        <v>8.5426666700000009</v>
      </c>
      <c r="J22" s="14">
        <v>23.238198756603911</v>
      </c>
      <c r="K22" s="15">
        <v>23.640823554223559</v>
      </c>
      <c r="L22" s="15">
        <v>24.28232670248423</v>
      </c>
      <c r="M22" s="15">
        <v>24.518787131185121</v>
      </c>
      <c r="N22" s="15">
        <v>24.182699359277201</v>
      </c>
      <c r="O22" s="15">
        <v>23.834927083175721</v>
      </c>
      <c r="P22" s="15">
        <v>23.585194082159699</v>
      </c>
      <c r="Q22" s="15">
        <v>23.510441465188649</v>
      </c>
      <c r="R22" s="15">
        <v>23.510696541432178</v>
      </c>
      <c r="S22" s="15">
        <v>23.562781019671078</v>
      </c>
      <c r="T22" s="15">
        <v>23.49348717780304</v>
      </c>
      <c r="U22" s="15">
        <v>23.384519690383751</v>
      </c>
      <c r="V22" s="16">
        <v>23.728740213632349</v>
      </c>
      <c r="W22" s="17">
        <v>290</v>
      </c>
      <c r="X22" s="18">
        <v>0.80555555555555558</v>
      </c>
    </row>
    <row r="23" spans="1:24" ht="13.9" customHeight="1" x14ac:dyDescent="0.2">
      <c r="A23" s="10">
        <v>23085110</v>
      </c>
      <c r="B23" s="11" t="s">
        <v>445</v>
      </c>
      <c r="C23" s="11" t="s">
        <v>470</v>
      </c>
      <c r="D23" s="11" t="s">
        <v>107</v>
      </c>
      <c r="E23" s="11" t="s">
        <v>57</v>
      </c>
      <c r="F23" s="11">
        <v>1</v>
      </c>
      <c r="G23" s="11">
        <v>2022</v>
      </c>
      <c r="H23" s="12">
        <v>-75.241388889999996</v>
      </c>
      <c r="I23" s="13">
        <v>6.2138888999999997</v>
      </c>
      <c r="J23" s="14">
        <v>13.017105306941231</v>
      </c>
      <c r="K23" s="15">
        <v>13.231124674218449</v>
      </c>
      <c r="L23" s="15">
        <v>13.34697946308864</v>
      </c>
      <c r="M23" s="15">
        <v>13.4083080852736</v>
      </c>
      <c r="N23" s="15">
        <v>13.74427629813437</v>
      </c>
      <c r="O23" s="15">
        <v>13.46206094043888</v>
      </c>
      <c r="P23" s="15">
        <v>13.253440860215051</v>
      </c>
      <c r="Q23" s="15">
        <v>13.2928973207542</v>
      </c>
      <c r="R23" s="15">
        <v>13.05107074438971</v>
      </c>
      <c r="S23" s="15">
        <v>13.09084501214612</v>
      </c>
      <c r="T23" s="15">
        <v>13.21643397470984</v>
      </c>
      <c r="U23" s="15">
        <v>13.158936163638611</v>
      </c>
      <c r="V23" s="16">
        <v>13.272789903662391</v>
      </c>
      <c r="W23" s="17">
        <v>302</v>
      </c>
      <c r="X23" s="18">
        <v>0.83888888888888891</v>
      </c>
    </row>
    <row r="24" spans="1:24" ht="13.9" customHeight="1" x14ac:dyDescent="0.2">
      <c r="A24" s="10">
        <v>23095010</v>
      </c>
      <c r="B24" s="11" t="s">
        <v>471</v>
      </c>
      <c r="C24" s="11" t="s">
        <v>472</v>
      </c>
      <c r="D24" s="11" t="s">
        <v>473</v>
      </c>
      <c r="E24" s="11" t="s">
        <v>57</v>
      </c>
      <c r="F24" s="11">
        <v>8</v>
      </c>
      <c r="G24" s="11">
        <v>150</v>
      </c>
      <c r="H24" s="12">
        <v>-74.412222220000004</v>
      </c>
      <c r="I24" s="13">
        <v>6.4649999999999999</v>
      </c>
      <c r="J24" s="14">
        <v>23.109732401080571</v>
      </c>
      <c r="K24" s="15">
        <v>23.35714855865718</v>
      </c>
      <c r="L24" s="15">
        <v>23.4744623655914</v>
      </c>
      <c r="M24" s="15">
        <v>23.43824561403509</v>
      </c>
      <c r="N24" s="15">
        <v>23.445591397849459</v>
      </c>
      <c r="O24" s="15">
        <v>23.245051421657589</v>
      </c>
      <c r="P24" s="15">
        <v>22.965185185185181</v>
      </c>
      <c r="Q24" s="15">
        <v>22.85703413149113</v>
      </c>
      <c r="R24" s="15">
        <v>22.762016420361249</v>
      </c>
      <c r="S24" s="15">
        <v>22.89644493882091</v>
      </c>
      <c r="T24" s="15">
        <v>23.181575793299931</v>
      </c>
      <c r="U24" s="15">
        <v>23.385761051373951</v>
      </c>
      <c r="V24" s="16">
        <v>23.176520773283642</v>
      </c>
      <c r="W24" s="17">
        <v>233</v>
      </c>
      <c r="X24" s="18">
        <v>0.97083333333333333</v>
      </c>
    </row>
    <row r="25" spans="1:24" ht="13.9" customHeight="1" x14ac:dyDescent="0.2">
      <c r="A25" s="10">
        <v>23175020</v>
      </c>
      <c r="B25" s="11" t="s">
        <v>445</v>
      </c>
      <c r="C25" s="11" t="s">
        <v>474</v>
      </c>
      <c r="D25" s="11" t="s">
        <v>475</v>
      </c>
      <c r="E25" s="11" t="s">
        <v>57</v>
      </c>
      <c r="F25" s="11">
        <v>1</v>
      </c>
      <c r="G25" s="11">
        <v>643</v>
      </c>
      <c r="H25" s="12">
        <v>-74.716305560000009</v>
      </c>
      <c r="I25" s="13">
        <v>7.0117500000000001</v>
      </c>
      <c r="J25" s="14">
        <v>19.96879480881168</v>
      </c>
      <c r="K25" s="15">
        <v>20.098241743316731</v>
      </c>
      <c r="L25" s="15">
        <v>20.196376421424699</v>
      </c>
      <c r="M25" s="15">
        <v>20.302222661920119</v>
      </c>
      <c r="N25" s="15">
        <v>20.25026971571198</v>
      </c>
      <c r="O25" s="15">
        <v>19.951473266238231</v>
      </c>
      <c r="P25" s="15">
        <v>19.75765290493711</v>
      </c>
      <c r="Q25" s="15">
        <v>19.842078201989171</v>
      </c>
      <c r="R25" s="15">
        <v>19.778257597340929</v>
      </c>
      <c r="S25" s="15">
        <v>19.902250955824499</v>
      </c>
      <c r="T25" s="15">
        <v>20.04965386558623</v>
      </c>
      <c r="U25" s="15">
        <v>19.952518528406049</v>
      </c>
      <c r="V25" s="16">
        <v>20.004149222625621</v>
      </c>
      <c r="W25" s="17">
        <v>293</v>
      </c>
      <c r="X25" s="18">
        <v>0.81388888888888888</v>
      </c>
    </row>
    <row r="26" spans="1:24" ht="13.9" customHeight="1" x14ac:dyDescent="0.2">
      <c r="A26" s="10">
        <v>23085270</v>
      </c>
      <c r="B26" s="11" t="s">
        <v>444</v>
      </c>
      <c r="C26" s="11" t="s">
        <v>61</v>
      </c>
      <c r="D26" s="11" t="s">
        <v>476</v>
      </c>
      <c r="E26" s="11" t="s">
        <v>57</v>
      </c>
      <c r="F26" s="11">
        <v>1</v>
      </c>
      <c r="G26" s="11">
        <v>2157</v>
      </c>
      <c r="H26" s="12">
        <v>-75.430000000000007</v>
      </c>
      <c r="I26" s="13">
        <v>6.17</v>
      </c>
      <c r="J26" s="14">
        <v>12.43654121863799</v>
      </c>
      <c r="K26" s="15">
        <v>12.761022167487679</v>
      </c>
      <c r="L26" s="15">
        <v>12.9314623655914</v>
      </c>
      <c r="M26" s="15">
        <v>13.22992337164751</v>
      </c>
      <c r="N26" s="15">
        <v>13.280400716845881</v>
      </c>
      <c r="O26" s="15">
        <v>12.62459770114943</v>
      </c>
      <c r="P26" s="15">
        <v>12.078935483870969</v>
      </c>
      <c r="Q26" s="15">
        <v>12.112884686688909</v>
      </c>
      <c r="R26" s="15">
        <v>12.499881093935789</v>
      </c>
      <c r="S26" s="15">
        <v>12.681788530465949</v>
      </c>
      <c r="T26" s="15">
        <v>12.909458128078819</v>
      </c>
      <c r="U26" s="15">
        <v>12.72505005561735</v>
      </c>
      <c r="V26" s="16">
        <v>12.689328793334809</v>
      </c>
      <c r="W26" s="17">
        <v>354</v>
      </c>
      <c r="X26" s="18">
        <v>0.98333333333333328</v>
      </c>
    </row>
    <row r="27" spans="1:24" ht="13.9" customHeight="1" x14ac:dyDescent="0.2">
      <c r="A27" s="10">
        <v>23085260</v>
      </c>
      <c r="B27" s="11" t="s">
        <v>450</v>
      </c>
      <c r="C27" s="11" t="s">
        <v>477</v>
      </c>
      <c r="D27" s="11" t="s">
        <v>476</v>
      </c>
      <c r="E27" s="11" t="s">
        <v>57</v>
      </c>
      <c r="F27" s="11">
        <v>1</v>
      </c>
      <c r="G27" s="11">
        <v>2125</v>
      </c>
      <c r="H27" s="12">
        <v>-75.414555560000011</v>
      </c>
      <c r="I27" s="13">
        <v>6.1319166699999998</v>
      </c>
      <c r="J27" s="14">
        <v>12.25947944109439</v>
      </c>
      <c r="K27" s="15">
        <v>12.480324955205271</v>
      </c>
      <c r="L27" s="15">
        <v>12.79103294825676</v>
      </c>
      <c r="M27" s="15">
        <v>13.135711679874349</v>
      </c>
      <c r="N27" s="15">
        <v>13.06735953594006</v>
      </c>
      <c r="O27" s="15">
        <v>12.27816574565281</v>
      </c>
      <c r="P27" s="15">
        <v>11.683368525131881</v>
      </c>
      <c r="Q27" s="15">
        <v>11.59115225494214</v>
      </c>
      <c r="R27" s="15">
        <v>12.26197069307227</v>
      </c>
      <c r="S27" s="15">
        <v>12.583912151932831</v>
      </c>
      <c r="T27" s="15">
        <v>12.815481534664841</v>
      </c>
      <c r="U27" s="15">
        <v>12.69876331850514</v>
      </c>
      <c r="V27" s="16">
        <v>12.470560232022731</v>
      </c>
      <c r="W27" s="17">
        <v>228</v>
      </c>
      <c r="X27" s="18">
        <v>0.95</v>
      </c>
    </row>
    <row r="28" spans="1:24" ht="13.9" customHeight="1" x14ac:dyDescent="0.2">
      <c r="A28" s="10">
        <v>23085220</v>
      </c>
      <c r="B28" s="11" t="s">
        <v>471</v>
      </c>
      <c r="C28" s="11" t="s">
        <v>478</v>
      </c>
      <c r="D28" s="11" t="s">
        <v>479</v>
      </c>
      <c r="E28" s="11" t="s">
        <v>57</v>
      </c>
      <c r="F28" s="11">
        <v>1</v>
      </c>
      <c r="G28" s="11">
        <v>1113</v>
      </c>
      <c r="H28" s="12">
        <v>-75.038916669999992</v>
      </c>
      <c r="I28" s="13">
        <v>6.1576666700000002</v>
      </c>
      <c r="J28" s="14">
        <v>17.195957999089721</v>
      </c>
      <c r="K28" s="15">
        <v>17.317993726579932</v>
      </c>
      <c r="L28" s="15">
        <v>17.40635295831347</v>
      </c>
      <c r="M28" s="15">
        <v>17.544144630541869</v>
      </c>
      <c r="N28" s="15">
        <v>17.451639525859189</v>
      </c>
      <c r="O28" s="15">
        <v>17.331273585673589</v>
      </c>
      <c r="P28" s="15">
        <v>17.151696793026929</v>
      </c>
      <c r="Q28" s="15">
        <v>17.044787950162139</v>
      </c>
      <c r="R28" s="15">
        <v>16.951559934318549</v>
      </c>
      <c r="S28" s="15">
        <v>17.02685764164768</v>
      </c>
      <c r="T28" s="15">
        <v>17.114371465061119</v>
      </c>
      <c r="U28" s="15">
        <v>17.162708606270339</v>
      </c>
      <c r="V28" s="16">
        <v>17.224945401378712</v>
      </c>
      <c r="W28" s="17">
        <v>296</v>
      </c>
      <c r="X28" s="18">
        <v>0.82222222222222219</v>
      </c>
    </row>
    <row r="29" spans="1:24" ht="13.9" customHeight="1" x14ac:dyDescent="0.2">
      <c r="A29" s="10">
        <v>23085140</v>
      </c>
      <c r="B29" s="11" t="s">
        <v>445</v>
      </c>
      <c r="C29" s="11" t="s">
        <v>480</v>
      </c>
      <c r="D29" s="11" t="s">
        <v>481</v>
      </c>
      <c r="E29" s="11" t="s">
        <v>57</v>
      </c>
      <c r="F29" s="11">
        <v>1</v>
      </c>
      <c r="G29" s="11">
        <v>1325</v>
      </c>
      <c r="H29" s="12">
        <v>-75.100694439999998</v>
      </c>
      <c r="I29" s="13">
        <v>5.96380556</v>
      </c>
      <c r="J29" s="14">
        <v>17.43738873881032</v>
      </c>
      <c r="K29" s="15">
        <v>17.64325491288356</v>
      </c>
      <c r="L29" s="15">
        <v>17.585989642541371</v>
      </c>
      <c r="M29" s="15">
        <v>17.547306695858421</v>
      </c>
      <c r="N29" s="15">
        <v>17.627966537298001</v>
      </c>
      <c r="O29" s="15">
        <v>17.582395717191371</v>
      </c>
      <c r="P29" s="15">
        <v>17.303889212252422</v>
      </c>
      <c r="Q29" s="15">
        <v>17.2009115948938</v>
      </c>
      <c r="R29" s="15">
        <v>17.133691540473151</v>
      </c>
      <c r="S29" s="15">
        <v>17.039684472958481</v>
      </c>
      <c r="T29" s="15">
        <v>17.27282225933568</v>
      </c>
      <c r="U29" s="15">
        <v>17.415326125487422</v>
      </c>
      <c r="V29" s="16">
        <v>17.399218954165331</v>
      </c>
      <c r="W29" s="17">
        <v>320</v>
      </c>
      <c r="X29" s="18">
        <v>0.88888888888888884</v>
      </c>
    </row>
    <row r="30" spans="1:24" ht="13.9" customHeight="1" x14ac:dyDescent="0.2">
      <c r="A30" s="10">
        <v>23085210</v>
      </c>
      <c r="B30" s="11" t="s">
        <v>471</v>
      </c>
      <c r="C30" s="11" t="s">
        <v>482</v>
      </c>
      <c r="D30" s="11" t="s">
        <v>483</v>
      </c>
      <c r="E30" s="11" t="s">
        <v>57</v>
      </c>
      <c r="F30" s="11">
        <v>1</v>
      </c>
      <c r="G30" s="11">
        <v>1016</v>
      </c>
      <c r="H30" s="12">
        <v>-75.002777780000002</v>
      </c>
      <c r="I30" s="13">
        <v>6.3488888899999996</v>
      </c>
      <c r="J30" s="14">
        <v>17.593790316962728</v>
      </c>
      <c r="K30" s="15">
        <v>17.863641051635351</v>
      </c>
      <c r="L30" s="15">
        <v>18.128310852759881</v>
      </c>
      <c r="M30" s="15">
        <v>18.42541523163937</v>
      </c>
      <c r="N30" s="15">
        <v>18.419121085236601</v>
      </c>
      <c r="O30" s="15">
        <v>17.959368097419819</v>
      </c>
      <c r="P30" s="15">
        <v>17.383841826150611</v>
      </c>
      <c r="Q30" s="15">
        <v>17.14750407272042</v>
      </c>
      <c r="R30" s="15">
        <v>17.816055336617399</v>
      </c>
      <c r="S30" s="15">
        <v>18.108446343477858</v>
      </c>
      <c r="T30" s="15">
        <v>18.29747837985769</v>
      </c>
      <c r="U30" s="15">
        <v>18.067126749162341</v>
      </c>
      <c r="V30" s="16">
        <v>17.93417494530334</v>
      </c>
      <c r="W30" s="17">
        <v>116</v>
      </c>
      <c r="X30" s="18">
        <v>0.96666666666666667</v>
      </c>
    </row>
    <row r="31" spans="1:24" ht="13.9" customHeight="1" x14ac:dyDescent="0.2">
      <c r="A31" s="10">
        <v>23085080</v>
      </c>
      <c r="B31" s="11" t="s">
        <v>471</v>
      </c>
      <c r="C31" s="11" t="s">
        <v>484</v>
      </c>
      <c r="D31" s="11" t="s">
        <v>485</v>
      </c>
      <c r="E31" s="11" t="s">
        <v>57</v>
      </c>
      <c r="F31" s="11">
        <v>1</v>
      </c>
      <c r="G31" s="11">
        <v>859</v>
      </c>
      <c r="H31" s="12">
        <v>-74.836694440000002</v>
      </c>
      <c r="I31" s="13">
        <v>6.4835833300000001</v>
      </c>
      <c r="J31" s="14">
        <v>18.111302952722308</v>
      </c>
      <c r="K31" s="15">
        <v>18.337200819233239</v>
      </c>
      <c r="L31" s="15">
        <v>18.474193548387099</v>
      </c>
      <c r="M31" s="15">
        <v>18.727566589788811</v>
      </c>
      <c r="N31" s="15">
        <v>19.05311827956989</v>
      </c>
      <c r="O31" s="15">
        <v>19.029928160919539</v>
      </c>
      <c r="P31" s="15">
        <v>18.15666295884316</v>
      </c>
      <c r="Q31" s="15">
        <v>18.36653225806452</v>
      </c>
      <c r="R31" s="15">
        <v>18.628275862068971</v>
      </c>
      <c r="S31" s="15">
        <v>18.69663041239237</v>
      </c>
      <c r="T31" s="15">
        <v>18.959254596687551</v>
      </c>
      <c r="U31" s="15">
        <v>18.839435483870961</v>
      </c>
      <c r="V31" s="16">
        <v>18.615008493545702</v>
      </c>
      <c r="W31" s="17">
        <v>103</v>
      </c>
      <c r="X31" s="18">
        <v>0.85833333333333328</v>
      </c>
    </row>
    <row r="32" spans="1:24" ht="13.9" customHeight="1" x14ac:dyDescent="0.2">
      <c r="A32" s="10">
        <v>23085160</v>
      </c>
      <c r="B32" s="11" t="s">
        <v>445</v>
      </c>
      <c r="C32" s="11" t="s">
        <v>486</v>
      </c>
      <c r="D32" s="11" t="s">
        <v>487</v>
      </c>
      <c r="E32" s="11" t="s">
        <v>57</v>
      </c>
      <c r="F32" s="11">
        <v>1</v>
      </c>
      <c r="G32" s="11">
        <v>1965</v>
      </c>
      <c r="H32" s="12">
        <v>-75.253555560000009</v>
      </c>
      <c r="I32" s="13">
        <v>6.3119444400000004</v>
      </c>
      <c r="J32" s="14">
        <v>11.99389294983845</v>
      </c>
      <c r="K32" s="15">
        <v>12.183126689402551</v>
      </c>
      <c r="L32" s="15">
        <v>12.70794446211138</v>
      </c>
      <c r="M32" s="15">
        <v>13.14452265167782</v>
      </c>
      <c r="N32" s="15">
        <v>13.34739366322097</v>
      </c>
      <c r="O32" s="15">
        <v>12.646725898090841</v>
      </c>
      <c r="P32" s="15">
        <v>12.11643461871215</v>
      </c>
      <c r="Q32" s="15">
        <v>12.25528144334689</v>
      </c>
      <c r="R32" s="15">
        <v>12.727216569493031</v>
      </c>
      <c r="S32" s="15">
        <v>12.985831865098611</v>
      </c>
      <c r="T32" s="15">
        <v>12.99615702244116</v>
      </c>
      <c r="U32" s="15">
        <v>12.475752016055459</v>
      </c>
      <c r="V32" s="16">
        <v>12.63168998745744</v>
      </c>
      <c r="W32" s="17">
        <v>294</v>
      </c>
      <c r="X32" s="18">
        <v>0.81666666666666665</v>
      </c>
    </row>
    <row r="33" spans="1:24" ht="13.9" customHeight="1" x14ac:dyDescent="0.2">
      <c r="A33" s="10">
        <v>26225030</v>
      </c>
      <c r="B33" s="11" t="s">
        <v>450</v>
      </c>
      <c r="C33" s="11" t="s">
        <v>488</v>
      </c>
      <c r="D33" s="11" t="s">
        <v>489</v>
      </c>
      <c r="E33" s="11" t="s">
        <v>57</v>
      </c>
      <c r="F33" s="11">
        <v>1</v>
      </c>
      <c r="G33" s="11">
        <v>534</v>
      </c>
      <c r="H33" s="12">
        <v>-75.827333329999988</v>
      </c>
      <c r="I33" s="13">
        <v>6.53391667</v>
      </c>
      <c r="J33" s="14">
        <v>20.369079795217601</v>
      </c>
      <c r="K33" s="15">
        <v>21.228802316180129</v>
      </c>
      <c r="L33" s="15">
        <v>21.433193682225891</v>
      </c>
      <c r="M33" s="15">
        <v>21.870863639749579</v>
      </c>
      <c r="N33" s="15">
        <v>21.75787697981886</v>
      </c>
      <c r="O33" s="15">
        <v>21.484556240906819</v>
      </c>
      <c r="P33" s="15">
        <v>21.167649217019811</v>
      </c>
      <c r="Q33" s="15">
        <v>21.156933116311269</v>
      </c>
      <c r="R33" s="15">
        <v>20.98875614500443</v>
      </c>
      <c r="S33" s="15">
        <v>21.171067387701289</v>
      </c>
      <c r="T33" s="15">
        <v>21.024107652100501</v>
      </c>
      <c r="U33" s="15">
        <v>20.75168180459529</v>
      </c>
      <c r="V33" s="16">
        <v>21.20038066473596</v>
      </c>
      <c r="W33" s="17">
        <v>305</v>
      </c>
      <c r="X33" s="18">
        <v>0.84722222222222221</v>
      </c>
    </row>
    <row r="34" spans="1:24" ht="13.9" customHeight="1" x14ac:dyDescent="0.2">
      <c r="A34" s="10">
        <v>27015110</v>
      </c>
      <c r="B34" s="35" t="s">
        <v>445</v>
      </c>
      <c r="C34" s="35" t="s">
        <v>490</v>
      </c>
      <c r="D34" s="35" t="s">
        <v>491</v>
      </c>
      <c r="E34" s="21" t="s">
        <v>57</v>
      </c>
      <c r="F34" s="35">
        <v>1</v>
      </c>
      <c r="G34" s="35">
        <v>2652</v>
      </c>
      <c r="H34" s="36">
        <v>-75.555719170000003</v>
      </c>
      <c r="I34" s="37">
        <v>6.7800638900000001</v>
      </c>
      <c r="J34" s="22">
        <v>6.3912495365220616</v>
      </c>
      <c r="K34" s="23">
        <v>6.5080667870514599</v>
      </c>
      <c r="L34" s="23">
        <v>7.4093103448275848</v>
      </c>
      <c r="M34" s="23">
        <v>8.6152057106367455</v>
      </c>
      <c r="N34" s="23">
        <v>9.0544895974951594</v>
      </c>
      <c r="O34" s="23">
        <v>8.3276855500821014</v>
      </c>
      <c r="P34" s="23">
        <v>7.8026585094549503</v>
      </c>
      <c r="Q34" s="23">
        <v>7.6767849462365589</v>
      </c>
      <c r="R34" s="23">
        <v>8.1440410509031196</v>
      </c>
      <c r="S34" s="23">
        <v>8.3193548387096783</v>
      </c>
      <c r="T34" s="23">
        <v>7.4547381864623246</v>
      </c>
      <c r="U34" s="23">
        <v>6.8589804858622072</v>
      </c>
      <c r="V34" s="38">
        <v>7.7135471286869963</v>
      </c>
      <c r="W34" s="39">
        <v>113</v>
      </c>
      <c r="X34" s="24">
        <v>0.94166666666666665</v>
      </c>
    </row>
    <row r="35" spans="1:24" ht="13.9" customHeight="1" x14ac:dyDescent="0.2">
      <c r="A35" s="10">
        <v>27015190</v>
      </c>
      <c r="B35" s="35" t="s">
        <v>445</v>
      </c>
      <c r="C35" s="35" t="s">
        <v>492</v>
      </c>
      <c r="D35" s="35" t="s">
        <v>493</v>
      </c>
      <c r="E35" s="21" t="s">
        <v>57</v>
      </c>
      <c r="F35" s="35">
        <v>1</v>
      </c>
      <c r="G35" s="35">
        <v>1440</v>
      </c>
      <c r="H35" s="36">
        <v>-75.146749999999997</v>
      </c>
      <c r="I35" s="37">
        <v>6.54038889</v>
      </c>
      <c r="J35" s="22">
        <v>16.19333439702746</v>
      </c>
      <c r="K35" s="23">
        <v>16.33335695011672</v>
      </c>
      <c r="L35" s="23">
        <v>16.579418407283811</v>
      </c>
      <c r="M35" s="23">
        <v>16.73474991529179</v>
      </c>
      <c r="N35" s="23">
        <v>16.845373019830461</v>
      </c>
      <c r="O35" s="23">
        <v>16.705432098765431</v>
      </c>
      <c r="P35" s="23">
        <v>16.33631685269712</v>
      </c>
      <c r="Q35" s="23">
        <v>16.392845179190161</v>
      </c>
      <c r="R35" s="23">
        <v>16.462690359800941</v>
      </c>
      <c r="S35" s="23">
        <v>16.471334404482349</v>
      </c>
      <c r="T35" s="23">
        <v>16.605367381990451</v>
      </c>
      <c r="U35" s="23">
        <v>16.55650298783873</v>
      </c>
      <c r="V35" s="38">
        <v>16.518060162859619</v>
      </c>
      <c r="W35" s="39">
        <v>349</v>
      </c>
      <c r="X35" s="24">
        <v>0.96944444444444444</v>
      </c>
    </row>
    <row r="36" spans="1:24" ht="13.9" customHeight="1" x14ac:dyDescent="0.2">
      <c r="A36" s="10">
        <v>23070020</v>
      </c>
      <c r="B36" s="35" t="s">
        <v>494</v>
      </c>
      <c r="C36" s="35" t="s">
        <v>495</v>
      </c>
      <c r="D36" s="35" t="s">
        <v>496</v>
      </c>
      <c r="E36" s="21" t="s">
        <v>57</v>
      </c>
      <c r="F36" s="35">
        <v>1</v>
      </c>
      <c r="G36" s="35">
        <v>449</v>
      </c>
      <c r="H36" s="36">
        <v>-74.848361109999999</v>
      </c>
      <c r="I36" s="37">
        <v>5.8555277800000001</v>
      </c>
      <c r="J36" s="22">
        <v>21.32346072200648</v>
      </c>
      <c r="K36" s="23">
        <v>21.567409169516448</v>
      </c>
      <c r="L36" s="23">
        <v>21.522691473771559</v>
      </c>
      <c r="M36" s="23">
        <v>21.442520731537059</v>
      </c>
      <c r="N36" s="23">
        <v>21.61266715175034</v>
      </c>
      <c r="O36" s="23">
        <v>21.295012608148721</v>
      </c>
      <c r="P36" s="23">
        <v>20.96957087010912</v>
      </c>
      <c r="Q36" s="23">
        <v>20.86438103415751</v>
      </c>
      <c r="R36" s="23">
        <v>21.021259355284759</v>
      </c>
      <c r="S36" s="23">
        <v>21.204504420115921</v>
      </c>
      <c r="T36" s="23">
        <v>21.35440586673154</v>
      </c>
      <c r="U36" s="23">
        <v>21.441202307910409</v>
      </c>
      <c r="V36" s="38">
        <v>21.301590475919991</v>
      </c>
      <c r="W36" s="39">
        <v>222</v>
      </c>
      <c r="X36" s="24">
        <v>0.92500000000000004</v>
      </c>
    </row>
    <row r="37" spans="1:24" ht="13.9" customHeight="1" x14ac:dyDescent="0.2">
      <c r="A37" s="10">
        <v>26175030</v>
      </c>
      <c r="B37" s="35" t="s">
        <v>471</v>
      </c>
      <c r="C37" s="35" t="s">
        <v>497</v>
      </c>
      <c r="D37" s="35" t="s">
        <v>498</v>
      </c>
      <c r="E37" s="21" t="s">
        <v>57</v>
      </c>
      <c r="F37" s="35">
        <v>1</v>
      </c>
      <c r="G37" s="35">
        <v>1153</v>
      </c>
      <c r="H37" s="36">
        <v>-75.690916669999993</v>
      </c>
      <c r="I37" s="37">
        <v>5.7173333299999998</v>
      </c>
      <c r="J37" s="22">
        <v>18.45298882356057</v>
      </c>
      <c r="K37" s="23">
        <v>18.76175883779301</v>
      </c>
      <c r="L37" s="23">
        <v>18.836659496246071</v>
      </c>
      <c r="M37" s="23">
        <v>18.9262087210363</v>
      </c>
      <c r="N37" s="23">
        <v>18.9237232198033</v>
      </c>
      <c r="O37" s="23">
        <v>18.758669464209689</v>
      </c>
      <c r="P37" s="23">
        <v>18.366600532725609</v>
      </c>
      <c r="Q37" s="23">
        <v>18.422986870501891</v>
      </c>
      <c r="R37" s="23">
        <v>18.418082733358599</v>
      </c>
      <c r="S37" s="23">
        <v>18.404071053374999</v>
      </c>
      <c r="T37" s="23">
        <v>18.63478109330666</v>
      </c>
      <c r="U37" s="23">
        <v>18.54342353502685</v>
      </c>
      <c r="V37" s="38">
        <v>18.620829531745301</v>
      </c>
      <c r="W37" s="39">
        <v>357</v>
      </c>
      <c r="X37" s="24">
        <v>0.9916666666666667</v>
      </c>
    </row>
    <row r="38" spans="1:24" ht="13.9" customHeight="1" x14ac:dyDescent="0.2">
      <c r="A38" s="10">
        <v>26235030</v>
      </c>
      <c r="B38" s="35" t="s">
        <v>445</v>
      </c>
      <c r="C38" s="35" t="s">
        <v>499</v>
      </c>
      <c r="D38" s="35" t="s">
        <v>500</v>
      </c>
      <c r="E38" s="21" t="s">
        <v>57</v>
      </c>
      <c r="F38" s="35">
        <v>1</v>
      </c>
      <c r="G38" s="35">
        <v>569</v>
      </c>
      <c r="H38" s="36">
        <v>-75.66594443999999</v>
      </c>
      <c r="I38" s="37">
        <v>7.03583333</v>
      </c>
      <c r="J38" s="22">
        <v>19.416317378857698</v>
      </c>
      <c r="K38" s="23">
        <v>19.17667141703873</v>
      </c>
      <c r="L38" s="23">
        <v>19.644683922759562</v>
      </c>
      <c r="M38" s="23">
        <v>19.775300127713919</v>
      </c>
      <c r="N38" s="23">
        <v>19.728309709200701</v>
      </c>
      <c r="O38" s="23">
        <v>19.773440886699511</v>
      </c>
      <c r="P38" s="23">
        <v>20.11596758302877</v>
      </c>
      <c r="Q38" s="23">
        <v>19.987446792732658</v>
      </c>
      <c r="R38" s="23">
        <v>19.906225141397559</v>
      </c>
      <c r="S38" s="23">
        <v>20.156942928039701</v>
      </c>
      <c r="T38" s="23">
        <v>20.087836526181359</v>
      </c>
      <c r="U38" s="23">
        <v>19.780484362657379</v>
      </c>
      <c r="V38" s="38">
        <v>19.795802231358959</v>
      </c>
      <c r="W38" s="39">
        <v>113</v>
      </c>
      <c r="X38" s="24">
        <v>0.94166666666666665</v>
      </c>
    </row>
    <row r="39" spans="1:24" ht="13.9" customHeight="1" x14ac:dyDescent="0.2">
      <c r="A39" s="10">
        <v>11075020</v>
      </c>
      <c r="B39" s="35" t="s">
        <v>445</v>
      </c>
      <c r="C39" s="35" t="s">
        <v>100</v>
      </c>
      <c r="D39" s="35" t="s">
        <v>100</v>
      </c>
      <c r="E39" s="21" t="s">
        <v>57</v>
      </c>
      <c r="F39" s="35">
        <v>1</v>
      </c>
      <c r="G39" s="35">
        <v>1833</v>
      </c>
      <c r="H39" s="36">
        <v>-76.143305560000002</v>
      </c>
      <c r="I39" s="37">
        <v>6.2983055600000002</v>
      </c>
      <c r="J39" s="22">
        <v>12.72099815954655</v>
      </c>
      <c r="K39" s="23">
        <v>13.255377468330989</v>
      </c>
      <c r="L39" s="23">
        <v>13.365836981929791</v>
      </c>
      <c r="M39" s="23">
        <v>13.805394036040591</v>
      </c>
      <c r="N39" s="23">
        <v>14.12797864095247</v>
      </c>
      <c r="O39" s="23">
        <v>13.7582625994695</v>
      </c>
      <c r="P39" s="23">
        <v>13.441294802867381</v>
      </c>
      <c r="Q39" s="23">
        <v>13.384747431302269</v>
      </c>
      <c r="R39" s="23">
        <v>13.518105175598549</v>
      </c>
      <c r="S39" s="23">
        <v>13.297276412357061</v>
      </c>
      <c r="T39" s="23">
        <v>13.586726874657909</v>
      </c>
      <c r="U39" s="23">
        <v>13.412610869326061</v>
      </c>
      <c r="V39" s="38">
        <v>13.472884121031591</v>
      </c>
      <c r="W39" s="39">
        <v>284</v>
      </c>
      <c r="X39" s="24">
        <v>0.78888888888888886</v>
      </c>
    </row>
    <row r="40" spans="1:24" ht="13.9" customHeight="1" x14ac:dyDescent="0.2">
      <c r="A40" s="10">
        <v>26255020</v>
      </c>
      <c r="B40" s="35" t="s">
        <v>445</v>
      </c>
      <c r="C40" s="35" t="s">
        <v>366</v>
      </c>
      <c r="D40" s="35" t="s">
        <v>501</v>
      </c>
      <c r="E40" s="21" t="s">
        <v>57</v>
      </c>
      <c r="F40" s="35">
        <v>1</v>
      </c>
      <c r="G40" s="35">
        <v>1131</v>
      </c>
      <c r="H40" s="36">
        <v>-75.442274999999995</v>
      </c>
      <c r="I40" s="37">
        <v>7.1572222200000004</v>
      </c>
      <c r="J40" s="22">
        <v>18.927350605552629</v>
      </c>
      <c r="K40" s="23">
        <v>18.792162153203009</v>
      </c>
      <c r="L40" s="23">
        <v>19.012039855181371</v>
      </c>
      <c r="M40" s="23">
        <v>19.174976753860989</v>
      </c>
      <c r="N40" s="23">
        <v>19.256310230634881</v>
      </c>
      <c r="O40" s="23">
        <v>19.24550808314423</v>
      </c>
      <c r="P40" s="23">
        <v>18.984049649522401</v>
      </c>
      <c r="Q40" s="23">
        <v>18.965322542288369</v>
      </c>
      <c r="R40" s="23">
        <v>18.942919426986009</v>
      </c>
      <c r="S40" s="23">
        <v>19.019920120608631</v>
      </c>
      <c r="T40" s="23">
        <v>19.048844969936109</v>
      </c>
      <c r="U40" s="23">
        <v>19.067076802895659</v>
      </c>
      <c r="V40" s="38">
        <v>19.03637343281785</v>
      </c>
      <c r="W40" s="39">
        <v>339</v>
      </c>
      <c r="X40" s="24">
        <v>0.94166666666666665</v>
      </c>
    </row>
    <row r="41" spans="1:24" ht="13.9" customHeight="1" x14ac:dyDescent="0.2">
      <c r="A41" s="10">
        <v>23105030</v>
      </c>
      <c r="B41" s="35" t="s">
        <v>445</v>
      </c>
      <c r="C41" s="35" t="s">
        <v>502</v>
      </c>
      <c r="D41" s="35" t="s">
        <v>502</v>
      </c>
      <c r="E41" s="21" t="s">
        <v>57</v>
      </c>
      <c r="F41" s="35">
        <v>1</v>
      </c>
      <c r="G41" s="35">
        <v>990</v>
      </c>
      <c r="H41" s="36">
        <v>-74.796527779999991</v>
      </c>
      <c r="I41" s="37">
        <v>6.7741111099999998</v>
      </c>
      <c r="J41" s="22">
        <v>17.516628688178141</v>
      </c>
      <c r="K41" s="23">
        <v>18.157633362805779</v>
      </c>
      <c r="L41" s="23">
        <v>18.559264038231781</v>
      </c>
      <c r="M41" s="23">
        <v>18.83840911680911</v>
      </c>
      <c r="N41" s="23">
        <v>18.908806622290491</v>
      </c>
      <c r="O41" s="23">
        <v>18.633195402298849</v>
      </c>
      <c r="P41" s="23">
        <v>18.293154055946939</v>
      </c>
      <c r="Q41" s="23">
        <v>18.428370554177</v>
      </c>
      <c r="R41" s="23">
        <v>18.385875963117339</v>
      </c>
      <c r="S41" s="23">
        <v>18.52755878530072</v>
      </c>
      <c r="T41" s="23">
        <v>18.3411317418214</v>
      </c>
      <c r="U41" s="23">
        <v>17.968034975776909</v>
      </c>
      <c r="V41" s="38">
        <v>18.3798386088962</v>
      </c>
      <c r="W41" s="39">
        <v>309</v>
      </c>
      <c r="X41" s="24">
        <v>0.85833333333333328</v>
      </c>
    </row>
    <row r="42" spans="1:24" ht="13.9" customHeight="1" x14ac:dyDescent="0.2">
      <c r="A42" s="10">
        <v>37055010</v>
      </c>
      <c r="B42" s="35" t="s">
        <v>444</v>
      </c>
      <c r="C42" s="35" t="s">
        <v>89</v>
      </c>
      <c r="D42" s="35" t="s">
        <v>90</v>
      </c>
      <c r="E42" s="21" t="s">
        <v>90</v>
      </c>
      <c r="F42" s="35">
        <v>8</v>
      </c>
      <c r="G42" s="35">
        <v>128</v>
      </c>
      <c r="H42" s="36">
        <v>-70.738055560000006</v>
      </c>
      <c r="I42" s="37">
        <v>7.0694444399999998</v>
      </c>
      <c r="J42" s="22">
        <v>21.058955921720099</v>
      </c>
      <c r="K42" s="23">
        <v>21.504412345545351</v>
      </c>
      <c r="L42" s="23">
        <v>22.44291532689877</v>
      </c>
      <c r="M42" s="23">
        <v>22.963691125285951</v>
      </c>
      <c r="N42" s="23">
        <v>23.07494517310646</v>
      </c>
      <c r="O42" s="23">
        <v>22.77254127896369</v>
      </c>
      <c r="P42" s="23">
        <v>22.637933865990991</v>
      </c>
      <c r="Q42" s="23">
        <v>22.746845081640782</v>
      </c>
      <c r="R42" s="23">
        <v>22.923426719914591</v>
      </c>
      <c r="S42" s="23">
        <v>23.06253726362625</v>
      </c>
      <c r="T42" s="23">
        <v>23.08585422368181</v>
      </c>
      <c r="U42" s="23">
        <v>22.169063931257721</v>
      </c>
      <c r="V42" s="38">
        <v>22.536926854802701</v>
      </c>
      <c r="W42" s="39">
        <v>333</v>
      </c>
      <c r="X42" s="24">
        <v>0.92500000000000004</v>
      </c>
    </row>
    <row r="43" spans="1:24" ht="13.9" customHeight="1" x14ac:dyDescent="0.2">
      <c r="A43" s="10">
        <v>36025010</v>
      </c>
      <c r="B43" s="35" t="s">
        <v>445</v>
      </c>
      <c r="C43" s="35" t="s">
        <v>259</v>
      </c>
      <c r="D43" s="35" t="s">
        <v>259</v>
      </c>
      <c r="E43" s="21" t="s">
        <v>90</v>
      </c>
      <c r="F43" s="35">
        <v>6</v>
      </c>
      <c r="G43" s="35">
        <v>350</v>
      </c>
      <c r="H43" s="36">
        <v>-71.745027780000001</v>
      </c>
      <c r="I43" s="37">
        <v>6.45619444</v>
      </c>
      <c r="J43" s="22">
        <v>22.058804909938921</v>
      </c>
      <c r="K43" s="23">
        <v>22.037516661837149</v>
      </c>
      <c r="L43" s="23">
        <v>21.905242813971469</v>
      </c>
      <c r="M43" s="23">
        <v>21.689835151899331</v>
      </c>
      <c r="N43" s="23">
        <v>21.68895964423205</v>
      </c>
      <c r="O43" s="23">
        <v>21.639531908254021</v>
      </c>
      <c r="P43" s="23">
        <v>21.674986479595521</v>
      </c>
      <c r="Q43" s="23">
        <v>21.700379866053719</v>
      </c>
      <c r="R43" s="23">
        <v>21.63752371829958</v>
      </c>
      <c r="S43" s="23">
        <v>22.07055118821722</v>
      </c>
      <c r="T43" s="23">
        <v>22.1703237024022</v>
      </c>
      <c r="U43" s="23">
        <v>22.172210735239592</v>
      </c>
      <c r="V43" s="38">
        <v>21.870488898328389</v>
      </c>
      <c r="W43" s="39">
        <v>213</v>
      </c>
      <c r="X43" s="24">
        <v>0.88749999999999996</v>
      </c>
    </row>
    <row r="44" spans="1:24" ht="13.9" customHeight="1" x14ac:dyDescent="0.2">
      <c r="A44" s="10">
        <v>17025020</v>
      </c>
      <c r="B44" s="35" t="s">
        <v>444</v>
      </c>
      <c r="C44" s="35" t="s">
        <v>28</v>
      </c>
      <c r="D44" s="35" t="s">
        <v>29</v>
      </c>
      <c r="E44" s="21" t="s">
        <v>26</v>
      </c>
      <c r="F44" s="35">
        <v>11</v>
      </c>
      <c r="G44" s="35">
        <v>7</v>
      </c>
      <c r="H44" s="36">
        <v>-81.357722219999999</v>
      </c>
      <c r="I44" s="37">
        <v>13.359500000000001</v>
      </c>
      <c r="J44" s="22">
        <v>24.817267703097791</v>
      </c>
      <c r="K44" s="23">
        <v>24.817245556122099</v>
      </c>
      <c r="L44" s="23">
        <v>25.162945600841709</v>
      </c>
      <c r="M44" s="23">
        <v>26.033689566705789</v>
      </c>
      <c r="N44" s="23">
        <v>26.336691266649549</v>
      </c>
      <c r="O44" s="23">
        <v>26.479621229723399</v>
      </c>
      <c r="P44" s="23">
        <v>26.40894902444402</v>
      </c>
      <c r="Q44" s="23">
        <v>26.228813072776621</v>
      </c>
      <c r="R44" s="23">
        <v>25.709567576944131</v>
      </c>
      <c r="S44" s="23">
        <v>25.133142381863181</v>
      </c>
      <c r="T44" s="23">
        <v>25.114472853255911</v>
      </c>
      <c r="U44" s="23">
        <v>25.092916417642918</v>
      </c>
      <c r="V44" s="38">
        <v>25.61127685417226</v>
      </c>
      <c r="W44" s="39">
        <v>308</v>
      </c>
      <c r="X44" s="24">
        <v>0.85555555555555551</v>
      </c>
    </row>
    <row r="45" spans="1:24" ht="13.9" customHeight="1" x14ac:dyDescent="0.2">
      <c r="A45" s="10">
        <v>17015010</v>
      </c>
      <c r="B45" s="35" t="s">
        <v>444</v>
      </c>
      <c r="C45" s="35" t="s">
        <v>24</v>
      </c>
      <c r="D45" s="35" t="s">
        <v>27</v>
      </c>
      <c r="E45" s="21" t="s">
        <v>26</v>
      </c>
      <c r="F45" s="35">
        <v>11</v>
      </c>
      <c r="G45" s="35">
        <v>1</v>
      </c>
      <c r="H45" s="36">
        <v>-81.703888888888898</v>
      </c>
      <c r="I45" s="37">
        <v>12.586944444444439</v>
      </c>
      <c r="J45" s="22">
        <v>25.165669124816329</v>
      </c>
      <c r="K45" s="23">
        <v>25.15880584105361</v>
      </c>
      <c r="L45" s="23">
        <v>25.507881057337869</v>
      </c>
      <c r="M45" s="23">
        <v>26.199605100448011</v>
      </c>
      <c r="N45" s="23">
        <v>26.463455299146808</v>
      </c>
      <c r="O45" s="23">
        <v>26.430511430058051</v>
      </c>
      <c r="P45" s="23">
        <v>26.312994914330961</v>
      </c>
      <c r="Q45" s="23">
        <v>26.259288578530331</v>
      </c>
      <c r="R45" s="23">
        <v>26.01813723632689</v>
      </c>
      <c r="S45" s="23">
        <v>25.757900536615789</v>
      </c>
      <c r="T45" s="23">
        <v>25.554044874223919</v>
      </c>
      <c r="U45" s="23">
        <v>25.528417757622432</v>
      </c>
      <c r="V45" s="38">
        <v>25.863059312542589</v>
      </c>
      <c r="W45" s="39">
        <v>320</v>
      </c>
      <c r="X45" s="24">
        <v>0.88888888888888884</v>
      </c>
    </row>
    <row r="46" spans="1:24" ht="13.9" customHeight="1" x14ac:dyDescent="0.2">
      <c r="A46" s="10">
        <v>29045110</v>
      </c>
      <c r="B46" s="35" t="s">
        <v>445</v>
      </c>
      <c r="C46" s="35" t="s">
        <v>503</v>
      </c>
      <c r="D46" s="35" t="s">
        <v>503</v>
      </c>
      <c r="E46" s="21" t="s">
        <v>37</v>
      </c>
      <c r="F46" s="35">
        <v>2</v>
      </c>
      <c r="G46" s="35">
        <v>20</v>
      </c>
      <c r="H46" s="36">
        <v>-75.046111109999998</v>
      </c>
      <c r="I46" s="37">
        <v>10.833888890000001</v>
      </c>
      <c r="J46" s="22">
        <v>23.116207281513439</v>
      </c>
      <c r="K46" s="23">
        <v>23.354848294263721</v>
      </c>
      <c r="L46" s="23">
        <v>24.086455750619319</v>
      </c>
      <c r="M46" s="23">
        <v>24.847300549040661</v>
      </c>
      <c r="N46" s="23">
        <v>24.946156458833869</v>
      </c>
      <c r="O46" s="23">
        <v>24.626697869014201</v>
      </c>
      <c r="P46" s="23">
        <v>24.391503193812522</v>
      </c>
      <c r="Q46" s="23">
        <v>24.46460530630743</v>
      </c>
      <c r="R46" s="23">
        <v>24.124095822606041</v>
      </c>
      <c r="S46" s="23">
        <v>23.661306242244681</v>
      </c>
      <c r="T46" s="23">
        <v>23.783380844034639</v>
      </c>
      <c r="U46" s="23">
        <v>23.40965762401779</v>
      </c>
      <c r="V46" s="38">
        <v>24.06768460302569</v>
      </c>
      <c r="W46" s="39">
        <v>293</v>
      </c>
      <c r="X46" s="24">
        <v>0.81388888888888888</v>
      </c>
    </row>
    <row r="47" spans="1:24" ht="13.9" customHeight="1" x14ac:dyDescent="0.2">
      <c r="A47" s="10">
        <v>29035080</v>
      </c>
      <c r="B47" s="35" t="s">
        <v>471</v>
      </c>
      <c r="C47" s="35" t="s">
        <v>504</v>
      </c>
      <c r="D47" s="35" t="s">
        <v>147</v>
      </c>
      <c r="E47" s="21" t="s">
        <v>37</v>
      </c>
      <c r="F47" s="35">
        <v>2</v>
      </c>
      <c r="G47" s="35">
        <v>10</v>
      </c>
      <c r="H47" s="36">
        <v>-74.954638889999998</v>
      </c>
      <c r="I47" s="37">
        <v>10.453583330000001</v>
      </c>
      <c r="J47" s="22">
        <v>22.858082399880839</v>
      </c>
      <c r="K47" s="23">
        <v>23.380519697857888</v>
      </c>
      <c r="L47" s="23">
        <v>23.85227238961108</v>
      </c>
      <c r="M47" s="23">
        <v>24.47208292368396</v>
      </c>
      <c r="N47" s="23">
        <v>24.43913476599074</v>
      </c>
      <c r="O47" s="23">
        <v>24.5499607529798</v>
      </c>
      <c r="P47" s="23">
        <v>24.29282246073495</v>
      </c>
      <c r="Q47" s="23">
        <v>24.266258904618379</v>
      </c>
      <c r="R47" s="23">
        <v>24.120038760462609</v>
      </c>
      <c r="S47" s="23">
        <v>23.899133654767109</v>
      </c>
      <c r="T47" s="23">
        <v>23.941742541122601</v>
      </c>
      <c r="U47" s="23">
        <v>23.374716326107869</v>
      </c>
      <c r="V47" s="38">
        <v>23.953897131484819</v>
      </c>
      <c r="W47" s="39">
        <v>293</v>
      </c>
      <c r="X47" s="24">
        <v>0.81388888888888888</v>
      </c>
    </row>
    <row r="48" spans="1:24" ht="13.9" customHeight="1" x14ac:dyDescent="0.2">
      <c r="A48" s="10">
        <v>29035200</v>
      </c>
      <c r="B48" s="35" t="s">
        <v>471</v>
      </c>
      <c r="C48" s="35" t="s">
        <v>505</v>
      </c>
      <c r="D48" s="35" t="s">
        <v>506</v>
      </c>
      <c r="E48" s="21" t="s">
        <v>37</v>
      </c>
      <c r="F48" s="35">
        <v>2</v>
      </c>
      <c r="G48" s="35">
        <v>10</v>
      </c>
      <c r="H48" s="36">
        <v>-75.126944440000003</v>
      </c>
      <c r="I48" s="37">
        <v>10.49</v>
      </c>
      <c r="J48" s="22">
        <v>22.866810762763379</v>
      </c>
      <c r="K48" s="23">
        <v>23.387814586894581</v>
      </c>
      <c r="L48" s="23">
        <v>23.74269603716791</v>
      </c>
      <c r="M48" s="23">
        <v>24.507824507746118</v>
      </c>
      <c r="N48" s="23">
        <v>24.680561757626052</v>
      </c>
      <c r="O48" s="23">
        <v>24.686999454241139</v>
      </c>
      <c r="P48" s="23">
        <v>24.342699018071421</v>
      </c>
      <c r="Q48" s="23">
        <v>24.55931768021868</v>
      </c>
      <c r="R48" s="23">
        <v>24.37148342892046</v>
      </c>
      <c r="S48" s="23">
        <v>24.185334168516938</v>
      </c>
      <c r="T48" s="23">
        <v>24.16077960104198</v>
      </c>
      <c r="U48" s="23">
        <v>23.658777510548081</v>
      </c>
      <c r="V48" s="38">
        <v>24.095924876146391</v>
      </c>
      <c r="W48" s="39">
        <v>282</v>
      </c>
      <c r="X48" s="24">
        <v>0.78333333333333333</v>
      </c>
    </row>
    <row r="49" spans="1:24" ht="13.9" customHeight="1" x14ac:dyDescent="0.2">
      <c r="A49" s="10">
        <v>29045190</v>
      </c>
      <c r="B49" s="35" t="s">
        <v>444</v>
      </c>
      <c r="C49" s="35" t="s">
        <v>36</v>
      </c>
      <c r="D49" s="35" t="s">
        <v>38</v>
      </c>
      <c r="E49" s="21" t="s">
        <v>37</v>
      </c>
      <c r="F49" s="35">
        <v>2</v>
      </c>
      <c r="G49" s="35">
        <v>14</v>
      </c>
      <c r="H49" s="36">
        <v>-74.779722220000011</v>
      </c>
      <c r="I49" s="37">
        <v>10.91777778</v>
      </c>
      <c r="J49" s="22">
        <v>23.798939498461191</v>
      </c>
      <c r="K49" s="23">
        <v>24.0815428483583</v>
      </c>
      <c r="L49" s="23">
        <v>24.363459744570761</v>
      </c>
      <c r="M49" s="23">
        <v>25.000435382477821</v>
      </c>
      <c r="N49" s="23">
        <v>25.083121207058909</v>
      </c>
      <c r="O49" s="23">
        <v>24.96927836228857</v>
      </c>
      <c r="P49" s="23">
        <v>24.84616941928422</v>
      </c>
      <c r="Q49" s="23">
        <v>24.75295901904628</v>
      </c>
      <c r="R49" s="23">
        <v>24.328670251361899</v>
      </c>
      <c r="S49" s="23">
        <v>24.136239361108551</v>
      </c>
      <c r="T49" s="23">
        <v>24.288213925282889</v>
      </c>
      <c r="U49" s="23">
        <v>24.41443084098605</v>
      </c>
      <c r="V49" s="38">
        <v>24.50528832169045</v>
      </c>
      <c r="W49" s="39">
        <v>315</v>
      </c>
      <c r="X49" s="24">
        <v>0.875</v>
      </c>
    </row>
    <row r="50" spans="1:24" ht="13.9" customHeight="1" x14ac:dyDescent="0.2">
      <c r="A50" s="10">
        <v>14015080</v>
      </c>
      <c r="B50" s="35" t="s">
        <v>444</v>
      </c>
      <c r="C50" s="35" t="s">
        <v>33</v>
      </c>
      <c r="D50" s="35" t="s">
        <v>35</v>
      </c>
      <c r="E50" s="21" t="s">
        <v>34</v>
      </c>
      <c r="F50" s="35">
        <v>2</v>
      </c>
      <c r="G50" s="35">
        <v>2</v>
      </c>
      <c r="H50" s="36">
        <v>-75.516027780000002</v>
      </c>
      <c r="I50" s="37">
        <v>10.44725</v>
      </c>
      <c r="J50" s="22">
        <v>24.02549157794375</v>
      </c>
      <c r="K50" s="23">
        <v>24.241608283160009</v>
      </c>
      <c r="L50" s="23">
        <v>24.87878979289157</v>
      </c>
      <c r="M50" s="23">
        <v>25.827597245028279</v>
      </c>
      <c r="N50" s="23">
        <v>26.106298656355388</v>
      </c>
      <c r="O50" s="23">
        <v>26.063266103415529</v>
      </c>
      <c r="P50" s="23">
        <v>25.731714029697901</v>
      </c>
      <c r="Q50" s="23">
        <v>25.86230323116423</v>
      </c>
      <c r="R50" s="23">
        <v>25.822663111099491</v>
      </c>
      <c r="S50" s="23">
        <v>25.551483083943129</v>
      </c>
      <c r="T50" s="23">
        <v>25.480488523895179</v>
      </c>
      <c r="U50" s="23">
        <v>24.829107775287628</v>
      </c>
      <c r="V50" s="38">
        <v>25.36840095115684</v>
      </c>
      <c r="W50" s="39">
        <v>355</v>
      </c>
      <c r="X50" s="24">
        <v>0.98611111111111116</v>
      </c>
    </row>
    <row r="51" spans="1:24" ht="13.9" customHeight="1" x14ac:dyDescent="0.2">
      <c r="A51" s="10">
        <v>29015020</v>
      </c>
      <c r="B51" s="35" t="s">
        <v>450</v>
      </c>
      <c r="C51" s="35" t="s">
        <v>507</v>
      </c>
      <c r="D51" s="35" t="s">
        <v>508</v>
      </c>
      <c r="E51" s="21" t="s">
        <v>34</v>
      </c>
      <c r="F51" s="35">
        <v>2</v>
      </c>
      <c r="G51" s="35">
        <v>152</v>
      </c>
      <c r="H51" s="36">
        <v>-75.11</v>
      </c>
      <c r="I51" s="37">
        <v>9.7200000000000006</v>
      </c>
      <c r="J51" s="22">
        <v>19.780160919540229</v>
      </c>
      <c r="K51" s="23">
        <v>20.419375193355702</v>
      </c>
      <c r="L51" s="23">
        <v>21.352451612903231</v>
      </c>
      <c r="M51" s="23">
        <v>22.777471264367819</v>
      </c>
      <c r="N51" s="23">
        <v>22.996471674876851</v>
      </c>
      <c r="O51" s="23">
        <v>22.87629310344828</v>
      </c>
      <c r="P51" s="23">
        <v>22.475000000000001</v>
      </c>
      <c r="Q51" s="23">
        <v>22.43842891278376</v>
      </c>
      <c r="R51" s="23">
        <v>22.388231452455589</v>
      </c>
      <c r="S51" s="23">
        <v>22.06354838709677</v>
      </c>
      <c r="T51" s="23">
        <v>21.870298531289912</v>
      </c>
      <c r="U51" s="23">
        <v>20.780519095291069</v>
      </c>
      <c r="V51" s="38">
        <v>21.851520845617429</v>
      </c>
      <c r="W51" s="39">
        <v>103</v>
      </c>
      <c r="X51" s="24">
        <v>0.85833333333333328</v>
      </c>
    </row>
    <row r="52" spans="1:24" ht="13.9" customHeight="1" x14ac:dyDescent="0.2">
      <c r="A52" s="10">
        <v>25025100</v>
      </c>
      <c r="B52" s="35" t="s">
        <v>471</v>
      </c>
      <c r="C52" s="35" t="s">
        <v>509</v>
      </c>
      <c r="D52" s="35" t="s">
        <v>510</v>
      </c>
      <c r="E52" s="21" t="s">
        <v>34</v>
      </c>
      <c r="F52" s="35">
        <v>2</v>
      </c>
      <c r="G52" s="35">
        <v>18</v>
      </c>
      <c r="H52" s="36">
        <v>-74.845277780000004</v>
      </c>
      <c r="I52" s="37">
        <v>9.2819444400000002</v>
      </c>
      <c r="J52" s="22">
        <v>22.936128370146729</v>
      </c>
      <c r="K52" s="23">
        <v>23.29088726712482</v>
      </c>
      <c r="L52" s="23">
        <v>24.341350059737159</v>
      </c>
      <c r="M52" s="23">
        <v>24.801571975916801</v>
      </c>
      <c r="N52" s="23">
        <v>24.625969132369299</v>
      </c>
      <c r="O52" s="23">
        <v>24.60859108739281</v>
      </c>
      <c r="P52" s="23">
        <v>24.381047460140891</v>
      </c>
      <c r="Q52" s="23">
        <v>24.117811560169731</v>
      </c>
      <c r="R52" s="23">
        <v>23.893856554967659</v>
      </c>
      <c r="S52" s="23">
        <v>23.610360865394242</v>
      </c>
      <c r="T52" s="23">
        <v>24.055846902937422</v>
      </c>
      <c r="U52" s="23">
        <v>23.41629032258064</v>
      </c>
      <c r="V52" s="38">
        <v>24.006642629906519</v>
      </c>
      <c r="W52" s="39">
        <v>103</v>
      </c>
      <c r="X52" s="24">
        <v>0.85833333333333328</v>
      </c>
    </row>
    <row r="53" spans="1:24" ht="13.9" customHeight="1" x14ac:dyDescent="0.2">
      <c r="A53" s="10">
        <v>29035110</v>
      </c>
      <c r="B53" s="35" t="s">
        <v>445</v>
      </c>
      <c r="C53" s="35" t="s">
        <v>148</v>
      </c>
      <c r="D53" s="35" t="s">
        <v>145</v>
      </c>
      <c r="E53" s="21" t="s">
        <v>34</v>
      </c>
      <c r="F53" s="35">
        <v>2</v>
      </c>
      <c r="G53" s="35">
        <v>20</v>
      </c>
      <c r="H53" s="36">
        <v>-75.258611110000004</v>
      </c>
      <c r="I53" s="37">
        <v>10.04316667</v>
      </c>
      <c r="J53" s="22">
        <v>21.9844249287808</v>
      </c>
      <c r="K53" s="23">
        <v>22.507632448268382</v>
      </c>
      <c r="L53" s="23">
        <v>23.215276365273589</v>
      </c>
      <c r="M53" s="23">
        <v>24.14139220908698</v>
      </c>
      <c r="N53" s="23">
        <v>24.191748653933299</v>
      </c>
      <c r="O53" s="23">
        <v>24.029840498071959</v>
      </c>
      <c r="P53" s="23">
        <v>23.929337221065921</v>
      </c>
      <c r="Q53" s="23">
        <v>23.979265352535649</v>
      </c>
      <c r="R53" s="23">
        <v>23.7254865927842</v>
      </c>
      <c r="S53" s="23">
        <v>23.60171118101983</v>
      </c>
      <c r="T53" s="23">
        <v>23.415301388828858</v>
      </c>
      <c r="U53" s="23">
        <v>22.799653397190081</v>
      </c>
      <c r="V53" s="38">
        <v>23.460089186403291</v>
      </c>
      <c r="W53" s="39">
        <v>297</v>
      </c>
      <c r="X53" s="24">
        <v>0.82499999999999996</v>
      </c>
    </row>
    <row r="54" spans="1:24" ht="13.9" customHeight="1" x14ac:dyDescent="0.2">
      <c r="A54" s="10">
        <v>23205020</v>
      </c>
      <c r="B54" s="35" t="s">
        <v>445</v>
      </c>
      <c r="C54" s="35" t="s">
        <v>511</v>
      </c>
      <c r="D54" s="35" t="s">
        <v>148</v>
      </c>
      <c r="E54" s="21" t="s">
        <v>34</v>
      </c>
      <c r="F54" s="35">
        <v>8</v>
      </c>
      <c r="G54" s="35">
        <v>165</v>
      </c>
      <c r="H54" s="36">
        <v>-73.925555560000006</v>
      </c>
      <c r="I54" s="37">
        <v>7.4749999999999996</v>
      </c>
      <c r="J54" s="22">
        <v>23.269451612903229</v>
      </c>
      <c r="K54" s="23">
        <v>23.48473448989791</v>
      </c>
      <c r="L54" s="23">
        <v>23.62168239745121</v>
      </c>
      <c r="M54" s="23">
        <v>23.578850978906139</v>
      </c>
      <c r="N54" s="23">
        <v>23.529098401516091</v>
      </c>
      <c r="O54" s="23">
        <v>23.563028097062581</v>
      </c>
      <c r="P54" s="23">
        <v>23.475471009552891</v>
      </c>
      <c r="Q54" s="23">
        <v>23.375378815968361</v>
      </c>
      <c r="R54" s="23">
        <v>23.210986909323111</v>
      </c>
      <c r="S54" s="23">
        <v>23.330269151138719</v>
      </c>
      <c r="T54" s="23">
        <v>23.44010994502748</v>
      </c>
      <c r="U54" s="23">
        <v>23.647836653520741</v>
      </c>
      <c r="V54" s="38">
        <v>23.460574871855709</v>
      </c>
      <c r="W54" s="39">
        <v>283</v>
      </c>
      <c r="X54" s="24">
        <v>0.78611111111111109</v>
      </c>
    </row>
    <row r="55" spans="1:24" ht="13.9" customHeight="1" x14ac:dyDescent="0.2">
      <c r="A55" s="10">
        <v>23205050</v>
      </c>
      <c r="B55" s="35" t="s">
        <v>445</v>
      </c>
      <c r="C55" s="35" t="s">
        <v>512</v>
      </c>
      <c r="D55" s="35" t="s">
        <v>513</v>
      </c>
      <c r="E55" s="21" t="s">
        <v>34</v>
      </c>
      <c r="F55" s="35">
        <v>8</v>
      </c>
      <c r="G55" s="35">
        <v>750</v>
      </c>
      <c r="H55" s="36">
        <v>-74.240972220000003</v>
      </c>
      <c r="I55" s="37">
        <v>7.8854166699999997</v>
      </c>
      <c r="J55" s="22">
        <v>16.264994940880811</v>
      </c>
      <c r="K55" s="23">
        <v>16.96729599887837</v>
      </c>
      <c r="L55" s="23">
        <v>17.788117610374229</v>
      </c>
      <c r="M55" s="23">
        <v>18.2953722702254</v>
      </c>
      <c r="N55" s="23">
        <v>18.403748324684351</v>
      </c>
      <c r="O55" s="23">
        <v>18.12877434258661</v>
      </c>
      <c r="P55" s="23">
        <v>17.80987612275166</v>
      </c>
      <c r="Q55" s="23">
        <v>17.847177540458961</v>
      </c>
      <c r="R55" s="23">
        <v>17.920499721649151</v>
      </c>
      <c r="S55" s="23">
        <v>18.00291769039266</v>
      </c>
      <c r="T55" s="23">
        <v>17.72966982168257</v>
      </c>
      <c r="U55" s="23">
        <v>17.1495713989199</v>
      </c>
      <c r="V55" s="38">
        <v>17.692334648623721</v>
      </c>
      <c r="W55" s="39">
        <v>318</v>
      </c>
      <c r="X55" s="24">
        <v>0.8833333333333333</v>
      </c>
    </row>
    <row r="56" spans="1:24" ht="13.9" customHeight="1" x14ac:dyDescent="0.2">
      <c r="A56" s="10">
        <v>23205030</v>
      </c>
      <c r="B56" s="35" t="s">
        <v>445</v>
      </c>
      <c r="C56" s="35" t="s">
        <v>514</v>
      </c>
      <c r="D56" s="35" t="s">
        <v>513</v>
      </c>
      <c r="E56" s="21" t="s">
        <v>34</v>
      </c>
      <c r="F56" s="35">
        <v>8</v>
      </c>
      <c r="G56" s="35">
        <v>650</v>
      </c>
      <c r="H56" s="36">
        <v>-74.059166669999996</v>
      </c>
      <c r="I56" s="37">
        <v>7.9652777800000001</v>
      </c>
      <c r="J56" s="22">
        <v>21.12236040044494</v>
      </c>
      <c r="K56" s="23">
        <v>21.61825396825397</v>
      </c>
      <c r="L56" s="23">
        <v>21.882726177233959</v>
      </c>
      <c r="M56" s="23">
        <v>21.734799408056119</v>
      </c>
      <c r="N56" s="23">
        <v>21.548594435412561</v>
      </c>
      <c r="O56" s="23">
        <v>21.541641944900569</v>
      </c>
      <c r="P56" s="23">
        <v>21.35691976387638</v>
      </c>
      <c r="Q56" s="23">
        <v>21.42895444658885</v>
      </c>
      <c r="R56" s="23">
        <v>21.048905993431859</v>
      </c>
      <c r="S56" s="23">
        <v>21.04504180343385</v>
      </c>
      <c r="T56" s="23">
        <v>21.000116767013321</v>
      </c>
      <c r="U56" s="23">
        <v>21.07368681250772</v>
      </c>
      <c r="V56" s="38">
        <v>21.36683349342951</v>
      </c>
      <c r="W56" s="39">
        <v>110</v>
      </c>
      <c r="X56" s="24">
        <v>0.91666666666666663</v>
      </c>
    </row>
    <row r="57" spans="1:24" ht="13.9" customHeight="1" x14ac:dyDescent="0.2">
      <c r="A57" s="10">
        <v>24035020</v>
      </c>
      <c r="B57" s="35" t="s">
        <v>445</v>
      </c>
      <c r="C57" s="35" t="s">
        <v>515</v>
      </c>
      <c r="D57" s="35" t="s">
        <v>516</v>
      </c>
      <c r="E57" s="21" t="s">
        <v>212</v>
      </c>
      <c r="F57" s="35">
        <v>6</v>
      </c>
      <c r="G57" s="35">
        <v>2575</v>
      </c>
      <c r="H57" s="36">
        <v>-72.810611109999996</v>
      </c>
      <c r="I57" s="37">
        <v>5.9072777799999994</v>
      </c>
      <c r="J57" s="22">
        <v>7.7820462011107168</v>
      </c>
      <c r="K57" s="23">
        <v>8.1467235905856583</v>
      </c>
      <c r="L57" s="23">
        <v>8.753775776503808</v>
      </c>
      <c r="M57" s="23">
        <v>9.3357272727272722</v>
      </c>
      <c r="N57" s="23">
        <v>9.2589689384698328</v>
      </c>
      <c r="O57" s="23">
        <v>9.5036959706959703</v>
      </c>
      <c r="P57" s="23">
        <v>8.6149555308367347</v>
      </c>
      <c r="Q57" s="23">
        <v>8.9520428276502937</v>
      </c>
      <c r="R57" s="23">
        <v>8.6154656084656089</v>
      </c>
      <c r="S57" s="23">
        <v>8.9127107897664057</v>
      </c>
      <c r="T57" s="23">
        <v>8.8623052362707533</v>
      </c>
      <c r="U57" s="23">
        <v>8.3572432332220998</v>
      </c>
      <c r="V57" s="38">
        <v>8.7579717480254313</v>
      </c>
      <c r="W57" s="39">
        <v>115</v>
      </c>
      <c r="X57" s="24">
        <v>0.95833333333333337</v>
      </c>
    </row>
    <row r="58" spans="1:24" ht="13.9" customHeight="1" x14ac:dyDescent="0.2">
      <c r="A58" s="10">
        <v>24035330</v>
      </c>
      <c r="B58" s="35" t="s">
        <v>450</v>
      </c>
      <c r="C58" s="35" t="s">
        <v>235</v>
      </c>
      <c r="D58" s="35" t="s">
        <v>235</v>
      </c>
      <c r="E58" s="21" t="s">
        <v>212</v>
      </c>
      <c r="F58" s="35">
        <v>6</v>
      </c>
      <c r="G58" s="35">
        <v>2150</v>
      </c>
      <c r="H58" s="36">
        <v>-72.582277779999998</v>
      </c>
      <c r="I58" s="37">
        <v>6.3289722199999998</v>
      </c>
      <c r="J58" s="22">
        <v>10.53011549183592</v>
      </c>
      <c r="K58" s="23">
        <v>10.998555570810449</v>
      </c>
      <c r="L58" s="23">
        <v>11.62098240320586</v>
      </c>
      <c r="M58" s="23">
        <v>12.16263820470717</v>
      </c>
      <c r="N58" s="23">
        <v>12.31363858695391</v>
      </c>
      <c r="O58" s="23">
        <v>11.66705024630542</v>
      </c>
      <c r="P58" s="23">
        <v>11.27595769595214</v>
      </c>
      <c r="Q58" s="23">
        <v>11.333242057563099</v>
      </c>
      <c r="R58" s="23">
        <v>11.245521419341051</v>
      </c>
      <c r="S58" s="23">
        <v>11.715023289568339</v>
      </c>
      <c r="T58" s="23">
        <v>12.00739514469851</v>
      </c>
      <c r="U58" s="23">
        <v>11.11288476987726</v>
      </c>
      <c r="V58" s="38">
        <v>11.498583740068259</v>
      </c>
      <c r="W58" s="39">
        <v>305</v>
      </c>
      <c r="X58" s="24">
        <v>0.84722222222222221</v>
      </c>
    </row>
    <row r="59" spans="1:24" ht="13.9" customHeight="1" x14ac:dyDescent="0.2">
      <c r="A59" s="10">
        <v>23125100</v>
      </c>
      <c r="B59" s="35" t="s">
        <v>471</v>
      </c>
      <c r="C59" s="35" t="s">
        <v>210</v>
      </c>
      <c r="D59" s="35" t="s">
        <v>517</v>
      </c>
      <c r="E59" s="21" t="s">
        <v>212</v>
      </c>
      <c r="F59" s="35">
        <v>6</v>
      </c>
      <c r="G59" s="35">
        <v>2200</v>
      </c>
      <c r="H59" s="36">
        <v>-73.943111110000004</v>
      </c>
      <c r="I59" s="37">
        <v>5.5149166699999999</v>
      </c>
      <c r="J59" s="22">
        <v>10.218625139043381</v>
      </c>
      <c r="K59" s="23">
        <v>10.733300492610841</v>
      </c>
      <c r="L59" s="23">
        <v>11.43870967741935</v>
      </c>
      <c r="M59" s="23">
        <v>11.786402116402121</v>
      </c>
      <c r="N59" s="23">
        <v>11.93785687801261</v>
      </c>
      <c r="O59" s="23">
        <v>11.45995238095238</v>
      </c>
      <c r="P59" s="23">
        <v>11.21</v>
      </c>
      <c r="Q59" s="23">
        <v>11.03161290322581</v>
      </c>
      <c r="R59" s="23">
        <v>11.04377011494253</v>
      </c>
      <c r="S59" s="23">
        <v>11.23677419354839</v>
      </c>
      <c r="T59" s="23">
        <v>11.300740740740739</v>
      </c>
      <c r="U59" s="23">
        <v>10.3883064516129</v>
      </c>
      <c r="V59" s="38">
        <v>11.148837590709251</v>
      </c>
      <c r="W59" s="39">
        <v>116</v>
      </c>
      <c r="X59" s="24">
        <v>0.96666666666666667</v>
      </c>
    </row>
    <row r="60" spans="1:24" ht="13.9" customHeight="1" x14ac:dyDescent="0.2">
      <c r="A60" s="10">
        <v>35085050</v>
      </c>
      <c r="B60" s="35" t="s">
        <v>445</v>
      </c>
      <c r="C60" s="35" t="s">
        <v>248</v>
      </c>
      <c r="D60" s="35" t="s">
        <v>248</v>
      </c>
      <c r="E60" s="21" t="s">
        <v>212</v>
      </c>
      <c r="F60" s="35">
        <v>6</v>
      </c>
      <c r="G60" s="35">
        <v>1300</v>
      </c>
      <c r="H60" s="36">
        <v>-73.103666669999996</v>
      </c>
      <c r="I60" s="37">
        <v>5.0345000000000004</v>
      </c>
      <c r="J60" s="22">
        <v>16.841206696852851</v>
      </c>
      <c r="K60" s="23">
        <v>17.39490644491644</v>
      </c>
      <c r="L60" s="23">
        <v>17.90201767567596</v>
      </c>
      <c r="M60" s="23">
        <v>18.02659835386352</v>
      </c>
      <c r="N60" s="23">
        <v>17.745463291665239</v>
      </c>
      <c r="O60" s="23">
        <v>17.32357429411493</v>
      </c>
      <c r="P60" s="23">
        <v>16.896189639584598</v>
      </c>
      <c r="Q60" s="23">
        <v>16.8655441109516</v>
      </c>
      <c r="R60" s="23">
        <v>16.876051428203631</v>
      </c>
      <c r="S60" s="23">
        <v>17.274538789776361</v>
      </c>
      <c r="T60" s="23">
        <v>17.55139703390935</v>
      </c>
      <c r="U60" s="23">
        <v>17.176815670600529</v>
      </c>
      <c r="V60" s="38">
        <v>17.322858619176252</v>
      </c>
      <c r="W60" s="39">
        <v>345</v>
      </c>
      <c r="X60" s="24">
        <v>0.95833333333333337</v>
      </c>
    </row>
    <row r="61" spans="1:24" ht="13.9" customHeight="1" x14ac:dyDescent="0.2">
      <c r="A61" s="10">
        <v>24035420</v>
      </c>
      <c r="B61" s="35" t="s">
        <v>445</v>
      </c>
      <c r="C61" s="35" t="s">
        <v>236</v>
      </c>
      <c r="D61" s="35" t="s">
        <v>236</v>
      </c>
      <c r="E61" s="21" t="s">
        <v>212</v>
      </c>
      <c r="F61" s="35">
        <v>6</v>
      </c>
      <c r="G61" s="35">
        <v>2643</v>
      </c>
      <c r="H61" s="36">
        <v>-72.938500000000005</v>
      </c>
      <c r="I61" s="37">
        <v>5.96225</v>
      </c>
      <c r="J61" s="22">
        <v>4.2199646697388644</v>
      </c>
      <c r="K61" s="23">
        <v>5.421609499483063</v>
      </c>
      <c r="L61" s="23">
        <v>7.0176821983273596</v>
      </c>
      <c r="M61" s="23">
        <v>8.2236111111111132</v>
      </c>
      <c r="N61" s="23">
        <v>7.8125704045058866</v>
      </c>
      <c r="O61" s="23">
        <v>6.1237037037037041</v>
      </c>
      <c r="P61" s="23">
        <v>5.4140939864595783</v>
      </c>
      <c r="Q61" s="23">
        <v>6.0789725209080059</v>
      </c>
      <c r="R61" s="23">
        <v>5.5502937420178808</v>
      </c>
      <c r="S61" s="23">
        <v>6.5143145161290317</v>
      </c>
      <c r="T61" s="23">
        <v>7.6687500000000002</v>
      </c>
      <c r="U61" s="23">
        <v>5.332543600031781</v>
      </c>
      <c r="V61" s="38">
        <v>6.2815091627013553</v>
      </c>
      <c r="W61" s="39">
        <v>106</v>
      </c>
      <c r="X61" s="24">
        <v>0.8833333333333333</v>
      </c>
    </row>
    <row r="62" spans="1:24" ht="13.9" customHeight="1" x14ac:dyDescent="0.2">
      <c r="A62" s="10">
        <v>24035310</v>
      </c>
      <c r="B62" s="35" t="s">
        <v>445</v>
      </c>
      <c r="C62" s="35" t="s">
        <v>234</v>
      </c>
      <c r="D62" s="35" t="s">
        <v>234</v>
      </c>
      <c r="E62" s="21" t="s">
        <v>212</v>
      </c>
      <c r="F62" s="35">
        <v>6</v>
      </c>
      <c r="G62" s="35">
        <v>2350</v>
      </c>
      <c r="H62" s="36">
        <v>-72.504722220000005</v>
      </c>
      <c r="I62" s="37">
        <v>6.54952778</v>
      </c>
      <c r="J62" s="22">
        <v>9.7555838813092901</v>
      </c>
      <c r="K62" s="23">
        <v>10.14777177371209</v>
      </c>
      <c r="L62" s="23">
        <v>10.5189821303593</v>
      </c>
      <c r="M62" s="23">
        <v>11.023240023978939</v>
      </c>
      <c r="N62" s="23">
        <v>11.240322399878259</v>
      </c>
      <c r="O62" s="23">
        <v>10.993176417980219</v>
      </c>
      <c r="P62" s="23">
        <v>10.726671292953201</v>
      </c>
      <c r="Q62" s="23">
        <v>10.687805701009861</v>
      </c>
      <c r="R62" s="23">
        <v>10.55201043605182</v>
      </c>
      <c r="S62" s="23">
        <v>10.494208480953899</v>
      </c>
      <c r="T62" s="23">
        <v>10.39175238863653</v>
      </c>
      <c r="U62" s="23">
        <v>9.9994875987505463</v>
      </c>
      <c r="V62" s="38">
        <v>10.54425104379783</v>
      </c>
      <c r="W62" s="39">
        <v>323</v>
      </c>
      <c r="X62" s="24">
        <v>0.89722222222222225</v>
      </c>
    </row>
    <row r="63" spans="1:24" ht="13.9" customHeight="1" x14ac:dyDescent="0.2">
      <c r="A63" s="10">
        <v>24035250</v>
      </c>
      <c r="B63" s="35" t="s">
        <v>445</v>
      </c>
      <c r="C63" s="35" t="s">
        <v>518</v>
      </c>
      <c r="D63" s="35" t="s">
        <v>232</v>
      </c>
      <c r="E63" s="21" t="s">
        <v>212</v>
      </c>
      <c r="F63" s="35">
        <v>6</v>
      </c>
      <c r="G63" s="35">
        <v>2888</v>
      </c>
      <c r="H63" s="36">
        <v>-72.466333329999998</v>
      </c>
      <c r="I63" s="37">
        <v>6.1883333299999999</v>
      </c>
      <c r="J63" s="22">
        <v>5.156324649880224</v>
      </c>
      <c r="K63" s="23">
        <v>5.5610181255526081</v>
      </c>
      <c r="L63" s="23">
        <v>6.4550116825867656</v>
      </c>
      <c r="M63" s="23">
        <v>7.2238614238798959</v>
      </c>
      <c r="N63" s="23">
        <v>7.6314309346567422</v>
      </c>
      <c r="O63" s="23">
        <v>7.366907030815077</v>
      </c>
      <c r="P63" s="23">
        <v>7.1380787981158749</v>
      </c>
      <c r="Q63" s="23">
        <v>7.0594081215067499</v>
      </c>
      <c r="R63" s="23">
        <v>6.6991656023839923</v>
      </c>
      <c r="S63" s="23">
        <v>6.7688585607940448</v>
      </c>
      <c r="T63" s="23">
        <v>6.6889014731543464</v>
      </c>
      <c r="U63" s="23">
        <v>5.6033756452452108</v>
      </c>
      <c r="V63" s="38">
        <v>6.6126951707142938</v>
      </c>
      <c r="W63" s="39">
        <v>324</v>
      </c>
      <c r="X63" s="24">
        <v>0.9</v>
      </c>
    </row>
    <row r="64" spans="1:24" ht="13.9" customHeight="1" x14ac:dyDescent="0.2">
      <c r="A64" s="10">
        <v>35095030</v>
      </c>
      <c r="B64" s="35" t="s">
        <v>445</v>
      </c>
      <c r="C64" s="35" t="s">
        <v>519</v>
      </c>
      <c r="D64" s="35" t="s">
        <v>520</v>
      </c>
      <c r="E64" s="21" t="s">
        <v>212</v>
      </c>
      <c r="F64" s="35">
        <v>6</v>
      </c>
      <c r="G64" s="35">
        <v>3000</v>
      </c>
      <c r="H64" s="36">
        <v>-72.947694439999992</v>
      </c>
      <c r="I64" s="37">
        <v>5.5749138900000004</v>
      </c>
      <c r="J64" s="22">
        <v>7.2455038932146838</v>
      </c>
      <c r="K64" s="23">
        <v>7.8053096599441414</v>
      </c>
      <c r="L64" s="23">
        <v>8.2911353355580282</v>
      </c>
      <c r="M64" s="23">
        <v>8.9753029556650255</v>
      </c>
      <c r="N64" s="23">
        <v>9.1368797239097557</v>
      </c>
      <c r="O64" s="23">
        <v>8.8860056839712005</v>
      </c>
      <c r="P64" s="23">
        <v>8.3951542866559556</v>
      </c>
      <c r="Q64" s="23">
        <v>8.3571202570757617</v>
      </c>
      <c r="R64" s="23">
        <v>8.076444170771758</v>
      </c>
      <c r="S64" s="23">
        <v>8.1130760368663601</v>
      </c>
      <c r="T64" s="23">
        <v>8.3082980083523559</v>
      </c>
      <c r="U64" s="23">
        <v>7.7634460658815501</v>
      </c>
      <c r="V64" s="38">
        <v>8.27947300648888</v>
      </c>
      <c r="W64" s="39">
        <v>115</v>
      </c>
      <c r="X64" s="24">
        <v>0.95833333333333337</v>
      </c>
    </row>
    <row r="65" spans="1:24" ht="13.9" customHeight="1" x14ac:dyDescent="0.2">
      <c r="A65" s="10">
        <v>24035120</v>
      </c>
      <c r="B65" s="35" t="s">
        <v>450</v>
      </c>
      <c r="C65" s="35" t="s">
        <v>227</v>
      </c>
      <c r="D65" s="35" t="s">
        <v>228</v>
      </c>
      <c r="E65" s="21" t="s">
        <v>212</v>
      </c>
      <c r="F65" s="35">
        <v>6</v>
      </c>
      <c r="G65" s="35">
        <v>2485</v>
      </c>
      <c r="H65" s="36">
        <v>-73.074472220000004</v>
      </c>
      <c r="I65" s="37">
        <v>5.8024444400000004</v>
      </c>
      <c r="J65" s="22">
        <v>5.5661466543632869</v>
      </c>
      <c r="K65" s="23">
        <v>6.0450194890344822</v>
      </c>
      <c r="L65" s="23">
        <v>7.41524117289367</v>
      </c>
      <c r="M65" s="23">
        <v>8.5476491212065948</v>
      </c>
      <c r="N65" s="23">
        <v>8.4093350636509694</v>
      </c>
      <c r="O65" s="23">
        <v>7.2721101614434929</v>
      </c>
      <c r="P65" s="23">
        <v>6.6085478664622164</v>
      </c>
      <c r="Q65" s="23">
        <v>6.5568614692818183</v>
      </c>
      <c r="R65" s="23">
        <v>6.2010253961478679</v>
      </c>
      <c r="S65" s="23">
        <v>7.1979586897027676</v>
      </c>
      <c r="T65" s="23">
        <v>7.9782303757809121</v>
      </c>
      <c r="U65" s="23">
        <v>6.7534736933705641</v>
      </c>
      <c r="V65" s="38">
        <v>7.0459665961115547</v>
      </c>
      <c r="W65" s="39">
        <v>347</v>
      </c>
      <c r="X65" s="24">
        <v>0.96388888888888891</v>
      </c>
    </row>
    <row r="66" spans="1:24" ht="13.9" customHeight="1" x14ac:dyDescent="0.2">
      <c r="A66" s="10">
        <v>24035070</v>
      </c>
      <c r="B66" s="35" t="s">
        <v>445</v>
      </c>
      <c r="C66" s="35" t="s">
        <v>521</v>
      </c>
      <c r="D66" s="35" t="s">
        <v>521</v>
      </c>
      <c r="E66" s="21" t="s">
        <v>212</v>
      </c>
      <c r="F66" s="35">
        <v>6</v>
      </c>
      <c r="G66" s="35">
        <v>2963</v>
      </c>
      <c r="H66" s="36">
        <v>-72.409194439999993</v>
      </c>
      <c r="I66" s="37">
        <v>6.4634722199999999</v>
      </c>
      <c r="J66" s="22">
        <v>7.2741972091271316</v>
      </c>
      <c r="K66" s="23">
        <v>7.7075623219118974</v>
      </c>
      <c r="L66" s="23">
        <v>8.1675670719919893</v>
      </c>
      <c r="M66" s="23">
        <v>8.8008114689907782</v>
      </c>
      <c r="N66" s="23">
        <v>9.0628029429132511</v>
      </c>
      <c r="O66" s="23">
        <v>8.7553546910305542</v>
      </c>
      <c r="P66" s="23">
        <v>8.3150202936469455</v>
      </c>
      <c r="Q66" s="23">
        <v>8.1548920317107179</v>
      </c>
      <c r="R66" s="23">
        <v>8.3739754437240048</v>
      </c>
      <c r="S66" s="23">
        <v>8.3676112899131585</v>
      </c>
      <c r="T66" s="23">
        <v>8.1574647952783899</v>
      </c>
      <c r="U66" s="23">
        <v>7.6961365266805766</v>
      </c>
      <c r="V66" s="38">
        <v>8.2361163405766167</v>
      </c>
      <c r="W66" s="39">
        <v>293</v>
      </c>
      <c r="X66" s="24">
        <v>0.81388888888888888</v>
      </c>
    </row>
    <row r="67" spans="1:24" ht="13.9" customHeight="1" x14ac:dyDescent="0.2">
      <c r="A67" s="10">
        <v>24035240</v>
      </c>
      <c r="B67" s="35" t="s">
        <v>445</v>
      </c>
      <c r="C67" s="35" t="s">
        <v>522</v>
      </c>
      <c r="D67" s="35" t="s">
        <v>521</v>
      </c>
      <c r="E67" s="21" t="s">
        <v>212</v>
      </c>
      <c r="F67" s="35">
        <v>6</v>
      </c>
      <c r="G67" s="35">
        <v>3716</v>
      </c>
      <c r="H67" s="36">
        <v>-72.375194440000001</v>
      </c>
      <c r="I67" s="37">
        <v>6.41008333</v>
      </c>
      <c r="J67" s="22">
        <v>-0.69770892450417321</v>
      </c>
      <c r="K67" s="23">
        <v>-0.39195190945204822</v>
      </c>
      <c r="L67" s="23">
        <v>0.67775779394287106</v>
      </c>
      <c r="M67" s="23">
        <v>1.288140126458974</v>
      </c>
      <c r="N67" s="23">
        <v>1.447227522513757</v>
      </c>
      <c r="O67" s="23">
        <v>1.562844031947741</v>
      </c>
      <c r="P67" s="23">
        <v>1.4560607163017349</v>
      </c>
      <c r="Q67" s="23">
        <v>1.4259384839008249</v>
      </c>
      <c r="R67" s="23">
        <v>1.409431716839993</v>
      </c>
      <c r="S67" s="23">
        <v>1.354834965961681</v>
      </c>
      <c r="T67" s="23">
        <v>1.326669555433923</v>
      </c>
      <c r="U67" s="23">
        <v>0.43994018591174011</v>
      </c>
      <c r="V67" s="38">
        <v>0.94159868877141817</v>
      </c>
      <c r="W67" s="39">
        <v>298</v>
      </c>
      <c r="X67" s="24">
        <v>0.82777777777777772</v>
      </c>
    </row>
    <row r="68" spans="1:24" ht="13.9" customHeight="1" x14ac:dyDescent="0.2">
      <c r="A68" s="10">
        <v>24035010</v>
      </c>
      <c r="B68" s="35" t="s">
        <v>445</v>
      </c>
      <c r="C68" s="35" t="s">
        <v>523</v>
      </c>
      <c r="D68" s="35" t="s">
        <v>524</v>
      </c>
      <c r="E68" s="21" t="s">
        <v>212</v>
      </c>
      <c r="F68" s="35">
        <v>6</v>
      </c>
      <c r="G68" s="35">
        <v>2950</v>
      </c>
      <c r="H68" s="36">
        <v>-72.548888890000001</v>
      </c>
      <c r="I68" s="37">
        <v>6.24811111</v>
      </c>
      <c r="J68" s="22">
        <v>7.9567272732014009</v>
      </c>
      <c r="K68" s="23">
        <v>8.0677818957558411</v>
      </c>
      <c r="L68" s="23">
        <v>8.5724132151236319</v>
      </c>
      <c r="M68" s="23">
        <v>9.14499187321276</v>
      </c>
      <c r="N68" s="23">
        <v>9.2301910346212441</v>
      </c>
      <c r="O68" s="23">
        <v>8.8240698353725175</v>
      </c>
      <c r="P68" s="23">
        <v>8.4905497076664282</v>
      </c>
      <c r="Q68" s="23">
        <v>8.4731453296891939</v>
      </c>
      <c r="R68" s="23">
        <v>8.4968442194246787</v>
      </c>
      <c r="S68" s="23">
        <v>8.7471789878406838</v>
      </c>
      <c r="T68" s="23">
        <v>8.8267821159966751</v>
      </c>
      <c r="U68" s="23">
        <v>8.3400080905101301</v>
      </c>
      <c r="V68" s="38">
        <v>8.5975569648679304</v>
      </c>
      <c r="W68" s="39">
        <v>336</v>
      </c>
      <c r="X68" s="24">
        <v>0.93333333333333335</v>
      </c>
    </row>
    <row r="69" spans="1:24" ht="13.9" customHeight="1" x14ac:dyDescent="0.2">
      <c r="A69" s="10">
        <v>35075040</v>
      </c>
      <c r="B69" s="35" t="s">
        <v>471</v>
      </c>
      <c r="C69" s="35" t="s">
        <v>525</v>
      </c>
      <c r="D69" s="35" t="s">
        <v>245</v>
      </c>
      <c r="E69" s="21" t="s">
        <v>212</v>
      </c>
      <c r="F69" s="35">
        <v>6</v>
      </c>
      <c r="G69" s="35">
        <v>1700</v>
      </c>
      <c r="H69" s="36">
        <v>-73.316749999999999</v>
      </c>
      <c r="I69" s="37">
        <v>4.9743611100000003</v>
      </c>
      <c r="J69" s="22">
        <v>13.067975528364849</v>
      </c>
      <c r="K69" s="23">
        <v>13.602969039074519</v>
      </c>
      <c r="L69" s="23">
        <v>14.235785731422711</v>
      </c>
      <c r="M69" s="23">
        <v>14.513118956394811</v>
      </c>
      <c r="N69" s="23">
        <v>14.43663164833354</v>
      </c>
      <c r="O69" s="23">
        <v>13.905044699872279</v>
      </c>
      <c r="P69" s="23">
        <v>13.551301836348379</v>
      </c>
      <c r="Q69" s="23">
        <v>13.486598754951901</v>
      </c>
      <c r="R69" s="23">
        <v>13.358971566848149</v>
      </c>
      <c r="S69" s="23">
        <v>13.78207885304659</v>
      </c>
      <c r="T69" s="23">
        <v>14.15967341725962</v>
      </c>
      <c r="U69" s="23">
        <v>13.578468668891359</v>
      </c>
      <c r="V69" s="38">
        <v>13.806551558400731</v>
      </c>
      <c r="W69" s="39">
        <v>217</v>
      </c>
      <c r="X69" s="24">
        <v>0.90416666666666667</v>
      </c>
    </row>
    <row r="70" spans="1:24" ht="13.9" customHeight="1" x14ac:dyDescent="0.2">
      <c r="A70" s="10">
        <v>35085040</v>
      </c>
      <c r="B70" s="35" t="s">
        <v>445</v>
      </c>
      <c r="C70" s="35" t="s">
        <v>246</v>
      </c>
      <c r="D70" s="35" t="s">
        <v>526</v>
      </c>
      <c r="E70" s="21" t="s">
        <v>212</v>
      </c>
      <c r="F70" s="35">
        <v>6</v>
      </c>
      <c r="G70" s="35">
        <v>1640</v>
      </c>
      <c r="H70" s="36">
        <v>-73.144777779999998</v>
      </c>
      <c r="I70" s="37">
        <v>5.1925555599999997</v>
      </c>
      <c r="J70" s="22">
        <v>13.82701399556238</v>
      </c>
      <c r="K70" s="23">
        <v>14.161137074930179</v>
      </c>
      <c r="L70" s="23">
        <v>14.35646505376344</v>
      </c>
      <c r="M70" s="23">
        <v>14.56561439518336</v>
      </c>
      <c r="N70" s="23">
        <v>14.23205703599813</v>
      </c>
      <c r="O70" s="23">
        <v>13.849254641909811</v>
      </c>
      <c r="P70" s="23">
        <v>13.61231765453679</v>
      </c>
      <c r="Q70" s="23">
        <v>13.526900330851941</v>
      </c>
      <c r="R70" s="23">
        <v>13.685588761174969</v>
      </c>
      <c r="S70" s="23">
        <v>13.919677419354841</v>
      </c>
      <c r="T70" s="23">
        <v>14.039086206896551</v>
      </c>
      <c r="U70" s="23">
        <v>14.217903225806451</v>
      </c>
      <c r="V70" s="38">
        <v>13.9994179829974</v>
      </c>
      <c r="W70" s="39">
        <v>112</v>
      </c>
      <c r="X70" s="24">
        <v>0.93333333333333335</v>
      </c>
    </row>
    <row r="71" spans="1:24" ht="13.9" customHeight="1" x14ac:dyDescent="0.2">
      <c r="A71" s="10">
        <v>35075010</v>
      </c>
      <c r="B71" s="35" t="s">
        <v>450</v>
      </c>
      <c r="C71" s="35" t="s">
        <v>240</v>
      </c>
      <c r="D71" s="35" t="s">
        <v>240</v>
      </c>
      <c r="E71" s="21" t="s">
        <v>212</v>
      </c>
      <c r="F71" s="35">
        <v>6</v>
      </c>
      <c r="G71" s="35">
        <v>2438</v>
      </c>
      <c r="H71" s="36">
        <v>-73.453777779999996</v>
      </c>
      <c r="I71" s="37">
        <v>5.3526944399999996</v>
      </c>
      <c r="J71" s="22">
        <v>9.1547576319367199</v>
      </c>
      <c r="K71" s="23">
        <v>9.6663697039737464</v>
      </c>
      <c r="L71" s="23">
        <v>10.55825865833614</v>
      </c>
      <c r="M71" s="23">
        <v>10.88711682782947</v>
      </c>
      <c r="N71" s="23">
        <v>11.01988607094302</v>
      </c>
      <c r="O71" s="23">
        <v>10.57650516260504</v>
      </c>
      <c r="P71" s="23">
        <v>10.11868743047831</v>
      </c>
      <c r="Q71" s="23">
        <v>9.9225433842748103</v>
      </c>
      <c r="R71" s="23">
        <v>9.5729657311464695</v>
      </c>
      <c r="S71" s="23">
        <v>9.9926318635871958</v>
      </c>
      <c r="T71" s="23">
        <v>10.440549766325629</v>
      </c>
      <c r="U71" s="23">
        <v>9.7312609248371196</v>
      </c>
      <c r="V71" s="38">
        <v>10.13679442968947</v>
      </c>
      <c r="W71" s="39">
        <v>344</v>
      </c>
      <c r="X71" s="24">
        <v>0.9555555555555556</v>
      </c>
    </row>
    <row r="72" spans="1:24" ht="13.9" customHeight="1" x14ac:dyDescent="0.2">
      <c r="A72" s="10">
        <v>23125080</v>
      </c>
      <c r="B72" s="35" t="s">
        <v>445</v>
      </c>
      <c r="C72" s="35" t="s">
        <v>527</v>
      </c>
      <c r="D72" s="35" t="s">
        <v>527</v>
      </c>
      <c r="E72" s="21" t="s">
        <v>212</v>
      </c>
      <c r="F72" s="35">
        <v>6</v>
      </c>
      <c r="G72" s="35">
        <v>1100</v>
      </c>
      <c r="H72" s="36">
        <v>-74.184611110000006</v>
      </c>
      <c r="I72" s="37">
        <v>5.6617222199999997</v>
      </c>
      <c r="J72" s="22">
        <v>18.703782432772051</v>
      </c>
      <c r="K72" s="23">
        <v>18.890536057811921</v>
      </c>
      <c r="L72" s="23">
        <v>18.912633106445892</v>
      </c>
      <c r="M72" s="23">
        <v>18.89495116469293</v>
      </c>
      <c r="N72" s="23">
        <v>19.03393944260511</v>
      </c>
      <c r="O72" s="23">
        <v>18.792734328055278</v>
      </c>
      <c r="P72" s="23">
        <v>18.61776657532403</v>
      </c>
      <c r="Q72" s="23">
        <v>18.77686266056936</v>
      </c>
      <c r="R72" s="23">
        <v>18.537272058767279</v>
      </c>
      <c r="S72" s="23">
        <v>18.6220538385585</v>
      </c>
      <c r="T72" s="23">
        <v>18.574300637633971</v>
      </c>
      <c r="U72" s="23">
        <v>18.724514268628521</v>
      </c>
      <c r="V72" s="38">
        <v>18.75677888098874</v>
      </c>
      <c r="W72" s="39">
        <v>314</v>
      </c>
      <c r="X72" s="24">
        <v>0.87222222222222223</v>
      </c>
    </row>
    <row r="73" spans="1:24" ht="13.9" customHeight="1" x14ac:dyDescent="0.2">
      <c r="A73" s="10">
        <v>24025030</v>
      </c>
      <c r="B73" s="35" t="s">
        <v>471</v>
      </c>
      <c r="C73" s="35" t="s">
        <v>528</v>
      </c>
      <c r="D73" s="35" t="s">
        <v>238</v>
      </c>
      <c r="E73" s="21" t="s">
        <v>212</v>
      </c>
      <c r="F73" s="35">
        <v>6</v>
      </c>
      <c r="G73" s="35">
        <v>2700</v>
      </c>
      <c r="H73" s="36">
        <v>-73.163891389999989</v>
      </c>
      <c r="I73" s="37">
        <v>5.9663888900000002</v>
      </c>
      <c r="J73" s="22">
        <v>8.0267977892998044</v>
      </c>
      <c r="K73" s="23">
        <v>8.1098683410283616</v>
      </c>
      <c r="L73" s="23">
        <v>8.2815732340086079</v>
      </c>
      <c r="M73" s="23">
        <v>8.6388227486610383</v>
      </c>
      <c r="N73" s="23">
        <v>8.6438994606980533</v>
      </c>
      <c r="O73" s="23">
        <v>8.5689842111911094</v>
      </c>
      <c r="P73" s="23">
        <v>8.4651018711668478</v>
      </c>
      <c r="Q73" s="23">
        <v>8.4982067244535102</v>
      </c>
      <c r="R73" s="23">
        <v>8.4089090124214998</v>
      </c>
      <c r="S73" s="23">
        <v>8.3421921528601182</v>
      </c>
      <c r="T73" s="23">
        <v>8.3914588820982061</v>
      </c>
      <c r="U73" s="23">
        <v>8.1952247548506474</v>
      </c>
      <c r="V73" s="38">
        <v>8.3809199318948178</v>
      </c>
      <c r="W73" s="39">
        <v>351</v>
      </c>
      <c r="X73" s="24">
        <v>0.97499999999999998</v>
      </c>
    </row>
    <row r="74" spans="1:24" ht="13.9" customHeight="1" x14ac:dyDescent="0.2">
      <c r="A74" s="10">
        <v>24035430</v>
      </c>
      <c r="B74" s="35" t="s">
        <v>450</v>
      </c>
      <c r="C74" s="35" t="s">
        <v>529</v>
      </c>
      <c r="D74" s="35" t="s">
        <v>238</v>
      </c>
      <c r="E74" s="21" t="s">
        <v>212</v>
      </c>
      <c r="F74" s="35">
        <v>6</v>
      </c>
      <c r="G74" s="35">
        <v>2470</v>
      </c>
      <c r="H74" s="36">
        <v>-73.11636111</v>
      </c>
      <c r="I74" s="37">
        <v>5.7459166699999997</v>
      </c>
      <c r="J74" s="22">
        <v>5.8062688701732101</v>
      </c>
      <c r="K74" s="23">
        <v>6.3689743250979891</v>
      </c>
      <c r="L74" s="23">
        <v>7.7514957046139843</v>
      </c>
      <c r="M74" s="23">
        <v>8.6420015854141887</v>
      </c>
      <c r="N74" s="23">
        <v>8.6257439483023486</v>
      </c>
      <c r="O74" s="23">
        <v>7.5521305418719198</v>
      </c>
      <c r="P74" s="23">
        <v>6.7483058935476308</v>
      </c>
      <c r="Q74" s="23">
        <v>6.6867982257377889</v>
      </c>
      <c r="R74" s="23">
        <v>6.577004617349445</v>
      </c>
      <c r="S74" s="23">
        <v>7.5536967000370803</v>
      </c>
      <c r="T74" s="23">
        <v>8.4064241731175233</v>
      </c>
      <c r="U74" s="23">
        <v>7.0224116743471603</v>
      </c>
      <c r="V74" s="38">
        <v>7.3117713549675223</v>
      </c>
      <c r="W74" s="39">
        <v>338</v>
      </c>
      <c r="X74" s="24">
        <v>0.93888888888888888</v>
      </c>
    </row>
    <row r="75" spans="1:24" ht="13.9" customHeight="1" x14ac:dyDescent="0.2">
      <c r="A75" s="10">
        <v>35195050</v>
      </c>
      <c r="B75" s="35" t="s">
        <v>445</v>
      </c>
      <c r="C75" s="35" t="s">
        <v>250</v>
      </c>
      <c r="D75" s="35" t="s">
        <v>251</v>
      </c>
      <c r="E75" s="21" t="s">
        <v>212</v>
      </c>
      <c r="F75" s="35">
        <v>6</v>
      </c>
      <c r="G75" s="35">
        <v>1550</v>
      </c>
      <c r="H75" s="36">
        <v>-72.717222220000011</v>
      </c>
      <c r="I75" s="37">
        <v>5.4072777799999994</v>
      </c>
      <c r="J75" s="22">
        <v>14.68721707246735</v>
      </c>
      <c r="K75" s="23">
        <v>15.108834785903751</v>
      </c>
      <c r="L75" s="23">
        <v>15.701261772339629</v>
      </c>
      <c r="M75" s="23">
        <v>15.966678160919541</v>
      </c>
      <c r="N75" s="23">
        <v>15.816365591397849</v>
      </c>
      <c r="O75" s="23">
        <v>15.577379310344829</v>
      </c>
      <c r="P75" s="23">
        <v>15.22725499231951</v>
      </c>
      <c r="Q75" s="23">
        <v>15.24686243974787</v>
      </c>
      <c r="R75" s="23">
        <v>15.184620689655169</v>
      </c>
      <c r="S75" s="23">
        <v>15.316224611708479</v>
      </c>
      <c r="T75" s="23">
        <v>15.408275862068971</v>
      </c>
      <c r="U75" s="23">
        <v>14.87474462365592</v>
      </c>
      <c r="V75" s="38">
        <v>15.34297665937741</v>
      </c>
      <c r="W75" s="39">
        <v>115</v>
      </c>
      <c r="X75" s="24">
        <v>0.95833333333333337</v>
      </c>
    </row>
    <row r="76" spans="1:24" ht="13.9" customHeight="1" x14ac:dyDescent="0.2">
      <c r="A76" s="10">
        <v>23125140</v>
      </c>
      <c r="B76" s="35" t="s">
        <v>445</v>
      </c>
      <c r="C76" s="35" t="s">
        <v>530</v>
      </c>
      <c r="D76" s="35" t="s">
        <v>214</v>
      </c>
      <c r="E76" s="21" t="s">
        <v>212</v>
      </c>
      <c r="F76" s="35">
        <v>6</v>
      </c>
      <c r="G76" s="35">
        <v>1250</v>
      </c>
      <c r="H76" s="36">
        <v>-74.182416669999995</v>
      </c>
      <c r="I76" s="37">
        <v>5.5208333300000003</v>
      </c>
      <c r="J76" s="22">
        <v>17.69713453927158</v>
      </c>
      <c r="K76" s="23">
        <v>17.700989801635981</v>
      </c>
      <c r="L76" s="23">
        <v>17.73236273922592</v>
      </c>
      <c r="M76" s="23">
        <v>17.62879982219372</v>
      </c>
      <c r="N76" s="23">
        <v>17.86893861099831</v>
      </c>
      <c r="O76" s="23">
        <v>17.79126859730308</v>
      </c>
      <c r="P76" s="23">
        <v>17.613159782779519</v>
      </c>
      <c r="Q76" s="23">
        <v>17.610862560172901</v>
      </c>
      <c r="R76" s="23">
        <v>17.65629355956942</v>
      </c>
      <c r="S76" s="23">
        <v>17.698283520980588</v>
      </c>
      <c r="T76" s="23">
        <v>17.807477763068889</v>
      </c>
      <c r="U76" s="23">
        <v>17.862454539174319</v>
      </c>
      <c r="V76" s="38">
        <v>17.722335486364521</v>
      </c>
      <c r="W76" s="39">
        <v>314</v>
      </c>
      <c r="X76" s="24">
        <v>0.87222222222222223</v>
      </c>
    </row>
    <row r="77" spans="1:24" ht="13.9" customHeight="1" x14ac:dyDescent="0.2">
      <c r="A77" s="10">
        <v>35075030</v>
      </c>
      <c r="B77" s="35" t="s">
        <v>445</v>
      </c>
      <c r="C77" s="35" t="s">
        <v>242</v>
      </c>
      <c r="D77" s="35" t="s">
        <v>243</v>
      </c>
      <c r="E77" s="21" t="s">
        <v>212</v>
      </c>
      <c r="F77" s="35">
        <v>6</v>
      </c>
      <c r="G77" s="35">
        <v>2200</v>
      </c>
      <c r="H77" s="36">
        <v>-73.349416669999997</v>
      </c>
      <c r="I77" s="37">
        <v>5.4222222200000001</v>
      </c>
      <c r="J77" s="22">
        <v>10.780290354361989</v>
      </c>
      <c r="K77" s="23">
        <v>11.335735403246179</v>
      </c>
      <c r="L77" s="23">
        <v>12.409628647214859</v>
      </c>
      <c r="M77" s="23">
        <v>12.83488112781216</v>
      </c>
      <c r="N77" s="23">
        <v>12.997423835125449</v>
      </c>
      <c r="O77" s="23">
        <v>12.43081896551724</v>
      </c>
      <c r="P77" s="23">
        <v>11.932798761909369</v>
      </c>
      <c r="Q77" s="23">
        <v>11.71482091212458</v>
      </c>
      <c r="R77" s="23">
        <v>11.188895457033389</v>
      </c>
      <c r="S77" s="23">
        <v>11.517299361072149</v>
      </c>
      <c r="T77" s="23">
        <v>12.2136231884058</v>
      </c>
      <c r="U77" s="23">
        <v>11.580199913484121</v>
      </c>
      <c r="V77" s="38">
        <v>11.911367993942269</v>
      </c>
      <c r="W77" s="39">
        <v>291</v>
      </c>
      <c r="X77" s="24">
        <v>0.80833333333333335</v>
      </c>
    </row>
    <row r="78" spans="1:24" ht="13.9" customHeight="1" x14ac:dyDescent="0.2">
      <c r="A78" s="10">
        <v>24015220</v>
      </c>
      <c r="B78" s="35" t="s">
        <v>471</v>
      </c>
      <c r="C78" s="35" t="s">
        <v>217</v>
      </c>
      <c r="D78" s="35" t="s">
        <v>218</v>
      </c>
      <c r="E78" s="21" t="s">
        <v>212</v>
      </c>
      <c r="F78" s="35">
        <v>6</v>
      </c>
      <c r="G78" s="35">
        <v>2600</v>
      </c>
      <c r="H78" s="36">
        <v>-73.495777779999997</v>
      </c>
      <c r="I78" s="37">
        <v>5.5093888899999994</v>
      </c>
      <c r="J78" s="22">
        <v>7.5516269399862281</v>
      </c>
      <c r="K78" s="23">
        <v>8.4031448968230595</v>
      </c>
      <c r="L78" s="23">
        <v>9.2036459412118212</v>
      </c>
      <c r="M78" s="23">
        <v>9.6480458899008266</v>
      </c>
      <c r="N78" s="23">
        <v>9.7618892000051147</v>
      </c>
      <c r="O78" s="23">
        <v>9.2992784163473807</v>
      </c>
      <c r="P78" s="23">
        <v>8.9015099398191726</v>
      </c>
      <c r="Q78" s="23">
        <v>8.6931200495597167</v>
      </c>
      <c r="R78" s="23">
        <v>8.2655190007037298</v>
      </c>
      <c r="S78" s="23">
        <v>8.498079612267599</v>
      </c>
      <c r="T78" s="23">
        <v>8.9222222222222243</v>
      </c>
      <c r="U78" s="23">
        <v>8.062958843159068</v>
      </c>
      <c r="V78" s="38">
        <v>8.7675867460004966</v>
      </c>
      <c r="W78" s="39">
        <v>334</v>
      </c>
      <c r="X78" s="24">
        <v>0.92777777777777781</v>
      </c>
    </row>
    <row r="79" spans="1:24" ht="13.9" customHeight="1" x14ac:dyDescent="0.2">
      <c r="A79" s="10">
        <v>24015090</v>
      </c>
      <c r="B79" s="35" t="s">
        <v>445</v>
      </c>
      <c r="C79" s="35" t="s">
        <v>531</v>
      </c>
      <c r="D79" s="35" t="s">
        <v>216</v>
      </c>
      <c r="E79" s="21" t="s">
        <v>212</v>
      </c>
      <c r="F79" s="35">
        <v>6</v>
      </c>
      <c r="G79" s="35">
        <v>2300</v>
      </c>
      <c r="H79" s="36">
        <v>-73.602277779999994</v>
      </c>
      <c r="I79" s="37">
        <v>5.7106666700000002</v>
      </c>
      <c r="J79" s="22">
        <v>10.35550611790879</v>
      </c>
      <c r="K79" s="23">
        <v>10.64484869949767</v>
      </c>
      <c r="L79" s="23">
        <v>11.361570114090149</v>
      </c>
      <c r="M79" s="23">
        <v>11.74005868113478</v>
      </c>
      <c r="N79" s="23">
        <v>11.909851714060339</v>
      </c>
      <c r="O79" s="23">
        <v>11.692366113239681</v>
      </c>
      <c r="P79" s="23">
        <v>11.47881802826185</v>
      </c>
      <c r="Q79" s="23">
        <v>11.399375551378929</v>
      </c>
      <c r="R79" s="23">
        <v>11.22937715871128</v>
      </c>
      <c r="S79" s="23">
        <v>11.050713443887011</v>
      </c>
      <c r="T79" s="23">
        <v>11.06299735787603</v>
      </c>
      <c r="U79" s="23">
        <v>10.79410666684219</v>
      </c>
      <c r="V79" s="38">
        <v>11.22663247057406</v>
      </c>
      <c r="W79" s="39">
        <v>344</v>
      </c>
      <c r="X79" s="24">
        <v>0.9555555555555556</v>
      </c>
    </row>
    <row r="80" spans="1:24" ht="13.9" customHeight="1" x14ac:dyDescent="0.2">
      <c r="A80" s="10">
        <v>24035320</v>
      </c>
      <c r="B80" s="35" t="s">
        <v>445</v>
      </c>
      <c r="C80" s="35" t="s">
        <v>532</v>
      </c>
      <c r="D80" s="35" t="s">
        <v>532</v>
      </c>
      <c r="E80" s="21" t="s">
        <v>212</v>
      </c>
      <c r="F80" s="35">
        <v>6</v>
      </c>
      <c r="G80" s="35">
        <v>2594</v>
      </c>
      <c r="H80" s="36">
        <v>-72.70483333</v>
      </c>
      <c r="I80" s="37">
        <v>6.1168611099999994</v>
      </c>
      <c r="J80" s="22">
        <v>9.1972586553231714</v>
      </c>
      <c r="K80" s="23">
        <v>9.4078898432346687</v>
      </c>
      <c r="L80" s="23">
        <v>9.7904931405265092</v>
      </c>
      <c r="M80" s="23">
        <v>10.29310755336617</v>
      </c>
      <c r="N80" s="23">
        <v>10.30765985194277</v>
      </c>
      <c r="O80" s="23">
        <v>9.9789625850340133</v>
      </c>
      <c r="P80" s="23">
        <v>9.7371812596006144</v>
      </c>
      <c r="Q80" s="23">
        <v>9.7757111075798502</v>
      </c>
      <c r="R80" s="23">
        <v>9.6557692307692324</v>
      </c>
      <c r="S80" s="23">
        <v>9.8070786701777504</v>
      </c>
      <c r="T80" s="23">
        <v>9.9149091015716628</v>
      </c>
      <c r="U80" s="23">
        <v>9.5365059671511272</v>
      </c>
      <c r="V80" s="38">
        <v>9.7835439138564624</v>
      </c>
      <c r="W80" s="39">
        <v>334</v>
      </c>
      <c r="X80" s="24">
        <v>0.92777777777777781</v>
      </c>
    </row>
    <row r="81" spans="1:24" ht="13.9" customHeight="1" x14ac:dyDescent="0.2">
      <c r="A81" s="10">
        <v>35235010</v>
      </c>
      <c r="B81" s="35" t="s">
        <v>445</v>
      </c>
      <c r="C81" s="35" t="s">
        <v>533</v>
      </c>
      <c r="D81" s="35" t="s">
        <v>534</v>
      </c>
      <c r="E81" s="21" t="s">
        <v>212</v>
      </c>
      <c r="F81" s="35">
        <v>6</v>
      </c>
      <c r="G81" s="35">
        <v>3590</v>
      </c>
      <c r="H81" s="36">
        <v>-72.529277780000001</v>
      </c>
      <c r="I81" s="37">
        <v>6.0116666699999994</v>
      </c>
      <c r="J81" s="22">
        <v>2.9251149733229802</v>
      </c>
      <c r="K81" s="23">
        <v>3.1324617462113191</v>
      </c>
      <c r="L81" s="23">
        <v>3.5531859859212891</v>
      </c>
      <c r="M81" s="23">
        <v>4.0768933951358122</v>
      </c>
      <c r="N81" s="23">
        <v>4.1448887881225946</v>
      </c>
      <c r="O81" s="23">
        <v>3.5772869290493809</v>
      </c>
      <c r="P81" s="23">
        <v>3.2799510322825109</v>
      </c>
      <c r="Q81" s="23">
        <v>3.2793035771956802</v>
      </c>
      <c r="R81" s="23">
        <v>3.2980395604395598</v>
      </c>
      <c r="S81" s="23">
        <v>3.608744222540563</v>
      </c>
      <c r="T81" s="23">
        <v>3.8988190476190479</v>
      </c>
      <c r="U81" s="23">
        <v>3.244595228795498</v>
      </c>
      <c r="V81" s="38">
        <v>3.50160704055302</v>
      </c>
      <c r="W81" s="39">
        <v>310</v>
      </c>
      <c r="X81" s="24">
        <v>0.86111111111111116</v>
      </c>
    </row>
    <row r="82" spans="1:24" ht="13.9" customHeight="1" x14ac:dyDescent="0.2">
      <c r="A82" s="10">
        <v>24035340</v>
      </c>
      <c r="B82" s="35" t="s">
        <v>471</v>
      </c>
      <c r="C82" s="11" t="s">
        <v>535</v>
      </c>
      <c r="D82" s="35" t="s">
        <v>536</v>
      </c>
      <c r="E82" s="21" t="s">
        <v>212</v>
      </c>
      <c r="F82" s="35">
        <v>6</v>
      </c>
      <c r="G82" s="35">
        <v>2500</v>
      </c>
      <c r="H82" s="36">
        <v>-72.967916669999994</v>
      </c>
      <c r="I82" s="37">
        <v>5.6769444399999998</v>
      </c>
      <c r="J82" s="22">
        <v>3.843800570102387</v>
      </c>
      <c r="K82" s="23">
        <v>4.3640558752033183</v>
      </c>
      <c r="L82" s="23">
        <v>6.4310754579918719</v>
      </c>
      <c r="M82" s="23">
        <v>7.919549484371716</v>
      </c>
      <c r="N82" s="23">
        <v>8.129244794476211</v>
      </c>
      <c r="O82" s="23">
        <v>7.2423978592714242</v>
      </c>
      <c r="P82" s="23">
        <v>6.3036392974361091</v>
      </c>
      <c r="Q82" s="23">
        <v>6.2838637601870548</v>
      </c>
      <c r="R82" s="23">
        <v>5.7801316419979303</v>
      </c>
      <c r="S82" s="23">
        <v>6.9766007345457766</v>
      </c>
      <c r="T82" s="23">
        <v>7.6863426251726734</v>
      </c>
      <c r="U82" s="23">
        <v>5.4987706541954324</v>
      </c>
      <c r="V82" s="38">
        <v>6.3716227295793262</v>
      </c>
      <c r="W82" s="39">
        <v>333</v>
      </c>
      <c r="X82" s="24">
        <v>0.92500000000000004</v>
      </c>
    </row>
    <row r="83" spans="1:24" ht="13.9" customHeight="1" x14ac:dyDescent="0.2">
      <c r="A83" s="10">
        <v>35075020</v>
      </c>
      <c r="B83" s="35" t="s">
        <v>471</v>
      </c>
      <c r="C83" s="35" t="s">
        <v>241</v>
      </c>
      <c r="D83" s="35" t="s">
        <v>241</v>
      </c>
      <c r="E83" s="21" t="s">
        <v>212</v>
      </c>
      <c r="F83" s="35">
        <v>6</v>
      </c>
      <c r="G83" s="35">
        <v>1930</v>
      </c>
      <c r="H83" s="36">
        <v>-73.449166669999997</v>
      </c>
      <c r="I83" s="37">
        <v>5.0222777799999996</v>
      </c>
      <c r="J83" s="22">
        <v>13.49239117538005</v>
      </c>
      <c r="K83" s="23">
        <v>14.000577088345221</v>
      </c>
      <c r="L83" s="23">
        <v>14.69728984832798</v>
      </c>
      <c r="M83" s="23">
        <v>14.85383296661713</v>
      </c>
      <c r="N83" s="23">
        <v>14.66491104166299</v>
      </c>
      <c r="O83" s="23">
        <v>14.165162480488149</v>
      </c>
      <c r="P83" s="23">
        <v>13.701938132316331</v>
      </c>
      <c r="Q83" s="23">
        <v>13.650700267218999</v>
      </c>
      <c r="R83" s="23">
        <v>13.60304714989444</v>
      </c>
      <c r="S83" s="23">
        <v>13.92075025890837</v>
      </c>
      <c r="T83" s="23">
        <v>14.289124876532719</v>
      </c>
      <c r="U83" s="23">
        <v>13.85425639803282</v>
      </c>
      <c r="V83" s="38">
        <v>14.07449847364377</v>
      </c>
      <c r="W83" s="39">
        <v>340</v>
      </c>
      <c r="X83" s="24">
        <v>0.94444444444444442</v>
      </c>
    </row>
    <row r="84" spans="1:24" ht="13.9" customHeight="1" x14ac:dyDescent="0.2">
      <c r="A84" s="10">
        <v>24035040</v>
      </c>
      <c r="B84" s="35" t="s">
        <v>445</v>
      </c>
      <c r="C84" s="35" t="s">
        <v>537</v>
      </c>
      <c r="D84" s="35" t="s">
        <v>224</v>
      </c>
      <c r="E84" s="21" t="s">
        <v>212</v>
      </c>
      <c r="F84" s="35">
        <v>6</v>
      </c>
      <c r="G84" s="35">
        <v>2700</v>
      </c>
      <c r="H84" s="36">
        <v>-73.208777779999991</v>
      </c>
      <c r="I84" s="37">
        <v>5.5791944400000002</v>
      </c>
      <c r="J84" s="22">
        <v>5.720008737493588</v>
      </c>
      <c r="K84" s="23">
        <v>6.4814277891353251</v>
      </c>
      <c r="L84" s="23">
        <v>7.7745665839536837</v>
      </c>
      <c r="M84" s="23">
        <v>8.6065646982505228</v>
      </c>
      <c r="N84" s="23">
        <v>8.5080422263848305</v>
      </c>
      <c r="O84" s="23">
        <v>7.7550146435939551</v>
      </c>
      <c r="P84" s="23">
        <v>7.2926861266282854</v>
      </c>
      <c r="Q84" s="23">
        <v>7.1833471822125867</v>
      </c>
      <c r="R84" s="23">
        <v>6.9772719899777336</v>
      </c>
      <c r="S84" s="23">
        <v>7.471608983874277</v>
      </c>
      <c r="T84" s="23">
        <v>8.0578147886476987</v>
      </c>
      <c r="U84" s="23">
        <v>6.8679098692100062</v>
      </c>
      <c r="V84" s="38">
        <v>7.3913553016135412</v>
      </c>
      <c r="W84" s="39">
        <v>307</v>
      </c>
      <c r="X84" s="24">
        <v>0.85277777777777775</v>
      </c>
    </row>
    <row r="85" spans="1:24" ht="13.9" customHeight="1" x14ac:dyDescent="0.2">
      <c r="A85" s="10">
        <v>24035130</v>
      </c>
      <c r="B85" s="35" t="s">
        <v>471</v>
      </c>
      <c r="C85" s="35" t="s">
        <v>229</v>
      </c>
      <c r="D85" s="35" t="s">
        <v>230</v>
      </c>
      <c r="E85" s="21" t="s">
        <v>212</v>
      </c>
      <c r="F85" s="35">
        <v>6</v>
      </c>
      <c r="G85" s="35">
        <v>2690</v>
      </c>
      <c r="H85" s="36">
        <v>-73.360813059999998</v>
      </c>
      <c r="I85" s="37">
        <v>5.5430774999999999</v>
      </c>
      <c r="J85" s="22">
        <v>7.4141572920833418</v>
      </c>
      <c r="K85" s="23">
        <v>8.2285885726448935</v>
      </c>
      <c r="L85" s="23">
        <v>9.2782629876817868</v>
      </c>
      <c r="M85" s="23">
        <v>9.93108843537415</v>
      </c>
      <c r="N85" s="23">
        <v>9.8713042588827946</v>
      </c>
      <c r="O85" s="23">
        <v>9.2554974237019429</v>
      </c>
      <c r="P85" s="23">
        <v>8.6035988588983976</v>
      </c>
      <c r="Q85" s="23">
        <v>8.4968567690188941</v>
      </c>
      <c r="R85" s="23">
        <v>8.159618451306919</v>
      </c>
      <c r="S85" s="23">
        <v>8.6909754224270355</v>
      </c>
      <c r="T85" s="23">
        <v>9.0088381261595547</v>
      </c>
      <c r="U85" s="23">
        <v>8.2006906534325879</v>
      </c>
      <c r="V85" s="38">
        <v>8.7616231043010249</v>
      </c>
      <c r="W85" s="39">
        <v>340</v>
      </c>
      <c r="X85" s="24">
        <v>0.94444444444444442</v>
      </c>
    </row>
    <row r="86" spans="1:24" ht="13.9" customHeight="1" x14ac:dyDescent="0.2">
      <c r="A86" s="10">
        <v>24015300</v>
      </c>
      <c r="B86" s="35" t="s">
        <v>471</v>
      </c>
      <c r="C86" s="35" t="s">
        <v>538</v>
      </c>
      <c r="D86" s="35" t="s">
        <v>539</v>
      </c>
      <c r="E86" s="21" t="s">
        <v>212</v>
      </c>
      <c r="F86" s="35">
        <v>6</v>
      </c>
      <c r="G86" s="35">
        <v>2215</v>
      </c>
      <c r="H86" s="36">
        <v>-73.54394443999999</v>
      </c>
      <c r="I86" s="37">
        <v>5.6558333300000001</v>
      </c>
      <c r="J86" s="22">
        <v>9.7321242395528635</v>
      </c>
      <c r="K86" s="23">
        <v>10.451963453090769</v>
      </c>
      <c r="L86" s="23">
        <v>11.08016264623606</v>
      </c>
      <c r="M86" s="23">
        <v>11.472533607607501</v>
      </c>
      <c r="N86" s="23">
        <v>11.48566797373428</v>
      </c>
      <c r="O86" s="23">
        <v>11.06120452796049</v>
      </c>
      <c r="P86" s="23">
        <v>10.516628421304731</v>
      </c>
      <c r="Q86" s="23">
        <v>10.551037622139731</v>
      </c>
      <c r="R86" s="23">
        <v>10.537256571653121</v>
      </c>
      <c r="S86" s="23">
        <v>10.878605566541699</v>
      </c>
      <c r="T86" s="23">
        <v>11.21257389162562</v>
      </c>
      <c r="U86" s="23">
        <v>10.596024676991529</v>
      </c>
      <c r="V86" s="38">
        <v>10.7979819332032</v>
      </c>
      <c r="W86" s="39">
        <v>311</v>
      </c>
      <c r="X86" s="24">
        <v>0.86388888888888893</v>
      </c>
    </row>
    <row r="87" spans="1:24" ht="13.9" customHeight="1" x14ac:dyDescent="0.2">
      <c r="A87" s="10">
        <v>26185010</v>
      </c>
      <c r="B87" s="35" t="s">
        <v>445</v>
      </c>
      <c r="C87" s="35" t="s">
        <v>540</v>
      </c>
      <c r="D87" s="35" t="s">
        <v>541</v>
      </c>
      <c r="E87" s="21" t="s">
        <v>116</v>
      </c>
      <c r="F87" s="35">
        <v>1</v>
      </c>
      <c r="G87" s="35">
        <v>2180</v>
      </c>
      <c r="H87" s="36">
        <v>-75.344777780000001</v>
      </c>
      <c r="I87" s="37">
        <v>5.5787499999999994</v>
      </c>
      <c r="J87" s="22">
        <v>12.07498849850351</v>
      </c>
      <c r="K87" s="23">
        <v>12.184574912330159</v>
      </c>
      <c r="L87" s="23">
        <v>12.377122479692661</v>
      </c>
      <c r="M87" s="23">
        <v>12.41304896857528</v>
      </c>
      <c r="N87" s="23">
        <v>12.640723658268151</v>
      </c>
      <c r="O87" s="23">
        <v>12.53816923313293</v>
      </c>
      <c r="P87" s="23">
        <v>12.325416526690191</v>
      </c>
      <c r="Q87" s="23">
        <v>12.38858720117751</v>
      </c>
      <c r="R87" s="23">
        <v>12.315559684115041</v>
      </c>
      <c r="S87" s="23">
        <v>12.3101507198565</v>
      </c>
      <c r="T87" s="23">
        <v>12.326748893223989</v>
      </c>
      <c r="U87" s="23">
        <v>12.30717626020394</v>
      </c>
      <c r="V87" s="38">
        <v>12.35018891964749</v>
      </c>
      <c r="W87" s="39">
        <v>221</v>
      </c>
      <c r="X87" s="24">
        <v>0.92083333333333328</v>
      </c>
    </row>
    <row r="88" spans="1:24" ht="13.9" customHeight="1" x14ac:dyDescent="0.2">
      <c r="A88" s="10">
        <v>26145020</v>
      </c>
      <c r="B88" s="35" t="s">
        <v>445</v>
      </c>
      <c r="C88" s="35" t="s">
        <v>350</v>
      </c>
      <c r="D88" s="35" t="s">
        <v>351</v>
      </c>
      <c r="E88" s="21" t="s">
        <v>116</v>
      </c>
      <c r="F88" s="35">
        <v>9</v>
      </c>
      <c r="G88" s="35">
        <v>1984</v>
      </c>
      <c r="H88" s="36">
        <v>-75.800138889999999</v>
      </c>
      <c r="I88" s="37">
        <v>5.27594444</v>
      </c>
      <c r="J88" s="22">
        <v>13.558326711610491</v>
      </c>
      <c r="K88" s="23">
        <v>13.74963273913902</v>
      </c>
      <c r="L88" s="23">
        <v>14.092357713970619</v>
      </c>
      <c r="M88" s="23">
        <v>14.15882846388028</v>
      </c>
      <c r="N88" s="23">
        <v>14.276020570359981</v>
      </c>
      <c r="O88" s="23">
        <v>13.97197692820256</v>
      </c>
      <c r="P88" s="23">
        <v>13.62930109243467</v>
      </c>
      <c r="Q88" s="23">
        <v>13.515835523098669</v>
      </c>
      <c r="R88" s="23">
        <v>13.604003489326759</v>
      </c>
      <c r="S88" s="23">
        <v>13.77605041757155</v>
      </c>
      <c r="T88" s="23">
        <v>13.843156348809719</v>
      </c>
      <c r="U88" s="23">
        <v>13.86973700407861</v>
      </c>
      <c r="V88" s="38">
        <v>13.837102250206909</v>
      </c>
      <c r="W88" s="39">
        <v>288</v>
      </c>
      <c r="X88" s="24">
        <v>0.8</v>
      </c>
    </row>
    <row r="89" spans="1:24" ht="13.9" customHeight="1" x14ac:dyDescent="0.2">
      <c r="A89" s="10">
        <v>26155110</v>
      </c>
      <c r="B89" s="35" t="s">
        <v>471</v>
      </c>
      <c r="C89" s="35" t="s">
        <v>542</v>
      </c>
      <c r="D89" s="35" t="s">
        <v>353</v>
      </c>
      <c r="E89" s="21" t="s">
        <v>116</v>
      </c>
      <c r="F89" s="35">
        <v>9</v>
      </c>
      <c r="G89" s="35">
        <v>2104</v>
      </c>
      <c r="H89" s="36">
        <v>-75.469916669999989</v>
      </c>
      <c r="I89" s="37">
        <v>5.0297777799999999</v>
      </c>
      <c r="J89" s="22">
        <v>12.616679273266589</v>
      </c>
      <c r="K89" s="23">
        <v>12.89273942851529</v>
      </c>
      <c r="L89" s="23">
        <v>13.1088509984639</v>
      </c>
      <c r="M89" s="23">
        <v>13.33327932858967</v>
      </c>
      <c r="N89" s="23">
        <v>13.460533651931501</v>
      </c>
      <c r="O89" s="23">
        <v>13.49951468710089</v>
      </c>
      <c r="P89" s="23">
        <v>13.29035636303712</v>
      </c>
      <c r="Q89" s="23">
        <v>13.28714456391876</v>
      </c>
      <c r="R89" s="23">
        <v>12.953553893247379</v>
      </c>
      <c r="S89" s="23">
        <v>12.642360281428379</v>
      </c>
      <c r="T89" s="23">
        <v>12.674584929757341</v>
      </c>
      <c r="U89" s="23">
        <v>12.820179211469529</v>
      </c>
      <c r="V89" s="38">
        <v>13.04831471756053</v>
      </c>
      <c r="W89" s="39">
        <v>110</v>
      </c>
      <c r="X89" s="24">
        <v>0.91666666666666663</v>
      </c>
    </row>
    <row r="90" spans="1:24" ht="13.9" customHeight="1" x14ac:dyDescent="0.2">
      <c r="A90" s="10">
        <v>26155170</v>
      </c>
      <c r="B90" s="35" t="s">
        <v>445</v>
      </c>
      <c r="C90" s="35" t="s">
        <v>543</v>
      </c>
      <c r="D90" s="35" t="s">
        <v>353</v>
      </c>
      <c r="E90" s="21" t="s">
        <v>116</v>
      </c>
      <c r="F90" s="35">
        <v>9</v>
      </c>
      <c r="G90" s="35">
        <v>2325</v>
      </c>
      <c r="H90" s="36">
        <v>-75.438333329999992</v>
      </c>
      <c r="I90" s="37">
        <v>5.0322222200000004</v>
      </c>
      <c r="J90" s="22">
        <v>11.37413200613447</v>
      </c>
      <c r="K90" s="23">
        <v>11.6814985780503</v>
      </c>
      <c r="L90" s="23">
        <v>11.86215579038438</v>
      </c>
      <c r="M90" s="23">
        <v>12.02479406130268</v>
      </c>
      <c r="N90" s="23">
        <v>12.052329749103951</v>
      </c>
      <c r="O90" s="23">
        <v>11.82782608695652</v>
      </c>
      <c r="P90" s="23">
        <v>11.72508648901356</v>
      </c>
      <c r="Q90" s="23">
        <v>11.76560931899642</v>
      </c>
      <c r="R90" s="23">
        <v>11.71973333333333</v>
      </c>
      <c r="S90" s="23">
        <v>11.63741521918941</v>
      </c>
      <c r="T90" s="23">
        <v>11.586924137931041</v>
      </c>
      <c r="U90" s="23">
        <v>11.483597670250891</v>
      </c>
      <c r="V90" s="38">
        <v>11.72842520338725</v>
      </c>
      <c r="W90" s="39">
        <v>287</v>
      </c>
      <c r="X90" s="24">
        <v>0.79722222222222228</v>
      </c>
    </row>
    <row r="91" spans="1:24" ht="13.9" customHeight="1" x14ac:dyDescent="0.2">
      <c r="A91" s="10">
        <v>26185040</v>
      </c>
      <c r="B91" s="35" t="s">
        <v>445</v>
      </c>
      <c r="C91" s="35" t="s">
        <v>544</v>
      </c>
      <c r="D91" s="35" t="s">
        <v>545</v>
      </c>
      <c r="E91" s="21" t="s">
        <v>116</v>
      </c>
      <c r="F91" s="35">
        <v>1</v>
      </c>
      <c r="G91" s="35">
        <v>2690</v>
      </c>
      <c r="H91" s="36">
        <v>-75.375333329999989</v>
      </c>
      <c r="I91" s="37">
        <v>5.3729444399999986</v>
      </c>
      <c r="J91" s="22">
        <v>5.1321206690561532</v>
      </c>
      <c r="K91" s="23">
        <v>5.7203071258880582</v>
      </c>
      <c r="L91" s="23">
        <v>6.071808725201385</v>
      </c>
      <c r="M91" s="23">
        <v>6.358222577762807</v>
      </c>
      <c r="N91" s="23">
        <v>6.6560153256704986</v>
      </c>
      <c r="O91" s="23">
        <v>6.2074950378029206</v>
      </c>
      <c r="P91" s="23">
        <v>5.96138682458544</v>
      </c>
      <c r="Q91" s="23">
        <v>5.8385446405652166</v>
      </c>
      <c r="R91" s="23">
        <v>5.9695157370730314</v>
      </c>
      <c r="S91" s="23">
        <v>6.0670014490779627</v>
      </c>
      <c r="T91" s="23">
        <v>6.178734839801451</v>
      </c>
      <c r="U91" s="23">
        <v>5.4603779586190608</v>
      </c>
      <c r="V91" s="38">
        <v>5.968460909258666</v>
      </c>
      <c r="W91" s="39">
        <v>327</v>
      </c>
      <c r="X91" s="24">
        <v>0.90833333333333333</v>
      </c>
    </row>
    <row r="92" spans="1:24" ht="13.9" customHeight="1" x14ac:dyDescent="0.2">
      <c r="A92" s="10">
        <v>23055040</v>
      </c>
      <c r="B92" s="35" t="s">
        <v>445</v>
      </c>
      <c r="C92" s="35" t="s">
        <v>380</v>
      </c>
      <c r="D92" s="35" t="s">
        <v>380</v>
      </c>
      <c r="E92" s="21" t="s">
        <v>116</v>
      </c>
      <c r="F92" s="35">
        <v>10</v>
      </c>
      <c r="G92" s="35">
        <v>1532</v>
      </c>
      <c r="H92" s="36">
        <v>-74.992927780000002</v>
      </c>
      <c r="I92" s="37">
        <v>5.4182880600000001</v>
      </c>
      <c r="J92" s="22">
        <v>16.681265409368159</v>
      </c>
      <c r="K92" s="23">
        <v>16.804064719296861</v>
      </c>
      <c r="L92" s="23">
        <v>16.737361765720792</v>
      </c>
      <c r="M92" s="23">
        <v>16.81429474186406</v>
      </c>
      <c r="N92" s="23">
        <v>16.92166566197081</v>
      </c>
      <c r="O92" s="23">
        <v>17.32399768840142</v>
      </c>
      <c r="P92" s="23">
        <v>16.78852483149106</v>
      </c>
      <c r="Q92" s="23">
        <v>16.993025163915739</v>
      </c>
      <c r="R92" s="23">
        <v>16.7940049395581</v>
      </c>
      <c r="S92" s="23">
        <v>16.635234657718009</v>
      </c>
      <c r="T92" s="23">
        <v>16.49568034470537</v>
      </c>
      <c r="U92" s="23">
        <v>16.868319245075369</v>
      </c>
      <c r="V92" s="38">
        <v>16.821453264090479</v>
      </c>
      <c r="W92" s="39">
        <v>291</v>
      </c>
      <c r="X92" s="24">
        <v>0.80833333333333335</v>
      </c>
    </row>
    <row r="93" spans="1:24" ht="13.9" customHeight="1" x14ac:dyDescent="0.2">
      <c r="A93" s="10">
        <v>44045030</v>
      </c>
      <c r="B93" s="35" t="s">
        <v>445</v>
      </c>
      <c r="C93" s="35" t="s">
        <v>546</v>
      </c>
      <c r="D93" s="35" t="s">
        <v>547</v>
      </c>
      <c r="E93" s="21" t="s">
        <v>193</v>
      </c>
      <c r="F93" s="35">
        <v>4</v>
      </c>
      <c r="G93" s="35">
        <v>300</v>
      </c>
      <c r="H93" s="36">
        <v>-75.807722220000002</v>
      </c>
      <c r="I93" s="37">
        <v>1.30336111</v>
      </c>
      <c r="J93" s="22">
        <v>20.336129032258061</v>
      </c>
      <c r="K93" s="23">
        <v>20.153261266192299</v>
      </c>
      <c r="L93" s="23">
        <v>20.141290322580652</v>
      </c>
      <c r="M93" s="23">
        <v>19.995862068965511</v>
      </c>
      <c r="N93" s="23">
        <v>19.941182795698921</v>
      </c>
      <c r="O93" s="23">
        <v>19.898370370370369</v>
      </c>
      <c r="P93" s="23">
        <v>19.623225806451611</v>
      </c>
      <c r="Q93" s="23">
        <v>19.78387096774194</v>
      </c>
      <c r="R93" s="23">
        <v>20.025333333333329</v>
      </c>
      <c r="S93" s="23">
        <v>20.083870967741941</v>
      </c>
      <c r="T93" s="23">
        <v>20.204000000000001</v>
      </c>
      <c r="U93" s="23">
        <v>20.16</v>
      </c>
      <c r="V93" s="38">
        <v>20.028866410944548</v>
      </c>
      <c r="W93" s="39">
        <v>120</v>
      </c>
      <c r="X93" s="24">
        <v>1</v>
      </c>
    </row>
    <row r="94" spans="1:24" ht="13.9" customHeight="1" x14ac:dyDescent="0.2">
      <c r="A94" s="10">
        <v>46035010</v>
      </c>
      <c r="B94" s="35" t="s">
        <v>445</v>
      </c>
      <c r="C94" s="35" t="s">
        <v>548</v>
      </c>
      <c r="D94" s="35" t="s">
        <v>549</v>
      </c>
      <c r="E94" s="21" t="s">
        <v>193</v>
      </c>
      <c r="F94" s="35">
        <v>4</v>
      </c>
      <c r="G94" s="35">
        <v>270</v>
      </c>
      <c r="H94" s="36">
        <v>-75.162666669999993</v>
      </c>
      <c r="I94" s="37">
        <v>1.6402222200000001</v>
      </c>
      <c r="J94" s="22">
        <v>21.106132634634211</v>
      </c>
      <c r="K94" s="23">
        <v>21.46019843535192</v>
      </c>
      <c r="L94" s="23">
        <v>21.572117235886239</v>
      </c>
      <c r="M94" s="23">
        <v>21.605836678221731</v>
      </c>
      <c r="N94" s="23">
        <v>21.557137057328649</v>
      </c>
      <c r="O94" s="23">
        <v>20.988486692833941</v>
      </c>
      <c r="P94" s="23">
        <v>20.661057733618911</v>
      </c>
      <c r="Q94" s="23">
        <v>20.76015835741293</v>
      </c>
      <c r="R94" s="23">
        <v>20.981480592121521</v>
      </c>
      <c r="S94" s="23">
        <v>21.337160957464711</v>
      </c>
      <c r="T94" s="23">
        <v>21.575711809003241</v>
      </c>
      <c r="U94" s="23">
        <v>21.42208988144472</v>
      </c>
      <c r="V94" s="38">
        <v>21.252297338776891</v>
      </c>
      <c r="W94" s="39">
        <v>298</v>
      </c>
      <c r="X94" s="24">
        <v>0.82777777777777772</v>
      </c>
    </row>
    <row r="95" spans="1:24" ht="13.9" customHeight="1" x14ac:dyDescent="0.2">
      <c r="A95" s="10">
        <v>44035020</v>
      </c>
      <c r="B95" s="35" t="s">
        <v>445</v>
      </c>
      <c r="C95" s="35" t="s">
        <v>550</v>
      </c>
      <c r="D95" s="35" t="s">
        <v>551</v>
      </c>
      <c r="E95" s="21" t="s">
        <v>193</v>
      </c>
      <c r="F95" s="35">
        <v>4</v>
      </c>
      <c r="G95" s="35">
        <v>244</v>
      </c>
      <c r="H95" s="36">
        <v>-75.559555560000007</v>
      </c>
      <c r="I95" s="37">
        <v>1.58905556</v>
      </c>
      <c r="J95" s="22">
        <v>21.617739826020369</v>
      </c>
      <c r="K95" s="23">
        <v>21.772124507038288</v>
      </c>
      <c r="L95" s="23">
        <v>21.65547636168882</v>
      </c>
      <c r="M95" s="23">
        <v>21.580339445356689</v>
      </c>
      <c r="N95" s="23">
        <v>21.583279569892479</v>
      </c>
      <c r="O95" s="23">
        <v>21.002235665792838</v>
      </c>
      <c r="P95" s="23">
        <v>20.612787562312029</v>
      </c>
      <c r="Q95" s="23">
        <v>20.723383061789789</v>
      </c>
      <c r="R95" s="23">
        <v>20.980810791185601</v>
      </c>
      <c r="S95" s="23">
        <v>21.497754912866149</v>
      </c>
      <c r="T95" s="23">
        <v>21.561055517992632</v>
      </c>
      <c r="U95" s="23">
        <v>21.69011295619471</v>
      </c>
      <c r="V95" s="38">
        <v>21.356425014844199</v>
      </c>
      <c r="W95" s="39">
        <v>222</v>
      </c>
      <c r="X95" s="24">
        <v>0.92500000000000004</v>
      </c>
    </row>
    <row r="96" spans="1:24" ht="13.9" customHeight="1" x14ac:dyDescent="0.2">
      <c r="A96" s="10">
        <v>44035030</v>
      </c>
      <c r="B96" s="35" t="s">
        <v>450</v>
      </c>
      <c r="C96" s="35" t="s">
        <v>552</v>
      </c>
      <c r="D96" s="35" t="s">
        <v>551</v>
      </c>
      <c r="E96" s="21" t="s">
        <v>193</v>
      </c>
      <c r="F96" s="35">
        <v>4</v>
      </c>
      <c r="G96" s="35">
        <v>280</v>
      </c>
      <c r="H96" s="36">
        <v>-75.66</v>
      </c>
      <c r="I96" s="37">
        <v>1.5</v>
      </c>
      <c r="J96" s="22">
        <v>21.495236252361529</v>
      </c>
      <c r="K96" s="23">
        <v>21.677160605923209</v>
      </c>
      <c r="L96" s="23">
        <v>21.99348636688228</v>
      </c>
      <c r="M96" s="23">
        <v>21.99655618149411</v>
      </c>
      <c r="N96" s="23">
        <v>21.971428267347811</v>
      </c>
      <c r="O96" s="23">
        <v>21.505408843563561</v>
      </c>
      <c r="P96" s="23">
        <v>21.036232004907848</v>
      </c>
      <c r="Q96" s="23">
        <v>21.083446407065509</v>
      </c>
      <c r="R96" s="23">
        <v>21.305504799061829</v>
      </c>
      <c r="S96" s="23">
        <v>21.755551619105571</v>
      </c>
      <c r="T96" s="23">
        <v>21.970822860791831</v>
      </c>
      <c r="U96" s="23">
        <v>21.936677635644539</v>
      </c>
      <c r="V96" s="38">
        <v>21.6439593203458</v>
      </c>
      <c r="W96" s="39">
        <v>299</v>
      </c>
      <c r="X96" s="24">
        <v>0.8305555555555556</v>
      </c>
    </row>
    <row r="97" spans="1:24" ht="13.9" customHeight="1" x14ac:dyDescent="0.2">
      <c r="A97" s="10">
        <v>46035020</v>
      </c>
      <c r="B97" s="35" t="s">
        <v>445</v>
      </c>
      <c r="C97" s="35" t="s">
        <v>553</v>
      </c>
      <c r="D97" s="35" t="s">
        <v>554</v>
      </c>
      <c r="E97" s="21" t="s">
        <v>193</v>
      </c>
      <c r="F97" s="35">
        <v>4</v>
      </c>
      <c r="G97" s="35">
        <v>285</v>
      </c>
      <c r="H97" s="36">
        <v>-75.150666669999993</v>
      </c>
      <c r="I97" s="37">
        <v>1.9175277799999999</v>
      </c>
      <c r="J97" s="22">
        <v>21.597258064516129</v>
      </c>
      <c r="K97" s="23">
        <v>22.045211858526031</v>
      </c>
      <c r="L97" s="23">
        <v>22.26864994026284</v>
      </c>
      <c r="M97" s="23">
        <v>22.141098111658462</v>
      </c>
      <c r="N97" s="23">
        <v>22.082302558398219</v>
      </c>
      <c r="O97" s="23">
        <v>21.50873015873016</v>
      </c>
      <c r="P97" s="23">
        <v>21.080822018586201</v>
      </c>
      <c r="Q97" s="23">
        <v>21.123387096774191</v>
      </c>
      <c r="R97" s="23">
        <v>21.326630036630039</v>
      </c>
      <c r="S97" s="23">
        <v>21.622512374125279</v>
      </c>
      <c r="T97" s="23">
        <v>22.158843276774309</v>
      </c>
      <c r="U97" s="23">
        <v>22.071287541713009</v>
      </c>
      <c r="V97" s="38">
        <v>21.752227753057909</v>
      </c>
      <c r="W97" s="39">
        <v>107</v>
      </c>
      <c r="X97" s="24">
        <v>0.89166666666666672</v>
      </c>
    </row>
    <row r="98" spans="1:24" ht="13.9" customHeight="1" x14ac:dyDescent="0.2">
      <c r="A98" s="10">
        <v>44045010</v>
      </c>
      <c r="B98" s="35" t="s">
        <v>445</v>
      </c>
      <c r="C98" s="35" t="s">
        <v>555</v>
      </c>
      <c r="D98" s="35" t="s">
        <v>556</v>
      </c>
      <c r="E98" s="21" t="s">
        <v>193</v>
      </c>
      <c r="F98" s="35">
        <v>4</v>
      </c>
      <c r="G98" s="35">
        <v>320</v>
      </c>
      <c r="H98" s="36">
        <v>-75.961500000000001</v>
      </c>
      <c r="I98" s="37">
        <v>1.3251388900000001</v>
      </c>
      <c r="J98" s="22">
        <v>21.623776990306681</v>
      </c>
      <c r="K98" s="23">
        <v>21.618745651476878</v>
      </c>
      <c r="L98" s="23">
        <v>21.42764887796757</v>
      </c>
      <c r="M98" s="23">
        <v>21.299909047293468</v>
      </c>
      <c r="N98" s="23">
        <v>21.299435174885669</v>
      </c>
      <c r="O98" s="23">
        <v>20.750686102744901</v>
      </c>
      <c r="P98" s="23">
        <v>20.420246040574181</v>
      </c>
      <c r="Q98" s="23">
        <v>20.553435524842641</v>
      </c>
      <c r="R98" s="23">
        <v>20.9214094475129</v>
      </c>
      <c r="S98" s="23">
        <v>21.19008648005746</v>
      </c>
      <c r="T98" s="23">
        <v>21.429109864337448</v>
      </c>
      <c r="U98" s="23">
        <v>21.56937275985663</v>
      </c>
      <c r="V98" s="38">
        <v>21.175321830154701</v>
      </c>
      <c r="W98" s="39">
        <v>312</v>
      </c>
      <c r="X98" s="24">
        <v>0.8666666666666667</v>
      </c>
    </row>
    <row r="99" spans="1:24" ht="13.9" customHeight="1" x14ac:dyDescent="0.2">
      <c r="A99" s="10">
        <v>46015020</v>
      </c>
      <c r="B99" s="35" t="s">
        <v>445</v>
      </c>
      <c r="C99" s="35" t="s">
        <v>557</v>
      </c>
      <c r="D99" s="35" t="s">
        <v>558</v>
      </c>
      <c r="E99" s="21" t="s">
        <v>193</v>
      </c>
      <c r="F99" s="35">
        <v>4</v>
      </c>
      <c r="G99" s="35">
        <v>240</v>
      </c>
      <c r="H99" s="36">
        <v>-74.785055560000004</v>
      </c>
      <c r="I99" s="37">
        <v>1.7354722199999999</v>
      </c>
      <c r="J99" s="22">
        <v>21.35677367925199</v>
      </c>
      <c r="K99" s="23">
        <v>21.966636231639981</v>
      </c>
      <c r="L99" s="23">
        <v>22.430016485101021</v>
      </c>
      <c r="M99" s="23">
        <v>22.56762601784952</v>
      </c>
      <c r="N99" s="23">
        <v>22.502880306400058</v>
      </c>
      <c r="O99" s="23">
        <v>22.016378614557659</v>
      </c>
      <c r="P99" s="23">
        <v>21.591078337367289</v>
      </c>
      <c r="Q99" s="23">
        <v>21.709496136193621</v>
      </c>
      <c r="R99" s="23">
        <v>21.92379714070519</v>
      </c>
      <c r="S99" s="23">
        <v>22.246742354821048</v>
      </c>
      <c r="T99" s="23">
        <v>22.413206392479381</v>
      </c>
      <c r="U99" s="23">
        <v>21.85944302850708</v>
      </c>
      <c r="V99" s="38">
        <v>22.048672893739479</v>
      </c>
      <c r="W99" s="39">
        <v>304</v>
      </c>
      <c r="X99" s="24">
        <v>0.84444444444444444</v>
      </c>
    </row>
    <row r="100" spans="1:24" ht="13.9" customHeight="1" x14ac:dyDescent="0.2">
      <c r="A100" s="10">
        <v>44045020</v>
      </c>
      <c r="B100" s="35" t="s">
        <v>445</v>
      </c>
      <c r="C100" s="35" t="s">
        <v>195</v>
      </c>
      <c r="D100" s="35" t="s">
        <v>196</v>
      </c>
      <c r="E100" s="21" t="s">
        <v>193</v>
      </c>
      <c r="F100" s="35">
        <v>4</v>
      </c>
      <c r="G100" s="35">
        <v>270</v>
      </c>
      <c r="H100" s="36">
        <v>-75.704472220000014</v>
      </c>
      <c r="I100" s="37">
        <v>1.1952499999999999</v>
      </c>
      <c r="J100" s="22">
        <v>22.442910449471519</v>
      </c>
      <c r="K100" s="23">
        <v>22.42037753492416</v>
      </c>
      <c r="L100" s="23">
        <v>22.529922931458831</v>
      </c>
      <c r="M100" s="23">
        <v>22.4591470534574</v>
      </c>
      <c r="N100" s="23">
        <v>22.421174240422321</v>
      </c>
      <c r="O100" s="23">
        <v>22.02919956352714</v>
      </c>
      <c r="P100" s="23">
        <v>21.607376978198339</v>
      </c>
      <c r="Q100" s="23">
        <v>21.715420961210111</v>
      </c>
      <c r="R100" s="23">
        <v>22.145798455144551</v>
      </c>
      <c r="S100" s="23">
        <v>22.375162422136839</v>
      </c>
      <c r="T100" s="23">
        <v>22.681766711212521</v>
      </c>
      <c r="U100" s="23">
        <v>22.573750935670851</v>
      </c>
      <c r="V100" s="38">
        <v>22.283500686402881</v>
      </c>
      <c r="W100" s="39">
        <v>313</v>
      </c>
      <c r="X100" s="24">
        <v>0.86944444444444446</v>
      </c>
    </row>
    <row r="101" spans="1:24" ht="13.9" customHeight="1" x14ac:dyDescent="0.2">
      <c r="A101" s="10">
        <v>35195030</v>
      </c>
      <c r="B101" s="35" t="s">
        <v>445</v>
      </c>
      <c r="C101" s="35" t="s">
        <v>249</v>
      </c>
      <c r="D101" s="35" t="s">
        <v>249</v>
      </c>
      <c r="E101" s="21" t="s">
        <v>166</v>
      </c>
      <c r="F101" s="35">
        <v>6</v>
      </c>
      <c r="G101" s="35">
        <v>380</v>
      </c>
      <c r="H101" s="36">
        <v>-72.547388890000008</v>
      </c>
      <c r="I101" s="37">
        <v>5.1770833299999994</v>
      </c>
      <c r="J101" s="22">
        <v>23.172004449388211</v>
      </c>
      <c r="K101" s="23">
        <v>24.02535419561282</v>
      </c>
      <c r="L101" s="23">
        <v>24.307939123685021</v>
      </c>
      <c r="M101" s="23">
        <v>23.392981909533631</v>
      </c>
      <c r="N101" s="23">
        <v>23.04565284178188</v>
      </c>
      <c r="O101" s="23">
        <v>22.58230204342274</v>
      </c>
      <c r="P101" s="23">
        <v>22.231405456385989</v>
      </c>
      <c r="Q101" s="23">
        <v>22.5308162078518</v>
      </c>
      <c r="R101" s="23">
        <v>22.868438849358391</v>
      </c>
      <c r="S101" s="23">
        <v>23.10008713385243</v>
      </c>
      <c r="T101" s="23">
        <v>23.375574712643679</v>
      </c>
      <c r="U101" s="23">
        <v>23.131559139784951</v>
      </c>
      <c r="V101" s="38">
        <v>23.147009671941799</v>
      </c>
      <c r="W101" s="39">
        <v>104</v>
      </c>
      <c r="X101" s="24">
        <v>0.8666666666666667</v>
      </c>
    </row>
    <row r="102" spans="1:24" ht="13.9" customHeight="1" x14ac:dyDescent="0.2">
      <c r="A102" s="10">
        <v>35225030</v>
      </c>
      <c r="B102" s="35" t="s">
        <v>445</v>
      </c>
      <c r="C102" s="35" t="s">
        <v>559</v>
      </c>
      <c r="D102" s="35" t="s">
        <v>171</v>
      </c>
      <c r="E102" s="21" t="s">
        <v>166</v>
      </c>
      <c r="F102" s="35">
        <v>3</v>
      </c>
      <c r="G102" s="35">
        <v>130</v>
      </c>
      <c r="H102" s="36">
        <v>-71.433055560000014</v>
      </c>
      <c r="I102" s="37">
        <v>4.9104722199999999</v>
      </c>
      <c r="J102" s="22">
        <v>21.209642021999748</v>
      </c>
      <c r="K102" s="23">
        <v>21.52270224411604</v>
      </c>
      <c r="L102" s="23">
        <v>22.190600789644169</v>
      </c>
      <c r="M102" s="23">
        <v>22.590749589490969</v>
      </c>
      <c r="N102" s="23">
        <v>22.690601758393338</v>
      </c>
      <c r="O102" s="23">
        <v>22.624858449067808</v>
      </c>
      <c r="P102" s="23">
        <v>22.364932118308101</v>
      </c>
      <c r="Q102" s="23">
        <v>22.49395085458767</v>
      </c>
      <c r="R102" s="23">
        <v>22.62335339263911</v>
      </c>
      <c r="S102" s="23">
        <v>22.754587245087141</v>
      </c>
      <c r="T102" s="23">
        <v>22.964331288390198</v>
      </c>
      <c r="U102" s="23">
        <v>21.996129057266991</v>
      </c>
      <c r="V102" s="38">
        <v>22.335536567415939</v>
      </c>
      <c r="W102" s="39">
        <v>312</v>
      </c>
      <c r="X102" s="24">
        <v>0.8666666666666667</v>
      </c>
    </row>
    <row r="103" spans="1:24" ht="13.9" customHeight="1" x14ac:dyDescent="0.2">
      <c r="A103" s="10">
        <v>36015010</v>
      </c>
      <c r="B103" s="35" t="s">
        <v>471</v>
      </c>
      <c r="C103" s="35" t="s">
        <v>560</v>
      </c>
      <c r="D103" s="35" t="s">
        <v>560</v>
      </c>
      <c r="E103" s="21" t="s">
        <v>166</v>
      </c>
      <c r="F103" s="35">
        <v>6</v>
      </c>
      <c r="G103" s="35">
        <v>342</v>
      </c>
      <c r="H103" s="36">
        <v>-71.887194440000002</v>
      </c>
      <c r="I103" s="37">
        <v>5.8785277799999998</v>
      </c>
      <c r="J103" s="22">
        <v>22.820908946448441</v>
      </c>
      <c r="K103" s="23">
        <v>23.58016432641433</v>
      </c>
      <c r="L103" s="23">
        <v>24.07285283100223</v>
      </c>
      <c r="M103" s="23">
        <v>23.454354948674361</v>
      </c>
      <c r="N103" s="23">
        <v>22.870577474747019</v>
      </c>
      <c r="O103" s="23">
        <v>22.29147597995874</v>
      </c>
      <c r="P103" s="23">
        <v>22.029592386602399</v>
      </c>
      <c r="Q103" s="23">
        <v>22.179111790878761</v>
      </c>
      <c r="R103" s="23">
        <v>22.374270023718299</v>
      </c>
      <c r="S103" s="23">
        <v>22.6328308967636</v>
      </c>
      <c r="T103" s="23">
        <v>22.750090744101641</v>
      </c>
      <c r="U103" s="23">
        <v>22.70499853638546</v>
      </c>
      <c r="V103" s="38">
        <v>22.813435740474599</v>
      </c>
      <c r="W103" s="39">
        <v>235</v>
      </c>
      <c r="X103" s="24">
        <v>0.97916666666666663</v>
      </c>
    </row>
    <row r="104" spans="1:24" ht="13.9" customHeight="1" x14ac:dyDescent="0.2">
      <c r="A104" s="10">
        <v>35235050</v>
      </c>
      <c r="B104" s="35" t="s">
        <v>445</v>
      </c>
      <c r="C104" s="35" t="s">
        <v>561</v>
      </c>
      <c r="D104" s="35" t="s">
        <v>257</v>
      </c>
      <c r="E104" s="21" t="s">
        <v>166</v>
      </c>
      <c r="F104" s="35">
        <v>6</v>
      </c>
      <c r="G104" s="35">
        <v>1017</v>
      </c>
      <c r="H104" s="36">
        <v>-72.166777780000004</v>
      </c>
      <c r="I104" s="37">
        <v>5.8185833300000001</v>
      </c>
      <c r="J104" s="22">
        <v>19.066595250761711</v>
      </c>
      <c r="K104" s="23">
        <v>19.928335385878491</v>
      </c>
      <c r="L104" s="23">
        <v>20.177480372077149</v>
      </c>
      <c r="M104" s="23">
        <v>19.46655172413794</v>
      </c>
      <c r="N104" s="23">
        <v>19.191939619520269</v>
      </c>
      <c r="O104" s="23">
        <v>18.592434782608699</v>
      </c>
      <c r="P104" s="23">
        <v>18.265873654442618</v>
      </c>
      <c r="Q104" s="23">
        <v>18.405984169653529</v>
      </c>
      <c r="R104" s="23">
        <v>18.540485312899111</v>
      </c>
      <c r="S104" s="23">
        <v>18.75583446627941</v>
      </c>
      <c r="T104" s="23">
        <v>19.324272258711911</v>
      </c>
      <c r="U104" s="23">
        <v>19.18227770885029</v>
      </c>
      <c r="V104" s="38">
        <v>19.07483872548509</v>
      </c>
      <c r="W104" s="39">
        <v>112</v>
      </c>
      <c r="X104" s="24">
        <v>0.93333333333333335</v>
      </c>
    </row>
    <row r="105" spans="1:24" ht="13.9" customHeight="1" x14ac:dyDescent="0.2">
      <c r="A105" s="10">
        <v>35195020</v>
      </c>
      <c r="B105" s="35" t="s">
        <v>562</v>
      </c>
      <c r="C105" s="35" t="s">
        <v>563</v>
      </c>
      <c r="D105" s="35" t="s">
        <v>563</v>
      </c>
      <c r="E105" s="21" t="s">
        <v>166</v>
      </c>
      <c r="F105" s="35">
        <v>6</v>
      </c>
      <c r="G105" s="35">
        <v>460</v>
      </c>
      <c r="H105" s="36">
        <v>-72.86984167</v>
      </c>
      <c r="I105" s="37">
        <v>5.0272577799999993</v>
      </c>
      <c r="J105" s="22">
        <v>21.555684835001859</v>
      </c>
      <c r="K105" s="23">
        <v>22.356519164105372</v>
      </c>
      <c r="L105" s="23">
        <v>22.52310247364797</v>
      </c>
      <c r="M105" s="23">
        <v>22.09206486042693</v>
      </c>
      <c r="N105" s="23">
        <v>21.637939191694471</v>
      </c>
      <c r="O105" s="23">
        <v>21.29552727604452</v>
      </c>
      <c r="P105" s="23">
        <v>20.994772422335121</v>
      </c>
      <c r="Q105" s="23">
        <v>21.179570127890489</v>
      </c>
      <c r="R105" s="23">
        <v>21.462249463180491</v>
      </c>
      <c r="S105" s="23">
        <v>21.616658309350189</v>
      </c>
      <c r="T105" s="23">
        <v>21.66164787798408</v>
      </c>
      <c r="U105" s="23">
        <v>21.568098864994031</v>
      </c>
      <c r="V105" s="38">
        <v>21.661986238887959</v>
      </c>
      <c r="W105" s="39">
        <v>112</v>
      </c>
      <c r="X105" s="24">
        <v>0.93333333333333335</v>
      </c>
    </row>
    <row r="106" spans="1:24" ht="13.9" customHeight="1" x14ac:dyDescent="0.2">
      <c r="A106" s="10">
        <v>35095110</v>
      </c>
      <c r="B106" s="35" t="s">
        <v>471</v>
      </c>
      <c r="C106" s="35" t="s">
        <v>564</v>
      </c>
      <c r="D106" s="35" t="s">
        <v>565</v>
      </c>
      <c r="E106" s="21" t="s">
        <v>166</v>
      </c>
      <c r="F106" s="35">
        <v>3</v>
      </c>
      <c r="G106" s="35">
        <v>352</v>
      </c>
      <c r="H106" s="36">
        <v>-72.915469999999999</v>
      </c>
      <c r="I106" s="37">
        <v>4.6514699999999998</v>
      </c>
      <c r="J106" s="22">
        <v>21.722497728810961</v>
      </c>
      <c r="K106" s="23">
        <v>22.25129788114857</v>
      </c>
      <c r="L106" s="23">
        <v>22.483218563047949</v>
      </c>
      <c r="M106" s="23">
        <v>21.89665064530702</v>
      </c>
      <c r="N106" s="23">
        <v>21.564502246470219</v>
      </c>
      <c r="O106" s="23">
        <v>21.096182877913911</v>
      </c>
      <c r="P106" s="23">
        <v>20.820880569459899</v>
      </c>
      <c r="Q106" s="23">
        <v>21.17954086440843</v>
      </c>
      <c r="R106" s="23">
        <v>21.303087027914611</v>
      </c>
      <c r="S106" s="23">
        <v>21.616830208575259</v>
      </c>
      <c r="T106" s="23">
        <v>21.909713452097741</v>
      </c>
      <c r="U106" s="23">
        <v>21.717264931151739</v>
      </c>
      <c r="V106" s="38">
        <v>21.63013891635886</v>
      </c>
      <c r="W106" s="39">
        <v>294</v>
      </c>
      <c r="X106" s="24">
        <v>0.81666666666666665</v>
      </c>
    </row>
    <row r="107" spans="1:24" ht="13.9" customHeight="1" x14ac:dyDescent="0.2">
      <c r="A107" s="10">
        <v>35215020</v>
      </c>
      <c r="B107" s="35" t="s">
        <v>471</v>
      </c>
      <c r="C107" s="35" t="s">
        <v>566</v>
      </c>
      <c r="D107" s="35" t="s">
        <v>253</v>
      </c>
      <c r="E107" s="21" t="s">
        <v>166</v>
      </c>
      <c r="F107" s="35">
        <v>6</v>
      </c>
      <c r="G107" s="35">
        <v>325</v>
      </c>
      <c r="H107" s="36">
        <v>-72.387500000000003</v>
      </c>
      <c r="I107" s="37">
        <v>5.3204444400000002</v>
      </c>
      <c r="J107" s="22">
        <v>23.812000768049149</v>
      </c>
      <c r="K107" s="23">
        <v>24.497551199598611</v>
      </c>
      <c r="L107" s="23">
        <v>24.020709378733571</v>
      </c>
      <c r="M107" s="23">
        <v>23.18080459770114</v>
      </c>
      <c r="N107" s="23">
        <v>22.66281959378734</v>
      </c>
      <c r="O107" s="23">
        <v>22.03277869002007</v>
      </c>
      <c r="P107" s="23">
        <v>21.8744421098889</v>
      </c>
      <c r="Q107" s="23">
        <v>22.117682198327358</v>
      </c>
      <c r="R107" s="23">
        <v>22.39663970483894</v>
      </c>
      <c r="S107" s="23">
        <v>22.73194743130227</v>
      </c>
      <c r="T107" s="23">
        <v>23.016358406741549</v>
      </c>
      <c r="U107" s="23">
        <v>23.124690628476081</v>
      </c>
      <c r="V107" s="38">
        <v>22.955702058955421</v>
      </c>
      <c r="W107" s="39">
        <v>103</v>
      </c>
      <c r="X107" s="24">
        <v>0.85833333333333328</v>
      </c>
    </row>
    <row r="108" spans="1:24" ht="13.9" customHeight="1" x14ac:dyDescent="0.2">
      <c r="A108" s="10">
        <v>52025010</v>
      </c>
      <c r="B108" s="35" t="s">
        <v>445</v>
      </c>
      <c r="C108" s="35" t="s">
        <v>34</v>
      </c>
      <c r="D108" s="35" t="s">
        <v>34</v>
      </c>
      <c r="E108" s="21" t="s">
        <v>181</v>
      </c>
      <c r="F108" s="35">
        <v>7</v>
      </c>
      <c r="G108" s="35">
        <v>1510</v>
      </c>
      <c r="H108" s="36">
        <v>-77.004027780000001</v>
      </c>
      <c r="I108" s="37">
        <v>1.82994444</v>
      </c>
      <c r="J108" s="22">
        <v>17.708066052227341</v>
      </c>
      <c r="K108" s="23">
        <v>17.901806064306069</v>
      </c>
      <c r="L108" s="23">
        <v>17.930842638544249</v>
      </c>
      <c r="M108" s="23">
        <v>18.050455665024629</v>
      </c>
      <c r="N108" s="23">
        <v>17.970945083014051</v>
      </c>
      <c r="O108" s="23">
        <v>17.922931876213571</v>
      </c>
      <c r="P108" s="23">
        <v>18.151044037534579</v>
      </c>
      <c r="Q108" s="23">
        <v>18.323600486770669</v>
      </c>
      <c r="R108" s="23">
        <v>17.94885057471264</v>
      </c>
      <c r="S108" s="23">
        <v>17.698630107526881</v>
      </c>
      <c r="T108" s="23">
        <v>17.34753329684364</v>
      </c>
      <c r="U108" s="23">
        <v>17.652845400238949</v>
      </c>
      <c r="V108" s="38">
        <v>17.883962606913109</v>
      </c>
      <c r="W108" s="39">
        <v>115</v>
      </c>
      <c r="X108" s="24">
        <v>0.95833333333333337</v>
      </c>
    </row>
    <row r="109" spans="1:24" ht="13.9" customHeight="1" x14ac:dyDescent="0.2">
      <c r="A109" s="10">
        <v>52025020</v>
      </c>
      <c r="B109" s="35" t="s">
        <v>445</v>
      </c>
      <c r="C109" s="35" t="s">
        <v>567</v>
      </c>
      <c r="D109" s="35" t="s">
        <v>34</v>
      </c>
      <c r="E109" s="21" t="s">
        <v>181</v>
      </c>
      <c r="F109" s="35">
        <v>7</v>
      </c>
      <c r="G109" s="35">
        <v>2300</v>
      </c>
      <c r="H109" s="36">
        <v>-76.891666669999992</v>
      </c>
      <c r="I109" s="37">
        <v>1.75333333</v>
      </c>
      <c r="J109" s="22">
        <v>12.90830893232339</v>
      </c>
      <c r="K109" s="23">
        <v>13.068198572393969</v>
      </c>
      <c r="L109" s="23">
        <v>13.24494006960507</v>
      </c>
      <c r="M109" s="23">
        <v>13.374421040711169</v>
      </c>
      <c r="N109" s="23">
        <v>13.49882593363319</v>
      </c>
      <c r="O109" s="23">
        <v>13.37164325244785</v>
      </c>
      <c r="P109" s="23">
        <v>13.19300778642936</v>
      </c>
      <c r="Q109" s="23">
        <v>13.308933276833161</v>
      </c>
      <c r="R109" s="23">
        <v>13.24615019157088</v>
      </c>
      <c r="S109" s="23">
        <v>12.9298129284317</v>
      </c>
      <c r="T109" s="23">
        <v>12.878580305390649</v>
      </c>
      <c r="U109" s="23">
        <v>12.964107856466031</v>
      </c>
      <c r="V109" s="38">
        <v>13.165577512186371</v>
      </c>
      <c r="W109" s="39">
        <v>351</v>
      </c>
      <c r="X109" s="24">
        <v>0.97499999999999998</v>
      </c>
    </row>
    <row r="110" spans="1:24" ht="13.9" customHeight="1" x14ac:dyDescent="0.2">
      <c r="A110" s="10">
        <v>26025090</v>
      </c>
      <c r="B110" s="35" t="s">
        <v>445</v>
      </c>
      <c r="C110" s="35" t="s">
        <v>568</v>
      </c>
      <c r="D110" s="35" t="s">
        <v>337</v>
      </c>
      <c r="E110" s="21" t="s">
        <v>181</v>
      </c>
      <c r="F110" s="35">
        <v>9</v>
      </c>
      <c r="G110" s="35">
        <v>1850</v>
      </c>
      <c r="H110" s="36">
        <v>-76.561833329999999</v>
      </c>
      <c r="I110" s="37">
        <v>2.5847500000000001</v>
      </c>
      <c r="J110" s="22">
        <v>13.768401033513729</v>
      </c>
      <c r="K110" s="23">
        <v>14.007156767965959</v>
      </c>
      <c r="L110" s="23">
        <v>14.27848431639732</v>
      </c>
      <c r="M110" s="23">
        <v>14.39955584373056</v>
      </c>
      <c r="N110" s="23">
        <v>14.384285890848741</v>
      </c>
      <c r="O110" s="23">
        <v>14.084647272170409</v>
      </c>
      <c r="P110" s="23">
        <v>13.818785782119109</v>
      </c>
      <c r="Q110" s="23">
        <v>13.81981919292388</v>
      </c>
      <c r="R110" s="23">
        <v>13.66748994960647</v>
      </c>
      <c r="S110" s="23">
        <v>13.775271381572029</v>
      </c>
      <c r="T110" s="23">
        <v>14.10833221057359</v>
      </c>
      <c r="U110" s="23">
        <v>13.93962220417356</v>
      </c>
      <c r="V110" s="38">
        <v>14.004320987132949</v>
      </c>
      <c r="W110" s="39">
        <v>345</v>
      </c>
      <c r="X110" s="24">
        <v>0.95833333333333337</v>
      </c>
    </row>
    <row r="111" spans="1:24" ht="13.9" customHeight="1" x14ac:dyDescent="0.2">
      <c r="A111" s="10">
        <v>21055030</v>
      </c>
      <c r="B111" s="35" t="s">
        <v>445</v>
      </c>
      <c r="C111" s="35" t="s">
        <v>180</v>
      </c>
      <c r="D111" s="35" t="s">
        <v>182</v>
      </c>
      <c r="E111" s="21" t="s">
        <v>181</v>
      </c>
      <c r="F111" s="35">
        <v>4</v>
      </c>
      <c r="G111" s="35">
        <v>2085</v>
      </c>
      <c r="H111" s="36">
        <v>-76.16</v>
      </c>
      <c r="I111" s="37">
        <v>2.2400000000000002</v>
      </c>
      <c r="J111" s="22">
        <v>12.07323052450249</v>
      </c>
      <c r="K111" s="23">
        <v>12.262481380853661</v>
      </c>
      <c r="L111" s="23">
        <v>12.34124742407309</v>
      </c>
      <c r="M111" s="23">
        <v>12.414958238103379</v>
      </c>
      <c r="N111" s="23">
        <v>12.51466177396931</v>
      </c>
      <c r="O111" s="23">
        <v>12.167265296599041</v>
      </c>
      <c r="P111" s="23">
        <v>11.80563736724846</v>
      </c>
      <c r="Q111" s="23">
        <v>11.60078927362504</v>
      </c>
      <c r="R111" s="23">
        <v>11.565427904789971</v>
      </c>
      <c r="S111" s="23">
        <v>11.853828043554991</v>
      </c>
      <c r="T111" s="23">
        <v>12.078564625349109</v>
      </c>
      <c r="U111" s="23">
        <v>12.17331852334064</v>
      </c>
      <c r="V111" s="38">
        <v>12.070950864667431</v>
      </c>
      <c r="W111" s="39">
        <v>328</v>
      </c>
      <c r="X111" s="24">
        <v>0.91111111111111109</v>
      </c>
    </row>
    <row r="112" spans="1:24" ht="13.9" customHeight="1" x14ac:dyDescent="0.2">
      <c r="A112" s="10">
        <v>52025090</v>
      </c>
      <c r="B112" s="35" t="s">
        <v>471</v>
      </c>
      <c r="C112" s="35" t="s">
        <v>280</v>
      </c>
      <c r="D112" s="35" t="s">
        <v>280</v>
      </c>
      <c r="E112" s="21" t="s">
        <v>181</v>
      </c>
      <c r="F112" s="35">
        <v>7</v>
      </c>
      <c r="G112" s="35">
        <v>1870</v>
      </c>
      <c r="H112" s="36">
        <v>-76.750333329999989</v>
      </c>
      <c r="I112" s="37">
        <v>2.1938333299999999</v>
      </c>
      <c r="J112" s="22">
        <v>14.70749253781992</v>
      </c>
      <c r="K112" s="23">
        <v>14.95225192859235</v>
      </c>
      <c r="L112" s="23">
        <v>14.966918683354271</v>
      </c>
      <c r="M112" s="23">
        <v>15.060849101090479</v>
      </c>
      <c r="N112" s="23">
        <v>15.3300734643431</v>
      </c>
      <c r="O112" s="23">
        <v>15.22531572159925</v>
      </c>
      <c r="P112" s="23">
        <v>15.06265897802605</v>
      </c>
      <c r="Q112" s="23">
        <v>15.074667851465451</v>
      </c>
      <c r="R112" s="23">
        <v>14.9793962585034</v>
      </c>
      <c r="S112" s="23">
        <v>14.690978535821699</v>
      </c>
      <c r="T112" s="23">
        <v>14.53973894377836</v>
      </c>
      <c r="U112" s="23">
        <v>14.78078893039687</v>
      </c>
      <c r="V112" s="38">
        <v>14.947594244565931</v>
      </c>
      <c r="W112" s="39">
        <v>318</v>
      </c>
      <c r="X112" s="24">
        <v>0.8833333333333333</v>
      </c>
    </row>
    <row r="113" spans="1:24" ht="13.9" customHeight="1" x14ac:dyDescent="0.2">
      <c r="A113" s="10">
        <v>52025060</v>
      </c>
      <c r="B113" s="35" t="s">
        <v>471</v>
      </c>
      <c r="C113" s="35" t="s">
        <v>569</v>
      </c>
      <c r="D113" s="35" t="s">
        <v>570</v>
      </c>
      <c r="E113" s="21" t="s">
        <v>181</v>
      </c>
      <c r="F113" s="35">
        <v>7</v>
      </c>
      <c r="G113" s="35">
        <v>580</v>
      </c>
      <c r="H113" s="36">
        <v>-77.19</v>
      </c>
      <c r="I113" s="37">
        <v>1.91</v>
      </c>
      <c r="J113" s="22">
        <v>20.587755376344081</v>
      </c>
      <c r="K113" s="23">
        <v>20.638200452963378</v>
      </c>
      <c r="L113" s="23">
        <v>20.95331572117167</v>
      </c>
      <c r="M113" s="23">
        <v>21.310579501915701</v>
      </c>
      <c r="N113" s="23">
        <v>21.074364225977131</v>
      </c>
      <c r="O113" s="23">
        <v>20.620025542784159</v>
      </c>
      <c r="P113" s="23">
        <v>19.808118367851399</v>
      </c>
      <c r="Q113" s="23">
        <v>20.023532993416811</v>
      </c>
      <c r="R113" s="23">
        <v>20.688073686371101</v>
      </c>
      <c r="S113" s="23">
        <v>20.897412652234681</v>
      </c>
      <c r="T113" s="23">
        <v>20.964798850574709</v>
      </c>
      <c r="U113" s="23">
        <v>20.680615292712059</v>
      </c>
      <c r="V113" s="38">
        <v>20.687232722026408</v>
      </c>
      <c r="W113" s="39">
        <v>100</v>
      </c>
      <c r="X113" s="24">
        <v>0.83333333333333337</v>
      </c>
    </row>
    <row r="114" spans="1:24" ht="13.9" customHeight="1" x14ac:dyDescent="0.2">
      <c r="A114" s="10">
        <v>26065020</v>
      </c>
      <c r="B114" s="35" t="s">
        <v>445</v>
      </c>
      <c r="C114" s="35" t="s">
        <v>571</v>
      </c>
      <c r="D114" s="35" t="s">
        <v>571</v>
      </c>
      <c r="E114" s="21" t="s">
        <v>181</v>
      </c>
      <c r="F114" s="35">
        <v>9</v>
      </c>
      <c r="G114" s="35">
        <v>1133</v>
      </c>
      <c r="H114" s="36">
        <v>-76.223055560000006</v>
      </c>
      <c r="I114" s="37">
        <v>3.2456666699999999</v>
      </c>
      <c r="J114" s="22">
        <v>17.921201323407779</v>
      </c>
      <c r="K114" s="23">
        <v>17.95254711562502</v>
      </c>
      <c r="L114" s="23">
        <v>18.012741960383789</v>
      </c>
      <c r="M114" s="23">
        <v>18.077944057071988</v>
      </c>
      <c r="N114" s="23">
        <v>18.09013501185915</v>
      </c>
      <c r="O114" s="23">
        <v>18.02891537649543</v>
      </c>
      <c r="P114" s="23">
        <v>17.874855463546599</v>
      </c>
      <c r="Q114" s="23">
        <v>17.938413978494619</v>
      </c>
      <c r="R114" s="23">
        <v>17.941324575807329</v>
      </c>
      <c r="S114" s="23">
        <v>17.944514903654689</v>
      </c>
      <c r="T114" s="23">
        <v>17.87782624357337</v>
      </c>
      <c r="U114" s="23">
        <v>17.944602799406749</v>
      </c>
      <c r="V114" s="38">
        <v>17.967085234110542</v>
      </c>
      <c r="W114" s="39">
        <v>325</v>
      </c>
      <c r="X114" s="24">
        <v>0.90277777777777779</v>
      </c>
    </row>
    <row r="115" spans="1:24" ht="13.9" customHeight="1" x14ac:dyDescent="0.2">
      <c r="A115" s="10">
        <v>52015020</v>
      </c>
      <c r="B115" s="35" t="s">
        <v>445</v>
      </c>
      <c r="C115" s="35" t="s">
        <v>572</v>
      </c>
      <c r="D115" s="35" t="s">
        <v>573</v>
      </c>
      <c r="E115" s="21" t="s">
        <v>181</v>
      </c>
      <c r="F115" s="35">
        <v>7</v>
      </c>
      <c r="G115" s="35">
        <v>580</v>
      </c>
      <c r="H115" s="36">
        <v>-77.049997219999995</v>
      </c>
      <c r="I115" s="37">
        <v>2.1499972199999999</v>
      </c>
      <c r="J115" s="22">
        <v>20.980070860627031</v>
      </c>
      <c r="K115" s="23">
        <v>21.07975467699605</v>
      </c>
      <c r="L115" s="23">
        <v>21.148637717121591</v>
      </c>
      <c r="M115" s="23">
        <v>21.41150574712643</v>
      </c>
      <c r="N115" s="23">
        <v>21.060684711407738</v>
      </c>
      <c r="O115" s="23">
        <v>20.335155446086478</v>
      </c>
      <c r="P115" s="23">
        <v>18.820365591397849</v>
      </c>
      <c r="Q115" s="23">
        <v>18.921863799283159</v>
      </c>
      <c r="R115" s="23">
        <v>20.235390804597699</v>
      </c>
      <c r="S115" s="23">
        <v>20.47305821282907</v>
      </c>
      <c r="T115" s="23">
        <v>20.946919540229889</v>
      </c>
      <c r="U115" s="23">
        <v>21.093672456575678</v>
      </c>
      <c r="V115" s="38">
        <v>20.542256630356562</v>
      </c>
      <c r="W115" s="39">
        <v>118</v>
      </c>
      <c r="X115" s="24">
        <v>0.98333333333333328</v>
      </c>
    </row>
    <row r="116" spans="1:24" ht="13.9" customHeight="1" x14ac:dyDescent="0.2">
      <c r="A116" s="10">
        <v>26025100</v>
      </c>
      <c r="B116" s="35" t="s">
        <v>445</v>
      </c>
      <c r="C116" s="35" t="s">
        <v>574</v>
      </c>
      <c r="D116" s="35" t="s">
        <v>575</v>
      </c>
      <c r="E116" s="21" t="s">
        <v>181</v>
      </c>
      <c r="F116" s="35">
        <v>9</v>
      </c>
      <c r="G116" s="35">
        <v>1822</v>
      </c>
      <c r="H116" s="36">
        <v>-76.52633333</v>
      </c>
      <c r="I116" s="37">
        <v>2.6744722200000002</v>
      </c>
      <c r="J116" s="22">
        <v>14.33426080030474</v>
      </c>
      <c r="K116" s="23">
        <v>14.630991696505371</v>
      </c>
      <c r="L116" s="23">
        <v>14.80621117875001</v>
      </c>
      <c r="M116" s="23">
        <v>14.90724622121173</v>
      </c>
      <c r="N116" s="23">
        <v>14.85412944946995</v>
      </c>
      <c r="O116" s="23">
        <v>14.57335548648142</v>
      </c>
      <c r="P116" s="23">
        <v>14.19925820969017</v>
      </c>
      <c r="Q116" s="23">
        <v>14.090202606070241</v>
      </c>
      <c r="R116" s="23">
        <v>14.05886243386243</v>
      </c>
      <c r="S116" s="23">
        <v>14.3349241888174</v>
      </c>
      <c r="T116" s="23">
        <v>14.54396178469722</v>
      </c>
      <c r="U116" s="23">
        <v>14.470154532897579</v>
      </c>
      <c r="V116" s="38">
        <v>14.483629882396521</v>
      </c>
      <c r="W116" s="39">
        <v>328</v>
      </c>
      <c r="X116" s="24">
        <v>0.91111111111111109</v>
      </c>
    </row>
    <row r="117" spans="1:24" ht="13.9" customHeight="1" x14ac:dyDescent="0.2">
      <c r="A117" s="10">
        <v>26035030</v>
      </c>
      <c r="B117" s="35" t="s">
        <v>471</v>
      </c>
      <c r="C117" s="35" t="s">
        <v>576</v>
      </c>
      <c r="D117" s="35" t="s">
        <v>577</v>
      </c>
      <c r="E117" s="21" t="s">
        <v>181</v>
      </c>
      <c r="F117" s="35">
        <v>9</v>
      </c>
      <c r="G117" s="35">
        <v>1752</v>
      </c>
      <c r="H117" s="36">
        <v>-76.608750000000001</v>
      </c>
      <c r="I117" s="37">
        <v>2.4528888900000001</v>
      </c>
      <c r="J117" s="22">
        <v>13.890464952255041</v>
      </c>
      <c r="K117" s="23">
        <v>14.02890291129073</v>
      </c>
      <c r="L117" s="23">
        <v>14.317817094579761</v>
      </c>
      <c r="M117" s="23">
        <v>14.53632275132275</v>
      </c>
      <c r="N117" s="23">
        <v>14.33908175012747</v>
      </c>
      <c r="O117" s="23">
        <v>13.525807325207969</v>
      </c>
      <c r="P117" s="23">
        <v>12.90795689807327</v>
      </c>
      <c r="Q117" s="23">
        <v>12.52621405278987</v>
      </c>
      <c r="R117" s="23">
        <v>12.85572651192456</v>
      </c>
      <c r="S117" s="23">
        <v>14.03286312638185</v>
      </c>
      <c r="T117" s="23">
        <v>14.49835430970807</v>
      </c>
      <c r="U117" s="23">
        <v>14.42273523420679</v>
      </c>
      <c r="V117" s="38">
        <v>13.82352057648901</v>
      </c>
      <c r="W117" s="39">
        <v>311</v>
      </c>
      <c r="X117" s="24">
        <v>0.86388888888888893</v>
      </c>
    </row>
    <row r="118" spans="1:24" ht="13.9" customHeight="1" x14ac:dyDescent="0.2">
      <c r="A118" s="10">
        <v>26045010</v>
      </c>
      <c r="B118" s="35" t="s">
        <v>445</v>
      </c>
      <c r="C118" s="35" t="s">
        <v>578</v>
      </c>
      <c r="D118" s="35" t="s">
        <v>579</v>
      </c>
      <c r="E118" s="21" t="s">
        <v>181</v>
      </c>
      <c r="F118" s="35">
        <v>9</v>
      </c>
      <c r="G118" s="35">
        <v>983</v>
      </c>
      <c r="H118" s="36">
        <v>-76.414472220000007</v>
      </c>
      <c r="I118" s="37">
        <v>3.2628055599999999</v>
      </c>
      <c r="J118" s="22">
        <v>17.529540706605221</v>
      </c>
      <c r="K118" s="23">
        <v>17.487142379969971</v>
      </c>
      <c r="L118" s="23">
        <v>17.573856849490891</v>
      </c>
      <c r="M118" s="23">
        <v>17.512931527093588</v>
      </c>
      <c r="N118" s="23">
        <v>17.774069677419352</v>
      </c>
      <c r="O118" s="23">
        <v>17.6507045991046</v>
      </c>
      <c r="P118" s="23">
        <v>17.471510629094059</v>
      </c>
      <c r="Q118" s="23">
        <v>17.367589216144609</v>
      </c>
      <c r="R118" s="23">
        <v>17.471763831371021</v>
      </c>
      <c r="S118" s="23">
        <v>17.401983409217049</v>
      </c>
      <c r="T118" s="23">
        <v>17.42825803187872</v>
      </c>
      <c r="U118" s="23">
        <v>17.48545591783078</v>
      </c>
      <c r="V118" s="38">
        <v>17.512900564601651</v>
      </c>
      <c r="W118" s="39">
        <v>288</v>
      </c>
      <c r="X118" s="24">
        <v>0.8</v>
      </c>
    </row>
    <row r="119" spans="1:24" ht="13.9" customHeight="1" x14ac:dyDescent="0.2">
      <c r="A119" s="10">
        <v>44015030</v>
      </c>
      <c r="B119" s="35" t="s">
        <v>471</v>
      </c>
      <c r="C119" s="35" t="s">
        <v>260</v>
      </c>
      <c r="D119" s="35" t="s">
        <v>262</v>
      </c>
      <c r="E119" s="21" t="s">
        <v>181</v>
      </c>
      <c r="F119" s="35">
        <v>7</v>
      </c>
      <c r="G119" s="35">
        <v>2900</v>
      </c>
      <c r="H119" s="36">
        <v>-76.668750000000003</v>
      </c>
      <c r="I119" s="37">
        <v>1.90041667</v>
      </c>
      <c r="J119" s="22">
        <v>5.3023679658661056</v>
      </c>
      <c r="K119" s="23">
        <v>5.9068491843295643</v>
      </c>
      <c r="L119" s="23">
        <v>6.3627071368736194</v>
      </c>
      <c r="M119" s="23">
        <v>6.6770185719947914</v>
      </c>
      <c r="N119" s="23">
        <v>6.9208583703905493</v>
      </c>
      <c r="O119" s="23">
        <v>6.8565648213308323</v>
      </c>
      <c r="P119" s="23">
        <v>6.6382228524164031</v>
      </c>
      <c r="Q119" s="23">
        <v>5.9386052057570407</v>
      </c>
      <c r="R119" s="23">
        <v>5.3443424510780826</v>
      </c>
      <c r="S119" s="23">
        <v>5.5130888465137637</v>
      </c>
      <c r="T119" s="23">
        <v>6.2307306513409966</v>
      </c>
      <c r="U119" s="23">
        <v>5.9711204866076963</v>
      </c>
      <c r="V119" s="38">
        <v>6.138539712041621</v>
      </c>
      <c r="W119" s="39">
        <v>351</v>
      </c>
      <c r="X119" s="24">
        <v>0.97499999999999998</v>
      </c>
    </row>
    <row r="120" spans="1:24" ht="13.9" customHeight="1" x14ac:dyDescent="0.2">
      <c r="A120" s="10">
        <v>26025030</v>
      </c>
      <c r="B120" s="35" t="s">
        <v>445</v>
      </c>
      <c r="C120" s="35" t="s">
        <v>580</v>
      </c>
      <c r="D120" s="35" t="s">
        <v>581</v>
      </c>
      <c r="E120" s="21" t="s">
        <v>181</v>
      </c>
      <c r="F120" s="35">
        <v>9</v>
      </c>
      <c r="G120" s="35">
        <v>1040</v>
      </c>
      <c r="H120" s="36">
        <v>-76.441416669999995</v>
      </c>
      <c r="I120" s="37">
        <v>3.0483611100000001</v>
      </c>
      <c r="J120" s="22">
        <v>18.46649313464108</v>
      </c>
      <c r="K120" s="23">
        <v>18.56571011746874</v>
      </c>
      <c r="L120" s="23">
        <v>18.79786021505376</v>
      </c>
      <c r="M120" s="23">
        <v>18.891089947089949</v>
      </c>
      <c r="N120" s="23">
        <v>18.86406451612903</v>
      </c>
      <c r="O120" s="23">
        <v>18.540328407224951</v>
      </c>
      <c r="P120" s="23">
        <v>17.596604375231738</v>
      </c>
      <c r="Q120" s="23">
        <v>17.421354838709679</v>
      </c>
      <c r="R120" s="23">
        <v>18.075586206896549</v>
      </c>
      <c r="S120" s="23">
        <v>18.376473859844271</v>
      </c>
      <c r="T120" s="23">
        <v>18.61333004926108</v>
      </c>
      <c r="U120" s="23">
        <v>18.68543070400283</v>
      </c>
      <c r="V120" s="38">
        <v>18.407860530962811</v>
      </c>
      <c r="W120" s="39">
        <v>119</v>
      </c>
      <c r="X120" s="24">
        <v>0.9916666666666667</v>
      </c>
    </row>
    <row r="121" spans="1:24" ht="13.9" customHeight="1" x14ac:dyDescent="0.2">
      <c r="A121" s="10">
        <v>26025110</v>
      </c>
      <c r="B121" s="35" t="s">
        <v>445</v>
      </c>
      <c r="C121" s="35" t="s">
        <v>338</v>
      </c>
      <c r="D121" s="35" t="s">
        <v>581</v>
      </c>
      <c r="E121" s="21" t="s">
        <v>181</v>
      </c>
      <c r="F121" s="35">
        <v>9</v>
      </c>
      <c r="G121" s="35">
        <v>1009</v>
      </c>
      <c r="H121" s="36">
        <v>-76.556250000000006</v>
      </c>
      <c r="I121" s="37">
        <v>3.0753888900000002</v>
      </c>
      <c r="J121" s="22">
        <v>18.371537001897529</v>
      </c>
      <c r="K121" s="23">
        <v>18.320262511134722</v>
      </c>
      <c r="L121" s="23">
        <v>18.206059456040482</v>
      </c>
      <c r="M121" s="23">
        <v>18.213644354293439</v>
      </c>
      <c r="N121" s="23">
        <v>18.433751493428911</v>
      </c>
      <c r="O121" s="23">
        <v>18.217037037037041</v>
      </c>
      <c r="P121" s="23">
        <v>18.04587813620072</v>
      </c>
      <c r="Q121" s="23">
        <v>17.92353706847765</v>
      </c>
      <c r="R121" s="23">
        <v>18.073157894736841</v>
      </c>
      <c r="S121" s="23">
        <v>18.138279569892479</v>
      </c>
      <c r="T121" s="23">
        <v>18.26083484573503</v>
      </c>
      <c r="U121" s="23">
        <v>18.414550713701821</v>
      </c>
      <c r="V121" s="38">
        <v>18.21821084021472</v>
      </c>
      <c r="W121" s="39">
        <v>217</v>
      </c>
      <c r="X121" s="24">
        <v>0.90416666666666667</v>
      </c>
    </row>
    <row r="122" spans="1:24" ht="13.9" customHeight="1" x14ac:dyDescent="0.2">
      <c r="A122" s="10">
        <v>52015010</v>
      </c>
      <c r="B122" s="35" t="s">
        <v>445</v>
      </c>
      <c r="C122" s="35" t="s">
        <v>276</v>
      </c>
      <c r="D122" s="35" t="s">
        <v>582</v>
      </c>
      <c r="E122" s="21" t="s">
        <v>181</v>
      </c>
      <c r="F122" s="35">
        <v>7</v>
      </c>
      <c r="G122" s="35">
        <v>2450</v>
      </c>
      <c r="H122" s="36">
        <v>-76.611944440000002</v>
      </c>
      <c r="I122" s="37">
        <v>2.2497222200000002</v>
      </c>
      <c r="J122" s="22">
        <v>11.094659498207889</v>
      </c>
      <c r="K122" s="23">
        <v>11.26431536216019</v>
      </c>
      <c r="L122" s="23">
        <v>11.596247311827961</v>
      </c>
      <c r="M122" s="23">
        <v>11.683</v>
      </c>
      <c r="N122" s="23">
        <v>11.837096774193551</v>
      </c>
      <c r="O122" s="23">
        <v>11.686911330049259</v>
      </c>
      <c r="P122" s="23">
        <v>11.599107526881721</v>
      </c>
      <c r="Q122" s="23">
        <v>11.41155222734255</v>
      </c>
      <c r="R122" s="23">
        <v>11.326784072249589</v>
      </c>
      <c r="S122" s="23">
        <v>11.11451612903226</v>
      </c>
      <c r="T122" s="23">
        <v>11.157080459770111</v>
      </c>
      <c r="U122" s="23">
        <v>11.04418740399386</v>
      </c>
      <c r="V122" s="38">
        <v>11.40128817464241</v>
      </c>
      <c r="W122" s="39">
        <v>120</v>
      </c>
      <c r="X122" s="24">
        <v>1</v>
      </c>
    </row>
    <row r="123" spans="1:24" ht="13.9" customHeight="1" x14ac:dyDescent="0.2">
      <c r="A123" s="10">
        <v>26025070</v>
      </c>
      <c r="B123" s="35" t="s">
        <v>445</v>
      </c>
      <c r="C123" s="35" t="s">
        <v>583</v>
      </c>
      <c r="D123" s="35" t="s">
        <v>584</v>
      </c>
      <c r="E123" s="21" t="s">
        <v>181</v>
      </c>
      <c r="F123" s="35">
        <v>9</v>
      </c>
      <c r="G123" s="35">
        <v>3071</v>
      </c>
      <c r="H123" s="36">
        <v>-76.289055560000008</v>
      </c>
      <c r="I123" s="37">
        <v>2.5097499999999999</v>
      </c>
      <c r="J123" s="22">
        <v>5.7055186690950883</v>
      </c>
      <c r="K123" s="23">
        <v>5.9459980686373273</v>
      </c>
      <c r="L123" s="23">
        <v>6.4051273857694797</v>
      </c>
      <c r="M123" s="23">
        <v>6.7685329378843964</v>
      </c>
      <c r="N123" s="23">
        <v>6.9325546466043839</v>
      </c>
      <c r="O123" s="23">
        <v>7.010989867486181</v>
      </c>
      <c r="P123" s="23">
        <v>6.8214237479369304</v>
      </c>
      <c r="Q123" s="23">
        <v>6.5376237499667589</v>
      </c>
      <c r="R123" s="23">
        <v>6.352491816175128</v>
      </c>
      <c r="S123" s="23">
        <v>6.2307901771198768</v>
      </c>
      <c r="T123" s="23">
        <v>6.2297079862435636</v>
      </c>
      <c r="U123" s="23">
        <v>6.1716366256753723</v>
      </c>
      <c r="V123" s="38">
        <v>6.4260329732162083</v>
      </c>
      <c r="W123" s="39">
        <v>301</v>
      </c>
      <c r="X123" s="24">
        <v>0.83611111111111114</v>
      </c>
    </row>
    <row r="124" spans="1:24" ht="13.9" customHeight="1" x14ac:dyDescent="0.2">
      <c r="A124" s="10">
        <v>23215030</v>
      </c>
      <c r="B124" s="35" t="s">
        <v>446</v>
      </c>
      <c r="C124" s="35" t="s">
        <v>585</v>
      </c>
      <c r="D124" s="35" t="s">
        <v>586</v>
      </c>
      <c r="E124" s="21" t="s">
        <v>43</v>
      </c>
      <c r="F124" s="35">
        <v>8</v>
      </c>
      <c r="G124" s="35">
        <v>208</v>
      </c>
      <c r="H124" s="36">
        <v>-73.602777779999997</v>
      </c>
      <c r="I124" s="37">
        <v>8.2288888900000003</v>
      </c>
      <c r="J124" s="22">
        <v>23.128722819593779</v>
      </c>
      <c r="K124" s="23">
        <v>23.916291005291011</v>
      </c>
      <c r="L124" s="23">
        <v>24.318879330943851</v>
      </c>
      <c r="M124" s="23">
        <v>24.33444170771757</v>
      </c>
      <c r="N124" s="23">
        <v>23.940175750834261</v>
      </c>
      <c r="O124" s="23">
        <v>23.762425287356319</v>
      </c>
      <c r="P124" s="23">
        <v>23.291953405017921</v>
      </c>
      <c r="Q124" s="23">
        <v>23.424537634408601</v>
      </c>
      <c r="R124" s="23">
        <v>23.263719211822661</v>
      </c>
      <c r="S124" s="23">
        <v>23.211623655913979</v>
      </c>
      <c r="T124" s="23">
        <v>23.28257206012379</v>
      </c>
      <c r="U124" s="23">
        <v>23.262126642771811</v>
      </c>
      <c r="V124" s="38">
        <v>23.59478904264963</v>
      </c>
      <c r="W124" s="39">
        <v>119</v>
      </c>
      <c r="X124" s="24">
        <v>0.9916666666666667</v>
      </c>
    </row>
    <row r="125" spans="1:24" ht="13.9" customHeight="1" x14ac:dyDescent="0.2">
      <c r="A125" s="10">
        <v>28025090</v>
      </c>
      <c r="B125" s="35" t="s">
        <v>445</v>
      </c>
      <c r="C125" s="35" t="s">
        <v>587</v>
      </c>
      <c r="D125" s="35" t="s">
        <v>588</v>
      </c>
      <c r="E125" s="21" t="s">
        <v>43</v>
      </c>
      <c r="F125" s="35">
        <v>5</v>
      </c>
      <c r="G125" s="35">
        <v>100</v>
      </c>
      <c r="H125" s="36">
        <v>-73.265472220000007</v>
      </c>
      <c r="I125" s="37">
        <v>9.8502500000000008</v>
      </c>
      <c r="J125" s="22">
        <v>20.274304815606261</v>
      </c>
      <c r="K125" s="23">
        <v>20.97429646471026</v>
      </c>
      <c r="L125" s="23">
        <v>22.428933641367902</v>
      </c>
      <c r="M125" s="23">
        <v>23.26908113342596</v>
      </c>
      <c r="N125" s="23">
        <v>23.428803841875581</v>
      </c>
      <c r="O125" s="23">
        <v>23.076132956345159</v>
      </c>
      <c r="P125" s="23">
        <v>22.975676084538382</v>
      </c>
      <c r="Q125" s="23">
        <v>22.999431495312251</v>
      </c>
      <c r="R125" s="23">
        <v>22.981486392475791</v>
      </c>
      <c r="S125" s="23">
        <v>22.861842749047049</v>
      </c>
      <c r="T125" s="23">
        <v>22.48938805435613</v>
      </c>
      <c r="U125" s="23">
        <v>21.125300046789199</v>
      </c>
      <c r="V125" s="38">
        <v>22.407056472987499</v>
      </c>
      <c r="W125" s="39">
        <v>308</v>
      </c>
      <c r="X125" s="24">
        <v>0.85555555555555551</v>
      </c>
    </row>
    <row r="126" spans="1:24" ht="13.9" customHeight="1" x14ac:dyDescent="0.2">
      <c r="A126" s="10">
        <v>28025070</v>
      </c>
      <c r="B126" s="35" t="s">
        <v>450</v>
      </c>
      <c r="C126" s="35" t="s">
        <v>589</v>
      </c>
      <c r="D126" s="35" t="s">
        <v>588</v>
      </c>
      <c r="E126" s="21" t="s">
        <v>43</v>
      </c>
      <c r="F126" s="35">
        <v>5</v>
      </c>
      <c r="G126" s="35">
        <v>180</v>
      </c>
      <c r="H126" s="36">
        <v>-73.249388890000006</v>
      </c>
      <c r="I126" s="37">
        <v>10.001805559999999</v>
      </c>
      <c r="J126" s="22">
        <v>22.575225353115719</v>
      </c>
      <c r="K126" s="23">
        <v>23.291583424557562</v>
      </c>
      <c r="L126" s="23">
        <v>24.286377860490759</v>
      </c>
      <c r="M126" s="23">
        <v>24.804561581777101</v>
      </c>
      <c r="N126" s="23">
        <v>24.646406414278111</v>
      </c>
      <c r="O126" s="23">
        <v>24.696479808528789</v>
      </c>
      <c r="P126" s="23">
        <v>24.242761007685921</v>
      </c>
      <c r="Q126" s="23">
        <v>24.09473836076172</v>
      </c>
      <c r="R126" s="23">
        <v>24.000324150094269</v>
      </c>
      <c r="S126" s="23">
        <v>23.722046837299601</v>
      </c>
      <c r="T126" s="23">
        <v>23.51037635094017</v>
      </c>
      <c r="U126" s="23">
        <v>22.947032369661411</v>
      </c>
      <c r="V126" s="38">
        <v>23.90149279326593</v>
      </c>
      <c r="W126" s="39">
        <v>334</v>
      </c>
      <c r="X126" s="24">
        <v>0.92777777777777781</v>
      </c>
    </row>
    <row r="127" spans="1:24" ht="13.9" customHeight="1" x14ac:dyDescent="0.2">
      <c r="A127" s="10">
        <v>28025080</v>
      </c>
      <c r="B127" s="35" t="s">
        <v>471</v>
      </c>
      <c r="C127" s="35" t="s">
        <v>590</v>
      </c>
      <c r="D127" s="35" t="s">
        <v>591</v>
      </c>
      <c r="E127" s="21" t="s">
        <v>43</v>
      </c>
      <c r="F127" s="35">
        <v>5</v>
      </c>
      <c r="G127" s="35">
        <v>170</v>
      </c>
      <c r="H127" s="36">
        <v>-73.240555560000004</v>
      </c>
      <c r="I127" s="37">
        <v>9.686666670000001</v>
      </c>
      <c r="J127" s="22">
        <v>20.559715895380521</v>
      </c>
      <c r="K127" s="23">
        <v>21.203390249261389</v>
      </c>
      <c r="L127" s="23">
        <v>21.65052183201794</v>
      </c>
      <c r="M127" s="23">
        <v>22.368325056673509</v>
      </c>
      <c r="N127" s="23">
        <v>22.183946503984451</v>
      </c>
      <c r="O127" s="23">
        <v>22.237954638752051</v>
      </c>
      <c r="P127" s="23">
        <v>22.177120669056151</v>
      </c>
      <c r="Q127" s="23">
        <v>22.215826022096181</v>
      </c>
      <c r="R127" s="23">
        <v>22.250606050849449</v>
      </c>
      <c r="S127" s="23">
        <v>22.091590184917411</v>
      </c>
      <c r="T127" s="23">
        <v>21.964230228489861</v>
      </c>
      <c r="U127" s="23">
        <v>20.946458671163239</v>
      </c>
      <c r="V127" s="38">
        <v>21.820807166886851</v>
      </c>
      <c r="W127" s="39">
        <v>205</v>
      </c>
      <c r="X127" s="24">
        <v>0.85416666666666663</v>
      </c>
    </row>
    <row r="128" spans="1:24" ht="13.9" customHeight="1" x14ac:dyDescent="0.2">
      <c r="A128" s="10">
        <v>25025250</v>
      </c>
      <c r="B128" s="35" t="s">
        <v>445</v>
      </c>
      <c r="C128" s="35" t="s">
        <v>592</v>
      </c>
      <c r="D128" s="35" t="s">
        <v>592</v>
      </c>
      <c r="E128" s="21" t="s">
        <v>43</v>
      </c>
      <c r="F128" s="35">
        <v>5</v>
      </c>
      <c r="G128" s="35">
        <v>40</v>
      </c>
      <c r="H128" s="36">
        <v>-73.59338889</v>
      </c>
      <c r="I128" s="37">
        <v>9.3610277800000006</v>
      </c>
      <c r="J128" s="22">
        <v>21.763299703526702</v>
      </c>
      <c r="K128" s="23">
        <v>21.898892937301429</v>
      </c>
      <c r="L128" s="23">
        <v>22.235375316489218</v>
      </c>
      <c r="M128" s="23">
        <v>22.44847467825916</v>
      </c>
      <c r="N128" s="23">
        <v>22.295070636889989</v>
      </c>
      <c r="O128" s="23">
        <v>22.58210278325663</v>
      </c>
      <c r="P128" s="23">
        <v>22.87265805053066</v>
      </c>
      <c r="Q128" s="23">
        <v>22.660033623937959</v>
      </c>
      <c r="R128" s="23">
        <v>22.32813400991812</v>
      </c>
      <c r="S128" s="23">
        <v>22.12063707595517</v>
      </c>
      <c r="T128" s="23">
        <v>22.309635594290761</v>
      </c>
      <c r="U128" s="23">
        <v>22.277683296941738</v>
      </c>
      <c r="V128" s="38">
        <v>22.31599980894147</v>
      </c>
      <c r="W128" s="39">
        <v>309</v>
      </c>
      <c r="X128" s="24">
        <v>0.85833333333333328</v>
      </c>
    </row>
    <row r="129" spans="1:24" ht="13.9" customHeight="1" x14ac:dyDescent="0.2">
      <c r="A129" s="10">
        <v>23215050</v>
      </c>
      <c r="B129" s="35" t="s">
        <v>446</v>
      </c>
      <c r="C129" s="35" t="s">
        <v>593</v>
      </c>
      <c r="D129" s="35" t="s">
        <v>594</v>
      </c>
      <c r="E129" s="21" t="s">
        <v>43</v>
      </c>
      <c r="F129" s="35">
        <v>8</v>
      </c>
      <c r="G129" s="35">
        <v>163</v>
      </c>
      <c r="H129" s="36">
        <v>-73.636388890000006</v>
      </c>
      <c r="I129" s="37">
        <v>8.6144444399999998</v>
      </c>
      <c r="J129" s="22">
        <v>22.843966547192348</v>
      </c>
      <c r="K129" s="23">
        <v>22.976767898271731</v>
      </c>
      <c r="L129" s="23">
        <v>23.042669180676331</v>
      </c>
      <c r="M129" s="23">
        <v>23.059001149425288</v>
      </c>
      <c r="N129" s="23">
        <v>22.925074945428079</v>
      </c>
      <c r="O129" s="23">
        <v>22.938961467876279</v>
      </c>
      <c r="P129" s="23">
        <v>22.8710961001116</v>
      </c>
      <c r="Q129" s="23">
        <v>22.747269907367791</v>
      </c>
      <c r="R129" s="23">
        <v>22.665338437618789</v>
      </c>
      <c r="S129" s="23">
        <v>22.68125188843209</v>
      </c>
      <c r="T129" s="23">
        <v>22.755729890123401</v>
      </c>
      <c r="U129" s="23">
        <v>23.02163341069409</v>
      </c>
      <c r="V129" s="38">
        <v>22.87739673526815</v>
      </c>
      <c r="W129" s="39">
        <v>217</v>
      </c>
      <c r="X129" s="24">
        <v>0.90416666666666667</v>
      </c>
    </row>
    <row r="130" spans="1:24" ht="13.9" customHeight="1" x14ac:dyDescent="0.2">
      <c r="A130" s="10">
        <v>25025330</v>
      </c>
      <c r="B130" s="35" t="s">
        <v>471</v>
      </c>
      <c r="C130" s="35" t="s">
        <v>208</v>
      </c>
      <c r="D130" s="35" t="s">
        <v>209</v>
      </c>
      <c r="E130" s="21" t="s">
        <v>43</v>
      </c>
      <c r="F130" s="35">
        <v>5</v>
      </c>
      <c r="G130" s="35">
        <v>50</v>
      </c>
      <c r="H130" s="36">
        <v>-73.630083329999991</v>
      </c>
      <c r="I130" s="37">
        <v>8.9542222200000001</v>
      </c>
      <c r="J130" s="22">
        <v>21.195285359801488</v>
      </c>
      <c r="K130" s="23">
        <v>21.695804901781919</v>
      </c>
      <c r="L130" s="23">
        <v>22.623832565284179</v>
      </c>
      <c r="M130" s="23">
        <v>22.597714376938509</v>
      </c>
      <c r="N130" s="23">
        <v>22.78179770766868</v>
      </c>
      <c r="O130" s="23">
        <v>22.7725159642401</v>
      </c>
      <c r="P130" s="23">
        <v>22.923826107655049</v>
      </c>
      <c r="Q130" s="23">
        <v>22.80687536416124</v>
      </c>
      <c r="R130" s="23">
        <v>22.80732142857142</v>
      </c>
      <c r="S130" s="23">
        <v>22.571747311827949</v>
      </c>
      <c r="T130" s="23">
        <v>22.35325154730327</v>
      </c>
      <c r="U130" s="23">
        <v>21.595990973051901</v>
      </c>
      <c r="V130" s="38">
        <v>22.393830300690482</v>
      </c>
      <c r="W130" s="39">
        <v>104</v>
      </c>
      <c r="X130" s="24">
        <v>0.8666666666666667</v>
      </c>
    </row>
    <row r="131" spans="1:24" ht="13.9" customHeight="1" x14ac:dyDescent="0.2">
      <c r="A131" s="10">
        <v>28025020</v>
      </c>
      <c r="B131" s="35" t="s">
        <v>445</v>
      </c>
      <c r="C131" s="35" t="s">
        <v>595</v>
      </c>
      <c r="D131" s="35" t="s">
        <v>596</v>
      </c>
      <c r="E131" s="21" t="s">
        <v>43</v>
      </c>
      <c r="F131" s="35">
        <v>5</v>
      </c>
      <c r="G131" s="35">
        <v>350</v>
      </c>
      <c r="H131" s="36">
        <v>-73.131388889999997</v>
      </c>
      <c r="I131" s="37">
        <v>10.271388890000001</v>
      </c>
      <c r="J131" s="22">
        <v>18.745340379879551</v>
      </c>
      <c r="K131" s="23">
        <v>19.597142603442339</v>
      </c>
      <c r="L131" s="23">
        <v>20.636765253590109</v>
      </c>
      <c r="M131" s="23">
        <v>21.175248635629131</v>
      </c>
      <c r="N131" s="23">
        <v>21.481125863932689</v>
      </c>
      <c r="O131" s="23">
        <v>21.141155642049629</v>
      </c>
      <c r="P131" s="23">
        <v>21.00874960782636</v>
      </c>
      <c r="Q131" s="23">
        <v>21.085532136236029</v>
      </c>
      <c r="R131" s="23">
        <v>20.944774311257071</v>
      </c>
      <c r="S131" s="23">
        <v>20.775308106650481</v>
      </c>
      <c r="T131" s="23">
        <v>20.3814127797047</v>
      </c>
      <c r="U131" s="23">
        <v>19.657804375231741</v>
      </c>
      <c r="V131" s="38">
        <v>20.552529974619151</v>
      </c>
      <c r="W131" s="39">
        <v>315</v>
      </c>
      <c r="X131" s="24">
        <v>0.875</v>
      </c>
    </row>
    <row r="132" spans="1:24" ht="13.9" customHeight="1" x14ac:dyDescent="0.2">
      <c r="A132" s="10">
        <v>28025502</v>
      </c>
      <c r="B132" s="35" t="s">
        <v>444</v>
      </c>
      <c r="C132" s="11" t="s">
        <v>42</v>
      </c>
      <c r="D132" s="35" t="s">
        <v>44</v>
      </c>
      <c r="E132" s="21" t="s">
        <v>43</v>
      </c>
      <c r="F132" s="35">
        <v>5</v>
      </c>
      <c r="G132" s="35">
        <v>138</v>
      </c>
      <c r="H132" s="36">
        <v>-73.247666670000001</v>
      </c>
      <c r="I132" s="37">
        <v>10.43616667</v>
      </c>
      <c r="J132" s="22">
        <v>23.08276869949562</v>
      </c>
      <c r="K132" s="23">
        <v>23.598310493489301</v>
      </c>
      <c r="L132" s="23">
        <v>24.216124144672531</v>
      </c>
      <c r="M132" s="23">
        <v>24.623751815713032</v>
      </c>
      <c r="N132" s="23">
        <v>24.436395995550608</v>
      </c>
      <c r="O132" s="23">
        <v>24.543396831803879</v>
      </c>
      <c r="P132" s="23">
        <v>24.65002483348788</v>
      </c>
      <c r="Q132" s="23">
        <v>24.333982334869429</v>
      </c>
      <c r="R132" s="23">
        <v>23.800122349539521</v>
      </c>
      <c r="S132" s="23">
        <v>23.553692295015981</v>
      </c>
      <c r="T132" s="23">
        <v>23.516689244663379</v>
      </c>
      <c r="U132" s="23">
        <v>23.440560675883258</v>
      </c>
      <c r="V132" s="38">
        <v>23.982984976182038</v>
      </c>
      <c r="W132" s="39">
        <v>335</v>
      </c>
      <c r="X132" s="24">
        <v>0.93055555555555558</v>
      </c>
    </row>
    <row r="133" spans="1:24" ht="13.9" customHeight="1" x14ac:dyDescent="0.2">
      <c r="A133" s="10">
        <v>28035020</v>
      </c>
      <c r="B133" s="35" t="s">
        <v>445</v>
      </c>
      <c r="C133" s="35" t="s">
        <v>207</v>
      </c>
      <c r="D133" s="35" t="s">
        <v>44</v>
      </c>
      <c r="E133" s="21" t="s">
        <v>43</v>
      </c>
      <c r="F133" s="35">
        <v>5</v>
      </c>
      <c r="G133" s="35">
        <v>110</v>
      </c>
      <c r="H133" s="36">
        <v>-73.319444439999998</v>
      </c>
      <c r="I133" s="37">
        <v>10.363055559999999</v>
      </c>
      <c r="J133" s="22">
        <v>22.103338059789671</v>
      </c>
      <c r="K133" s="23">
        <v>22.797939510279232</v>
      </c>
      <c r="L133" s="23">
        <v>23.420665232216521</v>
      </c>
      <c r="M133" s="23">
        <v>23.701545113889939</v>
      </c>
      <c r="N133" s="23">
        <v>23.53410799288104</v>
      </c>
      <c r="O133" s="23">
        <v>23.495227178404519</v>
      </c>
      <c r="P133" s="23">
        <v>23.447051220933311</v>
      </c>
      <c r="Q133" s="23">
        <v>23.148531221247211</v>
      </c>
      <c r="R133" s="23">
        <v>22.641522648439089</v>
      </c>
      <c r="S133" s="23">
        <v>22.600227318102728</v>
      </c>
      <c r="T133" s="23">
        <v>22.45792226292226</v>
      </c>
      <c r="U133" s="23">
        <v>22.28016830280955</v>
      </c>
      <c r="V133" s="38">
        <v>22.969020505159591</v>
      </c>
      <c r="W133" s="39">
        <v>327</v>
      </c>
      <c r="X133" s="24">
        <v>0.90833333333333333</v>
      </c>
    </row>
    <row r="134" spans="1:24" ht="13.9" customHeight="1" x14ac:dyDescent="0.2">
      <c r="A134" s="10">
        <v>28035040</v>
      </c>
      <c r="B134" s="35" t="s">
        <v>445</v>
      </c>
      <c r="C134" s="35" t="s">
        <v>597</v>
      </c>
      <c r="D134" s="35" t="s">
        <v>44</v>
      </c>
      <c r="E134" s="21" t="s">
        <v>43</v>
      </c>
      <c r="F134" s="35">
        <v>5</v>
      </c>
      <c r="G134" s="35">
        <v>50</v>
      </c>
      <c r="H134" s="36">
        <v>-73.64752777999999</v>
      </c>
      <c r="I134" s="37">
        <v>9.9049166700000004</v>
      </c>
      <c r="J134" s="22">
        <v>24.208919591372279</v>
      </c>
      <c r="K134" s="23">
        <v>24.853058227122268</v>
      </c>
      <c r="L134" s="23">
        <v>24.848550378335322</v>
      </c>
      <c r="M134" s="23">
        <v>24.869466338259439</v>
      </c>
      <c r="N134" s="23">
        <v>24.71028882666565</v>
      </c>
      <c r="O134" s="23">
        <v>24.8141498216409</v>
      </c>
      <c r="P134" s="23">
        <v>24.776878788222739</v>
      </c>
      <c r="Q134" s="23">
        <v>24.356547448790419</v>
      </c>
      <c r="R134" s="23">
        <v>24.129654699399271</v>
      </c>
      <c r="S134" s="23">
        <v>24.060404536330282</v>
      </c>
      <c r="T134" s="23">
        <v>24.01115039767749</v>
      </c>
      <c r="U134" s="23">
        <v>24.073843980008242</v>
      </c>
      <c r="V134" s="38">
        <v>24.47607608615203</v>
      </c>
      <c r="W134" s="39">
        <v>337</v>
      </c>
      <c r="X134" s="24">
        <v>0.93611111111111112</v>
      </c>
    </row>
    <row r="135" spans="1:24" ht="13.9" customHeight="1" x14ac:dyDescent="0.2">
      <c r="A135" s="10">
        <v>28035010</v>
      </c>
      <c r="B135" s="35" t="s">
        <v>445</v>
      </c>
      <c r="C135" s="35" t="s">
        <v>206</v>
      </c>
      <c r="D135" s="35" t="s">
        <v>44</v>
      </c>
      <c r="E135" s="21" t="s">
        <v>43</v>
      </c>
      <c r="F135" s="35">
        <v>5</v>
      </c>
      <c r="G135" s="35">
        <v>70</v>
      </c>
      <c r="H135" s="36">
        <v>-73.547388890000008</v>
      </c>
      <c r="I135" s="37">
        <v>10.190666670000001</v>
      </c>
      <c r="J135" s="22">
        <v>22.082063236047109</v>
      </c>
      <c r="K135" s="23">
        <v>23.256528318078161</v>
      </c>
      <c r="L135" s="23">
        <v>23.986234734655209</v>
      </c>
      <c r="M135" s="23">
        <v>24.3035306931638</v>
      </c>
      <c r="N135" s="23">
        <v>24.146145007680492</v>
      </c>
      <c r="O135" s="23">
        <v>23.78398741105638</v>
      </c>
      <c r="P135" s="23">
        <v>23.82157476757439</v>
      </c>
      <c r="Q135" s="23">
        <v>23.725363919312059</v>
      </c>
      <c r="R135" s="23">
        <v>23.309072933771219</v>
      </c>
      <c r="S135" s="23">
        <v>23.145101562582759</v>
      </c>
      <c r="T135" s="23">
        <v>22.887582557927381</v>
      </c>
      <c r="U135" s="23">
        <v>22.167131681622809</v>
      </c>
      <c r="V135" s="38">
        <v>23.384526401955981</v>
      </c>
      <c r="W135" s="39">
        <v>296</v>
      </c>
      <c r="X135" s="24">
        <v>0.82222222222222219</v>
      </c>
    </row>
    <row r="136" spans="1:24" ht="13.9" customHeight="1" x14ac:dyDescent="0.2">
      <c r="A136" s="10">
        <v>56015010</v>
      </c>
      <c r="B136" s="35" t="s">
        <v>445</v>
      </c>
      <c r="C136" s="35" t="s">
        <v>598</v>
      </c>
      <c r="D136" s="35" t="s">
        <v>599</v>
      </c>
      <c r="E136" s="21" t="s">
        <v>87</v>
      </c>
      <c r="F136" s="35">
        <v>1</v>
      </c>
      <c r="G136" s="35">
        <v>4</v>
      </c>
      <c r="H136" s="36">
        <v>-77.404444439999992</v>
      </c>
      <c r="I136" s="37">
        <v>6.22333333</v>
      </c>
      <c r="J136" s="22">
        <v>21.9018287841191</v>
      </c>
      <c r="K136" s="23">
        <v>21.931647372742201</v>
      </c>
      <c r="L136" s="23">
        <v>21.904808741537231</v>
      </c>
      <c r="M136" s="23">
        <v>22.154519107967381</v>
      </c>
      <c r="N136" s="23">
        <v>22.141488811736199</v>
      </c>
      <c r="O136" s="23">
        <v>22.06665473726061</v>
      </c>
      <c r="P136" s="23">
        <v>21.92295798750748</v>
      </c>
      <c r="Q136" s="23">
        <v>21.926183476727729</v>
      </c>
      <c r="R136" s="23">
        <v>21.791972065113821</v>
      </c>
      <c r="S136" s="23">
        <v>21.691854349891681</v>
      </c>
      <c r="T136" s="23">
        <v>21.71496091189244</v>
      </c>
      <c r="U136" s="23">
        <v>21.839634408602151</v>
      </c>
      <c r="V136" s="38">
        <v>21.915709229591499</v>
      </c>
      <c r="W136" s="39">
        <v>306</v>
      </c>
      <c r="X136" s="24">
        <v>0.85</v>
      </c>
    </row>
    <row r="137" spans="1:24" ht="13.9" customHeight="1" x14ac:dyDescent="0.2">
      <c r="A137" s="10">
        <v>54085010</v>
      </c>
      <c r="B137" s="35" t="s">
        <v>445</v>
      </c>
      <c r="C137" s="35" t="s">
        <v>600</v>
      </c>
      <c r="D137" s="35" t="s">
        <v>601</v>
      </c>
      <c r="E137" s="21" t="s">
        <v>87</v>
      </c>
      <c r="F137" s="35">
        <v>9</v>
      </c>
      <c r="G137" s="35">
        <v>40</v>
      </c>
      <c r="H137" s="36">
        <v>-76.934250000000006</v>
      </c>
      <c r="I137" s="37">
        <v>4.6881944400000002</v>
      </c>
      <c r="J137" s="22">
        <v>22.528881399184151</v>
      </c>
      <c r="K137" s="23">
        <v>22.630233729034959</v>
      </c>
      <c r="L137" s="23">
        <v>22.660174499383199</v>
      </c>
      <c r="M137" s="23">
        <v>22.78951324234874</v>
      </c>
      <c r="N137" s="23">
        <v>22.780821149859399</v>
      </c>
      <c r="O137" s="23">
        <v>22.68392327340603</v>
      </c>
      <c r="P137" s="23">
        <v>22.523709276078019</v>
      </c>
      <c r="Q137" s="23">
        <v>22.511556602257379</v>
      </c>
      <c r="R137" s="23">
        <v>22.520221043324479</v>
      </c>
      <c r="S137" s="23">
        <v>22.46774266447067</v>
      </c>
      <c r="T137" s="23">
        <v>22.527271574270301</v>
      </c>
      <c r="U137" s="23">
        <v>22.544110929197199</v>
      </c>
      <c r="V137" s="38">
        <v>22.597346615234539</v>
      </c>
      <c r="W137" s="39">
        <v>304</v>
      </c>
      <c r="X137" s="24">
        <v>0.84444444444444444</v>
      </c>
    </row>
    <row r="138" spans="1:24" ht="13.9" customHeight="1" x14ac:dyDescent="0.2">
      <c r="A138" s="10">
        <v>54025010</v>
      </c>
      <c r="B138" s="35" t="s">
        <v>445</v>
      </c>
      <c r="C138" s="35" t="s">
        <v>602</v>
      </c>
      <c r="D138" s="35" t="s">
        <v>603</v>
      </c>
      <c r="E138" s="21" t="s">
        <v>87</v>
      </c>
      <c r="F138" s="35">
        <v>9</v>
      </c>
      <c r="G138" s="35">
        <v>1115</v>
      </c>
      <c r="H138" s="36">
        <v>-76.676666669999989</v>
      </c>
      <c r="I138" s="37">
        <v>4.8980833300000004</v>
      </c>
      <c r="J138" s="22">
        <v>18.47262910275095</v>
      </c>
      <c r="K138" s="23">
        <v>18.576244278733419</v>
      </c>
      <c r="L138" s="23">
        <v>18.59107193614819</v>
      </c>
      <c r="M138" s="23">
        <v>18.5753985425374</v>
      </c>
      <c r="N138" s="23">
        <v>18.667164383608672</v>
      </c>
      <c r="O138" s="23">
        <v>18.45924953207712</v>
      </c>
      <c r="P138" s="23">
        <v>18.327001323310881</v>
      </c>
      <c r="Q138" s="23">
        <v>18.359182036477922</v>
      </c>
      <c r="R138" s="23">
        <v>18.28920711246251</v>
      </c>
      <c r="S138" s="23">
        <v>18.025142042803481</v>
      </c>
      <c r="T138" s="23">
        <v>18.057399337571749</v>
      </c>
      <c r="U138" s="23">
        <v>18.386568961249878</v>
      </c>
      <c r="V138" s="38">
        <v>18.398854882477679</v>
      </c>
      <c r="W138" s="39">
        <v>301</v>
      </c>
      <c r="X138" s="24">
        <v>0.83611111111111114</v>
      </c>
    </row>
    <row r="139" spans="1:24" ht="13.9" customHeight="1" x14ac:dyDescent="0.2">
      <c r="A139" s="10">
        <v>56015030</v>
      </c>
      <c r="B139" s="35" t="s">
        <v>445</v>
      </c>
      <c r="C139" s="35" t="s">
        <v>604</v>
      </c>
      <c r="D139" s="35" t="s">
        <v>605</v>
      </c>
      <c r="E139" s="21" t="s">
        <v>87</v>
      </c>
      <c r="F139" s="35">
        <v>1</v>
      </c>
      <c r="G139" s="35">
        <v>30</v>
      </c>
      <c r="H139" s="36">
        <v>-77.502777780000002</v>
      </c>
      <c r="I139" s="37">
        <v>5.5708333300000001</v>
      </c>
      <c r="J139" s="22">
        <v>23.160969022017412</v>
      </c>
      <c r="K139" s="23">
        <v>23.334365453618329</v>
      </c>
      <c r="L139" s="23">
        <v>23.305419602026941</v>
      </c>
      <c r="M139" s="23">
        <v>23.52437037037037</v>
      </c>
      <c r="N139" s="23">
        <v>23.415164256581392</v>
      </c>
      <c r="O139" s="23">
        <v>23.118265827403761</v>
      </c>
      <c r="P139" s="23">
        <v>23.174921010682969</v>
      </c>
      <c r="Q139" s="23">
        <v>23.295649428230071</v>
      </c>
      <c r="R139" s="23">
        <v>23.099909182771249</v>
      </c>
      <c r="S139" s="23">
        <v>22.942658976963131</v>
      </c>
      <c r="T139" s="23">
        <v>23.05136363916807</v>
      </c>
      <c r="U139" s="23">
        <v>23.097658303464751</v>
      </c>
      <c r="V139" s="38">
        <v>23.210059589441538</v>
      </c>
      <c r="W139" s="39">
        <v>113</v>
      </c>
      <c r="X139" s="24">
        <v>0.94166666666666665</v>
      </c>
    </row>
    <row r="140" spans="1:24" ht="13.9" customHeight="1" x14ac:dyDescent="0.2">
      <c r="A140" s="10">
        <v>11045010</v>
      </c>
      <c r="B140" s="35" t="s">
        <v>444</v>
      </c>
      <c r="C140" s="35" t="s">
        <v>86</v>
      </c>
      <c r="D140" s="35" t="s">
        <v>88</v>
      </c>
      <c r="E140" s="21" t="s">
        <v>87</v>
      </c>
      <c r="F140" s="35">
        <v>1</v>
      </c>
      <c r="G140" s="35">
        <v>75</v>
      </c>
      <c r="H140" s="36">
        <v>-76.643777779999994</v>
      </c>
      <c r="I140" s="37">
        <v>5.69055556</v>
      </c>
      <c r="J140" s="22">
        <v>23.536210604375231</v>
      </c>
      <c r="K140" s="23">
        <v>23.585703807091161</v>
      </c>
      <c r="L140" s="23">
        <v>23.643321344703988</v>
      </c>
      <c r="M140" s="23">
        <v>23.682812534209081</v>
      </c>
      <c r="N140" s="23">
        <v>23.600510273228231</v>
      </c>
      <c r="O140" s="23">
        <v>23.381196987713039</v>
      </c>
      <c r="P140" s="23">
        <v>23.205806451612911</v>
      </c>
      <c r="Q140" s="23">
        <v>23.179136204978711</v>
      </c>
      <c r="R140" s="23">
        <v>23.200678160919541</v>
      </c>
      <c r="S140" s="23">
        <v>23.19207267334075</v>
      </c>
      <c r="T140" s="23">
        <v>23.20806130268199</v>
      </c>
      <c r="U140" s="23">
        <v>23.404857654889909</v>
      </c>
      <c r="V140" s="38">
        <v>23.40169733331205</v>
      </c>
      <c r="W140" s="39">
        <v>354</v>
      </c>
      <c r="X140" s="24">
        <v>0.98333333333333328</v>
      </c>
    </row>
    <row r="141" spans="1:24" ht="13.9" customHeight="1" x14ac:dyDescent="0.2">
      <c r="A141" s="10">
        <v>11035020</v>
      </c>
      <c r="B141" s="35" t="s">
        <v>446</v>
      </c>
      <c r="C141" s="35" t="s">
        <v>606</v>
      </c>
      <c r="D141" s="35" t="s">
        <v>607</v>
      </c>
      <c r="E141" s="21" t="s">
        <v>87</v>
      </c>
      <c r="F141" s="35">
        <v>1</v>
      </c>
      <c r="G141" s="35">
        <v>53</v>
      </c>
      <c r="H141" s="36">
        <v>-76.74972222000001</v>
      </c>
      <c r="I141" s="37">
        <v>5.6261666699999999</v>
      </c>
      <c r="J141" s="22">
        <v>23.59999551657863</v>
      </c>
      <c r="K141" s="23">
        <v>23.552276670905311</v>
      </c>
      <c r="L141" s="23">
        <v>23.654884192312441</v>
      </c>
      <c r="M141" s="23">
        <v>23.773122647911251</v>
      </c>
      <c r="N141" s="23">
        <v>23.77434107064196</v>
      </c>
      <c r="O141" s="23">
        <v>23.55119949725313</v>
      </c>
      <c r="P141" s="23">
        <v>23.406104319974052</v>
      </c>
      <c r="Q141" s="23">
        <v>23.37662004094954</v>
      </c>
      <c r="R141" s="23">
        <v>23.499528715360139</v>
      </c>
      <c r="S141" s="23">
        <v>23.293004305783619</v>
      </c>
      <c r="T141" s="23">
        <v>23.40624722914378</v>
      </c>
      <c r="U141" s="23">
        <v>23.436000571143001</v>
      </c>
      <c r="V141" s="38">
        <v>23.526943731496399</v>
      </c>
      <c r="W141" s="39">
        <v>116</v>
      </c>
      <c r="X141" s="24">
        <v>0.96666666666666667</v>
      </c>
    </row>
    <row r="142" spans="1:24" ht="13.9" customHeight="1" x14ac:dyDescent="0.2">
      <c r="A142" s="10">
        <v>13075030</v>
      </c>
      <c r="B142" s="35" t="s">
        <v>450</v>
      </c>
      <c r="C142" s="35" t="s">
        <v>608</v>
      </c>
      <c r="D142" s="35" t="s">
        <v>609</v>
      </c>
      <c r="E142" s="21" t="s">
        <v>46</v>
      </c>
      <c r="F142" s="35">
        <v>2</v>
      </c>
      <c r="G142" s="35">
        <v>20</v>
      </c>
      <c r="H142" s="36">
        <v>-75.801888890000001</v>
      </c>
      <c r="I142" s="37">
        <v>8.8395277799999992</v>
      </c>
      <c r="J142" s="22">
        <v>22.98322580645161</v>
      </c>
      <c r="K142" s="23">
        <v>23.360048804962599</v>
      </c>
      <c r="L142" s="23">
        <v>24.07838709677419</v>
      </c>
      <c r="M142" s="23">
        <v>24.582666666666661</v>
      </c>
      <c r="N142" s="23">
        <v>24.503612903225811</v>
      </c>
      <c r="O142" s="23">
        <v>24.228873563218389</v>
      </c>
      <c r="P142" s="23">
        <v>23.978387096774199</v>
      </c>
      <c r="Q142" s="23">
        <v>23.834526881720429</v>
      </c>
      <c r="R142" s="23">
        <v>23.735022988505751</v>
      </c>
      <c r="S142" s="23">
        <v>23.804109916367981</v>
      </c>
      <c r="T142" s="23">
        <v>23.91555555555556</v>
      </c>
      <c r="U142" s="23">
        <v>23.769808841099159</v>
      </c>
      <c r="V142" s="38">
        <v>23.897852176776858</v>
      </c>
      <c r="W142" s="39">
        <v>117</v>
      </c>
      <c r="X142" s="24">
        <v>0.97499999999999998</v>
      </c>
    </row>
    <row r="143" spans="1:24" ht="13.9" customHeight="1" x14ac:dyDescent="0.2">
      <c r="A143" s="10">
        <v>13075010</v>
      </c>
      <c r="B143" s="35" t="s">
        <v>445</v>
      </c>
      <c r="C143" s="35" t="s">
        <v>123</v>
      </c>
      <c r="D143" s="35" t="s">
        <v>610</v>
      </c>
      <c r="E143" s="21" t="s">
        <v>46</v>
      </c>
      <c r="F143" s="35">
        <v>2</v>
      </c>
      <c r="G143" s="35">
        <v>20</v>
      </c>
      <c r="H143" s="36">
        <v>-75.622083329999995</v>
      </c>
      <c r="I143" s="37">
        <v>9.1507500000000004</v>
      </c>
      <c r="J143" s="22">
        <v>22.582847636703921</v>
      </c>
      <c r="K143" s="23">
        <v>22.959181353767569</v>
      </c>
      <c r="L143" s="23">
        <v>23.21071346175351</v>
      </c>
      <c r="M143" s="23">
        <v>23.493136659218699</v>
      </c>
      <c r="N143" s="23">
        <v>23.644423743951961</v>
      </c>
      <c r="O143" s="23">
        <v>23.252669733194971</v>
      </c>
      <c r="P143" s="23">
        <v>23.278211411491501</v>
      </c>
      <c r="Q143" s="23">
        <v>23.0554149406661</v>
      </c>
      <c r="R143" s="23">
        <v>22.988656597627109</v>
      </c>
      <c r="S143" s="23">
        <v>23.095211611097891</v>
      </c>
      <c r="T143" s="23">
        <v>23.16018045977011</v>
      </c>
      <c r="U143" s="23">
        <v>23.109245933278189</v>
      </c>
      <c r="V143" s="38">
        <v>23.15249112854346</v>
      </c>
      <c r="W143" s="39">
        <v>336</v>
      </c>
      <c r="X143" s="24">
        <v>0.93333333333333335</v>
      </c>
    </row>
    <row r="144" spans="1:24" ht="13.9" customHeight="1" x14ac:dyDescent="0.2">
      <c r="A144" s="10">
        <v>13075020</v>
      </c>
      <c r="B144" s="35" t="s">
        <v>445</v>
      </c>
      <c r="C144" s="35" t="s">
        <v>125</v>
      </c>
      <c r="D144" s="35" t="s">
        <v>611</v>
      </c>
      <c r="E144" s="21" t="s">
        <v>46</v>
      </c>
      <c r="F144" s="35">
        <v>2</v>
      </c>
      <c r="G144" s="35">
        <v>40</v>
      </c>
      <c r="H144" s="36">
        <v>-75.582222220000006</v>
      </c>
      <c r="I144" s="37">
        <v>8.9138888900000008</v>
      </c>
      <c r="J144" s="22">
        <v>22.935426673680489</v>
      </c>
      <c r="K144" s="23">
        <v>23.321806837413259</v>
      </c>
      <c r="L144" s="23">
        <v>23.997003822893891</v>
      </c>
      <c r="M144" s="23">
        <v>24.256166757890899</v>
      </c>
      <c r="N144" s="23">
        <v>24.101932752803169</v>
      </c>
      <c r="O144" s="23">
        <v>23.72178039287234</v>
      </c>
      <c r="P144" s="23">
        <v>23.564830290111161</v>
      </c>
      <c r="Q144" s="23">
        <v>23.345875713891839</v>
      </c>
      <c r="R144" s="23">
        <v>23.250966831086199</v>
      </c>
      <c r="S144" s="23">
        <v>23.491991397849461</v>
      </c>
      <c r="T144" s="23">
        <v>23.448649589490969</v>
      </c>
      <c r="U144" s="23">
        <v>23.276509511993389</v>
      </c>
      <c r="V144" s="38">
        <v>23.559411714331421</v>
      </c>
      <c r="W144" s="39">
        <v>322</v>
      </c>
      <c r="X144" s="24">
        <v>0.89444444444444449</v>
      </c>
    </row>
    <row r="145" spans="1:24" ht="13.9" customHeight="1" x14ac:dyDescent="0.2">
      <c r="A145" s="10">
        <v>13085010</v>
      </c>
      <c r="B145" s="35" t="s">
        <v>471</v>
      </c>
      <c r="C145" s="35" t="s">
        <v>612</v>
      </c>
      <c r="D145" s="35" t="s">
        <v>613</v>
      </c>
      <c r="E145" s="21" t="s">
        <v>46</v>
      </c>
      <c r="F145" s="35">
        <v>2</v>
      </c>
      <c r="G145" s="35">
        <v>20</v>
      </c>
      <c r="H145" s="36">
        <v>-75.892777780000003</v>
      </c>
      <c r="I145" s="37">
        <v>9.2972222200000001</v>
      </c>
      <c r="J145" s="22">
        <v>23.75411286126484</v>
      </c>
      <c r="K145" s="23">
        <v>23.993719549748931</v>
      </c>
      <c r="L145" s="23">
        <v>24.694985574878281</v>
      </c>
      <c r="M145" s="23">
        <v>25.088401352208191</v>
      </c>
      <c r="N145" s="23">
        <v>24.94920431996346</v>
      </c>
      <c r="O145" s="23">
        <v>24.615742000097441</v>
      </c>
      <c r="P145" s="23">
        <v>24.398189445560408</v>
      </c>
      <c r="Q145" s="23">
        <v>24.256980641565821</v>
      </c>
      <c r="R145" s="23">
        <v>24.230487330627909</v>
      </c>
      <c r="S145" s="23">
        <v>24.336280742349981</v>
      </c>
      <c r="T145" s="23">
        <v>24.278331284370068</v>
      </c>
      <c r="U145" s="23">
        <v>24.286763223250059</v>
      </c>
      <c r="V145" s="38">
        <v>24.406933193823779</v>
      </c>
      <c r="W145" s="39">
        <v>298</v>
      </c>
      <c r="X145" s="24">
        <v>0.82777777777777772</v>
      </c>
    </row>
    <row r="146" spans="1:24" ht="13.9" customHeight="1" x14ac:dyDescent="0.2">
      <c r="A146" s="10">
        <v>13085050</v>
      </c>
      <c r="B146" s="35" t="s">
        <v>471</v>
      </c>
      <c r="C146" s="35" t="s">
        <v>614</v>
      </c>
      <c r="D146" s="35" t="s">
        <v>613</v>
      </c>
      <c r="E146" s="21" t="s">
        <v>46</v>
      </c>
      <c r="F146" s="35">
        <v>2</v>
      </c>
      <c r="G146" s="35">
        <v>30</v>
      </c>
      <c r="H146" s="36">
        <v>-75.844416669999987</v>
      </c>
      <c r="I146" s="37">
        <v>9.2527222200000008</v>
      </c>
      <c r="J146" s="22">
        <v>23.211640211640219</v>
      </c>
      <c r="K146" s="23">
        <v>22.12055913894423</v>
      </c>
      <c r="L146" s="23">
        <v>22.591710200392999</v>
      </c>
      <c r="M146" s="23">
        <v>22.937557185883762</v>
      </c>
      <c r="N146" s="23">
        <v>22.727957134666589</v>
      </c>
      <c r="O146" s="23">
        <v>22.196809537551641</v>
      </c>
      <c r="P146" s="23">
        <v>22.003074067994621</v>
      </c>
      <c r="Q146" s="23">
        <v>21.86887312825678</v>
      </c>
      <c r="R146" s="23">
        <v>21.36264111533977</v>
      </c>
      <c r="S146" s="23">
        <v>21.551164351653782</v>
      </c>
      <c r="T146" s="23">
        <v>21.911541101103431</v>
      </c>
      <c r="U146" s="23">
        <v>22.271802647940898</v>
      </c>
      <c r="V146" s="38">
        <v>22.229610818447391</v>
      </c>
      <c r="W146" s="39">
        <v>105</v>
      </c>
      <c r="X146" s="24">
        <v>0.875</v>
      </c>
    </row>
    <row r="147" spans="1:24" ht="13.9" customHeight="1" x14ac:dyDescent="0.2">
      <c r="A147" s="10">
        <v>25025160</v>
      </c>
      <c r="B147" s="35" t="s">
        <v>445</v>
      </c>
      <c r="C147" s="35" t="s">
        <v>615</v>
      </c>
      <c r="D147" s="35" t="s">
        <v>132</v>
      </c>
      <c r="E147" s="21" t="s">
        <v>46</v>
      </c>
      <c r="F147" s="35">
        <v>2</v>
      </c>
      <c r="G147" s="35">
        <v>50</v>
      </c>
      <c r="H147" s="36">
        <v>-75.402777779999994</v>
      </c>
      <c r="I147" s="37">
        <v>8.0038888900000007</v>
      </c>
      <c r="J147" s="22">
        <v>23.061039141207679</v>
      </c>
      <c r="K147" s="23">
        <v>23.028547814042071</v>
      </c>
      <c r="L147" s="23">
        <v>23.27996276482002</v>
      </c>
      <c r="M147" s="23">
        <v>23.22803142410277</v>
      </c>
      <c r="N147" s="23">
        <v>23.091781807828809</v>
      </c>
      <c r="O147" s="23">
        <v>22.96892344006568</v>
      </c>
      <c r="P147" s="23">
        <v>22.959666935925281</v>
      </c>
      <c r="Q147" s="23">
        <v>22.8974740893762</v>
      </c>
      <c r="R147" s="23">
        <v>22.870691637545079</v>
      </c>
      <c r="S147" s="23">
        <v>22.959836362577601</v>
      </c>
      <c r="T147" s="23">
        <v>23.13609948002189</v>
      </c>
      <c r="U147" s="23">
        <v>23.16657962644614</v>
      </c>
      <c r="V147" s="38">
        <v>23.0540528769966</v>
      </c>
      <c r="W147" s="39">
        <v>285</v>
      </c>
      <c r="X147" s="24">
        <v>0.79166666666666663</v>
      </c>
    </row>
    <row r="148" spans="1:24" ht="13.9" customHeight="1" x14ac:dyDescent="0.2">
      <c r="A148" s="10">
        <v>13035501</v>
      </c>
      <c r="B148" s="35" t="s">
        <v>444</v>
      </c>
      <c r="C148" s="11" t="s">
        <v>45</v>
      </c>
      <c r="D148" s="35" t="s">
        <v>47</v>
      </c>
      <c r="E148" s="21" t="s">
        <v>46</v>
      </c>
      <c r="F148" s="35">
        <v>2</v>
      </c>
      <c r="G148" s="35">
        <v>20</v>
      </c>
      <c r="H148" s="36">
        <v>-75.825138890000005</v>
      </c>
      <c r="I148" s="37">
        <v>8.8258333300000018</v>
      </c>
      <c r="J148" s="22">
        <v>22.55774249982387</v>
      </c>
      <c r="K148" s="23">
        <v>22.860264781144782</v>
      </c>
      <c r="L148" s="23">
        <v>23.22870172249371</v>
      </c>
      <c r="M148" s="23">
        <v>23.76511753723657</v>
      </c>
      <c r="N148" s="23">
        <v>23.769960023277779</v>
      </c>
      <c r="O148" s="23">
        <v>23.55646704708705</v>
      </c>
      <c r="P148" s="23">
        <v>23.380527878729861</v>
      </c>
      <c r="Q148" s="23">
        <v>23.252867103531361</v>
      </c>
      <c r="R148" s="23">
        <v>23.168302150308641</v>
      </c>
      <c r="S148" s="23">
        <v>23.215266882127882</v>
      </c>
      <c r="T148" s="23">
        <v>23.1987754490683</v>
      </c>
      <c r="U148" s="23">
        <v>23.025817130115801</v>
      </c>
      <c r="V148" s="38">
        <v>23.248317517078799</v>
      </c>
      <c r="W148" s="39">
        <v>310</v>
      </c>
      <c r="X148" s="24">
        <v>0.86111111111111116</v>
      </c>
    </row>
    <row r="149" spans="1:24" ht="13.9" customHeight="1" x14ac:dyDescent="0.2">
      <c r="A149" s="10">
        <v>13055030</v>
      </c>
      <c r="B149" s="35" t="s">
        <v>445</v>
      </c>
      <c r="C149" s="35" t="s">
        <v>616</v>
      </c>
      <c r="D149" s="35" t="s">
        <v>47</v>
      </c>
      <c r="E149" s="21" t="s">
        <v>46</v>
      </c>
      <c r="F149" s="35">
        <v>2</v>
      </c>
      <c r="G149" s="35">
        <v>30</v>
      </c>
      <c r="H149" s="36">
        <v>-75.972499999999997</v>
      </c>
      <c r="I149" s="37">
        <v>8.6591666700000012</v>
      </c>
      <c r="J149" s="22">
        <v>22.091669496321451</v>
      </c>
      <c r="K149" s="23">
        <v>22.358192537045539</v>
      </c>
      <c r="L149" s="23">
        <v>22.797558690943159</v>
      </c>
      <c r="M149" s="23">
        <v>23.372120641359999</v>
      </c>
      <c r="N149" s="23">
        <v>23.461012017710321</v>
      </c>
      <c r="O149" s="23">
        <v>23.307958079783639</v>
      </c>
      <c r="P149" s="23">
        <v>23.2464887826895</v>
      </c>
      <c r="Q149" s="23">
        <v>23.248437959388429</v>
      </c>
      <c r="R149" s="23">
        <v>23.244475574712641</v>
      </c>
      <c r="S149" s="23">
        <v>23.201989247311829</v>
      </c>
      <c r="T149" s="23">
        <v>23.107413793103451</v>
      </c>
      <c r="U149" s="23">
        <v>22.733825064453249</v>
      </c>
      <c r="V149" s="38">
        <v>23.014261823735271</v>
      </c>
      <c r="W149" s="39">
        <v>212</v>
      </c>
      <c r="X149" s="24">
        <v>0.8833333333333333</v>
      </c>
    </row>
    <row r="150" spans="1:24" ht="13.9" customHeight="1" x14ac:dyDescent="0.2">
      <c r="A150" s="10">
        <v>13065020</v>
      </c>
      <c r="B150" s="35" t="s">
        <v>445</v>
      </c>
      <c r="C150" s="35" t="s">
        <v>617</v>
      </c>
      <c r="D150" s="35" t="s">
        <v>47</v>
      </c>
      <c r="E150" s="21" t="s">
        <v>46</v>
      </c>
      <c r="F150" s="35">
        <v>2</v>
      </c>
      <c r="G150" s="35">
        <v>25</v>
      </c>
      <c r="H150" s="36">
        <v>-75.88</v>
      </c>
      <c r="I150" s="37">
        <v>8.41</v>
      </c>
      <c r="J150" s="22">
        <v>23.29407489803485</v>
      </c>
      <c r="K150" s="23">
        <v>23.245944170771761</v>
      </c>
      <c r="L150" s="23">
        <v>23.50457320099256</v>
      </c>
      <c r="M150" s="23">
        <v>23.513625250866632</v>
      </c>
      <c r="N150" s="23">
        <v>23.54372871453517</v>
      </c>
      <c r="O150" s="23">
        <v>23.136181381836561</v>
      </c>
      <c r="P150" s="23">
        <v>23.044071931776049</v>
      </c>
      <c r="Q150" s="23">
        <v>22.78071767490944</v>
      </c>
      <c r="R150" s="23">
        <v>23.100802043422739</v>
      </c>
      <c r="S150" s="23">
        <v>23.038544885263459</v>
      </c>
      <c r="T150" s="23">
        <v>23.23319047619048</v>
      </c>
      <c r="U150" s="23">
        <v>23.433000556173528</v>
      </c>
      <c r="V150" s="38">
        <v>23.239037932064431</v>
      </c>
      <c r="W150" s="39">
        <v>111</v>
      </c>
      <c r="X150" s="24">
        <v>0.92500000000000004</v>
      </c>
    </row>
    <row r="151" spans="1:24" ht="13.9" customHeight="1" x14ac:dyDescent="0.2">
      <c r="A151" s="10">
        <v>13075050</v>
      </c>
      <c r="B151" s="35" t="s">
        <v>450</v>
      </c>
      <c r="C151" s="35" t="s">
        <v>618</v>
      </c>
      <c r="D151" s="35" t="s">
        <v>47</v>
      </c>
      <c r="E151" s="21" t="s">
        <v>46</v>
      </c>
      <c r="F151" s="35">
        <v>2</v>
      </c>
      <c r="G151" s="35">
        <v>15</v>
      </c>
      <c r="H151" s="36">
        <v>-75.861527780000003</v>
      </c>
      <c r="I151" s="37">
        <v>8.7938888900000016</v>
      </c>
      <c r="J151" s="22">
        <v>23.025452611867639</v>
      </c>
      <c r="K151" s="23">
        <v>23.379928845101261</v>
      </c>
      <c r="L151" s="23">
        <v>24.100677803379408</v>
      </c>
      <c r="M151" s="23">
        <v>24.230287812442981</v>
      </c>
      <c r="N151" s="23">
        <v>24.013789627831901</v>
      </c>
      <c r="O151" s="23">
        <v>23.840980514504651</v>
      </c>
      <c r="P151" s="23">
        <v>23.765867107802599</v>
      </c>
      <c r="Q151" s="23">
        <v>23.551287878787878</v>
      </c>
      <c r="R151" s="23">
        <v>23.271041066768209</v>
      </c>
      <c r="S151" s="23">
        <v>23.697186833106748</v>
      </c>
      <c r="T151" s="23">
        <v>23.49323312702623</v>
      </c>
      <c r="U151" s="23">
        <v>23.431550282206569</v>
      </c>
      <c r="V151" s="38">
        <v>23.650106959235501</v>
      </c>
      <c r="W151" s="39">
        <v>108</v>
      </c>
      <c r="X151" s="24">
        <v>0.9</v>
      </c>
    </row>
    <row r="152" spans="1:24" ht="13.9" customHeight="1" x14ac:dyDescent="0.2">
      <c r="A152" s="10">
        <v>25015010</v>
      </c>
      <c r="B152" s="35" t="s">
        <v>445</v>
      </c>
      <c r="C152" s="35" t="s">
        <v>619</v>
      </c>
      <c r="D152" s="35" t="s">
        <v>134</v>
      </c>
      <c r="E152" s="21" t="s">
        <v>46</v>
      </c>
      <c r="F152" s="35">
        <v>2</v>
      </c>
      <c r="G152" s="35">
        <v>170</v>
      </c>
      <c r="H152" s="36">
        <v>-75.632277779999995</v>
      </c>
      <c r="I152" s="37">
        <v>8.1807777799999997</v>
      </c>
      <c r="J152" s="22">
        <v>22.804789823628418</v>
      </c>
      <c r="K152" s="23">
        <v>23.04109250978906</v>
      </c>
      <c r="L152" s="23">
        <v>22.78049581015944</v>
      </c>
      <c r="M152" s="23">
        <v>22.693303018820259</v>
      </c>
      <c r="N152" s="23">
        <v>22.68544649382514</v>
      </c>
      <c r="O152" s="23">
        <v>22.616610804287301</v>
      </c>
      <c r="P152" s="23">
        <v>22.570541214659151</v>
      </c>
      <c r="Q152" s="23">
        <v>22.570728135731009</v>
      </c>
      <c r="R152" s="23">
        <v>22.466643634378229</v>
      </c>
      <c r="S152" s="23">
        <v>22.445648966991161</v>
      </c>
      <c r="T152" s="23">
        <v>22.671534598030892</v>
      </c>
      <c r="U152" s="23">
        <v>22.71152551724138</v>
      </c>
      <c r="V152" s="38">
        <v>22.671530043961791</v>
      </c>
      <c r="W152" s="39">
        <v>297</v>
      </c>
      <c r="X152" s="24">
        <v>0.82499999999999996</v>
      </c>
    </row>
    <row r="153" spans="1:24" ht="13.9" customHeight="1" x14ac:dyDescent="0.2">
      <c r="A153" s="10">
        <v>25025190</v>
      </c>
      <c r="B153" s="35" t="s">
        <v>445</v>
      </c>
      <c r="C153" s="35" t="s">
        <v>134</v>
      </c>
      <c r="D153" s="35" t="s">
        <v>134</v>
      </c>
      <c r="E153" s="21" t="s">
        <v>46</v>
      </c>
      <c r="F153" s="35">
        <v>2</v>
      </c>
      <c r="G153" s="35">
        <v>90</v>
      </c>
      <c r="H153" s="36">
        <v>-75.583722219999999</v>
      </c>
      <c r="I153" s="37">
        <v>8.399333330000001</v>
      </c>
      <c r="J153" s="22">
        <v>23.14162379781834</v>
      </c>
      <c r="K153" s="23">
        <v>23.40518804066549</v>
      </c>
      <c r="L153" s="23">
        <v>23.751556661634101</v>
      </c>
      <c r="M153" s="23">
        <v>24.08184333759046</v>
      </c>
      <c r="N153" s="23">
        <v>23.8749974527841</v>
      </c>
      <c r="O153" s="23">
        <v>23.609795231352589</v>
      </c>
      <c r="P153" s="23">
        <v>23.449985001525519</v>
      </c>
      <c r="Q153" s="23">
        <v>23.226657183195002</v>
      </c>
      <c r="R153" s="23">
        <v>23.264589393806901</v>
      </c>
      <c r="S153" s="23">
        <v>23.385134996557031</v>
      </c>
      <c r="T153" s="23">
        <v>23.482152105732311</v>
      </c>
      <c r="U153" s="23">
        <v>23.29311832320905</v>
      </c>
      <c r="V153" s="38">
        <v>23.497220127155909</v>
      </c>
      <c r="W153" s="39">
        <v>308</v>
      </c>
      <c r="X153" s="24">
        <v>0.85555555555555551</v>
      </c>
    </row>
    <row r="154" spans="1:24" ht="13.9" customHeight="1" x14ac:dyDescent="0.2">
      <c r="A154" s="10">
        <v>12045020</v>
      </c>
      <c r="B154" s="35" t="s">
        <v>445</v>
      </c>
      <c r="C154" s="35" t="s">
        <v>620</v>
      </c>
      <c r="D154" s="35" t="s">
        <v>120</v>
      </c>
      <c r="E154" s="21" t="s">
        <v>46</v>
      </c>
      <c r="F154" s="35">
        <v>2</v>
      </c>
      <c r="G154" s="35">
        <v>15</v>
      </c>
      <c r="H154" s="36">
        <v>-76.224444439999999</v>
      </c>
      <c r="I154" s="37">
        <v>9.0711111100000004</v>
      </c>
      <c r="J154" s="22">
        <v>24.32234539095111</v>
      </c>
      <c r="K154" s="23">
        <v>24.860865295777021</v>
      </c>
      <c r="L154" s="23">
        <v>25.200951460376579</v>
      </c>
      <c r="M154" s="23">
        <v>25.38634183543148</v>
      </c>
      <c r="N154" s="23">
        <v>25.014384556756639</v>
      </c>
      <c r="O154" s="23">
        <v>24.605614681271181</v>
      </c>
      <c r="P154" s="23">
        <v>24.432895496420521</v>
      </c>
      <c r="Q154" s="23">
        <v>24.242887721454171</v>
      </c>
      <c r="R154" s="23">
        <v>24.10281124033644</v>
      </c>
      <c r="S154" s="23">
        <v>24.022828175927401</v>
      </c>
      <c r="T154" s="23">
        <v>24.114867982166839</v>
      </c>
      <c r="U154" s="23">
        <v>24.266262565761611</v>
      </c>
      <c r="V154" s="38">
        <v>24.547754700219251</v>
      </c>
      <c r="W154" s="39">
        <v>304</v>
      </c>
      <c r="X154" s="24">
        <v>0.84444444444444444</v>
      </c>
    </row>
    <row r="155" spans="1:24" ht="13.9" customHeight="1" x14ac:dyDescent="0.2">
      <c r="A155" s="10">
        <v>25025170</v>
      </c>
      <c r="B155" s="35" t="s">
        <v>445</v>
      </c>
      <c r="C155" s="35" t="s">
        <v>621</v>
      </c>
      <c r="D155" s="35" t="s">
        <v>622</v>
      </c>
      <c r="E155" s="21" t="s">
        <v>46</v>
      </c>
      <c r="F155" s="35">
        <v>2</v>
      </c>
      <c r="G155" s="35">
        <v>125</v>
      </c>
      <c r="H155" s="36">
        <v>-75.498833329999997</v>
      </c>
      <c r="I155" s="37">
        <v>8.7408611100000009</v>
      </c>
      <c r="J155" s="22">
        <v>23.11647622718051</v>
      </c>
      <c r="K155" s="23">
        <v>23.464132883032089</v>
      </c>
      <c r="L155" s="23">
        <v>23.792547892949951</v>
      </c>
      <c r="M155" s="23">
        <v>24.11471205723668</v>
      </c>
      <c r="N155" s="23">
        <v>23.937528666968781</v>
      </c>
      <c r="O155" s="23">
        <v>23.670171782240761</v>
      </c>
      <c r="P155" s="23">
        <v>23.475925250278081</v>
      </c>
      <c r="Q155" s="23">
        <v>23.3228012131238</v>
      </c>
      <c r="R155" s="23">
        <v>23.207884219563191</v>
      </c>
      <c r="S155" s="23">
        <v>23.270967890248421</v>
      </c>
      <c r="T155" s="23">
        <v>23.395164203612481</v>
      </c>
      <c r="U155" s="23">
        <v>23.40641067853171</v>
      </c>
      <c r="V155" s="38">
        <v>23.514560247080539</v>
      </c>
      <c r="W155" s="39">
        <v>310</v>
      </c>
      <c r="X155" s="24">
        <v>0.86111111111111116</v>
      </c>
    </row>
    <row r="156" spans="1:24" ht="13.9" customHeight="1" x14ac:dyDescent="0.2">
      <c r="A156" s="10">
        <v>13085030</v>
      </c>
      <c r="B156" s="35" t="s">
        <v>445</v>
      </c>
      <c r="C156" s="35" t="s">
        <v>623</v>
      </c>
      <c r="D156" s="35" t="s">
        <v>623</v>
      </c>
      <c r="E156" s="21" t="s">
        <v>46</v>
      </c>
      <c r="F156" s="35">
        <v>2</v>
      </c>
      <c r="G156" s="35">
        <v>22</v>
      </c>
      <c r="H156" s="36">
        <v>-75.95</v>
      </c>
      <c r="I156" s="37">
        <v>9.3699999999999992</v>
      </c>
      <c r="J156" s="22">
        <v>22.457288195675289</v>
      </c>
      <c r="K156" s="23">
        <v>22.494151344374838</v>
      </c>
      <c r="L156" s="23">
        <v>22.58713026667338</v>
      </c>
      <c r="M156" s="23">
        <v>22.673889564151381</v>
      </c>
      <c r="N156" s="23">
        <v>22.540765427568939</v>
      </c>
      <c r="O156" s="23">
        <v>22.424737856064748</v>
      </c>
      <c r="P156" s="23">
        <v>22.25813524492235</v>
      </c>
      <c r="Q156" s="23">
        <v>22.153487235738339</v>
      </c>
      <c r="R156" s="23">
        <v>22.241141302681989</v>
      </c>
      <c r="S156" s="23">
        <v>22.097697453825369</v>
      </c>
      <c r="T156" s="23">
        <v>22.31519115826703</v>
      </c>
      <c r="U156" s="23">
        <v>22.332196521267019</v>
      </c>
      <c r="V156" s="38">
        <v>22.38131763093422</v>
      </c>
      <c r="W156" s="39">
        <v>310</v>
      </c>
      <c r="X156" s="24">
        <v>0.86111111111111116</v>
      </c>
    </row>
    <row r="157" spans="1:24" ht="13.9" customHeight="1" x14ac:dyDescent="0.2">
      <c r="A157" s="10">
        <v>13015040</v>
      </c>
      <c r="B157" s="35" t="s">
        <v>471</v>
      </c>
      <c r="C157" s="35" t="s">
        <v>121</v>
      </c>
      <c r="D157" s="35" t="s">
        <v>122</v>
      </c>
      <c r="E157" s="21" t="s">
        <v>46</v>
      </c>
      <c r="F157" s="35">
        <v>2</v>
      </c>
      <c r="G157" s="35">
        <v>300</v>
      </c>
      <c r="H157" s="36">
        <v>-76.20305556000001</v>
      </c>
      <c r="I157" s="37">
        <v>8.0141666699999998</v>
      </c>
      <c r="J157" s="22">
        <v>23.782985945583281</v>
      </c>
      <c r="K157" s="23">
        <v>24.093985078523009</v>
      </c>
      <c r="L157" s="23">
        <v>24.21445587984298</v>
      </c>
      <c r="M157" s="23">
        <v>24.404485966893091</v>
      </c>
      <c r="N157" s="23">
        <v>24.02568317792517</v>
      </c>
      <c r="O157" s="23">
        <v>24.069480751687649</v>
      </c>
      <c r="P157" s="23">
        <v>23.70475716371773</v>
      </c>
      <c r="Q157" s="23">
        <v>23.780114118567958</v>
      </c>
      <c r="R157" s="23">
        <v>23.744525938089151</v>
      </c>
      <c r="S157" s="23">
        <v>23.71034092848609</v>
      </c>
      <c r="T157" s="23">
        <v>23.842453703703701</v>
      </c>
      <c r="U157" s="23">
        <v>23.849174347158218</v>
      </c>
      <c r="V157" s="38">
        <v>23.935203583348169</v>
      </c>
      <c r="W157" s="39">
        <v>107</v>
      </c>
      <c r="X157" s="24">
        <v>0.89166666666666672</v>
      </c>
    </row>
    <row r="158" spans="1:24" ht="13.9" customHeight="1" x14ac:dyDescent="0.2">
      <c r="A158" s="10">
        <v>21205660</v>
      </c>
      <c r="B158" s="35" t="s">
        <v>471</v>
      </c>
      <c r="C158" s="35" t="s">
        <v>388</v>
      </c>
      <c r="D158" s="35" t="s">
        <v>389</v>
      </c>
      <c r="E158" s="21" t="s">
        <v>73</v>
      </c>
      <c r="F158" s="35">
        <v>11</v>
      </c>
      <c r="G158" s="35">
        <v>810</v>
      </c>
      <c r="H158" s="36">
        <v>-74.526611110000005</v>
      </c>
      <c r="I158" s="37">
        <v>4.5818888900000001</v>
      </c>
      <c r="J158" s="22">
        <v>19.725904372124699</v>
      </c>
      <c r="K158" s="23">
        <v>20.079679344135581</v>
      </c>
      <c r="L158" s="23">
        <v>20.068601709130071</v>
      </c>
      <c r="M158" s="23">
        <v>20.313380634785489</v>
      </c>
      <c r="N158" s="23">
        <v>20.438848513301611</v>
      </c>
      <c r="O158" s="23">
        <v>20.000663806636719</v>
      </c>
      <c r="P158" s="23">
        <v>19.76640571428571</v>
      </c>
      <c r="Q158" s="23">
        <v>19.908691930571798</v>
      </c>
      <c r="R158" s="23">
        <v>20.01407453289416</v>
      </c>
      <c r="S158" s="23">
        <v>19.90889044807621</v>
      </c>
      <c r="T158" s="23">
        <v>19.824316730523631</v>
      </c>
      <c r="U158" s="23">
        <v>19.620770954208918</v>
      </c>
      <c r="V158" s="38">
        <v>19.972519057556219</v>
      </c>
      <c r="W158" s="39">
        <v>319</v>
      </c>
      <c r="X158" s="24">
        <v>0.88611111111111107</v>
      </c>
    </row>
    <row r="159" spans="1:24" ht="13.9" customHeight="1" x14ac:dyDescent="0.2">
      <c r="A159" s="10">
        <v>21205670</v>
      </c>
      <c r="B159" s="35" t="s">
        <v>445</v>
      </c>
      <c r="C159" s="35" t="s">
        <v>624</v>
      </c>
      <c r="D159" s="35" t="s">
        <v>625</v>
      </c>
      <c r="E159" s="21" t="s">
        <v>73</v>
      </c>
      <c r="F159" s="35">
        <v>11</v>
      </c>
      <c r="G159" s="35">
        <v>1915</v>
      </c>
      <c r="H159" s="36">
        <v>-74.437638890000002</v>
      </c>
      <c r="I159" s="37">
        <v>4.7708888900000002</v>
      </c>
      <c r="J159" s="22">
        <v>13.0577112963497</v>
      </c>
      <c r="K159" s="23">
        <v>13.389390819397709</v>
      </c>
      <c r="L159" s="23">
        <v>13.543035818098231</v>
      </c>
      <c r="M159" s="23">
        <v>13.728354979539709</v>
      </c>
      <c r="N159" s="23">
        <v>13.70598622879273</v>
      </c>
      <c r="O159" s="23">
        <v>13.495397393014249</v>
      </c>
      <c r="P159" s="23">
        <v>13.18674362324529</v>
      </c>
      <c r="Q159" s="23">
        <v>13.3481431749563</v>
      </c>
      <c r="R159" s="23">
        <v>13.60395466807412</v>
      </c>
      <c r="S159" s="23">
        <v>13.592579207433809</v>
      </c>
      <c r="T159" s="23">
        <v>13.380965953025751</v>
      </c>
      <c r="U159" s="23">
        <v>13.071256892811711</v>
      </c>
      <c r="V159" s="38">
        <v>13.42529333789494</v>
      </c>
      <c r="W159" s="39">
        <v>324</v>
      </c>
      <c r="X159" s="24">
        <v>0.9</v>
      </c>
    </row>
    <row r="160" spans="1:24" ht="13.9" customHeight="1" x14ac:dyDescent="0.2">
      <c r="A160" s="10">
        <v>21206180</v>
      </c>
      <c r="B160" s="35" t="s">
        <v>445</v>
      </c>
      <c r="C160" s="35" t="s">
        <v>626</v>
      </c>
      <c r="D160" s="35" t="s">
        <v>625</v>
      </c>
      <c r="E160" s="21" t="s">
        <v>73</v>
      </c>
      <c r="F160" s="35">
        <v>11</v>
      </c>
      <c r="G160" s="35">
        <v>1850</v>
      </c>
      <c r="H160" s="36">
        <v>-74.443472220000004</v>
      </c>
      <c r="I160" s="37">
        <v>4.8055000000000003</v>
      </c>
      <c r="J160" s="22">
        <v>13.815292594190909</v>
      </c>
      <c r="K160" s="23">
        <v>14.11615586871728</v>
      </c>
      <c r="L160" s="23">
        <v>14.27285005181445</v>
      </c>
      <c r="M160" s="23">
        <v>14.53306562084788</v>
      </c>
      <c r="N160" s="23">
        <v>14.604440115266719</v>
      </c>
      <c r="O160" s="23">
        <v>14.24504793734085</v>
      </c>
      <c r="P160" s="23">
        <v>13.90318064553173</v>
      </c>
      <c r="Q160" s="23">
        <v>14.00007328593767</v>
      </c>
      <c r="R160" s="23">
        <v>14.27221511536896</v>
      </c>
      <c r="S160" s="23">
        <v>14.29510010265178</v>
      </c>
      <c r="T160" s="23">
        <v>14.2241949757884</v>
      </c>
      <c r="U160" s="23">
        <v>14.03303002880347</v>
      </c>
      <c r="V160" s="38">
        <v>14.19288719518835</v>
      </c>
      <c r="W160" s="39">
        <v>299</v>
      </c>
      <c r="X160" s="24">
        <v>0.8305555555555556</v>
      </c>
    </row>
    <row r="161" spans="1:24" ht="13.9" customHeight="1" x14ac:dyDescent="0.2">
      <c r="A161" s="10">
        <v>21205791</v>
      </c>
      <c r="B161" s="35" t="s">
        <v>444</v>
      </c>
      <c r="C161" s="35" t="s">
        <v>72</v>
      </c>
      <c r="D161" s="35" t="s">
        <v>74</v>
      </c>
      <c r="E161" s="21" t="s">
        <v>73</v>
      </c>
      <c r="F161" s="35">
        <v>11</v>
      </c>
      <c r="G161" s="35">
        <v>2547</v>
      </c>
      <c r="H161" s="36">
        <v>-74.150666669999993</v>
      </c>
      <c r="I161" s="37">
        <v>4.7055833299999996</v>
      </c>
      <c r="J161" s="22">
        <v>6.4113923618835758</v>
      </c>
      <c r="K161" s="23">
        <v>7.6197111419870041</v>
      </c>
      <c r="L161" s="23">
        <v>8.5845352614015589</v>
      </c>
      <c r="M161" s="23">
        <v>9.5571018062397357</v>
      </c>
      <c r="N161" s="23">
        <v>9.5996851645861643</v>
      </c>
      <c r="O161" s="23">
        <v>9.0595198686371106</v>
      </c>
      <c r="P161" s="23">
        <v>8.5669829725335838</v>
      </c>
      <c r="Q161" s="23">
        <v>8.3796136733122264</v>
      </c>
      <c r="R161" s="23">
        <v>7.7788019451812538</v>
      </c>
      <c r="S161" s="23">
        <v>8.2983447859006159</v>
      </c>
      <c r="T161" s="23">
        <v>8.606389272030647</v>
      </c>
      <c r="U161" s="23">
        <v>7.5309014645902863</v>
      </c>
      <c r="V161" s="38">
        <v>8.3327483098569797</v>
      </c>
      <c r="W161" s="39">
        <v>304</v>
      </c>
      <c r="X161" s="24">
        <v>0.84444444444444444</v>
      </c>
    </row>
    <row r="162" spans="1:24" ht="13.9" customHeight="1" x14ac:dyDescent="0.2">
      <c r="A162" s="10">
        <v>21206050</v>
      </c>
      <c r="B162" s="35" t="s">
        <v>471</v>
      </c>
      <c r="C162" s="35" t="s">
        <v>627</v>
      </c>
      <c r="D162" s="35" t="s">
        <v>74</v>
      </c>
      <c r="E162" s="21" t="s">
        <v>73</v>
      </c>
      <c r="F162" s="35">
        <v>11</v>
      </c>
      <c r="G162" s="35">
        <v>2650</v>
      </c>
      <c r="H162" s="36">
        <v>-74.05</v>
      </c>
      <c r="I162" s="37">
        <v>4.7833333299999996</v>
      </c>
      <c r="J162" s="22">
        <v>6.7614838709677416</v>
      </c>
      <c r="K162" s="23">
        <v>7.6666256157635484</v>
      </c>
      <c r="L162" s="23">
        <v>8.3199999999999985</v>
      </c>
      <c r="M162" s="23">
        <v>9.2913333333333341</v>
      </c>
      <c r="N162" s="23">
        <v>9.5173118279569895</v>
      </c>
      <c r="O162" s="23">
        <v>8.7628275862068943</v>
      </c>
      <c r="P162" s="23">
        <v>8.389204301075269</v>
      </c>
      <c r="Q162" s="23">
        <v>8.234</v>
      </c>
      <c r="R162" s="23">
        <v>7.8585862068965513</v>
      </c>
      <c r="S162" s="23">
        <v>8.544946236559138</v>
      </c>
      <c r="T162" s="23">
        <v>8.3903333333333343</v>
      </c>
      <c r="U162" s="23">
        <v>7.6038494623655923</v>
      </c>
      <c r="V162" s="38">
        <v>8.2783751478715306</v>
      </c>
      <c r="W162" s="39">
        <v>120</v>
      </c>
      <c r="X162" s="24">
        <v>1</v>
      </c>
    </row>
    <row r="163" spans="1:24" ht="13.9" customHeight="1" x14ac:dyDescent="0.2">
      <c r="A163" s="10">
        <v>21206230</v>
      </c>
      <c r="B163" s="35" t="s">
        <v>445</v>
      </c>
      <c r="C163" s="35" t="s">
        <v>628</v>
      </c>
      <c r="D163" s="35" t="s">
        <v>74</v>
      </c>
      <c r="E163" s="21" t="s">
        <v>73</v>
      </c>
      <c r="F163" s="35">
        <v>11</v>
      </c>
      <c r="G163" s="35">
        <v>2543</v>
      </c>
      <c r="H163" s="36">
        <v>-74.151419439999998</v>
      </c>
      <c r="I163" s="37">
        <v>4.6616666699999998</v>
      </c>
      <c r="J163" s="22">
        <v>6.048493140526511</v>
      </c>
      <c r="K163" s="23">
        <v>7.2574954387885411</v>
      </c>
      <c r="L163" s="23">
        <v>8.1915143892073825</v>
      </c>
      <c r="M163" s="23">
        <v>9.110137566137567</v>
      </c>
      <c r="N163" s="23">
        <v>9.1211469534050202</v>
      </c>
      <c r="O163" s="23">
        <v>8.7528850574712642</v>
      </c>
      <c r="P163" s="23">
        <v>8.0954838709677439</v>
      </c>
      <c r="Q163" s="23">
        <v>7.82</v>
      </c>
      <c r="R163" s="23">
        <v>7.3157407407407424</v>
      </c>
      <c r="S163" s="23">
        <v>7.6910322580645154</v>
      </c>
      <c r="T163" s="23">
        <v>8.0381609195402302</v>
      </c>
      <c r="U163" s="23">
        <v>6.7703225806451606</v>
      </c>
      <c r="V163" s="38">
        <v>7.8510344096245559</v>
      </c>
      <c r="W163" s="39">
        <v>119</v>
      </c>
      <c r="X163" s="24">
        <v>0.9916666666666667</v>
      </c>
    </row>
    <row r="164" spans="1:24" ht="13.9" customHeight="1" x14ac:dyDescent="0.2">
      <c r="A164" s="10">
        <v>21206600</v>
      </c>
      <c r="B164" s="35" t="s">
        <v>471</v>
      </c>
      <c r="C164" s="35" t="s">
        <v>629</v>
      </c>
      <c r="D164" s="35" t="s">
        <v>74</v>
      </c>
      <c r="E164" s="21" t="s">
        <v>73</v>
      </c>
      <c r="F164" s="35">
        <v>11</v>
      </c>
      <c r="G164" s="35">
        <v>2590</v>
      </c>
      <c r="H164" s="36">
        <v>-74.094333329999998</v>
      </c>
      <c r="I164" s="37">
        <v>4.7822222200000004</v>
      </c>
      <c r="J164" s="22">
        <v>8.15566254148521</v>
      </c>
      <c r="K164" s="23">
        <v>8.283167731542143</v>
      </c>
      <c r="L164" s="23">
        <v>8.3399818578427318</v>
      </c>
      <c r="M164" s="23">
        <v>8.2869003454339207</v>
      </c>
      <c r="N164" s="23">
        <v>8.2027190539226567</v>
      </c>
      <c r="O164" s="23">
        <v>8.0640457406132207</v>
      </c>
      <c r="P164" s="23">
        <v>8.0131665360709121</v>
      </c>
      <c r="Q164" s="23">
        <v>7.9932587877038674</v>
      </c>
      <c r="R164" s="23">
        <v>8.052510832141536</v>
      </c>
      <c r="S164" s="23">
        <v>8.0602777159807211</v>
      </c>
      <c r="T164" s="23">
        <v>7.9533413051538746</v>
      </c>
      <c r="U164" s="23">
        <v>7.2807860585836126</v>
      </c>
      <c r="V164" s="38">
        <v>8.057151542206201</v>
      </c>
      <c r="W164" s="39">
        <v>116</v>
      </c>
      <c r="X164" s="24">
        <v>0.96666666666666667</v>
      </c>
    </row>
    <row r="165" spans="1:24" ht="13.9" customHeight="1" x14ac:dyDescent="0.2">
      <c r="A165" s="10">
        <v>21206260</v>
      </c>
      <c r="B165" s="35" t="s">
        <v>445</v>
      </c>
      <c r="C165" s="35" t="s">
        <v>630</v>
      </c>
      <c r="D165" s="35" t="s">
        <v>74</v>
      </c>
      <c r="E165" s="21" t="s">
        <v>73</v>
      </c>
      <c r="F165" s="35">
        <v>11</v>
      </c>
      <c r="G165" s="35">
        <v>2570</v>
      </c>
      <c r="H165" s="36">
        <v>-74.049722220000007</v>
      </c>
      <c r="I165" s="37">
        <v>4.7986388900000003</v>
      </c>
      <c r="J165" s="22">
        <v>6.051315663042347</v>
      </c>
      <c r="K165" s="23">
        <v>6.4762069125911514</v>
      </c>
      <c r="L165" s="23">
        <v>7.4978977411477432</v>
      </c>
      <c r="M165" s="23">
        <v>8.255815384615385</v>
      </c>
      <c r="N165" s="23">
        <v>8.6026375227324881</v>
      </c>
      <c r="O165" s="23">
        <v>8.0983121541511558</v>
      </c>
      <c r="P165" s="23">
        <v>7.737258054422024</v>
      </c>
      <c r="Q165" s="23">
        <v>7.511127721466246</v>
      </c>
      <c r="R165" s="23">
        <v>7.0236414292537948</v>
      </c>
      <c r="S165" s="23">
        <v>7.3926764348381218</v>
      </c>
      <c r="T165" s="23">
        <v>7.7234074549944394</v>
      </c>
      <c r="U165" s="23">
        <v>6.7454668046800972</v>
      </c>
      <c r="V165" s="38">
        <v>7.4263136064945821</v>
      </c>
      <c r="W165" s="39">
        <v>296</v>
      </c>
      <c r="X165" s="24">
        <v>0.82222222222222219</v>
      </c>
    </row>
    <row r="166" spans="1:24" ht="13.9" customHeight="1" x14ac:dyDescent="0.2">
      <c r="A166" s="10">
        <v>21206280</v>
      </c>
      <c r="B166" s="35" t="s">
        <v>471</v>
      </c>
      <c r="C166" s="35" t="s">
        <v>631</v>
      </c>
      <c r="D166" s="35" t="s">
        <v>632</v>
      </c>
      <c r="E166" s="21" t="s">
        <v>73</v>
      </c>
      <c r="F166" s="35">
        <v>11</v>
      </c>
      <c r="G166" s="35">
        <v>2650</v>
      </c>
      <c r="H166" s="36">
        <v>-74.333055560000005</v>
      </c>
      <c r="I166" s="37">
        <v>4.6538333300000003</v>
      </c>
      <c r="J166" s="22">
        <v>9.456377694471481</v>
      </c>
      <c r="K166" s="23">
        <v>9.4125781581126411</v>
      </c>
      <c r="L166" s="23">
        <v>9.7737464012205102</v>
      </c>
      <c r="M166" s="23">
        <v>10.212439689234611</v>
      </c>
      <c r="N166" s="23">
        <v>10.17545536654734</v>
      </c>
      <c r="O166" s="23">
        <v>9.8471875891419351</v>
      </c>
      <c r="P166" s="23">
        <v>9.2614368434062531</v>
      </c>
      <c r="Q166" s="23">
        <v>9.4408198902321256</v>
      </c>
      <c r="R166" s="23">
        <v>9.7384486710439511</v>
      </c>
      <c r="S166" s="23">
        <v>9.6914767845714511</v>
      </c>
      <c r="T166" s="23">
        <v>9.8773775626806497</v>
      </c>
      <c r="U166" s="23">
        <v>9.5437116511471096</v>
      </c>
      <c r="V166" s="38">
        <v>9.7025880251508383</v>
      </c>
      <c r="W166" s="39">
        <v>227</v>
      </c>
      <c r="X166" s="24">
        <v>0.9458333333333333</v>
      </c>
    </row>
    <row r="167" spans="1:24" ht="13.9" customHeight="1" x14ac:dyDescent="0.2">
      <c r="A167" s="10">
        <v>21205870</v>
      </c>
      <c r="B167" s="35" t="s">
        <v>562</v>
      </c>
      <c r="C167" s="35" t="s">
        <v>633</v>
      </c>
      <c r="D167" s="35" t="s">
        <v>632</v>
      </c>
      <c r="E167" s="21" t="s">
        <v>73</v>
      </c>
      <c r="F167" s="35">
        <v>11</v>
      </c>
      <c r="G167" s="35">
        <v>2570</v>
      </c>
      <c r="H167" s="36">
        <v>-74.334277779999994</v>
      </c>
      <c r="I167" s="37">
        <v>4.7388888900000001</v>
      </c>
      <c r="J167" s="22">
        <v>5.2931525901418386</v>
      </c>
      <c r="K167" s="23">
        <v>6.1455374510546932</v>
      </c>
      <c r="L167" s="23">
        <v>7.0997601323407782</v>
      </c>
      <c r="M167" s="23">
        <v>8.2038041313240253</v>
      </c>
      <c r="N167" s="23">
        <v>8.1575531226388502</v>
      </c>
      <c r="O167" s="23">
        <v>7.1004165230729717</v>
      </c>
      <c r="P167" s="23">
        <v>6.5789886034017364</v>
      </c>
      <c r="Q167" s="23">
        <v>6.4597359601836786</v>
      </c>
      <c r="R167" s="23">
        <v>6.1398748403575993</v>
      </c>
      <c r="S167" s="23">
        <v>7.2562372457737689</v>
      </c>
      <c r="T167" s="23">
        <v>7.616448324982807</v>
      </c>
      <c r="U167" s="23">
        <v>6.0600978551516178</v>
      </c>
      <c r="V167" s="38">
        <v>6.8426338983686987</v>
      </c>
      <c r="W167" s="39">
        <v>319</v>
      </c>
      <c r="X167" s="24">
        <v>0.88611111111111107</v>
      </c>
    </row>
    <row r="168" spans="1:24" ht="13.9" customHeight="1" x14ac:dyDescent="0.2">
      <c r="A168" s="10">
        <v>21205890</v>
      </c>
      <c r="B168" s="35" t="s">
        <v>562</v>
      </c>
      <c r="C168" s="35" t="s">
        <v>634</v>
      </c>
      <c r="D168" s="35" t="s">
        <v>635</v>
      </c>
      <c r="E168" s="21" t="s">
        <v>73</v>
      </c>
      <c r="F168" s="35">
        <v>11</v>
      </c>
      <c r="G168" s="35">
        <v>2550</v>
      </c>
      <c r="H168" s="36">
        <v>-74.054333329999992</v>
      </c>
      <c r="I168" s="37">
        <v>4.8859444400000003</v>
      </c>
      <c r="J168" s="22">
        <v>6.156651913159144</v>
      </c>
      <c r="K168" s="23">
        <v>7.0861528347203739</v>
      </c>
      <c r="L168" s="23">
        <v>8.2604020621673424</v>
      </c>
      <c r="M168" s="23">
        <v>9.0077338435374177</v>
      </c>
      <c r="N168" s="23">
        <v>9.1621859860569526</v>
      </c>
      <c r="O168" s="23">
        <v>8.6828630081540421</v>
      </c>
      <c r="P168" s="23">
        <v>8.3808293659621782</v>
      </c>
      <c r="Q168" s="23">
        <v>8.028048564338885</v>
      </c>
      <c r="R168" s="23">
        <v>7.380059523809523</v>
      </c>
      <c r="S168" s="23">
        <v>7.9746029776674927</v>
      </c>
      <c r="T168" s="23">
        <v>8.3816820396386191</v>
      </c>
      <c r="U168" s="23">
        <v>7.1615504089697648</v>
      </c>
      <c r="V168" s="38">
        <v>7.9718968773484784</v>
      </c>
      <c r="W168" s="39">
        <v>322</v>
      </c>
      <c r="X168" s="24">
        <v>0.89444444444444449</v>
      </c>
    </row>
    <row r="169" spans="1:24" ht="13.9" customHeight="1" x14ac:dyDescent="0.2">
      <c r="A169" s="10">
        <v>35025060</v>
      </c>
      <c r="B169" s="35" t="s">
        <v>445</v>
      </c>
      <c r="C169" s="35" t="s">
        <v>416</v>
      </c>
      <c r="D169" s="35" t="s">
        <v>417</v>
      </c>
      <c r="E169" s="21" t="s">
        <v>73</v>
      </c>
      <c r="F169" s="35">
        <v>11</v>
      </c>
      <c r="G169" s="35">
        <v>3195</v>
      </c>
      <c r="H169" s="36">
        <v>-73.981416669999987</v>
      </c>
      <c r="I169" s="37">
        <v>4.5754166700000001</v>
      </c>
      <c r="J169" s="22">
        <v>4.1419238110932586</v>
      </c>
      <c r="K169" s="23">
        <v>4.5329189355769817</v>
      </c>
      <c r="L169" s="23">
        <v>5.0333576899761558</v>
      </c>
      <c r="M169" s="23">
        <v>5.4163816091954011</v>
      </c>
      <c r="N169" s="23">
        <v>5.5415492035670004</v>
      </c>
      <c r="O169" s="23">
        <v>5.4253977322412332</v>
      </c>
      <c r="P169" s="23">
        <v>5.2432824793440451</v>
      </c>
      <c r="Q169" s="23">
        <v>5.0408940752175297</v>
      </c>
      <c r="R169" s="23">
        <v>4.9011609803563827</v>
      </c>
      <c r="S169" s="23">
        <v>5.0376216372100684</v>
      </c>
      <c r="T169" s="23">
        <v>5.2300844392618506</v>
      </c>
      <c r="U169" s="23">
        <v>4.5833075488259816</v>
      </c>
      <c r="V169" s="38">
        <v>5.0106566784888242</v>
      </c>
      <c r="W169" s="39">
        <v>320</v>
      </c>
      <c r="X169" s="24">
        <v>0.88888888888888884</v>
      </c>
    </row>
    <row r="170" spans="1:24" ht="13.9" customHeight="1" x14ac:dyDescent="0.2">
      <c r="A170" s="10">
        <v>21205740</v>
      </c>
      <c r="B170" s="35" t="s">
        <v>445</v>
      </c>
      <c r="C170" s="35" t="s">
        <v>393</v>
      </c>
      <c r="D170" s="35" t="s">
        <v>394</v>
      </c>
      <c r="E170" s="21" t="s">
        <v>73</v>
      </c>
      <c r="F170" s="35">
        <v>11</v>
      </c>
      <c r="G170" s="35">
        <v>2709</v>
      </c>
      <c r="H170" s="36">
        <v>-73.70141667</v>
      </c>
      <c r="I170" s="37">
        <v>5.1177222200000001</v>
      </c>
      <c r="J170" s="22">
        <v>6.1962409862066492</v>
      </c>
      <c r="K170" s="23">
        <v>6.8722324913206876</v>
      </c>
      <c r="L170" s="23">
        <v>7.768683917386876</v>
      </c>
      <c r="M170" s="23">
        <v>8.4372811767136842</v>
      </c>
      <c r="N170" s="23">
        <v>8.5930534762487323</v>
      </c>
      <c r="O170" s="23">
        <v>8.3737024506672189</v>
      </c>
      <c r="P170" s="23">
        <v>8.1093100992191847</v>
      </c>
      <c r="Q170" s="23">
        <v>8.0100642369547419</v>
      </c>
      <c r="R170" s="23">
        <v>7.6942555167267797</v>
      </c>
      <c r="S170" s="23">
        <v>7.8770602663928564</v>
      </c>
      <c r="T170" s="23">
        <v>8.0141076493621313</v>
      </c>
      <c r="U170" s="23">
        <v>7.0857055343296089</v>
      </c>
      <c r="V170" s="38">
        <v>7.7526414834607627</v>
      </c>
      <c r="W170" s="39">
        <v>297</v>
      </c>
      <c r="X170" s="24">
        <v>0.82499999999999996</v>
      </c>
    </row>
    <row r="171" spans="1:24" ht="13.9" customHeight="1" x14ac:dyDescent="0.2">
      <c r="A171" s="10">
        <v>21205940</v>
      </c>
      <c r="B171" s="35" t="s">
        <v>471</v>
      </c>
      <c r="C171" s="35" t="s">
        <v>636</v>
      </c>
      <c r="D171" s="35" t="s">
        <v>398</v>
      </c>
      <c r="E171" s="21" t="s">
        <v>73</v>
      </c>
      <c r="F171" s="35">
        <v>11</v>
      </c>
      <c r="G171" s="35">
        <v>2590</v>
      </c>
      <c r="H171" s="36">
        <v>-74.383972220000004</v>
      </c>
      <c r="I171" s="37">
        <v>4.83497222</v>
      </c>
      <c r="J171" s="22">
        <v>5.3834476420460851</v>
      </c>
      <c r="K171" s="23">
        <v>6.1046225580625331</v>
      </c>
      <c r="L171" s="23">
        <v>7.1975797212526054</v>
      </c>
      <c r="M171" s="23">
        <v>7.9861119868637083</v>
      </c>
      <c r="N171" s="23">
        <v>8.0157832323981388</v>
      </c>
      <c r="O171" s="23">
        <v>7.2511093596059117</v>
      </c>
      <c r="P171" s="23">
        <v>6.8173462365591373</v>
      </c>
      <c r="Q171" s="23">
        <v>6.382935282589119</v>
      </c>
      <c r="R171" s="23">
        <v>6.1188038398383222</v>
      </c>
      <c r="S171" s="23">
        <v>6.929651069775745</v>
      </c>
      <c r="T171" s="23">
        <v>7.4445391211598109</v>
      </c>
      <c r="U171" s="23">
        <v>6.105378656825434</v>
      </c>
      <c r="V171" s="38">
        <v>6.811442392248046</v>
      </c>
      <c r="W171" s="39">
        <v>304</v>
      </c>
      <c r="X171" s="24">
        <v>0.84444444444444444</v>
      </c>
    </row>
    <row r="172" spans="1:24" ht="13.9" customHeight="1" x14ac:dyDescent="0.2">
      <c r="A172" s="10">
        <v>21206210</v>
      </c>
      <c r="B172" s="35" t="s">
        <v>562</v>
      </c>
      <c r="C172" s="35" t="s">
        <v>637</v>
      </c>
      <c r="D172" s="35" t="s">
        <v>638</v>
      </c>
      <c r="E172" s="21" t="s">
        <v>73</v>
      </c>
      <c r="F172" s="35">
        <v>11</v>
      </c>
      <c r="G172" s="35">
        <v>2560</v>
      </c>
      <c r="H172" s="36">
        <v>-74.15733333</v>
      </c>
      <c r="I172" s="37">
        <v>4.7362500000000001</v>
      </c>
      <c r="J172" s="22">
        <v>4.7431318681318686</v>
      </c>
      <c r="K172" s="23">
        <v>6.7386936026936031</v>
      </c>
      <c r="L172" s="23">
        <v>7.6727689170706697</v>
      </c>
      <c r="M172" s="23">
        <v>8.63309177718833</v>
      </c>
      <c r="N172" s="23">
        <v>8.6600748631749731</v>
      </c>
      <c r="O172" s="23">
        <v>8.508358969680808</v>
      </c>
      <c r="P172" s="23">
        <v>7.7748531698621308</v>
      </c>
      <c r="Q172" s="23">
        <v>7.5237263458176971</v>
      </c>
      <c r="R172" s="23">
        <v>6.9784734256803223</v>
      </c>
      <c r="S172" s="23">
        <v>7.4345206010567537</v>
      </c>
      <c r="T172" s="23">
        <v>7.9791801468008368</v>
      </c>
      <c r="U172" s="23">
        <v>6.6625922219800131</v>
      </c>
      <c r="V172" s="38">
        <v>7.4424554924281692</v>
      </c>
      <c r="W172" s="39">
        <v>109</v>
      </c>
      <c r="X172" s="24">
        <v>0.90833333333333333</v>
      </c>
    </row>
    <row r="173" spans="1:24" ht="13.9" customHeight="1" x14ac:dyDescent="0.2">
      <c r="A173" s="10">
        <v>24015120</v>
      </c>
      <c r="B173" s="35" t="s">
        <v>471</v>
      </c>
      <c r="C173" s="35" t="s">
        <v>639</v>
      </c>
      <c r="D173" s="35" t="s">
        <v>415</v>
      </c>
      <c r="E173" s="21" t="s">
        <v>73</v>
      </c>
      <c r="F173" s="35">
        <v>11</v>
      </c>
      <c r="G173" s="35">
        <v>2580</v>
      </c>
      <c r="H173" s="36">
        <v>-73.734805560000012</v>
      </c>
      <c r="I173" s="37">
        <v>5.4672777799999999</v>
      </c>
      <c r="J173" s="22">
        <v>8.3490218345402685</v>
      </c>
      <c r="K173" s="23">
        <v>8.9206562731193255</v>
      </c>
      <c r="L173" s="23">
        <v>9.6828111694986756</v>
      </c>
      <c r="M173" s="23">
        <v>10.1662490421456</v>
      </c>
      <c r="N173" s="23">
        <v>10.322420219997531</v>
      </c>
      <c r="O173" s="23">
        <v>9.943008323424495</v>
      </c>
      <c r="P173" s="23">
        <v>9.4398271387109567</v>
      </c>
      <c r="Q173" s="23">
        <v>9.3415228944019546</v>
      </c>
      <c r="R173" s="23">
        <v>8.9660145437485337</v>
      </c>
      <c r="S173" s="23">
        <v>9.3555941074127951</v>
      </c>
      <c r="T173" s="23">
        <v>9.8783689107827044</v>
      </c>
      <c r="U173" s="23">
        <v>9.0485425197716651</v>
      </c>
      <c r="V173" s="38">
        <v>9.4511697481295425</v>
      </c>
      <c r="W173" s="39">
        <v>339</v>
      </c>
      <c r="X173" s="24">
        <v>0.94166666666666665</v>
      </c>
    </row>
    <row r="174" spans="1:24" ht="13.9" customHeight="1" x14ac:dyDescent="0.2">
      <c r="A174" s="10">
        <v>35065010</v>
      </c>
      <c r="B174" s="35" t="s">
        <v>445</v>
      </c>
      <c r="C174" s="35" t="s">
        <v>640</v>
      </c>
      <c r="D174" s="35" t="s">
        <v>640</v>
      </c>
      <c r="E174" s="21" t="s">
        <v>73</v>
      </c>
      <c r="F174" s="35">
        <v>11</v>
      </c>
      <c r="G174" s="35">
        <v>1752</v>
      </c>
      <c r="H174" s="36">
        <v>-73.646472220000007</v>
      </c>
      <c r="I174" s="37">
        <v>4.83038889</v>
      </c>
      <c r="J174" s="22">
        <v>11.8178972520908</v>
      </c>
      <c r="K174" s="23">
        <v>12.877704720425029</v>
      </c>
      <c r="L174" s="23">
        <v>13.868645161290321</v>
      </c>
      <c r="M174" s="23">
        <v>14.702344827586209</v>
      </c>
      <c r="N174" s="23">
        <v>14.81094623655914</v>
      </c>
      <c r="O174" s="23">
        <v>14.504670315635829</v>
      </c>
      <c r="P174" s="23">
        <v>13.9294623655914</v>
      </c>
      <c r="Q174" s="23">
        <v>13.945949820788529</v>
      </c>
      <c r="R174" s="23">
        <v>13.252000000000001</v>
      </c>
      <c r="S174" s="23">
        <v>13.43604540023895</v>
      </c>
      <c r="T174" s="23">
        <v>13.497999999999999</v>
      </c>
      <c r="U174" s="23">
        <v>12.28483870967742</v>
      </c>
      <c r="V174" s="38">
        <v>13.57737540082363</v>
      </c>
      <c r="W174" s="39">
        <v>117</v>
      </c>
      <c r="X174" s="24">
        <v>0.97499999999999998</v>
      </c>
    </row>
    <row r="175" spans="1:24" ht="13.9" customHeight="1" x14ac:dyDescent="0.2">
      <c r="A175" s="10">
        <v>21205700</v>
      </c>
      <c r="B175" s="35" t="s">
        <v>445</v>
      </c>
      <c r="C175" s="35" t="s">
        <v>390</v>
      </c>
      <c r="D175" s="35" t="s">
        <v>390</v>
      </c>
      <c r="E175" s="21" t="s">
        <v>73</v>
      </c>
      <c r="F175" s="35">
        <v>11</v>
      </c>
      <c r="G175" s="35">
        <v>2750</v>
      </c>
      <c r="H175" s="36">
        <v>-73.868111110000001</v>
      </c>
      <c r="I175" s="37">
        <v>4.8798611100000002</v>
      </c>
      <c r="J175" s="22">
        <v>5.7504126841895662</v>
      </c>
      <c r="K175" s="23">
        <v>6.1571345693575674</v>
      </c>
      <c r="L175" s="23">
        <v>7.357645581013796</v>
      </c>
      <c r="M175" s="23">
        <v>8.1551835288704861</v>
      </c>
      <c r="N175" s="23">
        <v>8.4586402971183059</v>
      </c>
      <c r="O175" s="23">
        <v>8.5762562478645243</v>
      </c>
      <c r="P175" s="23">
        <v>8.3038288971873495</v>
      </c>
      <c r="Q175" s="23">
        <v>8.0869853706863069</v>
      </c>
      <c r="R175" s="23">
        <v>7.2971740738735793</v>
      </c>
      <c r="S175" s="23">
        <v>7.4093001151404936</v>
      </c>
      <c r="T175" s="23">
        <v>7.6051683410550401</v>
      </c>
      <c r="U175" s="23">
        <v>6.5455783365452573</v>
      </c>
      <c r="V175" s="38">
        <v>7.4752756702418566</v>
      </c>
      <c r="W175" s="39">
        <v>316</v>
      </c>
      <c r="X175" s="24">
        <v>0.87777777777777777</v>
      </c>
    </row>
    <row r="176" spans="1:24" ht="13.9" customHeight="1" x14ac:dyDescent="0.2">
      <c r="A176" s="10">
        <v>23065060</v>
      </c>
      <c r="B176" s="35" t="s">
        <v>445</v>
      </c>
      <c r="C176" s="35" t="s">
        <v>641</v>
      </c>
      <c r="D176" s="35" t="s">
        <v>642</v>
      </c>
      <c r="E176" s="21" t="s">
        <v>73</v>
      </c>
      <c r="F176" s="35">
        <v>11</v>
      </c>
      <c r="G176" s="35">
        <v>2200</v>
      </c>
      <c r="H176" s="36">
        <v>-74.461694440000002</v>
      </c>
      <c r="I176" s="37">
        <v>4.8421666700000001</v>
      </c>
      <c r="J176" s="22">
        <v>12.118445401095009</v>
      </c>
      <c r="K176" s="23">
        <v>12.14819648919266</v>
      </c>
      <c r="L176" s="23">
        <v>12.646452681493351</v>
      </c>
      <c r="M176" s="23">
        <v>13.200056699367041</v>
      </c>
      <c r="N176" s="23">
        <v>13.404811481518941</v>
      </c>
      <c r="O176" s="23">
        <v>13.05534279258417</v>
      </c>
      <c r="P176" s="23">
        <v>12.563028806584359</v>
      </c>
      <c r="Q176" s="23">
        <v>12.775873693977379</v>
      </c>
      <c r="R176" s="23">
        <v>12.663719410136199</v>
      </c>
      <c r="S176" s="23">
        <v>12.67171018945213</v>
      </c>
      <c r="T176" s="23">
        <v>12.606455930900371</v>
      </c>
      <c r="U176" s="23">
        <v>12.26876373626374</v>
      </c>
      <c r="V176" s="38">
        <v>12.67690477604711</v>
      </c>
      <c r="W176" s="39">
        <v>107</v>
      </c>
      <c r="X176" s="24">
        <v>0.89166666666666672</v>
      </c>
    </row>
    <row r="177" spans="1:24" ht="13.9" customHeight="1" x14ac:dyDescent="0.2">
      <c r="A177" s="10">
        <v>23065100</v>
      </c>
      <c r="B177" s="35" t="s">
        <v>445</v>
      </c>
      <c r="C177" s="35" t="s">
        <v>643</v>
      </c>
      <c r="D177" s="35" t="s">
        <v>644</v>
      </c>
      <c r="E177" s="21" t="s">
        <v>73</v>
      </c>
      <c r="F177" s="35">
        <v>11</v>
      </c>
      <c r="G177" s="35">
        <v>2475</v>
      </c>
      <c r="H177" s="36">
        <v>-74.307388889999999</v>
      </c>
      <c r="I177" s="37">
        <v>4.9017499999999998</v>
      </c>
      <c r="J177" s="22">
        <v>9.1581290090432965</v>
      </c>
      <c r="K177" s="23">
        <v>9.5619251730731261</v>
      </c>
      <c r="L177" s="23">
        <v>9.9564929923154324</v>
      </c>
      <c r="M177" s="23">
        <v>10.251480062437921</v>
      </c>
      <c r="N177" s="23">
        <v>10.3372362175225</v>
      </c>
      <c r="O177" s="23">
        <v>10.10956340083926</v>
      </c>
      <c r="P177" s="23">
        <v>9.716615032921327</v>
      </c>
      <c r="Q177" s="23">
        <v>9.8682043717004806</v>
      </c>
      <c r="R177" s="23">
        <v>9.676598776635073</v>
      </c>
      <c r="S177" s="23">
        <v>9.8047404802328408</v>
      </c>
      <c r="T177" s="23">
        <v>9.8042811179880154</v>
      </c>
      <c r="U177" s="23">
        <v>9.3881000236888728</v>
      </c>
      <c r="V177" s="38">
        <v>9.8027805548665121</v>
      </c>
      <c r="W177" s="39">
        <v>222</v>
      </c>
      <c r="X177" s="24">
        <v>0.92500000000000004</v>
      </c>
    </row>
    <row r="178" spans="1:24" ht="13.9" customHeight="1" x14ac:dyDescent="0.2">
      <c r="A178" s="10">
        <v>21206060</v>
      </c>
      <c r="B178" s="35" t="s">
        <v>562</v>
      </c>
      <c r="C178" s="35" t="s">
        <v>405</v>
      </c>
      <c r="D178" s="35" t="s">
        <v>406</v>
      </c>
      <c r="E178" s="21" t="s">
        <v>73</v>
      </c>
      <c r="F178" s="35">
        <v>11</v>
      </c>
      <c r="G178" s="35">
        <v>2575</v>
      </c>
      <c r="H178" s="36">
        <v>-74.25333332999999</v>
      </c>
      <c r="I178" s="37">
        <v>4.7171111100000003</v>
      </c>
      <c r="J178" s="22">
        <v>4.7950085161862912</v>
      </c>
      <c r="K178" s="23">
        <v>5.6995331548047874</v>
      </c>
      <c r="L178" s="23">
        <v>6.9876761868361763</v>
      </c>
      <c r="M178" s="23">
        <v>7.9664507384389642</v>
      </c>
      <c r="N178" s="23">
        <v>7.6858597301998444</v>
      </c>
      <c r="O178" s="23">
        <v>7.125673588556233</v>
      </c>
      <c r="P178" s="23">
        <v>6.7196341375857118</v>
      </c>
      <c r="Q178" s="23">
        <v>6.8025057736192744</v>
      </c>
      <c r="R178" s="23">
        <v>6.3417884368241078</v>
      </c>
      <c r="S178" s="23">
        <v>7.0053853956985552</v>
      </c>
      <c r="T178" s="23">
        <v>7.1003916654310206</v>
      </c>
      <c r="U178" s="23">
        <v>6.0134201832758514</v>
      </c>
      <c r="V178" s="38">
        <v>6.6869439589547346</v>
      </c>
      <c r="W178" s="39">
        <v>323</v>
      </c>
      <c r="X178" s="24">
        <v>0.89722222222222225</v>
      </c>
    </row>
    <row r="179" spans="1:24" ht="13.9" customHeight="1" x14ac:dyDescent="0.2">
      <c r="A179" s="10">
        <v>21205880</v>
      </c>
      <c r="B179" s="35" t="s">
        <v>562</v>
      </c>
      <c r="C179" s="35" t="s">
        <v>645</v>
      </c>
      <c r="D179" s="35" t="s">
        <v>406</v>
      </c>
      <c r="E179" s="21" t="s">
        <v>73</v>
      </c>
      <c r="F179" s="35">
        <v>11</v>
      </c>
      <c r="G179" s="35">
        <v>2550</v>
      </c>
      <c r="H179" s="36">
        <v>-74.264777780000003</v>
      </c>
      <c r="I179" s="37">
        <v>4.7897222199999998</v>
      </c>
      <c r="J179" s="22">
        <v>3.9447788947491</v>
      </c>
      <c r="K179" s="23">
        <v>5.0004545357674326</v>
      </c>
      <c r="L179" s="23">
        <v>6.3517082472588609</v>
      </c>
      <c r="M179" s="23">
        <v>7.5073809523809532</v>
      </c>
      <c r="N179" s="23">
        <v>7.4739750516446861</v>
      </c>
      <c r="O179" s="23">
        <v>6.7486111111111127</v>
      </c>
      <c r="P179" s="23">
        <v>6.358575371812301</v>
      </c>
      <c r="Q179" s="23">
        <v>5.7680613787399109</v>
      </c>
      <c r="R179" s="23">
        <v>5.1915106732348111</v>
      </c>
      <c r="S179" s="23">
        <v>6.2692096744766372</v>
      </c>
      <c r="T179" s="23">
        <v>6.8841848463523334</v>
      </c>
      <c r="U179" s="23">
        <v>5.3154544830332737</v>
      </c>
      <c r="V179" s="38">
        <v>6.0678254350467844</v>
      </c>
      <c r="W179" s="39">
        <v>329</v>
      </c>
      <c r="X179" s="24">
        <v>0.91388888888888886</v>
      </c>
    </row>
    <row r="180" spans="1:24" ht="13.9" customHeight="1" x14ac:dyDescent="0.2">
      <c r="A180" s="10">
        <v>21205420</v>
      </c>
      <c r="B180" s="35" t="s">
        <v>450</v>
      </c>
      <c r="C180" s="35" t="s">
        <v>386</v>
      </c>
      <c r="D180" s="35" t="s">
        <v>646</v>
      </c>
      <c r="E180" s="21" t="s">
        <v>73</v>
      </c>
      <c r="F180" s="35">
        <v>11</v>
      </c>
      <c r="G180" s="35">
        <v>2543</v>
      </c>
      <c r="H180" s="36">
        <v>-74.209000000000003</v>
      </c>
      <c r="I180" s="37">
        <v>4.6914166699999997</v>
      </c>
      <c r="J180" s="22">
        <v>4.9640907574204487</v>
      </c>
      <c r="K180" s="23">
        <v>6.0527807129234006</v>
      </c>
      <c r="L180" s="23">
        <v>7.3468142985781606</v>
      </c>
      <c r="M180" s="23">
        <v>8.5305140541973934</v>
      </c>
      <c r="N180" s="23">
        <v>8.5386471054453992</v>
      </c>
      <c r="O180" s="23">
        <v>7.9133879735009351</v>
      </c>
      <c r="P180" s="23">
        <v>7.3708373411860384</v>
      </c>
      <c r="Q180" s="23">
        <v>6.994628239761723</v>
      </c>
      <c r="R180" s="23">
        <v>6.3320712773816243</v>
      </c>
      <c r="S180" s="23">
        <v>7.1266058845780744</v>
      </c>
      <c r="T180" s="23">
        <v>7.6160857256101027</v>
      </c>
      <c r="U180" s="23">
        <v>6.1221887929563144</v>
      </c>
      <c r="V180" s="38">
        <v>7.0757210136283</v>
      </c>
      <c r="W180" s="39">
        <v>344</v>
      </c>
      <c r="X180" s="24">
        <v>0.9555555555555556</v>
      </c>
    </row>
    <row r="181" spans="1:24" ht="13.9" customHeight="1" x14ac:dyDescent="0.2">
      <c r="A181" s="10">
        <v>21205970</v>
      </c>
      <c r="B181" s="35" t="s">
        <v>471</v>
      </c>
      <c r="C181" s="35" t="s">
        <v>647</v>
      </c>
      <c r="D181" s="35" t="s">
        <v>648</v>
      </c>
      <c r="E181" s="21" t="s">
        <v>73</v>
      </c>
      <c r="F181" s="35">
        <v>11</v>
      </c>
      <c r="G181" s="35">
        <v>2572</v>
      </c>
      <c r="H181" s="36">
        <v>-73.881250000000009</v>
      </c>
      <c r="I181" s="37">
        <v>5.0904999999999996</v>
      </c>
      <c r="J181" s="22">
        <v>4.3253868107625264</v>
      </c>
      <c r="K181" s="23">
        <v>5.400146220246727</v>
      </c>
      <c r="L181" s="23">
        <v>6.966516865956522</v>
      </c>
      <c r="M181" s="23">
        <v>7.9011640211640177</v>
      </c>
      <c r="N181" s="23">
        <v>8.3915995550611804</v>
      </c>
      <c r="O181" s="23">
        <v>8.0321334128944137</v>
      </c>
      <c r="P181" s="23">
        <v>7.7432435734454623</v>
      </c>
      <c r="Q181" s="23">
        <v>7.4869656381514824</v>
      </c>
      <c r="R181" s="23">
        <v>6.2463885084319877</v>
      </c>
      <c r="S181" s="23">
        <v>6.7716660522273431</v>
      </c>
      <c r="T181" s="23">
        <v>7.1520421150371574</v>
      </c>
      <c r="U181" s="23">
        <v>5.703220321022286</v>
      </c>
      <c r="V181" s="38">
        <v>6.8433727578667591</v>
      </c>
      <c r="W181" s="39">
        <v>320</v>
      </c>
      <c r="X181" s="24">
        <v>0.88888888888888884</v>
      </c>
    </row>
    <row r="182" spans="1:24" ht="13.9" customHeight="1" x14ac:dyDescent="0.2">
      <c r="A182" s="10">
        <v>23065120</v>
      </c>
      <c r="B182" s="35" t="s">
        <v>445</v>
      </c>
      <c r="C182" s="35" t="s">
        <v>649</v>
      </c>
      <c r="D182" s="35" t="s">
        <v>650</v>
      </c>
      <c r="E182" s="21" t="s">
        <v>73</v>
      </c>
      <c r="F182" s="35">
        <v>11</v>
      </c>
      <c r="G182" s="35">
        <v>2000</v>
      </c>
      <c r="H182" s="36">
        <v>-74.13936111000001</v>
      </c>
      <c r="I182" s="37">
        <v>5.1415555599999996</v>
      </c>
      <c r="J182" s="22">
        <v>12.39456179620878</v>
      </c>
      <c r="K182" s="23">
        <v>12.723031293777209</v>
      </c>
      <c r="L182" s="23">
        <v>13.312985680738739</v>
      </c>
      <c r="M182" s="23">
        <v>13.767497771894201</v>
      </c>
      <c r="N182" s="23">
        <v>13.987585834149771</v>
      </c>
      <c r="O182" s="23">
        <v>13.909453100345161</v>
      </c>
      <c r="P182" s="23">
        <v>13.617328640330189</v>
      </c>
      <c r="Q182" s="23">
        <v>13.552520293565459</v>
      </c>
      <c r="R182" s="23">
        <v>13.38890753341278</v>
      </c>
      <c r="S182" s="23">
        <v>13.22594812887484</v>
      </c>
      <c r="T182" s="23">
        <v>13.173335354021461</v>
      </c>
      <c r="U182" s="23">
        <v>12.837986298898871</v>
      </c>
      <c r="V182" s="38">
        <v>13.32426181051812</v>
      </c>
      <c r="W182" s="39">
        <v>312</v>
      </c>
      <c r="X182" s="24">
        <v>0.8666666666666667</v>
      </c>
    </row>
    <row r="183" spans="1:24" ht="13.9" customHeight="1" x14ac:dyDescent="0.2">
      <c r="A183" s="10">
        <v>21195060</v>
      </c>
      <c r="B183" s="35" t="s">
        <v>445</v>
      </c>
      <c r="C183" s="35" t="s">
        <v>381</v>
      </c>
      <c r="D183" s="35" t="s">
        <v>381</v>
      </c>
      <c r="E183" s="21" t="s">
        <v>73</v>
      </c>
      <c r="F183" s="35">
        <v>11</v>
      </c>
      <c r="G183" s="35">
        <v>950</v>
      </c>
      <c r="H183" s="36">
        <v>-74.487416669999988</v>
      </c>
      <c r="I183" s="37">
        <v>4.1927222200000003</v>
      </c>
      <c r="J183" s="22">
        <v>19.798840569003769</v>
      </c>
      <c r="K183" s="23">
        <v>19.984553008034489</v>
      </c>
      <c r="L183" s="23">
        <v>19.989968336907602</v>
      </c>
      <c r="M183" s="23">
        <v>20.000309870461589</v>
      </c>
      <c r="N183" s="23">
        <v>20.049579195916671</v>
      </c>
      <c r="O183" s="23">
        <v>20.056012969044581</v>
      </c>
      <c r="P183" s="23">
        <v>20.02675378177625</v>
      </c>
      <c r="Q183" s="23">
        <v>20.28174546114397</v>
      </c>
      <c r="R183" s="23">
        <v>20.381504495550061</v>
      </c>
      <c r="S183" s="23">
        <v>19.946410713663219</v>
      </c>
      <c r="T183" s="23">
        <v>19.62053491674844</v>
      </c>
      <c r="U183" s="23">
        <v>19.696597316634399</v>
      </c>
      <c r="V183" s="38">
        <v>19.986067552907091</v>
      </c>
      <c r="W183" s="39">
        <v>313</v>
      </c>
      <c r="X183" s="24">
        <v>0.86944444444444446</v>
      </c>
    </row>
    <row r="184" spans="1:24" ht="13.9" customHeight="1" x14ac:dyDescent="0.2">
      <c r="A184" s="10">
        <v>35055010</v>
      </c>
      <c r="B184" s="35" t="s">
        <v>445</v>
      </c>
      <c r="C184" s="35" t="s">
        <v>651</v>
      </c>
      <c r="D184" s="35" t="s">
        <v>652</v>
      </c>
      <c r="E184" s="21" t="s">
        <v>73</v>
      </c>
      <c r="F184" s="35">
        <v>3</v>
      </c>
      <c r="G184" s="35">
        <v>280</v>
      </c>
      <c r="H184" s="36">
        <v>-73.301305560000003</v>
      </c>
      <c r="I184" s="37">
        <v>4.3769722199999999</v>
      </c>
      <c r="J184" s="22">
        <v>21.59859537157967</v>
      </c>
      <c r="K184" s="23">
        <v>22.115037828366741</v>
      </c>
      <c r="L184" s="23">
        <v>22.355557121014598</v>
      </c>
      <c r="M184" s="23">
        <v>22.036802729428938</v>
      </c>
      <c r="N184" s="23">
        <v>21.941805329758608</v>
      </c>
      <c r="O184" s="23">
        <v>21.559023620058099</v>
      </c>
      <c r="P184" s="23">
        <v>21.18956317811563</v>
      </c>
      <c r="Q184" s="23">
        <v>21.362892716775249</v>
      </c>
      <c r="R184" s="23">
        <v>21.563782788093139</v>
      </c>
      <c r="S184" s="23">
        <v>21.756009862810529</v>
      </c>
      <c r="T184" s="23">
        <v>21.98590665936872</v>
      </c>
      <c r="U184" s="23">
        <v>21.853499065709961</v>
      </c>
      <c r="V184" s="38">
        <v>21.776539689256651</v>
      </c>
      <c r="W184" s="39">
        <v>305</v>
      </c>
      <c r="X184" s="24">
        <v>0.84722222222222221</v>
      </c>
    </row>
    <row r="185" spans="1:24" ht="13.9" customHeight="1" x14ac:dyDescent="0.2">
      <c r="A185" s="10">
        <v>21195190</v>
      </c>
      <c r="B185" s="35" t="s">
        <v>450</v>
      </c>
      <c r="C185" s="35" t="s">
        <v>653</v>
      </c>
      <c r="D185" s="35" t="s">
        <v>385</v>
      </c>
      <c r="E185" s="21" t="s">
        <v>73</v>
      </c>
      <c r="F185" s="35">
        <v>11</v>
      </c>
      <c r="G185" s="35">
        <v>2256</v>
      </c>
      <c r="H185" s="36">
        <v>-74.311750000000004</v>
      </c>
      <c r="I185" s="37">
        <v>4.3101111100000002</v>
      </c>
      <c r="J185" s="22">
        <v>10.475423366029601</v>
      </c>
      <c r="K185" s="23">
        <v>10.54032854451895</v>
      </c>
      <c r="L185" s="23">
        <v>11.6072284190411</v>
      </c>
      <c r="M185" s="23">
        <v>11.75366843501326</v>
      </c>
      <c r="N185" s="23">
        <v>11.934862192559629</v>
      </c>
      <c r="O185" s="23">
        <v>11.559504827866901</v>
      </c>
      <c r="P185" s="23">
        <v>11.488216794380589</v>
      </c>
      <c r="Q185" s="23">
        <v>11.261282597948339</v>
      </c>
      <c r="R185" s="23">
        <v>11.04110301039956</v>
      </c>
      <c r="S185" s="23">
        <v>11.118537209889681</v>
      </c>
      <c r="T185" s="23">
        <v>11.27767507449979</v>
      </c>
      <c r="U185" s="23">
        <v>10.6154827316547</v>
      </c>
      <c r="V185" s="38">
        <v>11.222776100316841</v>
      </c>
      <c r="W185" s="39">
        <v>300</v>
      </c>
      <c r="X185" s="24">
        <v>0.83333333333333337</v>
      </c>
    </row>
    <row r="186" spans="1:24" ht="13.9" customHeight="1" x14ac:dyDescent="0.2">
      <c r="A186" s="10">
        <v>23125070</v>
      </c>
      <c r="B186" s="35" t="s">
        <v>445</v>
      </c>
      <c r="C186" s="35" t="s">
        <v>654</v>
      </c>
      <c r="D186" s="35" t="s">
        <v>655</v>
      </c>
      <c r="E186" s="21" t="s">
        <v>73</v>
      </c>
      <c r="F186" s="35">
        <v>11</v>
      </c>
      <c r="G186" s="35">
        <v>2200</v>
      </c>
      <c r="H186" s="36">
        <v>-74.066666669999989</v>
      </c>
      <c r="I186" s="37">
        <v>5.3</v>
      </c>
      <c r="J186" s="22">
        <v>11.412186379928309</v>
      </c>
      <c r="K186" s="23">
        <v>11.66545135721381</v>
      </c>
      <c r="L186" s="23">
        <v>11.853452807646359</v>
      </c>
      <c r="M186" s="23">
        <v>12.20411056376574</v>
      </c>
      <c r="N186" s="23">
        <v>12.91760289210233</v>
      </c>
      <c r="O186" s="23">
        <v>12.54192307692308</v>
      </c>
      <c r="P186" s="23">
        <v>11.975</v>
      </c>
      <c r="Q186" s="23">
        <v>11.94274193548387</v>
      </c>
      <c r="R186" s="23">
        <v>12.01757183908046</v>
      </c>
      <c r="S186" s="23">
        <v>11.894354838709679</v>
      </c>
      <c r="T186" s="23">
        <v>11.664166666666659</v>
      </c>
      <c r="U186" s="23">
        <v>11.663440860215051</v>
      </c>
      <c r="V186" s="38">
        <v>11.979333601477951</v>
      </c>
      <c r="W186" s="39">
        <v>100</v>
      </c>
      <c r="X186" s="24">
        <v>0.83333333333333337</v>
      </c>
    </row>
    <row r="187" spans="1:24" ht="13.9" customHeight="1" x14ac:dyDescent="0.2">
      <c r="A187" s="10">
        <v>21205850</v>
      </c>
      <c r="B187" s="35" t="s">
        <v>562</v>
      </c>
      <c r="C187" s="35" t="s">
        <v>656</v>
      </c>
      <c r="D187" s="35" t="s">
        <v>657</v>
      </c>
      <c r="E187" s="21" t="s">
        <v>73</v>
      </c>
      <c r="F187" s="35">
        <v>11</v>
      </c>
      <c r="G187" s="35">
        <v>2567</v>
      </c>
      <c r="H187" s="36">
        <v>-73.84819444</v>
      </c>
      <c r="I187" s="37">
        <v>5.0338888900000001</v>
      </c>
      <c r="J187" s="22">
        <v>5.1312620260328234</v>
      </c>
      <c r="K187" s="23">
        <v>6.2737479474548454</v>
      </c>
      <c r="L187" s="23">
        <v>7.4918427882832788</v>
      </c>
      <c r="M187" s="23">
        <v>8.8220434227330795</v>
      </c>
      <c r="N187" s="23">
        <v>9.0621910261515985</v>
      </c>
      <c r="O187" s="23">
        <v>8.6835854341736685</v>
      </c>
      <c r="P187" s="23">
        <v>8.2107646356033452</v>
      </c>
      <c r="Q187" s="23">
        <v>7.9292856260042033</v>
      </c>
      <c r="R187" s="23">
        <v>7.1131518451300684</v>
      </c>
      <c r="S187" s="23">
        <v>7.6655316606929524</v>
      </c>
      <c r="T187" s="23">
        <v>7.8033333333333337</v>
      </c>
      <c r="U187" s="23">
        <v>6.4393295382669189</v>
      </c>
      <c r="V187" s="38">
        <v>7.5521724403216757</v>
      </c>
      <c r="W187" s="39">
        <v>215</v>
      </c>
      <c r="X187" s="24">
        <v>0.89583333333333337</v>
      </c>
    </row>
    <row r="188" spans="1:24" ht="13.9" customHeight="1" x14ac:dyDescent="0.2">
      <c r="A188" s="10">
        <v>21195120</v>
      </c>
      <c r="B188" s="35" t="s">
        <v>471</v>
      </c>
      <c r="C188" s="35" t="s">
        <v>658</v>
      </c>
      <c r="D188" s="35" t="s">
        <v>384</v>
      </c>
      <c r="E188" s="21" t="s">
        <v>73</v>
      </c>
      <c r="F188" s="35">
        <v>11</v>
      </c>
      <c r="G188" s="35">
        <v>1460</v>
      </c>
      <c r="H188" s="36">
        <v>-74.396138890000003</v>
      </c>
      <c r="I188" s="37">
        <v>4.3957777800000004</v>
      </c>
      <c r="J188" s="22">
        <v>15.308517975813579</v>
      </c>
      <c r="K188" s="23">
        <v>15.770978327228329</v>
      </c>
      <c r="L188" s="23">
        <v>15.92624269307003</v>
      </c>
      <c r="M188" s="23">
        <v>16.17529669181393</v>
      </c>
      <c r="N188" s="23">
        <v>16.024898941210399</v>
      </c>
      <c r="O188" s="23">
        <v>15.539828166724719</v>
      </c>
      <c r="P188" s="23">
        <v>15.545325140809011</v>
      </c>
      <c r="Q188" s="23">
        <v>15.63081985682097</v>
      </c>
      <c r="R188" s="23">
        <v>15.6368235879347</v>
      </c>
      <c r="S188" s="23">
        <v>15.62534760845384</v>
      </c>
      <c r="T188" s="23">
        <v>15.46464443602374</v>
      </c>
      <c r="U188" s="23">
        <v>15.551811312277261</v>
      </c>
      <c r="V188" s="38">
        <v>15.68337789484838</v>
      </c>
      <c r="W188" s="39">
        <v>105</v>
      </c>
      <c r="X188" s="24">
        <v>0.875</v>
      </c>
    </row>
    <row r="189" spans="1:24" ht="13.9" customHeight="1" x14ac:dyDescent="0.2">
      <c r="A189" s="10">
        <v>21205720</v>
      </c>
      <c r="B189" s="35" t="s">
        <v>445</v>
      </c>
      <c r="C189" s="35" t="s">
        <v>391</v>
      </c>
      <c r="D189" s="35" t="s">
        <v>392</v>
      </c>
      <c r="E189" s="21" t="s">
        <v>73</v>
      </c>
      <c r="F189" s="35">
        <v>11</v>
      </c>
      <c r="G189" s="35">
        <v>2900</v>
      </c>
      <c r="H189" s="36">
        <v>-74.189277779999998</v>
      </c>
      <c r="I189" s="37">
        <v>4.5057499999999999</v>
      </c>
      <c r="J189" s="22">
        <v>6.5010770717973161</v>
      </c>
      <c r="K189" s="23">
        <v>7.0897451071131421</v>
      </c>
      <c r="L189" s="23">
        <v>7.6932088223802459</v>
      </c>
      <c r="M189" s="23">
        <v>8.1951969432865965</v>
      </c>
      <c r="N189" s="23">
        <v>8.3183432132040753</v>
      </c>
      <c r="O189" s="23">
        <v>7.9245265681445014</v>
      </c>
      <c r="P189" s="23">
        <v>7.7278206554291087</v>
      </c>
      <c r="Q189" s="23">
        <v>7.6640343615186746</v>
      </c>
      <c r="R189" s="23">
        <v>7.3102534256681198</v>
      </c>
      <c r="S189" s="23">
        <v>7.4165936534420949</v>
      </c>
      <c r="T189" s="23">
        <v>7.5086781819712867</v>
      </c>
      <c r="U189" s="23">
        <v>7.017785069830679</v>
      </c>
      <c r="V189" s="38">
        <v>7.5306052561488199</v>
      </c>
      <c r="W189" s="39">
        <v>298</v>
      </c>
      <c r="X189" s="24">
        <v>0.82777777777777772</v>
      </c>
    </row>
    <row r="190" spans="1:24" ht="13.9" customHeight="1" x14ac:dyDescent="0.2">
      <c r="A190" s="10">
        <v>21205990</v>
      </c>
      <c r="B190" s="35" t="s">
        <v>562</v>
      </c>
      <c r="C190" s="35" t="s">
        <v>659</v>
      </c>
      <c r="D190" s="35" t="s">
        <v>396</v>
      </c>
      <c r="E190" s="21" t="s">
        <v>73</v>
      </c>
      <c r="F190" s="35">
        <v>11</v>
      </c>
      <c r="G190" s="35">
        <v>2560</v>
      </c>
      <c r="H190" s="36">
        <v>-73.95</v>
      </c>
      <c r="I190" s="37">
        <v>4.9277777800000004</v>
      </c>
      <c r="J190" s="22">
        <v>4.9301657706093192</v>
      </c>
      <c r="K190" s="23">
        <v>5.9033073649377998</v>
      </c>
      <c r="L190" s="23">
        <v>6.8928642936596223</v>
      </c>
      <c r="M190" s="23">
        <v>8.0981114058355441</v>
      </c>
      <c r="N190" s="23">
        <v>8.407402590179565</v>
      </c>
      <c r="O190" s="23">
        <v>7.6316373339304384</v>
      </c>
      <c r="P190" s="23">
        <v>7.2260023711760208</v>
      </c>
      <c r="Q190" s="23">
        <v>7.2768739299262091</v>
      </c>
      <c r="R190" s="23">
        <v>6.6803733990147789</v>
      </c>
      <c r="S190" s="23">
        <v>7.2893620954499712</v>
      </c>
      <c r="T190" s="23">
        <v>6.9611417069243142</v>
      </c>
      <c r="U190" s="23">
        <v>6.4353942129180064</v>
      </c>
      <c r="V190" s="38">
        <v>6.9777197062134659</v>
      </c>
      <c r="W190" s="39">
        <v>116</v>
      </c>
      <c r="X190" s="24">
        <v>0.96666666666666667</v>
      </c>
    </row>
    <row r="191" spans="1:24" ht="13.9" customHeight="1" x14ac:dyDescent="0.2">
      <c r="A191" s="10">
        <v>21205920</v>
      </c>
      <c r="B191" s="35" t="s">
        <v>562</v>
      </c>
      <c r="C191" s="35" t="s">
        <v>395</v>
      </c>
      <c r="D191" s="35" t="s">
        <v>396</v>
      </c>
      <c r="E191" s="21" t="s">
        <v>73</v>
      </c>
      <c r="F191" s="35">
        <v>11</v>
      </c>
      <c r="G191" s="35">
        <v>2650</v>
      </c>
      <c r="H191" s="36">
        <v>-73.963888890000007</v>
      </c>
      <c r="I191" s="37">
        <v>4.8208333300000001</v>
      </c>
      <c r="J191" s="22">
        <v>4.7163591730275023</v>
      </c>
      <c r="K191" s="23">
        <v>5.5838443825958679</v>
      </c>
      <c r="L191" s="23">
        <v>7.0226182530854411</v>
      </c>
      <c r="M191" s="23">
        <v>8.0480706075533668</v>
      </c>
      <c r="N191" s="23">
        <v>8.4255711791195651</v>
      </c>
      <c r="O191" s="23">
        <v>8.0316071126742585</v>
      </c>
      <c r="P191" s="23">
        <v>7.7848444585694851</v>
      </c>
      <c r="Q191" s="23">
        <v>7.3820830111058147</v>
      </c>
      <c r="R191" s="23">
        <v>6.5871179225202194</v>
      </c>
      <c r="S191" s="23">
        <v>7.2134675716782812</v>
      </c>
      <c r="T191" s="23">
        <v>7.4730875009291351</v>
      </c>
      <c r="U191" s="23">
        <v>5.7271623318935143</v>
      </c>
      <c r="V191" s="38">
        <v>6.9996527920627054</v>
      </c>
      <c r="W191" s="39">
        <v>338</v>
      </c>
      <c r="X191" s="24">
        <v>0.93888888888888888</v>
      </c>
    </row>
    <row r="192" spans="1:24" ht="13.9" customHeight="1" x14ac:dyDescent="0.2">
      <c r="A192" s="10">
        <v>21206030</v>
      </c>
      <c r="B192" s="35" t="s">
        <v>562</v>
      </c>
      <c r="C192" s="35" t="s">
        <v>654</v>
      </c>
      <c r="D192" s="35" t="s">
        <v>400</v>
      </c>
      <c r="E192" s="21" t="s">
        <v>73</v>
      </c>
      <c r="F192" s="35">
        <v>11</v>
      </c>
      <c r="G192" s="35">
        <v>2650</v>
      </c>
      <c r="H192" s="36">
        <v>-74.181666669999998</v>
      </c>
      <c r="I192" s="37">
        <v>4.9168333300000002</v>
      </c>
      <c r="J192" s="22">
        <v>5.0055655117483084</v>
      </c>
      <c r="K192" s="23">
        <v>5.9603436008967634</v>
      </c>
      <c r="L192" s="23">
        <v>7.0698363871827539</v>
      </c>
      <c r="M192" s="23">
        <v>7.934093383202578</v>
      </c>
      <c r="N192" s="23">
        <v>8.3137225604206701</v>
      </c>
      <c r="O192" s="23">
        <v>7.952925350511558</v>
      </c>
      <c r="P192" s="23">
        <v>7.6522450368495027</v>
      </c>
      <c r="Q192" s="23">
        <v>7.1998465373048246</v>
      </c>
      <c r="R192" s="23">
        <v>6.7854761904761904</v>
      </c>
      <c r="S192" s="23">
        <v>7.0705228031145726</v>
      </c>
      <c r="T192" s="23">
        <v>6.9081793749035123</v>
      </c>
      <c r="U192" s="23">
        <v>5.9334630460381286</v>
      </c>
      <c r="V192" s="38">
        <v>6.9821849818874462</v>
      </c>
      <c r="W192" s="39">
        <v>316</v>
      </c>
      <c r="X192" s="24">
        <v>0.87777777777777777</v>
      </c>
    </row>
    <row r="193" spans="1:24" ht="13.9" customHeight="1" x14ac:dyDescent="0.2">
      <c r="A193" s="10">
        <v>21205960</v>
      </c>
      <c r="B193" s="35" t="s">
        <v>562</v>
      </c>
      <c r="C193" s="35" t="s">
        <v>660</v>
      </c>
      <c r="D193" s="35" t="s">
        <v>400</v>
      </c>
      <c r="E193" s="21" t="s">
        <v>73</v>
      </c>
      <c r="F193" s="35">
        <v>11</v>
      </c>
      <c r="G193" s="35">
        <v>2650</v>
      </c>
      <c r="H193" s="36">
        <v>-74.152583329999999</v>
      </c>
      <c r="I193" s="37">
        <v>4.9390555599999999</v>
      </c>
      <c r="J193" s="22">
        <v>4.5833485533738711</v>
      </c>
      <c r="K193" s="23">
        <v>5.7406425893026869</v>
      </c>
      <c r="L193" s="23">
        <v>7.0438798770463356</v>
      </c>
      <c r="M193" s="23">
        <v>8.0631056937953485</v>
      </c>
      <c r="N193" s="23">
        <v>8.5672460179043632</v>
      </c>
      <c r="O193" s="23">
        <v>8.1302748989516225</v>
      </c>
      <c r="P193" s="23">
        <v>7.8933666539450718</v>
      </c>
      <c r="Q193" s="23">
        <v>7.491938037728997</v>
      </c>
      <c r="R193" s="23">
        <v>6.6913987808700464</v>
      </c>
      <c r="S193" s="23">
        <v>6.916340586625946</v>
      </c>
      <c r="T193" s="23">
        <v>7.024927090789161</v>
      </c>
      <c r="U193" s="23">
        <v>5.7599521400039748</v>
      </c>
      <c r="V193" s="38">
        <v>6.9922017433614529</v>
      </c>
      <c r="W193" s="39">
        <v>316</v>
      </c>
      <c r="X193" s="24">
        <v>0.87777777777777777</v>
      </c>
    </row>
    <row r="194" spans="1:24" ht="13.9" customHeight="1" x14ac:dyDescent="0.2">
      <c r="A194" s="10">
        <v>21206010</v>
      </c>
      <c r="B194" s="35" t="s">
        <v>562</v>
      </c>
      <c r="C194" s="35" t="s">
        <v>661</v>
      </c>
      <c r="D194" s="35" t="s">
        <v>662</v>
      </c>
      <c r="E194" s="21" t="s">
        <v>73</v>
      </c>
      <c r="F194" s="35">
        <v>11</v>
      </c>
      <c r="G194" s="35">
        <v>2550</v>
      </c>
      <c r="H194" s="36">
        <v>-73.802750000000003</v>
      </c>
      <c r="I194" s="37">
        <v>5.0890277800000003</v>
      </c>
      <c r="J194" s="22">
        <v>5.9921379264293479</v>
      </c>
      <c r="K194" s="23">
        <v>7.089589385111438</v>
      </c>
      <c r="L194" s="23">
        <v>8.3288792838283641</v>
      </c>
      <c r="M194" s="23">
        <v>9.3088996449272301</v>
      </c>
      <c r="N194" s="23">
        <v>9.5109235291285668</v>
      </c>
      <c r="O194" s="23">
        <v>9.4167992091226882</v>
      </c>
      <c r="P194" s="23">
        <v>8.9666665745575642</v>
      </c>
      <c r="Q194" s="23">
        <v>8.5239292316481645</v>
      </c>
      <c r="R194" s="23">
        <v>7.576507287961082</v>
      </c>
      <c r="S194" s="23">
        <v>7.9520286561287197</v>
      </c>
      <c r="T194" s="23">
        <v>8.4247400951261522</v>
      </c>
      <c r="U194" s="23">
        <v>6.7393001466774827</v>
      </c>
      <c r="V194" s="38">
        <v>8.1525334142205654</v>
      </c>
      <c r="W194" s="39">
        <v>291</v>
      </c>
      <c r="X194" s="24">
        <v>0.80833333333333335</v>
      </c>
    </row>
    <row r="195" spans="1:24" ht="13.9" customHeight="1" x14ac:dyDescent="0.2">
      <c r="A195" s="10">
        <v>21206020</v>
      </c>
      <c r="B195" s="35" t="s">
        <v>562</v>
      </c>
      <c r="C195" s="35" t="s">
        <v>403</v>
      </c>
      <c r="D195" s="35" t="s">
        <v>404</v>
      </c>
      <c r="E195" s="21" t="s">
        <v>73</v>
      </c>
      <c r="F195" s="35">
        <v>11</v>
      </c>
      <c r="G195" s="35">
        <v>2575</v>
      </c>
      <c r="H195" s="36">
        <v>-74.104833329999991</v>
      </c>
      <c r="I195" s="37">
        <v>4.8985277800000002</v>
      </c>
      <c r="J195" s="22">
        <v>5.7690240368487027</v>
      </c>
      <c r="K195" s="23">
        <v>6.5885618851136094</v>
      </c>
      <c r="L195" s="23">
        <v>7.6371980976013241</v>
      </c>
      <c r="M195" s="23">
        <v>8.291558852896781</v>
      </c>
      <c r="N195" s="23">
        <v>8.5134762831717765</v>
      </c>
      <c r="O195" s="23">
        <v>8.0621431612236218</v>
      </c>
      <c r="P195" s="23">
        <v>7.4125279631689516</v>
      </c>
      <c r="Q195" s="23">
        <v>7.107223600771988</v>
      </c>
      <c r="R195" s="23">
        <v>6.8567518092805448</v>
      </c>
      <c r="S195" s="23">
        <v>7.2154494623655934</v>
      </c>
      <c r="T195" s="23">
        <v>7.4423876271876273</v>
      </c>
      <c r="U195" s="23">
        <v>6.5362117720988691</v>
      </c>
      <c r="V195" s="38">
        <v>7.2860428793107834</v>
      </c>
      <c r="W195" s="39">
        <v>296</v>
      </c>
      <c r="X195" s="24">
        <v>0.82222222222222219</v>
      </c>
    </row>
    <row r="196" spans="1:24" ht="13.9" customHeight="1" x14ac:dyDescent="0.2">
      <c r="A196" s="10">
        <v>21205980</v>
      </c>
      <c r="B196" s="35" t="s">
        <v>445</v>
      </c>
      <c r="C196" s="35" t="s">
        <v>401</v>
      </c>
      <c r="D196" s="35" t="s">
        <v>663</v>
      </c>
      <c r="E196" s="21" t="s">
        <v>73</v>
      </c>
      <c r="F196" s="35">
        <v>11</v>
      </c>
      <c r="G196" s="35">
        <v>2560</v>
      </c>
      <c r="H196" s="36">
        <v>-74.200916669999998</v>
      </c>
      <c r="I196" s="37">
        <v>4.7923888899999998</v>
      </c>
      <c r="J196" s="22">
        <v>5.3336122968231434</v>
      </c>
      <c r="K196" s="23">
        <v>6.3531335522714834</v>
      </c>
      <c r="L196" s="23">
        <v>7.7748289876193102</v>
      </c>
      <c r="M196" s="23">
        <v>8.7995978758547135</v>
      </c>
      <c r="N196" s="23">
        <v>8.9346173869118903</v>
      </c>
      <c r="O196" s="23">
        <v>8.2866754578754591</v>
      </c>
      <c r="P196" s="23">
        <v>7.7598125606935424</v>
      </c>
      <c r="Q196" s="23">
        <v>7.4487940592962838</v>
      </c>
      <c r="R196" s="23">
        <v>6.8721572322812943</v>
      </c>
      <c r="S196" s="23">
        <v>7.5461399546429204</v>
      </c>
      <c r="T196" s="23">
        <v>7.8809532495656924</v>
      </c>
      <c r="U196" s="23">
        <v>6.5381406501050554</v>
      </c>
      <c r="V196" s="38">
        <v>7.4607052719950646</v>
      </c>
      <c r="W196" s="39">
        <v>357</v>
      </c>
      <c r="X196" s="24">
        <v>0.9916666666666667</v>
      </c>
    </row>
    <row r="197" spans="1:24" ht="13.9" customHeight="1" x14ac:dyDescent="0.2">
      <c r="A197" s="10">
        <v>35025050</v>
      </c>
      <c r="B197" s="35" t="s">
        <v>445</v>
      </c>
      <c r="C197" s="35" t="s">
        <v>664</v>
      </c>
      <c r="D197" s="35" t="s">
        <v>665</v>
      </c>
      <c r="E197" s="21" t="s">
        <v>73</v>
      </c>
      <c r="F197" s="35">
        <v>11</v>
      </c>
      <c r="G197" s="35">
        <v>2980</v>
      </c>
      <c r="H197" s="36">
        <v>-74.030277779999992</v>
      </c>
      <c r="I197" s="37">
        <v>4.4828333300000001</v>
      </c>
      <c r="J197" s="22">
        <v>6.2338565565461348</v>
      </c>
      <c r="K197" s="23">
        <v>6.529379383524704</v>
      </c>
      <c r="L197" s="23">
        <v>7.102953016579268</v>
      </c>
      <c r="M197" s="23">
        <v>7.6052566441646876</v>
      </c>
      <c r="N197" s="23">
        <v>7.5952603441409519</v>
      </c>
      <c r="O197" s="23">
        <v>7.2141235831005934</v>
      </c>
      <c r="P197" s="23">
        <v>6.8058432529307584</v>
      </c>
      <c r="Q197" s="23">
        <v>6.7314833993212266</v>
      </c>
      <c r="R197" s="23">
        <v>6.6744484517945102</v>
      </c>
      <c r="S197" s="23">
        <v>7.0406365822190944</v>
      </c>
      <c r="T197" s="23">
        <v>7.4026465092576874</v>
      </c>
      <c r="U197" s="23">
        <v>6.8793913210445474</v>
      </c>
      <c r="V197" s="38">
        <v>6.9846065870520144</v>
      </c>
      <c r="W197" s="39">
        <v>348</v>
      </c>
      <c r="X197" s="24">
        <v>0.96666666666666667</v>
      </c>
    </row>
    <row r="198" spans="1:24" ht="13.9" customHeight="1" x14ac:dyDescent="0.2">
      <c r="A198" s="10">
        <v>23065110</v>
      </c>
      <c r="B198" s="35" t="s">
        <v>471</v>
      </c>
      <c r="C198" s="35" t="s">
        <v>666</v>
      </c>
      <c r="D198" s="35" t="s">
        <v>413</v>
      </c>
      <c r="E198" s="21" t="s">
        <v>73</v>
      </c>
      <c r="F198" s="35">
        <v>11</v>
      </c>
      <c r="G198" s="35">
        <v>1347</v>
      </c>
      <c r="H198" s="36">
        <v>-74.354583329999997</v>
      </c>
      <c r="I198" s="37">
        <v>5.4841666699999996</v>
      </c>
      <c r="J198" s="22">
        <v>17.46306409571363</v>
      </c>
      <c r="K198" s="23">
        <v>17.735024949063931</v>
      </c>
      <c r="L198" s="23">
        <v>17.4911768623281</v>
      </c>
      <c r="M198" s="23">
        <v>17.68059650811087</v>
      </c>
      <c r="N198" s="23">
        <v>17.76799125608273</v>
      </c>
      <c r="O198" s="23">
        <v>17.790383328872171</v>
      </c>
      <c r="P198" s="23">
        <v>17.563073923478811</v>
      </c>
      <c r="Q198" s="23">
        <v>17.778977596700429</v>
      </c>
      <c r="R198" s="23">
        <v>17.734083083854891</v>
      </c>
      <c r="S198" s="23">
        <v>17.55553869614879</v>
      </c>
      <c r="T198" s="23">
        <v>17.525080353341849</v>
      </c>
      <c r="U198" s="23">
        <v>17.713327540707969</v>
      </c>
      <c r="V198" s="38">
        <v>17.649859849533691</v>
      </c>
      <c r="W198" s="39">
        <v>293</v>
      </c>
      <c r="X198" s="24">
        <v>0.81388888888888888</v>
      </c>
    </row>
    <row r="199" spans="1:24" ht="13.9" customHeight="1" x14ac:dyDescent="0.2">
      <c r="A199" s="10">
        <v>21205910</v>
      </c>
      <c r="B199" s="35" t="s">
        <v>471</v>
      </c>
      <c r="C199" s="35" t="s">
        <v>667</v>
      </c>
      <c r="D199" s="35" t="s">
        <v>668</v>
      </c>
      <c r="E199" s="21" t="s">
        <v>73</v>
      </c>
      <c r="F199" s="35">
        <v>11</v>
      </c>
      <c r="G199" s="35">
        <v>2600</v>
      </c>
      <c r="H199" s="36">
        <v>-74.001194439999992</v>
      </c>
      <c r="I199" s="37">
        <v>4.9892222200000003</v>
      </c>
      <c r="J199" s="22">
        <v>5.4981794696276589</v>
      </c>
      <c r="K199" s="23">
        <v>6.1694847515192324</v>
      </c>
      <c r="L199" s="23">
        <v>7.5692521182658368</v>
      </c>
      <c r="M199" s="23">
        <v>8.1735431490603894</v>
      </c>
      <c r="N199" s="23">
        <v>8.3470111394876447</v>
      </c>
      <c r="O199" s="23">
        <v>7.9062026394210303</v>
      </c>
      <c r="P199" s="23">
        <v>7.5370494203316492</v>
      </c>
      <c r="Q199" s="23">
        <v>7.3929109416106078</v>
      </c>
      <c r="R199" s="23">
        <v>6.7464755799755807</v>
      </c>
      <c r="S199" s="23">
        <v>7.2732737412107342</v>
      </c>
      <c r="T199" s="23">
        <v>7.5627493724402157</v>
      </c>
      <c r="U199" s="23">
        <v>6.4397931553272887</v>
      </c>
      <c r="V199" s="38">
        <v>7.2179937898564903</v>
      </c>
      <c r="W199" s="39">
        <v>333</v>
      </c>
      <c r="X199" s="24">
        <v>0.92500000000000004</v>
      </c>
    </row>
    <row r="200" spans="1:24" ht="13.9" customHeight="1" x14ac:dyDescent="0.2">
      <c r="A200" s="10">
        <v>31095030</v>
      </c>
      <c r="B200" s="35" t="s">
        <v>450</v>
      </c>
      <c r="C200" s="35" t="s">
        <v>669</v>
      </c>
      <c r="D200" s="35" t="s">
        <v>155</v>
      </c>
      <c r="E200" s="21" t="s">
        <v>154</v>
      </c>
      <c r="F200" s="35">
        <v>3</v>
      </c>
      <c r="G200" s="35">
        <v>100</v>
      </c>
      <c r="H200" s="36">
        <v>-67.919055560000004</v>
      </c>
      <c r="I200" s="37">
        <v>3.87441667</v>
      </c>
      <c r="J200" s="22">
        <v>22.47131883015226</v>
      </c>
      <c r="K200" s="23">
        <v>22.783127489979059</v>
      </c>
      <c r="L200" s="23">
        <v>22.96497311827957</v>
      </c>
      <c r="M200" s="23">
        <v>22.85861083743842</v>
      </c>
      <c r="N200" s="23">
        <v>22.849687167671039</v>
      </c>
      <c r="O200" s="23">
        <v>22.553609195402299</v>
      </c>
      <c r="P200" s="23">
        <v>22.316915376058869</v>
      </c>
      <c r="Q200" s="23">
        <v>22.554227490862861</v>
      </c>
      <c r="R200" s="23">
        <v>22.62268199233716</v>
      </c>
      <c r="S200" s="23">
        <v>22.615609788654069</v>
      </c>
      <c r="T200" s="23">
        <v>22.869991461412148</v>
      </c>
      <c r="U200" s="23">
        <v>22.783170828196219</v>
      </c>
      <c r="V200" s="38">
        <v>22.686993631370338</v>
      </c>
      <c r="W200" s="39">
        <v>301</v>
      </c>
      <c r="X200" s="24">
        <v>0.83611111111111114</v>
      </c>
    </row>
    <row r="201" spans="1:24" ht="13.9" customHeight="1" x14ac:dyDescent="0.2">
      <c r="A201" s="10">
        <v>31015010</v>
      </c>
      <c r="B201" s="35" t="s">
        <v>445</v>
      </c>
      <c r="C201" s="35" t="s">
        <v>149</v>
      </c>
      <c r="D201" s="35" t="s">
        <v>152</v>
      </c>
      <c r="E201" s="21" t="s">
        <v>151</v>
      </c>
      <c r="F201" s="35">
        <v>3</v>
      </c>
      <c r="G201" s="35">
        <v>150</v>
      </c>
      <c r="H201" s="36">
        <v>-72.64</v>
      </c>
      <c r="I201" s="37">
        <v>2.3727777799999998</v>
      </c>
      <c r="J201" s="22">
        <v>21.055447834726149</v>
      </c>
      <c r="K201" s="23">
        <v>21.570619243889361</v>
      </c>
      <c r="L201" s="23">
        <v>21.84430313839772</v>
      </c>
      <c r="M201" s="23">
        <v>22.058184343629279</v>
      </c>
      <c r="N201" s="23">
        <v>22.02094330208168</v>
      </c>
      <c r="O201" s="23">
        <v>21.596033342455758</v>
      </c>
      <c r="P201" s="23">
        <v>21.121835024190759</v>
      </c>
      <c r="Q201" s="23">
        <v>21.13704119852942</v>
      </c>
      <c r="R201" s="23">
        <v>21.37518499513471</v>
      </c>
      <c r="S201" s="23">
        <v>21.780571762049181</v>
      </c>
      <c r="T201" s="23">
        <v>21.833615328050261</v>
      </c>
      <c r="U201" s="23">
        <v>21.592333320299058</v>
      </c>
      <c r="V201" s="38">
        <v>21.582176069452771</v>
      </c>
      <c r="W201" s="39">
        <v>292</v>
      </c>
      <c r="X201" s="24">
        <v>0.81111111111111112</v>
      </c>
    </row>
    <row r="202" spans="1:24" ht="13.9" customHeight="1" x14ac:dyDescent="0.2">
      <c r="A202" s="10">
        <v>32155010</v>
      </c>
      <c r="B202" s="35" t="s">
        <v>445</v>
      </c>
      <c r="C202" s="35" t="s">
        <v>158</v>
      </c>
      <c r="D202" s="35" t="s">
        <v>670</v>
      </c>
      <c r="E202" s="21" t="s">
        <v>151</v>
      </c>
      <c r="F202" s="35">
        <v>3</v>
      </c>
      <c r="G202" s="35">
        <v>140</v>
      </c>
      <c r="H202" s="36">
        <v>-70.533333329999991</v>
      </c>
      <c r="I202" s="37">
        <v>2.8</v>
      </c>
      <c r="J202" s="22">
        <v>22.057948028673842</v>
      </c>
      <c r="K202" s="23">
        <v>22.321760008866491</v>
      </c>
      <c r="L202" s="23">
        <v>22.613053598648701</v>
      </c>
      <c r="M202" s="23">
        <v>22.718904397007851</v>
      </c>
      <c r="N202" s="23">
        <v>22.548868495859601</v>
      </c>
      <c r="O202" s="23">
        <v>22.201682797256829</v>
      </c>
      <c r="P202" s="23">
        <v>21.93480657520702</v>
      </c>
      <c r="Q202" s="23">
        <v>22.032215837360152</v>
      </c>
      <c r="R202" s="23">
        <v>22.15150467164079</v>
      </c>
      <c r="S202" s="23">
        <v>22.248488298545219</v>
      </c>
      <c r="T202" s="23">
        <v>22.64457849039999</v>
      </c>
      <c r="U202" s="23">
        <v>22.381513936381069</v>
      </c>
      <c r="V202" s="38">
        <v>22.321277094653961</v>
      </c>
      <c r="W202" s="39">
        <v>212</v>
      </c>
      <c r="X202" s="24">
        <v>0.8833333333333333</v>
      </c>
    </row>
    <row r="203" spans="1:24" ht="13.9" customHeight="1" x14ac:dyDescent="0.2">
      <c r="A203" s="10">
        <v>32105080</v>
      </c>
      <c r="B203" s="35" t="s">
        <v>450</v>
      </c>
      <c r="C203" s="35" t="s">
        <v>671</v>
      </c>
      <c r="D203" s="35" t="s">
        <v>670</v>
      </c>
      <c r="E203" s="21" t="s">
        <v>151</v>
      </c>
      <c r="F203" s="35">
        <v>3</v>
      </c>
      <c r="G203" s="35">
        <v>165</v>
      </c>
      <c r="H203" s="36">
        <v>-72.650000000000006</v>
      </c>
      <c r="I203" s="37">
        <v>2.5499997200000002</v>
      </c>
      <c r="J203" s="22">
        <v>21.5180896469328</v>
      </c>
      <c r="K203" s="23">
        <v>21.612939655172411</v>
      </c>
      <c r="L203" s="23">
        <v>22.206799795186889</v>
      </c>
      <c r="M203" s="23">
        <v>22.684398148148141</v>
      </c>
      <c r="N203" s="23">
        <v>22.643688342720601</v>
      </c>
      <c r="O203" s="23">
        <v>21.99616006811409</v>
      </c>
      <c r="P203" s="23">
        <v>21.569830676059819</v>
      </c>
      <c r="Q203" s="23">
        <v>21.49360215053763</v>
      </c>
      <c r="R203" s="23">
        <v>22.048017241379309</v>
      </c>
      <c r="S203" s="23">
        <v>22.40726403823178</v>
      </c>
      <c r="T203" s="23">
        <v>22.438591954022989</v>
      </c>
      <c r="U203" s="23">
        <v>22.112617311415971</v>
      </c>
      <c r="V203" s="38">
        <v>22.060999918993542</v>
      </c>
      <c r="W203" s="39">
        <v>103</v>
      </c>
      <c r="X203" s="24">
        <v>0.85833333333333328</v>
      </c>
    </row>
    <row r="204" spans="1:24" ht="13.9" customHeight="1" x14ac:dyDescent="0.2">
      <c r="A204" s="10">
        <v>21045010</v>
      </c>
      <c r="B204" s="35" t="s">
        <v>445</v>
      </c>
      <c r="C204" s="35" t="s">
        <v>672</v>
      </c>
      <c r="D204" s="35" t="s">
        <v>673</v>
      </c>
      <c r="E204" s="21" t="s">
        <v>79</v>
      </c>
      <c r="F204" s="35">
        <v>4</v>
      </c>
      <c r="G204" s="35">
        <v>780</v>
      </c>
      <c r="H204" s="36">
        <v>-75.705083329999994</v>
      </c>
      <c r="I204" s="37">
        <v>2.2815833300000001</v>
      </c>
      <c r="J204" s="22">
        <v>18.990858458716311</v>
      </c>
      <c r="K204" s="23">
        <v>19.15719193126948</v>
      </c>
      <c r="L204" s="23">
        <v>19.37204599761051</v>
      </c>
      <c r="M204" s="23">
        <v>19.36851888341543</v>
      </c>
      <c r="N204" s="23">
        <v>19.3871286119007</v>
      </c>
      <c r="O204" s="23">
        <v>18.697382282030549</v>
      </c>
      <c r="P204" s="23">
        <v>18.096144450458919</v>
      </c>
      <c r="Q204" s="23">
        <v>18.062208518917281</v>
      </c>
      <c r="R204" s="23">
        <v>18.3161002782339</v>
      </c>
      <c r="S204" s="23">
        <v>18.980233375215231</v>
      </c>
      <c r="T204" s="23">
        <v>19.511781009220659</v>
      </c>
      <c r="U204" s="23">
        <v>19.371248741988449</v>
      </c>
      <c r="V204" s="38">
        <v>18.942570211581451</v>
      </c>
      <c r="W204" s="39">
        <v>221</v>
      </c>
      <c r="X204" s="24">
        <v>0.92083333333333328</v>
      </c>
    </row>
    <row r="205" spans="1:24" ht="13.9" customHeight="1" x14ac:dyDescent="0.2">
      <c r="A205" s="10">
        <v>21105030</v>
      </c>
      <c r="B205" s="35" t="s">
        <v>445</v>
      </c>
      <c r="C205" s="35" t="s">
        <v>674</v>
      </c>
      <c r="D205" s="35" t="s">
        <v>674</v>
      </c>
      <c r="E205" s="21" t="s">
        <v>79</v>
      </c>
      <c r="F205" s="35">
        <v>4</v>
      </c>
      <c r="G205" s="35">
        <v>1155</v>
      </c>
      <c r="H205" s="36">
        <v>-75.319997220000005</v>
      </c>
      <c r="I205" s="37">
        <v>2.52</v>
      </c>
      <c r="J205" s="22">
        <v>17.79798283880131</v>
      </c>
      <c r="K205" s="23">
        <v>17.9640225869632</v>
      </c>
      <c r="L205" s="23">
        <v>18.336975627019019</v>
      </c>
      <c r="M205" s="23">
        <v>18.341036835383481</v>
      </c>
      <c r="N205" s="23">
        <v>18.398860210476201</v>
      </c>
      <c r="O205" s="23">
        <v>17.759295781973261</v>
      </c>
      <c r="P205" s="23">
        <v>17.28965211891208</v>
      </c>
      <c r="Q205" s="23">
        <v>17.32404703223521</v>
      </c>
      <c r="R205" s="23">
        <v>17.270482092287189</v>
      </c>
      <c r="S205" s="23">
        <v>17.88569573172828</v>
      </c>
      <c r="T205" s="23">
        <v>18.404470443349759</v>
      </c>
      <c r="U205" s="23">
        <v>18.09625277351083</v>
      </c>
      <c r="V205" s="38">
        <v>17.905731172719989</v>
      </c>
      <c r="W205" s="39">
        <v>217</v>
      </c>
      <c r="X205" s="24">
        <v>0.90416666666666667</v>
      </c>
    </row>
    <row r="206" spans="1:24" ht="13.9" customHeight="1" x14ac:dyDescent="0.2">
      <c r="A206" s="10">
        <v>21025030</v>
      </c>
      <c r="B206" s="35" t="s">
        <v>445</v>
      </c>
      <c r="C206" s="35" t="s">
        <v>675</v>
      </c>
      <c r="D206" s="35" t="s">
        <v>179</v>
      </c>
      <c r="E206" s="21" t="s">
        <v>79</v>
      </c>
      <c r="F206" s="35">
        <v>4</v>
      </c>
      <c r="G206" s="35">
        <v>1368</v>
      </c>
      <c r="H206" s="36">
        <v>-75.736222220000002</v>
      </c>
      <c r="I206" s="37">
        <v>2.0791666700000002</v>
      </c>
      <c r="J206" s="22">
        <v>17.510494623655919</v>
      </c>
      <c r="K206" s="23">
        <v>17.55193770788598</v>
      </c>
      <c r="L206" s="23">
        <v>17.443521372954081</v>
      </c>
      <c r="M206" s="23">
        <v>17.17252380952381</v>
      </c>
      <c r="N206" s="23">
        <v>17.005157170518679</v>
      </c>
      <c r="O206" s="23">
        <v>16.683926290822839</v>
      </c>
      <c r="P206" s="23">
        <v>16.31980835849356</v>
      </c>
      <c r="Q206" s="23">
        <v>16.339759362254359</v>
      </c>
      <c r="R206" s="23">
        <v>16.856863660477451</v>
      </c>
      <c r="S206" s="23">
        <v>17.29926947890819</v>
      </c>
      <c r="T206" s="23">
        <v>17.190538587848931</v>
      </c>
      <c r="U206" s="23">
        <v>17.25459139784946</v>
      </c>
      <c r="V206" s="38">
        <v>17.052365985099438</v>
      </c>
      <c r="W206" s="39">
        <v>119</v>
      </c>
      <c r="X206" s="24">
        <v>0.9916666666666667</v>
      </c>
    </row>
    <row r="207" spans="1:24" ht="13.9" customHeight="1" x14ac:dyDescent="0.2">
      <c r="A207" s="10">
        <v>21115160</v>
      </c>
      <c r="B207" s="35" t="s">
        <v>450</v>
      </c>
      <c r="C207" s="35" t="s">
        <v>676</v>
      </c>
      <c r="D207" s="35" t="s">
        <v>677</v>
      </c>
      <c r="E207" s="21" t="s">
        <v>79</v>
      </c>
      <c r="F207" s="35">
        <v>4</v>
      </c>
      <c r="G207" s="35">
        <v>600</v>
      </c>
      <c r="H207" s="36">
        <v>-75.081527780000002</v>
      </c>
      <c r="I207" s="37">
        <v>3.1330555599999999</v>
      </c>
      <c r="J207" s="22">
        <v>21.792092570468601</v>
      </c>
      <c r="K207" s="23">
        <v>21.850940943417179</v>
      </c>
      <c r="L207" s="23">
        <v>21.676025485237691</v>
      </c>
      <c r="M207" s="23">
        <v>21.561122458001769</v>
      </c>
      <c r="N207" s="23">
        <v>21.533044708111891</v>
      </c>
      <c r="O207" s="23">
        <v>21.42971607370918</v>
      </c>
      <c r="P207" s="23">
        <v>21.695641394612469</v>
      </c>
      <c r="Q207" s="23">
        <v>22.118510359448241</v>
      </c>
      <c r="R207" s="23">
        <v>22.121976053639841</v>
      </c>
      <c r="S207" s="23">
        <v>21.855330818704161</v>
      </c>
      <c r="T207" s="23">
        <v>21.40113953658091</v>
      </c>
      <c r="U207" s="23">
        <v>21.423892022882569</v>
      </c>
      <c r="V207" s="38">
        <v>21.704952702067871</v>
      </c>
      <c r="W207" s="39">
        <v>234</v>
      </c>
      <c r="X207" s="24">
        <v>0.97499999999999998</v>
      </c>
    </row>
    <row r="208" spans="1:24" ht="13.9" customHeight="1" x14ac:dyDescent="0.2">
      <c r="A208" s="10">
        <v>21145060</v>
      </c>
      <c r="B208" s="35" t="s">
        <v>445</v>
      </c>
      <c r="C208" s="35" t="s">
        <v>493</v>
      </c>
      <c r="D208" s="35" t="s">
        <v>677</v>
      </c>
      <c r="E208" s="21" t="s">
        <v>79</v>
      </c>
      <c r="F208" s="35">
        <v>4</v>
      </c>
      <c r="G208" s="35">
        <v>1275</v>
      </c>
      <c r="H208" s="36">
        <v>-74.943444439999993</v>
      </c>
      <c r="I208" s="37">
        <v>3.2307222200000001</v>
      </c>
      <c r="J208" s="22">
        <v>19.250125480681511</v>
      </c>
      <c r="K208" s="23">
        <v>19.465110815110819</v>
      </c>
      <c r="L208" s="23">
        <v>19.379493160389849</v>
      </c>
      <c r="M208" s="23">
        <v>19.10648257617223</v>
      </c>
      <c r="N208" s="23">
        <v>19.02987897664071</v>
      </c>
      <c r="O208" s="23">
        <v>18.85436900200693</v>
      </c>
      <c r="P208" s="23">
        <v>18.986951967010171</v>
      </c>
      <c r="Q208" s="23">
        <v>19.09181870508678</v>
      </c>
      <c r="R208" s="23">
        <v>19.204425337880512</v>
      </c>
      <c r="S208" s="23">
        <v>19.101684722573779</v>
      </c>
      <c r="T208" s="23">
        <v>18.889314358693671</v>
      </c>
      <c r="U208" s="23">
        <v>19.037834142341811</v>
      </c>
      <c r="V208" s="38">
        <v>19.116457437049071</v>
      </c>
      <c r="W208" s="39">
        <v>112</v>
      </c>
      <c r="X208" s="24">
        <v>0.93333333333333335</v>
      </c>
    </row>
    <row r="209" spans="1:24" ht="13.9" customHeight="1" x14ac:dyDescent="0.2">
      <c r="A209" s="10">
        <v>21105040</v>
      </c>
      <c r="B209" s="35" t="s">
        <v>445</v>
      </c>
      <c r="C209" s="35" t="s">
        <v>678</v>
      </c>
      <c r="D209" s="35" t="s">
        <v>679</v>
      </c>
      <c r="E209" s="21" t="s">
        <v>79</v>
      </c>
      <c r="F209" s="35">
        <v>4</v>
      </c>
      <c r="G209" s="35">
        <v>680</v>
      </c>
      <c r="H209" s="36">
        <v>-75.298888890000001</v>
      </c>
      <c r="I209" s="37">
        <v>2.69680556</v>
      </c>
      <c r="J209" s="22">
        <v>21.29645301805062</v>
      </c>
      <c r="K209" s="23">
        <v>21.297223443223441</v>
      </c>
      <c r="L209" s="23">
        <v>21.123219956330079</v>
      </c>
      <c r="M209" s="23">
        <v>21.061428571428571</v>
      </c>
      <c r="N209" s="23">
        <v>21.096449427324629</v>
      </c>
      <c r="O209" s="23">
        <v>20.78623243933588</v>
      </c>
      <c r="P209" s="23">
        <v>20.528541670231881</v>
      </c>
      <c r="Q209" s="23">
        <v>20.93499658056276</v>
      </c>
      <c r="R209" s="23">
        <v>21.463722556711058</v>
      </c>
      <c r="S209" s="23">
        <v>21.534274986447151</v>
      </c>
      <c r="T209" s="23">
        <v>21.277722701149429</v>
      </c>
      <c r="U209" s="23">
        <v>21.223953930292922</v>
      </c>
      <c r="V209" s="38">
        <v>21.135351606757371</v>
      </c>
      <c r="W209" s="39">
        <v>108</v>
      </c>
      <c r="X209" s="24">
        <v>0.9</v>
      </c>
    </row>
    <row r="210" spans="1:24" ht="13.9" customHeight="1" x14ac:dyDescent="0.2">
      <c r="A210" s="10">
        <v>21105050</v>
      </c>
      <c r="B210" s="35" t="s">
        <v>471</v>
      </c>
      <c r="C210" s="35" t="s">
        <v>680</v>
      </c>
      <c r="D210" s="35" t="s">
        <v>679</v>
      </c>
      <c r="E210" s="21" t="s">
        <v>79</v>
      </c>
      <c r="F210" s="35">
        <v>4</v>
      </c>
      <c r="G210" s="35">
        <v>553</v>
      </c>
      <c r="H210" s="36">
        <v>-75.418333329999996</v>
      </c>
      <c r="I210" s="37">
        <v>2.60305556</v>
      </c>
      <c r="J210" s="22">
        <v>21.169798157778629</v>
      </c>
      <c r="K210" s="23">
        <v>21.417724972983599</v>
      </c>
      <c r="L210" s="23">
        <v>21.22200868008607</v>
      </c>
      <c r="M210" s="23">
        <v>21.168387362637361</v>
      </c>
      <c r="N210" s="23">
        <v>21.249229924784149</v>
      </c>
      <c r="O210" s="23">
        <v>21.210514273083241</v>
      </c>
      <c r="P210" s="23">
        <v>21.333127194191711</v>
      </c>
      <c r="Q210" s="23">
        <v>21.900714126807561</v>
      </c>
      <c r="R210" s="23">
        <v>21.855677339901479</v>
      </c>
      <c r="S210" s="23">
        <v>21.631065924332329</v>
      </c>
      <c r="T210" s="23">
        <v>21.177181444991781</v>
      </c>
      <c r="U210" s="23">
        <v>20.864833856696158</v>
      </c>
      <c r="V210" s="38">
        <v>21.35002193818951</v>
      </c>
      <c r="W210" s="39">
        <v>236</v>
      </c>
      <c r="X210" s="24">
        <v>0.98333333333333328</v>
      </c>
    </row>
    <row r="211" spans="1:24" ht="13.9" customHeight="1" x14ac:dyDescent="0.2">
      <c r="A211" s="10">
        <v>21145070</v>
      </c>
      <c r="B211" s="35" t="s">
        <v>445</v>
      </c>
      <c r="C211" s="35" t="s">
        <v>681</v>
      </c>
      <c r="D211" s="35" t="s">
        <v>191</v>
      </c>
      <c r="E211" s="21" t="s">
        <v>79</v>
      </c>
      <c r="F211" s="35">
        <v>4</v>
      </c>
      <c r="G211" s="35">
        <v>1476</v>
      </c>
      <c r="H211" s="36">
        <v>-74.702888889999997</v>
      </c>
      <c r="I211" s="37">
        <v>3.3110277799999999</v>
      </c>
      <c r="J211" s="22">
        <v>16.63606803450061</v>
      </c>
      <c r="K211" s="23">
        <v>16.953869952259321</v>
      </c>
      <c r="L211" s="23">
        <v>17.03387935683498</v>
      </c>
      <c r="M211" s="23">
        <v>16.85293963617745</v>
      </c>
      <c r="N211" s="23">
        <v>16.61154101387428</v>
      </c>
      <c r="O211" s="23">
        <v>16.09388122902326</v>
      </c>
      <c r="P211" s="23">
        <v>15.65684489649273</v>
      </c>
      <c r="Q211" s="23">
        <v>15.86804656274154</v>
      </c>
      <c r="R211" s="23">
        <v>16.210766042423</v>
      </c>
      <c r="S211" s="23">
        <v>16.487496252960842</v>
      </c>
      <c r="T211" s="23">
        <v>16.637608818030269</v>
      </c>
      <c r="U211" s="23">
        <v>16.512133173705731</v>
      </c>
      <c r="V211" s="38">
        <v>16.46292291408534</v>
      </c>
      <c r="W211" s="39">
        <v>322</v>
      </c>
      <c r="X211" s="24">
        <v>0.89444444444444449</v>
      </c>
    </row>
    <row r="212" spans="1:24" ht="13.9" customHeight="1" x14ac:dyDescent="0.2">
      <c r="A212" s="10">
        <v>21145080</v>
      </c>
      <c r="B212" s="35" t="s">
        <v>445</v>
      </c>
      <c r="C212" s="35" t="s">
        <v>682</v>
      </c>
      <c r="D212" s="35" t="s">
        <v>191</v>
      </c>
      <c r="E212" s="21" t="s">
        <v>79</v>
      </c>
      <c r="F212" s="35">
        <v>4</v>
      </c>
      <c r="G212" s="35">
        <v>1410</v>
      </c>
      <c r="H212" s="36">
        <v>-74.702944439999996</v>
      </c>
      <c r="I212" s="37">
        <v>3.5897777799999999</v>
      </c>
      <c r="J212" s="22">
        <v>15.75241550677471</v>
      </c>
      <c r="K212" s="23">
        <v>16.022670534298371</v>
      </c>
      <c r="L212" s="23">
        <v>16.51035895848177</v>
      </c>
      <c r="M212" s="23">
        <v>16.481755723889538</v>
      </c>
      <c r="N212" s="23">
        <v>16.393761391585969</v>
      </c>
      <c r="O212" s="23">
        <v>15.598270512905181</v>
      </c>
      <c r="P212" s="23">
        <v>15.20904351496088</v>
      </c>
      <c r="Q212" s="23">
        <v>15.28784620132488</v>
      </c>
      <c r="R212" s="23">
        <v>15.67780219897565</v>
      </c>
      <c r="S212" s="23">
        <v>16.094530495829719</v>
      </c>
      <c r="T212" s="23">
        <v>16.346470065821791</v>
      </c>
      <c r="U212" s="23">
        <v>15.89698964082266</v>
      </c>
      <c r="V212" s="38">
        <v>15.939326228805919</v>
      </c>
      <c r="W212" s="39">
        <v>302</v>
      </c>
      <c r="X212" s="24">
        <v>0.83888888888888891</v>
      </c>
    </row>
    <row r="213" spans="1:24" ht="13.9" customHeight="1" x14ac:dyDescent="0.2">
      <c r="A213" s="10">
        <v>21065040</v>
      </c>
      <c r="B213" s="35" t="s">
        <v>445</v>
      </c>
      <c r="C213" s="35" t="s">
        <v>683</v>
      </c>
      <c r="D213" s="35" t="s">
        <v>184</v>
      </c>
      <c r="E213" s="21" t="s">
        <v>79</v>
      </c>
      <c r="F213" s="35">
        <v>4</v>
      </c>
      <c r="G213" s="35">
        <v>1270</v>
      </c>
      <c r="H213" s="36">
        <v>-75.529444439999992</v>
      </c>
      <c r="I213" s="37">
        <v>2.2524999999999999</v>
      </c>
      <c r="J213" s="22">
        <v>16.11964507630724</v>
      </c>
      <c r="K213" s="23">
        <v>16.385209166659831</v>
      </c>
      <c r="L213" s="23">
        <v>16.647817688868479</v>
      </c>
      <c r="M213" s="23">
        <v>16.684399422298529</v>
      </c>
      <c r="N213" s="23">
        <v>16.741780385243079</v>
      </c>
      <c r="O213" s="23">
        <v>16.188452113757151</v>
      </c>
      <c r="P213" s="23">
        <v>15.64745715221115</v>
      </c>
      <c r="Q213" s="23">
        <v>15.418794564997761</v>
      </c>
      <c r="R213" s="23">
        <v>15.41515998624619</v>
      </c>
      <c r="S213" s="23">
        <v>16.083376302838008</v>
      </c>
      <c r="T213" s="23">
        <v>16.56173570235639</v>
      </c>
      <c r="U213" s="23">
        <v>16.28579159558064</v>
      </c>
      <c r="V213" s="38">
        <v>16.181634929780369</v>
      </c>
      <c r="W213" s="39">
        <v>326</v>
      </c>
      <c r="X213" s="24">
        <v>0.90555555555555556</v>
      </c>
    </row>
    <row r="214" spans="1:24" ht="13.9" customHeight="1" x14ac:dyDescent="0.2">
      <c r="A214" s="10">
        <v>21035020</v>
      </c>
      <c r="B214" s="35" t="s">
        <v>445</v>
      </c>
      <c r="C214" s="35" t="s">
        <v>684</v>
      </c>
      <c r="D214" s="35" t="s">
        <v>685</v>
      </c>
      <c r="E214" s="21" t="s">
        <v>79</v>
      </c>
      <c r="F214" s="35">
        <v>4</v>
      </c>
      <c r="G214" s="35">
        <v>2102</v>
      </c>
      <c r="H214" s="36">
        <v>-75.679000000000002</v>
      </c>
      <c r="I214" s="37">
        <v>1.91388889</v>
      </c>
      <c r="J214" s="22">
        <v>13.69655172413793</v>
      </c>
      <c r="K214" s="23">
        <v>13.80769230769231</v>
      </c>
      <c r="L214" s="23">
        <v>14.129032258064511</v>
      </c>
      <c r="M214" s="23">
        <v>13.84</v>
      </c>
      <c r="N214" s="23">
        <v>14.01935483870967</v>
      </c>
      <c r="O214" s="23">
        <v>13.706666666666671</v>
      </c>
      <c r="P214" s="23">
        <v>12.55862068965517</v>
      </c>
      <c r="Q214" s="23">
        <v>12.124137931034481</v>
      </c>
      <c r="R214" s="23">
        <v>12.984615384615379</v>
      </c>
      <c r="S214" s="23">
        <v>12.664516129032259</v>
      </c>
      <c r="T214" s="23">
        <v>13.58666666666667</v>
      </c>
      <c r="U214" s="23">
        <v>13.974193548387101</v>
      </c>
      <c r="V214" s="38">
        <v>13.42433734538851</v>
      </c>
      <c r="W214" s="39">
        <v>116</v>
      </c>
      <c r="X214" s="24">
        <v>0.96666666666666667</v>
      </c>
    </row>
    <row r="215" spans="1:24" ht="13.9" customHeight="1" x14ac:dyDescent="0.2">
      <c r="A215" s="10">
        <v>21085020</v>
      </c>
      <c r="B215" s="35" t="s">
        <v>445</v>
      </c>
      <c r="C215" s="35" t="s">
        <v>686</v>
      </c>
      <c r="D215" s="35" t="s">
        <v>686</v>
      </c>
      <c r="E215" s="21" t="s">
        <v>79</v>
      </c>
      <c r="F215" s="35">
        <v>4</v>
      </c>
      <c r="G215" s="35">
        <v>1095</v>
      </c>
      <c r="H215" s="36">
        <v>-75.629249999999999</v>
      </c>
      <c r="I215" s="37">
        <v>2.6521944400000002</v>
      </c>
      <c r="J215" s="22">
        <v>19.350180035430309</v>
      </c>
      <c r="K215" s="23">
        <v>19.346774128808612</v>
      </c>
      <c r="L215" s="23">
        <v>19.292625192012292</v>
      </c>
      <c r="M215" s="23">
        <v>19.42122344322344</v>
      </c>
      <c r="N215" s="23">
        <v>19.575970152020769</v>
      </c>
      <c r="O215" s="23">
        <v>19.240667550839969</v>
      </c>
      <c r="P215" s="23">
        <v>18.997890818858561</v>
      </c>
      <c r="Q215" s="23">
        <v>19.12875571917062</v>
      </c>
      <c r="R215" s="23">
        <v>19.41226692209451</v>
      </c>
      <c r="S215" s="23">
        <v>19.16974910394266</v>
      </c>
      <c r="T215" s="23">
        <v>19.1855938697318</v>
      </c>
      <c r="U215" s="23">
        <v>19.29707947101717</v>
      </c>
      <c r="V215" s="38">
        <v>19.284898033929231</v>
      </c>
      <c r="W215" s="39">
        <v>116</v>
      </c>
      <c r="X215" s="24">
        <v>0.96666666666666667</v>
      </c>
    </row>
    <row r="216" spans="1:24" ht="13.9" customHeight="1" x14ac:dyDescent="0.2">
      <c r="A216" s="10">
        <v>21085040</v>
      </c>
      <c r="B216" s="35" t="s">
        <v>445</v>
      </c>
      <c r="C216" s="35" t="s">
        <v>687</v>
      </c>
      <c r="D216" s="35" t="s">
        <v>686</v>
      </c>
      <c r="E216" s="21" t="s">
        <v>79</v>
      </c>
      <c r="F216" s="35">
        <v>4</v>
      </c>
      <c r="G216" s="35">
        <v>1650</v>
      </c>
      <c r="H216" s="36">
        <v>-75.665555560000001</v>
      </c>
      <c r="I216" s="37">
        <v>2.6628055599999998</v>
      </c>
      <c r="J216" s="22">
        <v>15.48116402116402</v>
      </c>
      <c r="K216" s="23">
        <v>15.7165219749032</v>
      </c>
      <c r="L216" s="23">
        <v>15.890454675441701</v>
      </c>
      <c r="M216" s="23">
        <v>16.06297344820938</v>
      </c>
      <c r="N216" s="23">
        <v>16.056786490698379</v>
      </c>
      <c r="O216" s="23">
        <v>15.65807516876483</v>
      </c>
      <c r="P216" s="23">
        <v>15.348298317025559</v>
      </c>
      <c r="Q216" s="23">
        <v>15.440078983765179</v>
      </c>
      <c r="R216" s="23">
        <v>15.392879775237541</v>
      </c>
      <c r="S216" s="23">
        <v>15.540519655584401</v>
      </c>
      <c r="T216" s="23">
        <v>15.653530295566499</v>
      </c>
      <c r="U216" s="23">
        <v>15.688469004509249</v>
      </c>
      <c r="V216" s="38">
        <v>15.660812650905831</v>
      </c>
      <c r="W216" s="39">
        <v>227</v>
      </c>
      <c r="X216" s="24">
        <v>0.9458333333333333</v>
      </c>
    </row>
    <row r="217" spans="1:24" ht="13.9" customHeight="1" x14ac:dyDescent="0.2">
      <c r="A217" s="10">
        <v>21055020</v>
      </c>
      <c r="B217" s="35" t="s">
        <v>471</v>
      </c>
      <c r="C217" s="35" t="s">
        <v>688</v>
      </c>
      <c r="D217" s="35" t="s">
        <v>689</v>
      </c>
      <c r="E217" s="21" t="s">
        <v>79</v>
      </c>
      <c r="F217" s="35">
        <v>4</v>
      </c>
      <c r="G217" s="35">
        <v>1070</v>
      </c>
      <c r="H217" s="36">
        <v>-75.89</v>
      </c>
      <c r="I217" s="37">
        <v>2.38</v>
      </c>
      <c r="J217" s="22">
        <v>17.810044078059271</v>
      </c>
      <c r="K217" s="23">
        <v>18.15566560982996</v>
      </c>
      <c r="L217" s="23">
        <v>18.385642881746751</v>
      </c>
      <c r="M217" s="23">
        <v>18.397406972338011</v>
      </c>
      <c r="N217" s="23">
        <v>18.231987339240671</v>
      </c>
      <c r="O217" s="23">
        <v>17.624238007792389</v>
      </c>
      <c r="P217" s="23">
        <v>17.111509836767489</v>
      </c>
      <c r="Q217" s="23">
        <v>16.808686887767909</v>
      </c>
      <c r="R217" s="23">
        <v>17.015579608967961</v>
      </c>
      <c r="S217" s="23">
        <v>17.782191681511961</v>
      </c>
      <c r="T217" s="23">
        <v>18.43509983737351</v>
      </c>
      <c r="U217" s="23">
        <v>17.988008899211039</v>
      </c>
      <c r="V217" s="38">
        <v>17.812171803383912</v>
      </c>
      <c r="W217" s="39">
        <v>300</v>
      </c>
      <c r="X217" s="24">
        <v>0.83333333333333337</v>
      </c>
    </row>
    <row r="218" spans="1:24" ht="13.9" customHeight="1" x14ac:dyDescent="0.2">
      <c r="A218" s="10">
        <v>21115020</v>
      </c>
      <c r="B218" s="35" t="s">
        <v>690</v>
      </c>
      <c r="C218" s="35" t="s">
        <v>78</v>
      </c>
      <c r="D218" s="35" t="s">
        <v>80</v>
      </c>
      <c r="E218" s="21" t="s">
        <v>79</v>
      </c>
      <c r="F218" s="35">
        <v>4</v>
      </c>
      <c r="G218" s="35">
        <v>439</v>
      </c>
      <c r="H218" s="36">
        <v>-75.293055560000013</v>
      </c>
      <c r="I218" s="37">
        <v>2.94875</v>
      </c>
      <c r="J218" s="22">
        <v>22.567886540600661</v>
      </c>
      <c r="K218" s="23">
        <v>22.778733503618561</v>
      </c>
      <c r="L218" s="23">
        <v>22.679236559139781</v>
      </c>
      <c r="M218" s="23">
        <v>22.622593869731801</v>
      </c>
      <c r="N218" s="23">
        <v>22.715247311827959</v>
      </c>
      <c r="O218" s="23">
        <v>22.64070114942529</v>
      </c>
      <c r="P218" s="23">
        <v>22.755698924731181</v>
      </c>
      <c r="Q218" s="23">
        <v>23.298802867383511</v>
      </c>
      <c r="R218" s="23">
        <v>23.155076628352489</v>
      </c>
      <c r="S218" s="23">
        <v>22.82391397849462</v>
      </c>
      <c r="T218" s="23">
        <v>22.475999999999988</v>
      </c>
      <c r="U218" s="23">
        <v>22.434838709677422</v>
      </c>
      <c r="V218" s="38">
        <v>22.745727503581939</v>
      </c>
      <c r="W218" s="39">
        <v>359</v>
      </c>
      <c r="X218" s="24">
        <v>0.99722222222222223</v>
      </c>
    </row>
    <row r="219" spans="1:24" ht="13.9" customHeight="1" x14ac:dyDescent="0.2">
      <c r="A219" s="10">
        <v>21135050</v>
      </c>
      <c r="B219" s="35" t="s">
        <v>445</v>
      </c>
      <c r="C219" s="35" t="s">
        <v>691</v>
      </c>
      <c r="D219" s="35" t="s">
        <v>80</v>
      </c>
      <c r="E219" s="21" t="s">
        <v>79</v>
      </c>
      <c r="F219" s="35">
        <v>4</v>
      </c>
      <c r="G219" s="35">
        <v>1691</v>
      </c>
      <c r="H219" s="36">
        <v>-75.530027779999998</v>
      </c>
      <c r="I219" s="37">
        <v>3.0987777799999998</v>
      </c>
      <c r="J219" s="22">
        <v>15.326531116730671</v>
      </c>
      <c r="K219" s="23">
        <v>15.39269124445819</v>
      </c>
      <c r="L219" s="23">
        <v>15.48712335868394</v>
      </c>
      <c r="M219" s="23">
        <v>15.440220166168441</v>
      </c>
      <c r="N219" s="23">
        <v>15.480678658555631</v>
      </c>
      <c r="O219" s="23">
        <v>15.38234876326009</v>
      </c>
      <c r="P219" s="23">
        <v>15.19262583663124</v>
      </c>
      <c r="Q219" s="23">
        <v>15.39370325705676</v>
      </c>
      <c r="R219" s="23">
        <v>15.45091797980176</v>
      </c>
      <c r="S219" s="23">
        <v>15.22795494427352</v>
      </c>
      <c r="T219" s="23">
        <v>15.169731725754319</v>
      </c>
      <c r="U219" s="23">
        <v>15.13922086026162</v>
      </c>
      <c r="V219" s="38">
        <v>15.340312325969681</v>
      </c>
      <c r="W219" s="39">
        <v>332</v>
      </c>
      <c r="X219" s="24">
        <v>0.92222222222222228</v>
      </c>
    </row>
    <row r="220" spans="1:24" ht="13.9" customHeight="1" x14ac:dyDescent="0.2">
      <c r="A220" s="10">
        <v>21115100</v>
      </c>
      <c r="B220" s="35" t="s">
        <v>445</v>
      </c>
      <c r="C220" s="35" t="s">
        <v>185</v>
      </c>
      <c r="D220" s="35" t="s">
        <v>80</v>
      </c>
      <c r="E220" s="21" t="s">
        <v>79</v>
      </c>
      <c r="F220" s="35">
        <v>4</v>
      </c>
      <c r="G220" s="35">
        <v>1100</v>
      </c>
      <c r="H220" s="36">
        <v>-75.066388889999999</v>
      </c>
      <c r="I220" s="37">
        <v>2.94263889</v>
      </c>
      <c r="J220" s="22">
        <v>18.49394213055557</v>
      </c>
      <c r="K220" s="23">
        <v>18.73684363387429</v>
      </c>
      <c r="L220" s="23">
        <v>18.617993862917441</v>
      </c>
      <c r="M220" s="23">
        <v>18.508944343058111</v>
      </c>
      <c r="N220" s="23">
        <v>18.57752146737236</v>
      </c>
      <c r="O220" s="23">
        <v>18.268769346615979</v>
      </c>
      <c r="P220" s="23">
        <v>18.21514905534578</v>
      </c>
      <c r="Q220" s="23">
        <v>18.47633867500863</v>
      </c>
      <c r="R220" s="23">
        <v>18.656310283027459</v>
      </c>
      <c r="S220" s="23">
        <v>18.473899131646231</v>
      </c>
      <c r="T220" s="23">
        <v>18.34342418117356</v>
      </c>
      <c r="U220" s="23">
        <v>18.40182584249111</v>
      </c>
      <c r="V220" s="38">
        <v>18.480913496090551</v>
      </c>
      <c r="W220" s="39">
        <v>327</v>
      </c>
      <c r="X220" s="24">
        <v>0.90833333333333333</v>
      </c>
    </row>
    <row r="221" spans="1:24" ht="13.9" customHeight="1" x14ac:dyDescent="0.2">
      <c r="A221" s="10">
        <v>21125020</v>
      </c>
      <c r="B221" s="35" t="s">
        <v>445</v>
      </c>
      <c r="C221" s="35" t="s">
        <v>692</v>
      </c>
      <c r="D221" s="35" t="s">
        <v>692</v>
      </c>
      <c r="E221" s="21" t="s">
        <v>79</v>
      </c>
      <c r="F221" s="35">
        <v>4</v>
      </c>
      <c r="G221" s="35">
        <v>550</v>
      </c>
      <c r="H221" s="36">
        <v>-75.443333329999987</v>
      </c>
      <c r="I221" s="37">
        <v>2.9075000000000002</v>
      </c>
      <c r="J221" s="22">
        <v>20.939475960944261</v>
      </c>
      <c r="K221" s="23">
        <v>21.332947033809109</v>
      </c>
      <c r="L221" s="23">
        <v>21.239541218637989</v>
      </c>
      <c r="M221" s="23">
        <v>21.33822952016056</v>
      </c>
      <c r="N221" s="23">
        <v>21.458960573476698</v>
      </c>
      <c r="O221" s="23">
        <v>20.981467493766349</v>
      </c>
      <c r="P221" s="23">
        <v>20.961600955794498</v>
      </c>
      <c r="Q221" s="23">
        <v>21.506328725038401</v>
      </c>
      <c r="R221" s="23">
        <v>21.426868746579089</v>
      </c>
      <c r="S221" s="23">
        <v>21.256934251199489</v>
      </c>
      <c r="T221" s="23">
        <v>21.165343599567731</v>
      </c>
      <c r="U221" s="23">
        <v>21.117396313364051</v>
      </c>
      <c r="V221" s="38">
        <v>21.227091199361521</v>
      </c>
      <c r="W221" s="39">
        <v>107</v>
      </c>
      <c r="X221" s="24">
        <v>0.89166666666666672</v>
      </c>
    </row>
    <row r="222" spans="1:24" ht="13.9" customHeight="1" x14ac:dyDescent="0.2">
      <c r="A222" s="10">
        <v>21015020</v>
      </c>
      <c r="B222" s="35" t="s">
        <v>445</v>
      </c>
      <c r="C222" s="35" t="s">
        <v>348</v>
      </c>
      <c r="D222" s="35" t="s">
        <v>693</v>
      </c>
      <c r="E222" s="21" t="s">
        <v>79</v>
      </c>
      <c r="F222" s="35">
        <v>4</v>
      </c>
      <c r="G222" s="35">
        <v>1320</v>
      </c>
      <c r="H222" s="36">
        <v>-76.13027778</v>
      </c>
      <c r="I222" s="37">
        <v>1.8248333299999999</v>
      </c>
      <c r="J222" s="22">
        <v>15.73509919013339</v>
      </c>
      <c r="K222" s="23">
        <v>16.065611594781451</v>
      </c>
      <c r="L222" s="23">
        <v>16.257456253650361</v>
      </c>
      <c r="M222" s="23">
        <v>16.33150798546226</v>
      </c>
      <c r="N222" s="23">
        <v>16.316797820258081</v>
      </c>
      <c r="O222" s="23">
        <v>15.806358388482529</v>
      </c>
      <c r="P222" s="23">
        <v>15.35831685128821</v>
      </c>
      <c r="Q222" s="23">
        <v>14.90718038393438</v>
      </c>
      <c r="R222" s="23">
        <v>15.004165788329271</v>
      </c>
      <c r="S222" s="23">
        <v>15.705374195701349</v>
      </c>
      <c r="T222" s="23">
        <v>16.278547345683229</v>
      </c>
      <c r="U222" s="23">
        <v>16.048780920599601</v>
      </c>
      <c r="V222" s="38">
        <v>15.817933059858669</v>
      </c>
      <c r="W222" s="39">
        <v>317</v>
      </c>
      <c r="X222" s="24">
        <v>0.88055555555555554</v>
      </c>
    </row>
    <row r="223" spans="1:24" ht="13.9" customHeight="1" x14ac:dyDescent="0.2">
      <c r="A223" s="10">
        <v>21015030</v>
      </c>
      <c r="B223" s="35" t="s">
        <v>446</v>
      </c>
      <c r="C223" s="35" t="s">
        <v>694</v>
      </c>
      <c r="D223" s="35" t="s">
        <v>695</v>
      </c>
      <c r="E223" s="21" t="s">
        <v>79</v>
      </c>
      <c r="F223" s="35">
        <v>4</v>
      </c>
      <c r="G223" s="35">
        <v>1800</v>
      </c>
      <c r="H223" s="36">
        <v>-76.294972220000005</v>
      </c>
      <c r="I223" s="37">
        <v>1.8884722199999999</v>
      </c>
      <c r="J223" s="22">
        <v>13.90540488601393</v>
      </c>
      <c r="K223" s="23">
        <v>14.213509876656129</v>
      </c>
      <c r="L223" s="23">
        <v>14.38936105176631</v>
      </c>
      <c r="M223" s="23">
        <v>14.42160165155517</v>
      </c>
      <c r="N223" s="23">
        <v>14.394050201683131</v>
      </c>
      <c r="O223" s="23">
        <v>13.942394201913819</v>
      </c>
      <c r="P223" s="23">
        <v>13.40005492561896</v>
      </c>
      <c r="Q223" s="23">
        <v>13.07942688660987</v>
      </c>
      <c r="R223" s="23">
        <v>13.265368918715239</v>
      </c>
      <c r="S223" s="23">
        <v>13.844237114436661</v>
      </c>
      <c r="T223" s="23">
        <v>14.13682045184304</v>
      </c>
      <c r="U223" s="23">
        <v>14.179841457303249</v>
      </c>
      <c r="V223" s="38">
        <v>13.93100596867629</v>
      </c>
      <c r="W223" s="39">
        <v>345</v>
      </c>
      <c r="X223" s="24">
        <v>0.95833333333333337</v>
      </c>
    </row>
    <row r="224" spans="1:24" ht="13.9" customHeight="1" x14ac:dyDescent="0.2">
      <c r="A224" s="10">
        <v>21125010</v>
      </c>
      <c r="B224" s="35" t="s">
        <v>445</v>
      </c>
      <c r="C224" s="35" t="s">
        <v>696</v>
      </c>
      <c r="D224" s="35" t="s">
        <v>696</v>
      </c>
      <c r="E224" s="21" t="s">
        <v>79</v>
      </c>
      <c r="F224" s="35">
        <v>4</v>
      </c>
      <c r="G224" s="35">
        <v>1300</v>
      </c>
      <c r="H224" s="36">
        <v>-75.589055560000006</v>
      </c>
      <c r="I224" s="37">
        <v>2.9356944399999998</v>
      </c>
      <c r="J224" s="22">
        <v>16.343796156949988</v>
      </c>
      <c r="K224" s="23">
        <v>16.544026433561939</v>
      </c>
      <c r="L224" s="23">
        <v>16.856367548131601</v>
      </c>
      <c r="M224" s="23">
        <v>16.915486767808609</v>
      </c>
      <c r="N224" s="23">
        <v>16.978279500580161</v>
      </c>
      <c r="O224" s="23">
        <v>16.480001049078631</v>
      </c>
      <c r="P224" s="23">
        <v>16.196870072476859</v>
      </c>
      <c r="Q224" s="23">
        <v>16.064074250517962</v>
      </c>
      <c r="R224" s="23">
        <v>16.08128822017563</v>
      </c>
      <c r="S224" s="23">
        <v>16.53272341266446</v>
      </c>
      <c r="T224" s="23">
        <v>16.6694478906931</v>
      </c>
      <c r="U224" s="23">
        <v>16.379325176121618</v>
      </c>
      <c r="V224" s="38">
        <v>16.50347387323005</v>
      </c>
      <c r="W224" s="39">
        <v>221</v>
      </c>
      <c r="X224" s="24">
        <v>0.92083333333333328</v>
      </c>
    </row>
    <row r="225" spans="1:24" ht="13.9" customHeight="1" x14ac:dyDescent="0.2">
      <c r="A225" s="10">
        <v>21035040</v>
      </c>
      <c r="B225" s="35" t="s">
        <v>445</v>
      </c>
      <c r="C225" s="35" t="s">
        <v>697</v>
      </c>
      <c r="D225" s="35" t="s">
        <v>698</v>
      </c>
      <c r="E225" s="21" t="s">
        <v>79</v>
      </c>
      <c r="F225" s="35">
        <v>4</v>
      </c>
      <c r="G225" s="35">
        <v>1045</v>
      </c>
      <c r="H225" s="36">
        <v>-75.83</v>
      </c>
      <c r="I225" s="37">
        <v>1.87</v>
      </c>
      <c r="J225" s="22">
        <v>17.30629313007671</v>
      </c>
      <c r="K225" s="23">
        <v>17.4008860003186</v>
      </c>
      <c r="L225" s="23">
        <v>17.54230008009306</v>
      </c>
      <c r="M225" s="23">
        <v>17.507982369799791</v>
      </c>
      <c r="N225" s="23">
        <v>17.55212121093864</v>
      </c>
      <c r="O225" s="23">
        <v>17.33545880987721</v>
      </c>
      <c r="P225" s="23">
        <v>17.114824437466819</v>
      </c>
      <c r="Q225" s="23">
        <v>16.98384977222517</v>
      </c>
      <c r="R225" s="23">
        <v>16.870902755559321</v>
      </c>
      <c r="S225" s="23">
        <v>17.155636602441721</v>
      </c>
      <c r="T225" s="23">
        <v>17.44488671977944</v>
      </c>
      <c r="U225" s="23">
        <v>17.295298189246761</v>
      </c>
      <c r="V225" s="38">
        <v>17.29253667315194</v>
      </c>
      <c r="W225" s="39">
        <v>337</v>
      </c>
      <c r="X225" s="24">
        <v>0.93611111111111112</v>
      </c>
    </row>
    <row r="226" spans="1:24" ht="13.9" customHeight="1" x14ac:dyDescent="0.2">
      <c r="A226" s="10">
        <v>21115070</v>
      </c>
      <c r="B226" s="35" t="s">
        <v>445</v>
      </c>
      <c r="C226" s="35" t="s">
        <v>699</v>
      </c>
      <c r="D226" s="35" t="s">
        <v>700</v>
      </c>
      <c r="E226" s="21" t="s">
        <v>79</v>
      </c>
      <c r="F226" s="35">
        <v>4</v>
      </c>
      <c r="G226" s="35">
        <v>1300</v>
      </c>
      <c r="H226" s="36">
        <v>-75.072999999999993</v>
      </c>
      <c r="I226" s="37">
        <v>3.0149444399999998</v>
      </c>
      <c r="J226" s="22">
        <v>18.993123953578959</v>
      </c>
      <c r="K226" s="23">
        <v>18.966093240445481</v>
      </c>
      <c r="L226" s="23">
        <v>18.826718237029858</v>
      </c>
      <c r="M226" s="23">
        <v>18.909651308799379</v>
      </c>
      <c r="N226" s="23">
        <v>18.923764132731609</v>
      </c>
      <c r="O226" s="23">
        <v>18.74940175833482</v>
      </c>
      <c r="P226" s="23">
        <v>18.766953814423431</v>
      </c>
      <c r="Q226" s="23">
        <v>19.08870512832496</v>
      </c>
      <c r="R226" s="23">
        <v>19.119055335066221</v>
      </c>
      <c r="S226" s="23">
        <v>18.80746981111831</v>
      </c>
      <c r="T226" s="23">
        <v>18.62217819639563</v>
      </c>
      <c r="U226" s="23">
        <v>18.92785069537819</v>
      </c>
      <c r="V226" s="38">
        <v>18.891747134302239</v>
      </c>
      <c r="W226" s="39">
        <v>209</v>
      </c>
      <c r="X226" s="24">
        <v>0.87083333333333335</v>
      </c>
    </row>
    <row r="227" spans="1:24" ht="13.9" customHeight="1" x14ac:dyDescent="0.2">
      <c r="A227" s="10">
        <v>21145040</v>
      </c>
      <c r="B227" s="35" t="s">
        <v>450</v>
      </c>
      <c r="C227" s="35" t="s">
        <v>188</v>
      </c>
      <c r="D227" s="35" t="s">
        <v>189</v>
      </c>
      <c r="E227" s="21" t="s">
        <v>79</v>
      </c>
      <c r="F227" s="35">
        <v>4</v>
      </c>
      <c r="G227" s="35">
        <v>440</v>
      </c>
      <c r="H227" s="36">
        <v>-75.110111110000005</v>
      </c>
      <c r="I227" s="37">
        <v>3.3733611099999998</v>
      </c>
      <c r="J227" s="22">
        <v>22.802411936430889</v>
      </c>
      <c r="K227" s="23">
        <v>23.250240727966691</v>
      </c>
      <c r="L227" s="23">
        <v>22.906894151010281</v>
      </c>
      <c r="M227" s="23">
        <v>22.861938334580241</v>
      </c>
      <c r="N227" s="23">
        <v>22.84577228557783</v>
      </c>
      <c r="O227" s="23">
        <v>22.928843439310189</v>
      </c>
      <c r="P227" s="23">
        <v>23.030800614819611</v>
      </c>
      <c r="Q227" s="23">
        <v>23.46580771270726</v>
      </c>
      <c r="R227" s="23">
        <v>23.486005023711911</v>
      </c>
      <c r="S227" s="23">
        <v>23.008941552526402</v>
      </c>
      <c r="T227" s="23">
        <v>22.66981506851533</v>
      </c>
      <c r="U227" s="23">
        <v>22.66316476636943</v>
      </c>
      <c r="V227" s="38">
        <v>22.99338630112717</v>
      </c>
      <c r="W227" s="39">
        <v>310</v>
      </c>
      <c r="X227" s="24">
        <v>0.86111111111111116</v>
      </c>
    </row>
    <row r="228" spans="1:24" ht="13.9" customHeight="1" x14ac:dyDescent="0.2">
      <c r="A228" s="10">
        <v>21115060</v>
      </c>
      <c r="B228" s="35" t="s">
        <v>445</v>
      </c>
      <c r="C228" s="35" t="s">
        <v>701</v>
      </c>
      <c r="D228" s="35" t="s">
        <v>189</v>
      </c>
      <c r="E228" s="21" t="s">
        <v>79</v>
      </c>
      <c r="F228" s="35">
        <v>4</v>
      </c>
      <c r="G228" s="35">
        <v>400</v>
      </c>
      <c r="H228" s="36">
        <v>-75.184055560000004</v>
      </c>
      <c r="I228" s="37">
        <v>3.3292222200000001</v>
      </c>
      <c r="J228" s="22">
        <v>23.324803485354089</v>
      </c>
      <c r="K228" s="23">
        <v>23.557997336252509</v>
      </c>
      <c r="L228" s="23">
        <v>23.322397882209529</v>
      </c>
      <c r="M228" s="23">
        <v>23.191476232579681</v>
      </c>
      <c r="N228" s="23">
        <v>23.22331104127062</v>
      </c>
      <c r="O228" s="23">
        <v>23.179760868548222</v>
      </c>
      <c r="P228" s="23">
        <v>23.12898348154819</v>
      </c>
      <c r="Q228" s="23">
        <v>23.586230700778639</v>
      </c>
      <c r="R228" s="23">
        <v>23.773691358024688</v>
      </c>
      <c r="S228" s="23">
        <v>23.469218885181071</v>
      </c>
      <c r="T228" s="23">
        <v>23.106738004013859</v>
      </c>
      <c r="U228" s="23">
        <v>23.070754985453171</v>
      </c>
      <c r="V228" s="38">
        <v>23.327947021767852</v>
      </c>
      <c r="W228" s="39">
        <v>360</v>
      </c>
      <c r="X228" s="24">
        <v>1</v>
      </c>
    </row>
    <row r="229" spans="1:24" ht="13.9" customHeight="1" x14ac:dyDescent="0.2">
      <c r="A229" s="10">
        <v>21115080</v>
      </c>
      <c r="B229" s="35" t="s">
        <v>445</v>
      </c>
      <c r="C229" s="21" t="s">
        <v>702</v>
      </c>
      <c r="D229" s="35" t="s">
        <v>189</v>
      </c>
      <c r="E229" s="21" t="s">
        <v>79</v>
      </c>
      <c r="F229" s="35">
        <v>4</v>
      </c>
      <c r="G229" s="35">
        <v>430</v>
      </c>
      <c r="H229" s="36">
        <v>-75.247500000000002</v>
      </c>
      <c r="I229" s="37">
        <v>3.1830555600000001</v>
      </c>
      <c r="J229" s="22">
        <v>22.097322806345328</v>
      </c>
      <c r="K229" s="23">
        <v>22.32290017047627</v>
      </c>
      <c r="L229" s="23">
        <v>22.2990370159287</v>
      </c>
      <c r="M229" s="23">
        <v>22.07577552200231</v>
      </c>
      <c r="N229" s="23">
        <v>22.11815226692471</v>
      </c>
      <c r="O229" s="23">
        <v>21.710041507024261</v>
      </c>
      <c r="P229" s="23">
        <v>21.636046777611629</v>
      </c>
      <c r="Q229" s="23">
        <v>22.104883737706189</v>
      </c>
      <c r="R229" s="23">
        <v>22.408492814337649</v>
      </c>
      <c r="S229" s="23">
        <v>22.346704161763739</v>
      </c>
      <c r="T229" s="23">
        <v>22.163627248083479</v>
      </c>
      <c r="U229" s="23">
        <v>21.962519519151311</v>
      </c>
      <c r="V229" s="38">
        <v>22.10379196227963</v>
      </c>
      <c r="W229" s="39">
        <v>302</v>
      </c>
      <c r="X229" s="24">
        <v>0.83888888888888891</v>
      </c>
    </row>
    <row r="230" spans="1:24" ht="13.9" customHeight="1" x14ac:dyDescent="0.2">
      <c r="A230" s="10">
        <v>15065501</v>
      </c>
      <c r="B230" s="35" t="s">
        <v>471</v>
      </c>
      <c r="C230" s="35" t="s">
        <v>703</v>
      </c>
      <c r="D230" s="35" t="s">
        <v>704</v>
      </c>
      <c r="E230" s="21" t="s">
        <v>40</v>
      </c>
      <c r="F230" s="35">
        <v>5</v>
      </c>
      <c r="G230" s="35">
        <v>80</v>
      </c>
      <c r="H230" s="36">
        <v>-72.615944439999993</v>
      </c>
      <c r="I230" s="37">
        <v>11.13758333</v>
      </c>
      <c r="J230" s="22">
        <v>23.549618654345931</v>
      </c>
      <c r="K230" s="23">
        <v>23.84034252339756</v>
      </c>
      <c r="L230" s="23">
        <v>24.320060191014019</v>
      </c>
      <c r="M230" s="23">
        <v>24.941786596119918</v>
      </c>
      <c r="N230" s="23">
        <v>24.95031695460608</v>
      </c>
      <c r="O230" s="23">
        <v>25.261452699576129</v>
      </c>
      <c r="P230" s="23">
        <v>25.516931826979111</v>
      </c>
      <c r="Q230" s="23">
        <v>25.278432959396991</v>
      </c>
      <c r="R230" s="23">
        <v>24.51970340217995</v>
      </c>
      <c r="S230" s="23">
        <v>24.041812748046521</v>
      </c>
      <c r="T230" s="23">
        <v>24.12910130619581</v>
      </c>
      <c r="U230" s="23">
        <v>23.848426087180879</v>
      </c>
      <c r="V230" s="38">
        <v>24.516498829086579</v>
      </c>
      <c r="W230" s="39">
        <v>321</v>
      </c>
      <c r="X230" s="24">
        <v>0.89166666666666672</v>
      </c>
    </row>
    <row r="231" spans="1:24" ht="13.9" customHeight="1" x14ac:dyDescent="0.2">
      <c r="A231" s="10">
        <v>15085030</v>
      </c>
      <c r="B231" s="35" t="s">
        <v>445</v>
      </c>
      <c r="C231" s="35" t="s">
        <v>705</v>
      </c>
      <c r="D231" s="35" t="s">
        <v>201</v>
      </c>
      <c r="E231" s="21" t="s">
        <v>40</v>
      </c>
      <c r="F231" s="35">
        <v>5</v>
      </c>
      <c r="G231" s="35">
        <v>118</v>
      </c>
      <c r="H231" s="36">
        <v>-72.359944439999992</v>
      </c>
      <c r="I231" s="37">
        <v>11.216749999999999</v>
      </c>
      <c r="J231" s="22">
        <v>21.32906968707146</v>
      </c>
      <c r="K231" s="23">
        <v>21.542175066313</v>
      </c>
      <c r="L231" s="23">
        <v>22.290831511228209</v>
      </c>
      <c r="M231" s="23">
        <v>23.074668244909621</v>
      </c>
      <c r="N231" s="23">
        <v>23.418943431017961</v>
      </c>
      <c r="O231" s="23">
        <v>23.697133529440919</v>
      </c>
      <c r="P231" s="23">
        <v>23.66046866958937</v>
      </c>
      <c r="Q231" s="23">
        <v>23.659247311827961</v>
      </c>
      <c r="R231" s="23">
        <v>23.18181172727245</v>
      </c>
      <c r="S231" s="23">
        <v>22.435866459028549</v>
      </c>
      <c r="T231" s="23">
        <v>22.46780072418003</v>
      </c>
      <c r="U231" s="23">
        <v>21.860215312593279</v>
      </c>
      <c r="V231" s="38">
        <v>22.718185972872728</v>
      </c>
      <c r="W231" s="39">
        <v>303</v>
      </c>
      <c r="X231" s="24">
        <v>0.84166666666666667</v>
      </c>
    </row>
    <row r="232" spans="1:24" ht="13.9" customHeight="1" x14ac:dyDescent="0.2">
      <c r="A232" s="10">
        <v>15065180</v>
      </c>
      <c r="B232" s="35" t="s">
        <v>444</v>
      </c>
      <c r="C232" s="35" t="s">
        <v>39</v>
      </c>
      <c r="D232" s="35" t="s">
        <v>41</v>
      </c>
      <c r="E232" s="21" t="s">
        <v>40</v>
      </c>
      <c r="F232" s="35">
        <v>5</v>
      </c>
      <c r="G232" s="35">
        <v>4</v>
      </c>
      <c r="H232" s="36">
        <v>-72.917666669999988</v>
      </c>
      <c r="I232" s="37">
        <v>11.529611109999999</v>
      </c>
      <c r="J232" s="22">
        <v>22.626657529530171</v>
      </c>
      <c r="K232" s="23">
        <v>23.105488657787511</v>
      </c>
      <c r="L232" s="23">
        <v>23.626938264738602</v>
      </c>
      <c r="M232" s="23">
        <v>24.809483520994611</v>
      </c>
      <c r="N232" s="23">
        <v>25.553203495582579</v>
      </c>
      <c r="O232" s="23">
        <v>25.96773957055407</v>
      </c>
      <c r="P232" s="23">
        <v>25.91025682931615</v>
      </c>
      <c r="Q232" s="23">
        <v>25.518421261719372</v>
      </c>
      <c r="R232" s="23">
        <v>24.807709685406738</v>
      </c>
      <c r="S232" s="23">
        <v>24.24301609371965</v>
      </c>
      <c r="T232" s="23">
        <v>23.81508025573013</v>
      </c>
      <c r="U232" s="23">
        <v>23.289131627734509</v>
      </c>
      <c r="V232" s="38">
        <v>24.439427232734509</v>
      </c>
      <c r="W232" s="39">
        <v>333</v>
      </c>
      <c r="X232" s="24">
        <v>0.92500000000000004</v>
      </c>
    </row>
    <row r="233" spans="1:24" ht="13.9" customHeight="1" x14ac:dyDescent="0.2">
      <c r="A233" s="10">
        <v>15075501</v>
      </c>
      <c r="B233" s="35" t="s">
        <v>471</v>
      </c>
      <c r="C233" s="11" t="s">
        <v>706</v>
      </c>
      <c r="D233" s="35" t="s">
        <v>707</v>
      </c>
      <c r="E233" s="21" t="s">
        <v>40</v>
      </c>
      <c r="F233" s="35">
        <v>5</v>
      </c>
      <c r="G233" s="35">
        <v>10</v>
      </c>
      <c r="H233" s="36">
        <v>-71.982888889999998</v>
      </c>
      <c r="I233" s="37">
        <v>12.224305559999999</v>
      </c>
      <c r="J233" s="22">
        <v>24.558712384719069</v>
      </c>
      <c r="K233" s="23">
        <v>24.387300484394981</v>
      </c>
      <c r="L233" s="23">
        <v>24.759579723177591</v>
      </c>
      <c r="M233" s="23">
        <v>25.552403237156931</v>
      </c>
      <c r="N233" s="23">
        <v>26.33735408624414</v>
      </c>
      <c r="O233" s="23">
        <v>26.73897254860335</v>
      </c>
      <c r="P233" s="23">
        <v>26.546037375675851</v>
      </c>
      <c r="Q233" s="23">
        <v>26.859429126470289</v>
      </c>
      <c r="R233" s="23">
        <v>26.813616584564858</v>
      </c>
      <c r="S233" s="23">
        <v>26.1466090788707</v>
      </c>
      <c r="T233" s="23">
        <v>25.809119616016169</v>
      </c>
      <c r="U233" s="23">
        <v>25.254070954793971</v>
      </c>
      <c r="V233" s="38">
        <v>25.813600433390661</v>
      </c>
      <c r="W233" s="39">
        <v>319</v>
      </c>
      <c r="X233" s="24">
        <v>0.88611111111111107</v>
      </c>
    </row>
    <row r="234" spans="1:24" ht="13.9" customHeight="1" x14ac:dyDescent="0.2">
      <c r="A234" s="10">
        <v>15085020</v>
      </c>
      <c r="B234" s="35" t="s">
        <v>471</v>
      </c>
      <c r="C234" s="35" t="s">
        <v>708</v>
      </c>
      <c r="D234" s="35" t="s">
        <v>707</v>
      </c>
      <c r="E234" s="21" t="s">
        <v>40</v>
      </c>
      <c r="F234" s="35">
        <v>5</v>
      </c>
      <c r="G234" s="35">
        <v>85</v>
      </c>
      <c r="H234" s="36">
        <v>-71.28388889</v>
      </c>
      <c r="I234" s="37">
        <v>12.17888889</v>
      </c>
      <c r="J234" s="22">
        <v>23.33485642702399</v>
      </c>
      <c r="K234" s="23">
        <v>23.164558343157481</v>
      </c>
      <c r="L234" s="23">
        <v>23.571152943799081</v>
      </c>
      <c r="M234" s="23">
        <v>24.516174347549619</v>
      </c>
      <c r="N234" s="23">
        <v>25.156012576493669</v>
      </c>
      <c r="O234" s="23">
        <v>25.443827927147989</v>
      </c>
      <c r="P234" s="23">
        <v>25.09867324092297</v>
      </c>
      <c r="Q234" s="23">
        <v>25.322356894609531</v>
      </c>
      <c r="R234" s="23">
        <v>25.38006766467489</v>
      </c>
      <c r="S234" s="23">
        <v>24.68307802133863</v>
      </c>
      <c r="T234" s="23">
        <v>24.35279699378972</v>
      </c>
      <c r="U234" s="23">
        <v>23.628291505353818</v>
      </c>
      <c r="V234" s="38">
        <v>24.470987240488451</v>
      </c>
      <c r="W234" s="39">
        <v>299</v>
      </c>
      <c r="X234" s="24">
        <v>0.8305555555555556</v>
      </c>
    </row>
    <row r="235" spans="1:24" ht="13.9" customHeight="1" x14ac:dyDescent="0.2">
      <c r="A235" s="10">
        <v>15085040</v>
      </c>
      <c r="B235" s="35" t="s">
        <v>445</v>
      </c>
      <c r="C235" s="35" t="s">
        <v>709</v>
      </c>
      <c r="D235" s="35" t="s">
        <v>707</v>
      </c>
      <c r="E235" s="21" t="s">
        <v>40</v>
      </c>
      <c r="F235" s="35">
        <v>5</v>
      </c>
      <c r="G235" s="35">
        <v>50</v>
      </c>
      <c r="H235" s="36">
        <v>-71.833055560000005</v>
      </c>
      <c r="I235" s="37">
        <v>11.68605556</v>
      </c>
      <c r="J235" s="22">
        <v>24.411869704335409</v>
      </c>
      <c r="K235" s="23">
        <v>24.36239027752438</v>
      </c>
      <c r="L235" s="23">
        <v>24.777539398077039</v>
      </c>
      <c r="M235" s="23">
        <v>25.660964918436179</v>
      </c>
      <c r="N235" s="23">
        <v>26.27038300707655</v>
      </c>
      <c r="O235" s="23">
        <v>26.498893287084261</v>
      </c>
      <c r="P235" s="23">
        <v>26.374827153627489</v>
      </c>
      <c r="Q235" s="23">
        <v>26.633093189911769</v>
      </c>
      <c r="R235" s="23">
        <v>26.475750097686511</v>
      </c>
      <c r="S235" s="23">
        <v>25.924455522823479</v>
      </c>
      <c r="T235" s="23">
        <v>25.774387539957839</v>
      </c>
      <c r="U235" s="23">
        <v>25.085654812225219</v>
      </c>
      <c r="V235" s="38">
        <v>25.68751740906384</v>
      </c>
      <c r="W235" s="39">
        <v>308</v>
      </c>
      <c r="X235" s="24">
        <v>0.85555555555555551</v>
      </c>
    </row>
    <row r="236" spans="1:24" ht="13.9" customHeight="1" x14ac:dyDescent="0.2">
      <c r="A236" s="10">
        <v>28015070</v>
      </c>
      <c r="B236" s="35" t="s">
        <v>445</v>
      </c>
      <c r="C236" s="35" t="s">
        <v>205</v>
      </c>
      <c r="D236" s="35" t="s">
        <v>205</v>
      </c>
      <c r="E236" s="21" t="s">
        <v>40</v>
      </c>
      <c r="F236" s="35">
        <v>5</v>
      </c>
      <c r="G236" s="35">
        <v>255</v>
      </c>
      <c r="H236" s="36">
        <v>-73.016388890000002</v>
      </c>
      <c r="I236" s="37">
        <v>10.566388890000001</v>
      </c>
      <c r="J236" s="22">
        <v>21.108627176517999</v>
      </c>
      <c r="K236" s="23">
        <v>21.41998030232385</v>
      </c>
      <c r="L236" s="23">
        <v>22.10301443402723</v>
      </c>
      <c r="M236" s="23">
        <v>22.8637415617588</v>
      </c>
      <c r="N236" s="23">
        <v>22.888571428571431</v>
      </c>
      <c r="O236" s="23">
        <v>22.86651067323481</v>
      </c>
      <c r="P236" s="23">
        <v>22.830460829493081</v>
      </c>
      <c r="Q236" s="23">
        <v>22.828530465949822</v>
      </c>
      <c r="R236" s="23">
        <v>22.3738564692013</v>
      </c>
      <c r="S236" s="23">
        <v>22.13913594470046</v>
      </c>
      <c r="T236" s="23">
        <v>22.025906593406599</v>
      </c>
      <c r="U236" s="23">
        <v>21.56371701383938</v>
      </c>
      <c r="V236" s="38">
        <v>22.25100440775206</v>
      </c>
      <c r="W236" s="39">
        <v>326</v>
      </c>
      <c r="X236" s="24">
        <v>0.90555555555555556</v>
      </c>
    </row>
    <row r="237" spans="1:24" ht="13.9" customHeight="1" x14ac:dyDescent="0.2">
      <c r="A237" s="10">
        <v>15015020</v>
      </c>
      <c r="B237" s="35" t="s">
        <v>445</v>
      </c>
      <c r="C237" s="35" t="s">
        <v>710</v>
      </c>
      <c r="D237" s="35" t="s">
        <v>711</v>
      </c>
      <c r="E237" s="21" t="s">
        <v>31</v>
      </c>
      <c r="F237" s="35">
        <v>5</v>
      </c>
      <c r="G237" s="35">
        <v>20</v>
      </c>
      <c r="H237" s="36">
        <v>-74.211138890000001</v>
      </c>
      <c r="I237" s="37">
        <v>10.992416670000001</v>
      </c>
      <c r="J237" s="22">
        <v>20.37516129032258</v>
      </c>
      <c r="K237" s="23">
        <v>21.01933497536946</v>
      </c>
      <c r="L237" s="23">
        <v>21.918709677419351</v>
      </c>
      <c r="M237" s="23">
        <v>22.36333333333333</v>
      </c>
      <c r="N237" s="23">
        <v>22.03</v>
      </c>
      <c r="O237" s="23">
        <v>22.367333333333331</v>
      </c>
      <c r="P237" s="23">
        <v>21.864162402669631</v>
      </c>
      <c r="Q237" s="23">
        <v>21.6989247311828</v>
      </c>
      <c r="R237" s="23">
        <v>21.588000000000001</v>
      </c>
      <c r="S237" s="23">
        <v>21.109612903225809</v>
      </c>
      <c r="T237" s="23">
        <v>20.96348484848485</v>
      </c>
      <c r="U237" s="23">
        <v>20.49064516129032</v>
      </c>
      <c r="V237" s="38">
        <v>21.482391888052621</v>
      </c>
      <c r="W237" s="39">
        <v>118</v>
      </c>
      <c r="X237" s="24">
        <v>0.98333333333333328</v>
      </c>
    </row>
    <row r="238" spans="1:24" ht="13.9" customHeight="1" x14ac:dyDescent="0.2">
      <c r="A238" s="10">
        <v>25025090</v>
      </c>
      <c r="B238" s="35" t="s">
        <v>471</v>
      </c>
      <c r="C238" s="35" t="s">
        <v>712</v>
      </c>
      <c r="D238" s="35" t="s">
        <v>713</v>
      </c>
      <c r="E238" s="21" t="s">
        <v>31</v>
      </c>
      <c r="F238" s="35">
        <v>5</v>
      </c>
      <c r="G238" s="35">
        <v>34</v>
      </c>
      <c r="H238" s="36">
        <v>-73.970833329999991</v>
      </c>
      <c r="I238" s="37">
        <v>9.0463333300000013</v>
      </c>
      <c r="J238" s="22">
        <v>22.8278857969987</v>
      </c>
      <c r="K238" s="23">
        <v>23.505273069204101</v>
      </c>
      <c r="L238" s="23">
        <v>23.945901759530791</v>
      </c>
      <c r="M238" s="23">
        <v>23.957280318174249</v>
      </c>
      <c r="N238" s="23">
        <v>23.82926098188533</v>
      </c>
      <c r="O238" s="23">
        <v>24.00728955314306</v>
      </c>
      <c r="P238" s="23">
        <v>23.933116393876801</v>
      </c>
      <c r="Q238" s="23">
        <v>23.536021471044648</v>
      </c>
      <c r="R238" s="23">
        <v>23.42445822062513</v>
      </c>
      <c r="S238" s="23">
        <v>23.360914328089411</v>
      </c>
      <c r="T238" s="23">
        <v>23.47080975537872</v>
      </c>
      <c r="U238" s="23">
        <v>23.187540839027491</v>
      </c>
      <c r="V238" s="38">
        <v>23.582146040581531</v>
      </c>
      <c r="W238" s="39">
        <v>293</v>
      </c>
      <c r="X238" s="24">
        <v>0.81388888888888888</v>
      </c>
    </row>
    <row r="239" spans="1:24" ht="13.9" customHeight="1" x14ac:dyDescent="0.2">
      <c r="A239" s="10">
        <v>29065000</v>
      </c>
      <c r="B239" s="35" t="s">
        <v>471</v>
      </c>
      <c r="C239" s="35" t="s">
        <v>714</v>
      </c>
      <c r="D239" s="35" t="s">
        <v>715</v>
      </c>
      <c r="E239" s="21" t="s">
        <v>31</v>
      </c>
      <c r="F239" s="35">
        <v>5</v>
      </c>
      <c r="G239" s="35">
        <v>20</v>
      </c>
      <c r="H239" s="36">
        <v>-74.506666670000001</v>
      </c>
      <c r="I239" s="37">
        <v>10.51002778</v>
      </c>
      <c r="J239" s="22">
        <v>20.873143540259122</v>
      </c>
      <c r="K239" s="23">
        <v>21.060734002781381</v>
      </c>
      <c r="L239" s="23">
        <v>21.782269523456399</v>
      </c>
      <c r="M239" s="23">
        <v>22.838493290300661</v>
      </c>
      <c r="N239" s="23">
        <v>23.37171407383866</v>
      </c>
      <c r="O239" s="23">
        <v>23.101423266388782</v>
      </c>
      <c r="P239" s="23">
        <v>22.812770378622918</v>
      </c>
      <c r="Q239" s="23">
        <v>22.72594478138555</v>
      </c>
      <c r="R239" s="23">
        <v>22.637185364471719</v>
      </c>
      <c r="S239" s="23">
        <v>22.50720648551464</v>
      </c>
      <c r="T239" s="23">
        <v>22.381975376215479</v>
      </c>
      <c r="U239" s="23">
        <v>21.684229832088569</v>
      </c>
      <c r="V239" s="38">
        <v>22.314757492943659</v>
      </c>
      <c r="W239" s="39">
        <v>337</v>
      </c>
      <c r="X239" s="24">
        <v>0.93611111111111112</v>
      </c>
    </row>
    <row r="240" spans="1:24" ht="13.9" customHeight="1" x14ac:dyDescent="0.2">
      <c r="A240" s="10">
        <v>25025300</v>
      </c>
      <c r="B240" s="35" t="s">
        <v>445</v>
      </c>
      <c r="C240" s="35" t="s">
        <v>716</v>
      </c>
      <c r="D240" s="35" t="s">
        <v>717</v>
      </c>
      <c r="E240" s="21" t="s">
        <v>31</v>
      </c>
      <c r="F240" s="35">
        <v>5</v>
      </c>
      <c r="G240" s="35">
        <v>50</v>
      </c>
      <c r="H240" s="36">
        <v>-74.322277779999993</v>
      </c>
      <c r="I240" s="37">
        <v>9.6836666700000009</v>
      </c>
      <c r="J240" s="22">
        <v>21.710880487508089</v>
      </c>
      <c r="K240" s="23">
        <v>22.67367866512183</v>
      </c>
      <c r="L240" s="23">
        <v>23.629440128459411</v>
      </c>
      <c r="M240" s="23">
        <v>23.603619122469709</v>
      </c>
      <c r="N240" s="23">
        <v>23.677135225696588</v>
      </c>
      <c r="O240" s="23">
        <v>23.546140539371699</v>
      </c>
      <c r="P240" s="23">
        <v>23.568508071780681</v>
      </c>
      <c r="Q240" s="23">
        <v>23.326200342668091</v>
      </c>
      <c r="R240" s="23">
        <v>23.065072052545151</v>
      </c>
      <c r="S240" s="23">
        <v>22.98699299501002</v>
      </c>
      <c r="T240" s="23">
        <v>23.007729894153911</v>
      </c>
      <c r="U240" s="23">
        <v>22.189586027617171</v>
      </c>
      <c r="V240" s="38">
        <v>23.082081962700201</v>
      </c>
      <c r="W240" s="39">
        <v>322</v>
      </c>
      <c r="X240" s="24">
        <v>0.89444444444444449</v>
      </c>
    </row>
    <row r="241" spans="1:24" ht="13.9" customHeight="1" x14ac:dyDescent="0.2">
      <c r="A241" s="10">
        <v>25025002</v>
      </c>
      <c r="B241" s="35" t="s">
        <v>471</v>
      </c>
      <c r="C241" s="35" t="s">
        <v>718</v>
      </c>
      <c r="D241" s="35" t="s">
        <v>717</v>
      </c>
      <c r="E241" s="21" t="s">
        <v>31</v>
      </c>
      <c r="F241" s="35">
        <v>5</v>
      </c>
      <c r="G241" s="35">
        <v>25</v>
      </c>
      <c r="H241" s="36">
        <v>-74.273638890000001</v>
      </c>
      <c r="I241" s="37">
        <v>9.3040555600000001</v>
      </c>
      <c r="J241" s="22">
        <v>21.468173845990862</v>
      </c>
      <c r="K241" s="23">
        <v>22.07480255427841</v>
      </c>
      <c r="L241" s="23">
        <v>23.157355512924539</v>
      </c>
      <c r="M241" s="23">
        <v>23.726007077479771</v>
      </c>
      <c r="N241" s="23">
        <v>23.59064453031672</v>
      </c>
      <c r="O241" s="23">
        <v>23.525092746432261</v>
      </c>
      <c r="P241" s="23">
        <v>23.305497603590929</v>
      </c>
      <c r="Q241" s="23">
        <v>23.235308274059729</v>
      </c>
      <c r="R241" s="23">
        <v>22.978702810599369</v>
      </c>
      <c r="S241" s="23">
        <v>23.090862724164712</v>
      </c>
      <c r="T241" s="23">
        <v>23.008640234283568</v>
      </c>
      <c r="U241" s="23">
        <v>22.316561445969679</v>
      </c>
      <c r="V241" s="38">
        <v>22.95647078000755</v>
      </c>
      <c r="W241" s="39">
        <v>301</v>
      </c>
      <c r="X241" s="24">
        <v>0.83611111111111114</v>
      </c>
    </row>
    <row r="242" spans="1:24" ht="13.9" customHeight="1" x14ac:dyDescent="0.2">
      <c r="A242" s="10">
        <v>15015050</v>
      </c>
      <c r="B242" s="35" t="s">
        <v>444</v>
      </c>
      <c r="C242" s="11" t="s">
        <v>30</v>
      </c>
      <c r="D242" s="35" t="s">
        <v>32</v>
      </c>
      <c r="E242" s="21" t="s">
        <v>31</v>
      </c>
      <c r="F242" s="35">
        <v>5</v>
      </c>
      <c r="G242" s="35">
        <v>4</v>
      </c>
      <c r="H242" s="36">
        <v>-74.228888890000007</v>
      </c>
      <c r="I242" s="37">
        <v>11.12833333</v>
      </c>
      <c r="J242" s="22">
        <v>22.56095661846496</v>
      </c>
      <c r="K242" s="23">
        <v>23.466124511635812</v>
      </c>
      <c r="L242" s="23">
        <v>24.45456062291435</v>
      </c>
      <c r="M242" s="23">
        <v>25.47961870788745</v>
      </c>
      <c r="N242" s="23">
        <v>25.74003213447039</v>
      </c>
      <c r="O242" s="23">
        <v>25.416689655172419</v>
      </c>
      <c r="P242" s="23">
        <v>24.967211716722289</v>
      </c>
      <c r="Q242" s="23">
        <v>24.806006674082301</v>
      </c>
      <c r="R242" s="23">
        <v>24.686654351395731</v>
      </c>
      <c r="S242" s="23">
        <v>24.42178319826262</v>
      </c>
      <c r="T242" s="23">
        <v>24.031672611969871</v>
      </c>
      <c r="U242" s="23">
        <v>23.13396233910694</v>
      </c>
      <c r="V242" s="38">
        <v>24.4304394285071</v>
      </c>
      <c r="W242" s="39">
        <v>345</v>
      </c>
      <c r="X242" s="24">
        <v>0.95833333333333337</v>
      </c>
    </row>
    <row r="243" spans="1:24" ht="13.9" customHeight="1" x14ac:dyDescent="0.2">
      <c r="A243" s="10">
        <v>15015060</v>
      </c>
      <c r="B243" s="35" t="s">
        <v>471</v>
      </c>
      <c r="C243" s="35" t="s">
        <v>719</v>
      </c>
      <c r="D243" s="35" t="s">
        <v>32</v>
      </c>
      <c r="E243" s="21" t="s">
        <v>31</v>
      </c>
      <c r="F243" s="35">
        <v>5</v>
      </c>
      <c r="G243" s="35">
        <v>2200</v>
      </c>
      <c r="H243" s="36">
        <v>-74.054694439999992</v>
      </c>
      <c r="I243" s="37">
        <v>11.11108333</v>
      </c>
      <c r="J243" s="22">
        <v>7.7379214160894039</v>
      </c>
      <c r="K243" s="23">
        <v>8.1397896783931269</v>
      </c>
      <c r="L243" s="23">
        <v>8.7872629464837484</v>
      </c>
      <c r="M243" s="23">
        <v>9.587386639159055</v>
      </c>
      <c r="N243" s="23">
        <v>10.25275161249577</v>
      </c>
      <c r="O243" s="23">
        <v>10.27042008757526</v>
      </c>
      <c r="P243" s="23">
        <v>9.966295472335517</v>
      </c>
      <c r="Q243" s="23">
        <v>10.00822862030954</v>
      </c>
      <c r="R243" s="23">
        <v>9.8431431633956255</v>
      </c>
      <c r="S243" s="23">
        <v>9.7410736239138167</v>
      </c>
      <c r="T243" s="23">
        <v>9.3429228580888868</v>
      </c>
      <c r="U243" s="23">
        <v>8.4054234618222381</v>
      </c>
      <c r="V243" s="38">
        <v>9.3402182983384989</v>
      </c>
      <c r="W243" s="39">
        <v>307</v>
      </c>
      <c r="X243" s="24">
        <v>0.85277777777777775</v>
      </c>
    </row>
    <row r="244" spans="1:24" ht="13.9" customHeight="1" x14ac:dyDescent="0.2">
      <c r="A244" s="10">
        <v>29065020</v>
      </c>
      <c r="B244" s="35" t="s">
        <v>445</v>
      </c>
      <c r="C244" s="35" t="s">
        <v>720</v>
      </c>
      <c r="D244" s="35" t="s">
        <v>721</v>
      </c>
      <c r="E244" s="21" t="s">
        <v>31</v>
      </c>
      <c r="F244" s="35">
        <v>5</v>
      </c>
      <c r="G244" s="35">
        <v>20</v>
      </c>
      <c r="H244" s="36">
        <v>-74.199722220000012</v>
      </c>
      <c r="I244" s="37">
        <v>10.721111110000001</v>
      </c>
      <c r="J244" s="22">
        <v>20.977943704708061</v>
      </c>
      <c r="K244" s="23">
        <v>21.42218052807133</v>
      </c>
      <c r="L244" s="23">
        <v>22.507260396990961</v>
      </c>
      <c r="M244" s="23">
        <v>23.36265775275627</v>
      </c>
      <c r="N244" s="23">
        <v>23.602051671801281</v>
      </c>
      <c r="O244" s="23">
        <v>23.42893779209296</v>
      </c>
      <c r="P244" s="23">
        <v>23.14918875175827</v>
      </c>
      <c r="Q244" s="23">
        <v>23.072900679224379</v>
      </c>
      <c r="R244" s="23">
        <v>22.983202952858129</v>
      </c>
      <c r="S244" s="23">
        <v>22.8147564010692</v>
      </c>
      <c r="T244" s="23">
        <v>22.645236446910641</v>
      </c>
      <c r="U244" s="23">
        <v>21.98603679808841</v>
      </c>
      <c r="V244" s="38">
        <v>22.66269615636083</v>
      </c>
      <c r="W244" s="39">
        <v>331</v>
      </c>
      <c r="X244" s="24">
        <v>0.9194444444444444</v>
      </c>
    </row>
    <row r="245" spans="1:24" ht="13.9" customHeight="1" x14ac:dyDescent="0.2">
      <c r="A245" s="10">
        <v>29065030</v>
      </c>
      <c r="B245" s="35" t="s">
        <v>445</v>
      </c>
      <c r="C245" s="35" t="s">
        <v>722</v>
      </c>
      <c r="D245" s="35" t="s">
        <v>721</v>
      </c>
      <c r="E245" s="21" t="s">
        <v>31</v>
      </c>
      <c r="F245" s="35">
        <v>5</v>
      </c>
      <c r="G245" s="35">
        <v>18</v>
      </c>
      <c r="H245" s="36">
        <v>-74.154722220000011</v>
      </c>
      <c r="I245" s="37">
        <v>10.76416667</v>
      </c>
      <c r="J245" s="22">
        <v>20.553355580274381</v>
      </c>
      <c r="K245" s="23">
        <v>20.964532019704428</v>
      </c>
      <c r="L245" s="23">
        <v>21.67098924731183</v>
      </c>
      <c r="M245" s="23">
        <v>22.36878306878307</v>
      </c>
      <c r="N245" s="23">
        <v>22.685806698801141</v>
      </c>
      <c r="O245" s="23">
        <v>22.41413920817369</v>
      </c>
      <c r="P245" s="23">
        <v>22.225182795698931</v>
      </c>
      <c r="Q245" s="23">
        <v>21.88900556173526</v>
      </c>
      <c r="R245" s="23">
        <v>21.609815207780731</v>
      </c>
      <c r="S245" s="23">
        <v>21.644371565113499</v>
      </c>
      <c r="T245" s="23">
        <v>21.43916475095785</v>
      </c>
      <c r="U245" s="23">
        <v>21.057397107897671</v>
      </c>
      <c r="V245" s="38">
        <v>21.71021190101937</v>
      </c>
      <c r="W245" s="39">
        <v>116</v>
      </c>
      <c r="X245" s="24">
        <v>0.96666666666666667</v>
      </c>
    </row>
    <row r="246" spans="1:24" ht="13.9" customHeight="1" x14ac:dyDescent="0.2">
      <c r="A246" s="10">
        <v>35105050</v>
      </c>
      <c r="B246" s="35" t="s">
        <v>445</v>
      </c>
      <c r="C246" s="35" t="s">
        <v>168</v>
      </c>
      <c r="D246" s="35" t="s">
        <v>723</v>
      </c>
      <c r="E246" s="21" t="s">
        <v>95</v>
      </c>
      <c r="F246" s="35">
        <v>3</v>
      </c>
      <c r="G246" s="35">
        <v>206</v>
      </c>
      <c r="H246" s="36">
        <v>-72.953639999999993</v>
      </c>
      <c r="I246" s="37">
        <v>4.4686500000000002</v>
      </c>
      <c r="J246" s="22">
        <v>20.36939331088977</v>
      </c>
      <c r="K246" s="23">
        <v>20.791920678501331</v>
      </c>
      <c r="L246" s="23">
        <v>21.38446665668323</v>
      </c>
      <c r="M246" s="23">
        <v>21.509049888423089</v>
      </c>
      <c r="N246" s="23">
        <v>21.410133967637471</v>
      </c>
      <c r="O246" s="23">
        <v>21.035748711979409</v>
      </c>
      <c r="P246" s="23">
        <v>20.779327975046829</v>
      </c>
      <c r="Q246" s="23">
        <v>20.95822964669739</v>
      </c>
      <c r="R246" s="23">
        <v>21.233794084615539</v>
      </c>
      <c r="S246" s="23">
        <v>21.45017676250643</v>
      </c>
      <c r="T246" s="23">
        <v>21.476719022356949</v>
      </c>
      <c r="U246" s="23">
        <v>20.915960326751481</v>
      </c>
      <c r="V246" s="38">
        <v>21.10957675267408</v>
      </c>
      <c r="W246" s="39">
        <v>301</v>
      </c>
      <c r="X246" s="24">
        <v>0.83611111111111114</v>
      </c>
    </row>
    <row r="247" spans="1:24" ht="13.9" customHeight="1" x14ac:dyDescent="0.2">
      <c r="A247" s="10">
        <v>35045020</v>
      </c>
      <c r="B247" s="35" t="s">
        <v>445</v>
      </c>
      <c r="C247" s="35" t="s">
        <v>163</v>
      </c>
      <c r="D247" s="35" t="s">
        <v>164</v>
      </c>
      <c r="E247" s="21" t="s">
        <v>95</v>
      </c>
      <c r="F247" s="35">
        <v>3</v>
      </c>
      <c r="G247" s="35">
        <v>305</v>
      </c>
      <c r="H247" s="36">
        <v>-73.357500000000002</v>
      </c>
      <c r="I247" s="37">
        <v>4.3004444399999997</v>
      </c>
      <c r="J247" s="22">
        <v>21.282972693209171</v>
      </c>
      <c r="K247" s="23">
        <v>21.804190583788291</v>
      </c>
      <c r="L247" s="23">
        <v>22.17441439930316</v>
      </c>
      <c r="M247" s="23">
        <v>22.022928905917411</v>
      </c>
      <c r="N247" s="23">
        <v>21.76807044864665</v>
      </c>
      <c r="O247" s="23">
        <v>21.379576782489981</v>
      </c>
      <c r="P247" s="23">
        <v>21.093190044711658</v>
      </c>
      <c r="Q247" s="23">
        <v>21.155438855480959</v>
      </c>
      <c r="R247" s="23">
        <v>21.265392804773391</v>
      </c>
      <c r="S247" s="23">
        <v>21.542525027808679</v>
      </c>
      <c r="T247" s="23">
        <v>21.79506212370006</v>
      </c>
      <c r="U247" s="23">
        <v>21.44006006674082</v>
      </c>
      <c r="V247" s="38">
        <v>21.56031856138085</v>
      </c>
      <c r="W247" s="39">
        <v>346</v>
      </c>
      <c r="X247" s="24">
        <v>0.96111111111111114</v>
      </c>
    </row>
    <row r="248" spans="1:24" ht="13.9" customHeight="1" x14ac:dyDescent="0.2">
      <c r="A248" s="10">
        <v>32075060</v>
      </c>
      <c r="B248" s="35" t="s">
        <v>445</v>
      </c>
      <c r="C248" s="35" t="s">
        <v>724</v>
      </c>
      <c r="D248" s="35" t="s">
        <v>725</v>
      </c>
      <c r="E248" s="21" t="s">
        <v>95</v>
      </c>
      <c r="F248" s="35">
        <v>3</v>
      </c>
      <c r="G248" s="35">
        <v>280</v>
      </c>
      <c r="H248" s="36">
        <v>-73.7</v>
      </c>
      <c r="I248" s="37">
        <v>3.3666666699999999</v>
      </c>
      <c r="J248" s="22">
        <v>20.16901075268817</v>
      </c>
      <c r="K248" s="23">
        <v>19.775270935960592</v>
      </c>
      <c r="L248" s="23">
        <v>20.05387096774194</v>
      </c>
      <c r="M248" s="23">
        <v>19.807724137931039</v>
      </c>
      <c r="N248" s="23">
        <v>19.78393548387097</v>
      </c>
      <c r="O248" s="23">
        <v>19.971333333333341</v>
      </c>
      <c r="P248" s="23">
        <v>20.081290322580649</v>
      </c>
      <c r="Q248" s="23">
        <v>20.05612903225806</v>
      </c>
      <c r="R248" s="23">
        <v>20.10733333333334</v>
      </c>
      <c r="S248" s="23">
        <v>20.204563918757469</v>
      </c>
      <c r="T248" s="23">
        <v>20.221678160919549</v>
      </c>
      <c r="U248" s="23">
        <v>20.115412186379931</v>
      </c>
      <c r="V248" s="38">
        <v>20.02896271381292</v>
      </c>
      <c r="W248" s="39">
        <v>118</v>
      </c>
      <c r="X248" s="24">
        <v>0.98333333333333328</v>
      </c>
    </row>
    <row r="249" spans="1:24" ht="13.9" customHeight="1" x14ac:dyDescent="0.2">
      <c r="A249" s="10">
        <v>32075040</v>
      </c>
      <c r="B249" s="35" t="s">
        <v>445</v>
      </c>
      <c r="C249" s="35" t="s">
        <v>726</v>
      </c>
      <c r="D249" s="35" t="s">
        <v>727</v>
      </c>
      <c r="E249" s="21" t="s">
        <v>95</v>
      </c>
      <c r="F249" s="35">
        <v>3</v>
      </c>
      <c r="G249" s="35">
        <v>360</v>
      </c>
      <c r="H249" s="36">
        <v>-73.71602777999999</v>
      </c>
      <c r="I249" s="37">
        <v>3.5163333300000001</v>
      </c>
      <c r="J249" s="22">
        <v>21.306378544483842</v>
      </c>
      <c r="K249" s="23">
        <v>21.62597195179892</v>
      </c>
      <c r="L249" s="23">
        <v>21.927872516451892</v>
      </c>
      <c r="M249" s="23">
        <v>21.84115770412583</v>
      </c>
      <c r="N249" s="23">
        <v>21.772440584506889</v>
      </c>
      <c r="O249" s="23">
        <v>21.36069739168877</v>
      </c>
      <c r="P249" s="23">
        <v>20.990782119021141</v>
      </c>
      <c r="Q249" s="23">
        <v>21.07345637718274</v>
      </c>
      <c r="R249" s="23">
        <v>21.257068863182369</v>
      </c>
      <c r="S249" s="23">
        <v>21.531983166922679</v>
      </c>
      <c r="T249" s="23">
        <v>21.82822226640037</v>
      </c>
      <c r="U249" s="23">
        <v>21.77015371464115</v>
      </c>
      <c r="V249" s="38">
        <v>21.523848766700549</v>
      </c>
      <c r="W249" s="39">
        <v>283</v>
      </c>
      <c r="X249" s="24">
        <v>0.78611111111111109</v>
      </c>
    </row>
    <row r="250" spans="1:24" ht="13.9" customHeight="1" x14ac:dyDescent="0.2">
      <c r="A250" s="10">
        <v>32035020</v>
      </c>
      <c r="B250" s="35" t="s">
        <v>445</v>
      </c>
      <c r="C250" s="35" t="s">
        <v>728</v>
      </c>
      <c r="D250" s="35" t="s">
        <v>156</v>
      </c>
      <c r="E250" s="21" t="s">
        <v>95</v>
      </c>
      <c r="F250" s="35">
        <v>3</v>
      </c>
      <c r="G250" s="35">
        <v>270</v>
      </c>
      <c r="H250" s="36">
        <v>-73.932277779999993</v>
      </c>
      <c r="I250" s="37">
        <v>2.4383888900000001</v>
      </c>
      <c r="J250" s="22">
        <v>20.731723660395961</v>
      </c>
      <c r="K250" s="23">
        <v>21.210472763252081</v>
      </c>
      <c r="L250" s="23">
        <v>21.982818557950932</v>
      </c>
      <c r="M250" s="23">
        <v>22.03692975734355</v>
      </c>
      <c r="N250" s="23">
        <v>21.858182424916571</v>
      </c>
      <c r="O250" s="23">
        <v>21.504312779812778</v>
      </c>
      <c r="P250" s="23">
        <v>21.029840245775731</v>
      </c>
      <c r="Q250" s="23">
        <v>21.05119203673598</v>
      </c>
      <c r="R250" s="23">
        <v>21.083586206896548</v>
      </c>
      <c r="S250" s="23">
        <v>21.505661274431908</v>
      </c>
      <c r="T250" s="23">
        <v>21.71754036461623</v>
      </c>
      <c r="U250" s="23">
        <v>21.365867945345141</v>
      </c>
      <c r="V250" s="38">
        <v>21.42317733478945</v>
      </c>
      <c r="W250" s="39">
        <v>120</v>
      </c>
      <c r="X250" s="24">
        <v>1</v>
      </c>
    </row>
    <row r="251" spans="1:24" ht="13.9" customHeight="1" x14ac:dyDescent="0.2">
      <c r="A251" s="10">
        <v>32035010</v>
      </c>
      <c r="B251" s="35" t="s">
        <v>471</v>
      </c>
      <c r="C251" s="35" t="s">
        <v>156</v>
      </c>
      <c r="D251" s="35" t="s">
        <v>156</v>
      </c>
      <c r="E251" s="21" t="s">
        <v>95</v>
      </c>
      <c r="F251" s="35">
        <v>3</v>
      </c>
      <c r="G251" s="35">
        <v>248</v>
      </c>
      <c r="H251" s="36">
        <v>-73.793333329999996</v>
      </c>
      <c r="I251" s="37">
        <v>2.1761111099999999</v>
      </c>
      <c r="J251" s="22">
        <v>22.03626194042576</v>
      </c>
      <c r="K251" s="23">
        <v>21.797065021283849</v>
      </c>
      <c r="L251" s="23">
        <v>22.27105839618298</v>
      </c>
      <c r="M251" s="23">
        <v>22.190267996513199</v>
      </c>
      <c r="N251" s="23">
        <v>22.113716887076169</v>
      </c>
      <c r="O251" s="23">
        <v>21.743446381205001</v>
      </c>
      <c r="P251" s="23">
        <v>21.335368281215381</v>
      </c>
      <c r="Q251" s="23">
        <v>21.421723438405142</v>
      </c>
      <c r="R251" s="23">
        <v>21.711950830140491</v>
      </c>
      <c r="S251" s="23">
        <v>22.020020603223369</v>
      </c>
      <c r="T251" s="23">
        <v>22.334082276736218</v>
      </c>
      <c r="U251" s="23">
        <v>22.375505009135029</v>
      </c>
      <c r="V251" s="38">
        <v>21.945872255128549</v>
      </c>
      <c r="W251" s="39">
        <v>329</v>
      </c>
      <c r="X251" s="24">
        <v>0.91388888888888886</v>
      </c>
    </row>
    <row r="252" spans="1:24" ht="13.9" customHeight="1" x14ac:dyDescent="0.2">
      <c r="A252" s="10">
        <v>32065010</v>
      </c>
      <c r="B252" s="35" t="s">
        <v>445</v>
      </c>
      <c r="C252" s="35" t="s">
        <v>729</v>
      </c>
      <c r="D252" s="35" t="s">
        <v>730</v>
      </c>
      <c r="E252" s="21" t="s">
        <v>95</v>
      </c>
      <c r="F252" s="35">
        <v>3</v>
      </c>
      <c r="G252" s="35">
        <v>680</v>
      </c>
      <c r="H252" s="36">
        <v>-74.016666669999992</v>
      </c>
      <c r="I252" s="37">
        <v>3.53333333</v>
      </c>
      <c r="J252" s="22">
        <v>19.436732236598171</v>
      </c>
      <c r="K252" s="23">
        <v>19.886685606220091</v>
      </c>
      <c r="L252" s="23">
        <v>20.165704530607201</v>
      </c>
      <c r="M252" s="23">
        <v>19.915266009852211</v>
      </c>
      <c r="N252" s="23">
        <v>19.757678809788651</v>
      </c>
      <c r="O252" s="23">
        <v>19.282880541871929</v>
      </c>
      <c r="P252" s="23">
        <v>18.923536078616721</v>
      </c>
      <c r="Q252" s="23">
        <v>19.256801887785699</v>
      </c>
      <c r="R252" s="23">
        <v>19.416418673599711</v>
      </c>
      <c r="S252" s="23">
        <v>19.60944141372746</v>
      </c>
      <c r="T252" s="23">
        <v>19.667504489192321</v>
      </c>
      <c r="U252" s="23">
        <v>19.432859764818051</v>
      </c>
      <c r="V252" s="38">
        <v>19.56262583688985</v>
      </c>
      <c r="W252" s="39">
        <v>233</v>
      </c>
      <c r="X252" s="24">
        <v>0.97083333333333333</v>
      </c>
    </row>
    <row r="253" spans="1:24" ht="13.9" customHeight="1" x14ac:dyDescent="0.2">
      <c r="A253" s="10">
        <v>32075050</v>
      </c>
      <c r="B253" s="35" t="s">
        <v>445</v>
      </c>
      <c r="C253" s="35" t="s">
        <v>157</v>
      </c>
      <c r="D253" s="35" t="s">
        <v>157</v>
      </c>
      <c r="E253" s="21" t="s">
        <v>95</v>
      </c>
      <c r="F253" s="35">
        <v>3</v>
      </c>
      <c r="G253" s="35">
        <v>556</v>
      </c>
      <c r="H253" s="36">
        <v>-74.043000000000006</v>
      </c>
      <c r="I253" s="37">
        <v>3.38008</v>
      </c>
      <c r="J253" s="22">
        <v>18.79075739656394</v>
      </c>
      <c r="K253" s="23">
        <v>19.002265068578701</v>
      </c>
      <c r="L253" s="23">
        <v>19.508693643142589</v>
      </c>
      <c r="M253" s="23">
        <v>19.700452837073531</v>
      </c>
      <c r="N253" s="23">
        <v>19.931898007961632</v>
      </c>
      <c r="O253" s="23">
        <v>19.487741434044882</v>
      </c>
      <c r="P253" s="23">
        <v>19.17653476427855</v>
      </c>
      <c r="Q253" s="23">
        <v>19.199973902110148</v>
      </c>
      <c r="R253" s="23">
        <v>19.32154907161804</v>
      </c>
      <c r="S253" s="23">
        <v>19.630868590898469</v>
      </c>
      <c r="T253" s="23">
        <v>19.945604784059221</v>
      </c>
      <c r="U253" s="23">
        <v>19.661900192996971</v>
      </c>
      <c r="V253" s="38">
        <v>19.446519974443891</v>
      </c>
      <c r="W253" s="39">
        <v>307</v>
      </c>
      <c r="X253" s="24">
        <v>0.85277777777777775</v>
      </c>
    </row>
    <row r="254" spans="1:24" ht="13.9" customHeight="1" x14ac:dyDescent="0.2">
      <c r="A254" s="10">
        <v>33035010</v>
      </c>
      <c r="B254" s="35" t="s">
        <v>562</v>
      </c>
      <c r="C254" s="35" t="s">
        <v>731</v>
      </c>
      <c r="D254" s="35" t="s">
        <v>732</v>
      </c>
      <c r="E254" s="21" t="s">
        <v>95</v>
      </c>
      <c r="F254" s="35">
        <v>3</v>
      </c>
      <c r="G254" s="35">
        <v>200</v>
      </c>
      <c r="H254" s="36">
        <v>-71.34075</v>
      </c>
      <c r="I254" s="37">
        <v>4.5744166699999997</v>
      </c>
      <c r="J254" s="22">
        <v>21.855077658303461</v>
      </c>
      <c r="K254" s="23">
        <v>22.477724563644099</v>
      </c>
      <c r="L254" s="23">
        <v>22.93451167964405</v>
      </c>
      <c r="M254" s="23">
        <v>22.937333333333331</v>
      </c>
      <c r="N254" s="23">
        <v>22.732190211345941</v>
      </c>
      <c r="O254" s="23">
        <v>22.184419129720862</v>
      </c>
      <c r="P254" s="23">
        <v>21.814480286738341</v>
      </c>
      <c r="Q254" s="23">
        <v>21.879641577060919</v>
      </c>
      <c r="R254" s="23">
        <v>22.172321428571429</v>
      </c>
      <c r="S254" s="23">
        <v>22.281475680650459</v>
      </c>
      <c r="T254" s="23">
        <v>22.662286535303771</v>
      </c>
      <c r="U254" s="23">
        <v>22.189215795328138</v>
      </c>
      <c r="V254" s="38">
        <v>22.343389823303731</v>
      </c>
      <c r="W254" s="39">
        <v>106</v>
      </c>
      <c r="X254" s="24">
        <v>0.8833333333333333</v>
      </c>
    </row>
    <row r="255" spans="1:24" ht="13.9" customHeight="1" x14ac:dyDescent="0.2">
      <c r="A255" s="10">
        <v>32075080</v>
      </c>
      <c r="B255" s="35" t="s">
        <v>445</v>
      </c>
      <c r="C255" s="35" t="s">
        <v>733</v>
      </c>
      <c r="D255" s="35" t="s">
        <v>733</v>
      </c>
      <c r="E255" s="21" t="s">
        <v>95</v>
      </c>
      <c r="F255" s="35">
        <v>3</v>
      </c>
      <c r="G255" s="35">
        <v>245</v>
      </c>
      <c r="H255" s="36">
        <v>-73.373194439999992</v>
      </c>
      <c r="I255" s="37">
        <v>3.2676944400000001</v>
      </c>
      <c r="J255" s="22">
        <v>20.56633483923218</v>
      </c>
      <c r="K255" s="23">
        <v>20.875305649180419</v>
      </c>
      <c r="L255" s="23">
        <v>21.707261906681069</v>
      </c>
      <c r="M255" s="23">
        <v>22.07916747365023</v>
      </c>
      <c r="N255" s="23">
        <v>22.06263260673002</v>
      </c>
      <c r="O255" s="23">
        <v>21.62949711443359</v>
      </c>
      <c r="P255" s="23">
        <v>21.32529274614047</v>
      </c>
      <c r="Q255" s="23">
        <v>21.40634488210392</v>
      </c>
      <c r="R255" s="23">
        <v>21.58627706164911</v>
      </c>
      <c r="S255" s="23">
        <v>21.820882164625509</v>
      </c>
      <c r="T255" s="23">
        <v>21.895836424821098</v>
      </c>
      <c r="U255" s="23">
        <v>21.400908862321341</v>
      </c>
      <c r="V255" s="38">
        <v>21.529645144297419</v>
      </c>
      <c r="W255" s="39">
        <v>222</v>
      </c>
      <c r="X255" s="24">
        <v>0.92500000000000004</v>
      </c>
    </row>
    <row r="256" spans="1:24" ht="13.9" customHeight="1" x14ac:dyDescent="0.2">
      <c r="A256" s="10">
        <v>35015050</v>
      </c>
      <c r="B256" s="35" t="s">
        <v>445</v>
      </c>
      <c r="C256" s="35" t="s">
        <v>734</v>
      </c>
      <c r="D256" s="35" t="s">
        <v>735</v>
      </c>
      <c r="E256" s="21" t="s">
        <v>95</v>
      </c>
      <c r="F256" s="35">
        <v>3</v>
      </c>
      <c r="G256" s="35">
        <v>250</v>
      </c>
      <c r="H256" s="36">
        <v>-73.349277779999994</v>
      </c>
      <c r="I256" s="37">
        <v>3.6307777799999998</v>
      </c>
      <c r="J256" s="22">
        <v>20.476415430499131</v>
      </c>
      <c r="K256" s="23">
        <v>20.738176297095841</v>
      </c>
      <c r="L256" s="23">
        <v>21.481400289653902</v>
      </c>
      <c r="M256" s="23">
        <v>21.60246815338769</v>
      </c>
      <c r="N256" s="23">
        <v>21.6861460882462</v>
      </c>
      <c r="O256" s="23">
        <v>21.386547171347171</v>
      </c>
      <c r="P256" s="23">
        <v>21.233658442904272</v>
      </c>
      <c r="Q256" s="23">
        <v>21.207408545258009</v>
      </c>
      <c r="R256" s="23">
        <v>21.44111339171684</v>
      </c>
      <c r="S256" s="23">
        <v>21.603900907398121</v>
      </c>
      <c r="T256" s="23">
        <v>21.39467236467237</v>
      </c>
      <c r="U256" s="23">
        <v>21.05419459141681</v>
      </c>
      <c r="V256" s="38">
        <v>21.2755084727997</v>
      </c>
      <c r="W256" s="39">
        <v>110</v>
      </c>
      <c r="X256" s="24">
        <v>0.91666666666666663</v>
      </c>
    </row>
    <row r="257" spans="1:24" ht="13.9" customHeight="1" x14ac:dyDescent="0.2">
      <c r="A257" s="10">
        <v>35035020</v>
      </c>
      <c r="B257" s="35" t="s">
        <v>444</v>
      </c>
      <c r="C257" s="35" t="s">
        <v>94</v>
      </c>
      <c r="D257" s="35" t="s">
        <v>96</v>
      </c>
      <c r="E257" s="21" t="s">
        <v>95</v>
      </c>
      <c r="F257" s="35">
        <v>3</v>
      </c>
      <c r="G257" s="35">
        <v>422</v>
      </c>
      <c r="H257" s="36">
        <v>-73.617577780000005</v>
      </c>
      <c r="I257" s="37">
        <v>4.1619194400000001</v>
      </c>
      <c r="J257" s="22">
        <v>21.396666666666661</v>
      </c>
      <c r="K257" s="23">
        <v>22.26230706075534</v>
      </c>
      <c r="L257" s="23">
        <v>22.18572043010753</v>
      </c>
      <c r="M257" s="23">
        <v>21.55406130268199</v>
      </c>
      <c r="N257" s="23">
        <v>21.214301075268821</v>
      </c>
      <c r="O257" s="23">
        <v>20.683777777777781</v>
      </c>
      <c r="P257" s="23">
        <v>20.397956989247309</v>
      </c>
      <c r="Q257" s="23">
        <v>20.53698553948831</v>
      </c>
      <c r="R257" s="23">
        <v>20.68482758620689</v>
      </c>
      <c r="S257" s="23">
        <v>20.982655913978491</v>
      </c>
      <c r="T257" s="23">
        <v>21.221137931034491</v>
      </c>
      <c r="U257" s="23">
        <v>21.154763440860211</v>
      </c>
      <c r="V257" s="38">
        <v>21.18959680950616</v>
      </c>
      <c r="W257" s="39">
        <v>358</v>
      </c>
      <c r="X257" s="24">
        <v>0.99444444444444446</v>
      </c>
    </row>
    <row r="258" spans="1:24" ht="13.9" customHeight="1" x14ac:dyDescent="0.2">
      <c r="A258" s="10">
        <v>35025110</v>
      </c>
      <c r="B258" s="35" t="s">
        <v>450</v>
      </c>
      <c r="C258" s="35" t="s">
        <v>736</v>
      </c>
      <c r="D258" s="35" t="s">
        <v>96</v>
      </c>
      <c r="E258" s="21" t="s">
        <v>95</v>
      </c>
      <c r="F258" s="35">
        <v>3</v>
      </c>
      <c r="G258" s="35">
        <v>336</v>
      </c>
      <c r="H258" s="36">
        <v>-73.467916669999994</v>
      </c>
      <c r="I258" s="37">
        <v>4.0573611100000004</v>
      </c>
      <c r="J258" s="22">
        <v>22.368766394895431</v>
      </c>
      <c r="K258" s="23">
        <v>22.795896435289791</v>
      </c>
      <c r="L258" s="23">
        <v>22.784926756224859</v>
      </c>
      <c r="M258" s="23">
        <v>22.351590684564471</v>
      </c>
      <c r="N258" s="23">
        <v>22.155887345728061</v>
      </c>
      <c r="O258" s="23">
        <v>21.624041634144419</v>
      </c>
      <c r="P258" s="23">
        <v>21.403540366427119</v>
      </c>
      <c r="Q258" s="23">
        <v>21.51595325788206</v>
      </c>
      <c r="R258" s="23">
        <v>21.68406544285855</v>
      </c>
      <c r="S258" s="23">
        <v>21.954907209339911</v>
      </c>
      <c r="T258" s="23">
        <v>22.19942074017937</v>
      </c>
      <c r="U258" s="23">
        <v>22.193122009463782</v>
      </c>
      <c r="V258" s="38">
        <v>22.086009856416489</v>
      </c>
      <c r="W258" s="39">
        <v>307</v>
      </c>
      <c r="X258" s="24">
        <v>0.85277777777777775</v>
      </c>
    </row>
    <row r="259" spans="1:24" ht="13.9" customHeight="1" x14ac:dyDescent="0.2">
      <c r="A259" s="10">
        <v>35035070</v>
      </c>
      <c r="B259" s="35" t="s">
        <v>471</v>
      </c>
      <c r="C259" s="35" t="s">
        <v>737</v>
      </c>
      <c r="D259" s="35" t="s">
        <v>96</v>
      </c>
      <c r="E259" s="21" t="s">
        <v>95</v>
      </c>
      <c r="F259" s="35">
        <v>3</v>
      </c>
      <c r="G259" s="35">
        <v>340</v>
      </c>
      <c r="H259" s="36">
        <v>-73.581999999999994</v>
      </c>
      <c r="I259" s="37">
        <v>4.0767222199999997</v>
      </c>
      <c r="J259" s="22">
        <v>20.817468298109009</v>
      </c>
      <c r="K259" s="23">
        <v>21.2109571246123</v>
      </c>
      <c r="L259" s="23">
        <v>21.505462365591399</v>
      </c>
      <c r="M259" s="23">
        <v>21.3455872063968</v>
      </c>
      <c r="N259" s="23">
        <v>21.2189605734767</v>
      </c>
      <c r="O259" s="23">
        <v>20.87492163009404</v>
      </c>
      <c r="P259" s="23">
        <v>20.650460829493088</v>
      </c>
      <c r="Q259" s="23">
        <v>20.5173715651135</v>
      </c>
      <c r="R259" s="23">
        <v>20.74301404853129</v>
      </c>
      <c r="S259" s="23">
        <v>20.970420332355818</v>
      </c>
      <c r="T259" s="23">
        <v>21.05787177190625</v>
      </c>
      <c r="U259" s="23">
        <v>20.941075268817212</v>
      </c>
      <c r="V259" s="38">
        <v>20.98779758454145</v>
      </c>
      <c r="W259" s="39">
        <v>115</v>
      </c>
      <c r="X259" s="24">
        <v>0.95833333333333337</v>
      </c>
    </row>
    <row r="260" spans="1:24" ht="13.9" customHeight="1" x14ac:dyDescent="0.2">
      <c r="A260" s="10">
        <v>32075030</v>
      </c>
      <c r="B260" s="35" t="s">
        <v>445</v>
      </c>
      <c r="C260" s="35" t="s">
        <v>738</v>
      </c>
      <c r="D260" s="35" t="s">
        <v>739</v>
      </c>
      <c r="E260" s="21" t="s">
        <v>95</v>
      </c>
      <c r="F260" s="35">
        <v>3</v>
      </c>
      <c r="G260" s="35">
        <v>325</v>
      </c>
      <c r="H260" s="36">
        <v>-73.754027780000001</v>
      </c>
      <c r="I260" s="37">
        <v>3.1203888900000001</v>
      </c>
      <c r="J260" s="22">
        <v>22.766943510949201</v>
      </c>
      <c r="K260" s="23">
        <v>22.914718439925341</v>
      </c>
      <c r="L260" s="23">
        <v>22.524880525686982</v>
      </c>
      <c r="M260" s="23">
        <v>22.157530012771389</v>
      </c>
      <c r="N260" s="23">
        <v>22.120048613685992</v>
      </c>
      <c r="O260" s="23">
        <v>21.68173709177157</v>
      </c>
      <c r="P260" s="23">
        <v>21.0816846702097</v>
      </c>
      <c r="Q260" s="23">
        <v>21.229486260453999</v>
      </c>
      <c r="R260" s="23">
        <v>21.681354497354501</v>
      </c>
      <c r="S260" s="23">
        <v>21.91003784334151</v>
      </c>
      <c r="T260" s="23">
        <v>22.506272577996711</v>
      </c>
      <c r="U260" s="23">
        <v>23.016524312728421</v>
      </c>
      <c r="V260" s="38">
        <v>22.13260152973961</v>
      </c>
      <c r="W260" s="39">
        <v>111</v>
      </c>
      <c r="X260" s="24">
        <v>0.92500000000000004</v>
      </c>
    </row>
    <row r="261" spans="1:24" ht="13.9" customHeight="1" x14ac:dyDescent="0.2">
      <c r="A261" s="10">
        <v>52055230</v>
      </c>
      <c r="B261" s="35" t="s">
        <v>444</v>
      </c>
      <c r="C261" s="35" t="s">
        <v>84</v>
      </c>
      <c r="D261" s="35" t="s">
        <v>85</v>
      </c>
      <c r="E261" s="21" t="s">
        <v>82</v>
      </c>
      <c r="F261" s="35">
        <v>7</v>
      </c>
      <c r="G261" s="35">
        <v>2961</v>
      </c>
      <c r="H261" s="36">
        <v>-77.677750000000003</v>
      </c>
      <c r="I261" s="37">
        <v>0.85708333000000014</v>
      </c>
      <c r="J261" s="22">
        <v>6.0455913978494626</v>
      </c>
      <c r="K261" s="23">
        <v>6.2401501106386172</v>
      </c>
      <c r="L261" s="23">
        <v>6.6683910792512942</v>
      </c>
      <c r="M261" s="23">
        <v>6.6472222222222213</v>
      </c>
      <c r="N261" s="23">
        <v>6.7334241110812778</v>
      </c>
      <c r="O261" s="23">
        <v>6.198307570352755</v>
      </c>
      <c r="P261" s="23">
        <v>5.5482835334279477</v>
      </c>
      <c r="Q261" s="23">
        <v>4.8923173896922503</v>
      </c>
      <c r="R261" s="23">
        <v>4.5924256837098687</v>
      </c>
      <c r="S261" s="23">
        <v>5.5372974910394257</v>
      </c>
      <c r="T261" s="23">
        <v>6.4234712643678158</v>
      </c>
      <c r="U261" s="23">
        <v>6.4482724014336892</v>
      </c>
      <c r="V261" s="38">
        <v>5.9979295212555526</v>
      </c>
      <c r="W261" s="39">
        <v>355</v>
      </c>
      <c r="X261" s="24">
        <v>0.98611111111111116</v>
      </c>
    </row>
    <row r="262" spans="1:24" ht="13.9" customHeight="1" x14ac:dyDescent="0.2">
      <c r="A262" s="10">
        <v>51025080</v>
      </c>
      <c r="B262" s="35" t="s">
        <v>471</v>
      </c>
      <c r="C262" s="35" t="s">
        <v>740</v>
      </c>
      <c r="D262" s="35" t="s">
        <v>741</v>
      </c>
      <c r="E262" s="21" t="s">
        <v>82</v>
      </c>
      <c r="F262" s="35">
        <v>7</v>
      </c>
      <c r="G262" s="35">
        <v>1010</v>
      </c>
      <c r="H262" s="36">
        <v>-78.092500000000001</v>
      </c>
      <c r="I262" s="37">
        <v>1.2483333299999999</v>
      </c>
      <c r="J262" s="22">
        <v>17.64147582217192</v>
      </c>
      <c r="K262" s="23">
        <v>17.769998867812731</v>
      </c>
      <c r="L262" s="23">
        <v>18.049446618785389</v>
      </c>
      <c r="M262" s="23">
        <v>17.900504133897961</v>
      </c>
      <c r="N262" s="23">
        <v>18.099981265733859</v>
      </c>
      <c r="O262" s="23">
        <v>17.855740385446381</v>
      </c>
      <c r="P262" s="23">
        <v>17.655705082753851</v>
      </c>
      <c r="Q262" s="23">
        <v>17.675926246355111</v>
      </c>
      <c r="R262" s="23">
        <v>17.66728042328042</v>
      </c>
      <c r="S262" s="23">
        <v>17.81225833916972</v>
      </c>
      <c r="T262" s="23">
        <v>17.83903052998388</v>
      </c>
      <c r="U262" s="23">
        <v>17.73391193036354</v>
      </c>
      <c r="V262" s="38">
        <v>17.808438303812899</v>
      </c>
      <c r="W262" s="39">
        <v>222</v>
      </c>
      <c r="X262" s="24">
        <v>0.92500000000000004</v>
      </c>
    </row>
    <row r="263" spans="1:24" ht="13.9" customHeight="1" x14ac:dyDescent="0.2">
      <c r="A263" s="10">
        <v>52065020</v>
      </c>
      <c r="B263" s="35" t="s">
        <v>446</v>
      </c>
      <c r="C263" s="35" t="s">
        <v>741</v>
      </c>
      <c r="D263" s="35" t="s">
        <v>741</v>
      </c>
      <c r="E263" s="21" t="s">
        <v>82</v>
      </c>
      <c r="F263" s="35">
        <v>7</v>
      </c>
      <c r="G263" s="35">
        <v>32</v>
      </c>
      <c r="H263" s="36">
        <v>-78.14</v>
      </c>
      <c r="I263" s="37">
        <v>1.67</v>
      </c>
      <c r="J263" s="22">
        <v>22.3654898820559</v>
      </c>
      <c r="K263" s="23">
        <v>22.306625529451392</v>
      </c>
      <c r="L263" s="23">
        <v>22.456920889543099</v>
      </c>
      <c r="M263" s="23">
        <v>22.390842081502999</v>
      </c>
      <c r="N263" s="23">
        <v>22.632246256309891</v>
      </c>
      <c r="O263" s="23">
        <v>22.410119586296059</v>
      </c>
      <c r="P263" s="23">
        <v>22.291269092134559</v>
      </c>
      <c r="Q263" s="23">
        <v>22.424962413655781</v>
      </c>
      <c r="R263" s="23">
        <v>22.181548761381791</v>
      </c>
      <c r="S263" s="23">
        <v>22.117734517692369</v>
      </c>
      <c r="T263" s="23">
        <v>22.05296417288432</v>
      </c>
      <c r="U263" s="23">
        <v>22.217167040813589</v>
      </c>
      <c r="V263" s="38">
        <v>22.32065751864349</v>
      </c>
      <c r="W263" s="39">
        <v>226</v>
      </c>
      <c r="X263" s="24">
        <v>0.94166666666666665</v>
      </c>
    </row>
    <row r="264" spans="1:24" ht="13.9" customHeight="1" x14ac:dyDescent="0.2">
      <c r="A264" s="10">
        <v>52045020</v>
      </c>
      <c r="B264" s="35" t="s">
        <v>444</v>
      </c>
      <c r="C264" s="35" t="s">
        <v>81</v>
      </c>
      <c r="D264" s="35" t="s">
        <v>83</v>
      </c>
      <c r="E264" s="21" t="s">
        <v>82</v>
      </c>
      <c r="F264" s="35">
        <v>7</v>
      </c>
      <c r="G264" s="35">
        <v>1796</v>
      </c>
      <c r="H264" s="36">
        <v>-77.290861110000009</v>
      </c>
      <c r="I264" s="37">
        <v>1.39408333</v>
      </c>
      <c r="J264" s="22">
        <v>14.60815572858732</v>
      </c>
      <c r="K264" s="23">
        <v>14.791148727772869</v>
      </c>
      <c r="L264" s="23">
        <v>14.982741123293961</v>
      </c>
      <c r="M264" s="23">
        <v>14.982828382105239</v>
      </c>
      <c r="N264" s="23">
        <v>15.08480687353765</v>
      </c>
      <c r="O264" s="23">
        <v>14.69495019157088</v>
      </c>
      <c r="P264" s="23">
        <v>14.458778519342481</v>
      </c>
      <c r="Q264" s="23">
        <v>14.619937099422639</v>
      </c>
      <c r="R264" s="23">
        <v>14.47676179151804</v>
      </c>
      <c r="S264" s="23">
        <v>14.48602050485254</v>
      </c>
      <c r="T264" s="23">
        <v>14.713256704980839</v>
      </c>
      <c r="U264" s="23">
        <v>14.749178395748361</v>
      </c>
      <c r="V264" s="38">
        <v>14.72071367022774</v>
      </c>
      <c r="W264" s="39">
        <v>355</v>
      </c>
      <c r="X264" s="24">
        <v>0.98611111111111116</v>
      </c>
    </row>
    <row r="265" spans="1:24" ht="13.9" customHeight="1" x14ac:dyDescent="0.2">
      <c r="A265" s="10">
        <v>52055030</v>
      </c>
      <c r="B265" s="35" t="s">
        <v>445</v>
      </c>
      <c r="C265" s="35" t="s">
        <v>286</v>
      </c>
      <c r="D265" s="35" t="s">
        <v>287</v>
      </c>
      <c r="E265" s="21" t="s">
        <v>82</v>
      </c>
      <c r="F265" s="35">
        <v>7</v>
      </c>
      <c r="G265" s="35">
        <v>1493</v>
      </c>
      <c r="H265" s="36">
        <v>-77.465111110000009</v>
      </c>
      <c r="I265" s="37">
        <v>1.18436111</v>
      </c>
      <c r="J265" s="22">
        <v>15.40141496976989</v>
      </c>
      <c r="K265" s="23">
        <v>15.61973135065992</v>
      </c>
      <c r="L265" s="23">
        <v>15.956226089606391</v>
      </c>
      <c r="M265" s="23">
        <v>16.023503312920941</v>
      </c>
      <c r="N265" s="23">
        <v>15.78625054999382</v>
      </c>
      <c r="O265" s="23">
        <v>15.622456440430581</v>
      </c>
      <c r="P265" s="23">
        <v>15.45201870390969</v>
      </c>
      <c r="Q265" s="23">
        <v>15.505490937953519</v>
      </c>
      <c r="R265" s="23">
        <v>15.46328945133345</v>
      </c>
      <c r="S265" s="23">
        <v>15.50207778758007</v>
      </c>
      <c r="T265" s="23">
        <v>15.699928942841501</v>
      </c>
      <c r="U265" s="23">
        <v>15.5998036556113</v>
      </c>
      <c r="V265" s="38">
        <v>15.63601601605092</v>
      </c>
      <c r="W265" s="39">
        <v>339</v>
      </c>
      <c r="X265" s="24">
        <v>0.94166666666666665</v>
      </c>
    </row>
    <row r="266" spans="1:24" ht="13.9" customHeight="1" x14ac:dyDescent="0.2">
      <c r="A266" s="10">
        <v>52055200</v>
      </c>
      <c r="B266" s="35" t="s">
        <v>445</v>
      </c>
      <c r="C266" s="35" t="s">
        <v>292</v>
      </c>
      <c r="D266" s="35" t="s">
        <v>292</v>
      </c>
      <c r="E266" s="21" t="s">
        <v>82</v>
      </c>
      <c r="F266" s="35">
        <v>7</v>
      </c>
      <c r="G266" s="35">
        <v>2181</v>
      </c>
      <c r="H266" s="36">
        <v>-77.445805560000011</v>
      </c>
      <c r="I266" s="37">
        <v>1.0042222199999999</v>
      </c>
      <c r="J266" s="22">
        <v>12.154747725392889</v>
      </c>
      <c r="K266" s="23">
        <v>12.49383597883598</v>
      </c>
      <c r="L266" s="23">
        <v>12.705715980719321</v>
      </c>
      <c r="M266" s="23">
        <v>12.875563218390811</v>
      </c>
      <c r="N266" s="23">
        <v>12.911287356321839</v>
      </c>
      <c r="O266" s="23">
        <v>12.709520525451561</v>
      </c>
      <c r="P266" s="23">
        <v>12.553464872786339</v>
      </c>
      <c r="Q266" s="23">
        <v>12.59594623655914</v>
      </c>
      <c r="R266" s="23">
        <v>12.205965517241379</v>
      </c>
      <c r="S266" s="23">
        <v>12.27814052651094</v>
      </c>
      <c r="T266" s="23">
        <v>12.595563218390801</v>
      </c>
      <c r="U266" s="23">
        <v>12.503914720059321</v>
      </c>
      <c r="V266" s="38">
        <v>12.548638823055031</v>
      </c>
      <c r="W266" s="39">
        <v>119</v>
      </c>
      <c r="X266" s="24">
        <v>0.9916666666666667</v>
      </c>
    </row>
    <row r="267" spans="1:24" ht="13.9" customHeight="1" x14ac:dyDescent="0.2">
      <c r="A267" s="10">
        <v>52055210</v>
      </c>
      <c r="B267" s="35" t="s">
        <v>471</v>
      </c>
      <c r="C267" s="35" t="s">
        <v>742</v>
      </c>
      <c r="D267" s="35" t="s">
        <v>271</v>
      </c>
      <c r="E267" s="21" t="s">
        <v>82</v>
      </c>
      <c r="F267" s="35">
        <v>7</v>
      </c>
      <c r="G267" s="35">
        <v>2820</v>
      </c>
      <c r="H267" s="36">
        <v>-77.278805560000009</v>
      </c>
      <c r="I267" s="37">
        <v>1.1599999999999999</v>
      </c>
      <c r="J267" s="22">
        <v>8.7531797235023046</v>
      </c>
      <c r="K267" s="23">
        <v>9.0767000547345376</v>
      </c>
      <c r="L267" s="23">
        <v>9.4093590172655599</v>
      </c>
      <c r="M267" s="23">
        <v>9.4638308094629977</v>
      </c>
      <c r="N267" s="23">
        <v>9.5005903090441475</v>
      </c>
      <c r="O267" s="23">
        <v>9.3793334549656375</v>
      </c>
      <c r="P267" s="23">
        <v>8.9132299851098509</v>
      </c>
      <c r="Q267" s="23">
        <v>8.5766227213911144</v>
      </c>
      <c r="R267" s="23">
        <v>8.3700583367250037</v>
      </c>
      <c r="S267" s="23">
        <v>8.6618439174147142</v>
      </c>
      <c r="T267" s="23">
        <v>8.8776833468787473</v>
      </c>
      <c r="U267" s="23">
        <v>9.0054450814295066</v>
      </c>
      <c r="V267" s="38">
        <v>8.9989897298270112</v>
      </c>
      <c r="W267" s="39">
        <v>320</v>
      </c>
      <c r="X267" s="24">
        <v>0.88888888888888884</v>
      </c>
    </row>
    <row r="268" spans="1:24" ht="13.9" customHeight="1" x14ac:dyDescent="0.2">
      <c r="A268" s="10">
        <v>47015100</v>
      </c>
      <c r="B268" s="35" t="s">
        <v>471</v>
      </c>
      <c r="C268" s="35" t="s">
        <v>743</v>
      </c>
      <c r="D268" s="35" t="s">
        <v>271</v>
      </c>
      <c r="E268" s="21" t="s">
        <v>82</v>
      </c>
      <c r="F268" s="35">
        <v>7</v>
      </c>
      <c r="G268" s="35">
        <v>2830</v>
      </c>
      <c r="H268" s="36">
        <v>-77.161472220000007</v>
      </c>
      <c r="I268" s="37">
        <v>1.1599444400000001</v>
      </c>
      <c r="J268" s="22">
        <v>8.3228350511632865</v>
      </c>
      <c r="K268" s="23">
        <v>8.6232820331795832</v>
      </c>
      <c r="L268" s="23">
        <v>8.7854688627268551</v>
      </c>
      <c r="M268" s="23">
        <v>8.8190439386218209</v>
      </c>
      <c r="N268" s="23">
        <v>8.9218945653901205</v>
      </c>
      <c r="O268" s="23">
        <v>8.6469466761800504</v>
      </c>
      <c r="P268" s="23">
        <v>8.088075663695717</v>
      </c>
      <c r="Q268" s="23">
        <v>7.6782114198549483</v>
      </c>
      <c r="R268" s="23">
        <v>7.3917414401264976</v>
      </c>
      <c r="S268" s="23">
        <v>7.9500742094390597</v>
      </c>
      <c r="T268" s="23">
        <v>8.5798998966125417</v>
      </c>
      <c r="U268" s="23">
        <v>8.5702136091781664</v>
      </c>
      <c r="V268" s="38">
        <v>8.3648072805140554</v>
      </c>
      <c r="W268" s="39">
        <v>354</v>
      </c>
      <c r="X268" s="24">
        <v>0.98333333333333328</v>
      </c>
    </row>
    <row r="269" spans="1:24" ht="13.9" customHeight="1" x14ac:dyDescent="0.2">
      <c r="A269" s="10">
        <v>52045010</v>
      </c>
      <c r="B269" s="35" t="s">
        <v>450</v>
      </c>
      <c r="C269" s="35" t="s">
        <v>281</v>
      </c>
      <c r="D269" s="35" t="s">
        <v>271</v>
      </c>
      <c r="E269" s="21" t="s">
        <v>82</v>
      </c>
      <c r="F269" s="35">
        <v>7</v>
      </c>
      <c r="G269" s="35">
        <v>2710</v>
      </c>
      <c r="H269" s="36">
        <v>-77.303083329999993</v>
      </c>
      <c r="I269" s="37">
        <v>1.1982222199999999</v>
      </c>
      <c r="J269" s="22">
        <v>9.3141061570469272</v>
      </c>
      <c r="K269" s="23">
        <v>9.5322256086943167</v>
      </c>
      <c r="L269" s="23">
        <v>9.6961189634573408</v>
      </c>
      <c r="M269" s="23">
        <v>9.761039886039887</v>
      </c>
      <c r="N269" s="23">
        <v>9.9622910784062082</v>
      </c>
      <c r="O269" s="23">
        <v>9.8180210180623995</v>
      </c>
      <c r="P269" s="23">
        <v>9.339817613927293</v>
      </c>
      <c r="Q269" s="23">
        <v>9.236293266429529</v>
      </c>
      <c r="R269" s="23">
        <v>9.1450862068965524</v>
      </c>
      <c r="S269" s="23">
        <v>9.2558272611498413</v>
      </c>
      <c r="T269" s="23">
        <v>9.3725232540816101</v>
      </c>
      <c r="U269" s="23">
        <v>9.4919511520737334</v>
      </c>
      <c r="V269" s="38">
        <v>9.4937751221888043</v>
      </c>
      <c r="W269" s="39">
        <v>308</v>
      </c>
      <c r="X269" s="24">
        <v>0.85555555555555551</v>
      </c>
    </row>
    <row r="270" spans="1:24" ht="13.9" customHeight="1" x14ac:dyDescent="0.2">
      <c r="A270" s="10">
        <v>47015080</v>
      </c>
      <c r="B270" s="35" t="s">
        <v>445</v>
      </c>
      <c r="C270" s="35" t="s">
        <v>268</v>
      </c>
      <c r="D270" s="35" t="s">
        <v>269</v>
      </c>
      <c r="E270" s="21" t="s">
        <v>82</v>
      </c>
      <c r="F270" s="35">
        <v>7</v>
      </c>
      <c r="G270" s="35">
        <v>1776</v>
      </c>
      <c r="H270" s="36">
        <v>-77.303611110000006</v>
      </c>
      <c r="I270" s="37">
        <v>0.80491667000000011</v>
      </c>
      <c r="J270" s="22">
        <v>13.5876326076593</v>
      </c>
      <c r="K270" s="23">
        <v>13.90181694697559</v>
      </c>
      <c r="L270" s="23">
        <v>14.015410632573079</v>
      </c>
      <c r="M270" s="23">
        <v>14.09897248804835</v>
      </c>
      <c r="N270" s="23">
        <v>14.230152860652661</v>
      </c>
      <c r="O270" s="23">
        <v>13.90826261209523</v>
      </c>
      <c r="P270" s="23">
        <v>13.328919783739719</v>
      </c>
      <c r="Q270" s="23">
        <v>13.085259419637341</v>
      </c>
      <c r="R270" s="23">
        <v>13.27264042872071</v>
      </c>
      <c r="S270" s="23">
        <v>13.470779214163249</v>
      </c>
      <c r="T270" s="23">
        <v>13.655896738228019</v>
      </c>
      <c r="U270" s="23">
        <v>13.86579653401666</v>
      </c>
      <c r="V270" s="38">
        <v>13.70179502220916</v>
      </c>
      <c r="W270" s="39">
        <v>310</v>
      </c>
      <c r="X270" s="24">
        <v>0.86111111111111116</v>
      </c>
    </row>
    <row r="271" spans="1:24" ht="13.9" customHeight="1" x14ac:dyDescent="0.2">
      <c r="A271" s="10">
        <v>52045090</v>
      </c>
      <c r="B271" s="35" t="s">
        <v>445</v>
      </c>
      <c r="C271" s="35" t="s">
        <v>744</v>
      </c>
      <c r="D271" s="35" t="s">
        <v>285</v>
      </c>
      <c r="E271" s="21" t="s">
        <v>82</v>
      </c>
      <c r="F271" s="35">
        <v>7</v>
      </c>
      <c r="G271" s="35">
        <v>3141</v>
      </c>
      <c r="H271" s="36">
        <v>-77.629583329999988</v>
      </c>
      <c r="I271" s="37">
        <v>0.93263889000000011</v>
      </c>
      <c r="J271" s="22">
        <v>6.2788734330849039</v>
      </c>
      <c r="K271" s="23">
        <v>6.3988962657712669</v>
      </c>
      <c r="L271" s="23">
        <v>6.8801672640382332</v>
      </c>
      <c r="M271" s="23">
        <v>6.7099744572158366</v>
      </c>
      <c r="N271" s="23">
        <v>6.762865976441061</v>
      </c>
      <c r="O271" s="23">
        <v>6.534401386608284</v>
      </c>
      <c r="P271" s="23">
        <v>6.2159888004715604</v>
      </c>
      <c r="Q271" s="23">
        <v>5.8955999815287932</v>
      </c>
      <c r="R271" s="23">
        <v>5.9172796934865914</v>
      </c>
      <c r="S271" s="23">
        <v>6.3434940056853293</v>
      </c>
      <c r="T271" s="23">
        <v>6.4434749589490972</v>
      </c>
      <c r="U271" s="23">
        <v>6.4495884315906569</v>
      </c>
      <c r="V271" s="38">
        <v>6.4025503879059684</v>
      </c>
      <c r="W271" s="39">
        <v>106</v>
      </c>
      <c r="X271" s="24">
        <v>0.8833333333333333</v>
      </c>
    </row>
    <row r="272" spans="1:24" ht="13.9" customHeight="1" x14ac:dyDescent="0.2">
      <c r="A272" s="10">
        <v>52055060</v>
      </c>
      <c r="B272" s="35" t="s">
        <v>445</v>
      </c>
      <c r="C272" s="35" t="s">
        <v>288</v>
      </c>
      <c r="D272" s="35" t="s">
        <v>289</v>
      </c>
      <c r="E272" s="21" t="s">
        <v>82</v>
      </c>
      <c r="F272" s="35">
        <v>7</v>
      </c>
      <c r="G272" s="35">
        <v>1500</v>
      </c>
      <c r="H272" s="36">
        <v>-77.583055560000005</v>
      </c>
      <c r="I272" s="37">
        <v>1.37355556</v>
      </c>
      <c r="J272" s="22">
        <v>14.59981970198878</v>
      </c>
      <c r="K272" s="23">
        <v>14.56562135395469</v>
      </c>
      <c r="L272" s="23">
        <v>14.67809932948669</v>
      </c>
      <c r="M272" s="23">
        <v>14.86758321851663</v>
      </c>
      <c r="N272" s="23">
        <v>14.965619130855901</v>
      </c>
      <c r="O272" s="23">
        <v>14.31861974595625</v>
      </c>
      <c r="P272" s="23">
        <v>13.71360869121677</v>
      </c>
      <c r="Q272" s="23">
        <v>13.620393029291799</v>
      </c>
      <c r="R272" s="23">
        <v>13.931554654444071</v>
      </c>
      <c r="S272" s="23">
        <v>14.56684579289888</v>
      </c>
      <c r="T272" s="23">
        <v>14.969885352195689</v>
      </c>
      <c r="U272" s="23">
        <v>14.921551347673089</v>
      </c>
      <c r="V272" s="38">
        <v>14.476600112373269</v>
      </c>
      <c r="W272" s="39">
        <v>351</v>
      </c>
      <c r="X272" s="24">
        <v>0.97499999999999998</v>
      </c>
    </row>
    <row r="273" spans="1:24" ht="13.9" customHeight="1" x14ac:dyDescent="0.2">
      <c r="A273" s="10">
        <v>52045030</v>
      </c>
      <c r="B273" s="35" t="s">
        <v>445</v>
      </c>
      <c r="C273" s="35" t="s">
        <v>282</v>
      </c>
      <c r="D273" s="35" t="s">
        <v>282</v>
      </c>
      <c r="E273" s="21" t="s">
        <v>82</v>
      </c>
      <c r="F273" s="35">
        <v>7</v>
      </c>
      <c r="G273" s="35">
        <v>2190</v>
      </c>
      <c r="H273" s="36">
        <v>-77.032611110000005</v>
      </c>
      <c r="I273" s="37">
        <v>1.5387222199999999</v>
      </c>
      <c r="J273" s="22">
        <v>11.35579080056198</v>
      </c>
      <c r="K273" s="23">
        <v>11.54349386184345</v>
      </c>
      <c r="L273" s="23">
        <v>11.81864834699175</v>
      </c>
      <c r="M273" s="23">
        <v>11.995405138700489</v>
      </c>
      <c r="N273" s="23">
        <v>11.98436196989404</v>
      </c>
      <c r="O273" s="23">
        <v>11.293275784294471</v>
      </c>
      <c r="P273" s="23">
        <v>10.61877774246517</v>
      </c>
      <c r="Q273" s="23">
        <v>10.41098422703651</v>
      </c>
      <c r="R273" s="23">
        <v>10.51523938340441</v>
      </c>
      <c r="S273" s="23">
        <v>11.24803033794163</v>
      </c>
      <c r="T273" s="23">
        <v>11.858574523679209</v>
      </c>
      <c r="U273" s="23">
        <v>11.69530001535265</v>
      </c>
      <c r="V273" s="38">
        <v>11.36149017768048</v>
      </c>
      <c r="W273" s="39">
        <v>330</v>
      </c>
      <c r="X273" s="24">
        <v>0.91666666666666663</v>
      </c>
    </row>
    <row r="274" spans="1:24" ht="13.9" customHeight="1" x14ac:dyDescent="0.2">
      <c r="A274" s="10">
        <v>52045040</v>
      </c>
      <c r="B274" s="35" t="s">
        <v>445</v>
      </c>
      <c r="C274" s="35" t="s">
        <v>283</v>
      </c>
      <c r="D274" s="35" t="s">
        <v>283</v>
      </c>
      <c r="E274" s="21" t="s">
        <v>82</v>
      </c>
      <c r="F274" s="35">
        <v>7</v>
      </c>
      <c r="G274" s="35">
        <v>1875</v>
      </c>
      <c r="H274" s="36">
        <v>-77.267499999999998</v>
      </c>
      <c r="I274" s="37">
        <v>1.54916667</v>
      </c>
      <c r="J274" s="22">
        <v>14.619666736030711</v>
      </c>
      <c r="K274" s="23">
        <v>14.79451705736178</v>
      </c>
      <c r="L274" s="23">
        <v>14.961099584714709</v>
      </c>
      <c r="M274" s="23">
        <v>14.940096189729809</v>
      </c>
      <c r="N274" s="23">
        <v>15.02419507775919</v>
      </c>
      <c r="O274" s="23">
        <v>14.92923146618846</v>
      </c>
      <c r="P274" s="23">
        <v>14.704271801089879</v>
      </c>
      <c r="Q274" s="23">
        <v>14.78700374480772</v>
      </c>
      <c r="R274" s="23">
        <v>14.537346512473739</v>
      </c>
      <c r="S274" s="23">
        <v>14.52971408070499</v>
      </c>
      <c r="T274" s="23">
        <v>14.581858342806621</v>
      </c>
      <c r="U274" s="23">
        <v>14.632666882398849</v>
      </c>
      <c r="V274" s="38">
        <v>14.753472289672199</v>
      </c>
      <c r="W274" s="39">
        <v>327</v>
      </c>
      <c r="X274" s="24">
        <v>0.90833333333333333</v>
      </c>
    </row>
    <row r="275" spans="1:24" ht="13.9" customHeight="1" x14ac:dyDescent="0.2">
      <c r="A275" s="10">
        <v>52055090</v>
      </c>
      <c r="B275" s="35" t="s">
        <v>471</v>
      </c>
      <c r="C275" s="35" t="s">
        <v>290</v>
      </c>
      <c r="D275" s="35" t="s">
        <v>291</v>
      </c>
      <c r="E275" s="21" t="s">
        <v>82</v>
      </c>
      <c r="F275" s="35">
        <v>7</v>
      </c>
      <c r="G275" s="35">
        <v>2800</v>
      </c>
      <c r="H275" s="36">
        <v>-77.38936111000001</v>
      </c>
      <c r="I275" s="37">
        <v>1.10758333</v>
      </c>
      <c r="J275" s="22">
        <v>9.5682010297698827</v>
      </c>
      <c r="K275" s="23">
        <v>9.7142546578155784</v>
      </c>
      <c r="L275" s="23">
        <v>10.002448245383929</v>
      </c>
      <c r="M275" s="23">
        <v>9.9874917196468935</v>
      </c>
      <c r="N275" s="23">
        <v>9.9895640143957714</v>
      </c>
      <c r="O275" s="23">
        <v>9.6157478632478632</v>
      </c>
      <c r="P275" s="23">
        <v>9.1551700301922789</v>
      </c>
      <c r="Q275" s="23">
        <v>9.1065439288804146</v>
      </c>
      <c r="R275" s="23">
        <v>9.2348212445501403</v>
      </c>
      <c r="S275" s="23">
        <v>9.466164462571582</v>
      </c>
      <c r="T275" s="23">
        <v>9.7082168494296912</v>
      </c>
      <c r="U275" s="23">
        <v>9.7632073403946364</v>
      </c>
      <c r="V275" s="38">
        <v>9.6093192821898867</v>
      </c>
      <c r="W275" s="39">
        <v>347</v>
      </c>
      <c r="X275" s="24">
        <v>0.96388888888888891</v>
      </c>
    </row>
    <row r="276" spans="1:24" ht="13.9" customHeight="1" x14ac:dyDescent="0.2">
      <c r="A276" s="10">
        <v>51035020</v>
      </c>
      <c r="B276" s="35" t="s">
        <v>471</v>
      </c>
      <c r="C276" s="11" t="s">
        <v>745</v>
      </c>
      <c r="D276" s="35" t="s">
        <v>746</v>
      </c>
      <c r="E276" s="21" t="s">
        <v>82</v>
      </c>
      <c r="F276" s="35">
        <v>7</v>
      </c>
      <c r="G276" s="35">
        <v>1</v>
      </c>
      <c r="H276" s="36">
        <v>-78.73</v>
      </c>
      <c r="I276" s="37">
        <v>1.81916667</v>
      </c>
      <c r="J276" s="22">
        <v>23.331881868431459</v>
      </c>
      <c r="K276" s="23">
        <v>23.504595891512931</v>
      </c>
      <c r="L276" s="23">
        <v>23.777638143589201</v>
      </c>
      <c r="M276" s="23">
        <v>23.761655869596058</v>
      </c>
      <c r="N276" s="23">
        <v>23.783037013608482</v>
      </c>
      <c r="O276" s="23">
        <v>23.643542746491931</v>
      </c>
      <c r="P276" s="23">
        <v>23.460647155620858</v>
      </c>
      <c r="Q276" s="23">
        <v>23.546659366286001</v>
      </c>
      <c r="R276" s="23">
        <v>23.505821449829561</v>
      </c>
      <c r="S276" s="23">
        <v>23.640879147256349</v>
      </c>
      <c r="T276" s="23">
        <v>23.46184476677006</v>
      </c>
      <c r="U276" s="23">
        <v>23.435343896600092</v>
      </c>
      <c r="V276" s="38">
        <v>23.57112894296608</v>
      </c>
      <c r="W276" s="39">
        <v>219</v>
      </c>
      <c r="X276" s="24">
        <v>0.91249999999999998</v>
      </c>
    </row>
    <row r="277" spans="1:24" ht="13.9" customHeight="1" x14ac:dyDescent="0.2">
      <c r="A277" s="10">
        <v>51025090</v>
      </c>
      <c r="B277" s="35" t="s">
        <v>471</v>
      </c>
      <c r="C277" s="35" t="s">
        <v>747</v>
      </c>
      <c r="D277" s="35" t="s">
        <v>746</v>
      </c>
      <c r="E277" s="21" t="s">
        <v>82</v>
      </c>
      <c r="F277" s="35">
        <v>7</v>
      </c>
      <c r="G277" s="35">
        <v>16</v>
      </c>
      <c r="H277" s="36">
        <v>-78.695583329999991</v>
      </c>
      <c r="I277" s="37">
        <v>1.5501944400000001</v>
      </c>
      <c r="J277" s="22">
        <v>23.048773063545031</v>
      </c>
      <c r="K277" s="23">
        <v>23.0872064860427</v>
      </c>
      <c r="L277" s="23">
        <v>23.38431701320556</v>
      </c>
      <c r="M277" s="23">
        <v>23.53335172413793</v>
      </c>
      <c r="N277" s="23">
        <v>23.416161290322581</v>
      </c>
      <c r="O277" s="23">
        <v>23.300733077905491</v>
      </c>
      <c r="P277" s="23">
        <v>23.186679533131141</v>
      </c>
      <c r="Q277" s="23">
        <v>22.63845850670841</v>
      </c>
      <c r="R277" s="23">
        <v>23.01698412698412</v>
      </c>
      <c r="S277" s="23">
        <v>22.904573697270472</v>
      </c>
      <c r="T277" s="23">
        <v>22.77875041050903</v>
      </c>
      <c r="U277" s="23">
        <v>22.93674193548387</v>
      </c>
      <c r="V277" s="38">
        <v>23.102727572103859</v>
      </c>
      <c r="W277" s="39">
        <v>116</v>
      </c>
      <c r="X277" s="24">
        <v>0.96666666666666667</v>
      </c>
    </row>
    <row r="278" spans="1:24" ht="13.9" customHeight="1" x14ac:dyDescent="0.2">
      <c r="A278" s="10">
        <v>52055220</v>
      </c>
      <c r="B278" s="35" t="s">
        <v>471</v>
      </c>
      <c r="C278" s="35" t="s">
        <v>748</v>
      </c>
      <c r="D278" s="35" t="s">
        <v>295</v>
      </c>
      <c r="E278" s="21" t="s">
        <v>82</v>
      </c>
      <c r="F278" s="35">
        <v>7</v>
      </c>
      <c r="G278" s="35">
        <v>3120</v>
      </c>
      <c r="H278" s="36">
        <v>-77.636888889999994</v>
      </c>
      <c r="I278" s="37">
        <v>1.07061111</v>
      </c>
      <c r="J278" s="22">
        <v>7.2883149178099131</v>
      </c>
      <c r="K278" s="23">
        <v>7.4623700054734554</v>
      </c>
      <c r="L278" s="23">
        <v>7.6875746714456383</v>
      </c>
      <c r="M278" s="23">
        <v>7.8242610837438411</v>
      </c>
      <c r="N278" s="23">
        <v>7.8192396313364032</v>
      </c>
      <c r="O278" s="23">
        <v>7.397857142857144</v>
      </c>
      <c r="P278" s="23">
        <v>6.7529781105990789</v>
      </c>
      <c r="Q278" s="23">
        <v>6.6337893956247704</v>
      </c>
      <c r="R278" s="23">
        <v>6.6653428458184703</v>
      </c>
      <c r="S278" s="23">
        <v>7.0970860215053753</v>
      </c>
      <c r="T278" s="23">
        <v>7.4361206896551719</v>
      </c>
      <c r="U278" s="23">
        <v>7.4520912124582868</v>
      </c>
      <c r="V278" s="38">
        <v>7.2930854773606297</v>
      </c>
      <c r="W278" s="39">
        <v>342</v>
      </c>
      <c r="X278" s="24">
        <v>0.95</v>
      </c>
    </row>
    <row r="279" spans="1:24" ht="13.9" customHeight="1" x14ac:dyDescent="0.2">
      <c r="A279" s="10">
        <v>16055040</v>
      </c>
      <c r="B279" s="35" t="s">
        <v>471</v>
      </c>
      <c r="C279" s="35" t="s">
        <v>749</v>
      </c>
      <c r="D279" s="35" t="s">
        <v>310</v>
      </c>
      <c r="E279" s="21" t="s">
        <v>54</v>
      </c>
      <c r="F279" s="35">
        <v>8</v>
      </c>
      <c r="G279" s="35">
        <v>1430</v>
      </c>
      <c r="H279" s="36">
        <v>-73.223055560000006</v>
      </c>
      <c r="I279" s="37">
        <v>8.0872222199999992</v>
      </c>
      <c r="J279" s="22">
        <v>12.310128243095431</v>
      </c>
      <c r="K279" s="23">
        <v>12.84790444230099</v>
      </c>
      <c r="L279" s="23">
        <v>13.835497747293489</v>
      </c>
      <c r="M279" s="23">
        <v>14.50511387163561</v>
      </c>
      <c r="N279" s="23">
        <v>14.946353836906431</v>
      </c>
      <c r="O279" s="23">
        <v>14.08396642948367</v>
      </c>
      <c r="P279" s="23">
        <v>13.803722366927129</v>
      </c>
      <c r="Q279" s="23">
        <v>13.67439615180003</v>
      </c>
      <c r="R279" s="23">
        <v>14.45928882262166</v>
      </c>
      <c r="S279" s="23">
        <v>14.63204108553664</v>
      </c>
      <c r="T279" s="23">
        <v>14.283076140383841</v>
      </c>
      <c r="U279" s="23">
        <v>13.3928473668525</v>
      </c>
      <c r="V279" s="38">
        <v>13.897861375403121</v>
      </c>
      <c r="W279" s="39">
        <v>281</v>
      </c>
      <c r="X279" s="24">
        <v>0.78055555555555556</v>
      </c>
    </row>
    <row r="280" spans="1:24" ht="13.9" customHeight="1" x14ac:dyDescent="0.2">
      <c r="A280" s="10">
        <v>23195180</v>
      </c>
      <c r="B280" s="35" t="s">
        <v>445</v>
      </c>
      <c r="C280" s="35" t="s">
        <v>750</v>
      </c>
      <c r="D280" s="35" t="s">
        <v>751</v>
      </c>
      <c r="E280" s="21" t="s">
        <v>54</v>
      </c>
      <c r="F280" s="35">
        <v>8</v>
      </c>
      <c r="G280" s="35">
        <v>1882</v>
      </c>
      <c r="H280" s="36">
        <v>-73.051666669999989</v>
      </c>
      <c r="I280" s="37">
        <v>7.7352777799999997</v>
      </c>
      <c r="J280" s="22">
        <v>10.72230646358233</v>
      </c>
      <c r="K280" s="23">
        <v>11.318436181810471</v>
      </c>
      <c r="L280" s="23">
        <v>12.17749506476822</v>
      </c>
      <c r="M280" s="23">
        <v>13.19706053639846</v>
      </c>
      <c r="N280" s="23">
        <v>13.64904029168212</v>
      </c>
      <c r="O280" s="23">
        <v>13.30912755385733</v>
      </c>
      <c r="P280" s="23">
        <v>12.981972689133899</v>
      </c>
      <c r="Q280" s="23">
        <v>12.85076753918001</v>
      </c>
      <c r="R280" s="23">
        <v>12.838953270680999</v>
      </c>
      <c r="S280" s="23">
        <v>13.111712315270941</v>
      </c>
      <c r="T280" s="23">
        <v>12.771397242338329</v>
      </c>
      <c r="U280" s="23">
        <v>11.6992930257115</v>
      </c>
      <c r="V280" s="38">
        <v>12.552296847867879</v>
      </c>
      <c r="W280" s="39">
        <v>293</v>
      </c>
      <c r="X280" s="24">
        <v>0.81388888888888888</v>
      </c>
    </row>
    <row r="281" spans="1:24" ht="13.9" customHeight="1" x14ac:dyDescent="0.2">
      <c r="A281" s="10">
        <v>16055090</v>
      </c>
      <c r="B281" s="35" t="s">
        <v>471</v>
      </c>
      <c r="C281" s="35" t="s">
        <v>752</v>
      </c>
      <c r="D281" s="35" t="s">
        <v>753</v>
      </c>
      <c r="E281" s="21" t="s">
        <v>54</v>
      </c>
      <c r="F281" s="35">
        <v>8</v>
      </c>
      <c r="G281" s="35">
        <v>1076</v>
      </c>
      <c r="H281" s="36">
        <v>-73.343888890000002</v>
      </c>
      <c r="I281" s="37">
        <v>8.4705555599999993</v>
      </c>
      <c r="J281" s="22">
        <v>17.38191975422427</v>
      </c>
      <c r="K281" s="23">
        <v>17.619199889829201</v>
      </c>
      <c r="L281" s="23">
        <v>18.095790569889321</v>
      </c>
      <c r="M281" s="23">
        <v>18.52554088669951</v>
      </c>
      <c r="N281" s="23">
        <v>18.74980129032258</v>
      </c>
      <c r="O281" s="23">
        <v>18.381452873563219</v>
      </c>
      <c r="P281" s="23">
        <v>18.009094846125318</v>
      </c>
      <c r="Q281" s="23">
        <v>18.183281720430109</v>
      </c>
      <c r="R281" s="23">
        <v>18.30836419753086</v>
      </c>
      <c r="S281" s="23">
        <v>18.276796313364059</v>
      </c>
      <c r="T281" s="23">
        <v>18.240359347442681</v>
      </c>
      <c r="U281" s="23">
        <v>17.859733742959548</v>
      </c>
      <c r="V281" s="38">
        <v>18.135944619365059</v>
      </c>
      <c r="W281" s="39">
        <v>295</v>
      </c>
      <c r="X281" s="24">
        <v>0.81944444444444442</v>
      </c>
    </row>
    <row r="282" spans="1:24" ht="13.9" customHeight="1" x14ac:dyDescent="0.2">
      <c r="A282" s="10">
        <v>16015010</v>
      </c>
      <c r="B282" s="35" t="s">
        <v>444</v>
      </c>
      <c r="C282" s="35" t="s">
        <v>53</v>
      </c>
      <c r="D282" s="35" t="s">
        <v>55</v>
      </c>
      <c r="E282" s="21" t="s">
        <v>54</v>
      </c>
      <c r="F282" s="35">
        <v>8</v>
      </c>
      <c r="G282" s="35">
        <v>250</v>
      </c>
      <c r="H282" s="36">
        <v>-72.509166669999999</v>
      </c>
      <c r="I282" s="37">
        <v>7.9302777799999999</v>
      </c>
      <c r="J282" s="22">
        <v>21.365255913978501</v>
      </c>
      <c r="K282" s="23">
        <v>21.932546798029549</v>
      </c>
      <c r="L282" s="23">
        <v>22.477806451612899</v>
      </c>
      <c r="M282" s="23">
        <v>22.879412515964251</v>
      </c>
      <c r="N282" s="23">
        <v>23.516517018909902</v>
      </c>
      <c r="O282" s="23">
        <v>24.03721379310344</v>
      </c>
      <c r="P282" s="23">
        <v>23.779123470522801</v>
      </c>
      <c r="Q282" s="23">
        <v>23.891303077493511</v>
      </c>
      <c r="R282" s="23">
        <v>23.532452107279699</v>
      </c>
      <c r="S282" s="23">
        <v>22.93138888888889</v>
      </c>
      <c r="T282" s="23">
        <v>22.537547892720308</v>
      </c>
      <c r="U282" s="23">
        <v>21.96211917562724</v>
      </c>
      <c r="V282" s="38">
        <v>22.90355725867758</v>
      </c>
      <c r="W282" s="39">
        <v>295</v>
      </c>
      <c r="X282" s="24">
        <v>0.81944444444444442</v>
      </c>
    </row>
    <row r="283" spans="1:24" ht="13.9" customHeight="1" x14ac:dyDescent="0.2">
      <c r="A283" s="10">
        <v>16025010</v>
      </c>
      <c r="B283" s="35" t="s">
        <v>471</v>
      </c>
      <c r="C283" s="35" t="s">
        <v>754</v>
      </c>
      <c r="D283" s="35" t="s">
        <v>55</v>
      </c>
      <c r="E283" s="21" t="s">
        <v>54</v>
      </c>
      <c r="F283" s="35">
        <v>8</v>
      </c>
      <c r="G283" s="35">
        <v>285</v>
      </c>
      <c r="H283" s="36">
        <v>-72.566111110000008</v>
      </c>
      <c r="I283" s="37">
        <v>7.8488888899999996</v>
      </c>
      <c r="J283" s="22">
        <v>20.421290322580649</v>
      </c>
      <c r="K283" s="23">
        <v>21.075497486615209</v>
      </c>
      <c r="L283" s="23">
        <v>21.703187580556879</v>
      </c>
      <c r="M283" s="23">
        <v>22.232537918871259</v>
      </c>
      <c r="N283" s="23">
        <v>22.530018539117538</v>
      </c>
      <c r="O283" s="23">
        <v>22.424587378535058</v>
      </c>
      <c r="P283" s="23">
        <v>22.245834878259799</v>
      </c>
      <c r="Q283" s="23">
        <v>22.55356989247311</v>
      </c>
      <c r="R283" s="23">
        <v>22.455977862920388</v>
      </c>
      <c r="S283" s="23">
        <v>22.12848759157685</v>
      </c>
      <c r="T283" s="23">
        <v>21.929125615763549</v>
      </c>
      <c r="U283" s="23">
        <v>21.107612289517089</v>
      </c>
      <c r="V283" s="38">
        <v>21.900643946398951</v>
      </c>
      <c r="W283" s="39">
        <v>353</v>
      </c>
      <c r="X283" s="24">
        <v>0.98055555555555551</v>
      </c>
    </row>
    <row r="284" spans="1:24" ht="13.9" customHeight="1" x14ac:dyDescent="0.2">
      <c r="A284" s="10">
        <v>16025040</v>
      </c>
      <c r="B284" s="35" t="s">
        <v>471</v>
      </c>
      <c r="C284" s="35" t="s">
        <v>755</v>
      </c>
      <c r="D284" s="35" t="s">
        <v>55</v>
      </c>
      <c r="E284" s="21" t="s">
        <v>54</v>
      </c>
      <c r="F284" s="35">
        <v>8</v>
      </c>
      <c r="G284" s="35">
        <v>100</v>
      </c>
      <c r="H284" s="36">
        <v>-72.468611109999998</v>
      </c>
      <c r="I284" s="37">
        <v>8.1677777799999998</v>
      </c>
      <c r="J284" s="22">
        <v>22.120142353938231</v>
      </c>
      <c r="K284" s="23">
        <v>22.581976594730719</v>
      </c>
      <c r="L284" s="23">
        <v>23.03814911806769</v>
      </c>
      <c r="M284" s="23">
        <v>23.44327807250221</v>
      </c>
      <c r="N284" s="23">
        <v>23.640017460121289</v>
      </c>
      <c r="O284" s="23">
        <v>23.37340290342296</v>
      </c>
      <c r="P284" s="23">
        <v>23.058077373350361</v>
      </c>
      <c r="Q284" s="23">
        <v>23.19416875486397</v>
      </c>
      <c r="R284" s="23">
        <v>23.11510704812429</v>
      </c>
      <c r="S284" s="23">
        <v>22.94815099178793</v>
      </c>
      <c r="T284" s="23">
        <v>22.838670281501869</v>
      </c>
      <c r="U284" s="23">
        <v>22.41680321801465</v>
      </c>
      <c r="V284" s="38">
        <v>22.980662014202181</v>
      </c>
      <c r="W284" s="39">
        <v>299</v>
      </c>
      <c r="X284" s="24">
        <v>0.8305555555555556</v>
      </c>
    </row>
    <row r="285" spans="1:24" ht="13.9" customHeight="1" x14ac:dyDescent="0.2">
      <c r="A285" s="10">
        <v>16015090</v>
      </c>
      <c r="B285" s="35" t="s">
        <v>471</v>
      </c>
      <c r="C285" s="35" t="s">
        <v>756</v>
      </c>
      <c r="D285" s="35" t="s">
        <v>757</v>
      </c>
      <c r="E285" s="21" t="s">
        <v>54</v>
      </c>
      <c r="F285" s="35">
        <v>8</v>
      </c>
      <c r="G285" s="35">
        <v>2500</v>
      </c>
      <c r="H285" s="36">
        <v>-72.442111109999999</v>
      </c>
      <c r="I285" s="37">
        <v>7.4244444400000003</v>
      </c>
      <c r="J285" s="22">
        <v>7.6293193377709514</v>
      </c>
      <c r="K285" s="23">
        <v>8.6094005506626203</v>
      </c>
      <c r="L285" s="23">
        <v>9.2035400886346377</v>
      </c>
      <c r="M285" s="23">
        <v>10.47046798029557</v>
      </c>
      <c r="N285" s="23">
        <v>10.727661561855109</v>
      </c>
      <c r="O285" s="23">
        <v>10.56223691945914</v>
      </c>
      <c r="P285" s="23">
        <v>10.142252870620499</v>
      </c>
      <c r="Q285" s="23">
        <v>9.9926103077493522</v>
      </c>
      <c r="R285" s="23">
        <v>9.962100574712645</v>
      </c>
      <c r="S285" s="23">
        <v>9.7630312339989764</v>
      </c>
      <c r="T285" s="23">
        <v>9.5091602809706259</v>
      </c>
      <c r="U285" s="23">
        <v>8.4842334185249921</v>
      </c>
      <c r="V285" s="38">
        <v>9.5880012604379257</v>
      </c>
      <c r="W285" s="39">
        <v>113</v>
      </c>
      <c r="X285" s="24">
        <v>0.94166666666666665</v>
      </c>
    </row>
    <row r="286" spans="1:24" ht="13.9" customHeight="1" x14ac:dyDescent="0.2">
      <c r="A286" s="10">
        <v>16055060</v>
      </c>
      <c r="B286" s="35" t="s">
        <v>445</v>
      </c>
      <c r="C286" s="35" t="s">
        <v>758</v>
      </c>
      <c r="D286" s="35" t="s">
        <v>758</v>
      </c>
      <c r="E286" s="21" t="s">
        <v>54</v>
      </c>
      <c r="F286" s="35">
        <v>8</v>
      </c>
      <c r="G286" s="35">
        <v>1500</v>
      </c>
      <c r="H286" s="36">
        <v>-73.234999999999999</v>
      </c>
      <c r="I286" s="37">
        <v>8.2174999999999994</v>
      </c>
      <c r="J286" s="22">
        <v>14.05813106524025</v>
      </c>
      <c r="K286" s="23">
        <v>14.78120167852582</v>
      </c>
      <c r="L286" s="23">
        <v>15.414154743130229</v>
      </c>
      <c r="M286" s="23">
        <v>15.99246351840516</v>
      </c>
      <c r="N286" s="23">
        <v>15.84994822779769</v>
      </c>
      <c r="O286" s="23">
        <v>15.26657011494253</v>
      </c>
      <c r="P286" s="23">
        <v>15.034320309320311</v>
      </c>
      <c r="Q286" s="23">
        <v>14.944157483754569</v>
      </c>
      <c r="R286" s="23">
        <v>15.205137046861189</v>
      </c>
      <c r="S286" s="23">
        <v>15.55350874190697</v>
      </c>
      <c r="T286" s="23">
        <v>15.60608683393782</v>
      </c>
      <c r="U286" s="23">
        <v>14.79656006144393</v>
      </c>
      <c r="V286" s="38">
        <v>15.208519985438871</v>
      </c>
      <c r="W286" s="39">
        <v>313</v>
      </c>
      <c r="X286" s="24">
        <v>0.86944444444444446</v>
      </c>
    </row>
    <row r="287" spans="1:24" ht="13.9" customHeight="1" x14ac:dyDescent="0.2">
      <c r="A287" s="10">
        <v>16055010</v>
      </c>
      <c r="B287" s="35" t="s">
        <v>471</v>
      </c>
      <c r="C287" s="35" t="s">
        <v>307</v>
      </c>
      <c r="D287" s="35" t="s">
        <v>308</v>
      </c>
      <c r="E287" s="21" t="s">
        <v>54</v>
      </c>
      <c r="F287" s="35">
        <v>8</v>
      </c>
      <c r="G287" s="35">
        <v>1435</v>
      </c>
      <c r="H287" s="36">
        <v>-73.357500000000002</v>
      </c>
      <c r="I287" s="37">
        <v>8.3152777800000006</v>
      </c>
      <c r="J287" s="22">
        <v>14.064350104104269</v>
      </c>
      <c r="K287" s="23">
        <v>14.908390601877191</v>
      </c>
      <c r="L287" s="23">
        <v>15.5568578255675</v>
      </c>
      <c r="M287" s="23">
        <v>16.690562962962961</v>
      </c>
      <c r="N287" s="23">
        <v>16.931158900836319</v>
      </c>
      <c r="O287" s="23">
        <v>16.20852764094143</v>
      </c>
      <c r="P287" s="23">
        <v>15.740161290322581</v>
      </c>
      <c r="Q287" s="23">
        <v>15.79466943151284</v>
      </c>
      <c r="R287" s="23">
        <v>16.00302197802198</v>
      </c>
      <c r="S287" s="23">
        <v>16.459806451612899</v>
      </c>
      <c r="T287" s="23">
        <v>15.96836124794746</v>
      </c>
      <c r="U287" s="23">
        <v>15.36717871709307</v>
      </c>
      <c r="V287" s="38">
        <v>15.80775392940004</v>
      </c>
      <c r="W287" s="39">
        <v>112</v>
      </c>
      <c r="X287" s="24">
        <v>0.93333333333333335</v>
      </c>
    </row>
    <row r="288" spans="1:24" ht="13.9" customHeight="1" x14ac:dyDescent="0.2">
      <c r="A288" s="10">
        <v>16055100</v>
      </c>
      <c r="B288" s="35" t="s">
        <v>445</v>
      </c>
      <c r="C288" s="35" t="s">
        <v>759</v>
      </c>
      <c r="D288" s="35" t="s">
        <v>308</v>
      </c>
      <c r="E288" s="21" t="s">
        <v>54</v>
      </c>
      <c r="F288" s="35">
        <v>8</v>
      </c>
      <c r="G288" s="35">
        <v>1150</v>
      </c>
      <c r="H288" s="36">
        <v>-73.32222222</v>
      </c>
      <c r="I288" s="37">
        <v>8.23777778</v>
      </c>
      <c r="J288" s="22">
        <v>13.75819813716717</v>
      </c>
      <c r="K288" s="23">
        <v>14.26172664762929</v>
      </c>
      <c r="L288" s="23">
        <v>15.26819241900326</v>
      </c>
      <c r="M288" s="23">
        <v>16.293385492127889</v>
      </c>
      <c r="N288" s="23">
        <v>16.919411431805319</v>
      </c>
      <c r="O288" s="23">
        <v>16.21846889253785</v>
      </c>
      <c r="P288" s="23">
        <v>15.54954451932794</v>
      </c>
      <c r="Q288" s="23">
        <v>15.72028742762614</v>
      </c>
      <c r="R288" s="23">
        <v>16.271558109833979</v>
      </c>
      <c r="S288" s="23">
        <v>16.388583565644499</v>
      </c>
      <c r="T288" s="23">
        <v>16.07861359443735</v>
      </c>
      <c r="U288" s="23">
        <v>15.03288092549143</v>
      </c>
      <c r="V288" s="38">
        <v>15.646737596886011</v>
      </c>
      <c r="W288" s="39">
        <v>215</v>
      </c>
      <c r="X288" s="24">
        <v>0.89583333333333337</v>
      </c>
    </row>
    <row r="289" spans="1:24" ht="13.9" customHeight="1" x14ac:dyDescent="0.2">
      <c r="A289" s="10">
        <v>16015020</v>
      </c>
      <c r="B289" s="35" t="s">
        <v>450</v>
      </c>
      <c r="C289" s="35" t="s">
        <v>298</v>
      </c>
      <c r="D289" s="35" t="s">
        <v>301</v>
      </c>
      <c r="E289" s="21" t="s">
        <v>54</v>
      </c>
      <c r="F289" s="35">
        <v>8</v>
      </c>
      <c r="G289" s="35">
        <v>2340</v>
      </c>
      <c r="H289" s="36">
        <v>-72.644999999999996</v>
      </c>
      <c r="I289" s="37">
        <v>7.37311111</v>
      </c>
      <c r="J289" s="22">
        <v>8.0198536901367632</v>
      </c>
      <c r="K289" s="23">
        <v>8.6860642165338948</v>
      </c>
      <c r="L289" s="23">
        <v>9.985465331850202</v>
      </c>
      <c r="M289" s="23">
        <v>11.20100390691354</v>
      </c>
      <c r="N289" s="23">
        <v>11.628234334445681</v>
      </c>
      <c r="O289" s="23">
        <v>11.47956224952658</v>
      </c>
      <c r="P289" s="23">
        <v>11.20513978494624</v>
      </c>
      <c r="Q289" s="23">
        <v>11.08632974910395</v>
      </c>
      <c r="R289" s="23">
        <v>10.703855500821019</v>
      </c>
      <c r="S289" s="23">
        <v>10.525168743244009</v>
      </c>
      <c r="T289" s="23">
        <v>10.149825240441</v>
      </c>
      <c r="U289" s="23">
        <v>8.8792469043748259</v>
      </c>
      <c r="V289" s="38">
        <v>10.295812471028141</v>
      </c>
      <c r="W289" s="39">
        <v>351</v>
      </c>
      <c r="X289" s="24">
        <v>0.97499999999999998</v>
      </c>
    </row>
    <row r="290" spans="1:24" ht="13.9" customHeight="1" x14ac:dyDescent="0.2">
      <c r="A290" s="10">
        <v>16015030</v>
      </c>
      <c r="B290" s="35" t="s">
        <v>445</v>
      </c>
      <c r="C290" s="35" t="s">
        <v>760</v>
      </c>
      <c r="D290" s="35" t="s">
        <v>302</v>
      </c>
      <c r="E290" s="21" t="s">
        <v>54</v>
      </c>
      <c r="F290" s="35">
        <v>8</v>
      </c>
      <c r="G290" s="35">
        <v>1760</v>
      </c>
      <c r="H290" s="36">
        <v>-72.53388889</v>
      </c>
      <c r="I290" s="37">
        <v>7.5697222200000001</v>
      </c>
      <c r="J290" s="22">
        <v>11.71525519091991</v>
      </c>
      <c r="K290" s="23">
        <v>12.24100783430019</v>
      </c>
      <c r="L290" s="23">
        <v>13.094515928927491</v>
      </c>
      <c r="M290" s="23">
        <v>13.91781383567476</v>
      </c>
      <c r="N290" s="23">
        <v>14.0881989610247</v>
      </c>
      <c r="O290" s="23">
        <v>13.66352424927137</v>
      </c>
      <c r="P290" s="23">
        <v>13.253264862192561</v>
      </c>
      <c r="Q290" s="23">
        <v>13.346998921747881</v>
      </c>
      <c r="R290" s="23">
        <v>13.476015115153039</v>
      </c>
      <c r="S290" s="23">
        <v>13.57028411344762</v>
      </c>
      <c r="T290" s="23">
        <v>13.287805212620031</v>
      </c>
      <c r="U290" s="23">
        <v>12.39102390789464</v>
      </c>
      <c r="V290" s="38">
        <v>13.170475677764509</v>
      </c>
      <c r="W290" s="39">
        <v>352</v>
      </c>
      <c r="X290" s="24">
        <v>0.97777777777777775</v>
      </c>
    </row>
    <row r="291" spans="1:24" ht="13.9" customHeight="1" x14ac:dyDescent="0.2">
      <c r="A291" s="10">
        <v>16015100</v>
      </c>
      <c r="B291" s="35" t="s">
        <v>471</v>
      </c>
      <c r="C291" s="35" t="s">
        <v>302</v>
      </c>
      <c r="D291" s="35" t="s">
        <v>302</v>
      </c>
      <c r="E291" s="21" t="s">
        <v>54</v>
      </c>
      <c r="F291" s="35">
        <v>8</v>
      </c>
      <c r="G291" s="35">
        <v>1550</v>
      </c>
      <c r="H291" s="36">
        <v>-72.483888890000003</v>
      </c>
      <c r="I291" s="37">
        <v>7.5766666699999998</v>
      </c>
      <c r="J291" s="22">
        <v>13.228781434709591</v>
      </c>
      <c r="K291" s="23">
        <v>13.547140313000471</v>
      </c>
      <c r="L291" s="23">
        <v>14.392886250829591</v>
      </c>
      <c r="M291" s="23">
        <v>15.13412466843501</v>
      </c>
      <c r="N291" s="23">
        <v>15.221277313155451</v>
      </c>
      <c r="O291" s="23">
        <v>14.782895561788489</v>
      </c>
      <c r="P291" s="23">
        <v>14.402137736815151</v>
      </c>
      <c r="Q291" s="23">
        <v>14.39065028161802</v>
      </c>
      <c r="R291" s="23">
        <v>14.545254688445249</v>
      </c>
      <c r="S291" s="23">
        <v>14.800063060877999</v>
      </c>
      <c r="T291" s="23">
        <v>14.7390615280595</v>
      </c>
      <c r="U291" s="23">
        <v>13.93510880178113</v>
      </c>
      <c r="V291" s="38">
        <v>14.4266151366263</v>
      </c>
      <c r="W291" s="39">
        <v>217</v>
      </c>
      <c r="X291" s="24">
        <v>0.90416666666666667</v>
      </c>
    </row>
    <row r="292" spans="1:24" ht="13.9" customHeight="1" x14ac:dyDescent="0.2">
      <c r="A292" s="10">
        <v>16025030</v>
      </c>
      <c r="B292" s="35" t="s">
        <v>471</v>
      </c>
      <c r="C292" s="35" t="s">
        <v>305</v>
      </c>
      <c r="D292" s="35" t="s">
        <v>305</v>
      </c>
      <c r="E292" s="21" t="s">
        <v>54</v>
      </c>
      <c r="F292" s="35">
        <v>8</v>
      </c>
      <c r="G292" s="35">
        <v>860</v>
      </c>
      <c r="H292" s="36">
        <v>-72.830555560000008</v>
      </c>
      <c r="I292" s="37">
        <v>7.7745833299999996</v>
      </c>
      <c r="J292" s="22">
        <v>18.263545420837971</v>
      </c>
      <c r="K292" s="23">
        <v>18.467550528086932</v>
      </c>
      <c r="L292" s="23">
        <v>18.967741935483868</v>
      </c>
      <c r="M292" s="23">
        <v>19.564229155263639</v>
      </c>
      <c r="N292" s="23">
        <v>19.814978680014828</v>
      </c>
      <c r="O292" s="23">
        <v>19.34699233716475</v>
      </c>
      <c r="P292" s="23">
        <v>19.025806451612901</v>
      </c>
      <c r="Q292" s="23">
        <v>19.318198924731181</v>
      </c>
      <c r="R292" s="23">
        <v>19.329999999999998</v>
      </c>
      <c r="S292" s="23">
        <v>19.11373954599761</v>
      </c>
      <c r="T292" s="23">
        <v>19.149908045977011</v>
      </c>
      <c r="U292" s="23">
        <v>18.525708400280148</v>
      </c>
      <c r="V292" s="38">
        <v>19.074033285454242</v>
      </c>
      <c r="W292" s="39">
        <v>104</v>
      </c>
      <c r="X292" s="24">
        <v>0.8666666666666667</v>
      </c>
    </row>
    <row r="293" spans="1:24" ht="13.9" customHeight="1" x14ac:dyDescent="0.2">
      <c r="A293" s="10">
        <v>16035030</v>
      </c>
      <c r="B293" s="35" t="s">
        <v>446</v>
      </c>
      <c r="C293" s="35" t="s">
        <v>761</v>
      </c>
      <c r="D293" s="35" t="s">
        <v>761</v>
      </c>
      <c r="E293" s="21" t="s">
        <v>54</v>
      </c>
      <c r="F293" s="35">
        <v>8</v>
      </c>
      <c r="G293" s="35">
        <v>320</v>
      </c>
      <c r="H293" s="36">
        <v>-72.803055560000004</v>
      </c>
      <c r="I293" s="37">
        <v>8.0766666699999998</v>
      </c>
      <c r="J293" s="22">
        <v>20.181548757879121</v>
      </c>
      <c r="K293" s="23">
        <v>20.88231906025009</v>
      </c>
      <c r="L293" s="23">
        <v>21.540717741935481</v>
      </c>
      <c r="M293" s="23">
        <v>22.09669504753796</v>
      </c>
      <c r="N293" s="23">
        <v>21.82213859020311</v>
      </c>
      <c r="O293" s="23">
        <v>21.550980554835359</v>
      </c>
      <c r="P293" s="23">
        <v>21.386376714868369</v>
      </c>
      <c r="Q293" s="23">
        <v>21.576537634408599</v>
      </c>
      <c r="R293" s="23">
        <v>21.477735632183911</v>
      </c>
      <c r="S293" s="23">
        <v>21.387311827956989</v>
      </c>
      <c r="T293" s="23">
        <v>21.348488529014841</v>
      </c>
      <c r="U293" s="23">
        <v>20.89226551132132</v>
      </c>
      <c r="V293" s="38">
        <v>21.34525963353293</v>
      </c>
      <c r="W293" s="39">
        <v>231</v>
      </c>
      <c r="X293" s="24">
        <v>0.96250000000000002</v>
      </c>
    </row>
    <row r="294" spans="1:24" ht="13.9" customHeight="1" x14ac:dyDescent="0.2">
      <c r="A294" s="10">
        <v>37015010</v>
      </c>
      <c r="B294" s="35" t="s">
        <v>445</v>
      </c>
      <c r="C294" s="35" t="s">
        <v>393</v>
      </c>
      <c r="D294" s="35" t="s">
        <v>393</v>
      </c>
      <c r="E294" s="21" t="s">
        <v>54</v>
      </c>
      <c r="F294" s="35">
        <v>8</v>
      </c>
      <c r="G294" s="35">
        <v>2765</v>
      </c>
      <c r="H294" s="36">
        <v>-72.75333332999999</v>
      </c>
      <c r="I294" s="37">
        <v>7.2074999999999996</v>
      </c>
      <c r="J294" s="22">
        <v>5.7625590053492406</v>
      </c>
      <c r="K294" s="23">
        <v>6.2135645627478659</v>
      </c>
      <c r="L294" s="23">
        <v>7.0231918505942259</v>
      </c>
      <c r="M294" s="23">
        <v>7.9034125159642388</v>
      </c>
      <c r="N294" s="23">
        <v>8.2221392190152791</v>
      </c>
      <c r="O294" s="23">
        <v>7.8186424010217124</v>
      </c>
      <c r="P294" s="23">
        <v>7.5269194743130212</v>
      </c>
      <c r="Q294" s="23">
        <v>7.4775639187574656</v>
      </c>
      <c r="R294" s="23">
        <v>7.4664466722361471</v>
      </c>
      <c r="S294" s="23">
        <v>7.6596830786644041</v>
      </c>
      <c r="T294" s="23">
        <v>7.3285880217785859</v>
      </c>
      <c r="U294" s="23">
        <v>6.5030585424133811</v>
      </c>
      <c r="V294" s="38">
        <v>7.2421474385712976</v>
      </c>
      <c r="W294" s="39">
        <v>231</v>
      </c>
      <c r="X294" s="24">
        <v>0.96250000000000002</v>
      </c>
    </row>
    <row r="295" spans="1:24" ht="13.9" customHeight="1" x14ac:dyDescent="0.2">
      <c r="A295" s="10">
        <v>16055020</v>
      </c>
      <c r="B295" s="35" t="s">
        <v>445</v>
      </c>
      <c r="C295" s="35" t="s">
        <v>762</v>
      </c>
      <c r="D295" s="35" t="s">
        <v>762</v>
      </c>
      <c r="E295" s="21" t="s">
        <v>54</v>
      </c>
      <c r="F295" s="35">
        <v>8</v>
      </c>
      <c r="G295" s="35">
        <v>1160</v>
      </c>
      <c r="H295" s="36">
        <v>-73.285277780000001</v>
      </c>
      <c r="I295" s="37">
        <v>8.4422222199999997</v>
      </c>
      <c r="J295" s="22">
        <v>17.36776521647872</v>
      </c>
      <c r="K295" s="23">
        <v>17.73990955092254</v>
      </c>
      <c r="L295" s="23">
        <v>18.155930674902631</v>
      </c>
      <c r="M295" s="23">
        <v>18.996619861619859</v>
      </c>
      <c r="N295" s="23">
        <v>19.159663853429151</v>
      </c>
      <c r="O295" s="23">
        <v>18.82044775931362</v>
      </c>
      <c r="P295" s="23">
        <v>18.063167346434309</v>
      </c>
      <c r="Q295" s="23">
        <v>18.201031258564271</v>
      </c>
      <c r="R295" s="23">
        <v>18.36060664112388</v>
      </c>
      <c r="S295" s="23">
        <v>18.443516773022651</v>
      </c>
      <c r="T295" s="23">
        <v>18.316959208365741</v>
      </c>
      <c r="U295" s="23">
        <v>17.989323777863522</v>
      </c>
      <c r="V295" s="38">
        <v>18.301245160170069</v>
      </c>
      <c r="W295" s="39">
        <v>215</v>
      </c>
      <c r="X295" s="24">
        <v>0.89583333333333337</v>
      </c>
    </row>
    <row r="296" spans="1:24" ht="13.9" customHeight="1" x14ac:dyDescent="0.2">
      <c r="A296" s="10">
        <v>16035020</v>
      </c>
      <c r="B296" s="35" t="s">
        <v>445</v>
      </c>
      <c r="C296" s="35" t="s">
        <v>763</v>
      </c>
      <c r="D296" s="35" t="s">
        <v>764</v>
      </c>
      <c r="E296" s="21" t="s">
        <v>54</v>
      </c>
      <c r="F296" s="35">
        <v>8</v>
      </c>
      <c r="G296" s="35">
        <v>62</v>
      </c>
      <c r="H296" s="36">
        <v>-72.579444440000003</v>
      </c>
      <c r="I296" s="37">
        <v>8.4686111100000012</v>
      </c>
      <c r="J296" s="22">
        <v>20.963075610172389</v>
      </c>
      <c r="K296" s="23">
        <v>21.134817277869001</v>
      </c>
      <c r="L296" s="23">
        <v>21.530077864293659</v>
      </c>
      <c r="M296" s="23">
        <v>21.494172413793098</v>
      </c>
      <c r="N296" s="23">
        <v>21.68893325917686</v>
      </c>
      <c r="O296" s="23">
        <v>21.37592396109638</v>
      </c>
      <c r="P296" s="23">
        <v>21.11450418160096</v>
      </c>
      <c r="Q296" s="23">
        <v>21.109194475342971</v>
      </c>
      <c r="R296" s="23">
        <v>21.081481481481479</v>
      </c>
      <c r="S296" s="23">
        <v>21.008179723502309</v>
      </c>
      <c r="T296" s="23">
        <v>21.37142857142857</v>
      </c>
      <c r="U296" s="23">
        <v>21.23198924731183</v>
      </c>
      <c r="V296" s="38">
        <v>21.258648172255789</v>
      </c>
      <c r="W296" s="39">
        <v>107</v>
      </c>
      <c r="X296" s="24">
        <v>0.89166666666666672</v>
      </c>
    </row>
    <row r="297" spans="1:24" ht="13.9" customHeight="1" x14ac:dyDescent="0.2">
      <c r="A297" s="10">
        <v>37035010</v>
      </c>
      <c r="B297" s="35" t="s">
        <v>445</v>
      </c>
      <c r="C297" s="35" t="s">
        <v>333</v>
      </c>
      <c r="D297" s="35" t="s">
        <v>500</v>
      </c>
      <c r="E297" s="21" t="s">
        <v>54</v>
      </c>
      <c r="F297" s="35">
        <v>8</v>
      </c>
      <c r="G297" s="35">
        <v>370</v>
      </c>
      <c r="H297" s="36">
        <v>-72.115833329999987</v>
      </c>
      <c r="I297" s="37">
        <v>7.00611111</v>
      </c>
      <c r="J297" s="22">
        <v>19.609529437582399</v>
      </c>
      <c r="K297" s="23">
        <v>20.072132057597571</v>
      </c>
      <c r="L297" s="23">
        <v>20.650977102441271</v>
      </c>
      <c r="M297" s="23">
        <v>21.170417550839961</v>
      </c>
      <c r="N297" s="23">
        <v>21.07084609495066</v>
      </c>
      <c r="O297" s="23">
        <v>20.69738030826699</v>
      </c>
      <c r="P297" s="23">
        <v>20.495547320475019</v>
      </c>
      <c r="Q297" s="23">
        <v>20.699024154274429</v>
      </c>
      <c r="R297" s="23">
        <v>20.703538991340711</v>
      </c>
      <c r="S297" s="23">
        <v>20.796531676004431</v>
      </c>
      <c r="T297" s="23">
        <v>20.84058033025612</v>
      </c>
      <c r="U297" s="23">
        <v>20.35580289819708</v>
      </c>
      <c r="V297" s="38">
        <v>20.596858993518889</v>
      </c>
      <c r="W297" s="39">
        <v>296</v>
      </c>
      <c r="X297" s="24">
        <v>0.82222222222222219</v>
      </c>
    </row>
    <row r="298" spans="1:24" ht="13.9" customHeight="1" x14ac:dyDescent="0.2">
      <c r="A298" s="10">
        <v>47015040</v>
      </c>
      <c r="B298" s="35" t="s">
        <v>445</v>
      </c>
      <c r="C298" s="35" t="s">
        <v>765</v>
      </c>
      <c r="D298" s="35" t="s">
        <v>267</v>
      </c>
      <c r="E298" s="21" t="s">
        <v>264</v>
      </c>
      <c r="F298" s="35">
        <v>7</v>
      </c>
      <c r="G298" s="35">
        <v>2100</v>
      </c>
      <c r="H298" s="36">
        <v>-76.960972220000002</v>
      </c>
      <c r="I298" s="37">
        <v>1.19827778</v>
      </c>
      <c r="J298" s="22">
        <v>11.55497331740343</v>
      </c>
      <c r="K298" s="23">
        <v>11.708733655658939</v>
      </c>
      <c r="L298" s="23">
        <v>11.714557179935371</v>
      </c>
      <c r="M298" s="23">
        <v>11.99953235117135</v>
      </c>
      <c r="N298" s="23">
        <v>12.023972354154029</v>
      </c>
      <c r="O298" s="23">
        <v>11.758021662245801</v>
      </c>
      <c r="P298" s="23">
        <v>11.282109879431809</v>
      </c>
      <c r="Q298" s="23">
        <v>10.81260585836114</v>
      </c>
      <c r="R298" s="23">
        <v>10.619220882169749</v>
      </c>
      <c r="S298" s="23">
        <v>11.26360659992584</v>
      </c>
      <c r="T298" s="23">
        <v>11.900496291263231</v>
      </c>
      <c r="U298" s="23">
        <v>11.86720443349753</v>
      </c>
      <c r="V298" s="38">
        <v>11.542086205434851</v>
      </c>
      <c r="W298" s="39">
        <v>344</v>
      </c>
      <c r="X298" s="24">
        <v>0.9555555555555556</v>
      </c>
    </row>
    <row r="299" spans="1:24" ht="13.9" customHeight="1" x14ac:dyDescent="0.2">
      <c r="A299" s="10">
        <v>44015060</v>
      </c>
      <c r="B299" s="35" t="s">
        <v>471</v>
      </c>
      <c r="C299" s="35" t="s">
        <v>766</v>
      </c>
      <c r="D299" s="35" t="s">
        <v>265</v>
      </c>
      <c r="E299" s="21" t="s">
        <v>264</v>
      </c>
      <c r="F299" s="35">
        <v>7</v>
      </c>
      <c r="G299" s="35">
        <v>650</v>
      </c>
      <c r="H299" s="36">
        <v>-76.651833329999988</v>
      </c>
      <c r="I299" s="37">
        <v>1.1573333299999999</v>
      </c>
      <c r="J299" s="22">
        <v>20.579782403729009</v>
      </c>
      <c r="K299" s="23">
        <v>20.658794050776809</v>
      </c>
      <c r="L299" s="23">
        <v>20.515718148369981</v>
      </c>
      <c r="M299" s="23">
        <v>20.380536216018971</v>
      </c>
      <c r="N299" s="23">
        <v>20.137499337888659</v>
      </c>
      <c r="O299" s="23">
        <v>19.552489533011279</v>
      </c>
      <c r="P299" s="23">
        <v>19.276408602150539</v>
      </c>
      <c r="Q299" s="23">
        <v>19.66425695216908</v>
      </c>
      <c r="R299" s="23">
        <v>19.974118469865591</v>
      </c>
      <c r="S299" s="23">
        <v>20.253505992413221</v>
      </c>
      <c r="T299" s="23">
        <v>20.621002736726869</v>
      </c>
      <c r="U299" s="23">
        <v>20.629464881614489</v>
      </c>
      <c r="V299" s="38">
        <v>20.18696477706121</v>
      </c>
      <c r="W299" s="39">
        <v>119</v>
      </c>
      <c r="X299" s="24">
        <v>0.9916666666666667</v>
      </c>
    </row>
    <row r="300" spans="1:24" ht="13.9" customHeight="1" x14ac:dyDescent="0.2">
      <c r="A300" s="10">
        <v>44115020</v>
      </c>
      <c r="B300" s="35" t="s">
        <v>450</v>
      </c>
      <c r="C300" s="35" t="s">
        <v>767</v>
      </c>
      <c r="D300" s="35" t="s">
        <v>273</v>
      </c>
      <c r="E300" s="21" t="s">
        <v>264</v>
      </c>
      <c r="F300" s="35">
        <v>4</v>
      </c>
      <c r="G300" s="35">
        <v>153</v>
      </c>
      <c r="H300" s="36">
        <v>-74.665222220000004</v>
      </c>
      <c r="I300" s="37">
        <v>-6.0750000000000012E-2</v>
      </c>
      <c r="J300" s="22">
        <v>21.765343900630331</v>
      </c>
      <c r="K300" s="23">
        <v>21.902211007099901</v>
      </c>
      <c r="L300" s="23">
        <v>22.272866935483869</v>
      </c>
      <c r="M300" s="23">
        <v>22.349236270753511</v>
      </c>
      <c r="N300" s="23">
        <v>22.354683903141449</v>
      </c>
      <c r="O300" s="23">
        <v>21.811919641590141</v>
      </c>
      <c r="P300" s="23">
        <v>21.233521752740639</v>
      </c>
      <c r="Q300" s="23">
        <v>21.435354838709671</v>
      </c>
      <c r="R300" s="23">
        <v>21.822274318274321</v>
      </c>
      <c r="S300" s="23">
        <v>22.099410085279938</v>
      </c>
      <c r="T300" s="23">
        <v>22.301119321291729</v>
      </c>
      <c r="U300" s="23">
        <v>22.208949861986561</v>
      </c>
      <c r="V300" s="38">
        <v>21.9630743197485</v>
      </c>
      <c r="W300" s="39">
        <v>108</v>
      </c>
      <c r="X300" s="24">
        <v>0.9</v>
      </c>
    </row>
    <row r="301" spans="1:24" ht="13.9" customHeight="1" x14ac:dyDescent="0.2">
      <c r="A301" s="10">
        <v>47045010</v>
      </c>
      <c r="B301" s="35" t="s">
        <v>445</v>
      </c>
      <c r="C301" s="35" t="s">
        <v>273</v>
      </c>
      <c r="D301" s="35" t="s">
        <v>273</v>
      </c>
      <c r="E301" s="21" t="s">
        <v>264</v>
      </c>
      <c r="F301" s="35">
        <v>7</v>
      </c>
      <c r="G301" s="35">
        <v>147</v>
      </c>
      <c r="H301" s="36">
        <v>-74.776277780000001</v>
      </c>
      <c r="I301" s="37">
        <v>-0.18061110999999999</v>
      </c>
      <c r="J301" s="22">
        <v>22.750002860704821</v>
      </c>
      <c r="K301" s="23">
        <v>22.94027428385375</v>
      </c>
      <c r="L301" s="23">
        <v>22.83050723025584</v>
      </c>
      <c r="M301" s="23">
        <v>22.854490968801311</v>
      </c>
      <c r="N301" s="23">
        <v>22.66777159807193</v>
      </c>
      <c r="O301" s="23">
        <v>22.08514896214896</v>
      </c>
      <c r="P301" s="23">
        <v>21.87724354132709</v>
      </c>
      <c r="Q301" s="23">
        <v>22.02313711295913</v>
      </c>
      <c r="R301" s="23">
        <v>22.30192645299925</v>
      </c>
      <c r="S301" s="23">
        <v>22.660265418366091</v>
      </c>
      <c r="T301" s="23">
        <v>22.795991607370912</v>
      </c>
      <c r="U301" s="23">
        <v>22.729365591397851</v>
      </c>
      <c r="V301" s="38">
        <v>22.543010469021411</v>
      </c>
      <c r="W301" s="39">
        <v>114</v>
      </c>
      <c r="X301" s="24">
        <v>0.95</v>
      </c>
    </row>
    <row r="302" spans="1:24" ht="13.9" customHeight="1" x14ac:dyDescent="0.2">
      <c r="A302" s="10">
        <v>47035020</v>
      </c>
      <c r="B302" s="35" t="s">
        <v>445</v>
      </c>
      <c r="C302" s="35" t="s">
        <v>272</v>
      </c>
      <c r="D302" s="35" t="s">
        <v>273</v>
      </c>
      <c r="E302" s="21" t="s">
        <v>264</v>
      </c>
      <c r="F302" s="35">
        <v>7</v>
      </c>
      <c r="G302" s="35">
        <v>190</v>
      </c>
      <c r="H302" s="36">
        <v>-75.851111110000005</v>
      </c>
      <c r="I302" s="37">
        <v>0.13286111</v>
      </c>
      <c r="J302" s="22">
        <v>20.921390168970809</v>
      </c>
      <c r="K302" s="23">
        <v>21.02236621615932</v>
      </c>
      <c r="L302" s="23">
        <v>21.32828054740958</v>
      </c>
      <c r="M302" s="23">
        <v>21.506367119470571</v>
      </c>
      <c r="N302" s="23">
        <v>21.6135875481216</v>
      </c>
      <c r="O302" s="23">
        <v>21.07665526363802</v>
      </c>
      <c r="P302" s="23">
        <v>20.704813297844161</v>
      </c>
      <c r="Q302" s="23">
        <v>20.64301075268817</v>
      </c>
      <c r="R302" s="23">
        <v>20.95607142857143</v>
      </c>
      <c r="S302" s="23">
        <v>21.187243056659071</v>
      </c>
      <c r="T302" s="23">
        <v>21.28304597701149</v>
      </c>
      <c r="U302" s="23">
        <v>21.275317018909899</v>
      </c>
      <c r="V302" s="38">
        <v>21.126512366287841</v>
      </c>
      <c r="W302" s="39">
        <v>116</v>
      </c>
      <c r="X302" s="24">
        <v>0.96666666666666667</v>
      </c>
    </row>
    <row r="303" spans="1:24" ht="13.9" customHeight="1" x14ac:dyDescent="0.2">
      <c r="A303" s="10">
        <v>47015090</v>
      </c>
      <c r="B303" s="35" t="s">
        <v>445</v>
      </c>
      <c r="C303" s="35" t="s">
        <v>768</v>
      </c>
      <c r="D303" s="35" t="s">
        <v>769</v>
      </c>
      <c r="E303" s="21" t="s">
        <v>264</v>
      </c>
      <c r="F303" s="35">
        <v>7</v>
      </c>
      <c r="G303" s="35">
        <v>2067</v>
      </c>
      <c r="H303" s="36">
        <v>-76.932694439999992</v>
      </c>
      <c r="I303" s="37">
        <v>1.1683055600000001</v>
      </c>
      <c r="J303" s="22">
        <v>10.80289729328884</v>
      </c>
      <c r="K303" s="23">
        <v>11.12132746847306</v>
      </c>
      <c r="L303" s="23">
        <v>11.61284664441972</v>
      </c>
      <c r="M303" s="23">
        <v>11.991089825457641</v>
      </c>
      <c r="N303" s="23">
        <v>12.247504892267131</v>
      </c>
      <c r="O303" s="23">
        <v>11.7381669200673</v>
      </c>
      <c r="P303" s="23">
        <v>11.1905701344386</v>
      </c>
      <c r="Q303" s="23">
        <v>10.353237393400081</v>
      </c>
      <c r="R303" s="23">
        <v>10.35515177431126</v>
      </c>
      <c r="S303" s="23">
        <v>10.227321623935151</v>
      </c>
      <c r="T303" s="23">
        <v>11.153196496989599</v>
      </c>
      <c r="U303" s="23">
        <v>10.83921417683376</v>
      </c>
      <c r="V303" s="38">
        <v>11.13604372032351</v>
      </c>
      <c r="W303" s="39">
        <v>107</v>
      </c>
      <c r="X303" s="24">
        <v>0.89166666666666672</v>
      </c>
    </row>
    <row r="304" spans="1:24" ht="13.9" customHeight="1" x14ac:dyDescent="0.2">
      <c r="A304" s="10">
        <v>44015010</v>
      </c>
      <c r="B304" s="35" t="s">
        <v>450</v>
      </c>
      <c r="C304" s="35" t="s">
        <v>770</v>
      </c>
      <c r="D304" s="35" t="s">
        <v>770</v>
      </c>
      <c r="E304" s="21" t="s">
        <v>264</v>
      </c>
      <c r="F304" s="35">
        <v>7</v>
      </c>
      <c r="G304" s="35">
        <v>440</v>
      </c>
      <c r="H304" s="36">
        <v>-76.619250000000008</v>
      </c>
      <c r="I304" s="37">
        <v>1.0342499999999999</v>
      </c>
      <c r="J304" s="22">
        <v>21.308310440735781</v>
      </c>
      <c r="K304" s="23">
        <v>21.248078301576381</v>
      </c>
      <c r="L304" s="23">
        <v>21.19438889820308</v>
      </c>
      <c r="M304" s="23">
        <v>20.97145049763088</v>
      </c>
      <c r="N304" s="23">
        <v>20.705919958709181</v>
      </c>
      <c r="O304" s="23">
        <v>20.15960193155556</v>
      </c>
      <c r="P304" s="23">
        <v>20.030666800394041</v>
      </c>
      <c r="Q304" s="23">
        <v>20.180648762654339</v>
      </c>
      <c r="R304" s="23">
        <v>20.603910360601141</v>
      </c>
      <c r="S304" s="23">
        <v>20.93304365437773</v>
      </c>
      <c r="T304" s="23">
        <v>21.16353841891517</v>
      </c>
      <c r="U304" s="23">
        <v>21.233432426270561</v>
      </c>
      <c r="V304" s="38">
        <v>20.811082537635318</v>
      </c>
      <c r="W304" s="39">
        <v>306</v>
      </c>
      <c r="X304" s="24">
        <v>0.85</v>
      </c>
    </row>
    <row r="305" spans="1:24" ht="13.9" customHeight="1" x14ac:dyDescent="0.2">
      <c r="A305" s="10">
        <v>26125061</v>
      </c>
      <c r="B305" s="35" t="s">
        <v>444</v>
      </c>
      <c r="C305" s="35" t="s">
        <v>66</v>
      </c>
      <c r="D305" s="35" t="s">
        <v>771</v>
      </c>
      <c r="E305" s="21" t="s">
        <v>67</v>
      </c>
      <c r="F305" s="35">
        <v>9</v>
      </c>
      <c r="G305" s="35">
        <v>1229</v>
      </c>
      <c r="H305" s="36">
        <v>-75.766388890000002</v>
      </c>
      <c r="I305" s="37">
        <v>4.4547222199999998</v>
      </c>
      <c r="J305" s="22">
        <v>16.847883597883602</v>
      </c>
      <c r="K305" s="23">
        <v>17.14470807706881</v>
      </c>
      <c r="L305" s="23">
        <v>17.149342891278369</v>
      </c>
      <c r="M305" s="23">
        <v>17.328654116819141</v>
      </c>
      <c r="N305" s="23">
        <v>17.533584405953711</v>
      </c>
      <c r="O305" s="23">
        <v>17.3204281022754</v>
      </c>
      <c r="P305" s="23">
        <v>16.97514080901178</v>
      </c>
      <c r="Q305" s="23">
        <v>16.759506289039098</v>
      </c>
      <c r="R305" s="23">
        <v>16.802106227106218</v>
      </c>
      <c r="S305" s="23">
        <v>16.985610863922879</v>
      </c>
      <c r="T305" s="23">
        <v>17.062385145888591</v>
      </c>
      <c r="U305" s="23">
        <v>17.162830107526879</v>
      </c>
      <c r="V305" s="38">
        <v>17.089348386147869</v>
      </c>
      <c r="W305" s="39">
        <v>317</v>
      </c>
      <c r="X305" s="24">
        <v>0.88055555555555554</v>
      </c>
    </row>
    <row r="306" spans="1:24" ht="13.9" customHeight="1" x14ac:dyDescent="0.2">
      <c r="A306" s="10">
        <v>26135040</v>
      </c>
      <c r="B306" s="35" t="s">
        <v>444</v>
      </c>
      <c r="C306" s="35" t="s">
        <v>63</v>
      </c>
      <c r="D306" s="35" t="s">
        <v>65</v>
      </c>
      <c r="E306" s="21" t="s">
        <v>772</v>
      </c>
      <c r="F306" s="35">
        <v>9</v>
      </c>
      <c r="G306" s="35">
        <v>1342</v>
      </c>
      <c r="H306" s="36">
        <v>-75.737222220000007</v>
      </c>
      <c r="I306" s="37">
        <v>4.8158611100000002</v>
      </c>
      <c r="J306" s="22">
        <v>17.702389486260461</v>
      </c>
      <c r="K306" s="23">
        <v>17.865562538927581</v>
      </c>
      <c r="L306" s="23">
        <v>17.854673579109061</v>
      </c>
      <c r="M306" s="23">
        <v>17.84769841269841</v>
      </c>
      <c r="N306" s="23">
        <v>17.925038657493239</v>
      </c>
      <c r="O306" s="23">
        <v>17.773741631931291</v>
      </c>
      <c r="P306" s="23">
        <v>17.615136476426802</v>
      </c>
      <c r="Q306" s="23">
        <v>17.60198511166254</v>
      </c>
      <c r="R306" s="23">
        <v>17.517363619777409</v>
      </c>
      <c r="S306" s="23">
        <v>17.368349875930519</v>
      </c>
      <c r="T306" s="23">
        <v>17.553486590038322</v>
      </c>
      <c r="U306" s="23">
        <v>17.735195852534559</v>
      </c>
      <c r="V306" s="38">
        <v>17.696718486065851</v>
      </c>
      <c r="W306" s="39">
        <v>324</v>
      </c>
      <c r="X306" s="24">
        <v>0.9</v>
      </c>
    </row>
    <row r="307" spans="1:24" ht="13.9" customHeight="1" x14ac:dyDescent="0.2">
      <c r="A307" s="10">
        <v>26135100</v>
      </c>
      <c r="B307" s="35" t="s">
        <v>445</v>
      </c>
      <c r="C307" s="35" t="s">
        <v>349</v>
      </c>
      <c r="D307" s="35" t="s">
        <v>65</v>
      </c>
      <c r="E307" s="21" t="s">
        <v>772</v>
      </c>
      <c r="F307" s="35">
        <v>9</v>
      </c>
      <c r="G307" s="35">
        <v>995</v>
      </c>
      <c r="H307" s="36">
        <v>-75.877555560000005</v>
      </c>
      <c r="I307" s="37">
        <v>4.87802778</v>
      </c>
      <c r="J307" s="22">
        <v>19.32837255069736</v>
      </c>
      <c r="K307" s="23">
        <v>19.488026816109659</v>
      </c>
      <c r="L307" s="23">
        <v>19.59269102421495</v>
      </c>
      <c r="M307" s="23">
        <v>19.734962703962701</v>
      </c>
      <c r="N307" s="23">
        <v>19.710807618078089</v>
      </c>
      <c r="O307" s="23">
        <v>19.389863090676879</v>
      </c>
      <c r="P307" s="23">
        <v>19.124532286510789</v>
      </c>
      <c r="Q307" s="23">
        <v>18.98804930581305</v>
      </c>
      <c r="R307" s="23">
        <v>19.095617658203871</v>
      </c>
      <c r="S307" s="23">
        <v>19.143790433205009</v>
      </c>
      <c r="T307" s="23">
        <v>19.32683213338386</v>
      </c>
      <c r="U307" s="23">
        <v>19.388404301075269</v>
      </c>
      <c r="V307" s="38">
        <v>19.359329160160961</v>
      </c>
      <c r="W307" s="39">
        <v>311</v>
      </c>
      <c r="X307" s="24">
        <v>0.86388888888888893</v>
      </c>
    </row>
    <row r="308" spans="1:24" ht="13.9" customHeight="1" x14ac:dyDescent="0.2">
      <c r="A308" s="10">
        <v>54015010</v>
      </c>
      <c r="B308" s="35" t="s">
        <v>445</v>
      </c>
      <c r="C308" s="35" t="s">
        <v>773</v>
      </c>
      <c r="D308" s="35" t="s">
        <v>773</v>
      </c>
      <c r="E308" s="21" t="s">
        <v>772</v>
      </c>
      <c r="F308" s="35">
        <v>9</v>
      </c>
      <c r="G308" s="35">
        <v>1505</v>
      </c>
      <c r="H308" s="36">
        <v>-76.031638889999996</v>
      </c>
      <c r="I308" s="37">
        <v>5.2334444400000004</v>
      </c>
      <c r="J308" s="22">
        <v>16.02550055617353</v>
      </c>
      <c r="K308" s="23">
        <v>16.260700966976831</v>
      </c>
      <c r="L308" s="23">
        <v>16.22549881317957</v>
      </c>
      <c r="M308" s="23">
        <v>16.555846560846561</v>
      </c>
      <c r="N308" s="23">
        <v>16.58152298850575</v>
      </c>
      <c r="O308" s="23">
        <v>16.19908148604269</v>
      </c>
      <c r="P308" s="23">
        <v>15.774737671486839</v>
      </c>
      <c r="Q308" s="23">
        <v>15.44959677419355</v>
      </c>
      <c r="R308" s="23">
        <v>15.5075</v>
      </c>
      <c r="S308" s="23">
        <v>15.67010752688172</v>
      </c>
      <c r="T308" s="23">
        <v>16.02168582375479</v>
      </c>
      <c r="U308" s="23">
        <v>16.242766963292549</v>
      </c>
      <c r="V308" s="38">
        <v>16.042878844277858</v>
      </c>
      <c r="W308" s="39">
        <v>97</v>
      </c>
      <c r="X308" s="24">
        <v>0.80833333333333335</v>
      </c>
    </row>
    <row r="309" spans="1:24" ht="13.9" customHeight="1" x14ac:dyDescent="0.2">
      <c r="A309" s="10">
        <v>26135160</v>
      </c>
      <c r="B309" s="35" t="s">
        <v>446</v>
      </c>
      <c r="C309" s="35" t="s">
        <v>774</v>
      </c>
      <c r="D309" s="35" t="s">
        <v>775</v>
      </c>
      <c r="E309" s="21" t="s">
        <v>772</v>
      </c>
      <c r="F309" s="35">
        <v>9</v>
      </c>
      <c r="G309" s="35">
        <v>1947</v>
      </c>
      <c r="H309" s="36">
        <v>-75.579972220000002</v>
      </c>
      <c r="I309" s="37">
        <v>4.8416666700000004</v>
      </c>
      <c r="J309" s="22">
        <v>13.241507024265641</v>
      </c>
      <c r="K309" s="23">
        <v>13.690347564313081</v>
      </c>
      <c r="L309" s="23">
        <v>13.75101075268817</v>
      </c>
      <c r="M309" s="23">
        <v>14.04066666666667</v>
      </c>
      <c r="N309" s="23">
        <v>14.175613644790509</v>
      </c>
      <c r="O309" s="23">
        <v>14.10537931034483</v>
      </c>
      <c r="P309" s="23">
        <v>13.92911367127496</v>
      </c>
      <c r="Q309" s="23">
        <v>13.867956989247309</v>
      </c>
      <c r="R309" s="23">
        <v>13.62276500638569</v>
      </c>
      <c r="S309" s="23">
        <v>13.629808994120451</v>
      </c>
      <c r="T309" s="23">
        <v>13.61786206896552</v>
      </c>
      <c r="U309" s="23">
        <v>13.378334233804759</v>
      </c>
      <c r="V309" s="38">
        <v>13.7541971605723</v>
      </c>
      <c r="W309" s="39">
        <v>118</v>
      </c>
      <c r="X309" s="24">
        <v>0.98333333333333328</v>
      </c>
    </row>
    <row r="310" spans="1:24" ht="13.9" customHeight="1" x14ac:dyDescent="0.2">
      <c r="A310" s="10">
        <v>26135110</v>
      </c>
      <c r="B310" s="35" t="s">
        <v>445</v>
      </c>
      <c r="C310" s="35" t="s">
        <v>776</v>
      </c>
      <c r="D310" s="35" t="s">
        <v>775</v>
      </c>
      <c r="E310" s="21" t="s">
        <v>772</v>
      </c>
      <c r="F310" s="35">
        <v>9</v>
      </c>
      <c r="G310" s="35">
        <v>1720</v>
      </c>
      <c r="H310" s="36">
        <v>-75.63</v>
      </c>
      <c r="I310" s="37">
        <v>4.87</v>
      </c>
      <c r="J310" s="22">
        <v>14.221435324964251</v>
      </c>
      <c r="K310" s="23">
        <v>14.359132685641301</v>
      </c>
      <c r="L310" s="23">
        <v>14.47333147942158</v>
      </c>
      <c r="M310" s="23">
        <v>14.530855683269481</v>
      </c>
      <c r="N310" s="23">
        <v>14.640780290858149</v>
      </c>
      <c r="O310" s="23">
        <v>14.612005108556829</v>
      </c>
      <c r="P310" s="23">
        <v>14.418790322580641</v>
      </c>
      <c r="Q310" s="23">
        <v>14.37893529185868</v>
      </c>
      <c r="R310" s="23">
        <v>14.33938697318008</v>
      </c>
      <c r="S310" s="23">
        <v>14.19959677419355</v>
      </c>
      <c r="T310" s="23">
        <v>14.25703703703703</v>
      </c>
      <c r="U310" s="23">
        <v>14.400021937955749</v>
      </c>
      <c r="V310" s="38">
        <v>14.40260907579311</v>
      </c>
      <c r="W310" s="39">
        <v>101</v>
      </c>
      <c r="X310" s="24">
        <v>0.84166666666666667</v>
      </c>
    </row>
    <row r="311" spans="1:24" ht="13.9" customHeight="1" x14ac:dyDescent="0.2">
      <c r="A311" s="10">
        <v>26145030</v>
      </c>
      <c r="B311" s="35" t="s">
        <v>445</v>
      </c>
      <c r="C311" s="35" t="s">
        <v>777</v>
      </c>
      <c r="D311" s="35" t="s">
        <v>778</v>
      </c>
      <c r="E311" s="21" t="s">
        <v>772</v>
      </c>
      <c r="F311" s="35">
        <v>9</v>
      </c>
      <c r="G311" s="35">
        <v>1763</v>
      </c>
      <c r="H311" s="36">
        <v>-75.97</v>
      </c>
      <c r="I311" s="37">
        <v>5.08</v>
      </c>
      <c r="J311" s="22">
        <v>16.28531202443995</v>
      </c>
      <c r="K311" s="23">
        <v>16.443711432838459</v>
      </c>
      <c r="L311" s="23">
        <v>16.49567863888748</v>
      </c>
      <c r="M311" s="23">
        <v>16.55689808941683</v>
      </c>
      <c r="N311" s="23">
        <v>16.602609068796571</v>
      </c>
      <c r="O311" s="23">
        <v>16.517549225997499</v>
      </c>
      <c r="P311" s="23">
        <v>16.450041316398849</v>
      </c>
      <c r="Q311" s="23">
        <v>16.52241879427374</v>
      </c>
      <c r="R311" s="23">
        <v>16.312889759027691</v>
      </c>
      <c r="S311" s="23">
        <v>16.06327401810843</v>
      </c>
      <c r="T311" s="23">
        <v>16.06566605561688</v>
      </c>
      <c r="U311" s="23">
        <v>16.316933610341099</v>
      </c>
      <c r="V311" s="38">
        <v>16.386081836178619</v>
      </c>
      <c r="W311" s="39">
        <v>288</v>
      </c>
      <c r="X311" s="24">
        <v>0.8</v>
      </c>
    </row>
    <row r="312" spans="1:24" ht="13.9" customHeight="1" x14ac:dyDescent="0.2">
      <c r="A312" s="10">
        <v>23125060</v>
      </c>
      <c r="B312" s="35" t="s">
        <v>445</v>
      </c>
      <c r="C312" s="35" t="s">
        <v>311</v>
      </c>
      <c r="D312" s="35" t="s">
        <v>311</v>
      </c>
      <c r="E312" s="21" t="s">
        <v>49</v>
      </c>
      <c r="F312" s="35">
        <v>8</v>
      </c>
      <c r="G312" s="35">
        <v>1690</v>
      </c>
      <c r="H312" s="36">
        <v>-73.91333333</v>
      </c>
      <c r="I312" s="37">
        <v>5.7583333300000001</v>
      </c>
      <c r="J312" s="22">
        <v>14.23252268382892</v>
      </c>
      <c r="K312" s="23">
        <v>14.610381478381219</v>
      </c>
      <c r="L312" s="23">
        <v>14.949998489405241</v>
      </c>
      <c r="M312" s="23">
        <v>15.260453514739231</v>
      </c>
      <c r="N312" s="23">
        <v>15.339559041996189</v>
      </c>
      <c r="O312" s="23">
        <v>14.882881843476991</v>
      </c>
      <c r="P312" s="23">
        <v>14.51408071669195</v>
      </c>
      <c r="Q312" s="23">
        <v>14.54256377143717</v>
      </c>
      <c r="R312" s="23">
        <v>14.599499815025331</v>
      </c>
      <c r="S312" s="23">
        <v>14.80509666173506</v>
      </c>
      <c r="T312" s="23">
        <v>14.982719335967399</v>
      </c>
      <c r="U312" s="23">
        <v>14.646217593351659</v>
      </c>
      <c r="V312" s="38">
        <v>14.7804979121697</v>
      </c>
      <c r="W312" s="39">
        <v>312</v>
      </c>
      <c r="X312" s="24">
        <v>0.8666666666666667</v>
      </c>
    </row>
    <row r="313" spans="1:24" ht="13.9" customHeight="1" x14ac:dyDescent="0.2">
      <c r="A313" s="10">
        <v>23155030</v>
      </c>
      <c r="B313" s="35" t="s">
        <v>444</v>
      </c>
      <c r="C313" s="35" t="s">
        <v>48</v>
      </c>
      <c r="D313" s="35" t="s">
        <v>50</v>
      </c>
      <c r="E313" s="21" t="s">
        <v>49</v>
      </c>
      <c r="F313" s="35">
        <v>8</v>
      </c>
      <c r="G313" s="35">
        <v>126</v>
      </c>
      <c r="H313" s="36">
        <v>-73.808611110000001</v>
      </c>
      <c r="I313" s="37">
        <v>7.0263888899999998</v>
      </c>
      <c r="J313" s="22">
        <v>23.719299221357058</v>
      </c>
      <c r="K313" s="23">
        <v>23.977810649956901</v>
      </c>
      <c r="L313" s="23">
        <v>23.873003976321069</v>
      </c>
      <c r="M313" s="23">
        <v>23.713385425513849</v>
      </c>
      <c r="N313" s="23">
        <v>23.598099740452358</v>
      </c>
      <c r="O313" s="23">
        <v>23.510968518203949</v>
      </c>
      <c r="P313" s="23">
        <v>23.41727263096562</v>
      </c>
      <c r="Q313" s="23">
        <v>23.256381449473771</v>
      </c>
      <c r="R313" s="23">
        <v>23.052718375560229</v>
      </c>
      <c r="S313" s="23">
        <v>23.105314900153608</v>
      </c>
      <c r="T313" s="23">
        <v>23.372598522167479</v>
      </c>
      <c r="U313" s="23">
        <v>23.681059907834101</v>
      </c>
      <c r="V313" s="38">
        <v>23.52315944316333</v>
      </c>
      <c r="W313" s="39">
        <v>343</v>
      </c>
      <c r="X313" s="24">
        <v>0.95277777777777772</v>
      </c>
    </row>
    <row r="314" spans="1:24" ht="13.9" customHeight="1" x14ac:dyDescent="0.2">
      <c r="A314" s="10">
        <v>23155040</v>
      </c>
      <c r="B314" s="35" t="s">
        <v>445</v>
      </c>
      <c r="C314" s="35" t="s">
        <v>779</v>
      </c>
      <c r="D314" s="35" t="s">
        <v>50</v>
      </c>
      <c r="E314" s="21" t="s">
        <v>49</v>
      </c>
      <c r="F314" s="35">
        <v>8</v>
      </c>
      <c r="G314" s="35">
        <v>114</v>
      </c>
      <c r="H314" s="36">
        <v>-73.765083329999996</v>
      </c>
      <c r="I314" s="37">
        <v>6.8595555600000004</v>
      </c>
      <c r="J314" s="22">
        <v>22.309900868690079</v>
      </c>
      <c r="K314" s="23">
        <v>22.442471567940089</v>
      </c>
      <c r="L314" s="23">
        <v>22.635176680875009</v>
      </c>
      <c r="M314" s="23">
        <v>22.79756613756614</v>
      </c>
      <c r="N314" s="23">
        <v>22.44943938976197</v>
      </c>
      <c r="O314" s="23">
        <v>22.37170893389284</v>
      </c>
      <c r="P314" s="23">
        <v>22.18387110738724</v>
      </c>
      <c r="Q314" s="23">
        <v>22.358974539611911</v>
      </c>
      <c r="R314" s="23">
        <v>22.212792092964509</v>
      </c>
      <c r="S314" s="23">
        <v>22.312207891190091</v>
      </c>
      <c r="T314" s="23">
        <v>22.477929574895089</v>
      </c>
      <c r="U314" s="23">
        <v>22.714441045606229</v>
      </c>
      <c r="V314" s="38">
        <v>22.438873319198439</v>
      </c>
      <c r="W314" s="39">
        <v>114</v>
      </c>
      <c r="X314" s="24">
        <v>0.95</v>
      </c>
    </row>
    <row r="315" spans="1:24" ht="13.9" customHeight="1" x14ac:dyDescent="0.2">
      <c r="A315" s="10">
        <v>24035260</v>
      </c>
      <c r="B315" s="35" t="s">
        <v>445</v>
      </c>
      <c r="C315" s="35" t="s">
        <v>233</v>
      </c>
      <c r="D315" s="35" t="s">
        <v>233</v>
      </c>
      <c r="E315" s="21" t="s">
        <v>49</v>
      </c>
      <c r="F315" s="35">
        <v>6</v>
      </c>
      <c r="G315" s="35">
        <v>1082</v>
      </c>
      <c r="H315" s="36">
        <v>-72.696611110000006</v>
      </c>
      <c r="I315" s="37">
        <v>6.5207222199999997</v>
      </c>
      <c r="J315" s="22">
        <v>18.05304022648961</v>
      </c>
      <c r="K315" s="23">
        <v>18.421314115523568</v>
      </c>
      <c r="L315" s="23">
        <v>18.89804182169205</v>
      </c>
      <c r="M315" s="23">
        <v>18.876773411113479</v>
      </c>
      <c r="N315" s="23">
        <v>18.6953471271094</v>
      </c>
      <c r="O315" s="23">
        <v>17.9465281839685</v>
      </c>
      <c r="P315" s="23">
        <v>17.58747112704102</v>
      </c>
      <c r="Q315" s="23">
        <v>17.63685537984265</v>
      </c>
      <c r="R315" s="23">
        <v>17.818800331214131</v>
      </c>
      <c r="S315" s="23">
        <v>18.055204056135199</v>
      </c>
      <c r="T315" s="23">
        <v>18.3867009258758</v>
      </c>
      <c r="U315" s="23">
        <v>18.121867612576139</v>
      </c>
      <c r="V315" s="38">
        <v>18.208162026548461</v>
      </c>
      <c r="W315" s="39">
        <v>334</v>
      </c>
      <c r="X315" s="24">
        <v>0.92777777777777781</v>
      </c>
    </row>
    <row r="316" spans="1:24" ht="13.9" customHeight="1" x14ac:dyDescent="0.2">
      <c r="A316" s="10">
        <v>24035400</v>
      </c>
      <c r="B316" s="35" t="s">
        <v>445</v>
      </c>
      <c r="C316" s="35" t="s">
        <v>780</v>
      </c>
      <c r="D316" s="35" t="s">
        <v>327</v>
      </c>
      <c r="E316" s="21" t="s">
        <v>49</v>
      </c>
      <c r="F316" s="35">
        <v>8</v>
      </c>
      <c r="G316" s="35">
        <v>2841</v>
      </c>
      <c r="H316" s="36">
        <v>-72.67777778</v>
      </c>
      <c r="I316" s="37">
        <v>6.84527778</v>
      </c>
      <c r="J316" s="22">
        <v>7.9754838709677411</v>
      </c>
      <c r="K316" s="23">
        <v>8.5226278893520284</v>
      </c>
      <c r="L316" s="23">
        <v>9.1219569892473107</v>
      </c>
      <c r="M316" s="23">
        <v>9.7386486042692955</v>
      </c>
      <c r="N316" s="23">
        <v>9.9373333333333367</v>
      </c>
      <c r="O316" s="23">
        <v>9.8610574712643686</v>
      </c>
      <c r="P316" s="23">
        <v>9.5855913978494645</v>
      </c>
      <c r="Q316" s="23">
        <v>9.0629738863287237</v>
      </c>
      <c r="R316" s="23">
        <v>8.9902791461412157</v>
      </c>
      <c r="S316" s="23">
        <v>8.804193548387099</v>
      </c>
      <c r="T316" s="23">
        <v>8.892904761904763</v>
      </c>
      <c r="U316" s="23">
        <v>8.7846887488155563</v>
      </c>
      <c r="V316" s="38">
        <v>9.1064783039884087</v>
      </c>
      <c r="W316" s="39">
        <v>119</v>
      </c>
      <c r="X316" s="24">
        <v>0.9916666666666667</v>
      </c>
    </row>
    <row r="317" spans="1:24" ht="13.9" customHeight="1" x14ac:dyDescent="0.2">
      <c r="A317" s="10">
        <v>24035270</v>
      </c>
      <c r="B317" s="35" t="s">
        <v>445</v>
      </c>
      <c r="C317" s="35" t="s">
        <v>781</v>
      </c>
      <c r="D317" s="35" t="s">
        <v>327</v>
      </c>
      <c r="E317" s="21" t="s">
        <v>49</v>
      </c>
      <c r="F317" s="35">
        <v>8</v>
      </c>
      <c r="G317" s="35">
        <v>2698</v>
      </c>
      <c r="H317" s="36">
        <v>-72.707499999999996</v>
      </c>
      <c r="I317" s="37">
        <v>6.8408333299999997</v>
      </c>
      <c r="J317" s="22">
        <v>7.5879680108545529</v>
      </c>
      <c r="K317" s="23">
        <v>8.3311023395506147</v>
      </c>
      <c r="L317" s="23">
        <v>8.2334285780496845</v>
      </c>
      <c r="M317" s="23">
        <v>9.0435817551541682</v>
      </c>
      <c r="N317" s="23">
        <v>9.1217182054134227</v>
      </c>
      <c r="O317" s="23">
        <v>9.0054380587484033</v>
      </c>
      <c r="P317" s="23">
        <v>8.4877451593939028</v>
      </c>
      <c r="Q317" s="23">
        <v>8.4690962424672094</v>
      </c>
      <c r="R317" s="23">
        <v>8.3193915343915332</v>
      </c>
      <c r="S317" s="23">
        <v>8.2191628264208916</v>
      </c>
      <c r="T317" s="23">
        <v>8.1086497172048873</v>
      </c>
      <c r="U317" s="23">
        <v>7.9043514251578753</v>
      </c>
      <c r="V317" s="38">
        <v>8.4026361544005947</v>
      </c>
      <c r="W317" s="39">
        <v>116</v>
      </c>
      <c r="X317" s="24">
        <v>0.96666666666666667</v>
      </c>
    </row>
    <row r="318" spans="1:24" ht="13.9" customHeight="1" x14ac:dyDescent="0.2">
      <c r="A318" s="10">
        <v>24025050</v>
      </c>
      <c r="B318" s="35" t="s">
        <v>445</v>
      </c>
      <c r="C318" s="35" t="s">
        <v>782</v>
      </c>
      <c r="D318" s="35" t="s">
        <v>782</v>
      </c>
      <c r="E318" s="21" t="s">
        <v>49</v>
      </c>
      <c r="F318" s="35">
        <v>8</v>
      </c>
      <c r="G318" s="35">
        <v>1350</v>
      </c>
      <c r="H318" s="36">
        <v>-73.150555560000001</v>
      </c>
      <c r="I318" s="37">
        <v>6.2741666699999996</v>
      </c>
      <c r="J318" s="22">
        <v>15.6912817298468</v>
      </c>
      <c r="K318" s="23">
        <v>15.844447421588351</v>
      </c>
      <c r="L318" s="23">
        <v>16.312323112248031</v>
      </c>
      <c r="M318" s="23">
        <v>16.661308057052061</v>
      </c>
      <c r="N318" s="23">
        <v>16.90981744182378</v>
      </c>
      <c r="O318" s="23">
        <v>16.753347473088851</v>
      </c>
      <c r="P318" s="23">
        <v>16.246286733139609</v>
      </c>
      <c r="Q318" s="23">
        <v>16.08813398254954</v>
      </c>
      <c r="R318" s="23">
        <v>16.185160868424621</v>
      </c>
      <c r="S318" s="23">
        <v>16.560669426301459</v>
      </c>
      <c r="T318" s="23">
        <v>16.906956694940781</v>
      </c>
      <c r="U318" s="23">
        <v>16.41454310393873</v>
      </c>
      <c r="V318" s="38">
        <v>16.381189670411889</v>
      </c>
      <c r="W318" s="39">
        <v>302</v>
      </c>
      <c r="X318" s="24">
        <v>0.83888888888888891</v>
      </c>
    </row>
    <row r="319" spans="1:24" ht="13.9" customHeight="1" x14ac:dyDescent="0.2">
      <c r="A319" s="10">
        <v>24015260</v>
      </c>
      <c r="B319" s="35" t="s">
        <v>445</v>
      </c>
      <c r="C319" s="35" t="s">
        <v>123</v>
      </c>
      <c r="D319" s="35" t="s">
        <v>123</v>
      </c>
      <c r="E319" s="21" t="s">
        <v>49</v>
      </c>
      <c r="F319" s="35">
        <v>8</v>
      </c>
      <c r="G319" s="35">
        <v>890</v>
      </c>
      <c r="H319" s="36">
        <v>-73.368333329999999</v>
      </c>
      <c r="I319" s="37">
        <v>6.3550000000000004</v>
      </c>
      <c r="J319" s="22">
        <v>17.84691936909957</v>
      </c>
      <c r="K319" s="23">
        <v>18.127388284106029</v>
      </c>
      <c r="L319" s="23">
        <v>18.248468391435178</v>
      </c>
      <c r="M319" s="23">
        <v>18.5217089806745</v>
      </c>
      <c r="N319" s="23">
        <v>18.61527570316224</v>
      </c>
      <c r="O319" s="23">
        <v>18.30782435875658</v>
      </c>
      <c r="P319" s="23">
        <v>17.87864592645921</v>
      </c>
      <c r="Q319" s="23">
        <v>17.753898511573709</v>
      </c>
      <c r="R319" s="23">
        <v>17.95067323481117</v>
      </c>
      <c r="S319" s="23">
        <v>18.26652751734732</v>
      </c>
      <c r="T319" s="23">
        <v>18.54561902155498</v>
      </c>
      <c r="U319" s="23">
        <v>18.370534721118698</v>
      </c>
      <c r="V319" s="38">
        <v>18.20279033500827</v>
      </c>
      <c r="W319" s="39">
        <v>340</v>
      </c>
      <c r="X319" s="24">
        <v>0.94444444444444442</v>
      </c>
    </row>
    <row r="320" spans="1:24" ht="13.9" customHeight="1" x14ac:dyDescent="0.2">
      <c r="A320" s="10">
        <v>23125120</v>
      </c>
      <c r="B320" s="35" t="s">
        <v>445</v>
      </c>
      <c r="C320" s="35" t="s">
        <v>312</v>
      </c>
      <c r="D320" s="35" t="s">
        <v>312</v>
      </c>
      <c r="E320" s="21" t="s">
        <v>49</v>
      </c>
      <c r="F320" s="35">
        <v>8</v>
      </c>
      <c r="G320" s="35">
        <v>198</v>
      </c>
      <c r="H320" s="36">
        <v>-73.95222222000001</v>
      </c>
      <c r="I320" s="37">
        <v>6.3086111100000002</v>
      </c>
      <c r="J320" s="22">
        <v>22.59672085793332</v>
      </c>
      <c r="K320" s="23">
        <v>22.660680857561271</v>
      </c>
      <c r="L320" s="23">
        <v>22.77672558461602</v>
      </c>
      <c r="M320" s="23">
        <v>22.58093238625997</v>
      </c>
      <c r="N320" s="23">
        <v>22.56728216536893</v>
      </c>
      <c r="O320" s="23">
        <v>22.395338481186759</v>
      </c>
      <c r="P320" s="23">
        <v>22.195180230256881</v>
      </c>
      <c r="Q320" s="23">
        <v>22.202972547166102</v>
      </c>
      <c r="R320" s="23">
        <v>22.255609026988331</v>
      </c>
      <c r="S320" s="23">
        <v>22.196229357405659</v>
      </c>
      <c r="T320" s="23">
        <v>22.253983105272759</v>
      </c>
      <c r="U320" s="23">
        <v>22.488962556621061</v>
      </c>
      <c r="V320" s="38">
        <v>22.43088476305309</v>
      </c>
      <c r="W320" s="39">
        <v>312</v>
      </c>
      <c r="X320" s="24">
        <v>0.8666666666666667</v>
      </c>
    </row>
    <row r="321" spans="1:24" ht="13.9" customHeight="1" x14ac:dyDescent="0.2">
      <c r="A321" s="10">
        <v>23145020</v>
      </c>
      <c r="B321" s="35" t="s">
        <v>445</v>
      </c>
      <c r="C321" s="35" t="s">
        <v>783</v>
      </c>
      <c r="D321" s="35" t="s">
        <v>783</v>
      </c>
      <c r="E321" s="21" t="s">
        <v>49</v>
      </c>
      <c r="F321" s="35">
        <v>8</v>
      </c>
      <c r="G321" s="35">
        <v>805</v>
      </c>
      <c r="H321" s="36">
        <v>-73.510000000000005</v>
      </c>
      <c r="I321" s="37">
        <v>6.6963888899999997</v>
      </c>
      <c r="J321" s="22">
        <v>20.14026016697429</v>
      </c>
      <c r="K321" s="23">
        <v>20.289350179407649</v>
      </c>
      <c r="L321" s="23">
        <v>20.33647642679901</v>
      </c>
      <c r="M321" s="23">
        <v>20.173217985363578</v>
      </c>
      <c r="N321" s="23">
        <v>20.166069295101551</v>
      </c>
      <c r="O321" s="23">
        <v>19.988271300857509</v>
      </c>
      <c r="P321" s="23">
        <v>19.655086355667251</v>
      </c>
      <c r="Q321" s="23">
        <v>19.988230544226099</v>
      </c>
      <c r="R321" s="23">
        <v>19.720218938149969</v>
      </c>
      <c r="S321" s="23">
        <v>19.69826762246117</v>
      </c>
      <c r="T321" s="23">
        <v>19.77329137018792</v>
      </c>
      <c r="U321" s="23">
        <v>19.894010220961839</v>
      </c>
      <c r="V321" s="38">
        <v>19.98522920051315</v>
      </c>
      <c r="W321" s="39">
        <v>109</v>
      </c>
      <c r="X321" s="24">
        <v>0.90833333333333333</v>
      </c>
    </row>
    <row r="322" spans="1:24" ht="13.9" customHeight="1" x14ac:dyDescent="0.2">
      <c r="A322" s="10">
        <v>24015280</v>
      </c>
      <c r="B322" s="35" t="s">
        <v>445</v>
      </c>
      <c r="C322" s="35" t="s">
        <v>784</v>
      </c>
      <c r="D322" s="35" t="s">
        <v>784</v>
      </c>
      <c r="E322" s="21" t="s">
        <v>49</v>
      </c>
      <c r="F322" s="35">
        <v>8</v>
      </c>
      <c r="G322" s="35">
        <v>1900</v>
      </c>
      <c r="H322" s="36">
        <v>-73.343611109999998</v>
      </c>
      <c r="I322" s="37">
        <v>5.9447222200000001</v>
      </c>
      <c r="J322" s="22">
        <v>12.44381976067171</v>
      </c>
      <c r="K322" s="23">
        <v>12.738694214356</v>
      </c>
      <c r="L322" s="23">
        <v>13.10761746837729</v>
      </c>
      <c r="M322" s="23">
        <v>13.35746968464486</v>
      </c>
      <c r="N322" s="23">
        <v>13.410833117643071</v>
      </c>
      <c r="O322" s="23">
        <v>13.046443628779461</v>
      </c>
      <c r="P322" s="23">
        <v>12.42656061901697</v>
      </c>
      <c r="Q322" s="23">
        <v>12.43420243795153</v>
      </c>
      <c r="R322" s="23">
        <v>12.637022292956081</v>
      </c>
      <c r="S322" s="23">
        <v>12.87796797515378</v>
      </c>
      <c r="T322" s="23">
        <v>13.21792651009638</v>
      </c>
      <c r="U322" s="23">
        <v>12.727278389183841</v>
      </c>
      <c r="V322" s="38">
        <v>12.86881967490258</v>
      </c>
      <c r="W322" s="39">
        <v>310</v>
      </c>
      <c r="X322" s="24">
        <v>0.86111111111111116</v>
      </c>
    </row>
    <row r="323" spans="1:24" ht="13.9" customHeight="1" x14ac:dyDescent="0.2">
      <c r="A323" s="10">
        <v>23195110</v>
      </c>
      <c r="B323" s="35" t="s">
        <v>445</v>
      </c>
      <c r="C323" s="35" t="s">
        <v>785</v>
      </c>
      <c r="D323" s="35" t="s">
        <v>321</v>
      </c>
      <c r="E323" s="21" t="s">
        <v>49</v>
      </c>
      <c r="F323" s="35">
        <v>8</v>
      </c>
      <c r="G323" s="35">
        <v>777</v>
      </c>
      <c r="H323" s="36">
        <v>-73.167222219999999</v>
      </c>
      <c r="I323" s="37">
        <v>7.0255555599999999</v>
      </c>
      <c r="J323" s="22">
        <v>19.068006113990968</v>
      </c>
      <c r="K323" s="23">
        <v>19.477611631783901</v>
      </c>
      <c r="L323" s="23">
        <v>19.839071624828019</v>
      </c>
      <c r="M323" s="23">
        <v>19.888715307803501</v>
      </c>
      <c r="N323" s="23">
        <v>20.080614552505541</v>
      </c>
      <c r="O323" s="23">
        <v>19.632679347614221</v>
      </c>
      <c r="P323" s="23">
        <v>19.338408533503909</v>
      </c>
      <c r="Q323" s="23">
        <v>19.33438505823419</v>
      </c>
      <c r="R323" s="23">
        <v>19.470720699479319</v>
      </c>
      <c r="S323" s="23">
        <v>19.542778238672231</v>
      </c>
      <c r="T323" s="23">
        <v>19.635060669510271</v>
      </c>
      <c r="U323" s="23">
        <v>19.16513644128397</v>
      </c>
      <c r="V323" s="38">
        <v>19.539432351600841</v>
      </c>
      <c r="W323" s="39">
        <v>318</v>
      </c>
      <c r="X323" s="24">
        <v>0.8833333333333333</v>
      </c>
    </row>
    <row r="324" spans="1:24" ht="13.9" customHeight="1" x14ac:dyDescent="0.2">
      <c r="A324" s="10">
        <v>24015250</v>
      </c>
      <c r="B324" s="35" t="s">
        <v>445</v>
      </c>
      <c r="C324" s="35" t="s">
        <v>786</v>
      </c>
      <c r="D324" s="35" t="s">
        <v>685</v>
      </c>
      <c r="E324" s="21" t="s">
        <v>49</v>
      </c>
      <c r="F324" s="35">
        <v>8</v>
      </c>
      <c r="G324" s="35">
        <v>1400</v>
      </c>
      <c r="H324" s="36">
        <v>-73.415388890000003</v>
      </c>
      <c r="I324" s="37">
        <v>6.2371666699999997</v>
      </c>
      <c r="J324" s="22">
        <v>15.712296614109739</v>
      </c>
      <c r="K324" s="23">
        <v>15.57990746427132</v>
      </c>
      <c r="L324" s="23">
        <v>15.87515753434552</v>
      </c>
      <c r="M324" s="23">
        <v>16.281318891836129</v>
      </c>
      <c r="N324" s="23">
        <v>16.326028080826902</v>
      </c>
      <c r="O324" s="23">
        <v>15.9020713373472</v>
      </c>
      <c r="P324" s="23">
        <v>15.46093670134405</v>
      </c>
      <c r="Q324" s="23">
        <v>15.34016874367072</v>
      </c>
      <c r="R324" s="23">
        <v>15.55247935291613</v>
      </c>
      <c r="S324" s="23">
        <v>15.728565284178179</v>
      </c>
      <c r="T324" s="23">
        <v>16.061847029598749</v>
      </c>
      <c r="U324" s="23">
        <v>16.073639486826359</v>
      </c>
      <c r="V324" s="38">
        <v>15.824534710105921</v>
      </c>
      <c r="W324" s="39">
        <v>344</v>
      </c>
      <c r="X324" s="24">
        <v>0.9555555555555556</v>
      </c>
    </row>
    <row r="325" spans="1:24" ht="13.9" customHeight="1" x14ac:dyDescent="0.2">
      <c r="A325" s="10">
        <v>23195502</v>
      </c>
      <c r="B325" s="35" t="s">
        <v>444</v>
      </c>
      <c r="C325" s="35" t="s">
        <v>51</v>
      </c>
      <c r="D325" s="35" t="s">
        <v>52</v>
      </c>
      <c r="E325" s="21" t="s">
        <v>49</v>
      </c>
      <c r="F325" s="35">
        <v>8</v>
      </c>
      <c r="G325" s="35">
        <v>1189</v>
      </c>
      <c r="H325" s="36">
        <v>-73.184527779999996</v>
      </c>
      <c r="I325" s="37">
        <v>7.1214722200000002</v>
      </c>
      <c r="J325" s="22">
        <v>18.55606656969282</v>
      </c>
      <c r="K325" s="23">
        <v>18.860594194084619</v>
      </c>
      <c r="L325" s="23">
        <v>19.002977667493791</v>
      </c>
      <c r="M325" s="23">
        <v>19.000848993492671</v>
      </c>
      <c r="N325" s="23">
        <v>18.932544496824811</v>
      </c>
      <c r="O325" s="23">
        <v>18.823217280248759</v>
      </c>
      <c r="P325" s="23">
        <v>18.607906136078171</v>
      </c>
      <c r="Q325" s="23">
        <v>18.604610712863401</v>
      </c>
      <c r="R325" s="23">
        <v>18.375069904788941</v>
      </c>
      <c r="S325" s="23">
        <v>18.35928061981825</v>
      </c>
      <c r="T325" s="23">
        <v>18.450119540229888</v>
      </c>
      <c r="U325" s="23">
        <v>18.52047559966914</v>
      </c>
      <c r="V325" s="38">
        <v>18.674475976273769</v>
      </c>
      <c r="W325" s="39">
        <v>319</v>
      </c>
      <c r="X325" s="24">
        <v>0.88611111111111107</v>
      </c>
    </row>
    <row r="326" spans="1:24" ht="13.9" customHeight="1" x14ac:dyDescent="0.2">
      <c r="A326" s="10">
        <v>24025040</v>
      </c>
      <c r="B326" s="35" t="s">
        <v>471</v>
      </c>
      <c r="C326" s="35" t="s">
        <v>787</v>
      </c>
      <c r="D326" s="35" t="s">
        <v>325</v>
      </c>
      <c r="E326" s="21" t="s">
        <v>49</v>
      </c>
      <c r="F326" s="35">
        <v>8</v>
      </c>
      <c r="G326" s="35">
        <v>1673</v>
      </c>
      <c r="H326" s="36">
        <v>-72.968888890000002</v>
      </c>
      <c r="I326" s="37">
        <v>6.47</v>
      </c>
      <c r="J326" s="22">
        <v>11.846711160548759</v>
      </c>
      <c r="K326" s="23">
        <v>12.39527936825238</v>
      </c>
      <c r="L326" s="23">
        <v>13.180649532243811</v>
      </c>
      <c r="M326" s="23">
        <v>14.07073849522126</v>
      </c>
      <c r="N326" s="23">
        <v>14.32527654183661</v>
      </c>
      <c r="O326" s="23">
        <v>13.614809195402289</v>
      </c>
      <c r="P326" s="23">
        <v>13.12444319775596</v>
      </c>
      <c r="Q326" s="23">
        <v>13.150776173408429</v>
      </c>
      <c r="R326" s="23">
        <v>13.359148505747131</v>
      </c>
      <c r="S326" s="23">
        <v>13.837768817204299</v>
      </c>
      <c r="T326" s="23">
        <v>14.04881710731936</v>
      </c>
      <c r="U326" s="23">
        <v>12.95658749385257</v>
      </c>
      <c r="V326" s="38">
        <v>13.3259171323994</v>
      </c>
      <c r="W326" s="39">
        <v>290</v>
      </c>
      <c r="X326" s="24">
        <v>0.80555555555555558</v>
      </c>
    </row>
    <row r="327" spans="1:24" ht="13.9" customHeight="1" x14ac:dyDescent="0.2">
      <c r="A327" s="10">
        <v>24055040</v>
      </c>
      <c r="B327" s="35" t="s">
        <v>445</v>
      </c>
      <c r="C327" s="35" t="s">
        <v>329</v>
      </c>
      <c r="D327" s="35" t="s">
        <v>330</v>
      </c>
      <c r="E327" s="21" t="s">
        <v>49</v>
      </c>
      <c r="F327" s="35">
        <v>8</v>
      </c>
      <c r="G327" s="35">
        <v>940</v>
      </c>
      <c r="H327" s="36">
        <v>-73.292000000000002</v>
      </c>
      <c r="I327" s="37">
        <v>6.5497222199999996</v>
      </c>
      <c r="J327" s="22">
        <v>19.711791426099541</v>
      </c>
      <c r="K327" s="23">
        <v>19.92282722598814</v>
      </c>
      <c r="L327" s="23">
        <v>20.296677790137181</v>
      </c>
      <c r="M327" s="23">
        <v>20.450667822173571</v>
      </c>
      <c r="N327" s="23">
        <v>20.553924960714731</v>
      </c>
      <c r="O327" s="23">
        <v>20.310378458918692</v>
      </c>
      <c r="P327" s="23">
        <v>19.834386821064239</v>
      </c>
      <c r="Q327" s="23">
        <v>19.80259102706712</v>
      </c>
      <c r="R327" s="23">
        <v>19.856944177063081</v>
      </c>
      <c r="S327" s="23">
        <v>19.916117241095179</v>
      </c>
      <c r="T327" s="23">
        <v>20.200130419191069</v>
      </c>
      <c r="U327" s="23">
        <v>20.024020906279741</v>
      </c>
      <c r="V327" s="38">
        <v>20.07337152298269</v>
      </c>
      <c r="W327" s="39">
        <v>355</v>
      </c>
      <c r="X327" s="24">
        <v>0.98611111111111116</v>
      </c>
    </row>
    <row r="328" spans="1:24" ht="13.9" customHeight="1" x14ac:dyDescent="0.2">
      <c r="A328" s="10">
        <v>24025020</v>
      </c>
      <c r="B328" s="35" t="s">
        <v>446</v>
      </c>
      <c r="C328" s="35" t="s">
        <v>788</v>
      </c>
      <c r="D328" s="35" t="s">
        <v>789</v>
      </c>
      <c r="E328" s="21" t="s">
        <v>49</v>
      </c>
      <c r="F328" s="35">
        <v>8</v>
      </c>
      <c r="G328" s="35">
        <v>975</v>
      </c>
      <c r="H328" s="36">
        <v>-73.199166669999997</v>
      </c>
      <c r="I328" s="37">
        <v>6.5322222200000004</v>
      </c>
      <c r="J328" s="22">
        <v>18.527103018948932</v>
      </c>
      <c r="K328" s="23">
        <v>19.318708649017179</v>
      </c>
      <c r="L328" s="23">
        <v>19.537572156196941</v>
      </c>
      <c r="M328" s="23">
        <v>19.564514687100889</v>
      </c>
      <c r="N328" s="23">
        <v>19.406704568862519</v>
      </c>
      <c r="O328" s="23">
        <v>18.837113665389531</v>
      </c>
      <c r="P328" s="23">
        <v>18.422244789592462</v>
      </c>
      <c r="Q328" s="23">
        <v>18.46767025089606</v>
      </c>
      <c r="R328" s="23">
        <v>18.52575351213282</v>
      </c>
      <c r="S328" s="23">
        <v>18.776924457974751</v>
      </c>
      <c r="T328" s="23">
        <v>18.917621966794378</v>
      </c>
      <c r="U328" s="23">
        <v>18.594793504896838</v>
      </c>
      <c r="V328" s="38">
        <v>18.90806043565027</v>
      </c>
      <c r="W328" s="39">
        <v>221</v>
      </c>
      <c r="X328" s="24">
        <v>0.92083333333333328</v>
      </c>
    </row>
    <row r="329" spans="1:24" ht="13.9" customHeight="1" x14ac:dyDescent="0.2">
      <c r="A329" s="10">
        <v>23125050</v>
      </c>
      <c r="B329" s="35" t="s">
        <v>445</v>
      </c>
      <c r="C329" s="35" t="s">
        <v>790</v>
      </c>
      <c r="D329" s="35" t="s">
        <v>791</v>
      </c>
      <c r="E329" s="21" t="s">
        <v>49</v>
      </c>
      <c r="F329" s="35">
        <v>8</v>
      </c>
      <c r="G329" s="35">
        <v>168</v>
      </c>
      <c r="H329" s="36">
        <v>-74.061388890000003</v>
      </c>
      <c r="I329" s="37">
        <v>6.6494444399999999</v>
      </c>
      <c r="J329" s="22">
        <v>23.051684492992742</v>
      </c>
      <c r="K329" s="23">
        <v>23.434321723402189</v>
      </c>
      <c r="L329" s="23">
        <v>23.233262075439491</v>
      </c>
      <c r="M329" s="23">
        <v>23.219579173376282</v>
      </c>
      <c r="N329" s="23">
        <v>23.18277320099255</v>
      </c>
      <c r="O329" s="23">
        <v>23.230717569786531</v>
      </c>
      <c r="P329" s="23">
        <v>22.867663492753099</v>
      </c>
      <c r="Q329" s="23">
        <v>22.88763384462403</v>
      </c>
      <c r="R329" s="23">
        <v>22.80371489468941</v>
      </c>
      <c r="S329" s="23">
        <v>22.918673740053048</v>
      </c>
      <c r="T329" s="23">
        <v>23.02566595932803</v>
      </c>
      <c r="U329" s="23">
        <v>23.29829324249166</v>
      </c>
      <c r="V329" s="38">
        <v>23.096165284160751</v>
      </c>
      <c r="W329" s="39">
        <v>108</v>
      </c>
      <c r="X329" s="24">
        <v>0.9</v>
      </c>
    </row>
    <row r="330" spans="1:24" ht="13.9" customHeight="1" x14ac:dyDescent="0.2">
      <c r="A330" s="10">
        <v>24065010</v>
      </c>
      <c r="B330" s="35" t="s">
        <v>446</v>
      </c>
      <c r="C330" s="35" t="s">
        <v>792</v>
      </c>
      <c r="D330" s="35" t="s">
        <v>793</v>
      </c>
      <c r="E330" s="21" t="s">
        <v>49</v>
      </c>
      <c r="F330" s="35">
        <v>8</v>
      </c>
      <c r="G330" s="35">
        <v>138</v>
      </c>
      <c r="H330" s="36">
        <v>-73.790000000000006</v>
      </c>
      <c r="I330" s="37">
        <v>7.2461111100000002</v>
      </c>
      <c r="J330" s="22">
        <v>20.264035589506229</v>
      </c>
      <c r="K330" s="23">
        <v>20.516828293710638</v>
      </c>
      <c r="L330" s="23">
        <v>20.55534907063484</v>
      </c>
      <c r="M330" s="23">
        <v>20.521629323347369</v>
      </c>
      <c r="N330" s="23">
        <v>20.55408185799288</v>
      </c>
      <c r="O330" s="23">
        <v>20.593590189032469</v>
      </c>
      <c r="P330" s="23">
        <v>20.717722707145839</v>
      </c>
      <c r="Q330" s="23">
        <v>20.62061755271877</v>
      </c>
      <c r="R330" s="23">
        <v>20.45595046212479</v>
      </c>
      <c r="S330" s="23">
        <v>20.411908943882999</v>
      </c>
      <c r="T330" s="23">
        <v>20.439053995387329</v>
      </c>
      <c r="U330" s="23">
        <v>20.283418769064919</v>
      </c>
      <c r="V330" s="38">
        <v>20.494515562879091</v>
      </c>
      <c r="W330" s="39">
        <v>211</v>
      </c>
      <c r="X330" s="24">
        <v>0.87916666666666665</v>
      </c>
    </row>
    <row r="331" spans="1:24" ht="13.9" customHeight="1" x14ac:dyDescent="0.2">
      <c r="A331" s="10">
        <v>23185010</v>
      </c>
      <c r="B331" s="35" t="s">
        <v>471</v>
      </c>
      <c r="C331" s="35" t="s">
        <v>316</v>
      </c>
      <c r="D331" s="35" t="s">
        <v>794</v>
      </c>
      <c r="E331" s="21" t="s">
        <v>49</v>
      </c>
      <c r="F331" s="35">
        <v>8</v>
      </c>
      <c r="G331" s="35">
        <v>328</v>
      </c>
      <c r="H331" s="36">
        <v>-73.537222220000004</v>
      </c>
      <c r="I331" s="37">
        <v>7.4561111100000002</v>
      </c>
      <c r="J331" s="22">
        <v>23.02957288850946</v>
      </c>
      <c r="K331" s="23">
        <v>23.304720610915751</v>
      </c>
      <c r="L331" s="23">
        <v>23.744767870744809</v>
      </c>
      <c r="M331" s="23">
        <v>23.778122006933039</v>
      </c>
      <c r="N331" s="23">
        <v>23.714733743412278</v>
      </c>
      <c r="O331" s="23">
        <v>23.697191792881451</v>
      </c>
      <c r="P331" s="23">
        <v>23.43347279820177</v>
      </c>
      <c r="Q331" s="23">
        <v>23.435096179938832</v>
      </c>
      <c r="R331" s="23">
        <v>23.24969243701382</v>
      </c>
      <c r="S331" s="23">
        <v>23.339207300546029</v>
      </c>
      <c r="T331" s="23">
        <v>23.548554370916442</v>
      </c>
      <c r="U331" s="23">
        <v>23.59682095049309</v>
      </c>
      <c r="V331" s="38">
        <v>23.489329412542229</v>
      </c>
      <c r="W331" s="39">
        <v>308</v>
      </c>
      <c r="X331" s="24">
        <v>0.85555555555555551</v>
      </c>
    </row>
    <row r="332" spans="1:24" ht="13.9" customHeight="1" x14ac:dyDescent="0.2">
      <c r="A332" s="10">
        <v>23195200</v>
      </c>
      <c r="B332" s="35" t="s">
        <v>445</v>
      </c>
      <c r="C332" s="35" t="s">
        <v>795</v>
      </c>
      <c r="D332" s="35" t="s">
        <v>319</v>
      </c>
      <c r="E332" s="21" t="s">
        <v>49</v>
      </c>
      <c r="F332" s="35">
        <v>8</v>
      </c>
      <c r="G332" s="35">
        <v>1850</v>
      </c>
      <c r="H332" s="36">
        <v>-72.991111110000006</v>
      </c>
      <c r="I332" s="37">
        <v>7.4738888899999996</v>
      </c>
      <c r="J332" s="22">
        <v>12.566395141640291</v>
      </c>
      <c r="K332" s="23">
        <v>12.898843198714021</v>
      </c>
      <c r="L332" s="23">
        <v>13.41583252411848</v>
      </c>
      <c r="M332" s="23">
        <v>13.7244076280297</v>
      </c>
      <c r="N332" s="23">
        <v>14.025937794130231</v>
      </c>
      <c r="O332" s="23">
        <v>13.90487702272185</v>
      </c>
      <c r="P332" s="23">
        <v>13.57675752331342</v>
      </c>
      <c r="Q332" s="23">
        <v>13.418323117751971</v>
      </c>
      <c r="R332" s="23">
        <v>13.366367038796749</v>
      </c>
      <c r="S332" s="23">
        <v>13.21428589612473</v>
      </c>
      <c r="T332" s="23">
        <v>13.03314471732903</v>
      </c>
      <c r="U332" s="23">
        <v>12.538671421827599</v>
      </c>
      <c r="V332" s="38">
        <v>13.306986918708169</v>
      </c>
      <c r="W332" s="39">
        <v>311</v>
      </c>
      <c r="X332" s="24">
        <v>0.86388888888888893</v>
      </c>
    </row>
    <row r="333" spans="1:24" ht="13.9" customHeight="1" x14ac:dyDescent="0.2">
      <c r="A333" s="10">
        <v>23195090</v>
      </c>
      <c r="B333" s="35" t="s">
        <v>445</v>
      </c>
      <c r="C333" s="35" t="s">
        <v>796</v>
      </c>
      <c r="D333" s="35" t="s">
        <v>319</v>
      </c>
      <c r="E333" s="21" t="s">
        <v>49</v>
      </c>
      <c r="F333" s="35">
        <v>8</v>
      </c>
      <c r="G333" s="35">
        <v>1725</v>
      </c>
      <c r="H333" s="36">
        <v>-72.987499999999997</v>
      </c>
      <c r="I333" s="37">
        <v>7.3658333300000001</v>
      </c>
      <c r="J333" s="22">
        <v>13.09132640255554</v>
      </c>
      <c r="K333" s="23">
        <v>13.360199884345571</v>
      </c>
      <c r="L333" s="23">
        <v>13.925313554621599</v>
      </c>
      <c r="M333" s="23">
        <v>14.520134099616859</v>
      </c>
      <c r="N333" s="23">
        <v>14.762287787098151</v>
      </c>
      <c r="O333" s="23">
        <v>14.46399527037458</v>
      </c>
      <c r="P333" s="23">
        <v>14.297625170572489</v>
      </c>
      <c r="Q333" s="23">
        <v>14.28172753446659</v>
      </c>
      <c r="R333" s="23">
        <v>14.218116214197231</v>
      </c>
      <c r="S333" s="23">
        <v>14.24439000870591</v>
      </c>
      <c r="T333" s="23">
        <v>14.09139411172662</v>
      </c>
      <c r="U333" s="23">
        <v>13.5148152109498</v>
      </c>
      <c r="V333" s="38">
        <v>14.06427710410258</v>
      </c>
      <c r="W333" s="39">
        <v>332</v>
      </c>
      <c r="X333" s="24">
        <v>0.92222222222222228</v>
      </c>
    </row>
    <row r="334" spans="1:24" ht="13.9" customHeight="1" x14ac:dyDescent="0.2">
      <c r="A334" s="10">
        <v>37015020</v>
      </c>
      <c r="B334" s="35" t="s">
        <v>471</v>
      </c>
      <c r="C334" s="35" t="s">
        <v>797</v>
      </c>
      <c r="D334" s="35" t="s">
        <v>332</v>
      </c>
      <c r="E334" s="21" t="s">
        <v>49</v>
      </c>
      <c r="F334" s="35">
        <v>8</v>
      </c>
      <c r="G334" s="35">
        <v>3214</v>
      </c>
      <c r="H334" s="36">
        <v>-72.868611110000003</v>
      </c>
      <c r="I334" s="37">
        <v>7.1869444400000004</v>
      </c>
      <c r="J334" s="22">
        <v>1.8017276781367531</v>
      </c>
      <c r="K334" s="23">
        <v>2.5674897675334449</v>
      </c>
      <c r="L334" s="23">
        <v>4.0827252149654818</v>
      </c>
      <c r="M334" s="23">
        <v>5.6697294342597564</v>
      </c>
      <c r="N334" s="23">
        <v>6.1727358663211538</v>
      </c>
      <c r="O334" s="23">
        <v>5.9309895797115679</v>
      </c>
      <c r="P334" s="23">
        <v>5.6003137960461657</v>
      </c>
      <c r="Q334" s="23">
        <v>5.545852566091324</v>
      </c>
      <c r="R334" s="23">
        <v>5.302976940353874</v>
      </c>
      <c r="S334" s="23">
        <v>5.3538730472619971</v>
      </c>
      <c r="T334" s="23">
        <v>4.7478811217973789</v>
      </c>
      <c r="U334" s="23">
        <v>3.1673102294310391</v>
      </c>
      <c r="V334" s="38">
        <v>4.6619671034924943</v>
      </c>
      <c r="W334" s="39">
        <v>350</v>
      </c>
      <c r="X334" s="24">
        <v>0.97222222222222221</v>
      </c>
    </row>
    <row r="335" spans="1:24" ht="13.9" customHeight="1" x14ac:dyDescent="0.2">
      <c r="A335" s="10">
        <v>24015270</v>
      </c>
      <c r="B335" s="35" t="s">
        <v>446</v>
      </c>
      <c r="C335" s="35" t="s">
        <v>798</v>
      </c>
      <c r="D335" s="35" t="s">
        <v>799</v>
      </c>
      <c r="E335" s="21" t="s">
        <v>49</v>
      </c>
      <c r="F335" s="35">
        <v>8</v>
      </c>
      <c r="G335" s="35">
        <v>2170</v>
      </c>
      <c r="H335" s="36">
        <v>-73.672777780000004</v>
      </c>
      <c r="I335" s="37">
        <v>5.9972222200000003</v>
      </c>
      <c r="J335" s="22">
        <v>12.280738518989351</v>
      </c>
      <c r="K335" s="23">
        <v>12.174347045036701</v>
      </c>
      <c r="L335" s="23">
        <v>12.4625376344086</v>
      </c>
      <c r="M335" s="23">
        <v>12.5856091954023</v>
      </c>
      <c r="N335" s="23">
        <v>12.77001853911753</v>
      </c>
      <c r="O335" s="23">
        <v>12.59326436781609</v>
      </c>
      <c r="P335" s="23">
        <v>12.355073538499569</v>
      </c>
      <c r="Q335" s="23">
        <v>12.44760177975528</v>
      </c>
      <c r="R335" s="23">
        <v>12.34287356321839</v>
      </c>
      <c r="S335" s="23">
        <v>12.300102995097429</v>
      </c>
      <c r="T335" s="23">
        <v>12.6057037037037</v>
      </c>
      <c r="U335" s="23">
        <v>12.40131604192783</v>
      </c>
      <c r="V335" s="38">
        <v>12.443265576914399</v>
      </c>
      <c r="W335" s="39">
        <v>115</v>
      </c>
      <c r="X335" s="24">
        <v>0.95833333333333337</v>
      </c>
    </row>
    <row r="336" spans="1:24" ht="13.9" customHeight="1" x14ac:dyDescent="0.2">
      <c r="A336" s="10">
        <v>24055030</v>
      </c>
      <c r="B336" s="35" t="s">
        <v>445</v>
      </c>
      <c r="C336" s="35" t="s">
        <v>328</v>
      </c>
      <c r="D336" s="35" t="s">
        <v>328</v>
      </c>
      <c r="E336" s="21" t="s">
        <v>49</v>
      </c>
      <c r="F336" s="35">
        <v>8</v>
      </c>
      <c r="G336" s="35">
        <v>1810</v>
      </c>
      <c r="H336" s="36">
        <v>-73.282750000000007</v>
      </c>
      <c r="I336" s="37">
        <v>6.7927777799999998</v>
      </c>
      <c r="J336" s="22">
        <v>13.659252594829841</v>
      </c>
      <c r="K336" s="23">
        <v>14.049938347535161</v>
      </c>
      <c r="L336" s="23">
        <v>14.310392316882639</v>
      </c>
      <c r="M336" s="23">
        <v>14.657732676518879</v>
      </c>
      <c r="N336" s="23">
        <v>14.71866408252804</v>
      </c>
      <c r="O336" s="23">
        <v>14.368459959580649</v>
      </c>
      <c r="P336" s="23">
        <v>13.943843654075909</v>
      </c>
      <c r="Q336" s="23">
        <v>13.99486833930705</v>
      </c>
      <c r="R336" s="23">
        <v>14.050960919540231</v>
      </c>
      <c r="S336" s="23">
        <v>14.13311294030404</v>
      </c>
      <c r="T336" s="23">
        <v>14.378424616939199</v>
      </c>
      <c r="U336" s="23">
        <v>13.997157996927539</v>
      </c>
      <c r="V336" s="38">
        <v>14.1885673704141</v>
      </c>
      <c r="W336" s="39">
        <v>306</v>
      </c>
      <c r="X336" s="24">
        <v>0.85</v>
      </c>
    </row>
    <row r="337" spans="1:24" ht="13.9" customHeight="1" x14ac:dyDescent="0.2">
      <c r="A337" s="10">
        <v>13095020</v>
      </c>
      <c r="B337" s="35" t="s">
        <v>471</v>
      </c>
      <c r="C337" s="35" t="s">
        <v>800</v>
      </c>
      <c r="D337" s="35" t="s">
        <v>801</v>
      </c>
      <c r="E337" s="21" t="s">
        <v>129</v>
      </c>
      <c r="F337" s="35">
        <v>2</v>
      </c>
      <c r="G337" s="35">
        <v>200</v>
      </c>
      <c r="H337" s="36">
        <v>-75.351361109999999</v>
      </c>
      <c r="I337" s="37">
        <v>9.5301388900000017</v>
      </c>
      <c r="J337" s="22">
        <v>21.554697430242481</v>
      </c>
      <c r="K337" s="23">
        <v>21.861890027667808</v>
      </c>
      <c r="L337" s="23">
        <v>22.68067065789646</v>
      </c>
      <c r="M337" s="23">
        <v>23.1429796027912</v>
      </c>
      <c r="N337" s="23">
        <v>23.125999277393181</v>
      </c>
      <c r="O337" s="23">
        <v>23.214599823867061</v>
      </c>
      <c r="P337" s="23">
        <v>22.78757252043264</v>
      </c>
      <c r="Q337" s="23">
        <v>22.767733973447239</v>
      </c>
      <c r="R337" s="23">
        <v>23.001969319827271</v>
      </c>
      <c r="S337" s="23">
        <v>23.03373631731338</v>
      </c>
      <c r="T337" s="23">
        <v>22.874604377104379</v>
      </c>
      <c r="U337" s="23">
        <v>22.123676117036791</v>
      </c>
      <c r="V337" s="38">
        <v>22.680844120418332</v>
      </c>
      <c r="W337" s="39">
        <v>103</v>
      </c>
      <c r="X337" s="24">
        <v>0.85833333333333328</v>
      </c>
    </row>
    <row r="338" spans="1:24" ht="13.9" customHeight="1" x14ac:dyDescent="0.2">
      <c r="A338" s="10">
        <v>25025080</v>
      </c>
      <c r="B338" s="35" t="s">
        <v>471</v>
      </c>
      <c r="C338" s="35" t="s">
        <v>128</v>
      </c>
      <c r="D338" s="35" t="s">
        <v>130</v>
      </c>
      <c r="E338" s="21" t="s">
        <v>129</v>
      </c>
      <c r="F338" s="35">
        <v>2</v>
      </c>
      <c r="G338" s="35">
        <v>166</v>
      </c>
      <c r="H338" s="36">
        <v>-75.283055560000008</v>
      </c>
      <c r="I338" s="37">
        <v>9.3338888900000008</v>
      </c>
      <c r="J338" s="22">
        <v>22.47072155264091</v>
      </c>
      <c r="K338" s="23">
        <v>23.081226053639849</v>
      </c>
      <c r="L338" s="23">
        <v>23.62019115890083</v>
      </c>
      <c r="M338" s="23">
        <v>23.974927750410512</v>
      </c>
      <c r="N338" s="23">
        <v>23.54341993161125</v>
      </c>
      <c r="O338" s="23">
        <v>23.310164609053501</v>
      </c>
      <c r="P338" s="23">
        <v>23.077912101041139</v>
      </c>
      <c r="Q338" s="23">
        <v>22.672444338506629</v>
      </c>
      <c r="R338" s="23">
        <v>22.692015599343179</v>
      </c>
      <c r="S338" s="23">
        <v>22.723827956989251</v>
      </c>
      <c r="T338" s="23">
        <v>22.724579133510169</v>
      </c>
      <c r="U338" s="23">
        <v>22.1117934421877</v>
      </c>
      <c r="V338" s="38">
        <v>23.000268635652908</v>
      </c>
      <c r="W338" s="39">
        <v>115</v>
      </c>
      <c r="X338" s="24">
        <v>0.95833333333333337</v>
      </c>
    </row>
    <row r="339" spans="1:24" ht="13.9" customHeight="1" x14ac:dyDescent="0.2">
      <c r="A339" s="10">
        <v>25025270</v>
      </c>
      <c r="B339" s="35" t="s">
        <v>450</v>
      </c>
      <c r="C339" s="35" t="s">
        <v>802</v>
      </c>
      <c r="D339" s="35" t="s">
        <v>137</v>
      </c>
      <c r="E339" s="21" t="s">
        <v>129</v>
      </c>
      <c r="F339" s="35">
        <v>2</v>
      </c>
      <c r="G339" s="35">
        <v>160</v>
      </c>
      <c r="H339" s="36">
        <v>-75.387500000000003</v>
      </c>
      <c r="I339" s="37">
        <v>9.3163888900000007</v>
      </c>
      <c r="J339" s="22">
        <v>22.596612903225811</v>
      </c>
      <c r="K339" s="23">
        <v>22.728150846864931</v>
      </c>
      <c r="L339" s="23">
        <v>23.33077819799778</v>
      </c>
      <c r="M339" s="23">
        <v>23.704405759757488</v>
      </c>
      <c r="N339" s="23">
        <v>23.699417803045911</v>
      </c>
      <c r="O339" s="23">
        <v>23.467720954907161</v>
      </c>
      <c r="P339" s="23">
        <v>23.209114934289129</v>
      </c>
      <c r="Q339" s="23">
        <v>23.046735261401551</v>
      </c>
      <c r="R339" s="23">
        <v>23.050863235049139</v>
      </c>
      <c r="S339" s="23">
        <v>23.115766791463461</v>
      </c>
      <c r="T339" s="23">
        <v>23.184708082466699</v>
      </c>
      <c r="U339" s="23">
        <v>22.888498759305211</v>
      </c>
      <c r="V339" s="38">
        <v>23.168564460814519</v>
      </c>
      <c r="W339" s="39">
        <v>290</v>
      </c>
      <c r="X339" s="24">
        <v>0.80555555555555558</v>
      </c>
    </row>
    <row r="340" spans="1:24" ht="13.9" customHeight="1" x14ac:dyDescent="0.2">
      <c r="A340" s="10">
        <v>25025380</v>
      </c>
      <c r="B340" s="35" t="s">
        <v>562</v>
      </c>
      <c r="C340" s="35" t="s">
        <v>803</v>
      </c>
      <c r="D340" s="35" t="s">
        <v>139</v>
      </c>
      <c r="E340" s="21" t="s">
        <v>129</v>
      </c>
      <c r="F340" s="35">
        <v>2</v>
      </c>
      <c r="G340" s="35">
        <v>20</v>
      </c>
      <c r="H340" s="36">
        <v>-75.044722220000011</v>
      </c>
      <c r="I340" s="37">
        <v>9.1638888900000008</v>
      </c>
      <c r="J340" s="22">
        <v>22.46372112052984</v>
      </c>
      <c r="K340" s="23">
        <v>22.64688673509486</v>
      </c>
      <c r="L340" s="23">
        <v>23.036339142256821</v>
      </c>
      <c r="M340" s="23">
        <v>23.05540623807865</v>
      </c>
      <c r="N340" s="23">
        <v>23.054905834068499</v>
      </c>
      <c r="O340" s="23">
        <v>22.962419540229881</v>
      </c>
      <c r="P340" s="23">
        <v>22.730537765699061</v>
      </c>
      <c r="Q340" s="23">
        <v>22.42011697979439</v>
      </c>
      <c r="R340" s="23">
        <v>22.452709359605912</v>
      </c>
      <c r="S340" s="23">
        <v>22.856683489199249</v>
      </c>
      <c r="T340" s="23">
        <v>22.866068045977009</v>
      </c>
      <c r="U340" s="23">
        <v>22.903577336641849</v>
      </c>
      <c r="V340" s="38">
        <v>22.787447632264669</v>
      </c>
      <c r="W340" s="39">
        <v>328</v>
      </c>
      <c r="X340" s="24">
        <v>0.91111111111111109</v>
      </c>
    </row>
    <row r="341" spans="1:24" ht="13.9" customHeight="1" x14ac:dyDescent="0.2">
      <c r="A341" s="10">
        <v>21255080</v>
      </c>
      <c r="B341" s="35" t="s">
        <v>471</v>
      </c>
      <c r="C341" s="35" t="s">
        <v>804</v>
      </c>
      <c r="D341" s="35" t="s">
        <v>368</v>
      </c>
      <c r="E341" s="21" t="s">
        <v>70</v>
      </c>
      <c r="F341" s="35">
        <v>10</v>
      </c>
      <c r="G341" s="35">
        <v>450</v>
      </c>
      <c r="H341" s="36">
        <v>-74.767944439999994</v>
      </c>
      <c r="I341" s="37">
        <v>4.7837500000000004</v>
      </c>
      <c r="J341" s="22">
        <v>23.092271448584452</v>
      </c>
      <c r="K341" s="23">
        <v>23.042807655786099</v>
      </c>
      <c r="L341" s="23">
        <v>22.991978691740421</v>
      </c>
      <c r="M341" s="23">
        <v>22.800540582501789</v>
      </c>
      <c r="N341" s="23">
        <v>22.865408038374991</v>
      </c>
      <c r="O341" s="23">
        <v>22.748955777300601</v>
      </c>
      <c r="P341" s="23">
        <v>22.996377049496669</v>
      </c>
      <c r="Q341" s="23">
        <v>22.957390939115541</v>
      </c>
      <c r="R341" s="23">
        <v>22.952130860571948</v>
      </c>
      <c r="S341" s="23">
        <v>22.710286109345489</v>
      </c>
      <c r="T341" s="23">
        <v>22.726423369511831</v>
      </c>
      <c r="U341" s="23">
        <v>22.83334850671822</v>
      </c>
      <c r="V341" s="38">
        <v>22.893159919087331</v>
      </c>
      <c r="W341" s="39">
        <v>292</v>
      </c>
      <c r="X341" s="24">
        <v>0.81111111111111112</v>
      </c>
    </row>
    <row r="342" spans="1:24" ht="13.9" customHeight="1" x14ac:dyDescent="0.2">
      <c r="A342" s="10">
        <v>21255090</v>
      </c>
      <c r="B342" s="35" t="s">
        <v>471</v>
      </c>
      <c r="C342" s="35" t="s">
        <v>805</v>
      </c>
      <c r="D342" s="35" t="s">
        <v>806</v>
      </c>
      <c r="E342" s="21" t="s">
        <v>70</v>
      </c>
      <c r="F342" s="35">
        <v>10</v>
      </c>
      <c r="G342" s="35">
        <v>321</v>
      </c>
      <c r="H342" s="36">
        <v>-74.899991670000006</v>
      </c>
      <c r="I342" s="37">
        <v>5</v>
      </c>
      <c r="J342" s="22">
        <v>21.68347142009641</v>
      </c>
      <c r="K342" s="23">
        <v>21.830646521316059</v>
      </c>
      <c r="L342" s="23">
        <v>21.66360895282596</v>
      </c>
      <c r="M342" s="23">
        <v>21.633821661966021</v>
      </c>
      <c r="N342" s="23">
        <v>21.612146280505229</v>
      </c>
      <c r="O342" s="23">
        <v>21.539055318372569</v>
      </c>
      <c r="P342" s="23">
        <v>21.595820289739919</v>
      </c>
      <c r="Q342" s="23">
        <v>21.70483579702303</v>
      </c>
      <c r="R342" s="23">
        <v>21.663136479048831</v>
      </c>
      <c r="S342" s="23">
        <v>21.63285896979399</v>
      </c>
      <c r="T342" s="23">
        <v>21.657769748463629</v>
      </c>
      <c r="U342" s="23">
        <v>22.04510165693841</v>
      </c>
      <c r="V342" s="38">
        <v>21.688522758007501</v>
      </c>
      <c r="W342" s="39">
        <v>297</v>
      </c>
      <c r="X342" s="24">
        <v>0.82499999999999996</v>
      </c>
    </row>
    <row r="343" spans="1:24" ht="13.9" customHeight="1" x14ac:dyDescent="0.2">
      <c r="A343" s="10">
        <v>22055020</v>
      </c>
      <c r="B343" s="35" t="s">
        <v>445</v>
      </c>
      <c r="C343" s="35" t="s">
        <v>807</v>
      </c>
      <c r="D343" s="35" t="s">
        <v>375</v>
      </c>
      <c r="E343" s="21" t="s">
        <v>70</v>
      </c>
      <c r="F343" s="35">
        <v>10</v>
      </c>
      <c r="G343" s="35">
        <v>699</v>
      </c>
      <c r="H343" s="36">
        <v>-75.536361110000001</v>
      </c>
      <c r="I343" s="37">
        <v>3.45577778</v>
      </c>
      <c r="J343" s="22">
        <v>20.176878670151659</v>
      </c>
      <c r="K343" s="23">
        <v>20.37280984159063</v>
      </c>
      <c r="L343" s="23">
        <v>20.502801953039281</v>
      </c>
      <c r="M343" s="23">
        <v>20.546394707888961</v>
      </c>
      <c r="N343" s="23">
        <v>20.564865993946452</v>
      </c>
      <c r="O343" s="23">
        <v>20.316767756627272</v>
      </c>
      <c r="P343" s="23">
        <v>20.017642373556349</v>
      </c>
      <c r="Q343" s="23">
        <v>20.076368634370251</v>
      </c>
      <c r="R343" s="23">
        <v>20.13286316365626</v>
      </c>
      <c r="S343" s="23">
        <v>20.178595388173811</v>
      </c>
      <c r="T343" s="23">
        <v>20.31435315505513</v>
      </c>
      <c r="U343" s="23">
        <v>20.222510955532709</v>
      </c>
      <c r="V343" s="38">
        <v>20.2852377161324</v>
      </c>
      <c r="W343" s="39">
        <v>339</v>
      </c>
      <c r="X343" s="24">
        <v>0.94166666666666665</v>
      </c>
    </row>
    <row r="344" spans="1:24" ht="13.9" customHeight="1" x14ac:dyDescent="0.2">
      <c r="A344" s="10">
        <v>21215100</v>
      </c>
      <c r="B344" s="35" t="s">
        <v>445</v>
      </c>
      <c r="C344" s="35" t="s">
        <v>808</v>
      </c>
      <c r="D344" s="35" t="s">
        <v>808</v>
      </c>
      <c r="E344" s="21" t="s">
        <v>70</v>
      </c>
      <c r="F344" s="35">
        <v>10</v>
      </c>
      <c r="G344" s="35">
        <v>1920</v>
      </c>
      <c r="H344" s="36">
        <v>-75.42458332999999</v>
      </c>
      <c r="I344" s="37">
        <v>4.4414999999999996</v>
      </c>
      <c r="J344" s="22">
        <v>13.648640101201771</v>
      </c>
      <c r="K344" s="23">
        <v>13.817181051613099</v>
      </c>
      <c r="L344" s="23">
        <v>14.018329137638309</v>
      </c>
      <c r="M344" s="23">
        <v>14.16094117647059</v>
      </c>
      <c r="N344" s="23">
        <v>14.11539012958368</v>
      </c>
      <c r="O344" s="23">
        <v>14.096209975369449</v>
      </c>
      <c r="P344" s="23">
        <v>13.91102150537634</v>
      </c>
      <c r="Q344" s="23">
        <v>13.96746317189587</v>
      </c>
      <c r="R344" s="23">
        <v>13.97827307168078</v>
      </c>
      <c r="S344" s="23">
        <v>14.04594446504346</v>
      </c>
      <c r="T344" s="23">
        <v>13.813903586125811</v>
      </c>
      <c r="U344" s="23">
        <v>13.81099988569868</v>
      </c>
      <c r="V344" s="38">
        <v>13.948691438141489</v>
      </c>
      <c r="W344" s="39">
        <v>212</v>
      </c>
      <c r="X344" s="24">
        <v>0.8833333333333333</v>
      </c>
    </row>
    <row r="345" spans="1:24" ht="14.45" customHeight="1" x14ac:dyDescent="0.2">
      <c r="A345" s="10">
        <v>22045020</v>
      </c>
      <c r="B345" s="35" t="s">
        <v>445</v>
      </c>
      <c r="C345" s="35" t="s">
        <v>809</v>
      </c>
      <c r="D345" s="35" t="s">
        <v>373</v>
      </c>
      <c r="E345" s="21" t="s">
        <v>70</v>
      </c>
      <c r="F345" s="35">
        <v>10</v>
      </c>
      <c r="G345" s="35">
        <v>1030</v>
      </c>
      <c r="H345" s="36">
        <v>-75.584194440000005</v>
      </c>
      <c r="I345" s="37">
        <v>3.6518333300000001</v>
      </c>
      <c r="J345" s="22">
        <v>18.489856804761079</v>
      </c>
      <c r="K345" s="23">
        <v>18.708343422569829</v>
      </c>
      <c r="L345" s="23">
        <v>18.79224596221491</v>
      </c>
      <c r="M345" s="23">
        <v>18.842025385963911</v>
      </c>
      <c r="N345" s="23">
        <v>18.888773998397919</v>
      </c>
      <c r="O345" s="23">
        <v>18.76554628070916</v>
      </c>
      <c r="P345" s="23">
        <v>18.715939471841139</v>
      </c>
      <c r="Q345" s="23">
        <v>18.92013669788512</v>
      </c>
      <c r="R345" s="23">
        <v>18.976058049070701</v>
      </c>
      <c r="S345" s="23">
        <v>18.562090152612139</v>
      </c>
      <c r="T345" s="23">
        <v>18.630373161551091</v>
      </c>
      <c r="U345" s="23">
        <v>18.772467918707228</v>
      </c>
      <c r="V345" s="38">
        <v>18.75532144219035</v>
      </c>
      <c r="W345" s="39">
        <v>292</v>
      </c>
      <c r="X345" s="24">
        <v>0.81111111111111112</v>
      </c>
    </row>
    <row r="346" spans="1:24" ht="13.9" customHeight="1" x14ac:dyDescent="0.2">
      <c r="A346" s="10">
        <v>22045010</v>
      </c>
      <c r="B346" s="35" t="s">
        <v>445</v>
      </c>
      <c r="C346" s="35" t="s">
        <v>810</v>
      </c>
      <c r="D346" s="35" t="s">
        <v>373</v>
      </c>
      <c r="E346" s="21" t="s">
        <v>70</v>
      </c>
      <c r="F346" s="35">
        <v>10</v>
      </c>
      <c r="G346" s="35">
        <v>908</v>
      </c>
      <c r="H346" s="36">
        <v>-75.503444439999996</v>
      </c>
      <c r="I346" s="37">
        <v>3.7224444399999999</v>
      </c>
      <c r="J346" s="22">
        <v>19.798731509927752</v>
      </c>
      <c r="K346" s="23">
        <v>19.937710154894059</v>
      </c>
      <c r="L346" s="23">
        <v>19.78794535570583</v>
      </c>
      <c r="M346" s="23">
        <v>19.78161331738599</v>
      </c>
      <c r="N346" s="23">
        <v>19.91742731979291</v>
      </c>
      <c r="O346" s="23">
        <v>19.91509693419016</v>
      </c>
      <c r="P346" s="23">
        <v>19.96734366044257</v>
      </c>
      <c r="Q346" s="23">
        <v>20.070986681091949</v>
      </c>
      <c r="R346" s="23">
        <v>19.90422009459251</v>
      </c>
      <c r="S346" s="23">
        <v>19.549499730100031</v>
      </c>
      <c r="T346" s="23">
        <v>19.482893679330459</v>
      </c>
      <c r="U346" s="23">
        <v>19.56260719230001</v>
      </c>
      <c r="V346" s="38">
        <v>19.806339635812851</v>
      </c>
      <c r="W346" s="39">
        <v>315</v>
      </c>
      <c r="X346" s="24">
        <v>0.875</v>
      </c>
    </row>
    <row r="347" spans="1:24" ht="13.9" customHeight="1" x14ac:dyDescent="0.2">
      <c r="A347" s="10">
        <v>21135040</v>
      </c>
      <c r="B347" s="35" t="s">
        <v>445</v>
      </c>
      <c r="C347" s="35" t="s">
        <v>811</v>
      </c>
      <c r="D347" s="35" t="s">
        <v>812</v>
      </c>
      <c r="E347" s="21" t="s">
        <v>70</v>
      </c>
      <c r="F347" s="35">
        <v>10</v>
      </c>
      <c r="G347" s="35">
        <v>485</v>
      </c>
      <c r="H347" s="36">
        <v>-75.119805560000003</v>
      </c>
      <c r="I347" s="37">
        <v>3.7737500000000002</v>
      </c>
      <c r="J347" s="22">
        <v>23.268641960853191</v>
      </c>
      <c r="K347" s="23">
        <v>23.508880371721531</v>
      </c>
      <c r="L347" s="23">
        <v>23.393524492234171</v>
      </c>
      <c r="M347" s="23">
        <v>23.348428853677898</v>
      </c>
      <c r="N347" s="23">
        <v>23.35344936639839</v>
      </c>
      <c r="O347" s="23">
        <v>23.32920312952767</v>
      </c>
      <c r="P347" s="23">
        <v>23.518490386143331</v>
      </c>
      <c r="Q347" s="23">
        <v>24.242827215424541</v>
      </c>
      <c r="R347" s="23">
        <v>23.85039004049732</v>
      </c>
      <c r="S347" s="23">
        <v>23.415986515564931</v>
      </c>
      <c r="T347" s="23">
        <v>23.180992519613209</v>
      </c>
      <c r="U347" s="23">
        <v>23.177919982383109</v>
      </c>
      <c r="V347" s="38">
        <v>23.465727902836608</v>
      </c>
      <c r="W347" s="39">
        <v>216</v>
      </c>
      <c r="X347" s="24">
        <v>0.9</v>
      </c>
    </row>
    <row r="348" spans="1:24" ht="13.9" customHeight="1" x14ac:dyDescent="0.2">
      <c r="A348" s="10">
        <v>21155040</v>
      </c>
      <c r="B348" s="35" t="s">
        <v>445</v>
      </c>
      <c r="C348" s="35" t="s">
        <v>813</v>
      </c>
      <c r="D348" s="35" t="s">
        <v>814</v>
      </c>
      <c r="E348" s="21" t="s">
        <v>70</v>
      </c>
      <c r="F348" s="35">
        <v>10</v>
      </c>
      <c r="G348" s="35">
        <v>1456</v>
      </c>
      <c r="H348" s="36">
        <v>-74.905777779999994</v>
      </c>
      <c r="I348" s="37">
        <v>3.5330555600000002</v>
      </c>
      <c r="J348" s="22">
        <v>17.815572858731919</v>
      </c>
      <c r="K348" s="23">
        <v>17.736451658175799</v>
      </c>
      <c r="L348" s="23">
        <v>17.586408602150541</v>
      </c>
      <c r="M348" s="23">
        <v>17.515657726692211</v>
      </c>
      <c r="N348" s="23">
        <v>17.63661401557286</v>
      </c>
      <c r="O348" s="23">
        <v>17.239301830566191</v>
      </c>
      <c r="P348" s="23">
        <v>17.205349462365589</v>
      </c>
      <c r="Q348" s="23">
        <v>17.902709677419349</v>
      </c>
      <c r="R348" s="23">
        <v>17.90307407407407</v>
      </c>
      <c r="S348" s="23">
        <v>17.511292547274749</v>
      </c>
      <c r="T348" s="23">
        <v>17.361767841354041</v>
      </c>
      <c r="U348" s="23">
        <v>17.50802990977629</v>
      </c>
      <c r="V348" s="38">
        <v>17.576852517012799</v>
      </c>
      <c r="W348" s="39">
        <v>114</v>
      </c>
      <c r="X348" s="24">
        <v>0.95</v>
      </c>
    </row>
    <row r="349" spans="1:24" ht="13.9" customHeight="1" x14ac:dyDescent="0.2">
      <c r="A349" s="10">
        <v>21215080</v>
      </c>
      <c r="B349" s="35" t="s">
        <v>445</v>
      </c>
      <c r="C349" s="35" t="s">
        <v>361</v>
      </c>
      <c r="D349" s="35" t="s">
        <v>362</v>
      </c>
      <c r="E349" s="21" t="s">
        <v>70</v>
      </c>
      <c r="F349" s="35">
        <v>10</v>
      </c>
      <c r="G349" s="35">
        <v>432</v>
      </c>
      <c r="H349" s="36">
        <v>-74.995361110000005</v>
      </c>
      <c r="I349" s="37">
        <v>4.2315277800000004</v>
      </c>
      <c r="J349" s="22">
        <v>22.194467450606489</v>
      </c>
      <c r="K349" s="23">
        <v>21.920602267464329</v>
      </c>
      <c r="L349" s="23">
        <v>21.975960061443931</v>
      </c>
      <c r="M349" s="23">
        <v>21.845833333333331</v>
      </c>
      <c r="N349" s="23">
        <v>21.31081242532855</v>
      </c>
      <c r="O349" s="23">
        <v>21.571014413428209</v>
      </c>
      <c r="P349" s="23">
        <v>21.16664011681932</v>
      </c>
      <c r="Q349" s="23">
        <v>21.653737839221709</v>
      </c>
      <c r="R349" s="23">
        <v>21.67335632183908</v>
      </c>
      <c r="S349" s="23">
        <v>21.443565454855779</v>
      </c>
      <c r="T349" s="23">
        <v>21.795978835978829</v>
      </c>
      <c r="U349" s="23">
        <v>21.95061443932412</v>
      </c>
      <c r="V349" s="38">
        <v>21.708548579970309</v>
      </c>
      <c r="W349" s="39">
        <v>110</v>
      </c>
      <c r="X349" s="24">
        <v>0.91666666666666663</v>
      </c>
    </row>
    <row r="350" spans="1:24" ht="13.9" customHeight="1" x14ac:dyDescent="0.2">
      <c r="A350" s="10">
        <v>21185090</v>
      </c>
      <c r="B350" s="35" t="s">
        <v>450</v>
      </c>
      <c r="C350" s="35" t="s">
        <v>815</v>
      </c>
      <c r="D350" s="35" t="s">
        <v>362</v>
      </c>
      <c r="E350" s="21" t="s">
        <v>70</v>
      </c>
      <c r="F350" s="35">
        <v>10</v>
      </c>
      <c r="G350" s="35">
        <v>393</v>
      </c>
      <c r="H350" s="36">
        <v>-74.960472220000014</v>
      </c>
      <c r="I350" s="37">
        <v>4.1881388900000003</v>
      </c>
      <c r="J350" s="22">
        <v>22.63127956989247</v>
      </c>
      <c r="K350" s="23">
        <v>22.918973882503192</v>
      </c>
      <c r="L350" s="23">
        <v>22.846102150537629</v>
      </c>
      <c r="M350" s="23">
        <v>22.626390804597701</v>
      </c>
      <c r="N350" s="23">
        <v>22.607244545054389</v>
      </c>
      <c r="O350" s="23">
        <v>21.911989326765191</v>
      </c>
      <c r="P350" s="23">
        <v>21.766622730352019</v>
      </c>
      <c r="Q350" s="23">
        <v>22.09053333333333</v>
      </c>
      <c r="R350" s="23">
        <v>22.427278110944531</v>
      </c>
      <c r="S350" s="23">
        <v>22.518252688172041</v>
      </c>
      <c r="T350" s="23">
        <v>22.571390804597701</v>
      </c>
      <c r="U350" s="23">
        <v>22.541103370216419</v>
      </c>
      <c r="V350" s="38">
        <v>22.454763443080552</v>
      </c>
      <c r="W350" s="39">
        <v>237</v>
      </c>
      <c r="X350" s="24">
        <v>0.98750000000000004</v>
      </c>
    </row>
    <row r="351" spans="1:24" ht="13.9" customHeight="1" x14ac:dyDescent="0.2">
      <c r="A351" s="10">
        <v>21185040</v>
      </c>
      <c r="B351" s="35" t="s">
        <v>471</v>
      </c>
      <c r="C351" s="35" t="s">
        <v>816</v>
      </c>
      <c r="D351" s="35" t="s">
        <v>817</v>
      </c>
      <c r="E351" s="21" t="s">
        <v>70</v>
      </c>
      <c r="F351" s="35">
        <v>10</v>
      </c>
      <c r="G351" s="35">
        <v>305</v>
      </c>
      <c r="H351" s="36">
        <v>-74.798000000000002</v>
      </c>
      <c r="I351" s="37">
        <v>4.2754444400000002</v>
      </c>
      <c r="J351" s="22">
        <v>23.299497279000811</v>
      </c>
      <c r="K351" s="23">
        <v>23.562187749367538</v>
      </c>
      <c r="L351" s="23">
        <v>23.42886920844985</v>
      </c>
      <c r="M351" s="23">
        <v>23.366920931329211</v>
      </c>
      <c r="N351" s="23">
        <v>23.23510181574698</v>
      </c>
      <c r="O351" s="23">
        <v>22.690587497067789</v>
      </c>
      <c r="P351" s="23">
        <v>22.491182106424041</v>
      </c>
      <c r="Q351" s="23">
        <v>22.957550166141111</v>
      </c>
      <c r="R351" s="23">
        <v>23.117434461331381</v>
      </c>
      <c r="S351" s="23">
        <v>23.157054772826051</v>
      </c>
      <c r="T351" s="23">
        <v>23.24273592378956</v>
      </c>
      <c r="U351" s="23">
        <v>23.238412600998618</v>
      </c>
      <c r="V351" s="38">
        <v>23.14896120937275</v>
      </c>
      <c r="W351" s="39">
        <v>314</v>
      </c>
      <c r="X351" s="24">
        <v>0.87222222222222223</v>
      </c>
    </row>
    <row r="352" spans="1:24" ht="13.9" customHeight="1" x14ac:dyDescent="0.2">
      <c r="A352" s="10">
        <v>21185030</v>
      </c>
      <c r="B352" s="35" t="s">
        <v>471</v>
      </c>
      <c r="C352" s="35" t="s">
        <v>359</v>
      </c>
      <c r="D352" s="35" t="s">
        <v>359</v>
      </c>
      <c r="E352" s="21" t="s">
        <v>70</v>
      </c>
      <c r="F352" s="35">
        <v>10</v>
      </c>
      <c r="G352" s="35">
        <v>332</v>
      </c>
      <c r="H352" s="36">
        <v>-74.981388890000005</v>
      </c>
      <c r="I352" s="37">
        <v>4.0088333299999999</v>
      </c>
      <c r="J352" s="22">
        <v>22.57217656936233</v>
      </c>
      <c r="K352" s="23">
        <v>22.774147453839259</v>
      </c>
      <c r="L352" s="23">
        <v>22.6874578107509</v>
      </c>
      <c r="M352" s="23">
        <v>22.763655715784711</v>
      </c>
      <c r="N352" s="23">
        <v>22.680344284881269</v>
      </c>
      <c r="O352" s="23">
        <v>22.468795143553759</v>
      </c>
      <c r="P352" s="23">
        <v>22.329466444879628</v>
      </c>
      <c r="Q352" s="23">
        <v>22.72385486258694</v>
      </c>
      <c r="R352" s="23">
        <v>22.991182948434439</v>
      </c>
      <c r="S352" s="23">
        <v>22.685475462493262</v>
      </c>
      <c r="T352" s="23">
        <v>22.596914101064431</v>
      </c>
      <c r="U352" s="23">
        <v>22.362624279373861</v>
      </c>
      <c r="V352" s="38">
        <v>22.636341256417069</v>
      </c>
      <c r="W352" s="39">
        <v>296</v>
      </c>
      <c r="X352" s="24">
        <v>0.82222222222222219</v>
      </c>
    </row>
    <row r="353" spans="1:24" ht="13.9" customHeight="1" x14ac:dyDescent="0.2">
      <c r="A353" s="10">
        <v>23025020</v>
      </c>
      <c r="B353" s="35" t="s">
        <v>445</v>
      </c>
      <c r="C353" s="35" t="s">
        <v>760</v>
      </c>
      <c r="D353" s="35" t="s">
        <v>818</v>
      </c>
      <c r="E353" s="21" t="s">
        <v>70</v>
      </c>
      <c r="F353" s="35">
        <v>10</v>
      </c>
      <c r="G353" s="35">
        <v>208</v>
      </c>
      <c r="H353" s="36">
        <v>-74.729138890000002</v>
      </c>
      <c r="I353" s="37">
        <v>5.2626388899999998</v>
      </c>
      <c r="J353" s="22">
        <v>22.146204330819341</v>
      </c>
      <c r="K353" s="23">
        <v>22.208911967578029</v>
      </c>
      <c r="L353" s="23">
        <v>22.58303127545912</v>
      </c>
      <c r="M353" s="23">
        <v>22.552581522883241</v>
      </c>
      <c r="N353" s="23">
        <v>22.515497695852531</v>
      </c>
      <c r="O353" s="23">
        <v>22.43836666666666</v>
      </c>
      <c r="P353" s="23">
        <v>22.124913275030369</v>
      </c>
      <c r="Q353" s="23">
        <v>22.19273543425421</v>
      </c>
      <c r="R353" s="23">
        <v>22.249160729705199</v>
      </c>
      <c r="S353" s="23">
        <v>22.177379108476821</v>
      </c>
      <c r="T353" s="23">
        <v>22.166259055346281</v>
      </c>
      <c r="U353" s="23">
        <v>22.375871288843591</v>
      </c>
      <c r="V353" s="38">
        <v>22.310909362576279</v>
      </c>
      <c r="W353" s="39">
        <v>231</v>
      </c>
      <c r="X353" s="24">
        <v>0.96250000000000002</v>
      </c>
    </row>
    <row r="354" spans="1:24" ht="13.9" customHeight="1" x14ac:dyDescent="0.2">
      <c r="A354" s="10">
        <v>21245040</v>
      </c>
      <c r="B354" s="35" t="s">
        <v>690</v>
      </c>
      <c r="C354" s="35" t="s">
        <v>69</v>
      </c>
      <c r="D354" s="35" t="s">
        <v>71</v>
      </c>
      <c r="E354" s="21" t="s">
        <v>70</v>
      </c>
      <c r="F354" s="35">
        <v>10</v>
      </c>
      <c r="G354" s="35">
        <v>943</v>
      </c>
      <c r="H354" s="36">
        <v>-75.139416669999989</v>
      </c>
      <c r="I354" s="37">
        <v>4.42413889</v>
      </c>
      <c r="J354" s="22">
        <v>19.165118586424249</v>
      </c>
      <c r="K354" s="23">
        <v>19.50700161687082</v>
      </c>
      <c r="L354" s="23">
        <v>19.50365975422427</v>
      </c>
      <c r="M354" s="23">
        <v>19.419813294411</v>
      </c>
      <c r="N354" s="23">
        <v>19.504368777379529</v>
      </c>
      <c r="O354" s="23">
        <v>19.205874221800151</v>
      </c>
      <c r="P354" s="23">
        <v>19.23867916144334</v>
      </c>
      <c r="Q354" s="23">
        <v>19.456815855631209</v>
      </c>
      <c r="R354" s="23">
        <v>19.232081736909329</v>
      </c>
      <c r="S354" s="23">
        <v>19.10423923406961</v>
      </c>
      <c r="T354" s="23">
        <v>19.15994252873563</v>
      </c>
      <c r="U354" s="23">
        <v>19.206380237300699</v>
      </c>
      <c r="V354" s="38">
        <v>19.30866458376665</v>
      </c>
      <c r="W354" s="39">
        <v>331</v>
      </c>
      <c r="X354" s="24">
        <v>0.9194444444444444</v>
      </c>
    </row>
    <row r="355" spans="1:24" ht="13.9" customHeight="1" x14ac:dyDescent="0.2">
      <c r="A355" s="10">
        <v>21255150</v>
      </c>
      <c r="B355" s="35" t="s">
        <v>471</v>
      </c>
      <c r="C355" s="35" t="s">
        <v>819</v>
      </c>
      <c r="D355" s="35" t="s">
        <v>820</v>
      </c>
      <c r="E355" s="21" t="s">
        <v>70</v>
      </c>
      <c r="F355" s="35">
        <v>10</v>
      </c>
      <c r="G355" s="35">
        <v>350</v>
      </c>
      <c r="H355" s="36">
        <v>-74.89155556</v>
      </c>
      <c r="I355" s="37">
        <v>4.8554166700000003</v>
      </c>
      <c r="J355" s="22">
        <v>22.48266472718975</v>
      </c>
      <c r="K355" s="23">
        <v>22.74848771279806</v>
      </c>
      <c r="L355" s="23">
        <v>22.610585424133809</v>
      </c>
      <c r="M355" s="23">
        <v>22.223439153439159</v>
      </c>
      <c r="N355" s="23">
        <v>22.232769782189141</v>
      </c>
      <c r="O355" s="23">
        <v>22.29625798212005</v>
      </c>
      <c r="P355" s="23">
        <v>22.315300951674701</v>
      </c>
      <c r="Q355" s="23">
        <v>22.269978494623661</v>
      </c>
      <c r="R355" s="23">
        <v>22.078574712643679</v>
      </c>
      <c r="S355" s="23">
        <v>21.970301075268821</v>
      </c>
      <c r="T355" s="23">
        <v>22.056000000000001</v>
      </c>
      <c r="U355" s="23">
        <v>22.382010752688171</v>
      </c>
      <c r="V355" s="38">
        <v>22.305530897397421</v>
      </c>
      <c r="W355" s="39">
        <v>116</v>
      </c>
      <c r="X355" s="24">
        <v>0.96666666666666667</v>
      </c>
    </row>
    <row r="356" spans="1:24" ht="13.9" customHeight="1" x14ac:dyDescent="0.2">
      <c r="A356" s="10">
        <v>23025040</v>
      </c>
      <c r="B356" s="35" t="s">
        <v>445</v>
      </c>
      <c r="C356" s="35" t="s">
        <v>311</v>
      </c>
      <c r="D356" s="35" t="s">
        <v>821</v>
      </c>
      <c r="E356" s="21" t="s">
        <v>70</v>
      </c>
      <c r="F356" s="35">
        <v>10</v>
      </c>
      <c r="G356" s="35">
        <v>788</v>
      </c>
      <c r="H356" s="36">
        <v>-74.914580560000005</v>
      </c>
      <c r="I356" s="37">
        <v>5.3011088900000001</v>
      </c>
      <c r="J356" s="22">
        <v>20.44477463831905</v>
      </c>
      <c r="K356" s="23">
        <v>20.564266321368329</v>
      </c>
      <c r="L356" s="23">
        <v>20.402955652951938</v>
      </c>
      <c r="M356" s="23">
        <v>20.455901122608321</v>
      </c>
      <c r="N356" s="23">
        <v>20.58197658381938</v>
      </c>
      <c r="O356" s="23">
        <v>20.80266916079724</v>
      </c>
      <c r="P356" s="23">
        <v>20.659011266682761</v>
      </c>
      <c r="Q356" s="23">
        <v>20.422025791399172</v>
      </c>
      <c r="R356" s="23">
        <v>20.23041991214405</v>
      </c>
      <c r="S356" s="23">
        <v>20.093982864558509</v>
      </c>
      <c r="T356" s="23">
        <v>20.288854021910488</v>
      </c>
      <c r="U356" s="23">
        <v>20.429432835425601</v>
      </c>
      <c r="V356" s="38">
        <v>20.44802251433207</v>
      </c>
      <c r="W356" s="39">
        <v>328</v>
      </c>
      <c r="X356" s="24">
        <v>0.91111111111111109</v>
      </c>
    </row>
    <row r="357" spans="1:24" ht="13.9" customHeight="1" x14ac:dyDescent="0.2">
      <c r="A357" s="10">
        <v>21135030</v>
      </c>
      <c r="B357" s="35" t="s">
        <v>471</v>
      </c>
      <c r="C357" s="35" t="s">
        <v>186</v>
      </c>
      <c r="D357" s="35" t="s">
        <v>187</v>
      </c>
      <c r="E357" s="21" t="s">
        <v>70</v>
      </c>
      <c r="F357" s="35">
        <v>4</v>
      </c>
      <c r="G357" s="35">
        <v>415</v>
      </c>
      <c r="H357" s="36">
        <v>-75.108999999999995</v>
      </c>
      <c r="I357" s="37">
        <v>3.5738333299999998</v>
      </c>
      <c r="J357" s="22">
        <v>23.155339539749999</v>
      </c>
      <c r="K357" s="23">
        <v>23.38851231309317</v>
      </c>
      <c r="L357" s="23">
        <v>23.324986840200491</v>
      </c>
      <c r="M357" s="23">
        <v>23.28834205679734</v>
      </c>
      <c r="N357" s="23">
        <v>23.32891361501833</v>
      </c>
      <c r="O357" s="23">
        <v>23.513243245194499</v>
      </c>
      <c r="P357" s="23">
        <v>23.98594554377442</v>
      </c>
      <c r="Q357" s="23">
        <v>24.545433207708651</v>
      </c>
      <c r="R357" s="23">
        <v>24.258489020705198</v>
      </c>
      <c r="S357" s="23">
        <v>23.619788852153011</v>
      </c>
      <c r="T357" s="23">
        <v>23.126093736011811</v>
      </c>
      <c r="U357" s="23">
        <v>23.008910400211029</v>
      </c>
      <c r="V357" s="38">
        <v>23.5453331975515</v>
      </c>
      <c r="W357" s="39">
        <v>340</v>
      </c>
      <c r="X357" s="24">
        <v>0.94444444444444442</v>
      </c>
    </row>
    <row r="358" spans="1:24" ht="13.9" customHeight="1" x14ac:dyDescent="0.2">
      <c r="A358" s="10">
        <v>21165010</v>
      </c>
      <c r="B358" s="35" t="s">
        <v>445</v>
      </c>
      <c r="C358" s="11" t="s">
        <v>822</v>
      </c>
      <c r="D358" s="35" t="s">
        <v>358</v>
      </c>
      <c r="E358" s="21" t="s">
        <v>70</v>
      </c>
      <c r="F358" s="35">
        <v>10</v>
      </c>
      <c r="G358" s="35">
        <v>321</v>
      </c>
      <c r="H358" s="36">
        <v>-74.917027779999998</v>
      </c>
      <c r="I358" s="37">
        <v>3.7876111099999998</v>
      </c>
      <c r="J358" s="22">
        <v>22.47888303592611</v>
      </c>
      <c r="K358" s="23">
        <v>22.69904175580518</v>
      </c>
      <c r="L358" s="23">
        <v>22.765183214844189</v>
      </c>
      <c r="M358" s="23">
        <v>22.7617573711182</v>
      </c>
      <c r="N358" s="23">
        <v>22.68656518027764</v>
      </c>
      <c r="O358" s="23">
        <v>22.104390943974771</v>
      </c>
      <c r="P358" s="23">
        <v>21.613415216113999</v>
      </c>
      <c r="Q358" s="23">
        <v>21.901076072483381</v>
      </c>
      <c r="R358" s="23">
        <v>22.290641792860178</v>
      </c>
      <c r="S358" s="23">
        <v>22.47109010011124</v>
      </c>
      <c r="T358" s="23">
        <v>22.62865042875389</v>
      </c>
      <c r="U358" s="23">
        <v>22.607075268817201</v>
      </c>
      <c r="V358" s="38">
        <v>22.417314198423831</v>
      </c>
      <c r="W358" s="39">
        <v>350</v>
      </c>
      <c r="X358" s="24">
        <v>0.97222222222222221</v>
      </c>
    </row>
    <row r="359" spans="1:24" ht="13.9" customHeight="1" x14ac:dyDescent="0.2">
      <c r="A359" s="10">
        <v>22055030</v>
      </c>
      <c r="B359" s="35" t="s">
        <v>445</v>
      </c>
      <c r="C359" s="35" t="s">
        <v>823</v>
      </c>
      <c r="D359" s="35" t="s">
        <v>824</v>
      </c>
      <c r="E359" s="21" t="s">
        <v>70</v>
      </c>
      <c r="F359" s="35">
        <v>10</v>
      </c>
      <c r="G359" s="35">
        <v>300</v>
      </c>
      <c r="H359" s="36">
        <v>-74.89880556</v>
      </c>
      <c r="I359" s="37">
        <v>3.9860555600000001</v>
      </c>
      <c r="J359" s="22">
        <v>22.96519095291065</v>
      </c>
      <c r="K359" s="23">
        <v>23.025398810073138</v>
      </c>
      <c r="L359" s="23">
        <v>23.065381357740229</v>
      </c>
      <c r="M359" s="23">
        <v>22.892876106581092</v>
      </c>
      <c r="N359" s="23">
        <v>22.672776394700762</v>
      </c>
      <c r="O359" s="23">
        <v>22.42039134781529</v>
      </c>
      <c r="P359" s="23">
        <v>22.004780543196151</v>
      </c>
      <c r="Q359" s="23">
        <v>22.108051585484031</v>
      </c>
      <c r="R359" s="23">
        <v>22.686539704004201</v>
      </c>
      <c r="S359" s="23">
        <v>22.658969614542151</v>
      </c>
      <c r="T359" s="23">
        <v>22.73862997718982</v>
      </c>
      <c r="U359" s="23">
        <v>22.796881720430111</v>
      </c>
      <c r="V359" s="38">
        <v>22.669655676222291</v>
      </c>
      <c r="W359" s="39">
        <v>205</v>
      </c>
      <c r="X359" s="24">
        <v>0.85416666666666663</v>
      </c>
    </row>
    <row r="360" spans="1:24" ht="13.9" customHeight="1" x14ac:dyDescent="0.2">
      <c r="A360" s="10">
        <v>22015020</v>
      </c>
      <c r="B360" s="35" t="s">
        <v>445</v>
      </c>
      <c r="C360" s="35" t="s">
        <v>825</v>
      </c>
      <c r="D360" s="35" t="s">
        <v>826</v>
      </c>
      <c r="E360" s="21" t="s">
        <v>70</v>
      </c>
      <c r="F360" s="35">
        <v>10</v>
      </c>
      <c r="G360" s="35">
        <v>1160</v>
      </c>
      <c r="H360" s="36">
        <v>-75.631416669999993</v>
      </c>
      <c r="I360" s="37">
        <v>3.52913889</v>
      </c>
      <c r="J360" s="22">
        <v>18.19050712077853</v>
      </c>
      <c r="K360" s="23">
        <v>18.44224882291708</v>
      </c>
      <c r="L360" s="23">
        <v>18.448508050563589</v>
      </c>
      <c r="M360" s="23">
        <v>18.441105520703221</v>
      </c>
      <c r="N360" s="23">
        <v>18.574026142872079</v>
      </c>
      <c r="O360" s="23">
        <v>18.467787626987139</v>
      </c>
      <c r="P360" s="23">
        <v>18.168254943955919</v>
      </c>
      <c r="Q360" s="23">
        <v>18.40253503948804</v>
      </c>
      <c r="R360" s="23">
        <v>18.453794523460399</v>
      </c>
      <c r="S360" s="23">
        <v>18.29752105481726</v>
      </c>
      <c r="T360" s="23">
        <v>18.2898004294556</v>
      </c>
      <c r="U360" s="23">
        <v>18.299454466315229</v>
      </c>
      <c r="V360" s="38">
        <v>18.37296197852617</v>
      </c>
      <c r="W360" s="39">
        <v>345</v>
      </c>
      <c r="X360" s="24">
        <v>0.95833333333333337</v>
      </c>
    </row>
    <row r="361" spans="1:24" ht="13.9" customHeight="1" x14ac:dyDescent="0.2">
      <c r="A361" s="10">
        <v>22065040</v>
      </c>
      <c r="B361" s="35" t="s">
        <v>471</v>
      </c>
      <c r="C361" s="35" t="s">
        <v>376</v>
      </c>
      <c r="D361" s="35" t="s">
        <v>377</v>
      </c>
      <c r="E361" s="21" t="s">
        <v>70</v>
      </c>
      <c r="F361" s="35">
        <v>10</v>
      </c>
      <c r="G361" s="35">
        <v>1448</v>
      </c>
      <c r="H361" s="36">
        <v>-75.488083329999995</v>
      </c>
      <c r="I361" s="37">
        <v>3.9069166700000002</v>
      </c>
      <c r="J361" s="22">
        <v>16.737822238963009</v>
      </c>
      <c r="K361" s="23">
        <v>16.917969447397681</v>
      </c>
      <c r="L361" s="23">
        <v>17.123013810216481</v>
      </c>
      <c r="M361" s="23">
        <v>17.15399525957881</v>
      </c>
      <c r="N361" s="23">
        <v>17.216113544337642</v>
      </c>
      <c r="O361" s="23">
        <v>17.073222935122679</v>
      </c>
      <c r="P361" s="23">
        <v>16.78927904074477</v>
      </c>
      <c r="Q361" s="23">
        <v>17.074088213241051</v>
      </c>
      <c r="R361" s="23">
        <v>16.92344442575952</v>
      </c>
      <c r="S361" s="23">
        <v>16.70182893940402</v>
      </c>
      <c r="T361" s="23">
        <v>16.730114183586341</v>
      </c>
      <c r="U361" s="23">
        <v>16.684061452081469</v>
      </c>
      <c r="V361" s="38">
        <v>16.927079457536131</v>
      </c>
      <c r="W361" s="39">
        <v>310</v>
      </c>
      <c r="X361" s="24">
        <v>0.86111111111111116</v>
      </c>
    </row>
    <row r="362" spans="1:24" ht="13.9" customHeight="1" x14ac:dyDescent="0.2">
      <c r="A362" s="10">
        <v>21240110</v>
      </c>
      <c r="B362" s="35" t="s">
        <v>446</v>
      </c>
      <c r="C362" s="35" t="s">
        <v>827</v>
      </c>
      <c r="D362" s="35" t="s">
        <v>366</v>
      </c>
      <c r="E362" s="21" t="s">
        <v>70</v>
      </c>
      <c r="F362" s="35">
        <v>10</v>
      </c>
      <c r="G362" s="35">
        <v>2670</v>
      </c>
      <c r="H362" s="36">
        <v>-75.13891667</v>
      </c>
      <c r="I362" s="37">
        <v>4.7356111099999998</v>
      </c>
      <c r="J362" s="22">
        <v>9.7367096774193556</v>
      </c>
      <c r="K362" s="23">
        <v>10.006280788177341</v>
      </c>
      <c r="L362" s="23">
        <v>10.101075268817199</v>
      </c>
      <c r="M362" s="23">
        <v>10.34185185185185</v>
      </c>
      <c r="N362" s="23">
        <v>10.21088709677419</v>
      </c>
      <c r="O362" s="23">
        <v>10.620264550264549</v>
      </c>
      <c r="P362" s="23">
        <v>10.48996415770609</v>
      </c>
      <c r="Q362" s="23">
        <v>10.44233870967742</v>
      </c>
      <c r="R362" s="23">
        <v>10.23416666666667</v>
      </c>
      <c r="S362" s="23">
        <v>10.490322580645159</v>
      </c>
      <c r="T362" s="23">
        <v>10.389583333333331</v>
      </c>
      <c r="U362" s="23">
        <v>10.311290322580639</v>
      </c>
      <c r="V362" s="38">
        <v>10.281227916992821</v>
      </c>
      <c r="W362" s="39">
        <v>103</v>
      </c>
      <c r="X362" s="24">
        <v>0.85833333333333328</v>
      </c>
    </row>
    <row r="363" spans="1:24" ht="13.9" customHeight="1" x14ac:dyDescent="0.2">
      <c r="A363" s="10">
        <v>21185080</v>
      </c>
      <c r="B363" s="35" t="s">
        <v>445</v>
      </c>
      <c r="C363" s="35" t="s">
        <v>828</v>
      </c>
      <c r="D363" s="35" t="s">
        <v>828</v>
      </c>
      <c r="E363" s="21" t="s">
        <v>70</v>
      </c>
      <c r="F363" s="35">
        <v>10</v>
      </c>
      <c r="G363" s="35">
        <v>591</v>
      </c>
      <c r="H363" s="36">
        <v>-75.104611110000008</v>
      </c>
      <c r="I363" s="37">
        <v>4.21645833</v>
      </c>
      <c r="J363" s="22">
        <v>20.673801671764672</v>
      </c>
      <c r="K363" s="23">
        <v>20.934604974069739</v>
      </c>
      <c r="L363" s="23">
        <v>21.227184768858631</v>
      </c>
      <c r="M363" s="23">
        <v>21.292278933284681</v>
      </c>
      <c r="N363" s="23">
        <v>21.346997169106182</v>
      </c>
      <c r="O363" s="23">
        <v>20.61348167796444</v>
      </c>
      <c r="P363" s="23">
        <v>20.105130783418979</v>
      </c>
      <c r="Q363" s="23">
        <v>20.369629293079871</v>
      </c>
      <c r="R363" s="23">
        <v>20.74341280266896</v>
      </c>
      <c r="S363" s="23">
        <v>20.974954671150471</v>
      </c>
      <c r="T363" s="23">
        <v>21.084554755589242</v>
      </c>
      <c r="U363" s="23">
        <v>20.868832357824999</v>
      </c>
      <c r="V363" s="38">
        <v>20.852905321565071</v>
      </c>
      <c r="W363" s="39">
        <v>314</v>
      </c>
      <c r="X363" s="24">
        <v>0.87222222222222223</v>
      </c>
    </row>
    <row r="364" spans="1:24" ht="13.9" customHeight="1" x14ac:dyDescent="0.2">
      <c r="A364" s="10">
        <v>21255120</v>
      </c>
      <c r="B364" s="35" t="s">
        <v>445</v>
      </c>
      <c r="C364" s="35" t="s">
        <v>371</v>
      </c>
      <c r="D364" s="35" t="s">
        <v>371</v>
      </c>
      <c r="E364" s="21" t="s">
        <v>70</v>
      </c>
      <c r="F364" s="35">
        <v>10</v>
      </c>
      <c r="G364" s="35">
        <v>2069</v>
      </c>
      <c r="H364" s="36">
        <v>-75.117336109999997</v>
      </c>
      <c r="I364" s="37">
        <v>5.0267619400000001</v>
      </c>
      <c r="J364" s="22">
        <v>14.24198277333428</v>
      </c>
      <c r="K364" s="23">
        <v>14.54239329805996</v>
      </c>
      <c r="L364" s="23">
        <v>14.566265353399951</v>
      </c>
      <c r="M364" s="23">
        <v>14.68544687100894</v>
      </c>
      <c r="N364" s="23">
        <v>14.83230451824779</v>
      </c>
      <c r="O364" s="23">
        <v>14.48364761904762</v>
      </c>
      <c r="P364" s="23">
        <v>14.26104885770514</v>
      </c>
      <c r="Q364" s="23">
        <v>14.173503840245781</v>
      </c>
      <c r="R364" s="23">
        <v>14.28702791461412</v>
      </c>
      <c r="S364" s="23">
        <v>14.304930663700411</v>
      </c>
      <c r="T364" s="23">
        <v>14.317568326947629</v>
      </c>
      <c r="U364" s="23">
        <v>14.253380952380949</v>
      </c>
      <c r="V364" s="38">
        <v>14.41245841572438</v>
      </c>
      <c r="W364" s="39">
        <v>118</v>
      </c>
      <c r="X364" s="24">
        <v>0.98333333333333328</v>
      </c>
    </row>
    <row r="365" spans="1:24" ht="13.9" customHeight="1" x14ac:dyDescent="0.2">
      <c r="A365" s="10">
        <v>53115010</v>
      </c>
      <c r="B365" s="35" t="s">
        <v>446</v>
      </c>
      <c r="C365" s="35" t="s">
        <v>829</v>
      </c>
      <c r="D365" s="35" t="s">
        <v>830</v>
      </c>
      <c r="E365" s="21" t="s">
        <v>76</v>
      </c>
      <c r="F365" s="35">
        <v>9</v>
      </c>
      <c r="G365" s="35">
        <v>28</v>
      </c>
      <c r="H365" s="36">
        <v>-76.992388890000001</v>
      </c>
      <c r="I365" s="37">
        <v>3.82011111</v>
      </c>
      <c r="J365" s="22">
        <v>23.105591397849459</v>
      </c>
      <c r="K365" s="23">
        <v>22.989203612479471</v>
      </c>
      <c r="L365" s="23">
        <v>23.28036559139785</v>
      </c>
      <c r="M365" s="23">
        <v>23.316896551724131</v>
      </c>
      <c r="N365" s="23">
        <v>23.269216166110489</v>
      </c>
      <c r="O365" s="23">
        <v>23.08286079182631</v>
      </c>
      <c r="P365" s="23">
        <v>22.885612903225809</v>
      </c>
      <c r="Q365" s="23">
        <v>22.973698924731181</v>
      </c>
      <c r="R365" s="23">
        <v>22.98526436781609</v>
      </c>
      <c r="S365" s="23">
        <v>22.802645161290322</v>
      </c>
      <c r="T365" s="23">
        <v>22.970244663382591</v>
      </c>
      <c r="U365" s="23">
        <v>22.830177975528361</v>
      </c>
      <c r="V365" s="38">
        <v>23.040981508946839</v>
      </c>
      <c r="W365" s="39">
        <v>119</v>
      </c>
      <c r="X365" s="24">
        <v>0.9916666666666667</v>
      </c>
    </row>
    <row r="366" spans="1:24" ht="13.9" customHeight="1" x14ac:dyDescent="0.2">
      <c r="A366" s="10">
        <v>54075020</v>
      </c>
      <c r="B366" s="35" t="s">
        <v>445</v>
      </c>
      <c r="C366" s="35" t="s">
        <v>831</v>
      </c>
      <c r="D366" s="35" t="s">
        <v>830</v>
      </c>
      <c r="E366" s="21" t="s">
        <v>76</v>
      </c>
      <c r="F366" s="35">
        <v>9</v>
      </c>
      <c r="G366" s="35">
        <v>66</v>
      </c>
      <c r="H366" s="36">
        <v>-76.99044443999999</v>
      </c>
      <c r="I366" s="37">
        <v>3.9535555599999999</v>
      </c>
      <c r="J366" s="22">
        <v>22.13125224633535</v>
      </c>
      <c r="K366" s="23">
        <v>22.338499412857669</v>
      </c>
      <c r="L366" s="23">
        <v>22.4948081187082</v>
      </c>
      <c r="M366" s="23">
        <v>22.46609584803446</v>
      </c>
      <c r="N366" s="23">
        <v>22.498212826284089</v>
      </c>
      <c r="O366" s="23">
        <v>22.534517474249888</v>
      </c>
      <c r="P366" s="23">
        <v>22.356284878629921</v>
      </c>
      <c r="Q366" s="23">
        <v>22.459405680237289</v>
      </c>
      <c r="R366" s="23">
        <v>22.391143583300941</v>
      </c>
      <c r="S366" s="23">
        <v>22.179365003957951</v>
      </c>
      <c r="T366" s="23">
        <v>22.261400320566469</v>
      </c>
      <c r="U366" s="23">
        <v>22.200606386019789</v>
      </c>
      <c r="V366" s="38">
        <v>22.359299314931832</v>
      </c>
      <c r="W366" s="39">
        <v>286</v>
      </c>
      <c r="X366" s="24">
        <v>0.7944444444444444</v>
      </c>
    </row>
    <row r="367" spans="1:24" ht="13.9" customHeight="1" x14ac:dyDescent="0.2">
      <c r="A367" s="10">
        <v>53115020</v>
      </c>
      <c r="B367" s="35" t="s">
        <v>471</v>
      </c>
      <c r="C367" s="35" t="s">
        <v>832</v>
      </c>
      <c r="D367" s="35" t="s">
        <v>830</v>
      </c>
      <c r="E367" s="21" t="s">
        <v>76</v>
      </c>
      <c r="F367" s="35">
        <v>9</v>
      </c>
      <c r="G367" s="35">
        <v>10</v>
      </c>
      <c r="H367" s="36">
        <v>-77.066666669999989</v>
      </c>
      <c r="I367" s="37">
        <v>3.8833333300000001</v>
      </c>
      <c r="J367" s="22">
        <v>23.695037643890689</v>
      </c>
      <c r="K367" s="23">
        <v>24.04682066781017</v>
      </c>
      <c r="L367" s="23">
        <v>24.337079599761051</v>
      </c>
      <c r="M367" s="23">
        <v>24.269047619047619</v>
      </c>
      <c r="N367" s="23">
        <v>24.157747055811569</v>
      </c>
      <c r="O367" s="23">
        <v>23.928694125159641</v>
      </c>
      <c r="P367" s="23">
        <v>23.674359078525249</v>
      </c>
      <c r="Q367" s="23">
        <v>23.607405029692011</v>
      </c>
      <c r="R367" s="23">
        <v>23.442304688925379</v>
      </c>
      <c r="S367" s="23">
        <v>23.479187615869481</v>
      </c>
      <c r="T367" s="23">
        <v>23.467524466338261</v>
      </c>
      <c r="U367" s="23">
        <v>23.597935176651301</v>
      </c>
      <c r="V367" s="38">
        <v>23.808595230623531</v>
      </c>
      <c r="W367" s="39">
        <v>112</v>
      </c>
      <c r="X367" s="24">
        <v>0.93333333333333335</v>
      </c>
    </row>
    <row r="368" spans="1:24" ht="13.9" customHeight="1" x14ac:dyDescent="0.2">
      <c r="A368" s="10">
        <v>26105150</v>
      </c>
      <c r="B368" s="35" t="s">
        <v>445</v>
      </c>
      <c r="C368" s="35" t="s">
        <v>344</v>
      </c>
      <c r="D368" s="35" t="s">
        <v>345</v>
      </c>
      <c r="E368" s="21" t="s">
        <v>76</v>
      </c>
      <c r="F368" s="35">
        <v>9</v>
      </c>
      <c r="G368" s="35">
        <v>1011</v>
      </c>
      <c r="H368" s="36">
        <v>-76.033055560000008</v>
      </c>
      <c r="I368" s="37">
        <v>4.2389166700000001</v>
      </c>
      <c r="J368" s="22">
        <v>17.47499223416126</v>
      </c>
      <c r="K368" s="23">
        <v>17.734069702508101</v>
      </c>
      <c r="L368" s="23">
        <v>18.07159344833472</v>
      </c>
      <c r="M368" s="23">
        <v>18.37640572488715</v>
      </c>
      <c r="N368" s="23">
        <v>18.370275073420789</v>
      </c>
      <c r="O368" s="23">
        <v>17.951790827469861</v>
      </c>
      <c r="P368" s="23">
        <v>17.28229674415218</v>
      </c>
      <c r="Q368" s="23">
        <v>17.03753950514696</v>
      </c>
      <c r="R368" s="23">
        <v>17.38327387384858</v>
      </c>
      <c r="S368" s="23">
        <v>17.76960295060843</v>
      </c>
      <c r="T368" s="23">
        <v>18.146988224288801</v>
      </c>
      <c r="U368" s="23">
        <v>17.936970956740701</v>
      </c>
      <c r="V368" s="38">
        <v>17.794649938797299</v>
      </c>
      <c r="W368" s="39">
        <v>305</v>
      </c>
      <c r="X368" s="24">
        <v>0.84722222222222221</v>
      </c>
    </row>
    <row r="369" spans="1:24" ht="13.9" customHeight="1" x14ac:dyDescent="0.2">
      <c r="A369" s="10">
        <v>26055120</v>
      </c>
      <c r="B369" s="35" t="s">
        <v>471</v>
      </c>
      <c r="C369" s="35" t="s">
        <v>833</v>
      </c>
      <c r="D369" s="35" t="s">
        <v>834</v>
      </c>
      <c r="E369" s="21" t="s">
        <v>76</v>
      </c>
      <c r="F369" s="35">
        <v>9</v>
      </c>
      <c r="G369" s="35">
        <v>996</v>
      </c>
      <c r="H369" s="36">
        <v>-76.53388889</v>
      </c>
      <c r="I369" s="37">
        <v>3.3780000000000001</v>
      </c>
      <c r="J369" s="22">
        <v>19.54985960061444</v>
      </c>
      <c r="K369" s="23">
        <v>19.68732598517817</v>
      </c>
      <c r="L369" s="23">
        <v>19.861283276484571</v>
      </c>
      <c r="M369" s="23">
        <v>19.80749536276835</v>
      </c>
      <c r="N369" s="23">
        <v>19.94762984080559</v>
      </c>
      <c r="O369" s="23">
        <v>19.473593739522862</v>
      </c>
      <c r="P369" s="23">
        <v>19.21443639488713</v>
      </c>
      <c r="Q369" s="23">
        <v>18.918049443607661</v>
      </c>
      <c r="R369" s="23">
        <v>19.22287492450911</v>
      </c>
      <c r="S369" s="23">
        <v>19.32467429122601</v>
      </c>
      <c r="T369" s="23">
        <v>19.392206592896251</v>
      </c>
      <c r="U369" s="23">
        <v>19.651926282122631</v>
      </c>
      <c r="V369" s="38">
        <v>19.5042796445519</v>
      </c>
      <c r="W369" s="39">
        <v>288</v>
      </c>
      <c r="X369" s="24">
        <v>0.8</v>
      </c>
    </row>
    <row r="370" spans="1:24" ht="13.9" customHeight="1" x14ac:dyDescent="0.2">
      <c r="A370" s="10">
        <v>26095080</v>
      </c>
      <c r="B370" s="35" t="s">
        <v>445</v>
      </c>
      <c r="C370" s="35" t="s">
        <v>402</v>
      </c>
      <c r="D370" s="35" t="s">
        <v>835</v>
      </c>
      <c r="E370" s="21" t="s">
        <v>76</v>
      </c>
      <c r="F370" s="35">
        <v>9</v>
      </c>
      <c r="G370" s="35">
        <v>2628</v>
      </c>
      <c r="H370" s="36">
        <v>-76.074777780000005</v>
      </c>
      <c r="I370" s="37">
        <v>3.7299722200000001</v>
      </c>
      <c r="J370" s="22">
        <v>9.7471055905738897</v>
      </c>
      <c r="K370" s="23">
        <v>9.9312416712278768</v>
      </c>
      <c r="L370" s="23">
        <v>10.263265109380789</v>
      </c>
      <c r="M370" s="23">
        <v>10.567899835796389</v>
      </c>
      <c r="N370" s="23">
        <v>10.67426167561381</v>
      </c>
      <c r="O370" s="23">
        <v>10.5856227527262</v>
      </c>
      <c r="P370" s="23">
        <v>10.26157063403782</v>
      </c>
      <c r="Q370" s="23">
        <v>10.145657548431471</v>
      </c>
      <c r="R370" s="23">
        <v>10.00440681444992</v>
      </c>
      <c r="S370" s="23">
        <v>9.9317875829110527</v>
      </c>
      <c r="T370" s="23">
        <v>9.9163154533844207</v>
      </c>
      <c r="U370" s="23">
        <v>9.8348515399238412</v>
      </c>
      <c r="V370" s="38">
        <v>10.155332184038119</v>
      </c>
      <c r="W370" s="39">
        <v>113</v>
      </c>
      <c r="X370" s="24">
        <v>0.94166666666666665</v>
      </c>
    </row>
    <row r="371" spans="1:24" ht="13.9" customHeight="1" x14ac:dyDescent="0.2">
      <c r="A371" s="10">
        <v>26095320</v>
      </c>
      <c r="B371" s="35" t="s">
        <v>450</v>
      </c>
      <c r="C371" s="35" t="s">
        <v>836</v>
      </c>
      <c r="D371" s="35" t="s">
        <v>837</v>
      </c>
      <c r="E371" s="21" t="s">
        <v>76</v>
      </c>
      <c r="F371" s="35">
        <v>9</v>
      </c>
      <c r="G371" s="35">
        <v>980</v>
      </c>
      <c r="H371" s="36">
        <v>-76.300005560000002</v>
      </c>
      <c r="I371" s="37">
        <v>3.3604166700000002</v>
      </c>
      <c r="J371" s="22">
        <v>18.381762246117081</v>
      </c>
      <c r="K371" s="23">
        <v>18.61761083743842</v>
      </c>
      <c r="L371" s="23">
        <v>18.862040126889958</v>
      </c>
      <c r="M371" s="23">
        <v>19.011724137931029</v>
      </c>
      <c r="N371" s="23">
        <v>19.08011947431303</v>
      </c>
      <c r="O371" s="23">
        <v>18.59415070242656</v>
      </c>
      <c r="P371" s="23">
        <v>18.563130227001189</v>
      </c>
      <c r="Q371" s="23">
        <v>18.46214229802661</v>
      </c>
      <c r="R371" s="23">
        <v>18.503074256522531</v>
      </c>
      <c r="S371" s="23">
        <v>18.37922043010753</v>
      </c>
      <c r="T371" s="23">
        <v>18.625747126436782</v>
      </c>
      <c r="U371" s="23">
        <v>18.58335722819594</v>
      </c>
      <c r="V371" s="38">
        <v>18.638673257617221</v>
      </c>
      <c r="W371" s="39">
        <v>107</v>
      </c>
      <c r="X371" s="24">
        <v>0.89166666666666672</v>
      </c>
    </row>
    <row r="372" spans="1:24" ht="13.9" customHeight="1" x14ac:dyDescent="0.2">
      <c r="A372" s="10">
        <v>26115040</v>
      </c>
      <c r="B372" s="35" t="s">
        <v>471</v>
      </c>
      <c r="C372" s="35" t="s">
        <v>838</v>
      </c>
      <c r="D372" s="35" t="s">
        <v>465</v>
      </c>
      <c r="E372" s="21" t="s">
        <v>76</v>
      </c>
      <c r="F372" s="35">
        <v>9</v>
      </c>
      <c r="G372" s="35">
        <v>934</v>
      </c>
      <c r="H372" s="36">
        <v>-76.06</v>
      </c>
      <c r="I372" s="37">
        <v>4.53</v>
      </c>
      <c r="J372" s="22">
        <v>18.641135005973709</v>
      </c>
      <c r="K372" s="23">
        <v>17.69395337042544</v>
      </c>
      <c r="L372" s="23">
        <v>18.062263843445841</v>
      </c>
      <c r="M372" s="23">
        <v>18.397239877896549</v>
      </c>
      <c r="N372" s="23">
        <v>18.23470697136808</v>
      </c>
      <c r="O372" s="23">
        <v>17.856373235293781</v>
      </c>
      <c r="P372" s="23">
        <v>17.505251049219439</v>
      </c>
      <c r="Q372" s="23">
        <v>17.22937183212635</v>
      </c>
      <c r="R372" s="23">
        <v>17.614967971273391</v>
      </c>
      <c r="S372" s="23">
        <v>17.95351853472134</v>
      </c>
      <c r="T372" s="23">
        <v>17.85571396089286</v>
      </c>
      <c r="U372" s="23">
        <v>17.462329212793751</v>
      </c>
      <c r="V372" s="38">
        <v>17.875568738785869</v>
      </c>
      <c r="W372" s="39">
        <v>110</v>
      </c>
      <c r="X372" s="24">
        <v>0.91666666666666663</v>
      </c>
    </row>
    <row r="373" spans="1:24" ht="13.9" customHeight="1" x14ac:dyDescent="0.2">
      <c r="A373" s="10">
        <v>26075040</v>
      </c>
      <c r="B373" s="35" t="s">
        <v>444</v>
      </c>
      <c r="C373" s="35" t="s">
        <v>75</v>
      </c>
      <c r="D373" s="35" t="s">
        <v>77</v>
      </c>
      <c r="E373" s="21" t="s">
        <v>76</v>
      </c>
      <c r="F373" s="35">
        <v>9</v>
      </c>
      <c r="G373" s="35">
        <v>970</v>
      </c>
      <c r="H373" s="36">
        <v>-76.38663889</v>
      </c>
      <c r="I373" s="37">
        <v>3.5366888900000002</v>
      </c>
      <c r="J373" s="22">
        <v>18.870521704500199</v>
      </c>
      <c r="K373" s="23">
        <v>19.09982741328184</v>
      </c>
      <c r="L373" s="23">
        <v>19.16232177434069</v>
      </c>
      <c r="M373" s="23">
        <v>19.274483486335338</v>
      </c>
      <c r="N373" s="23">
        <v>19.262844342037891</v>
      </c>
      <c r="O373" s="23">
        <v>18.925377229080929</v>
      </c>
      <c r="P373" s="23">
        <v>18.632546225180629</v>
      </c>
      <c r="Q373" s="23">
        <v>18.46166778427882</v>
      </c>
      <c r="R373" s="23">
        <v>18.648510848126229</v>
      </c>
      <c r="S373" s="23">
        <v>18.736530737721061</v>
      </c>
      <c r="T373" s="23">
        <v>18.886923076923079</v>
      </c>
      <c r="U373" s="23">
        <v>18.93683900321345</v>
      </c>
      <c r="V373" s="38">
        <v>18.908199468751679</v>
      </c>
      <c r="W373" s="39">
        <v>318</v>
      </c>
      <c r="X373" s="24">
        <v>0.8833333333333333</v>
      </c>
    </row>
    <row r="374" spans="1:24" ht="13.9" customHeight="1" x14ac:dyDescent="0.2">
      <c r="A374" s="10">
        <v>26075050</v>
      </c>
      <c r="B374" s="35" t="s">
        <v>445</v>
      </c>
      <c r="C374" s="35" t="s">
        <v>839</v>
      </c>
      <c r="D374" s="35" t="s">
        <v>77</v>
      </c>
      <c r="E374" s="21" t="s">
        <v>76</v>
      </c>
      <c r="F374" s="35">
        <v>9</v>
      </c>
      <c r="G374" s="35">
        <v>1059</v>
      </c>
      <c r="H374" s="36">
        <v>-76.277805560000004</v>
      </c>
      <c r="I374" s="37">
        <v>3.5740555600000001</v>
      </c>
      <c r="J374" s="22">
        <v>18.491408652503701</v>
      </c>
      <c r="K374" s="23">
        <v>18.829883050538221</v>
      </c>
      <c r="L374" s="23">
        <v>18.971116878836568</v>
      </c>
      <c r="M374" s="23">
        <v>19.24265927750411</v>
      </c>
      <c r="N374" s="23">
        <v>19.208947063688999</v>
      </c>
      <c r="O374" s="23">
        <v>18.808218390804601</v>
      </c>
      <c r="P374" s="23">
        <v>18.61652100217173</v>
      </c>
      <c r="Q374" s="23">
        <v>18.46769664706817</v>
      </c>
      <c r="R374" s="23">
        <v>18.689394453566869</v>
      </c>
      <c r="S374" s="23">
        <v>18.783835036713789</v>
      </c>
      <c r="T374" s="23">
        <v>18.8340923189199</v>
      </c>
      <c r="U374" s="23">
        <v>18.831923536439671</v>
      </c>
      <c r="V374" s="38">
        <v>18.814641359063032</v>
      </c>
      <c r="W374" s="39">
        <v>117</v>
      </c>
      <c r="X374" s="24">
        <v>0.97499999999999998</v>
      </c>
    </row>
    <row r="375" spans="1:24" ht="13.9" customHeight="1" x14ac:dyDescent="0.2">
      <c r="A375" s="10">
        <v>26075010</v>
      </c>
      <c r="B375" s="35" t="s">
        <v>450</v>
      </c>
      <c r="C375" s="11" t="s">
        <v>840</v>
      </c>
      <c r="D375" s="35" t="s">
        <v>77</v>
      </c>
      <c r="E375" s="21" t="s">
        <v>76</v>
      </c>
      <c r="F375" s="35">
        <v>9</v>
      </c>
      <c r="G375" s="35">
        <v>1018</v>
      </c>
      <c r="H375" s="36">
        <v>-76.314888890000006</v>
      </c>
      <c r="I375" s="37">
        <v>3.5134722200000001</v>
      </c>
      <c r="J375" s="22">
        <v>19.152374088493389</v>
      </c>
      <c r="K375" s="23">
        <v>19.426343124733929</v>
      </c>
      <c r="L375" s="23">
        <v>19.498551785934989</v>
      </c>
      <c r="M375" s="23">
        <v>19.60055335097001</v>
      </c>
      <c r="N375" s="23">
        <v>19.688231368186869</v>
      </c>
      <c r="O375" s="23">
        <v>19.304522846076949</v>
      </c>
      <c r="P375" s="23">
        <v>19.115674945265461</v>
      </c>
      <c r="Q375" s="23">
        <v>19.04428975316489</v>
      </c>
      <c r="R375" s="23">
        <v>19.171552610996091</v>
      </c>
      <c r="S375" s="23">
        <v>19.20511663753377</v>
      </c>
      <c r="T375" s="23">
        <v>19.378979885057468</v>
      </c>
      <c r="U375" s="23">
        <v>19.318553163046971</v>
      </c>
      <c r="V375" s="38">
        <v>19.325395296621728</v>
      </c>
      <c r="W375" s="39">
        <v>290</v>
      </c>
      <c r="X375" s="24">
        <v>0.80555555555555558</v>
      </c>
    </row>
    <row r="376" spans="1:24" ht="13.9" customHeight="1" x14ac:dyDescent="0.2">
      <c r="A376" s="10">
        <v>26125130</v>
      </c>
      <c r="B376" s="35" t="s">
        <v>445</v>
      </c>
      <c r="C376" s="35" t="s">
        <v>347</v>
      </c>
      <c r="D376" s="35" t="s">
        <v>348</v>
      </c>
      <c r="E376" s="21" t="s">
        <v>76</v>
      </c>
      <c r="F376" s="35">
        <v>9</v>
      </c>
      <c r="G376" s="35">
        <v>1749</v>
      </c>
      <c r="H376" s="36">
        <v>-75.832361110000008</v>
      </c>
      <c r="I376" s="37">
        <v>4.1850555599999986</v>
      </c>
      <c r="J376" s="22">
        <v>15.36966963917979</v>
      </c>
      <c r="K376" s="23">
        <v>15.72561206571679</v>
      </c>
      <c r="L376" s="23">
        <v>15.59689716451963</v>
      </c>
      <c r="M376" s="23">
        <v>15.64699595234716</v>
      </c>
      <c r="N376" s="23">
        <v>15.776329852190431</v>
      </c>
      <c r="O376" s="23">
        <v>15.66286108374384</v>
      </c>
      <c r="P376" s="23">
        <v>15.704746922128139</v>
      </c>
      <c r="Q376" s="23">
        <v>15.72042367630675</v>
      </c>
      <c r="R376" s="23">
        <v>15.58295354982547</v>
      </c>
      <c r="S376" s="23">
        <v>15.397281915237979</v>
      </c>
      <c r="T376" s="23">
        <v>15.325958506750331</v>
      </c>
      <c r="U376" s="23">
        <v>15.376286997310361</v>
      </c>
      <c r="V376" s="38">
        <v>15.57383477710472</v>
      </c>
      <c r="W376" s="39">
        <v>326</v>
      </c>
      <c r="X376" s="24">
        <v>0.90555555555555556</v>
      </c>
    </row>
    <row r="377" spans="1:24" ht="13.9" customHeight="1" x14ac:dyDescent="0.2">
      <c r="A377" s="10">
        <v>26105160</v>
      </c>
      <c r="B377" s="35" t="s">
        <v>444</v>
      </c>
      <c r="C377" s="35" t="s">
        <v>841</v>
      </c>
      <c r="D377" s="35" t="s">
        <v>343</v>
      </c>
      <c r="E377" s="21" t="s">
        <v>76</v>
      </c>
      <c r="F377" s="35">
        <v>9</v>
      </c>
      <c r="G377" s="35">
        <v>980</v>
      </c>
      <c r="H377" s="36">
        <v>-76.223583329999997</v>
      </c>
      <c r="I377" s="37">
        <v>4.0900833299999997</v>
      </c>
      <c r="J377" s="22">
        <v>18.263480969448711</v>
      </c>
      <c r="K377" s="23">
        <v>18.362170391103149</v>
      </c>
      <c r="L377" s="23">
        <v>18.409828464375622</v>
      </c>
      <c r="M377" s="23">
        <v>18.67384015594541</v>
      </c>
      <c r="N377" s="23">
        <v>18.712239276852181</v>
      </c>
      <c r="O377" s="23">
        <v>18.481213282247769</v>
      </c>
      <c r="P377" s="23">
        <v>18.072705475219379</v>
      </c>
      <c r="Q377" s="23">
        <v>18.210217708748171</v>
      </c>
      <c r="R377" s="23">
        <v>18.371315476190471</v>
      </c>
      <c r="S377" s="23">
        <v>18.32191339272083</v>
      </c>
      <c r="T377" s="23">
        <v>18.497925127610731</v>
      </c>
      <c r="U377" s="23">
        <v>18.473291120922479</v>
      </c>
      <c r="V377" s="38">
        <v>18.404178403448739</v>
      </c>
      <c r="W377" s="39">
        <v>217</v>
      </c>
      <c r="X377" s="24">
        <v>0.90416666666666667</v>
      </c>
    </row>
    <row r="378" spans="1:24" ht="13.9" customHeight="1" x14ac:dyDescent="0.2">
      <c r="A378" s="10">
        <v>26105140</v>
      </c>
      <c r="B378" s="35" t="s">
        <v>445</v>
      </c>
      <c r="C378" s="35" t="s">
        <v>842</v>
      </c>
      <c r="D378" s="35" t="s">
        <v>343</v>
      </c>
      <c r="E378" s="21" t="s">
        <v>76</v>
      </c>
      <c r="F378" s="35">
        <v>9</v>
      </c>
      <c r="G378" s="35">
        <v>2902</v>
      </c>
      <c r="H378" s="36">
        <v>-75.888027780000002</v>
      </c>
      <c r="I378" s="37">
        <v>4.0330555600000002</v>
      </c>
      <c r="J378" s="22">
        <v>7.6481890715335288</v>
      </c>
      <c r="K378" s="23">
        <v>7.8243239752478262</v>
      </c>
      <c r="L378" s="23">
        <v>8.0408847322465338</v>
      </c>
      <c r="M378" s="23">
        <v>8.4828285988498191</v>
      </c>
      <c r="N378" s="23">
        <v>8.6813749404099791</v>
      </c>
      <c r="O378" s="23">
        <v>8.6545889099406335</v>
      </c>
      <c r="P378" s="23">
        <v>8.3170988717622762</v>
      </c>
      <c r="Q378" s="23">
        <v>8.2009357976098798</v>
      </c>
      <c r="R378" s="23">
        <v>8.1571670780627432</v>
      </c>
      <c r="S378" s="23">
        <v>7.9710857199900573</v>
      </c>
      <c r="T378" s="23">
        <v>7.9432449160035388</v>
      </c>
      <c r="U378" s="23">
        <v>7.8549853113145636</v>
      </c>
      <c r="V378" s="38">
        <v>8.148058993580948</v>
      </c>
      <c r="W378" s="39">
        <v>311</v>
      </c>
      <c r="X378" s="24">
        <v>0.86388888888888893</v>
      </c>
    </row>
    <row r="379" spans="1:24" ht="13.9" customHeight="1" x14ac:dyDescent="0.2">
      <c r="A379" s="10">
        <v>26105230</v>
      </c>
      <c r="B379" s="35" t="s">
        <v>445</v>
      </c>
      <c r="C379" s="35" t="s">
        <v>346</v>
      </c>
      <c r="D379" s="35" t="s">
        <v>343</v>
      </c>
      <c r="E379" s="21" t="s">
        <v>76</v>
      </c>
      <c r="F379" s="35">
        <v>9</v>
      </c>
      <c r="G379" s="35">
        <v>1119</v>
      </c>
      <c r="H379" s="36">
        <v>-76.168527779999991</v>
      </c>
      <c r="I379" s="37">
        <v>4.0283333299999997</v>
      </c>
      <c r="J379" s="22">
        <v>17.41799493013125</v>
      </c>
      <c r="K379" s="23">
        <v>17.529809383965791</v>
      </c>
      <c r="L379" s="23">
        <v>17.58216817431871</v>
      </c>
      <c r="M379" s="23">
        <v>17.6331115064161</v>
      </c>
      <c r="N379" s="23">
        <v>17.794563475086282</v>
      </c>
      <c r="O379" s="23">
        <v>17.760185421692452</v>
      </c>
      <c r="P379" s="23">
        <v>17.38684419195932</v>
      </c>
      <c r="Q379" s="23">
        <v>17.499546903967371</v>
      </c>
      <c r="R379" s="23">
        <v>17.538792398415641</v>
      </c>
      <c r="S379" s="23">
        <v>17.404141951993271</v>
      </c>
      <c r="T379" s="23">
        <v>17.377762703010639</v>
      </c>
      <c r="U379" s="23">
        <v>17.481105539231699</v>
      </c>
      <c r="V379" s="38">
        <v>17.533835548349039</v>
      </c>
      <c r="W379" s="39">
        <v>326</v>
      </c>
      <c r="X379" s="24">
        <v>0.90555555555555556</v>
      </c>
    </row>
    <row r="380" spans="1:24" ht="13.9" customHeight="1" x14ac:dyDescent="0.2">
      <c r="A380" s="10">
        <v>26105110</v>
      </c>
      <c r="B380" s="35" t="s">
        <v>445</v>
      </c>
      <c r="C380" s="35" t="s">
        <v>843</v>
      </c>
      <c r="D380" s="35" t="s">
        <v>844</v>
      </c>
      <c r="E380" s="21" t="s">
        <v>76</v>
      </c>
      <c r="F380" s="35">
        <v>9</v>
      </c>
      <c r="G380" s="35">
        <v>954</v>
      </c>
      <c r="H380" s="36">
        <v>-76.084527780000002</v>
      </c>
      <c r="I380" s="37">
        <v>4.3244999999999996</v>
      </c>
      <c r="J380" s="22">
        <v>18.23525239344761</v>
      </c>
      <c r="K380" s="23">
        <v>18.394336698275691</v>
      </c>
      <c r="L380" s="23">
        <v>18.719236911326849</v>
      </c>
      <c r="M380" s="23">
        <v>18.958354533729398</v>
      </c>
      <c r="N380" s="23">
        <v>19.00713936914304</v>
      </c>
      <c r="O380" s="23">
        <v>18.621852534344232</v>
      </c>
      <c r="P380" s="23">
        <v>18.29836510275328</v>
      </c>
      <c r="Q380" s="23">
        <v>18.30451312039833</v>
      </c>
      <c r="R380" s="23">
        <v>18.274158258599641</v>
      </c>
      <c r="S380" s="23">
        <v>18.449790098192071</v>
      </c>
      <c r="T380" s="23">
        <v>18.696701180545261</v>
      </c>
      <c r="U380" s="23">
        <v>18.509435864595869</v>
      </c>
      <c r="V380" s="38">
        <v>18.539094672112611</v>
      </c>
      <c r="W380" s="39">
        <v>310</v>
      </c>
      <c r="X380" s="24">
        <v>0.86111111111111116</v>
      </c>
    </row>
    <row r="381" spans="1:24" ht="13.9" customHeight="1" x14ac:dyDescent="0.2">
      <c r="A381" s="10">
        <v>42075010</v>
      </c>
      <c r="B381" s="35" t="s">
        <v>471</v>
      </c>
      <c r="C381" s="35" t="s">
        <v>174</v>
      </c>
      <c r="D381" s="35" t="s">
        <v>174</v>
      </c>
      <c r="E381" s="21" t="s">
        <v>173</v>
      </c>
      <c r="F381" s="35">
        <v>3</v>
      </c>
      <c r="G381" s="35">
        <v>180</v>
      </c>
      <c r="H381" s="36">
        <v>-70.239999999999995</v>
      </c>
      <c r="I381" s="37">
        <v>1.26</v>
      </c>
      <c r="J381" s="22">
        <v>21.386727969348659</v>
      </c>
      <c r="K381" s="23">
        <v>21.312140145095</v>
      </c>
      <c r="L381" s="23">
        <v>21.932219916068359</v>
      </c>
      <c r="M381" s="23">
        <v>21.715581098339719</v>
      </c>
      <c r="N381" s="23">
        <v>21.62988373350009</v>
      </c>
      <c r="O381" s="23">
        <v>21.403331771995571</v>
      </c>
      <c r="P381" s="23">
        <v>21.655481553578049</v>
      </c>
      <c r="Q381" s="23">
        <v>21.499102150537631</v>
      </c>
      <c r="R381" s="23">
        <v>21.58913993796752</v>
      </c>
      <c r="S381" s="23">
        <v>21.770503225806451</v>
      </c>
      <c r="T381" s="23">
        <v>21.548097062579821</v>
      </c>
      <c r="U381" s="23">
        <v>21.430412186379929</v>
      </c>
      <c r="V381" s="38">
        <v>21.57271839593307</v>
      </c>
      <c r="W381" s="39">
        <v>108</v>
      </c>
      <c r="X381" s="24">
        <v>0.9</v>
      </c>
    </row>
    <row r="382" spans="1:24" ht="13.9" customHeight="1" x14ac:dyDescent="0.2">
      <c r="A382" s="10">
        <v>33055010</v>
      </c>
      <c r="B382" s="35" t="s">
        <v>445</v>
      </c>
      <c r="C382" s="35" t="s">
        <v>845</v>
      </c>
      <c r="D382" s="35" t="s">
        <v>160</v>
      </c>
      <c r="E382" s="21" t="s">
        <v>92</v>
      </c>
      <c r="F382" s="35">
        <v>3</v>
      </c>
      <c r="G382" s="35">
        <v>167</v>
      </c>
      <c r="H382" s="36">
        <v>-69.803333329999987</v>
      </c>
      <c r="I382" s="37">
        <v>4.4947222199999999</v>
      </c>
      <c r="J382" s="22">
        <v>22.168095846256769</v>
      </c>
      <c r="K382" s="23">
        <v>22.60403867907316</v>
      </c>
      <c r="L382" s="23">
        <v>23.06233298097494</v>
      </c>
      <c r="M382" s="23">
        <v>23.000853690370931</v>
      </c>
      <c r="N382" s="23">
        <v>22.777162960427699</v>
      </c>
      <c r="O382" s="23">
        <v>22.390149248452691</v>
      </c>
      <c r="P382" s="23">
        <v>22.124788357434191</v>
      </c>
      <c r="Q382" s="23">
        <v>22.115021493152749</v>
      </c>
      <c r="R382" s="23">
        <v>22.363032714412022</v>
      </c>
      <c r="S382" s="23">
        <v>22.52058403517136</v>
      </c>
      <c r="T382" s="23">
        <v>22.853527332182502</v>
      </c>
      <c r="U382" s="23">
        <v>22.621019681821039</v>
      </c>
      <c r="V382" s="38">
        <v>22.550050584977502</v>
      </c>
      <c r="W382" s="39">
        <v>295</v>
      </c>
      <c r="X382" s="24">
        <v>0.81944444444444442</v>
      </c>
    </row>
    <row r="383" spans="1:24" ht="13.9" customHeight="1" x14ac:dyDescent="0.2">
      <c r="A383" s="10">
        <v>34015010</v>
      </c>
      <c r="B383" s="35" t="s">
        <v>471</v>
      </c>
      <c r="C383" s="35" t="s">
        <v>846</v>
      </c>
      <c r="D383" s="35" t="s">
        <v>160</v>
      </c>
      <c r="E383" s="21" t="s">
        <v>92</v>
      </c>
      <c r="F383" s="35">
        <v>3</v>
      </c>
      <c r="G383" s="35">
        <v>171</v>
      </c>
      <c r="H383" s="36">
        <v>-70.930111109999999</v>
      </c>
      <c r="I383" s="37">
        <v>4.5539444400000004</v>
      </c>
      <c r="J383" s="22">
        <v>21.119949772971331</v>
      </c>
      <c r="K383" s="23">
        <v>21.515554516768891</v>
      </c>
      <c r="L383" s="23">
        <v>22.156281251908968</v>
      </c>
      <c r="M383" s="23">
        <v>22.556327312534201</v>
      </c>
      <c r="N383" s="23">
        <v>22.49121340771746</v>
      </c>
      <c r="O383" s="23">
        <v>22.088431431959759</v>
      </c>
      <c r="P383" s="23">
        <v>21.690749245193071</v>
      </c>
      <c r="Q383" s="23">
        <v>21.829845625062539</v>
      </c>
      <c r="R383" s="23">
        <v>22.055755336617409</v>
      </c>
      <c r="S383" s="23">
        <v>22.21844275065709</v>
      </c>
      <c r="T383" s="23">
        <v>22.463024433019331</v>
      </c>
      <c r="U383" s="23">
        <v>21.941727580910008</v>
      </c>
      <c r="V383" s="38">
        <v>22.010608555443341</v>
      </c>
      <c r="W383" s="39">
        <v>341</v>
      </c>
      <c r="X383" s="24">
        <v>0.94722222222222219</v>
      </c>
    </row>
    <row r="384" spans="1:24" ht="13.5" customHeight="1" thickBot="1" x14ac:dyDescent="0.25">
      <c r="A384" s="25">
        <v>38015030</v>
      </c>
      <c r="B384" s="26" t="s">
        <v>444</v>
      </c>
      <c r="C384" s="26" t="s">
        <v>91</v>
      </c>
      <c r="D384" s="26" t="s">
        <v>93</v>
      </c>
      <c r="E384" s="26" t="s">
        <v>92</v>
      </c>
      <c r="F384" s="26">
        <v>3</v>
      </c>
      <c r="G384" s="26">
        <v>57</v>
      </c>
      <c r="H384" s="27">
        <v>-67.491222220000012</v>
      </c>
      <c r="I384" s="28">
        <v>6.1824361100000003</v>
      </c>
      <c r="J384" s="29">
        <v>23.443766125835861</v>
      </c>
      <c r="K384" s="30">
        <v>24.164323934092071</v>
      </c>
      <c r="L384" s="30">
        <v>24.873618835743429</v>
      </c>
      <c r="M384" s="30">
        <v>24.74516912972086</v>
      </c>
      <c r="N384" s="30">
        <v>24.25801717958225</v>
      </c>
      <c r="O384" s="30">
        <v>23.56755555555555</v>
      </c>
      <c r="P384" s="30">
        <v>23.3590368608799</v>
      </c>
      <c r="Q384" s="30">
        <v>23.54566184649611</v>
      </c>
      <c r="R384" s="30">
        <v>23.916765755053511</v>
      </c>
      <c r="S384" s="30">
        <v>24.089849462365589</v>
      </c>
      <c r="T384" s="30">
        <v>24.321463054187191</v>
      </c>
      <c r="U384" s="30">
        <v>23.950756395995541</v>
      </c>
      <c r="V384" s="40">
        <v>24.019665344625651</v>
      </c>
      <c r="W384" s="41">
        <v>353</v>
      </c>
      <c r="X384" s="31">
        <v>0.98055555555555551</v>
      </c>
    </row>
  </sheetData>
  <autoFilter ref="A2:X345" xr:uid="{00000000-0009-0000-0000-000001000000}"/>
  <mergeCells count="1">
    <mergeCell ref="W1:X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6"/>
  <dimension ref="A1:AU358"/>
  <sheetViews>
    <sheetView topLeftCell="I1" workbookViewId="0">
      <selection activeCell="A6" sqref="A6"/>
    </sheetView>
  </sheetViews>
  <sheetFormatPr baseColWidth="10" defaultRowHeight="12.75" x14ac:dyDescent="0.2"/>
  <sheetData>
    <row r="1" spans="1:47" ht="14.45" customHeight="1" x14ac:dyDescent="0.25">
      <c r="A1" s="123" t="s">
        <v>847</v>
      </c>
      <c r="B1" s="123" t="s">
        <v>7</v>
      </c>
      <c r="C1" s="123" t="s">
        <v>10</v>
      </c>
      <c r="D1" s="123" t="s">
        <v>9</v>
      </c>
      <c r="E1" s="123" t="s">
        <v>11</v>
      </c>
      <c r="F1" s="123" t="s">
        <v>15</v>
      </c>
      <c r="G1" s="123" t="s">
        <v>848</v>
      </c>
      <c r="H1" s="125" t="s">
        <v>849</v>
      </c>
      <c r="I1" s="126"/>
      <c r="J1" s="127"/>
      <c r="K1" s="125" t="s">
        <v>850</v>
      </c>
      <c r="L1" s="126"/>
      <c r="M1" s="127"/>
      <c r="N1" s="125" t="s">
        <v>851</v>
      </c>
      <c r="O1" s="126"/>
      <c r="P1" s="127"/>
      <c r="Q1" s="125" t="s">
        <v>852</v>
      </c>
      <c r="R1" s="126"/>
      <c r="S1" s="127"/>
      <c r="T1" s="125" t="s">
        <v>853</v>
      </c>
      <c r="U1" s="126"/>
      <c r="V1" s="127"/>
      <c r="W1" s="125" t="s">
        <v>854</v>
      </c>
      <c r="X1" s="126"/>
      <c r="Y1" s="127"/>
      <c r="Z1" s="125" t="s">
        <v>855</v>
      </c>
      <c r="AA1" s="126"/>
      <c r="AB1" s="127"/>
      <c r="AC1" s="125" t="s">
        <v>856</v>
      </c>
      <c r="AD1" s="126"/>
      <c r="AE1" s="127"/>
      <c r="AF1" s="125" t="s">
        <v>857</v>
      </c>
      <c r="AG1" s="126"/>
      <c r="AH1" s="127"/>
      <c r="AI1" s="125" t="s">
        <v>858</v>
      </c>
      <c r="AJ1" s="126"/>
      <c r="AK1" s="127"/>
      <c r="AL1" s="125" t="s">
        <v>859</v>
      </c>
      <c r="AM1" s="126"/>
      <c r="AN1" s="127"/>
      <c r="AO1" s="125" t="s">
        <v>860</v>
      </c>
      <c r="AP1" s="126"/>
      <c r="AQ1" s="127"/>
      <c r="AS1" s="56" t="s">
        <v>861</v>
      </c>
      <c r="AT1" s="56" t="s">
        <v>862</v>
      </c>
      <c r="AU1" s="56" t="s">
        <v>863</v>
      </c>
    </row>
    <row r="2" spans="1:47" ht="14.45" customHeight="1" x14ac:dyDescent="0.25">
      <c r="A2" s="124"/>
      <c r="B2" s="124"/>
      <c r="C2" s="124"/>
      <c r="D2" s="124"/>
      <c r="E2" s="124"/>
      <c r="F2" s="124"/>
      <c r="G2" s="124"/>
      <c r="H2" s="43" t="s">
        <v>864</v>
      </c>
      <c r="I2" s="43" t="s">
        <v>3</v>
      </c>
      <c r="J2" s="43" t="s">
        <v>865</v>
      </c>
      <c r="K2" s="43" t="s">
        <v>864</v>
      </c>
      <c r="L2" s="43" t="s">
        <v>3</v>
      </c>
      <c r="M2" s="43" t="s">
        <v>865</v>
      </c>
      <c r="N2" s="43" t="s">
        <v>864</v>
      </c>
      <c r="O2" s="43" t="s">
        <v>3</v>
      </c>
      <c r="P2" s="43" t="s">
        <v>865</v>
      </c>
      <c r="Q2" s="43" t="s">
        <v>864</v>
      </c>
      <c r="R2" s="43" t="s">
        <v>3</v>
      </c>
      <c r="S2" s="43" t="s">
        <v>865</v>
      </c>
      <c r="T2" s="43" t="s">
        <v>864</v>
      </c>
      <c r="U2" s="43" t="s">
        <v>3</v>
      </c>
      <c r="V2" s="43" t="s">
        <v>865</v>
      </c>
      <c r="W2" s="43" t="s">
        <v>864</v>
      </c>
      <c r="X2" s="43" t="s">
        <v>3</v>
      </c>
      <c r="Y2" s="43" t="s">
        <v>865</v>
      </c>
      <c r="Z2" s="43" t="s">
        <v>864</v>
      </c>
      <c r="AA2" s="43" t="s">
        <v>3</v>
      </c>
      <c r="AB2" s="43" t="s">
        <v>865</v>
      </c>
      <c r="AC2" s="43" t="s">
        <v>864</v>
      </c>
      <c r="AD2" s="43" t="s">
        <v>3</v>
      </c>
      <c r="AE2" s="43" t="s">
        <v>865</v>
      </c>
      <c r="AF2" s="43" t="s">
        <v>864</v>
      </c>
      <c r="AG2" s="43" t="s">
        <v>3</v>
      </c>
      <c r="AH2" s="43" t="s">
        <v>865</v>
      </c>
      <c r="AI2" s="43" t="s">
        <v>864</v>
      </c>
      <c r="AJ2" s="43" t="s">
        <v>3</v>
      </c>
      <c r="AK2" s="43" t="s">
        <v>865</v>
      </c>
      <c r="AL2" s="43" t="s">
        <v>864</v>
      </c>
      <c r="AM2" s="43" t="s">
        <v>3</v>
      </c>
      <c r="AN2" s="43" t="s">
        <v>865</v>
      </c>
      <c r="AO2" s="43" t="s">
        <v>864</v>
      </c>
      <c r="AP2" s="43" t="s">
        <v>3</v>
      </c>
      <c r="AQ2" s="43" t="s">
        <v>865</v>
      </c>
      <c r="AS2" s="57">
        <v>1</v>
      </c>
      <c r="AT2" s="58" t="s">
        <v>849</v>
      </c>
      <c r="AU2" s="59">
        <v>31</v>
      </c>
    </row>
    <row r="3" spans="1:47" ht="14.45" customHeight="1" x14ac:dyDescent="0.25">
      <c r="A3" s="42">
        <v>15075030</v>
      </c>
      <c r="B3" s="42" t="s">
        <v>866</v>
      </c>
      <c r="C3" s="42">
        <v>11.78105556</v>
      </c>
      <c r="D3" s="42">
        <v>-72.463499999999996</v>
      </c>
      <c r="E3" s="42">
        <v>1</v>
      </c>
      <c r="F3" s="42" t="s">
        <v>199</v>
      </c>
      <c r="G3" s="42" t="s">
        <v>40</v>
      </c>
      <c r="H3" s="44">
        <v>17.8</v>
      </c>
      <c r="I3" s="42">
        <v>1994</v>
      </c>
      <c r="J3" s="42">
        <v>29</v>
      </c>
      <c r="K3" s="44">
        <v>18.399999999999999</v>
      </c>
      <c r="L3" s="42">
        <v>1994</v>
      </c>
      <c r="M3" s="42">
        <v>15</v>
      </c>
      <c r="N3" s="44">
        <v>17.600000000000001</v>
      </c>
      <c r="O3" s="42">
        <v>1986</v>
      </c>
      <c r="P3" s="42">
        <v>1</v>
      </c>
      <c r="Q3" s="44">
        <v>18</v>
      </c>
      <c r="R3" s="42">
        <v>1994</v>
      </c>
      <c r="S3" s="42">
        <v>17</v>
      </c>
      <c r="T3" s="44">
        <v>19.399999999999999</v>
      </c>
      <c r="U3" s="42">
        <v>1994</v>
      </c>
      <c r="V3" s="42">
        <v>22</v>
      </c>
      <c r="W3" s="44">
        <v>17.600000000000001</v>
      </c>
      <c r="X3" s="42">
        <v>1994</v>
      </c>
      <c r="Y3" s="42">
        <v>8</v>
      </c>
      <c r="Z3" s="44">
        <v>17.600000000000001</v>
      </c>
      <c r="AA3" s="42">
        <v>1994</v>
      </c>
      <c r="AB3" s="42">
        <v>27</v>
      </c>
      <c r="AC3" s="44">
        <v>18.399999999999999</v>
      </c>
      <c r="AD3" s="42">
        <v>1986</v>
      </c>
      <c r="AE3" s="42">
        <v>29</v>
      </c>
      <c r="AF3" s="44">
        <v>17.8</v>
      </c>
      <c r="AG3" s="42">
        <v>1986</v>
      </c>
      <c r="AH3" s="42">
        <v>7</v>
      </c>
      <c r="AI3" s="44">
        <v>18</v>
      </c>
      <c r="AJ3" s="42">
        <v>1986</v>
      </c>
      <c r="AK3" s="42">
        <v>15</v>
      </c>
      <c r="AL3" s="44">
        <v>17.399999999999999</v>
      </c>
      <c r="AM3" s="42">
        <v>1986</v>
      </c>
      <c r="AN3" s="42">
        <v>30</v>
      </c>
      <c r="AO3" s="44">
        <v>17.600000000000001</v>
      </c>
      <c r="AP3" s="42">
        <v>1986</v>
      </c>
      <c r="AQ3" s="42">
        <v>17</v>
      </c>
      <c r="AS3" s="57">
        <v>2</v>
      </c>
      <c r="AT3" s="58" t="s">
        <v>850</v>
      </c>
      <c r="AU3" s="59">
        <v>28</v>
      </c>
    </row>
    <row r="4" spans="1:47" ht="14.45" customHeight="1" x14ac:dyDescent="0.25">
      <c r="A4" s="42">
        <v>51035020</v>
      </c>
      <c r="B4" s="42" t="s">
        <v>867</v>
      </c>
      <c r="C4" s="42">
        <v>1.819166667</v>
      </c>
      <c r="D4" s="42">
        <v>-78.73</v>
      </c>
      <c r="E4" s="42">
        <v>1</v>
      </c>
      <c r="F4" s="42" t="s">
        <v>746</v>
      </c>
      <c r="G4" s="42" t="s">
        <v>82</v>
      </c>
      <c r="H4" s="44">
        <v>19</v>
      </c>
      <c r="I4" s="42">
        <v>2012</v>
      </c>
      <c r="J4" s="42">
        <v>8</v>
      </c>
      <c r="K4" s="44">
        <v>19</v>
      </c>
      <c r="L4" s="42">
        <v>2011</v>
      </c>
      <c r="M4" s="42">
        <v>4</v>
      </c>
      <c r="N4" s="44">
        <v>19.8</v>
      </c>
      <c r="O4" s="42">
        <v>1995</v>
      </c>
      <c r="P4" s="42">
        <v>16</v>
      </c>
      <c r="Q4" s="44">
        <v>19.8</v>
      </c>
      <c r="R4" s="42">
        <v>1995</v>
      </c>
      <c r="S4" s="42">
        <v>17</v>
      </c>
      <c r="T4" s="44">
        <v>19.3</v>
      </c>
      <c r="U4" s="42">
        <v>1995</v>
      </c>
      <c r="V4" s="42">
        <v>19</v>
      </c>
      <c r="W4" s="44">
        <v>19</v>
      </c>
      <c r="X4" s="42">
        <v>1997</v>
      </c>
      <c r="Y4" s="42">
        <v>17</v>
      </c>
      <c r="Z4" s="44">
        <v>19.5</v>
      </c>
      <c r="AA4" s="42">
        <v>2002</v>
      </c>
      <c r="AB4" s="42">
        <v>17</v>
      </c>
      <c r="AC4" s="44">
        <v>19</v>
      </c>
      <c r="AD4" s="42">
        <v>1994</v>
      </c>
      <c r="AE4" s="42">
        <v>2</v>
      </c>
      <c r="AF4" s="44">
        <v>19</v>
      </c>
      <c r="AG4" s="42">
        <v>2000</v>
      </c>
      <c r="AH4" s="42">
        <v>4</v>
      </c>
      <c r="AI4" s="44">
        <v>20</v>
      </c>
      <c r="AJ4" s="42">
        <v>1998</v>
      </c>
      <c r="AK4" s="42">
        <v>15</v>
      </c>
      <c r="AL4" s="44">
        <v>19.2</v>
      </c>
      <c r="AM4" s="42">
        <v>2013</v>
      </c>
      <c r="AN4" s="42">
        <v>20</v>
      </c>
      <c r="AO4" s="44">
        <v>20</v>
      </c>
      <c r="AP4" s="42">
        <v>1994</v>
      </c>
      <c r="AQ4" s="42">
        <v>14</v>
      </c>
      <c r="AS4" s="57">
        <v>3</v>
      </c>
      <c r="AT4" s="58" t="s">
        <v>851</v>
      </c>
      <c r="AU4" s="59">
        <v>31</v>
      </c>
    </row>
    <row r="5" spans="1:47" ht="14.45" customHeight="1" x14ac:dyDescent="0.25">
      <c r="A5" s="42">
        <v>14015080</v>
      </c>
      <c r="B5" s="42" t="s">
        <v>868</v>
      </c>
      <c r="C5" s="42">
        <v>10.44725</v>
      </c>
      <c r="D5" s="42">
        <v>-75.516027780000002</v>
      </c>
      <c r="E5" s="42">
        <v>2</v>
      </c>
      <c r="F5" s="42" t="s">
        <v>869</v>
      </c>
      <c r="G5" s="42" t="s">
        <v>870</v>
      </c>
      <c r="H5" s="44">
        <v>20.8</v>
      </c>
      <c r="I5" s="42">
        <v>2000</v>
      </c>
      <c r="J5" s="42">
        <v>19</v>
      </c>
      <c r="K5" s="44">
        <v>20.5</v>
      </c>
      <c r="L5" s="42">
        <v>2001</v>
      </c>
      <c r="M5" s="42">
        <v>23</v>
      </c>
      <c r="N5" s="44">
        <v>20.399999999999999</v>
      </c>
      <c r="O5" s="42">
        <v>2002</v>
      </c>
      <c r="P5" s="42">
        <v>1</v>
      </c>
      <c r="Q5" s="44">
        <v>20.8</v>
      </c>
      <c r="R5" s="42">
        <v>1981</v>
      </c>
      <c r="S5" s="42">
        <v>20</v>
      </c>
      <c r="T5" s="44">
        <v>20.2</v>
      </c>
      <c r="U5" s="42">
        <v>1981</v>
      </c>
      <c r="V5" s="42">
        <v>26</v>
      </c>
      <c r="W5" s="44">
        <v>21.6</v>
      </c>
      <c r="X5" s="42">
        <v>1981</v>
      </c>
      <c r="Y5" s="42">
        <v>1</v>
      </c>
      <c r="Z5" s="44">
        <v>20.399999999999999</v>
      </c>
      <c r="AA5" s="42">
        <v>2004</v>
      </c>
      <c r="AB5" s="42">
        <v>4</v>
      </c>
      <c r="AC5" s="44">
        <v>20.2</v>
      </c>
      <c r="AD5" s="42">
        <v>1981</v>
      </c>
      <c r="AE5" s="42">
        <v>9</v>
      </c>
      <c r="AF5" s="44">
        <v>21.6</v>
      </c>
      <c r="AG5" s="42">
        <v>1984</v>
      </c>
      <c r="AH5" s="42">
        <v>30</v>
      </c>
      <c r="AI5" s="44">
        <v>21</v>
      </c>
      <c r="AJ5" s="42">
        <v>1985</v>
      </c>
      <c r="AK5" s="42">
        <v>22</v>
      </c>
      <c r="AL5" s="44">
        <v>21.4</v>
      </c>
      <c r="AM5" s="42">
        <v>1984</v>
      </c>
      <c r="AN5" s="42">
        <v>9</v>
      </c>
      <c r="AO5" s="44">
        <v>21.6</v>
      </c>
      <c r="AP5" s="42">
        <v>1991</v>
      </c>
      <c r="AQ5" s="42">
        <v>24</v>
      </c>
      <c r="AS5" s="57">
        <v>4</v>
      </c>
      <c r="AT5" s="58" t="s">
        <v>852</v>
      </c>
      <c r="AU5" s="59">
        <v>30</v>
      </c>
    </row>
    <row r="6" spans="1:47" ht="14.45" customHeight="1" x14ac:dyDescent="0.25">
      <c r="A6" s="42">
        <v>17015010</v>
      </c>
      <c r="B6" s="42" t="s">
        <v>871</v>
      </c>
      <c r="C6" s="42">
        <v>12.587849</v>
      </c>
      <c r="D6" s="42">
        <v>-81.701116999999996</v>
      </c>
      <c r="E6" s="42">
        <v>3</v>
      </c>
      <c r="F6" s="42" t="s">
        <v>872</v>
      </c>
      <c r="G6" s="42" t="s">
        <v>873</v>
      </c>
      <c r="H6" s="44">
        <v>21.2</v>
      </c>
      <c r="I6" s="42">
        <v>1983</v>
      </c>
      <c r="J6" s="42">
        <v>17</v>
      </c>
      <c r="K6" s="44">
        <v>21.7</v>
      </c>
      <c r="L6" s="42">
        <v>2017</v>
      </c>
      <c r="M6" s="42">
        <v>16</v>
      </c>
      <c r="N6" s="44">
        <v>21.8</v>
      </c>
      <c r="O6" s="42">
        <v>1981</v>
      </c>
      <c r="P6" s="42">
        <v>29</v>
      </c>
      <c r="Q6" s="44">
        <v>22.8</v>
      </c>
      <c r="R6" s="42">
        <v>1989</v>
      </c>
      <c r="S6" s="42">
        <v>23</v>
      </c>
      <c r="T6" s="44">
        <v>21.9</v>
      </c>
      <c r="U6" s="42">
        <v>2004</v>
      </c>
      <c r="V6" s="42">
        <v>19</v>
      </c>
      <c r="W6" s="44">
        <v>21.8</v>
      </c>
      <c r="X6" s="42">
        <v>2004</v>
      </c>
      <c r="Y6" s="42">
        <v>7</v>
      </c>
      <c r="Z6" s="44">
        <v>21.1</v>
      </c>
      <c r="AA6" s="42">
        <v>2012</v>
      </c>
      <c r="AB6" s="42">
        <v>7</v>
      </c>
      <c r="AC6" s="44">
        <v>21</v>
      </c>
      <c r="AD6" s="42">
        <v>1986</v>
      </c>
      <c r="AE6" s="42">
        <v>13</v>
      </c>
      <c r="AF6" s="44">
        <v>21.2</v>
      </c>
      <c r="AG6" s="42">
        <v>1986</v>
      </c>
      <c r="AH6" s="42">
        <v>22</v>
      </c>
      <c r="AI6" s="44">
        <v>21.1</v>
      </c>
      <c r="AJ6" s="42">
        <v>1992</v>
      </c>
      <c r="AK6" s="42">
        <v>21</v>
      </c>
      <c r="AL6" s="44">
        <v>21.8</v>
      </c>
      <c r="AM6" s="42">
        <v>1985</v>
      </c>
      <c r="AN6" s="42">
        <v>19</v>
      </c>
      <c r="AO6" s="44">
        <v>21.4</v>
      </c>
      <c r="AP6" s="42">
        <v>1981</v>
      </c>
      <c r="AQ6" s="42">
        <v>10</v>
      </c>
      <c r="AS6" s="57">
        <v>5</v>
      </c>
      <c r="AT6" s="58" t="s">
        <v>853</v>
      </c>
      <c r="AU6" s="59">
        <v>31</v>
      </c>
    </row>
    <row r="7" spans="1:47" ht="14.45" customHeight="1" x14ac:dyDescent="0.25">
      <c r="A7" s="42">
        <v>12045010</v>
      </c>
      <c r="B7" s="42" t="s">
        <v>874</v>
      </c>
      <c r="C7" s="42">
        <v>8.846944444</v>
      </c>
      <c r="D7" s="42">
        <v>-76.431944439999995</v>
      </c>
      <c r="E7" s="42">
        <v>4</v>
      </c>
      <c r="F7" s="42" t="s">
        <v>117</v>
      </c>
      <c r="G7" s="42" t="s">
        <v>57</v>
      </c>
      <c r="H7" s="44">
        <v>18</v>
      </c>
      <c r="I7" s="42">
        <v>2023</v>
      </c>
      <c r="J7" s="42">
        <v>29</v>
      </c>
      <c r="K7" s="44">
        <v>17.8</v>
      </c>
      <c r="L7" s="42">
        <v>2023</v>
      </c>
      <c r="M7" s="42">
        <v>3</v>
      </c>
      <c r="N7" s="44">
        <v>18</v>
      </c>
      <c r="O7" s="42">
        <v>2008</v>
      </c>
      <c r="P7" s="42">
        <v>5</v>
      </c>
      <c r="Q7" s="44">
        <v>18.8</v>
      </c>
      <c r="R7" s="42">
        <v>1991</v>
      </c>
      <c r="S7" s="42">
        <v>16</v>
      </c>
      <c r="T7" s="44">
        <v>18</v>
      </c>
      <c r="U7" s="42">
        <v>1991</v>
      </c>
      <c r="V7" s="42">
        <v>24</v>
      </c>
      <c r="W7" s="44">
        <v>18</v>
      </c>
      <c r="X7" s="42">
        <v>1990</v>
      </c>
      <c r="Y7" s="42">
        <v>2</v>
      </c>
      <c r="Z7" s="44">
        <v>18</v>
      </c>
      <c r="AA7" s="42">
        <v>2001</v>
      </c>
      <c r="AB7" s="42">
        <v>26</v>
      </c>
      <c r="AC7" s="44">
        <v>17.2</v>
      </c>
      <c r="AD7" s="42">
        <v>1991</v>
      </c>
      <c r="AE7" s="42">
        <v>11</v>
      </c>
      <c r="AF7" s="44">
        <v>17.600000000000001</v>
      </c>
      <c r="AG7" s="42">
        <v>2002</v>
      </c>
      <c r="AH7" s="42">
        <v>24</v>
      </c>
      <c r="AI7" s="44">
        <v>17.600000000000001</v>
      </c>
      <c r="AJ7" s="42">
        <v>2002</v>
      </c>
      <c r="AK7" s="42">
        <v>4</v>
      </c>
      <c r="AL7" s="44">
        <v>18.2</v>
      </c>
      <c r="AM7" s="42">
        <v>1989</v>
      </c>
      <c r="AN7" s="42">
        <v>1</v>
      </c>
      <c r="AO7" s="44">
        <v>18</v>
      </c>
      <c r="AP7" s="42">
        <v>1990</v>
      </c>
      <c r="AQ7" s="42">
        <v>8</v>
      </c>
      <c r="AS7" s="57">
        <v>6</v>
      </c>
      <c r="AT7" s="58" t="s">
        <v>854</v>
      </c>
      <c r="AU7" s="59">
        <v>30</v>
      </c>
    </row>
    <row r="8" spans="1:47" ht="14.45" customHeight="1" x14ac:dyDescent="0.25">
      <c r="A8" s="42">
        <v>15015050</v>
      </c>
      <c r="B8" s="42" t="s">
        <v>875</v>
      </c>
      <c r="C8" s="42">
        <v>11.114694399999999</v>
      </c>
      <c r="D8" s="42">
        <v>-74.231027777999998</v>
      </c>
      <c r="E8" s="42">
        <v>4</v>
      </c>
      <c r="F8" s="42" t="s">
        <v>32</v>
      </c>
      <c r="G8" s="42" t="s">
        <v>31</v>
      </c>
      <c r="H8" s="44">
        <v>18.8</v>
      </c>
      <c r="I8" s="42">
        <v>1995</v>
      </c>
      <c r="J8" s="42">
        <v>12</v>
      </c>
      <c r="K8" s="44">
        <v>19.8</v>
      </c>
      <c r="L8" s="42">
        <v>2001</v>
      </c>
      <c r="M8" s="42">
        <v>23</v>
      </c>
      <c r="N8" s="44">
        <v>20.3</v>
      </c>
      <c r="O8" s="42">
        <v>1982</v>
      </c>
      <c r="P8" s="42">
        <v>4</v>
      </c>
      <c r="Q8" s="44">
        <v>21.6</v>
      </c>
      <c r="R8" s="42">
        <v>1977</v>
      </c>
      <c r="S8" s="42">
        <v>4</v>
      </c>
      <c r="T8" s="44">
        <v>20.8</v>
      </c>
      <c r="U8" s="42">
        <v>2008</v>
      </c>
      <c r="V8" s="42">
        <v>28</v>
      </c>
      <c r="W8" s="44">
        <v>22.2</v>
      </c>
      <c r="X8" s="42">
        <v>2007</v>
      </c>
      <c r="Y8" s="42">
        <v>10</v>
      </c>
      <c r="Z8" s="44">
        <v>20.6</v>
      </c>
      <c r="AA8" s="42">
        <v>1985</v>
      </c>
      <c r="AB8" s="42">
        <v>9</v>
      </c>
      <c r="AC8" s="44">
        <v>20.6</v>
      </c>
      <c r="AD8" s="42">
        <v>1978</v>
      </c>
      <c r="AE8" s="42">
        <v>2</v>
      </c>
      <c r="AF8" s="44">
        <v>21</v>
      </c>
      <c r="AG8" s="42">
        <v>1999</v>
      </c>
      <c r="AH8" s="42">
        <v>27</v>
      </c>
      <c r="AI8" s="44">
        <v>20.8</v>
      </c>
      <c r="AJ8" s="42">
        <v>1999</v>
      </c>
      <c r="AK8" s="42">
        <v>8</v>
      </c>
      <c r="AL8" s="44">
        <v>20.2</v>
      </c>
      <c r="AM8" s="42">
        <v>1985</v>
      </c>
      <c r="AN8" s="42">
        <v>24</v>
      </c>
      <c r="AO8" s="44">
        <v>18.2</v>
      </c>
      <c r="AP8" s="42">
        <v>1994</v>
      </c>
      <c r="AQ8" s="42">
        <v>30</v>
      </c>
      <c r="AS8" s="57">
        <v>7</v>
      </c>
      <c r="AT8" s="58" t="s">
        <v>855</v>
      </c>
      <c r="AU8" s="59">
        <v>31</v>
      </c>
    </row>
    <row r="9" spans="1:47" ht="14.45" customHeight="1" x14ac:dyDescent="0.25">
      <c r="A9" s="42">
        <v>15035020</v>
      </c>
      <c r="B9" s="42" t="s">
        <v>876</v>
      </c>
      <c r="C9" s="42">
        <v>11.2525</v>
      </c>
      <c r="D9" s="42">
        <v>-73.411388889999998</v>
      </c>
      <c r="E9" s="42">
        <v>5</v>
      </c>
      <c r="F9" s="42" t="s">
        <v>877</v>
      </c>
      <c r="G9" s="42" t="s">
        <v>40</v>
      </c>
      <c r="H9" s="44">
        <v>16</v>
      </c>
      <c r="I9" s="42">
        <v>2007</v>
      </c>
      <c r="J9" s="42">
        <v>19</v>
      </c>
      <c r="K9" s="44">
        <v>14.4</v>
      </c>
      <c r="L9" s="42">
        <v>2008</v>
      </c>
      <c r="M9" s="42">
        <v>5</v>
      </c>
      <c r="N9" s="44">
        <v>15</v>
      </c>
      <c r="O9" s="42">
        <v>2008</v>
      </c>
      <c r="P9" s="42">
        <v>10</v>
      </c>
      <c r="Q9" s="44">
        <v>17</v>
      </c>
      <c r="R9" s="42">
        <v>1997</v>
      </c>
      <c r="S9" s="42">
        <v>4</v>
      </c>
      <c r="T9" s="44">
        <v>17.600000000000001</v>
      </c>
      <c r="U9" s="42">
        <v>2008</v>
      </c>
      <c r="V9" s="42">
        <v>24</v>
      </c>
      <c r="W9" s="44">
        <v>18.2</v>
      </c>
      <c r="X9" s="42">
        <v>1999</v>
      </c>
      <c r="Y9" s="42">
        <v>18</v>
      </c>
      <c r="Z9" s="44">
        <v>18</v>
      </c>
      <c r="AA9" s="42">
        <v>1998</v>
      </c>
      <c r="AB9" s="42">
        <v>19</v>
      </c>
      <c r="AC9" s="44">
        <v>17</v>
      </c>
      <c r="AD9" s="42">
        <v>1998</v>
      </c>
      <c r="AE9" s="42">
        <v>6</v>
      </c>
      <c r="AF9" s="44">
        <v>16</v>
      </c>
      <c r="AG9" s="42">
        <v>1998</v>
      </c>
      <c r="AH9" s="42">
        <v>26</v>
      </c>
      <c r="AI9" s="44">
        <v>17</v>
      </c>
      <c r="AJ9" s="42">
        <v>1994</v>
      </c>
      <c r="AK9" s="42">
        <v>23</v>
      </c>
      <c r="AL9" s="44">
        <v>16.8</v>
      </c>
      <c r="AM9" s="42">
        <v>1994</v>
      </c>
      <c r="AN9" s="42">
        <v>7</v>
      </c>
      <c r="AO9" s="44">
        <v>15</v>
      </c>
      <c r="AP9" s="42">
        <v>2006</v>
      </c>
      <c r="AQ9" s="42">
        <v>15</v>
      </c>
      <c r="AS9" s="57">
        <v>8</v>
      </c>
      <c r="AT9" s="58" t="s">
        <v>856</v>
      </c>
      <c r="AU9" s="59">
        <v>31</v>
      </c>
    </row>
    <row r="10" spans="1:47" ht="14.45" customHeight="1" x14ac:dyDescent="0.25">
      <c r="A10" s="42">
        <v>15015120</v>
      </c>
      <c r="B10" s="42" t="s">
        <v>878</v>
      </c>
      <c r="C10" s="42">
        <v>11.223055560000001</v>
      </c>
      <c r="D10" s="42">
        <v>-74.185916669999997</v>
      </c>
      <c r="E10" s="42">
        <v>7</v>
      </c>
      <c r="F10" s="42" t="s">
        <v>32</v>
      </c>
      <c r="G10" s="42" t="s">
        <v>31</v>
      </c>
      <c r="H10" s="44">
        <v>18.399999999999999</v>
      </c>
      <c r="I10" s="42">
        <v>1987</v>
      </c>
      <c r="J10" s="42">
        <v>8</v>
      </c>
      <c r="K10" s="44">
        <v>18.2</v>
      </c>
      <c r="L10" s="42">
        <v>1989</v>
      </c>
      <c r="M10" s="42">
        <v>18</v>
      </c>
      <c r="N10" s="44">
        <v>18.600000000000001</v>
      </c>
      <c r="O10" s="42">
        <v>1992</v>
      </c>
      <c r="P10" s="42">
        <v>3</v>
      </c>
      <c r="Q10" s="44">
        <v>18.8</v>
      </c>
      <c r="R10" s="42">
        <v>1981</v>
      </c>
      <c r="S10" s="42">
        <v>28</v>
      </c>
      <c r="T10" s="44">
        <v>19.399999999999999</v>
      </c>
      <c r="U10" s="42">
        <v>1989</v>
      </c>
      <c r="V10" s="42">
        <v>26</v>
      </c>
      <c r="W10" s="44">
        <v>17.8</v>
      </c>
      <c r="X10" s="42">
        <v>1979</v>
      </c>
      <c r="Y10" s="42">
        <v>15</v>
      </c>
      <c r="Z10" s="44">
        <v>19.8</v>
      </c>
      <c r="AA10" s="42">
        <v>1979</v>
      </c>
      <c r="AB10" s="42">
        <v>4</v>
      </c>
      <c r="AC10" s="44">
        <v>20</v>
      </c>
      <c r="AD10" s="42">
        <v>1978</v>
      </c>
      <c r="AE10" s="42">
        <v>17</v>
      </c>
      <c r="AF10" s="44">
        <v>17.8</v>
      </c>
      <c r="AG10" s="42">
        <v>1989</v>
      </c>
      <c r="AH10" s="42">
        <v>26</v>
      </c>
      <c r="AI10" s="44">
        <v>20</v>
      </c>
      <c r="AJ10" s="42">
        <v>1989</v>
      </c>
      <c r="AK10" s="42">
        <v>12</v>
      </c>
      <c r="AL10" s="44">
        <v>19</v>
      </c>
      <c r="AM10" s="42">
        <v>1978</v>
      </c>
      <c r="AN10" s="42">
        <v>28</v>
      </c>
      <c r="AO10" s="44">
        <v>18.399999999999999</v>
      </c>
      <c r="AP10" s="42">
        <v>1986</v>
      </c>
      <c r="AQ10" s="42">
        <v>28</v>
      </c>
      <c r="AS10" s="57">
        <v>9</v>
      </c>
      <c r="AT10" s="58" t="s">
        <v>857</v>
      </c>
      <c r="AU10" s="59">
        <v>30</v>
      </c>
    </row>
    <row r="11" spans="1:47" ht="14.45" customHeight="1" x14ac:dyDescent="0.25">
      <c r="A11" s="42">
        <v>17025020</v>
      </c>
      <c r="B11" s="42" t="s">
        <v>879</v>
      </c>
      <c r="C11" s="42">
        <v>13.359500000000001</v>
      </c>
      <c r="D11" s="42">
        <v>-81.357721944000005</v>
      </c>
      <c r="E11" s="42">
        <v>7</v>
      </c>
      <c r="F11" s="42" t="s">
        <v>880</v>
      </c>
      <c r="G11" s="42" t="s">
        <v>873</v>
      </c>
      <c r="H11" s="44">
        <v>20.2</v>
      </c>
      <c r="I11" s="42">
        <v>2006</v>
      </c>
      <c r="J11" s="42">
        <v>7</v>
      </c>
      <c r="K11" s="44">
        <v>19.399999999999999</v>
      </c>
      <c r="L11" s="42">
        <v>1991</v>
      </c>
      <c r="M11" s="42">
        <v>9</v>
      </c>
      <c r="N11" s="44">
        <v>19.2</v>
      </c>
      <c r="O11" s="42">
        <v>1999</v>
      </c>
      <c r="P11" s="42">
        <v>2</v>
      </c>
      <c r="Q11" s="44">
        <v>21</v>
      </c>
      <c r="R11" s="42">
        <v>2003</v>
      </c>
      <c r="S11" s="42">
        <v>12</v>
      </c>
      <c r="T11" s="44">
        <v>20.8</v>
      </c>
      <c r="U11" s="42">
        <v>2011</v>
      </c>
      <c r="V11" s="42">
        <v>16</v>
      </c>
      <c r="W11" s="44">
        <v>21</v>
      </c>
      <c r="X11" s="42">
        <v>1990</v>
      </c>
      <c r="Y11" s="42">
        <v>18</v>
      </c>
      <c r="Z11" s="44">
        <v>21</v>
      </c>
      <c r="AA11" s="42">
        <v>2005</v>
      </c>
      <c r="AB11" s="42">
        <v>19</v>
      </c>
      <c r="AC11" s="44">
        <v>20.399999999999999</v>
      </c>
      <c r="AD11" s="42">
        <v>2008</v>
      </c>
      <c r="AE11" s="42">
        <v>12</v>
      </c>
      <c r="AF11" s="44">
        <v>22</v>
      </c>
      <c r="AG11" s="42">
        <v>1986</v>
      </c>
      <c r="AH11" s="42">
        <v>25</v>
      </c>
      <c r="AI11" s="44">
        <v>21.6</v>
      </c>
      <c r="AJ11" s="42">
        <v>2008</v>
      </c>
      <c r="AK11" s="42">
        <v>14</v>
      </c>
      <c r="AL11" s="44">
        <v>20.399999999999999</v>
      </c>
      <c r="AM11" s="42">
        <v>2010</v>
      </c>
      <c r="AN11" s="42">
        <v>10</v>
      </c>
      <c r="AO11" s="44">
        <v>20.2</v>
      </c>
      <c r="AP11" s="42">
        <v>2008</v>
      </c>
      <c r="AQ11" s="42">
        <v>21</v>
      </c>
      <c r="AS11" s="57">
        <v>10</v>
      </c>
      <c r="AT11" s="58" t="s">
        <v>858</v>
      </c>
      <c r="AU11" s="59">
        <v>31</v>
      </c>
    </row>
    <row r="12" spans="1:47" ht="14.45" customHeight="1" x14ac:dyDescent="0.25">
      <c r="A12" s="42">
        <v>15075501</v>
      </c>
      <c r="B12" s="42" t="s">
        <v>881</v>
      </c>
      <c r="C12" s="42">
        <v>12.224305559999999</v>
      </c>
      <c r="D12" s="42">
        <v>-71.982888889999998</v>
      </c>
      <c r="E12" s="42">
        <v>10</v>
      </c>
      <c r="F12" s="42" t="s">
        <v>707</v>
      </c>
      <c r="G12" s="42" t="s">
        <v>40</v>
      </c>
      <c r="H12" s="44">
        <v>19.8</v>
      </c>
      <c r="I12" s="42">
        <v>2025</v>
      </c>
      <c r="J12" s="42">
        <v>4</v>
      </c>
      <c r="K12" s="44">
        <v>19.600000000000001</v>
      </c>
      <c r="L12" s="42">
        <v>2017</v>
      </c>
      <c r="M12" s="42">
        <v>19</v>
      </c>
      <c r="N12" s="44">
        <v>20.2</v>
      </c>
      <c r="O12" s="42">
        <v>2025</v>
      </c>
      <c r="P12" s="42">
        <v>7</v>
      </c>
      <c r="Q12" s="44">
        <v>20.8</v>
      </c>
      <c r="R12" s="42">
        <v>2025</v>
      </c>
      <c r="S12" s="42">
        <v>3</v>
      </c>
      <c r="T12" s="44">
        <v>21.6</v>
      </c>
      <c r="U12" s="42">
        <v>2023</v>
      </c>
      <c r="V12" s="42">
        <v>19</v>
      </c>
      <c r="W12" s="44">
        <v>21.4</v>
      </c>
      <c r="X12" s="42">
        <v>2021</v>
      </c>
      <c r="Y12" s="42">
        <v>3</v>
      </c>
      <c r="Z12" s="44">
        <v>21</v>
      </c>
      <c r="AA12" s="42">
        <v>2024</v>
      </c>
      <c r="AB12" s="42">
        <v>2</v>
      </c>
      <c r="AC12" s="44">
        <v>20.8</v>
      </c>
      <c r="AD12" s="42">
        <v>2024</v>
      </c>
      <c r="AE12" s="42">
        <v>13</v>
      </c>
      <c r="AF12" s="44">
        <v>20</v>
      </c>
      <c r="AG12" s="42">
        <v>2024</v>
      </c>
      <c r="AH12" s="42">
        <v>29</v>
      </c>
      <c r="AI12" s="44">
        <v>20.8</v>
      </c>
      <c r="AJ12" s="42">
        <v>2022</v>
      </c>
      <c r="AK12" s="42">
        <v>9</v>
      </c>
      <c r="AL12" s="44">
        <v>19.399999999999999</v>
      </c>
      <c r="AM12" s="42">
        <v>2024</v>
      </c>
      <c r="AN12" s="42">
        <v>4</v>
      </c>
      <c r="AO12" s="44">
        <v>20</v>
      </c>
      <c r="AP12" s="42">
        <v>2024</v>
      </c>
      <c r="AQ12" s="42">
        <v>24</v>
      </c>
      <c r="AS12" s="57">
        <v>11</v>
      </c>
      <c r="AT12" s="58" t="s">
        <v>859</v>
      </c>
      <c r="AU12" s="59">
        <v>30</v>
      </c>
    </row>
    <row r="13" spans="1:47" ht="14.45" customHeight="1" x14ac:dyDescent="0.25">
      <c r="A13" s="42">
        <v>25025210</v>
      </c>
      <c r="B13" s="42" t="s">
        <v>882</v>
      </c>
      <c r="C13" s="42">
        <v>8.9113888889999995</v>
      </c>
      <c r="D13" s="42">
        <v>-74.457777780000001</v>
      </c>
      <c r="E13" s="42">
        <v>10</v>
      </c>
      <c r="F13" s="42" t="s">
        <v>135</v>
      </c>
      <c r="G13" s="42" t="s">
        <v>870</v>
      </c>
      <c r="H13" s="44">
        <v>19.3</v>
      </c>
      <c r="I13" s="42">
        <v>2019</v>
      </c>
      <c r="J13" s="42">
        <v>2</v>
      </c>
      <c r="K13" s="44">
        <v>19.2</v>
      </c>
      <c r="L13" s="42">
        <v>2023</v>
      </c>
      <c r="M13" s="42">
        <v>3</v>
      </c>
      <c r="N13" s="44">
        <v>20.2</v>
      </c>
      <c r="O13" s="42">
        <v>1995</v>
      </c>
      <c r="P13" s="42">
        <v>24</v>
      </c>
      <c r="Q13" s="44">
        <v>20.2</v>
      </c>
      <c r="R13" s="42">
        <v>2018</v>
      </c>
      <c r="S13" s="42">
        <v>27</v>
      </c>
      <c r="T13" s="44">
        <v>19.2</v>
      </c>
      <c r="U13" s="42">
        <v>1986</v>
      </c>
      <c r="V13" s="42">
        <v>4</v>
      </c>
      <c r="W13" s="44">
        <v>20.2</v>
      </c>
      <c r="X13" s="42">
        <v>2018</v>
      </c>
      <c r="Y13" s="42">
        <v>20</v>
      </c>
      <c r="Z13" s="44">
        <v>20</v>
      </c>
      <c r="AA13" s="42">
        <v>2019</v>
      </c>
      <c r="AB13" s="42">
        <v>27</v>
      </c>
      <c r="AC13" s="44">
        <v>19.2</v>
      </c>
      <c r="AD13" s="42">
        <v>2018</v>
      </c>
      <c r="AE13" s="42">
        <v>26</v>
      </c>
      <c r="AF13" s="44">
        <v>18.399999999999999</v>
      </c>
      <c r="AG13" s="42">
        <v>2019</v>
      </c>
      <c r="AH13" s="42">
        <v>24</v>
      </c>
      <c r="AI13" s="44">
        <v>19.100000000000001</v>
      </c>
      <c r="AJ13" s="42">
        <v>2019</v>
      </c>
      <c r="AK13" s="42">
        <v>14</v>
      </c>
      <c r="AL13" s="44">
        <v>19.2</v>
      </c>
      <c r="AM13" s="42">
        <v>2020</v>
      </c>
      <c r="AN13" s="42">
        <v>30</v>
      </c>
      <c r="AO13" s="44">
        <v>19.399999999999999</v>
      </c>
      <c r="AP13" s="42">
        <v>2019</v>
      </c>
      <c r="AQ13" s="42">
        <v>18</v>
      </c>
      <c r="AS13" s="57">
        <v>12</v>
      </c>
      <c r="AT13" s="58" t="s">
        <v>860</v>
      </c>
      <c r="AU13" s="59">
        <v>31</v>
      </c>
    </row>
    <row r="14" spans="1:47" ht="14.45" customHeight="1" x14ac:dyDescent="0.2">
      <c r="A14" s="42">
        <v>29035000</v>
      </c>
      <c r="B14" s="42" t="s">
        <v>883</v>
      </c>
      <c r="C14" s="42">
        <v>10.142583330000001</v>
      </c>
      <c r="D14" s="42">
        <v>-75.278277779999996</v>
      </c>
      <c r="E14" s="42">
        <v>10</v>
      </c>
      <c r="F14" s="42" t="s">
        <v>143</v>
      </c>
      <c r="G14" s="42" t="s">
        <v>870</v>
      </c>
      <c r="H14" s="44">
        <v>18.2</v>
      </c>
      <c r="I14" s="42">
        <v>1985</v>
      </c>
      <c r="J14" s="42">
        <v>8</v>
      </c>
      <c r="K14" s="44">
        <v>16.2</v>
      </c>
      <c r="L14" s="42">
        <v>1984</v>
      </c>
      <c r="M14" s="42">
        <v>12</v>
      </c>
      <c r="N14" s="44">
        <v>19</v>
      </c>
      <c r="O14" s="42">
        <v>1986</v>
      </c>
      <c r="P14" s="42">
        <v>30</v>
      </c>
      <c r="Q14" s="44">
        <v>18.600000000000001</v>
      </c>
      <c r="R14" s="42">
        <v>1985</v>
      </c>
      <c r="S14" s="42">
        <v>28</v>
      </c>
      <c r="T14" s="44">
        <v>18.2</v>
      </c>
      <c r="U14" s="42">
        <v>1985</v>
      </c>
      <c r="V14" s="42">
        <v>4</v>
      </c>
      <c r="W14" s="44">
        <v>21</v>
      </c>
      <c r="X14" s="42">
        <v>1980</v>
      </c>
      <c r="Y14" s="42">
        <v>23</v>
      </c>
      <c r="Z14" s="44">
        <v>20</v>
      </c>
      <c r="AA14" s="42">
        <v>2011</v>
      </c>
      <c r="AB14" s="42">
        <v>14</v>
      </c>
      <c r="AC14" s="44">
        <v>20</v>
      </c>
      <c r="AD14" s="42">
        <v>1995</v>
      </c>
      <c r="AE14" s="42">
        <v>19</v>
      </c>
      <c r="AF14" s="44">
        <v>20</v>
      </c>
      <c r="AG14" s="42">
        <v>1985</v>
      </c>
      <c r="AH14" s="42">
        <v>6</v>
      </c>
      <c r="AI14" s="44">
        <v>18.8</v>
      </c>
      <c r="AJ14" s="42">
        <v>1985</v>
      </c>
      <c r="AK14" s="42">
        <v>11</v>
      </c>
      <c r="AL14" s="44">
        <v>19</v>
      </c>
      <c r="AM14" s="42">
        <v>1985</v>
      </c>
      <c r="AN14" s="42">
        <v>9</v>
      </c>
      <c r="AO14" s="44">
        <v>18.2</v>
      </c>
      <c r="AP14" s="42">
        <v>1991</v>
      </c>
      <c r="AQ14" s="42">
        <v>22</v>
      </c>
    </row>
    <row r="15" spans="1:47" ht="14.45" customHeight="1" x14ac:dyDescent="0.2">
      <c r="A15" s="42">
        <v>29035080</v>
      </c>
      <c r="B15" s="42" t="s">
        <v>884</v>
      </c>
      <c r="C15" s="42">
        <v>10.453965999999999</v>
      </c>
      <c r="D15" s="42">
        <v>-74.954725999999994</v>
      </c>
      <c r="E15" s="42">
        <v>10</v>
      </c>
      <c r="F15" s="42" t="s">
        <v>147</v>
      </c>
      <c r="G15" s="42" t="s">
        <v>885</v>
      </c>
      <c r="H15" s="44">
        <v>18.2</v>
      </c>
      <c r="I15" s="42">
        <v>1983</v>
      </c>
      <c r="J15" s="42">
        <v>22</v>
      </c>
      <c r="K15" s="44">
        <v>19.2</v>
      </c>
      <c r="L15" s="42">
        <v>1994</v>
      </c>
      <c r="M15" s="42">
        <v>10</v>
      </c>
      <c r="N15" s="44">
        <v>18.399999999999999</v>
      </c>
      <c r="O15" s="42">
        <v>2018</v>
      </c>
      <c r="P15" s="42">
        <v>19</v>
      </c>
      <c r="Q15" s="44">
        <v>19.2</v>
      </c>
      <c r="R15" s="42">
        <v>1982</v>
      </c>
      <c r="S15" s="42">
        <v>8</v>
      </c>
      <c r="T15" s="44">
        <v>18.399999999999999</v>
      </c>
      <c r="U15" s="42">
        <v>1997</v>
      </c>
      <c r="V15" s="42">
        <v>5</v>
      </c>
      <c r="W15" s="44">
        <v>19.8</v>
      </c>
      <c r="X15" s="42">
        <v>1997</v>
      </c>
      <c r="Y15" s="42">
        <v>11</v>
      </c>
      <c r="Z15" s="44">
        <v>18.8</v>
      </c>
      <c r="AA15" s="42">
        <v>1980</v>
      </c>
      <c r="AB15" s="42">
        <v>9</v>
      </c>
      <c r="AC15" s="44">
        <v>18.600000000000001</v>
      </c>
      <c r="AD15" s="42">
        <v>1981</v>
      </c>
      <c r="AE15" s="42">
        <v>19</v>
      </c>
      <c r="AF15" s="44">
        <v>18.600000000000001</v>
      </c>
      <c r="AG15" s="42">
        <v>1998</v>
      </c>
      <c r="AH15" s="42">
        <v>13</v>
      </c>
      <c r="AI15" s="44">
        <v>19.2</v>
      </c>
      <c r="AJ15" s="42">
        <v>2001</v>
      </c>
      <c r="AK15" s="42">
        <v>21</v>
      </c>
      <c r="AL15" s="44">
        <v>19</v>
      </c>
      <c r="AM15" s="42">
        <v>1982</v>
      </c>
      <c r="AN15" s="42">
        <v>12</v>
      </c>
      <c r="AO15" s="44">
        <v>18.8</v>
      </c>
      <c r="AP15" s="42">
        <v>1985</v>
      </c>
      <c r="AQ15" s="42">
        <v>18</v>
      </c>
    </row>
    <row r="16" spans="1:47" ht="14.45" customHeight="1" x14ac:dyDescent="0.2">
      <c r="A16" s="42">
        <v>29035200</v>
      </c>
      <c r="B16" s="42" t="s">
        <v>886</v>
      </c>
      <c r="C16" s="42">
        <v>10.49</v>
      </c>
      <c r="D16" s="42">
        <v>-75.126944440000003</v>
      </c>
      <c r="E16" s="42">
        <v>10</v>
      </c>
      <c r="F16" s="42" t="s">
        <v>506</v>
      </c>
      <c r="G16" s="42" t="s">
        <v>885</v>
      </c>
      <c r="H16" s="44">
        <v>19.399999999999999</v>
      </c>
      <c r="I16" s="42">
        <v>1979</v>
      </c>
      <c r="J16" s="42">
        <v>8</v>
      </c>
      <c r="K16" s="44">
        <v>18.600000000000001</v>
      </c>
      <c r="L16" s="42">
        <v>1985</v>
      </c>
      <c r="M16" s="42">
        <v>1</v>
      </c>
      <c r="N16" s="44">
        <v>19.3</v>
      </c>
      <c r="O16" s="42">
        <v>2017</v>
      </c>
      <c r="P16" s="42">
        <v>2</v>
      </c>
      <c r="Q16" s="44">
        <v>19</v>
      </c>
      <c r="R16" s="42">
        <v>2008</v>
      </c>
      <c r="S16" s="42">
        <v>15</v>
      </c>
      <c r="T16" s="44">
        <v>20.2</v>
      </c>
      <c r="U16" s="42">
        <v>1983</v>
      </c>
      <c r="V16" s="42">
        <v>1</v>
      </c>
      <c r="W16" s="44">
        <v>20</v>
      </c>
      <c r="X16" s="42">
        <v>1978</v>
      </c>
      <c r="Y16" s="42">
        <v>30</v>
      </c>
      <c r="Z16" s="44">
        <v>19.600000000000001</v>
      </c>
      <c r="AA16" s="42">
        <v>1980</v>
      </c>
      <c r="AB16" s="42">
        <v>18</v>
      </c>
      <c r="AC16" s="44">
        <v>18.399999999999999</v>
      </c>
      <c r="AD16" s="42">
        <v>1981</v>
      </c>
      <c r="AE16" s="42">
        <v>14</v>
      </c>
      <c r="AF16" s="44">
        <v>18.600000000000001</v>
      </c>
      <c r="AG16" s="42">
        <v>1982</v>
      </c>
      <c r="AH16" s="42">
        <v>17</v>
      </c>
      <c r="AI16" s="44">
        <v>20.399999999999999</v>
      </c>
      <c r="AJ16" s="42">
        <v>2004</v>
      </c>
      <c r="AK16" s="42">
        <v>21</v>
      </c>
      <c r="AL16" s="44">
        <v>20</v>
      </c>
      <c r="AM16" s="42">
        <v>1979</v>
      </c>
      <c r="AN16" s="42">
        <v>4</v>
      </c>
      <c r="AO16" s="44">
        <v>18.899999999999999</v>
      </c>
      <c r="AP16" s="42">
        <v>2005</v>
      </c>
      <c r="AQ16" s="42">
        <v>23</v>
      </c>
    </row>
    <row r="17" spans="1:43" ht="14.45" customHeight="1" x14ac:dyDescent="0.2">
      <c r="A17" s="42">
        <v>29035040</v>
      </c>
      <c r="B17" s="42" t="s">
        <v>887</v>
      </c>
      <c r="C17" s="42">
        <v>9.9448059999999998</v>
      </c>
      <c r="D17" s="42">
        <v>-75.351561000000004</v>
      </c>
      <c r="E17" s="42">
        <v>13</v>
      </c>
      <c r="F17" s="42" t="s">
        <v>145</v>
      </c>
      <c r="G17" s="42" t="s">
        <v>870</v>
      </c>
      <c r="H17" s="44">
        <v>16</v>
      </c>
      <c r="I17" s="42">
        <v>1992</v>
      </c>
      <c r="J17" s="42">
        <v>31</v>
      </c>
      <c r="K17" s="44">
        <v>16.600000000000001</v>
      </c>
      <c r="L17" s="42">
        <v>1985</v>
      </c>
      <c r="M17" s="42">
        <v>9</v>
      </c>
      <c r="N17" s="44">
        <v>17.600000000000001</v>
      </c>
      <c r="O17" s="42">
        <v>1988</v>
      </c>
      <c r="P17" s="42">
        <v>1</v>
      </c>
      <c r="Q17" s="44">
        <v>18.2</v>
      </c>
      <c r="R17" s="42">
        <v>1984</v>
      </c>
      <c r="S17" s="42">
        <v>30</v>
      </c>
      <c r="T17" s="44">
        <v>19.8</v>
      </c>
      <c r="U17" s="42">
        <v>2002</v>
      </c>
      <c r="V17" s="42">
        <v>30</v>
      </c>
      <c r="W17" s="44">
        <v>17</v>
      </c>
      <c r="X17" s="42">
        <v>1985</v>
      </c>
      <c r="Y17" s="42">
        <v>14</v>
      </c>
      <c r="Z17" s="44">
        <v>16.2</v>
      </c>
      <c r="AA17" s="42">
        <v>1985</v>
      </c>
      <c r="AB17" s="42">
        <v>26</v>
      </c>
      <c r="AC17" s="44">
        <v>15.6</v>
      </c>
      <c r="AD17" s="42">
        <v>1985</v>
      </c>
      <c r="AE17" s="42">
        <v>16</v>
      </c>
      <c r="AF17" s="44">
        <v>17</v>
      </c>
      <c r="AG17" s="42">
        <v>1987</v>
      </c>
      <c r="AH17" s="42">
        <v>4</v>
      </c>
      <c r="AI17" s="44">
        <v>15.8</v>
      </c>
      <c r="AJ17" s="42">
        <v>1985</v>
      </c>
      <c r="AK17" s="42">
        <v>14</v>
      </c>
      <c r="AL17" s="44">
        <v>15</v>
      </c>
      <c r="AM17" s="42">
        <v>1984</v>
      </c>
      <c r="AN17" s="42">
        <v>24</v>
      </c>
      <c r="AO17" s="44">
        <v>17</v>
      </c>
      <c r="AP17" s="42">
        <v>1985</v>
      </c>
      <c r="AQ17" s="42">
        <v>26</v>
      </c>
    </row>
    <row r="18" spans="1:43" ht="14.45" customHeight="1" x14ac:dyDescent="0.2">
      <c r="A18" s="42">
        <v>29045190</v>
      </c>
      <c r="B18" s="42" t="s">
        <v>888</v>
      </c>
      <c r="C18" s="42">
        <v>10.91777778</v>
      </c>
      <c r="D18" s="42">
        <v>-74.779722219999996</v>
      </c>
      <c r="E18" s="42">
        <v>14</v>
      </c>
      <c r="F18" s="42" t="s">
        <v>38</v>
      </c>
      <c r="G18" s="42" t="s">
        <v>885</v>
      </c>
      <c r="H18" s="44">
        <v>19.600000000000001</v>
      </c>
      <c r="I18" s="42">
        <v>1994</v>
      </c>
      <c r="J18" s="42">
        <v>7</v>
      </c>
      <c r="K18" s="44">
        <v>20.2</v>
      </c>
      <c r="L18" s="42">
        <v>2001</v>
      </c>
      <c r="M18" s="42">
        <v>24</v>
      </c>
      <c r="N18" s="44">
        <v>20.2</v>
      </c>
      <c r="O18" s="42">
        <v>1989</v>
      </c>
      <c r="P18" s="42">
        <v>22</v>
      </c>
      <c r="Q18" s="44">
        <v>20.100000000000001</v>
      </c>
      <c r="R18" s="42">
        <v>2002</v>
      </c>
      <c r="S18" s="42">
        <v>14</v>
      </c>
      <c r="T18" s="44">
        <v>20.2</v>
      </c>
      <c r="U18" s="42">
        <v>1993</v>
      </c>
      <c r="V18" s="42">
        <v>26</v>
      </c>
      <c r="W18" s="44">
        <v>20.6</v>
      </c>
      <c r="X18" s="42">
        <v>2016</v>
      </c>
      <c r="Y18" s="42">
        <v>13</v>
      </c>
      <c r="Z18" s="44">
        <v>21</v>
      </c>
      <c r="AA18" s="42">
        <v>1988</v>
      </c>
      <c r="AB18" s="42">
        <v>15</v>
      </c>
      <c r="AC18" s="44">
        <v>20.399999999999999</v>
      </c>
      <c r="AD18" s="42">
        <v>1997</v>
      </c>
      <c r="AE18" s="42">
        <v>10</v>
      </c>
      <c r="AF18" s="44">
        <v>20.399999999999999</v>
      </c>
      <c r="AG18" s="42">
        <v>1996</v>
      </c>
      <c r="AH18" s="42">
        <v>25</v>
      </c>
      <c r="AI18" s="44">
        <v>20.2</v>
      </c>
      <c r="AJ18" s="42">
        <v>2011</v>
      </c>
      <c r="AK18" s="42">
        <v>21</v>
      </c>
      <c r="AL18" s="44">
        <v>19.8</v>
      </c>
      <c r="AM18" s="42">
        <v>1981</v>
      </c>
      <c r="AN18" s="42">
        <v>3</v>
      </c>
      <c r="AO18" s="44">
        <v>20</v>
      </c>
      <c r="AP18" s="42">
        <v>2003</v>
      </c>
      <c r="AQ18" s="42">
        <v>4</v>
      </c>
    </row>
    <row r="19" spans="1:43" ht="14.45" customHeight="1" x14ac:dyDescent="0.2">
      <c r="A19" s="42">
        <v>54075040</v>
      </c>
      <c r="B19" s="42" t="s">
        <v>889</v>
      </c>
      <c r="C19" s="42">
        <v>4.2225000000000001</v>
      </c>
      <c r="D19" s="42">
        <v>-77.27633333</v>
      </c>
      <c r="E19" s="42">
        <v>14</v>
      </c>
      <c r="F19" s="42" t="s">
        <v>830</v>
      </c>
      <c r="G19" s="42" t="s">
        <v>341</v>
      </c>
      <c r="H19" s="44">
        <v>16.2</v>
      </c>
      <c r="I19" s="42">
        <v>1983</v>
      </c>
      <c r="J19" s="42">
        <v>1</v>
      </c>
      <c r="K19" s="44">
        <v>15.4</v>
      </c>
      <c r="L19" s="42">
        <v>1983</v>
      </c>
      <c r="M19" s="42">
        <v>6</v>
      </c>
      <c r="N19" s="44">
        <v>20</v>
      </c>
      <c r="O19" s="42">
        <v>2011</v>
      </c>
      <c r="P19" s="42">
        <v>20</v>
      </c>
      <c r="Q19" s="44">
        <v>18.600000000000001</v>
      </c>
      <c r="R19" s="42">
        <v>1983</v>
      </c>
      <c r="S19" s="42">
        <v>13</v>
      </c>
      <c r="T19" s="44">
        <v>20.2</v>
      </c>
      <c r="U19" s="42">
        <v>2015</v>
      </c>
      <c r="V19" s="42">
        <v>8</v>
      </c>
      <c r="W19" s="44">
        <v>18.2</v>
      </c>
      <c r="X19" s="42">
        <v>1983</v>
      </c>
      <c r="Y19" s="42">
        <v>27</v>
      </c>
      <c r="Z19" s="44">
        <v>13.6</v>
      </c>
      <c r="AA19" s="42">
        <v>1984</v>
      </c>
      <c r="AB19" s="42">
        <v>19</v>
      </c>
      <c r="AC19" s="44">
        <v>18.2</v>
      </c>
      <c r="AD19" s="42">
        <v>1983</v>
      </c>
      <c r="AE19" s="42">
        <v>15</v>
      </c>
      <c r="AF19" s="44">
        <v>19.399999999999999</v>
      </c>
      <c r="AG19" s="42">
        <v>1983</v>
      </c>
      <c r="AH19" s="42">
        <v>25</v>
      </c>
      <c r="AI19" s="44">
        <v>19.600000000000001</v>
      </c>
      <c r="AJ19" s="42">
        <v>1992</v>
      </c>
      <c r="AK19" s="42">
        <v>13</v>
      </c>
      <c r="AL19" s="44">
        <v>20</v>
      </c>
      <c r="AM19" s="42">
        <v>1996</v>
      </c>
      <c r="AN19" s="42">
        <v>13</v>
      </c>
      <c r="AO19" s="44">
        <v>20</v>
      </c>
      <c r="AP19" s="42">
        <v>2010</v>
      </c>
      <c r="AQ19" s="42">
        <v>14</v>
      </c>
    </row>
    <row r="20" spans="1:43" ht="14.45" customHeight="1" x14ac:dyDescent="0.2">
      <c r="A20" s="42">
        <v>15065180</v>
      </c>
      <c r="B20" s="42" t="s">
        <v>890</v>
      </c>
      <c r="C20" s="42">
        <v>11.5284444</v>
      </c>
      <c r="D20" s="42">
        <v>-72.917722221999995</v>
      </c>
      <c r="E20" s="42">
        <v>15</v>
      </c>
      <c r="F20" s="42" t="s">
        <v>41</v>
      </c>
      <c r="G20" s="42" t="s">
        <v>40</v>
      </c>
      <c r="H20" s="44">
        <v>17.2</v>
      </c>
      <c r="I20" s="42">
        <v>1995</v>
      </c>
      <c r="J20" s="42">
        <v>10</v>
      </c>
      <c r="K20" s="44">
        <v>18</v>
      </c>
      <c r="L20" s="42">
        <v>1976</v>
      </c>
      <c r="M20" s="42">
        <v>2</v>
      </c>
      <c r="N20" s="44">
        <v>18</v>
      </c>
      <c r="O20" s="42">
        <v>1976</v>
      </c>
      <c r="P20" s="42">
        <v>30</v>
      </c>
      <c r="Q20" s="44">
        <v>19.2</v>
      </c>
      <c r="R20" s="42">
        <v>1976</v>
      </c>
      <c r="S20" s="42">
        <v>2</v>
      </c>
      <c r="T20" s="44">
        <v>20.8</v>
      </c>
      <c r="U20" s="42">
        <v>1977</v>
      </c>
      <c r="V20" s="42">
        <v>1</v>
      </c>
      <c r="W20" s="44">
        <v>20.399999999999999</v>
      </c>
      <c r="X20" s="42">
        <v>1986</v>
      </c>
      <c r="Y20" s="42">
        <v>8</v>
      </c>
      <c r="Z20" s="44">
        <v>20.2</v>
      </c>
      <c r="AA20" s="42">
        <v>2013</v>
      </c>
      <c r="AB20" s="42">
        <v>29</v>
      </c>
      <c r="AC20" s="44">
        <v>21.4</v>
      </c>
      <c r="AD20" s="42">
        <v>1986</v>
      </c>
      <c r="AE20" s="42">
        <v>24</v>
      </c>
      <c r="AF20" s="44">
        <v>19.2</v>
      </c>
      <c r="AG20" s="42">
        <v>1994</v>
      </c>
      <c r="AH20" s="42">
        <v>22</v>
      </c>
      <c r="AI20" s="44">
        <v>20</v>
      </c>
      <c r="AJ20" s="42">
        <v>1987</v>
      </c>
      <c r="AK20" s="42">
        <v>11</v>
      </c>
      <c r="AL20" s="44">
        <v>18.8</v>
      </c>
      <c r="AM20" s="42">
        <v>1990</v>
      </c>
      <c r="AN20" s="42">
        <v>25</v>
      </c>
      <c r="AO20" s="44">
        <v>18</v>
      </c>
      <c r="AP20" s="42">
        <v>2008</v>
      </c>
      <c r="AQ20" s="42">
        <v>21</v>
      </c>
    </row>
    <row r="21" spans="1:43" ht="14.45" customHeight="1" x14ac:dyDescent="0.2">
      <c r="A21" s="42">
        <v>25025100</v>
      </c>
      <c r="B21" s="42" t="s">
        <v>891</v>
      </c>
      <c r="C21" s="42">
        <v>9.2819444440000005</v>
      </c>
      <c r="D21" s="42">
        <v>-74.845277780000004</v>
      </c>
      <c r="E21" s="42">
        <v>18</v>
      </c>
      <c r="F21" s="42" t="s">
        <v>510</v>
      </c>
      <c r="G21" s="42" t="s">
        <v>870</v>
      </c>
      <c r="H21" s="44">
        <v>17.399999999999999</v>
      </c>
      <c r="I21" s="42">
        <v>1979</v>
      </c>
      <c r="J21" s="42">
        <v>6</v>
      </c>
      <c r="K21" s="44">
        <v>17.399999999999999</v>
      </c>
      <c r="L21" s="42">
        <v>2015</v>
      </c>
      <c r="M21" s="42">
        <v>7</v>
      </c>
      <c r="N21" s="44">
        <v>18.2</v>
      </c>
      <c r="O21" s="42">
        <v>1999</v>
      </c>
      <c r="P21" s="42">
        <v>15</v>
      </c>
      <c r="Q21" s="44">
        <v>20</v>
      </c>
      <c r="R21" s="42">
        <v>1992</v>
      </c>
      <c r="S21" s="42">
        <v>30</v>
      </c>
      <c r="T21" s="44">
        <v>18</v>
      </c>
      <c r="U21" s="42">
        <v>1999</v>
      </c>
      <c r="V21" s="42">
        <v>16</v>
      </c>
      <c r="W21" s="44">
        <v>17.8</v>
      </c>
      <c r="X21" s="42">
        <v>1999</v>
      </c>
      <c r="Y21" s="42">
        <v>14</v>
      </c>
      <c r="Z21" s="44">
        <v>17.600000000000001</v>
      </c>
      <c r="AA21" s="42">
        <v>1999</v>
      </c>
      <c r="AB21" s="42">
        <v>10</v>
      </c>
      <c r="AC21" s="44">
        <v>17.2</v>
      </c>
      <c r="AD21" s="42">
        <v>1992</v>
      </c>
      <c r="AE21" s="42">
        <v>24</v>
      </c>
      <c r="AF21" s="44">
        <v>17.399999999999999</v>
      </c>
      <c r="AG21" s="42">
        <v>1992</v>
      </c>
      <c r="AH21" s="42">
        <v>17</v>
      </c>
      <c r="AI21" s="44">
        <v>17.2</v>
      </c>
      <c r="AJ21" s="42">
        <v>1992</v>
      </c>
      <c r="AK21" s="42">
        <v>2</v>
      </c>
      <c r="AL21" s="44">
        <v>18</v>
      </c>
      <c r="AM21" s="42">
        <v>1992</v>
      </c>
      <c r="AN21" s="42">
        <v>13</v>
      </c>
      <c r="AO21" s="44">
        <v>18.2</v>
      </c>
      <c r="AP21" s="42">
        <v>1992</v>
      </c>
      <c r="AQ21" s="42">
        <v>3</v>
      </c>
    </row>
    <row r="22" spans="1:43" ht="14.45" customHeight="1" x14ac:dyDescent="0.2">
      <c r="A22" s="42">
        <v>13035501</v>
      </c>
      <c r="B22" s="42" t="s">
        <v>892</v>
      </c>
      <c r="C22" s="42">
        <v>8.8258333330000003</v>
      </c>
      <c r="D22" s="42">
        <v>-75.825138890000005</v>
      </c>
      <c r="E22" s="42">
        <v>20</v>
      </c>
      <c r="F22" s="42" t="s">
        <v>47</v>
      </c>
      <c r="G22" s="42" t="s">
        <v>893</v>
      </c>
      <c r="H22" s="44">
        <v>19.2</v>
      </c>
      <c r="I22" s="42">
        <v>2008</v>
      </c>
      <c r="J22" s="42">
        <v>3</v>
      </c>
      <c r="K22" s="44">
        <v>18.7</v>
      </c>
      <c r="L22" s="42">
        <v>2008</v>
      </c>
      <c r="M22" s="42">
        <v>3</v>
      </c>
      <c r="N22" s="44">
        <v>19.399999999999999</v>
      </c>
      <c r="O22" s="42">
        <v>1995</v>
      </c>
      <c r="P22" s="42">
        <v>25</v>
      </c>
      <c r="Q22" s="44">
        <v>19</v>
      </c>
      <c r="R22" s="42">
        <v>1978</v>
      </c>
      <c r="S22" s="42">
        <v>24</v>
      </c>
      <c r="T22" s="44">
        <v>20</v>
      </c>
      <c r="U22" s="42">
        <v>1979</v>
      </c>
      <c r="V22" s="42">
        <v>22</v>
      </c>
      <c r="W22" s="44">
        <v>20.2</v>
      </c>
      <c r="X22" s="42">
        <v>2013</v>
      </c>
      <c r="Y22" s="42">
        <v>28</v>
      </c>
      <c r="Z22" s="44">
        <v>19.8</v>
      </c>
      <c r="AA22" s="42">
        <v>1988</v>
      </c>
      <c r="AB22" s="42">
        <v>4</v>
      </c>
      <c r="AC22" s="44">
        <v>19.8</v>
      </c>
      <c r="AD22" s="42">
        <v>2000</v>
      </c>
      <c r="AE22" s="42">
        <v>13</v>
      </c>
      <c r="AF22" s="44">
        <v>19.8</v>
      </c>
      <c r="AG22" s="42">
        <v>2000</v>
      </c>
      <c r="AH22" s="42">
        <v>24</v>
      </c>
      <c r="AI22" s="44">
        <v>19.600000000000001</v>
      </c>
      <c r="AJ22" s="42">
        <v>2011</v>
      </c>
      <c r="AK22" s="42">
        <v>22</v>
      </c>
      <c r="AL22" s="44">
        <v>20.8</v>
      </c>
      <c r="AM22" s="42">
        <v>2015</v>
      </c>
      <c r="AN22" s="42">
        <v>2</v>
      </c>
      <c r="AO22" s="44">
        <v>20.2</v>
      </c>
      <c r="AP22" s="42">
        <v>1994</v>
      </c>
      <c r="AQ22" s="42">
        <v>29</v>
      </c>
    </row>
    <row r="23" spans="1:43" ht="14.45" customHeight="1" x14ac:dyDescent="0.2">
      <c r="A23" s="42">
        <v>13075010</v>
      </c>
      <c r="B23" s="42" t="s">
        <v>894</v>
      </c>
      <c r="C23" s="42">
        <v>9.1507500000000004</v>
      </c>
      <c r="D23" s="42">
        <v>-75.622083329999995</v>
      </c>
      <c r="E23" s="42">
        <v>20</v>
      </c>
      <c r="F23" s="42" t="s">
        <v>123</v>
      </c>
      <c r="G23" s="42" t="s">
        <v>893</v>
      </c>
      <c r="H23" s="44">
        <v>17.3</v>
      </c>
      <c r="I23" s="42">
        <v>1991</v>
      </c>
      <c r="J23" s="42">
        <v>31</v>
      </c>
      <c r="K23" s="44">
        <v>18.2</v>
      </c>
      <c r="L23" s="42">
        <v>1985</v>
      </c>
      <c r="M23" s="42">
        <v>28</v>
      </c>
      <c r="N23" s="44">
        <v>18.8</v>
      </c>
      <c r="O23" s="42">
        <v>2018</v>
      </c>
      <c r="P23" s="42">
        <v>1</v>
      </c>
      <c r="Q23" s="44">
        <v>18.8</v>
      </c>
      <c r="R23" s="42">
        <v>2018</v>
      </c>
      <c r="S23" s="42">
        <v>7</v>
      </c>
      <c r="T23" s="44">
        <v>18.600000000000001</v>
      </c>
      <c r="U23" s="42">
        <v>2018</v>
      </c>
      <c r="V23" s="42">
        <v>9</v>
      </c>
      <c r="W23" s="44">
        <v>17.100000000000001</v>
      </c>
      <c r="X23" s="42">
        <v>1991</v>
      </c>
      <c r="Y23" s="42">
        <v>18</v>
      </c>
      <c r="Z23" s="44">
        <v>17.2</v>
      </c>
      <c r="AA23" s="42">
        <v>1991</v>
      </c>
      <c r="AB23" s="42">
        <v>5</v>
      </c>
      <c r="AC23" s="44">
        <v>16.2</v>
      </c>
      <c r="AD23" s="42">
        <v>1990</v>
      </c>
      <c r="AE23" s="42">
        <v>10</v>
      </c>
      <c r="AF23" s="44">
        <v>17.2</v>
      </c>
      <c r="AG23" s="42">
        <v>1990</v>
      </c>
      <c r="AH23" s="42">
        <v>2</v>
      </c>
      <c r="AI23" s="44">
        <v>16.2</v>
      </c>
      <c r="AJ23" s="42">
        <v>1990</v>
      </c>
      <c r="AK23" s="42">
        <v>1</v>
      </c>
      <c r="AL23" s="44">
        <v>18.3</v>
      </c>
      <c r="AM23" s="42">
        <v>1992</v>
      </c>
      <c r="AN23" s="42">
        <v>17</v>
      </c>
      <c r="AO23" s="44">
        <v>18.399999999999999</v>
      </c>
      <c r="AP23" s="42">
        <v>1990</v>
      </c>
      <c r="AQ23" s="42">
        <v>5</v>
      </c>
    </row>
    <row r="24" spans="1:43" ht="14.45" customHeight="1" x14ac:dyDescent="0.2">
      <c r="A24" s="42">
        <v>13075030</v>
      </c>
      <c r="B24" s="42" t="s">
        <v>895</v>
      </c>
      <c r="C24" s="42">
        <v>8.8395277780000008</v>
      </c>
      <c r="D24" s="42">
        <v>-75.801888890000001</v>
      </c>
      <c r="E24" s="42">
        <v>20</v>
      </c>
      <c r="F24" s="42" t="s">
        <v>609</v>
      </c>
      <c r="G24" s="42" t="s">
        <v>893</v>
      </c>
      <c r="H24" s="44">
        <v>18</v>
      </c>
      <c r="I24" s="42">
        <v>1979</v>
      </c>
      <c r="J24" s="42">
        <v>5</v>
      </c>
      <c r="K24" s="44">
        <v>16.8</v>
      </c>
      <c r="L24" s="42">
        <v>1989</v>
      </c>
      <c r="M24" s="42">
        <v>16</v>
      </c>
      <c r="N24" s="44">
        <v>18.600000000000001</v>
      </c>
      <c r="O24" s="42">
        <v>1988</v>
      </c>
      <c r="P24" s="42">
        <v>25</v>
      </c>
      <c r="Q24" s="44">
        <v>19</v>
      </c>
      <c r="R24" s="42">
        <v>1974</v>
      </c>
      <c r="S24" s="42">
        <v>12</v>
      </c>
      <c r="T24" s="44">
        <v>18.5</v>
      </c>
      <c r="U24" s="42">
        <v>1979</v>
      </c>
      <c r="V24" s="42">
        <v>22</v>
      </c>
      <c r="W24" s="44">
        <v>18</v>
      </c>
      <c r="X24" s="42">
        <v>1980</v>
      </c>
      <c r="Y24" s="42">
        <v>9</v>
      </c>
      <c r="Z24" s="44">
        <v>20</v>
      </c>
      <c r="AA24" s="42">
        <v>1983</v>
      </c>
      <c r="AB24" s="42">
        <v>8</v>
      </c>
      <c r="AC24" s="44">
        <v>19</v>
      </c>
      <c r="AD24" s="42">
        <v>2002</v>
      </c>
      <c r="AE24" s="42">
        <v>29</v>
      </c>
      <c r="AF24" s="44">
        <v>18.5</v>
      </c>
      <c r="AG24" s="42">
        <v>1978</v>
      </c>
      <c r="AH24" s="42">
        <v>28</v>
      </c>
      <c r="AI24" s="44">
        <v>20</v>
      </c>
      <c r="AJ24" s="42">
        <v>1971</v>
      </c>
      <c r="AK24" s="42">
        <v>22</v>
      </c>
      <c r="AL24" s="44">
        <v>18</v>
      </c>
      <c r="AM24" s="42">
        <v>1988</v>
      </c>
      <c r="AN24" s="42">
        <v>16</v>
      </c>
      <c r="AO24" s="44">
        <v>18</v>
      </c>
      <c r="AP24" s="42">
        <v>1978</v>
      </c>
      <c r="AQ24" s="42">
        <v>15</v>
      </c>
    </row>
    <row r="25" spans="1:43" ht="14.45" customHeight="1" x14ac:dyDescent="0.2">
      <c r="A25" s="42">
        <v>13085010</v>
      </c>
      <c r="B25" s="42" t="s">
        <v>896</v>
      </c>
      <c r="C25" s="42">
        <v>9.2972222220000003</v>
      </c>
      <c r="D25" s="42">
        <v>-75.892777780000003</v>
      </c>
      <c r="E25" s="42">
        <v>20</v>
      </c>
      <c r="F25" s="42" t="s">
        <v>613</v>
      </c>
      <c r="G25" s="42" t="s">
        <v>893</v>
      </c>
      <c r="H25" s="44">
        <v>19.399999999999999</v>
      </c>
      <c r="I25" s="42">
        <v>2017</v>
      </c>
      <c r="J25" s="42">
        <v>24</v>
      </c>
      <c r="K25" s="44">
        <v>19.600000000000001</v>
      </c>
      <c r="L25" s="42">
        <v>1989</v>
      </c>
      <c r="M25" s="42">
        <v>16</v>
      </c>
      <c r="N25" s="44">
        <v>21</v>
      </c>
      <c r="O25" s="42">
        <v>1979</v>
      </c>
      <c r="P25" s="42">
        <v>12</v>
      </c>
      <c r="Q25" s="44">
        <v>20.3</v>
      </c>
      <c r="R25" s="42">
        <v>1994</v>
      </c>
      <c r="S25" s="42">
        <v>1</v>
      </c>
      <c r="T25" s="44">
        <v>21.2</v>
      </c>
      <c r="U25" s="42">
        <v>1995</v>
      </c>
      <c r="V25" s="42">
        <v>17</v>
      </c>
      <c r="W25" s="44">
        <v>20</v>
      </c>
      <c r="X25" s="42">
        <v>2017</v>
      </c>
      <c r="Y25" s="42">
        <v>21</v>
      </c>
      <c r="Z25" s="44">
        <v>19.8</v>
      </c>
      <c r="AA25" s="42">
        <v>1985</v>
      </c>
      <c r="AB25" s="42">
        <v>11</v>
      </c>
      <c r="AC25" s="44">
        <v>20.8</v>
      </c>
      <c r="AD25" s="42">
        <v>1982</v>
      </c>
      <c r="AE25" s="42">
        <v>3</v>
      </c>
      <c r="AF25" s="44">
        <v>20.6</v>
      </c>
      <c r="AG25" s="42">
        <v>1993</v>
      </c>
      <c r="AH25" s="42">
        <v>23</v>
      </c>
      <c r="AI25" s="44">
        <v>20.399999999999999</v>
      </c>
      <c r="AJ25" s="42">
        <v>1996</v>
      </c>
      <c r="AK25" s="42">
        <v>23</v>
      </c>
      <c r="AL25" s="44">
        <v>20.8</v>
      </c>
      <c r="AM25" s="42">
        <v>2005</v>
      </c>
      <c r="AN25" s="42">
        <v>24</v>
      </c>
      <c r="AO25" s="44">
        <v>20.399999999999999</v>
      </c>
      <c r="AP25" s="42">
        <v>1985</v>
      </c>
      <c r="AQ25" s="42">
        <v>18</v>
      </c>
    </row>
    <row r="26" spans="1:43" ht="14.45" customHeight="1" x14ac:dyDescent="0.2">
      <c r="A26" s="42">
        <v>14015010</v>
      </c>
      <c r="B26" s="42" t="s">
        <v>897</v>
      </c>
      <c r="C26" s="42">
        <v>10.794988</v>
      </c>
      <c r="D26" s="42">
        <v>-75.261671000000007</v>
      </c>
      <c r="E26" s="42">
        <v>20</v>
      </c>
      <c r="F26" s="42" t="s">
        <v>898</v>
      </c>
      <c r="G26" s="42" t="s">
        <v>870</v>
      </c>
      <c r="H26" s="44">
        <v>19.399999999999999</v>
      </c>
      <c r="I26" s="42">
        <v>1985</v>
      </c>
      <c r="J26" s="42">
        <v>3</v>
      </c>
      <c r="K26" s="44">
        <v>20</v>
      </c>
      <c r="L26" s="42">
        <v>1980</v>
      </c>
      <c r="M26" s="42">
        <v>15</v>
      </c>
      <c r="N26" s="44">
        <v>19</v>
      </c>
      <c r="O26" s="42">
        <v>1980</v>
      </c>
      <c r="P26" s="42">
        <v>14</v>
      </c>
      <c r="Q26" s="44">
        <v>20.2</v>
      </c>
      <c r="R26" s="42">
        <v>2005</v>
      </c>
      <c r="S26" s="42">
        <v>7</v>
      </c>
      <c r="T26" s="44">
        <v>19.2</v>
      </c>
      <c r="U26" s="42">
        <v>1981</v>
      </c>
      <c r="V26" s="42">
        <v>12</v>
      </c>
      <c r="W26" s="44">
        <v>19.5</v>
      </c>
      <c r="X26" s="42">
        <v>1999</v>
      </c>
      <c r="Y26" s="42">
        <v>30</v>
      </c>
      <c r="Z26" s="44">
        <v>20.399999999999999</v>
      </c>
      <c r="AA26" s="42">
        <v>2005</v>
      </c>
      <c r="AB26" s="42">
        <v>5</v>
      </c>
      <c r="AC26" s="44">
        <v>20</v>
      </c>
      <c r="AD26" s="42">
        <v>2003</v>
      </c>
      <c r="AE26" s="42">
        <v>22</v>
      </c>
      <c r="AF26" s="44">
        <v>20.2</v>
      </c>
      <c r="AG26" s="42">
        <v>1994</v>
      </c>
      <c r="AH26" s="42">
        <v>18</v>
      </c>
      <c r="AI26" s="44">
        <v>19</v>
      </c>
      <c r="AJ26" s="42">
        <v>1999</v>
      </c>
      <c r="AK26" s="42">
        <v>7</v>
      </c>
      <c r="AL26" s="44">
        <v>19.3</v>
      </c>
      <c r="AM26" s="42">
        <v>1994</v>
      </c>
      <c r="AN26" s="42">
        <v>16</v>
      </c>
      <c r="AO26" s="44">
        <v>19</v>
      </c>
      <c r="AP26" s="42">
        <v>1999</v>
      </c>
      <c r="AQ26" s="42">
        <v>17</v>
      </c>
    </row>
    <row r="27" spans="1:43" ht="14.45" customHeight="1" x14ac:dyDescent="0.2">
      <c r="A27" s="42">
        <v>15045010</v>
      </c>
      <c r="B27" s="42" t="s">
        <v>899</v>
      </c>
      <c r="C27" s="42">
        <v>11.26388889</v>
      </c>
      <c r="D27" s="42">
        <v>-73.030277780000006</v>
      </c>
      <c r="E27" s="42">
        <v>20</v>
      </c>
      <c r="F27" s="42" t="s">
        <v>41</v>
      </c>
      <c r="G27" s="42" t="s">
        <v>40</v>
      </c>
      <c r="H27" s="44">
        <v>15.6</v>
      </c>
      <c r="I27" s="42">
        <v>2008</v>
      </c>
      <c r="J27" s="42">
        <v>28</v>
      </c>
      <c r="K27" s="44">
        <v>16.2</v>
      </c>
      <c r="L27" s="42">
        <v>2011</v>
      </c>
      <c r="M27" s="42">
        <v>11</v>
      </c>
      <c r="N27" s="44">
        <v>15.8</v>
      </c>
      <c r="O27" s="42">
        <v>1978</v>
      </c>
      <c r="P27" s="42">
        <v>2</v>
      </c>
      <c r="Q27" s="44">
        <v>16.2</v>
      </c>
      <c r="R27" s="42">
        <v>1998</v>
      </c>
      <c r="S27" s="42">
        <v>1</v>
      </c>
      <c r="T27" s="44">
        <v>16.399999999999999</v>
      </c>
      <c r="U27" s="42">
        <v>1999</v>
      </c>
      <c r="V27" s="42">
        <v>3</v>
      </c>
      <c r="W27" s="44">
        <v>19.399999999999999</v>
      </c>
      <c r="X27" s="42">
        <v>2008</v>
      </c>
      <c r="Y27" s="42">
        <v>20</v>
      </c>
      <c r="Z27" s="44">
        <v>17</v>
      </c>
      <c r="AA27" s="42">
        <v>2001</v>
      </c>
      <c r="AB27" s="42">
        <v>20</v>
      </c>
      <c r="AC27" s="44">
        <v>17.8</v>
      </c>
      <c r="AD27" s="42">
        <v>1979</v>
      </c>
      <c r="AE27" s="42">
        <v>2</v>
      </c>
      <c r="AF27" s="44">
        <v>18</v>
      </c>
      <c r="AG27" s="42">
        <v>1979</v>
      </c>
      <c r="AH27" s="42">
        <v>27</v>
      </c>
      <c r="AI27" s="44">
        <v>19.2</v>
      </c>
      <c r="AJ27" s="42">
        <v>1985</v>
      </c>
      <c r="AK27" s="42">
        <v>27</v>
      </c>
      <c r="AL27" s="44">
        <v>17.600000000000001</v>
      </c>
      <c r="AM27" s="42">
        <v>2018</v>
      </c>
      <c r="AN27" s="42">
        <v>30</v>
      </c>
      <c r="AO27" s="44">
        <v>15.7</v>
      </c>
      <c r="AP27" s="42">
        <v>1985</v>
      </c>
      <c r="AQ27" s="42">
        <v>17</v>
      </c>
    </row>
    <row r="28" spans="1:43" ht="14.45" customHeight="1" x14ac:dyDescent="0.2">
      <c r="A28" s="42">
        <v>25025030</v>
      </c>
      <c r="B28" s="42" t="s">
        <v>900</v>
      </c>
      <c r="C28" s="42">
        <v>8.2950638889999997</v>
      </c>
      <c r="D28" s="42">
        <v>-75.164555559999997</v>
      </c>
      <c r="E28" s="42">
        <v>20</v>
      </c>
      <c r="F28" s="42" t="s">
        <v>901</v>
      </c>
      <c r="G28" s="42" t="s">
        <v>893</v>
      </c>
      <c r="H28" s="44">
        <v>18</v>
      </c>
      <c r="I28" s="42">
        <v>1976</v>
      </c>
      <c r="J28" s="42">
        <v>31</v>
      </c>
      <c r="K28" s="44">
        <v>18.399999999999999</v>
      </c>
      <c r="L28" s="42">
        <v>1976</v>
      </c>
      <c r="M28" s="42">
        <v>16</v>
      </c>
      <c r="N28" s="44">
        <v>19.399999999999999</v>
      </c>
      <c r="O28" s="42">
        <v>2011</v>
      </c>
      <c r="P28" s="42">
        <v>7</v>
      </c>
      <c r="Q28" s="44">
        <v>18.600000000000001</v>
      </c>
      <c r="R28" s="42">
        <v>1999</v>
      </c>
      <c r="S28" s="42">
        <v>1</v>
      </c>
      <c r="T28" s="44">
        <v>19</v>
      </c>
      <c r="U28" s="42">
        <v>1995</v>
      </c>
      <c r="V28" s="42">
        <v>18</v>
      </c>
      <c r="W28" s="44">
        <v>20</v>
      </c>
      <c r="X28" s="42">
        <v>2007</v>
      </c>
      <c r="Y28" s="42">
        <v>27</v>
      </c>
      <c r="Z28" s="44">
        <v>19</v>
      </c>
      <c r="AA28" s="42">
        <v>1992</v>
      </c>
      <c r="AB28" s="42">
        <v>11</v>
      </c>
      <c r="AC28" s="44">
        <v>18</v>
      </c>
      <c r="AD28" s="42">
        <v>2010</v>
      </c>
      <c r="AE28" s="42">
        <v>28</v>
      </c>
      <c r="AF28" s="44">
        <v>18.2</v>
      </c>
      <c r="AG28" s="42">
        <v>2010</v>
      </c>
      <c r="AH28" s="42">
        <v>27</v>
      </c>
      <c r="AI28" s="44">
        <v>19.399999999999999</v>
      </c>
      <c r="AJ28" s="42">
        <v>1993</v>
      </c>
      <c r="AK28" s="42">
        <v>9</v>
      </c>
      <c r="AL28" s="44">
        <v>19.399999999999999</v>
      </c>
      <c r="AM28" s="42">
        <v>2010</v>
      </c>
      <c r="AN28" s="42">
        <v>6</v>
      </c>
      <c r="AO28" s="44">
        <v>19.2</v>
      </c>
      <c r="AP28" s="42">
        <v>2010</v>
      </c>
      <c r="AQ28" s="42">
        <v>5</v>
      </c>
    </row>
    <row r="29" spans="1:43" ht="14.45" customHeight="1" x14ac:dyDescent="0.2">
      <c r="A29" s="42">
        <v>25025380</v>
      </c>
      <c r="B29" s="42" t="s">
        <v>902</v>
      </c>
      <c r="C29" s="42">
        <v>9.1638888890000008</v>
      </c>
      <c r="D29" s="42">
        <v>-75.044722219999997</v>
      </c>
      <c r="E29" s="42">
        <v>20</v>
      </c>
      <c r="F29" s="42" t="s">
        <v>139</v>
      </c>
      <c r="G29" s="42" t="s">
        <v>129</v>
      </c>
      <c r="H29" s="44">
        <v>18.8</v>
      </c>
      <c r="I29" s="42">
        <v>2010</v>
      </c>
      <c r="J29" s="42">
        <v>1</v>
      </c>
      <c r="K29" s="44">
        <v>18.399999999999999</v>
      </c>
      <c r="L29" s="42">
        <v>1982</v>
      </c>
      <c r="M29" s="42">
        <v>7</v>
      </c>
      <c r="N29" s="44">
        <v>18</v>
      </c>
      <c r="O29" s="42">
        <v>1993</v>
      </c>
      <c r="P29" s="42">
        <v>23</v>
      </c>
      <c r="Q29" s="44">
        <v>18</v>
      </c>
      <c r="R29" s="42">
        <v>1981</v>
      </c>
      <c r="S29" s="42">
        <v>6</v>
      </c>
      <c r="T29" s="44">
        <v>18.399999999999999</v>
      </c>
      <c r="U29" s="42">
        <v>2009</v>
      </c>
      <c r="V29" s="42">
        <v>15</v>
      </c>
      <c r="W29" s="44">
        <v>19</v>
      </c>
      <c r="X29" s="42">
        <v>2010</v>
      </c>
      <c r="Y29" s="42">
        <v>9</v>
      </c>
      <c r="Z29" s="44">
        <v>18.399999999999999</v>
      </c>
      <c r="AA29" s="42">
        <v>1995</v>
      </c>
      <c r="AB29" s="42">
        <v>13</v>
      </c>
      <c r="AC29" s="44">
        <v>18.2</v>
      </c>
      <c r="AD29" s="42">
        <v>1990</v>
      </c>
      <c r="AE29" s="42">
        <v>16</v>
      </c>
      <c r="AF29" s="44">
        <v>18.2</v>
      </c>
      <c r="AG29" s="42">
        <v>2010</v>
      </c>
      <c r="AH29" s="42">
        <v>5</v>
      </c>
      <c r="AI29" s="44">
        <v>18</v>
      </c>
      <c r="AJ29" s="42">
        <v>2009</v>
      </c>
      <c r="AK29" s="42">
        <v>4</v>
      </c>
      <c r="AL29" s="44">
        <v>19</v>
      </c>
      <c r="AM29" s="42">
        <v>2008</v>
      </c>
      <c r="AN29" s="42">
        <v>4</v>
      </c>
      <c r="AO29" s="44">
        <v>18.5</v>
      </c>
      <c r="AP29" s="42">
        <v>1992</v>
      </c>
      <c r="AQ29" s="42">
        <v>24</v>
      </c>
    </row>
    <row r="30" spans="1:43" ht="14.45" customHeight="1" x14ac:dyDescent="0.2">
      <c r="A30" s="42">
        <v>29035110</v>
      </c>
      <c r="B30" s="42" t="s">
        <v>903</v>
      </c>
      <c r="C30" s="42">
        <v>10.04316667</v>
      </c>
      <c r="D30" s="42">
        <v>-75.258611110000004</v>
      </c>
      <c r="E30" s="42">
        <v>20</v>
      </c>
      <c r="F30" s="42" t="s">
        <v>145</v>
      </c>
      <c r="G30" s="42" t="s">
        <v>870</v>
      </c>
      <c r="H30" s="44">
        <v>16.2</v>
      </c>
      <c r="I30" s="42">
        <v>1988</v>
      </c>
      <c r="J30" s="42">
        <v>25</v>
      </c>
      <c r="K30" s="44">
        <v>17.399999999999999</v>
      </c>
      <c r="L30" s="42">
        <v>1978</v>
      </c>
      <c r="M30" s="42">
        <v>6</v>
      </c>
      <c r="N30" s="44">
        <v>16.600000000000001</v>
      </c>
      <c r="O30" s="42">
        <v>1988</v>
      </c>
      <c r="P30" s="42">
        <v>1</v>
      </c>
      <c r="Q30" s="44">
        <v>18.399999999999999</v>
      </c>
      <c r="R30" s="42">
        <v>1985</v>
      </c>
      <c r="S30" s="42">
        <v>26</v>
      </c>
      <c r="T30" s="44">
        <v>19</v>
      </c>
      <c r="U30" s="42">
        <v>1985</v>
      </c>
      <c r="V30" s="42">
        <v>2</v>
      </c>
      <c r="W30" s="44">
        <v>18.399999999999999</v>
      </c>
      <c r="X30" s="42">
        <v>2004</v>
      </c>
      <c r="Y30" s="42">
        <v>3</v>
      </c>
      <c r="Z30" s="44">
        <v>18</v>
      </c>
      <c r="AA30" s="42">
        <v>1985</v>
      </c>
      <c r="AB30" s="42">
        <v>13</v>
      </c>
      <c r="AC30" s="44">
        <v>17.8</v>
      </c>
      <c r="AD30" s="42">
        <v>1978</v>
      </c>
      <c r="AE30" s="42">
        <v>31</v>
      </c>
      <c r="AF30" s="44">
        <v>17.2</v>
      </c>
      <c r="AG30" s="42">
        <v>1978</v>
      </c>
      <c r="AH30" s="42">
        <v>1</v>
      </c>
      <c r="AI30" s="44">
        <v>18.399999999999999</v>
      </c>
      <c r="AJ30" s="42">
        <v>1983</v>
      </c>
      <c r="AK30" s="42">
        <v>17</v>
      </c>
      <c r="AL30" s="44">
        <v>18.2</v>
      </c>
      <c r="AM30" s="42">
        <v>2004</v>
      </c>
      <c r="AN30" s="42">
        <v>8</v>
      </c>
      <c r="AO30" s="44">
        <v>16</v>
      </c>
      <c r="AP30" s="42">
        <v>1986</v>
      </c>
      <c r="AQ30" s="42">
        <v>16</v>
      </c>
    </row>
    <row r="31" spans="1:43" ht="14.45" customHeight="1" x14ac:dyDescent="0.2">
      <c r="A31" s="42">
        <v>29065020</v>
      </c>
      <c r="B31" s="42" t="s">
        <v>904</v>
      </c>
      <c r="C31" s="42">
        <v>10.721111110000001</v>
      </c>
      <c r="D31" s="42">
        <v>-74.199722219999998</v>
      </c>
      <c r="E31" s="42">
        <v>20</v>
      </c>
      <c r="F31" s="42" t="s">
        <v>721</v>
      </c>
      <c r="G31" s="42" t="s">
        <v>31</v>
      </c>
      <c r="H31" s="44">
        <v>14.2</v>
      </c>
      <c r="I31" s="42">
        <v>1987</v>
      </c>
      <c r="J31" s="42">
        <v>8</v>
      </c>
      <c r="K31" s="44">
        <v>14.2</v>
      </c>
      <c r="L31" s="42">
        <v>1989</v>
      </c>
      <c r="M31" s="42">
        <v>11</v>
      </c>
      <c r="N31" s="44">
        <v>16.2</v>
      </c>
      <c r="O31" s="42">
        <v>1989</v>
      </c>
      <c r="P31" s="42">
        <v>6</v>
      </c>
      <c r="Q31" s="44">
        <v>16.600000000000001</v>
      </c>
      <c r="R31" s="42">
        <v>1989</v>
      </c>
      <c r="S31" s="42">
        <v>1</v>
      </c>
      <c r="T31" s="44">
        <v>16.399999999999999</v>
      </c>
      <c r="U31" s="42">
        <v>1989</v>
      </c>
      <c r="V31" s="42">
        <v>4</v>
      </c>
      <c r="W31" s="44">
        <v>16.600000000000001</v>
      </c>
      <c r="X31" s="42">
        <v>1985</v>
      </c>
      <c r="Y31" s="42">
        <v>20</v>
      </c>
      <c r="Z31" s="44">
        <v>16.8</v>
      </c>
      <c r="AA31" s="42">
        <v>1986</v>
      </c>
      <c r="AB31" s="42">
        <v>5</v>
      </c>
      <c r="AC31" s="44">
        <v>17.399999999999999</v>
      </c>
      <c r="AD31" s="42">
        <v>1986</v>
      </c>
      <c r="AE31" s="42">
        <v>3</v>
      </c>
      <c r="AF31" s="44">
        <v>16</v>
      </c>
      <c r="AG31" s="42">
        <v>1995</v>
      </c>
      <c r="AH31" s="42">
        <v>3</v>
      </c>
      <c r="AI31" s="44">
        <v>17.2</v>
      </c>
      <c r="AJ31" s="42">
        <v>1986</v>
      </c>
      <c r="AK31" s="42">
        <v>6</v>
      </c>
      <c r="AL31" s="44">
        <v>15.6</v>
      </c>
      <c r="AM31" s="42">
        <v>1986</v>
      </c>
      <c r="AN31" s="42">
        <v>28</v>
      </c>
      <c r="AO31" s="44">
        <v>14.4</v>
      </c>
      <c r="AP31" s="42">
        <v>1987</v>
      </c>
      <c r="AQ31" s="42">
        <v>26</v>
      </c>
    </row>
    <row r="32" spans="1:43" ht="14.45" customHeight="1" x14ac:dyDescent="0.2">
      <c r="A32" s="42">
        <v>13085030</v>
      </c>
      <c r="B32" s="42" t="s">
        <v>905</v>
      </c>
      <c r="C32" s="42">
        <v>9.3699999999999992</v>
      </c>
      <c r="D32" s="42">
        <v>-75.95</v>
      </c>
      <c r="E32" s="42">
        <v>22</v>
      </c>
      <c r="F32" s="42" t="s">
        <v>127</v>
      </c>
      <c r="G32" s="42" t="s">
        <v>893</v>
      </c>
      <c r="H32" s="44">
        <v>18</v>
      </c>
      <c r="I32" s="42">
        <v>2003</v>
      </c>
      <c r="J32" s="42">
        <v>29</v>
      </c>
      <c r="K32" s="44">
        <v>18</v>
      </c>
      <c r="L32" s="42">
        <v>2002</v>
      </c>
      <c r="M32" s="42">
        <v>25</v>
      </c>
      <c r="N32" s="44">
        <v>18</v>
      </c>
      <c r="O32" s="42">
        <v>2002</v>
      </c>
      <c r="P32" s="42">
        <v>15</v>
      </c>
      <c r="Q32" s="44">
        <v>18</v>
      </c>
      <c r="R32" s="42">
        <v>2002</v>
      </c>
      <c r="S32" s="42">
        <v>6</v>
      </c>
      <c r="T32" s="44">
        <v>17.2</v>
      </c>
      <c r="U32" s="42">
        <v>1989</v>
      </c>
      <c r="V32" s="42">
        <v>10</v>
      </c>
      <c r="W32" s="44">
        <v>18</v>
      </c>
      <c r="X32" s="42">
        <v>2002</v>
      </c>
      <c r="Y32" s="42">
        <v>11</v>
      </c>
      <c r="Z32" s="44">
        <v>17</v>
      </c>
      <c r="AA32" s="42">
        <v>2001</v>
      </c>
      <c r="AB32" s="42">
        <v>26</v>
      </c>
      <c r="AC32" s="44">
        <v>17</v>
      </c>
      <c r="AD32" s="42">
        <v>1989</v>
      </c>
      <c r="AE32" s="42">
        <v>13</v>
      </c>
      <c r="AF32" s="44">
        <v>17</v>
      </c>
      <c r="AG32" s="42">
        <v>1989</v>
      </c>
      <c r="AH32" s="42">
        <v>9</v>
      </c>
      <c r="AI32" s="44">
        <v>17.600000000000001</v>
      </c>
      <c r="AJ32" s="42">
        <v>2001</v>
      </c>
      <c r="AK32" s="42">
        <v>3</v>
      </c>
      <c r="AL32" s="44">
        <v>18.2</v>
      </c>
      <c r="AM32" s="42">
        <v>2001</v>
      </c>
      <c r="AN32" s="42">
        <v>27</v>
      </c>
      <c r="AO32" s="44">
        <v>17.899999999999999</v>
      </c>
      <c r="AP32" s="42">
        <v>1989</v>
      </c>
      <c r="AQ32" s="42">
        <v>4</v>
      </c>
    </row>
    <row r="33" spans="1:43" ht="14.45" customHeight="1" x14ac:dyDescent="0.2">
      <c r="A33" s="42">
        <v>13065020</v>
      </c>
      <c r="B33" s="42" t="s">
        <v>906</v>
      </c>
      <c r="C33" s="42">
        <v>8.41</v>
      </c>
      <c r="D33" s="42">
        <v>-75.88</v>
      </c>
      <c r="E33" s="42">
        <v>25</v>
      </c>
      <c r="F33" s="42" t="s">
        <v>47</v>
      </c>
      <c r="G33" s="42" t="s">
        <v>893</v>
      </c>
      <c r="H33" s="44">
        <v>18.399999999999999</v>
      </c>
      <c r="I33" s="42">
        <v>1990</v>
      </c>
      <c r="J33" s="42">
        <v>6</v>
      </c>
      <c r="K33" s="44">
        <v>18.600000000000001</v>
      </c>
      <c r="L33" s="42">
        <v>2008</v>
      </c>
      <c r="M33" s="42">
        <v>4</v>
      </c>
      <c r="N33" s="44">
        <v>18.2</v>
      </c>
      <c r="O33" s="42">
        <v>1994</v>
      </c>
      <c r="P33" s="42">
        <v>28</v>
      </c>
      <c r="Q33" s="44">
        <v>18</v>
      </c>
      <c r="R33" s="42">
        <v>1994</v>
      </c>
      <c r="S33" s="42">
        <v>29</v>
      </c>
      <c r="T33" s="44">
        <v>18.2</v>
      </c>
      <c r="U33" s="42">
        <v>1994</v>
      </c>
      <c r="V33" s="42">
        <v>7</v>
      </c>
      <c r="W33" s="44">
        <v>18.2</v>
      </c>
      <c r="X33" s="42">
        <v>1994</v>
      </c>
      <c r="Y33" s="42">
        <v>27</v>
      </c>
      <c r="Z33" s="44">
        <v>18.600000000000001</v>
      </c>
      <c r="AA33" s="42">
        <v>1989</v>
      </c>
      <c r="AB33" s="42">
        <v>18</v>
      </c>
      <c r="AC33" s="44">
        <v>18.2</v>
      </c>
      <c r="AD33" s="42">
        <v>1989</v>
      </c>
      <c r="AE33" s="42">
        <v>23</v>
      </c>
      <c r="AF33" s="44">
        <v>18</v>
      </c>
      <c r="AG33" s="42">
        <v>1992</v>
      </c>
      <c r="AH33" s="42">
        <v>23</v>
      </c>
      <c r="AI33" s="44">
        <v>18</v>
      </c>
      <c r="AJ33" s="42">
        <v>1993</v>
      </c>
      <c r="AK33" s="42">
        <v>22</v>
      </c>
      <c r="AL33" s="44">
        <v>19</v>
      </c>
      <c r="AM33" s="42">
        <v>1988</v>
      </c>
      <c r="AN33" s="42">
        <v>9</v>
      </c>
      <c r="AO33" s="44">
        <v>18.399999999999999</v>
      </c>
      <c r="AP33" s="42">
        <v>1989</v>
      </c>
      <c r="AQ33" s="42">
        <v>29</v>
      </c>
    </row>
    <row r="34" spans="1:43" ht="14.45" customHeight="1" x14ac:dyDescent="0.2">
      <c r="A34" s="42">
        <v>25025002</v>
      </c>
      <c r="B34" s="42" t="s">
        <v>907</v>
      </c>
      <c r="C34" s="42">
        <v>9.3040555559999998</v>
      </c>
      <c r="D34" s="42">
        <v>-74.273638890000001</v>
      </c>
      <c r="E34" s="42">
        <v>25</v>
      </c>
      <c r="F34" s="42" t="s">
        <v>203</v>
      </c>
      <c r="G34" s="42" t="s">
        <v>31</v>
      </c>
      <c r="H34" s="44">
        <v>16.8</v>
      </c>
      <c r="I34" s="42">
        <v>2000</v>
      </c>
      <c r="J34" s="42">
        <v>14</v>
      </c>
      <c r="K34" s="44">
        <v>17</v>
      </c>
      <c r="L34" s="42">
        <v>1989</v>
      </c>
      <c r="M34" s="42">
        <v>16</v>
      </c>
      <c r="N34" s="44">
        <v>18.2</v>
      </c>
      <c r="O34" s="42">
        <v>1997</v>
      </c>
      <c r="P34" s="42">
        <v>11</v>
      </c>
      <c r="Q34" s="44">
        <v>19.2</v>
      </c>
      <c r="R34" s="42">
        <v>2012</v>
      </c>
      <c r="S34" s="42">
        <v>9</v>
      </c>
      <c r="T34" s="44">
        <v>17</v>
      </c>
      <c r="U34" s="42">
        <v>1995</v>
      </c>
      <c r="V34" s="42">
        <v>17</v>
      </c>
      <c r="W34" s="44">
        <v>19</v>
      </c>
      <c r="X34" s="42">
        <v>2012</v>
      </c>
      <c r="Y34" s="42">
        <v>24</v>
      </c>
      <c r="Z34" s="44">
        <v>18.8</v>
      </c>
      <c r="AA34" s="42">
        <v>2000</v>
      </c>
      <c r="AB34" s="42">
        <v>11</v>
      </c>
      <c r="AC34" s="44">
        <v>19.2</v>
      </c>
      <c r="AD34" s="42">
        <v>2004</v>
      </c>
      <c r="AE34" s="42">
        <v>30</v>
      </c>
      <c r="AF34" s="44">
        <v>18</v>
      </c>
      <c r="AG34" s="42">
        <v>2004</v>
      </c>
      <c r="AH34" s="42">
        <v>14</v>
      </c>
      <c r="AI34" s="44">
        <v>19.399999999999999</v>
      </c>
      <c r="AJ34" s="42">
        <v>2011</v>
      </c>
      <c r="AK34" s="42">
        <v>23</v>
      </c>
      <c r="AL34" s="44">
        <v>18.2</v>
      </c>
      <c r="AM34" s="42">
        <v>2000</v>
      </c>
      <c r="AN34" s="42">
        <v>23</v>
      </c>
      <c r="AO34" s="44">
        <v>17.2</v>
      </c>
      <c r="AP34" s="42">
        <v>1985</v>
      </c>
      <c r="AQ34" s="42">
        <v>18</v>
      </c>
    </row>
    <row r="35" spans="1:43" ht="14.45" customHeight="1" x14ac:dyDescent="0.2">
      <c r="A35" s="42">
        <v>53115010</v>
      </c>
      <c r="B35" s="42" t="s">
        <v>908</v>
      </c>
      <c r="C35" s="42">
        <v>3.8201111110000001</v>
      </c>
      <c r="D35" s="42">
        <v>-76.992388888999997</v>
      </c>
      <c r="E35" s="42">
        <v>28</v>
      </c>
      <c r="F35" s="42" t="s">
        <v>830</v>
      </c>
      <c r="G35" s="42" t="s">
        <v>341</v>
      </c>
      <c r="H35" s="44">
        <v>20</v>
      </c>
      <c r="I35" s="42">
        <v>2003</v>
      </c>
      <c r="J35" s="42">
        <v>20</v>
      </c>
      <c r="K35" s="44">
        <v>19.8</v>
      </c>
      <c r="L35" s="42">
        <v>2004</v>
      </c>
      <c r="M35" s="42">
        <v>14</v>
      </c>
      <c r="N35" s="44">
        <v>19.2</v>
      </c>
      <c r="O35" s="42">
        <v>2000</v>
      </c>
      <c r="P35" s="42">
        <v>9</v>
      </c>
      <c r="Q35" s="44">
        <v>20.399999999999999</v>
      </c>
      <c r="R35" s="42">
        <v>2005</v>
      </c>
      <c r="S35" s="42">
        <v>8</v>
      </c>
      <c r="T35" s="44">
        <v>19.8</v>
      </c>
      <c r="U35" s="42">
        <v>2000</v>
      </c>
      <c r="V35" s="42">
        <v>4</v>
      </c>
      <c r="W35" s="44">
        <v>19.399999999999999</v>
      </c>
      <c r="X35" s="42">
        <v>2000</v>
      </c>
      <c r="Y35" s="42">
        <v>15</v>
      </c>
      <c r="Z35" s="44">
        <v>20</v>
      </c>
      <c r="AA35" s="42">
        <v>1999</v>
      </c>
      <c r="AB35" s="42">
        <v>4</v>
      </c>
      <c r="AC35" s="44">
        <v>19</v>
      </c>
      <c r="AD35" s="42">
        <v>2000</v>
      </c>
      <c r="AE35" s="42">
        <v>10</v>
      </c>
      <c r="AF35" s="44">
        <v>19.2</v>
      </c>
      <c r="AG35" s="42">
        <v>2000</v>
      </c>
      <c r="AH35" s="42">
        <v>12</v>
      </c>
      <c r="AI35" s="44">
        <v>20</v>
      </c>
      <c r="AJ35" s="42">
        <v>1999</v>
      </c>
      <c r="AK35" s="42">
        <v>7</v>
      </c>
      <c r="AL35" s="44">
        <v>20.3</v>
      </c>
      <c r="AM35" s="42">
        <v>1983</v>
      </c>
      <c r="AN35" s="42">
        <v>28</v>
      </c>
      <c r="AO35" s="44">
        <v>19.2</v>
      </c>
      <c r="AP35" s="42">
        <v>1983</v>
      </c>
      <c r="AQ35" s="42">
        <v>21</v>
      </c>
    </row>
    <row r="36" spans="1:43" ht="14.45" customHeight="1" x14ac:dyDescent="0.2">
      <c r="A36" s="42">
        <v>54085010</v>
      </c>
      <c r="B36" s="42" t="s">
        <v>909</v>
      </c>
      <c r="C36" s="42">
        <v>4.6881944439999996</v>
      </c>
      <c r="D36" s="42">
        <v>-76.934250000000006</v>
      </c>
      <c r="E36" s="42">
        <v>28</v>
      </c>
      <c r="F36" s="42" t="s">
        <v>601</v>
      </c>
      <c r="G36" s="42" t="s">
        <v>910</v>
      </c>
      <c r="H36" s="44">
        <v>19</v>
      </c>
      <c r="I36" s="42">
        <v>1986</v>
      </c>
      <c r="J36" s="42">
        <v>19</v>
      </c>
      <c r="K36" s="44">
        <v>20</v>
      </c>
      <c r="L36" s="42">
        <v>1984</v>
      </c>
      <c r="M36" s="42">
        <v>6</v>
      </c>
      <c r="N36" s="44">
        <v>20</v>
      </c>
      <c r="O36" s="42">
        <v>1986</v>
      </c>
      <c r="P36" s="42">
        <v>4</v>
      </c>
      <c r="Q36" s="44">
        <v>19</v>
      </c>
      <c r="R36" s="42">
        <v>1998</v>
      </c>
      <c r="S36" s="42">
        <v>12</v>
      </c>
      <c r="T36" s="44">
        <v>19.399999999999999</v>
      </c>
      <c r="U36" s="42">
        <v>1997</v>
      </c>
      <c r="V36" s="42">
        <v>13</v>
      </c>
      <c r="W36" s="44">
        <v>19</v>
      </c>
      <c r="X36" s="42">
        <v>1998</v>
      </c>
      <c r="Y36" s="42">
        <v>16</v>
      </c>
      <c r="Z36" s="44">
        <v>18</v>
      </c>
      <c r="AA36" s="42">
        <v>1998</v>
      </c>
      <c r="AB36" s="42">
        <v>12</v>
      </c>
      <c r="AC36" s="44">
        <v>18</v>
      </c>
      <c r="AD36" s="42">
        <v>1995</v>
      </c>
      <c r="AE36" s="42">
        <v>21</v>
      </c>
      <c r="AF36" s="44">
        <v>19</v>
      </c>
      <c r="AG36" s="42">
        <v>1997</v>
      </c>
      <c r="AH36" s="42">
        <v>13</v>
      </c>
      <c r="AI36" s="44">
        <v>17.399999999999999</v>
      </c>
      <c r="AJ36" s="42">
        <v>1998</v>
      </c>
      <c r="AK36" s="42">
        <v>10</v>
      </c>
      <c r="AL36" s="44">
        <v>19</v>
      </c>
      <c r="AM36" s="42">
        <v>1998</v>
      </c>
      <c r="AN36" s="42">
        <v>1</v>
      </c>
      <c r="AO36" s="44">
        <v>19</v>
      </c>
      <c r="AP36" s="42">
        <v>1998</v>
      </c>
      <c r="AQ36" s="42">
        <v>7</v>
      </c>
    </row>
    <row r="37" spans="1:43" ht="14.45" customHeight="1" x14ac:dyDescent="0.2">
      <c r="A37" s="42">
        <v>52065020</v>
      </c>
      <c r="B37" s="42" t="s">
        <v>911</v>
      </c>
      <c r="C37" s="42">
        <v>1.67</v>
      </c>
      <c r="D37" s="42">
        <v>-78.14</v>
      </c>
      <c r="E37" s="42">
        <v>32</v>
      </c>
      <c r="F37" s="42" t="s">
        <v>741</v>
      </c>
      <c r="G37" s="42" t="s">
        <v>82</v>
      </c>
      <c r="H37" s="44">
        <v>19</v>
      </c>
      <c r="I37" s="42">
        <v>1981</v>
      </c>
      <c r="J37" s="42">
        <v>10</v>
      </c>
      <c r="K37" s="44">
        <v>19</v>
      </c>
      <c r="L37" s="42">
        <v>1980</v>
      </c>
      <c r="M37" s="42">
        <v>21</v>
      </c>
      <c r="N37" s="44">
        <v>19</v>
      </c>
      <c r="O37" s="42">
        <v>2005</v>
      </c>
      <c r="P37" s="42">
        <v>15</v>
      </c>
      <c r="Q37" s="44">
        <v>19</v>
      </c>
      <c r="R37" s="42">
        <v>1979</v>
      </c>
      <c r="S37" s="42">
        <v>9</v>
      </c>
      <c r="T37" s="44">
        <v>19</v>
      </c>
      <c r="U37" s="42">
        <v>1979</v>
      </c>
      <c r="V37" s="42">
        <v>3</v>
      </c>
      <c r="W37" s="44">
        <v>19</v>
      </c>
      <c r="X37" s="42">
        <v>1998</v>
      </c>
      <c r="Y37" s="42">
        <v>19</v>
      </c>
      <c r="Z37" s="44">
        <v>19.2</v>
      </c>
      <c r="AA37" s="42">
        <v>1995</v>
      </c>
      <c r="AB37" s="42">
        <v>28</v>
      </c>
      <c r="AC37" s="44">
        <v>19</v>
      </c>
      <c r="AD37" s="42">
        <v>2008</v>
      </c>
      <c r="AE37" s="42">
        <v>12</v>
      </c>
      <c r="AF37" s="44">
        <v>19</v>
      </c>
      <c r="AG37" s="42">
        <v>1979</v>
      </c>
      <c r="AH37" s="42">
        <v>12</v>
      </c>
      <c r="AI37" s="44">
        <v>19</v>
      </c>
      <c r="AJ37" s="42">
        <v>1979</v>
      </c>
      <c r="AK37" s="42">
        <v>7</v>
      </c>
      <c r="AL37" s="44">
        <v>19</v>
      </c>
      <c r="AM37" s="42">
        <v>1980</v>
      </c>
      <c r="AN37" s="42">
        <v>16</v>
      </c>
      <c r="AO37" s="44">
        <v>19.2</v>
      </c>
      <c r="AP37" s="42">
        <v>2008</v>
      </c>
      <c r="AQ37" s="42">
        <v>12</v>
      </c>
    </row>
    <row r="38" spans="1:43" ht="14.45" customHeight="1" x14ac:dyDescent="0.2">
      <c r="A38" s="42">
        <v>25025090</v>
      </c>
      <c r="B38" s="42" t="s">
        <v>912</v>
      </c>
      <c r="C38" s="42">
        <v>9.0463333329999998</v>
      </c>
      <c r="D38" s="42">
        <v>-73.970833330000005</v>
      </c>
      <c r="E38" s="42">
        <v>34</v>
      </c>
      <c r="F38" s="42" t="s">
        <v>713</v>
      </c>
      <c r="G38" s="42" t="s">
        <v>31</v>
      </c>
      <c r="H38" s="44">
        <v>17</v>
      </c>
      <c r="I38" s="42">
        <v>2002</v>
      </c>
      <c r="J38" s="42">
        <v>13</v>
      </c>
      <c r="K38" s="44">
        <v>18</v>
      </c>
      <c r="L38" s="42">
        <v>1993</v>
      </c>
      <c r="M38" s="42">
        <v>26</v>
      </c>
      <c r="N38" s="44">
        <v>18.2</v>
      </c>
      <c r="O38" s="42">
        <v>1993</v>
      </c>
      <c r="P38" s="42">
        <v>18</v>
      </c>
      <c r="Q38" s="44">
        <v>18</v>
      </c>
      <c r="R38" s="42">
        <v>1993</v>
      </c>
      <c r="S38" s="42">
        <v>11</v>
      </c>
      <c r="T38" s="44">
        <v>18.8</v>
      </c>
      <c r="U38" s="42">
        <v>1995</v>
      </c>
      <c r="V38" s="42">
        <v>18</v>
      </c>
      <c r="W38" s="44">
        <v>18.8</v>
      </c>
      <c r="X38" s="42">
        <v>1993</v>
      </c>
      <c r="Y38" s="42">
        <v>20</v>
      </c>
      <c r="Z38" s="44">
        <v>18.2</v>
      </c>
      <c r="AA38" s="42">
        <v>1995</v>
      </c>
      <c r="AB38" s="42">
        <v>7</v>
      </c>
      <c r="AC38" s="44">
        <v>18.2</v>
      </c>
      <c r="AD38" s="42">
        <v>1994</v>
      </c>
      <c r="AE38" s="42">
        <v>15</v>
      </c>
      <c r="AF38" s="44">
        <v>18.399999999999999</v>
      </c>
      <c r="AG38" s="42">
        <v>1999</v>
      </c>
      <c r="AH38" s="42">
        <v>28</v>
      </c>
      <c r="AI38" s="44">
        <v>18.2</v>
      </c>
      <c r="AJ38" s="42">
        <v>2001</v>
      </c>
      <c r="AK38" s="42">
        <v>10</v>
      </c>
      <c r="AL38" s="44">
        <v>19.2</v>
      </c>
      <c r="AM38" s="42">
        <v>1998</v>
      </c>
      <c r="AN38" s="42">
        <v>27</v>
      </c>
      <c r="AO38" s="44">
        <v>18</v>
      </c>
      <c r="AP38" s="42">
        <v>1992</v>
      </c>
      <c r="AQ38" s="42">
        <v>11</v>
      </c>
    </row>
    <row r="39" spans="1:43" ht="14.45" customHeight="1" x14ac:dyDescent="0.2">
      <c r="A39" s="42">
        <v>12025040</v>
      </c>
      <c r="B39" s="42" t="s">
        <v>913</v>
      </c>
      <c r="C39" s="42">
        <v>8.0918055560000006</v>
      </c>
      <c r="D39" s="42">
        <v>-76.716333329999998</v>
      </c>
      <c r="E39" s="42">
        <v>37</v>
      </c>
      <c r="F39" s="42" t="s">
        <v>914</v>
      </c>
      <c r="G39" s="42" t="s">
        <v>57</v>
      </c>
      <c r="H39" s="44">
        <v>20.2</v>
      </c>
      <c r="I39" s="42">
        <v>1992</v>
      </c>
      <c r="J39" s="42">
        <v>5</v>
      </c>
      <c r="K39" s="44">
        <v>20</v>
      </c>
      <c r="L39" s="42">
        <v>1994</v>
      </c>
      <c r="M39" s="42">
        <v>6</v>
      </c>
      <c r="N39" s="44">
        <v>21</v>
      </c>
      <c r="O39" s="42">
        <v>1995</v>
      </c>
      <c r="P39" s="42">
        <v>24</v>
      </c>
      <c r="Q39" s="44">
        <v>20.2</v>
      </c>
      <c r="R39" s="42">
        <v>1991</v>
      </c>
      <c r="S39" s="42">
        <v>3</v>
      </c>
      <c r="T39" s="44">
        <v>20.2</v>
      </c>
      <c r="U39" s="42">
        <v>1992</v>
      </c>
      <c r="V39" s="42">
        <v>22</v>
      </c>
      <c r="W39" s="44">
        <v>20.399999999999999</v>
      </c>
      <c r="X39" s="42">
        <v>1992</v>
      </c>
      <c r="Y39" s="42">
        <v>1</v>
      </c>
      <c r="Z39" s="44">
        <v>20</v>
      </c>
      <c r="AA39" s="42">
        <v>2001</v>
      </c>
      <c r="AB39" s="42">
        <v>14</v>
      </c>
      <c r="AC39" s="44">
        <v>18</v>
      </c>
      <c r="AD39" s="42">
        <v>2001</v>
      </c>
      <c r="AE39" s="42">
        <v>28</v>
      </c>
      <c r="AF39" s="44">
        <v>17.8</v>
      </c>
      <c r="AG39" s="42">
        <v>2001</v>
      </c>
      <c r="AH39" s="42">
        <v>24</v>
      </c>
      <c r="AI39" s="44">
        <v>17</v>
      </c>
      <c r="AJ39" s="42">
        <v>1994</v>
      </c>
      <c r="AK39" s="42">
        <v>30</v>
      </c>
      <c r="AL39" s="44">
        <v>20.2</v>
      </c>
      <c r="AM39" s="42">
        <v>2001</v>
      </c>
      <c r="AN39" s="42">
        <v>4</v>
      </c>
      <c r="AO39" s="44">
        <v>20</v>
      </c>
      <c r="AP39" s="42">
        <v>1991</v>
      </c>
      <c r="AQ39" s="42">
        <v>24</v>
      </c>
    </row>
    <row r="40" spans="1:43" ht="14.45" customHeight="1" x14ac:dyDescent="0.2">
      <c r="A40" s="42">
        <v>12015060</v>
      </c>
      <c r="B40" s="42" t="s">
        <v>915</v>
      </c>
      <c r="C40" s="42">
        <v>7.77</v>
      </c>
      <c r="D40" s="42">
        <v>-76.67</v>
      </c>
      <c r="E40" s="42">
        <v>39</v>
      </c>
      <c r="F40" s="42" t="s">
        <v>58</v>
      </c>
      <c r="G40" s="42" t="s">
        <v>57</v>
      </c>
      <c r="H40" s="44">
        <v>19</v>
      </c>
      <c r="I40" s="42">
        <v>1992</v>
      </c>
      <c r="J40" s="42">
        <v>11</v>
      </c>
      <c r="K40" s="44">
        <v>18</v>
      </c>
      <c r="L40" s="42">
        <v>1992</v>
      </c>
      <c r="M40" s="42">
        <v>14</v>
      </c>
      <c r="N40" s="44">
        <v>18.600000000000001</v>
      </c>
      <c r="O40" s="42">
        <v>1994</v>
      </c>
      <c r="P40" s="42">
        <v>14</v>
      </c>
      <c r="Q40" s="44">
        <v>19.8</v>
      </c>
      <c r="R40" s="42">
        <v>1998</v>
      </c>
      <c r="S40" s="42">
        <v>11</v>
      </c>
      <c r="T40" s="44">
        <v>19.600000000000001</v>
      </c>
      <c r="U40" s="42">
        <v>1997</v>
      </c>
      <c r="V40" s="42">
        <v>19</v>
      </c>
      <c r="W40" s="44">
        <v>18</v>
      </c>
      <c r="X40" s="42">
        <v>1993</v>
      </c>
      <c r="Y40" s="42">
        <v>13</v>
      </c>
      <c r="Z40" s="44">
        <v>18.600000000000001</v>
      </c>
      <c r="AA40" s="42">
        <v>1993</v>
      </c>
      <c r="AB40" s="42">
        <v>7</v>
      </c>
      <c r="AC40" s="44">
        <v>20.100000000000001</v>
      </c>
      <c r="AD40" s="42">
        <v>1983</v>
      </c>
      <c r="AE40" s="42">
        <v>26</v>
      </c>
      <c r="AF40" s="44">
        <v>18.2</v>
      </c>
      <c r="AG40" s="42">
        <v>1994</v>
      </c>
      <c r="AH40" s="42">
        <v>15</v>
      </c>
      <c r="AI40" s="44">
        <v>19.399999999999999</v>
      </c>
      <c r="AJ40" s="42">
        <v>1997</v>
      </c>
      <c r="AK40" s="42">
        <v>14</v>
      </c>
      <c r="AL40" s="44">
        <v>18.2</v>
      </c>
      <c r="AM40" s="42">
        <v>1991</v>
      </c>
      <c r="AN40" s="42">
        <v>30</v>
      </c>
      <c r="AO40" s="44">
        <v>18.600000000000001</v>
      </c>
      <c r="AP40" s="42">
        <v>1991</v>
      </c>
      <c r="AQ40" s="42">
        <v>13</v>
      </c>
    </row>
    <row r="41" spans="1:43" ht="14.45" customHeight="1" x14ac:dyDescent="0.2">
      <c r="A41" s="42">
        <v>13075020</v>
      </c>
      <c r="B41" s="42" t="s">
        <v>916</v>
      </c>
      <c r="C41" s="42">
        <v>8.9138888890000008</v>
      </c>
      <c r="D41" s="42">
        <v>-75.582222220000006</v>
      </c>
      <c r="E41" s="42">
        <v>40</v>
      </c>
      <c r="F41" s="42" t="s">
        <v>126</v>
      </c>
      <c r="G41" s="42" t="s">
        <v>893</v>
      </c>
      <c r="H41" s="44">
        <v>16.399999999999999</v>
      </c>
      <c r="I41" s="42">
        <v>1979</v>
      </c>
      <c r="J41" s="42">
        <v>19</v>
      </c>
      <c r="K41" s="44">
        <v>16.100000000000001</v>
      </c>
      <c r="L41" s="42">
        <v>1993</v>
      </c>
      <c r="M41" s="42">
        <v>20</v>
      </c>
      <c r="N41" s="44">
        <v>17.5</v>
      </c>
      <c r="O41" s="42">
        <v>1993</v>
      </c>
      <c r="P41" s="42">
        <v>17</v>
      </c>
      <c r="Q41" s="44">
        <v>16.399999999999999</v>
      </c>
      <c r="R41" s="42">
        <v>1981</v>
      </c>
      <c r="S41" s="42">
        <v>20</v>
      </c>
      <c r="T41" s="44">
        <v>16</v>
      </c>
      <c r="U41" s="42">
        <v>1981</v>
      </c>
      <c r="V41" s="42">
        <v>19</v>
      </c>
      <c r="W41" s="44">
        <v>15.8</v>
      </c>
      <c r="X41" s="42">
        <v>1995</v>
      </c>
      <c r="Y41" s="42">
        <v>14</v>
      </c>
      <c r="Z41" s="44">
        <v>16</v>
      </c>
      <c r="AA41" s="42">
        <v>1995</v>
      </c>
      <c r="AB41" s="42">
        <v>27</v>
      </c>
      <c r="AC41" s="44">
        <v>15.3</v>
      </c>
      <c r="AD41" s="42">
        <v>1995</v>
      </c>
      <c r="AE41" s="42">
        <v>2</v>
      </c>
      <c r="AF41" s="44">
        <v>17</v>
      </c>
      <c r="AG41" s="42">
        <v>1981</v>
      </c>
      <c r="AH41" s="42">
        <v>21</v>
      </c>
      <c r="AI41" s="44">
        <v>18</v>
      </c>
      <c r="AJ41" s="42">
        <v>2025</v>
      </c>
      <c r="AK41" s="42">
        <v>17</v>
      </c>
      <c r="AL41" s="44">
        <v>17</v>
      </c>
      <c r="AM41" s="42">
        <v>1993</v>
      </c>
      <c r="AN41" s="42">
        <v>12</v>
      </c>
      <c r="AO41" s="44">
        <v>17</v>
      </c>
      <c r="AP41" s="42">
        <v>1994</v>
      </c>
      <c r="AQ41" s="42">
        <v>14</v>
      </c>
    </row>
    <row r="42" spans="1:43" ht="14.45" customHeight="1" x14ac:dyDescent="0.2">
      <c r="A42" s="42">
        <v>25025250</v>
      </c>
      <c r="B42" s="42" t="s">
        <v>917</v>
      </c>
      <c r="C42" s="42">
        <v>9.3610277780000004</v>
      </c>
      <c r="D42" s="42">
        <v>-73.59338889</v>
      </c>
      <c r="E42" s="42">
        <v>40</v>
      </c>
      <c r="F42" s="42" t="s">
        <v>592</v>
      </c>
      <c r="G42" s="42" t="s">
        <v>43</v>
      </c>
      <c r="H42" s="44">
        <v>17.2</v>
      </c>
      <c r="I42" s="42">
        <v>1991</v>
      </c>
      <c r="J42" s="42">
        <v>24</v>
      </c>
      <c r="K42" s="44">
        <v>17</v>
      </c>
      <c r="L42" s="42">
        <v>1989</v>
      </c>
      <c r="M42" s="42">
        <v>16</v>
      </c>
      <c r="N42" s="44">
        <v>18.2</v>
      </c>
      <c r="O42" s="42">
        <v>1990</v>
      </c>
      <c r="P42" s="42">
        <v>1</v>
      </c>
      <c r="Q42" s="44">
        <v>17.8</v>
      </c>
      <c r="R42" s="42">
        <v>1984</v>
      </c>
      <c r="S42" s="42">
        <v>2</v>
      </c>
      <c r="T42" s="44">
        <v>18</v>
      </c>
      <c r="U42" s="42">
        <v>1991</v>
      </c>
      <c r="V42" s="42">
        <v>22</v>
      </c>
      <c r="W42" s="44">
        <v>18</v>
      </c>
      <c r="X42" s="42">
        <v>1996</v>
      </c>
      <c r="Y42" s="42">
        <v>5</v>
      </c>
      <c r="Z42" s="44">
        <v>18</v>
      </c>
      <c r="AA42" s="42">
        <v>1996</v>
      </c>
      <c r="AB42" s="42">
        <v>27</v>
      </c>
      <c r="AC42" s="44">
        <v>18.600000000000001</v>
      </c>
      <c r="AD42" s="42">
        <v>1983</v>
      </c>
      <c r="AE42" s="42">
        <v>5</v>
      </c>
      <c r="AF42" s="44">
        <v>18</v>
      </c>
      <c r="AG42" s="42">
        <v>1999</v>
      </c>
      <c r="AH42" s="42">
        <v>11</v>
      </c>
      <c r="AI42" s="44">
        <v>17.600000000000001</v>
      </c>
      <c r="AJ42" s="42">
        <v>1999</v>
      </c>
      <c r="AK42" s="42">
        <v>16</v>
      </c>
      <c r="AL42" s="44">
        <v>18.8</v>
      </c>
      <c r="AM42" s="42">
        <v>1990</v>
      </c>
      <c r="AN42" s="42">
        <v>3</v>
      </c>
      <c r="AO42" s="44">
        <v>17</v>
      </c>
      <c r="AP42" s="42">
        <v>1989</v>
      </c>
      <c r="AQ42" s="42">
        <v>29</v>
      </c>
    </row>
    <row r="43" spans="1:43" ht="14.45" customHeight="1" x14ac:dyDescent="0.2">
      <c r="A43" s="42">
        <v>12015070</v>
      </c>
      <c r="B43" s="42" t="s">
        <v>918</v>
      </c>
      <c r="C43" s="42">
        <v>7.8163888889999997</v>
      </c>
      <c r="D43" s="42">
        <v>-76.717888889999998</v>
      </c>
      <c r="E43" s="42">
        <v>41</v>
      </c>
      <c r="F43" s="42" t="s">
        <v>58</v>
      </c>
      <c r="G43" s="42" t="s">
        <v>57</v>
      </c>
      <c r="H43" s="44">
        <v>19</v>
      </c>
      <c r="I43" s="42">
        <v>2001</v>
      </c>
      <c r="J43" s="42">
        <v>21</v>
      </c>
      <c r="K43" s="44">
        <v>20.5</v>
      </c>
      <c r="L43" s="42">
        <v>2001</v>
      </c>
      <c r="M43" s="42">
        <v>3</v>
      </c>
      <c r="N43" s="44">
        <v>19.399999999999999</v>
      </c>
      <c r="O43" s="42">
        <v>1985</v>
      </c>
      <c r="P43" s="42">
        <v>21</v>
      </c>
      <c r="Q43" s="44">
        <v>19.399999999999999</v>
      </c>
      <c r="R43" s="42">
        <v>1994</v>
      </c>
      <c r="S43" s="42">
        <v>1</v>
      </c>
      <c r="T43" s="44">
        <v>19</v>
      </c>
      <c r="U43" s="42">
        <v>2001</v>
      </c>
      <c r="V43" s="42">
        <v>18</v>
      </c>
      <c r="W43" s="44">
        <v>20</v>
      </c>
      <c r="X43" s="42">
        <v>1994</v>
      </c>
      <c r="Y43" s="42">
        <v>22</v>
      </c>
      <c r="Z43" s="44">
        <v>19</v>
      </c>
      <c r="AA43" s="42">
        <v>2000</v>
      </c>
      <c r="AB43" s="42">
        <v>22</v>
      </c>
      <c r="AC43" s="44">
        <v>19</v>
      </c>
      <c r="AD43" s="42">
        <v>2000</v>
      </c>
      <c r="AE43" s="42">
        <v>25</v>
      </c>
      <c r="AF43" s="44">
        <v>19</v>
      </c>
      <c r="AG43" s="42">
        <v>1995</v>
      </c>
      <c r="AH43" s="42">
        <v>26</v>
      </c>
      <c r="AI43" s="44">
        <v>19</v>
      </c>
      <c r="AJ43" s="42">
        <v>2000</v>
      </c>
      <c r="AK43" s="42">
        <v>5</v>
      </c>
      <c r="AL43" s="44">
        <v>19</v>
      </c>
      <c r="AM43" s="42">
        <v>2002</v>
      </c>
      <c r="AN43" s="42">
        <v>5</v>
      </c>
      <c r="AO43" s="44">
        <v>20</v>
      </c>
      <c r="AP43" s="42">
        <v>1999</v>
      </c>
      <c r="AQ43" s="42">
        <v>28</v>
      </c>
    </row>
    <row r="44" spans="1:43" ht="14.45" customHeight="1" x14ac:dyDescent="0.2">
      <c r="A44" s="42">
        <v>12015020</v>
      </c>
      <c r="B44" s="42" t="s">
        <v>919</v>
      </c>
      <c r="C44" s="42">
        <v>7.8259166670000004</v>
      </c>
      <c r="D44" s="42">
        <v>-76.65133333</v>
      </c>
      <c r="E44" s="42">
        <v>43</v>
      </c>
      <c r="F44" s="42" t="s">
        <v>103</v>
      </c>
      <c r="G44" s="42" t="s">
        <v>57</v>
      </c>
      <c r="H44" s="44">
        <v>19</v>
      </c>
      <c r="I44" s="42">
        <v>2017</v>
      </c>
      <c r="J44" s="42">
        <v>12</v>
      </c>
      <c r="K44" s="44">
        <v>18.8</v>
      </c>
      <c r="L44" s="42">
        <v>1981</v>
      </c>
      <c r="M44" s="42">
        <v>6</v>
      </c>
      <c r="N44" s="44">
        <v>19.5</v>
      </c>
      <c r="O44" s="42">
        <v>1994</v>
      </c>
      <c r="P44" s="42">
        <v>29</v>
      </c>
      <c r="Q44" s="44">
        <v>19.2</v>
      </c>
      <c r="R44" s="42">
        <v>2015</v>
      </c>
      <c r="S44" s="42">
        <v>17</v>
      </c>
      <c r="T44" s="44">
        <v>17.5</v>
      </c>
      <c r="U44" s="42">
        <v>1996</v>
      </c>
      <c r="V44" s="42">
        <v>7</v>
      </c>
      <c r="W44" s="44">
        <v>19.7</v>
      </c>
      <c r="X44" s="42">
        <v>2006</v>
      </c>
      <c r="Y44" s="42">
        <v>3</v>
      </c>
      <c r="Z44" s="44">
        <v>18.2</v>
      </c>
      <c r="AA44" s="42">
        <v>1996</v>
      </c>
      <c r="AB44" s="42">
        <v>11</v>
      </c>
      <c r="AC44" s="44">
        <v>19</v>
      </c>
      <c r="AD44" s="42">
        <v>1996</v>
      </c>
      <c r="AE44" s="42">
        <v>22</v>
      </c>
      <c r="AF44" s="44">
        <v>19</v>
      </c>
      <c r="AG44" s="42">
        <v>1980</v>
      </c>
      <c r="AH44" s="42">
        <v>18</v>
      </c>
      <c r="AI44" s="44">
        <v>19.8</v>
      </c>
      <c r="AJ44" s="42">
        <v>2012</v>
      </c>
      <c r="AK44" s="42">
        <v>5</v>
      </c>
      <c r="AL44" s="44">
        <v>18.5</v>
      </c>
      <c r="AM44" s="42">
        <v>2005</v>
      </c>
      <c r="AN44" s="42">
        <v>18</v>
      </c>
      <c r="AO44" s="44">
        <v>19.5</v>
      </c>
      <c r="AP44" s="42">
        <v>1979</v>
      </c>
      <c r="AQ44" s="42">
        <v>21</v>
      </c>
    </row>
    <row r="45" spans="1:43" ht="14.45" customHeight="1" x14ac:dyDescent="0.2">
      <c r="A45" s="42">
        <v>15085040</v>
      </c>
      <c r="B45" s="42" t="s">
        <v>920</v>
      </c>
      <c r="C45" s="42">
        <v>11.68605556</v>
      </c>
      <c r="D45" s="42">
        <v>-71.833055560000005</v>
      </c>
      <c r="E45" s="42">
        <v>50</v>
      </c>
      <c r="F45" s="42" t="s">
        <v>707</v>
      </c>
      <c r="G45" s="42" t="s">
        <v>40</v>
      </c>
      <c r="H45" s="44">
        <v>19.399999999999999</v>
      </c>
      <c r="I45" s="42">
        <v>1979</v>
      </c>
      <c r="J45" s="42">
        <v>6</v>
      </c>
      <c r="K45" s="44">
        <v>19.2</v>
      </c>
      <c r="L45" s="42">
        <v>2008</v>
      </c>
      <c r="M45" s="42">
        <v>2</v>
      </c>
      <c r="N45" s="44">
        <v>20.399999999999999</v>
      </c>
      <c r="O45" s="42">
        <v>1987</v>
      </c>
      <c r="P45" s="42">
        <v>11</v>
      </c>
      <c r="Q45" s="44">
        <v>21.2</v>
      </c>
      <c r="R45" s="42">
        <v>1982</v>
      </c>
      <c r="S45" s="42">
        <v>15</v>
      </c>
      <c r="T45" s="44">
        <v>21.2</v>
      </c>
      <c r="U45" s="42">
        <v>1999</v>
      </c>
      <c r="V45" s="42">
        <v>11</v>
      </c>
      <c r="W45" s="44">
        <v>22.4</v>
      </c>
      <c r="X45" s="42">
        <v>1986</v>
      </c>
      <c r="Y45" s="42">
        <v>2</v>
      </c>
      <c r="Z45" s="44">
        <v>23</v>
      </c>
      <c r="AA45" s="42">
        <v>1984</v>
      </c>
      <c r="AB45" s="42">
        <v>22</v>
      </c>
      <c r="AC45" s="44">
        <v>22</v>
      </c>
      <c r="AD45" s="42">
        <v>1988</v>
      </c>
      <c r="AE45" s="42">
        <v>18</v>
      </c>
      <c r="AF45" s="44">
        <v>20.399999999999999</v>
      </c>
      <c r="AG45" s="42">
        <v>1999</v>
      </c>
      <c r="AH45" s="42">
        <v>17</v>
      </c>
      <c r="AI45" s="44">
        <v>21.2</v>
      </c>
      <c r="AJ45" s="42">
        <v>2018</v>
      </c>
      <c r="AK45" s="42">
        <v>9</v>
      </c>
      <c r="AL45" s="44">
        <v>21.6</v>
      </c>
      <c r="AM45" s="42">
        <v>1986</v>
      </c>
      <c r="AN45" s="42">
        <v>30</v>
      </c>
      <c r="AO45" s="44">
        <v>19.600000000000001</v>
      </c>
      <c r="AP45" s="42">
        <v>1999</v>
      </c>
      <c r="AQ45" s="42">
        <v>26</v>
      </c>
    </row>
    <row r="46" spans="1:43" ht="14.45" customHeight="1" x14ac:dyDescent="0.2">
      <c r="A46" s="42">
        <v>25025160</v>
      </c>
      <c r="B46" s="42" t="s">
        <v>921</v>
      </c>
      <c r="C46" s="42">
        <v>8.0038888890000006</v>
      </c>
      <c r="D46" s="42">
        <v>-75.402777779999994</v>
      </c>
      <c r="E46" s="42">
        <v>50</v>
      </c>
      <c r="F46" s="42" t="s">
        <v>132</v>
      </c>
      <c r="G46" s="42" t="s">
        <v>893</v>
      </c>
      <c r="H46" s="44">
        <v>19</v>
      </c>
      <c r="I46" s="42">
        <v>1978</v>
      </c>
      <c r="J46" s="42">
        <v>12</v>
      </c>
      <c r="K46" s="44">
        <v>18.2</v>
      </c>
      <c r="L46" s="42">
        <v>1978</v>
      </c>
      <c r="M46" s="42">
        <v>3</v>
      </c>
      <c r="N46" s="44">
        <v>18.2</v>
      </c>
      <c r="O46" s="42">
        <v>1978</v>
      </c>
      <c r="P46" s="42">
        <v>27</v>
      </c>
      <c r="Q46" s="44">
        <v>19</v>
      </c>
      <c r="R46" s="42">
        <v>1991</v>
      </c>
      <c r="S46" s="42">
        <v>13</v>
      </c>
      <c r="T46" s="44">
        <v>18.2</v>
      </c>
      <c r="U46" s="42">
        <v>1978</v>
      </c>
      <c r="V46" s="42">
        <v>18</v>
      </c>
      <c r="W46" s="44">
        <v>19</v>
      </c>
      <c r="X46" s="42">
        <v>1997</v>
      </c>
      <c r="Y46" s="42">
        <v>11</v>
      </c>
      <c r="Z46" s="44">
        <v>19</v>
      </c>
      <c r="AA46" s="42">
        <v>1985</v>
      </c>
      <c r="AB46" s="42">
        <v>8</v>
      </c>
      <c r="AC46" s="44">
        <v>18.100000000000001</v>
      </c>
      <c r="AD46" s="42">
        <v>1978</v>
      </c>
      <c r="AE46" s="42">
        <v>9</v>
      </c>
      <c r="AF46" s="44">
        <v>19.2</v>
      </c>
      <c r="AG46" s="42">
        <v>1989</v>
      </c>
      <c r="AH46" s="42">
        <v>11</v>
      </c>
      <c r="AI46" s="44">
        <v>19.5</v>
      </c>
      <c r="AJ46" s="42">
        <v>1991</v>
      </c>
      <c r="AK46" s="42">
        <v>23</v>
      </c>
      <c r="AL46" s="44">
        <v>19.2</v>
      </c>
      <c r="AM46" s="42">
        <v>2019</v>
      </c>
      <c r="AN46" s="42">
        <v>10</v>
      </c>
      <c r="AO46" s="44">
        <v>19.100000000000001</v>
      </c>
      <c r="AP46" s="42">
        <v>1991</v>
      </c>
      <c r="AQ46" s="42">
        <v>6</v>
      </c>
    </row>
    <row r="47" spans="1:43" ht="14.45" customHeight="1" x14ac:dyDescent="0.2">
      <c r="A47" s="42">
        <v>25025330</v>
      </c>
      <c r="B47" s="42" t="s">
        <v>922</v>
      </c>
      <c r="C47" s="42">
        <v>8.9542222220000003</v>
      </c>
      <c r="D47" s="42">
        <v>-73.630083330000005</v>
      </c>
      <c r="E47" s="42">
        <v>50</v>
      </c>
      <c r="F47" s="42" t="s">
        <v>209</v>
      </c>
      <c r="G47" s="42" t="s">
        <v>43</v>
      </c>
      <c r="H47" s="44">
        <v>16.600000000000001</v>
      </c>
      <c r="I47" s="42">
        <v>1989</v>
      </c>
      <c r="J47" s="42">
        <v>30</v>
      </c>
      <c r="K47" s="44">
        <v>13.1</v>
      </c>
      <c r="L47" s="42">
        <v>1988</v>
      </c>
      <c r="M47" s="42">
        <v>24</v>
      </c>
      <c r="N47" s="44">
        <v>14.2</v>
      </c>
      <c r="O47" s="42">
        <v>1993</v>
      </c>
      <c r="P47" s="42">
        <v>27</v>
      </c>
      <c r="Q47" s="44">
        <v>16.600000000000001</v>
      </c>
      <c r="R47" s="42">
        <v>1993</v>
      </c>
      <c r="S47" s="42">
        <v>11</v>
      </c>
      <c r="T47" s="44">
        <v>14.4</v>
      </c>
      <c r="U47" s="42">
        <v>1993</v>
      </c>
      <c r="V47" s="42">
        <v>12</v>
      </c>
      <c r="W47" s="44">
        <v>13.4</v>
      </c>
      <c r="X47" s="42">
        <v>1993</v>
      </c>
      <c r="Y47" s="42">
        <v>12</v>
      </c>
      <c r="Z47" s="44">
        <v>17.600000000000001</v>
      </c>
      <c r="AA47" s="42">
        <v>1992</v>
      </c>
      <c r="AB47" s="42">
        <v>26</v>
      </c>
      <c r="AC47" s="44">
        <v>14.8</v>
      </c>
      <c r="AD47" s="42">
        <v>1992</v>
      </c>
      <c r="AE47" s="42">
        <v>23</v>
      </c>
      <c r="AF47" s="44">
        <v>14.2</v>
      </c>
      <c r="AG47" s="42">
        <v>1993</v>
      </c>
      <c r="AH47" s="42">
        <v>19</v>
      </c>
      <c r="AI47" s="44">
        <v>16.600000000000001</v>
      </c>
      <c r="AJ47" s="42">
        <v>1993</v>
      </c>
      <c r="AK47" s="42">
        <v>3</v>
      </c>
      <c r="AL47" s="44">
        <v>16.2</v>
      </c>
      <c r="AM47" s="42">
        <v>1994</v>
      </c>
      <c r="AN47" s="42">
        <v>30</v>
      </c>
      <c r="AO47" s="44">
        <v>16.399999999999999</v>
      </c>
      <c r="AP47" s="42">
        <v>1987</v>
      </c>
      <c r="AQ47" s="42">
        <v>22</v>
      </c>
    </row>
    <row r="48" spans="1:43" ht="14.45" customHeight="1" x14ac:dyDescent="0.2">
      <c r="A48" s="42">
        <v>28035040</v>
      </c>
      <c r="B48" s="42" t="s">
        <v>923</v>
      </c>
      <c r="C48" s="42">
        <v>9.9049166670000002</v>
      </c>
      <c r="D48" s="42">
        <v>-73.647527780000004</v>
      </c>
      <c r="E48" s="42">
        <v>50</v>
      </c>
      <c r="F48" s="42" t="s">
        <v>44</v>
      </c>
      <c r="G48" s="42" t="s">
        <v>43</v>
      </c>
      <c r="H48" s="44">
        <v>20</v>
      </c>
      <c r="I48" s="42">
        <v>2004</v>
      </c>
      <c r="J48" s="42">
        <v>1</v>
      </c>
      <c r="K48" s="44">
        <v>20.399999999999999</v>
      </c>
      <c r="L48" s="42">
        <v>2003</v>
      </c>
      <c r="M48" s="42">
        <v>24</v>
      </c>
      <c r="N48" s="44">
        <v>20</v>
      </c>
      <c r="O48" s="42">
        <v>2020</v>
      </c>
      <c r="P48" s="42">
        <v>6</v>
      </c>
      <c r="Q48" s="44">
        <v>20.2</v>
      </c>
      <c r="R48" s="42">
        <v>1997</v>
      </c>
      <c r="S48" s="42">
        <v>21</v>
      </c>
      <c r="T48" s="44">
        <v>19.600000000000001</v>
      </c>
      <c r="U48" s="42">
        <v>1986</v>
      </c>
      <c r="V48" s="42">
        <v>24</v>
      </c>
      <c r="W48" s="44">
        <v>20.399999999999999</v>
      </c>
      <c r="X48" s="42">
        <v>2005</v>
      </c>
      <c r="Y48" s="42">
        <v>23</v>
      </c>
      <c r="Z48" s="44">
        <v>21</v>
      </c>
      <c r="AA48" s="42">
        <v>1983</v>
      </c>
      <c r="AB48" s="42">
        <v>15</v>
      </c>
      <c r="AC48" s="44">
        <v>18</v>
      </c>
      <c r="AD48" s="42">
        <v>1983</v>
      </c>
      <c r="AE48" s="42">
        <v>30</v>
      </c>
      <c r="AF48" s="44">
        <v>17.2</v>
      </c>
      <c r="AG48" s="42">
        <v>1983</v>
      </c>
      <c r="AH48" s="42">
        <v>18</v>
      </c>
      <c r="AI48" s="44">
        <v>18.8</v>
      </c>
      <c r="AJ48" s="42">
        <v>1985</v>
      </c>
      <c r="AK48" s="42">
        <v>21</v>
      </c>
      <c r="AL48" s="44">
        <v>18.399999999999999</v>
      </c>
      <c r="AM48" s="42">
        <v>1983</v>
      </c>
      <c r="AN48" s="42">
        <v>29</v>
      </c>
      <c r="AO48" s="44">
        <v>17.2</v>
      </c>
      <c r="AP48" s="42">
        <v>1985</v>
      </c>
      <c r="AQ48" s="42">
        <v>15</v>
      </c>
    </row>
    <row r="49" spans="1:43" ht="14.45" customHeight="1" x14ac:dyDescent="0.2">
      <c r="A49" s="42">
        <v>11035020</v>
      </c>
      <c r="B49" s="42" t="s">
        <v>924</v>
      </c>
      <c r="C49" s="42">
        <v>5.6261666669999997</v>
      </c>
      <c r="D49" s="42">
        <v>-76.749722219999995</v>
      </c>
      <c r="E49" s="42">
        <v>53</v>
      </c>
      <c r="F49" s="42" t="s">
        <v>925</v>
      </c>
      <c r="G49" s="42" t="s">
        <v>910</v>
      </c>
      <c r="H49" s="44">
        <v>18.2</v>
      </c>
      <c r="I49" s="42">
        <v>1984</v>
      </c>
      <c r="J49" s="42">
        <v>1</v>
      </c>
      <c r="K49" s="44">
        <v>18.2</v>
      </c>
      <c r="L49" s="42">
        <v>1994</v>
      </c>
      <c r="M49" s="42">
        <v>25</v>
      </c>
      <c r="N49" s="44">
        <v>17.399999999999999</v>
      </c>
      <c r="O49" s="42">
        <v>1994</v>
      </c>
      <c r="P49" s="42">
        <v>17</v>
      </c>
      <c r="Q49" s="44">
        <v>17.2</v>
      </c>
      <c r="R49" s="42">
        <v>1984</v>
      </c>
      <c r="S49" s="42">
        <v>23</v>
      </c>
      <c r="T49" s="44">
        <v>18.399999999999999</v>
      </c>
      <c r="U49" s="42">
        <v>1994</v>
      </c>
      <c r="V49" s="42">
        <v>25</v>
      </c>
      <c r="W49" s="44">
        <v>17.2</v>
      </c>
      <c r="X49" s="42">
        <v>1992</v>
      </c>
      <c r="Y49" s="42">
        <v>28</v>
      </c>
      <c r="Z49" s="44">
        <v>17.399999999999999</v>
      </c>
      <c r="AA49" s="42">
        <v>1983</v>
      </c>
      <c r="AB49" s="42">
        <v>7</v>
      </c>
      <c r="AC49" s="44">
        <v>19.2</v>
      </c>
      <c r="AD49" s="42">
        <v>1988</v>
      </c>
      <c r="AE49" s="42">
        <v>18</v>
      </c>
      <c r="AF49" s="44">
        <v>19</v>
      </c>
      <c r="AG49" s="42">
        <v>1983</v>
      </c>
      <c r="AH49" s="42">
        <v>27</v>
      </c>
      <c r="AI49" s="44">
        <v>19.2</v>
      </c>
      <c r="AJ49" s="42">
        <v>1983</v>
      </c>
      <c r="AK49" s="42">
        <v>17</v>
      </c>
      <c r="AL49" s="44">
        <v>19.600000000000001</v>
      </c>
      <c r="AM49" s="42">
        <v>1988</v>
      </c>
      <c r="AN49" s="42">
        <v>15</v>
      </c>
      <c r="AO49" s="44">
        <v>18.8</v>
      </c>
      <c r="AP49" s="42">
        <v>1993</v>
      </c>
      <c r="AQ49" s="42">
        <v>4</v>
      </c>
    </row>
    <row r="50" spans="1:43" ht="14.45" customHeight="1" x14ac:dyDescent="0.2">
      <c r="A50" s="42">
        <v>12025030</v>
      </c>
      <c r="B50" s="42" t="s">
        <v>926</v>
      </c>
      <c r="C50" s="42">
        <v>8.5426666670000007</v>
      </c>
      <c r="D50" s="42">
        <v>-76.673361110000002</v>
      </c>
      <c r="E50" s="42">
        <v>54</v>
      </c>
      <c r="F50" s="42" t="s">
        <v>469</v>
      </c>
      <c r="G50" s="42" t="s">
        <v>57</v>
      </c>
      <c r="H50" s="44">
        <v>19.2</v>
      </c>
      <c r="I50" s="42">
        <v>1987</v>
      </c>
      <c r="J50" s="42">
        <v>8</v>
      </c>
      <c r="K50" s="44">
        <v>19.600000000000001</v>
      </c>
      <c r="L50" s="42">
        <v>2012</v>
      </c>
      <c r="M50" s="42">
        <v>16</v>
      </c>
      <c r="N50" s="44">
        <v>18.600000000000001</v>
      </c>
      <c r="O50" s="42">
        <v>2000</v>
      </c>
      <c r="P50" s="42">
        <v>24</v>
      </c>
      <c r="Q50" s="44">
        <v>20.8</v>
      </c>
      <c r="R50" s="42">
        <v>1997</v>
      </c>
      <c r="S50" s="42">
        <v>2</v>
      </c>
      <c r="T50" s="44">
        <v>20</v>
      </c>
      <c r="U50" s="42">
        <v>1995</v>
      </c>
      <c r="V50" s="42">
        <v>4</v>
      </c>
      <c r="W50" s="44">
        <v>20.399999999999999</v>
      </c>
      <c r="X50" s="42">
        <v>1988</v>
      </c>
      <c r="Y50" s="42">
        <v>23</v>
      </c>
      <c r="Z50" s="44">
        <v>19.399999999999999</v>
      </c>
      <c r="AA50" s="42">
        <v>2003</v>
      </c>
      <c r="AB50" s="42">
        <v>24</v>
      </c>
      <c r="AC50" s="44">
        <v>19.399999999999999</v>
      </c>
      <c r="AD50" s="42">
        <v>2003</v>
      </c>
      <c r="AE50" s="42">
        <v>5</v>
      </c>
      <c r="AF50" s="44">
        <v>20</v>
      </c>
      <c r="AG50" s="42">
        <v>1990</v>
      </c>
      <c r="AH50" s="42">
        <v>4</v>
      </c>
      <c r="AI50" s="44">
        <v>20</v>
      </c>
      <c r="AJ50" s="42">
        <v>1991</v>
      </c>
      <c r="AK50" s="42">
        <v>4</v>
      </c>
      <c r="AL50" s="44">
        <v>20</v>
      </c>
      <c r="AM50" s="42">
        <v>1991</v>
      </c>
      <c r="AN50" s="42">
        <v>8</v>
      </c>
      <c r="AO50" s="44">
        <v>19</v>
      </c>
      <c r="AP50" s="42">
        <v>1999</v>
      </c>
      <c r="AQ50" s="42">
        <v>28</v>
      </c>
    </row>
    <row r="51" spans="1:43" ht="14.45" customHeight="1" x14ac:dyDescent="0.2">
      <c r="A51" s="42">
        <v>38015030</v>
      </c>
      <c r="B51" s="42" t="s">
        <v>927</v>
      </c>
      <c r="C51" s="42">
        <v>6.1822220000000003</v>
      </c>
      <c r="D51" s="42">
        <v>-67.492138999999995</v>
      </c>
      <c r="E51" s="42">
        <v>55</v>
      </c>
      <c r="F51" s="42" t="s">
        <v>93</v>
      </c>
      <c r="G51" s="42" t="s">
        <v>92</v>
      </c>
      <c r="H51" s="44">
        <v>19.5</v>
      </c>
      <c r="I51" s="42">
        <v>1979</v>
      </c>
      <c r="J51" s="42">
        <v>7</v>
      </c>
      <c r="K51" s="44">
        <v>19.899999999999999</v>
      </c>
      <c r="L51" s="42">
        <v>1985</v>
      </c>
      <c r="M51" s="42">
        <v>4</v>
      </c>
      <c r="N51" s="44">
        <v>20.100000000000001</v>
      </c>
      <c r="O51" s="42">
        <v>1995</v>
      </c>
      <c r="P51" s="42">
        <v>12</v>
      </c>
      <c r="Q51" s="44">
        <v>20</v>
      </c>
      <c r="R51" s="42">
        <v>1999</v>
      </c>
      <c r="S51" s="42">
        <v>6</v>
      </c>
      <c r="T51" s="44">
        <v>20</v>
      </c>
      <c r="U51" s="42">
        <v>1999</v>
      </c>
      <c r="V51" s="42">
        <v>14</v>
      </c>
      <c r="W51" s="44">
        <v>19.7</v>
      </c>
      <c r="X51" s="42">
        <v>2001</v>
      </c>
      <c r="Y51" s="42">
        <v>21</v>
      </c>
      <c r="Z51" s="44">
        <v>19.2</v>
      </c>
      <c r="AA51" s="42">
        <v>1996</v>
      </c>
      <c r="AB51" s="42">
        <v>1</v>
      </c>
      <c r="AC51" s="44">
        <v>20</v>
      </c>
      <c r="AD51" s="42">
        <v>1978</v>
      </c>
      <c r="AE51" s="42">
        <v>16</v>
      </c>
      <c r="AF51" s="44">
        <v>19.5</v>
      </c>
      <c r="AG51" s="42">
        <v>1996</v>
      </c>
      <c r="AH51" s="42">
        <v>12</v>
      </c>
      <c r="AI51" s="44">
        <v>20.2</v>
      </c>
      <c r="AJ51" s="42">
        <v>1990</v>
      </c>
      <c r="AK51" s="42">
        <v>24</v>
      </c>
      <c r="AL51" s="44">
        <v>20.6</v>
      </c>
      <c r="AM51" s="42">
        <v>2002</v>
      </c>
      <c r="AN51" s="42">
        <v>16</v>
      </c>
      <c r="AO51" s="44">
        <v>20</v>
      </c>
      <c r="AP51" s="42">
        <v>2000</v>
      </c>
      <c r="AQ51" s="42">
        <v>3</v>
      </c>
    </row>
    <row r="52" spans="1:43" ht="14.45" customHeight="1" x14ac:dyDescent="0.2">
      <c r="A52" s="42">
        <v>11035010</v>
      </c>
      <c r="B52" s="42" t="s">
        <v>928</v>
      </c>
      <c r="C52" s="42">
        <v>5.4989999999999997</v>
      </c>
      <c r="D52" s="42">
        <v>-76.539000000000001</v>
      </c>
      <c r="E52" s="42">
        <v>60</v>
      </c>
      <c r="F52" s="42" t="s">
        <v>929</v>
      </c>
      <c r="G52" s="42" t="s">
        <v>910</v>
      </c>
      <c r="H52" s="44">
        <v>18.600000000000001</v>
      </c>
      <c r="I52" s="42">
        <v>1994</v>
      </c>
      <c r="J52" s="42">
        <v>2</v>
      </c>
      <c r="K52" s="44">
        <v>19.600000000000001</v>
      </c>
      <c r="L52" s="42">
        <v>1993</v>
      </c>
      <c r="M52" s="42">
        <v>25</v>
      </c>
      <c r="N52" s="44">
        <v>18</v>
      </c>
      <c r="O52" s="42">
        <v>1996</v>
      </c>
      <c r="P52" s="42">
        <v>5</v>
      </c>
      <c r="Q52" s="44">
        <v>18</v>
      </c>
      <c r="R52" s="42">
        <v>1996</v>
      </c>
      <c r="S52" s="42">
        <v>1</v>
      </c>
      <c r="T52" s="44">
        <v>17</v>
      </c>
      <c r="U52" s="42">
        <v>1983</v>
      </c>
      <c r="V52" s="42">
        <v>14</v>
      </c>
      <c r="W52" s="44">
        <v>19.2</v>
      </c>
      <c r="X52" s="42">
        <v>1993</v>
      </c>
      <c r="Y52" s="42">
        <v>24</v>
      </c>
      <c r="Z52" s="44">
        <v>16.8</v>
      </c>
      <c r="AA52" s="42">
        <v>1983</v>
      </c>
      <c r="AB52" s="42">
        <v>1</v>
      </c>
      <c r="AC52" s="44">
        <v>18</v>
      </c>
      <c r="AD52" s="42">
        <v>1983</v>
      </c>
      <c r="AE52" s="42">
        <v>26</v>
      </c>
      <c r="AF52" s="44">
        <v>17.399999999999999</v>
      </c>
      <c r="AG52" s="42">
        <v>1983</v>
      </c>
      <c r="AH52" s="42">
        <v>19</v>
      </c>
      <c r="AI52" s="44">
        <v>18</v>
      </c>
      <c r="AJ52" s="42">
        <v>1983</v>
      </c>
      <c r="AK52" s="42">
        <v>6</v>
      </c>
      <c r="AL52" s="44">
        <v>17</v>
      </c>
      <c r="AM52" s="42">
        <v>1992</v>
      </c>
      <c r="AN52" s="42">
        <v>11</v>
      </c>
      <c r="AO52" s="44">
        <v>17</v>
      </c>
      <c r="AP52" s="42">
        <v>1992</v>
      </c>
      <c r="AQ52" s="42">
        <v>12</v>
      </c>
    </row>
    <row r="53" spans="1:43" ht="14.45" customHeight="1" x14ac:dyDescent="0.2">
      <c r="A53" s="42">
        <v>29035030</v>
      </c>
      <c r="B53" s="42" t="s">
        <v>930</v>
      </c>
      <c r="C53" s="42">
        <v>9.8796339999999994</v>
      </c>
      <c r="D53" s="42">
        <v>-75.326301000000001</v>
      </c>
      <c r="E53" s="42">
        <v>60</v>
      </c>
      <c r="F53" s="42" t="s">
        <v>145</v>
      </c>
      <c r="G53" s="42" t="s">
        <v>870</v>
      </c>
      <c r="H53" s="44">
        <v>17</v>
      </c>
      <c r="I53" s="42">
        <v>2006</v>
      </c>
      <c r="J53" s="42">
        <v>21</v>
      </c>
      <c r="K53" s="44">
        <v>17.399999999999999</v>
      </c>
      <c r="L53" s="42">
        <v>1988</v>
      </c>
      <c r="M53" s="42">
        <v>4</v>
      </c>
      <c r="N53" s="44">
        <v>18</v>
      </c>
      <c r="O53" s="42">
        <v>2006</v>
      </c>
      <c r="P53" s="42">
        <v>14</v>
      </c>
      <c r="Q53" s="44">
        <v>17.8</v>
      </c>
      <c r="R53" s="42">
        <v>1984</v>
      </c>
      <c r="S53" s="42">
        <v>23</v>
      </c>
      <c r="T53" s="44">
        <v>20.399999999999999</v>
      </c>
      <c r="U53" s="42">
        <v>1988</v>
      </c>
      <c r="V53" s="42">
        <v>4</v>
      </c>
      <c r="W53" s="44">
        <v>17</v>
      </c>
      <c r="X53" s="42">
        <v>1984</v>
      </c>
      <c r="Y53" s="42">
        <v>22</v>
      </c>
      <c r="Z53" s="44">
        <v>18.600000000000001</v>
      </c>
      <c r="AA53" s="42">
        <v>1980</v>
      </c>
      <c r="AB53" s="42">
        <v>3</v>
      </c>
      <c r="AC53" s="44">
        <v>20</v>
      </c>
      <c r="AD53" s="42">
        <v>2005</v>
      </c>
      <c r="AE53" s="42">
        <v>21</v>
      </c>
      <c r="AF53" s="44">
        <v>20</v>
      </c>
      <c r="AG53" s="42">
        <v>2013</v>
      </c>
      <c r="AH53" s="42">
        <v>19</v>
      </c>
      <c r="AI53" s="44">
        <v>17.600000000000001</v>
      </c>
      <c r="AJ53" s="42">
        <v>1984</v>
      </c>
      <c r="AK53" s="42">
        <v>15</v>
      </c>
      <c r="AL53" s="44">
        <v>17.2</v>
      </c>
      <c r="AM53" s="42">
        <v>1987</v>
      </c>
      <c r="AN53" s="42">
        <v>5</v>
      </c>
      <c r="AO53" s="44">
        <v>17.399999999999999</v>
      </c>
      <c r="AP53" s="42">
        <v>1987</v>
      </c>
      <c r="AQ53" s="42">
        <v>27</v>
      </c>
    </row>
    <row r="54" spans="1:43" ht="14.45" customHeight="1" x14ac:dyDescent="0.2">
      <c r="A54" s="42">
        <v>54075020</v>
      </c>
      <c r="B54" s="42" t="s">
        <v>931</v>
      </c>
      <c r="C54" s="42">
        <v>3.953555556</v>
      </c>
      <c r="D54" s="42">
        <v>-76.990444440000005</v>
      </c>
      <c r="E54" s="42">
        <v>66</v>
      </c>
      <c r="F54" s="42" t="s">
        <v>830</v>
      </c>
      <c r="G54" s="42" t="s">
        <v>341</v>
      </c>
      <c r="H54" s="44">
        <v>17.600000000000001</v>
      </c>
      <c r="I54" s="42">
        <v>1984</v>
      </c>
      <c r="J54" s="42">
        <v>4</v>
      </c>
      <c r="K54" s="44">
        <v>17.2</v>
      </c>
      <c r="L54" s="42">
        <v>1997</v>
      </c>
      <c r="M54" s="42">
        <v>12</v>
      </c>
      <c r="N54" s="44">
        <v>17.2</v>
      </c>
      <c r="O54" s="42">
        <v>1997</v>
      </c>
      <c r="P54" s="42">
        <v>14</v>
      </c>
      <c r="Q54" s="44">
        <v>17.8</v>
      </c>
      <c r="R54" s="42">
        <v>1997</v>
      </c>
      <c r="S54" s="42">
        <v>28</v>
      </c>
      <c r="T54" s="44">
        <v>17</v>
      </c>
      <c r="U54" s="42">
        <v>2011</v>
      </c>
      <c r="V54" s="42">
        <v>1</v>
      </c>
      <c r="W54" s="44">
        <v>18.8</v>
      </c>
      <c r="X54" s="42">
        <v>1997</v>
      </c>
      <c r="Y54" s="42">
        <v>5</v>
      </c>
      <c r="Z54" s="44">
        <v>18.600000000000001</v>
      </c>
      <c r="AA54" s="42">
        <v>1984</v>
      </c>
      <c r="AB54" s="42">
        <v>14</v>
      </c>
      <c r="AC54" s="44">
        <v>19</v>
      </c>
      <c r="AD54" s="42">
        <v>2018</v>
      </c>
      <c r="AE54" s="42">
        <v>25</v>
      </c>
      <c r="AF54" s="44">
        <v>18</v>
      </c>
      <c r="AG54" s="42">
        <v>1983</v>
      </c>
      <c r="AH54" s="42">
        <v>22</v>
      </c>
      <c r="AI54" s="44">
        <v>18</v>
      </c>
      <c r="AJ54" s="42">
        <v>2014</v>
      </c>
      <c r="AK54" s="42">
        <v>21</v>
      </c>
      <c r="AL54" s="44">
        <v>17.399999999999999</v>
      </c>
      <c r="AM54" s="42">
        <v>1983</v>
      </c>
      <c r="AN54" s="42">
        <v>3</v>
      </c>
      <c r="AO54" s="44">
        <v>15</v>
      </c>
      <c r="AP54" s="42">
        <v>1983</v>
      </c>
      <c r="AQ54" s="42">
        <v>20</v>
      </c>
    </row>
    <row r="55" spans="1:43" ht="14.45" customHeight="1" x14ac:dyDescent="0.2">
      <c r="A55" s="42">
        <v>28035010</v>
      </c>
      <c r="B55" s="42" t="s">
        <v>932</v>
      </c>
      <c r="C55" s="42">
        <v>10.190666670000001</v>
      </c>
      <c r="D55" s="42">
        <v>-73.547388889999993</v>
      </c>
      <c r="E55" s="42">
        <v>70</v>
      </c>
      <c r="F55" s="42" t="s">
        <v>44</v>
      </c>
      <c r="G55" s="42" t="s">
        <v>43</v>
      </c>
      <c r="H55" s="44">
        <v>17</v>
      </c>
      <c r="I55" s="42">
        <v>1985</v>
      </c>
      <c r="J55" s="42">
        <v>16</v>
      </c>
      <c r="K55" s="44">
        <v>17.2</v>
      </c>
      <c r="L55" s="42">
        <v>2008</v>
      </c>
      <c r="M55" s="42">
        <v>4</v>
      </c>
      <c r="N55" s="44">
        <v>19.399999999999999</v>
      </c>
      <c r="O55" s="42">
        <v>2008</v>
      </c>
      <c r="P55" s="42">
        <v>11</v>
      </c>
      <c r="Q55" s="44">
        <v>20</v>
      </c>
      <c r="R55" s="42">
        <v>2008</v>
      </c>
      <c r="S55" s="42">
        <v>7</v>
      </c>
      <c r="T55" s="44">
        <v>19.399999999999999</v>
      </c>
      <c r="U55" s="42">
        <v>1990</v>
      </c>
      <c r="V55" s="42">
        <v>15</v>
      </c>
      <c r="W55" s="44">
        <v>19.2</v>
      </c>
      <c r="X55" s="42">
        <v>2016</v>
      </c>
      <c r="Y55" s="42">
        <v>6</v>
      </c>
      <c r="Z55" s="44">
        <v>18.2</v>
      </c>
      <c r="AA55" s="42">
        <v>2021</v>
      </c>
      <c r="AB55" s="42">
        <v>30</v>
      </c>
      <c r="AC55" s="44">
        <v>18</v>
      </c>
      <c r="AD55" s="42">
        <v>2021</v>
      </c>
      <c r="AE55" s="42">
        <v>4</v>
      </c>
      <c r="AF55" s="44">
        <v>18</v>
      </c>
      <c r="AG55" s="42">
        <v>1986</v>
      </c>
      <c r="AH55" s="42">
        <v>29</v>
      </c>
      <c r="AI55" s="44">
        <v>19</v>
      </c>
      <c r="AJ55" s="42">
        <v>2016</v>
      </c>
      <c r="AK55" s="42">
        <v>7</v>
      </c>
      <c r="AL55" s="44">
        <v>18.399999999999999</v>
      </c>
      <c r="AM55" s="42">
        <v>2007</v>
      </c>
      <c r="AN55" s="42">
        <v>30</v>
      </c>
      <c r="AO55" s="44">
        <v>16.2</v>
      </c>
      <c r="AP55" s="42">
        <v>1985</v>
      </c>
      <c r="AQ55" s="42">
        <v>23</v>
      </c>
    </row>
    <row r="56" spans="1:43" ht="14.45" customHeight="1" x14ac:dyDescent="0.2">
      <c r="A56" s="42">
        <v>2502500007</v>
      </c>
      <c r="B56" s="42" t="s">
        <v>933</v>
      </c>
      <c r="C56" s="42">
        <v>8.1159111110000008</v>
      </c>
      <c r="D56" s="42">
        <v>-75.413399999999996</v>
      </c>
      <c r="E56" s="42">
        <v>72</v>
      </c>
      <c r="F56" s="42" t="s">
        <v>210</v>
      </c>
      <c r="G56" s="42" t="s">
        <v>893</v>
      </c>
      <c r="H56" s="44">
        <v>21.2</v>
      </c>
      <c r="I56" s="42">
        <v>2023</v>
      </c>
      <c r="J56" s="42">
        <v>9</v>
      </c>
      <c r="K56" s="44">
        <v>20.399999999999999</v>
      </c>
      <c r="L56" s="42">
        <v>2024</v>
      </c>
      <c r="M56" s="42">
        <v>7</v>
      </c>
      <c r="N56" s="44">
        <v>21.2</v>
      </c>
      <c r="O56" s="42">
        <v>2023</v>
      </c>
      <c r="P56" s="42">
        <v>13</v>
      </c>
      <c r="Q56" s="44">
        <v>21.6</v>
      </c>
      <c r="R56" s="42">
        <v>2022</v>
      </c>
      <c r="S56" s="42">
        <v>9</v>
      </c>
      <c r="T56" s="44">
        <v>22</v>
      </c>
      <c r="U56" s="42">
        <v>2023</v>
      </c>
      <c r="V56" s="42">
        <v>13</v>
      </c>
      <c r="W56" s="44">
        <v>21</v>
      </c>
      <c r="X56" s="42">
        <v>2023</v>
      </c>
      <c r="Y56" s="42">
        <v>4</v>
      </c>
      <c r="Z56" s="44">
        <v>21.2</v>
      </c>
      <c r="AA56" s="42">
        <v>2022</v>
      </c>
      <c r="AB56" s="42">
        <v>12</v>
      </c>
      <c r="AC56" s="44">
        <v>20.399999999999999</v>
      </c>
      <c r="AD56" s="42">
        <v>2022</v>
      </c>
      <c r="AE56" s="42">
        <v>5</v>
      </c>
      <c r="AF56" s="44">
        <v>20.399999999999999</v>
      </c>
      <c r="AG56" s="42">
        <v>2023</v>
      </c>
      <c r="AH56" s="42">
        <v>4</v>
      </c>
      <c r="AI56" s="44">
        <v>20.2</v>
      </c>
      <c r="AJ56" s="42">
        <v>2023</v>
      </c>
      <c r="AK56" s="42">
        <v>18</v>
      </c>
      <c r="AL56" s="44">
        <v>21</v>
      </c>
      <c r="AM56" s="42">
        <v>2022</v>
      </c>
      <c r="AN56" s="42">
        <v>22</v>
      </c>
      <c r="AO56" s="44">
        <v>21</v>
      </c>
      <c r="AP56" s="42">
        <v>2022</v>
      </c>
      <c r="AQ56" s="42">
        <v>8</v>
      </c>
    </row>
    <row r="57" spans="1:43" ht="14.45" customHeight="1" x14ac:dyDescent="0.2">
      <c r="A57" s="42">
        <v>34035010</v>
      </c>
      <c r="B57" s="42" t="s">
        <v>934</v>
      </c>
      <c r="C57" s="42">
        <v>5.3526388999999996</v>
      </c>
      <c r="D57" s="42">
        <v>-67.856776999999994</v>
      </c>
      <c r="E57" s="42">
        <v>74</v>
      </c>
      <c r="F57" s="42" t="s">
        <v>160</v>
      </c>
      <c r="G57" s="42" t="s">
        <v>92</v>
      </c>
      <c r="H57" s="44">
        <v>16.399999999999999</v>
      </c>
      <c r="I57" s="42">
        <v>1982</v>
      </c>
      <c r="J57" s="42">
        <v>9</v>
      </c>
      <c r="K57" s="44">
        <v>17.8</v>
      </c>
      <c r="L57" s="42">
        <v>1982</v>
      </c>
      <c r="M57" s="42">
        <v>8</v>
      </c>
      <c r="N57" s="44">
        <v>19.399999999999999</v>
      </c>
      <c r="O57" s="42">
        <v>1981</v>
      </c>
      <c r="P57" s="42">
        <v>30</v>
      </c>
      <c r="Q57" s="44">
        <v>19</v>
      </c>
      <c r="R57" s="42">
        <v>2003</v>
      </c>
      <c r="S57" s="42">
        <v>14</v>
      </c>
      <c r="T57" s="44">
        <v>18</v>
      </c>
      <c r="U57" s="42">
        <v>2003</v>
      </c>
      <c r="V57" s="42">
        <v>22</v>
      </c>
      <c r="W57" s="44">
        <v>16.2</v>
      </c>
      <c r="X57" s="42">
        <v>2003</v>
      </c>
      <c r="Y57" s="42">
        <v>12</v>
      </c>
      <c r="Z57" s="44">
        <v>17.399999999999999</v>
      </c>
      <c r="AA57" s="42">
        <v>1981</v>
      </c>
      <c r="AB57" s="42">
        <v>21</v>
      </c>
      <c r="AC57" s="44">
        <v>16.399999999999999</v>
      </c>
      <c r="AD57" s="42">
        <v>1981</v>
      </c>
      <c r="AE57" s="42">
        <v>21</v>
      </c>
      <c r="AF57" s="44">
        <v>16.8</v>
      </c>
      <c r="AG57" s="42">
        <v>1981</v>
      </c>
      <c r="AH57" s="42">
        <v>1</v>
      </c>
      <c r="AI57" s="44">
        <v>16.5</v>
      </c>
      <c r="AJ57" s="42">
        <v>1998</v>
      </c>
      <c r="AK57" s="42">
        <v>21</v>
      </c>
      <c r="AL57" s="44">
        <v>16.399999999999999</v>
      </c>
      <c r="AM57" s="42">
        <v>1981</v>
      </c>
      <c r="AN57" s="42">
        <v>15</v>
      </c>
      <c r="AO57" s="44">
        <v>16.399999999999999</v>
      </c>
      <c r="AP57" s="42">
        <v>1981</v>
      </c>
      <c r="AQ57" s="42">
        <v>20</v>
      </c>
    </row>
    <row r="58" spans="1:43" ht="14.45" customHeight="1" x14ac:dyDescent="0.2">
      <c r="A58" s="42">
        <v>11045010</v>
      </c>
      <c r="B58" s="42" t="s">
        <v>935</v>
      </c>
      <c r="C58" s="42">
        <v>5.6905555559999996</v>
      </c>
      <c r="D58" s="42">
        <v>-76.643777779999994</v>
      </c>
      <c r="E58" s="42">
        <v>75</v>
      </c>
      <c r="F58" s="42" t="s">
        <v>88</v>
      </c>
      <c r="G58" s="42" t="s">
        <v>910</v>
      </c>
      <c r="H58" s="44">
        <v>20.8</v>
      </c>
      <c r="I58" s="42">
        <v>1982</v>
      </c>
      <c r="J58" s="42">
        <v>6</v>
      </c>
      <c r="K58" s="44">
        <v>21</v>
      </c>
      <c r="L58" s="42">
        <v>1984</v>
      </c>
      <c r="M58" s="42">
        <v>7</v>
      </c>
      <c r="N58" s="44">
        <v>20</v>
      </c>
      <c r="O58" s="42">
        <v>2022</v>
      </c>
      <c r="P58" s="42">
        <v>20</v>
      </c>
      <c r="Q58" s="44">
        <v>21.2</v>
      </c>
      <c r="R58" s="42">
        <v>2011</v>
      </c>
      <c r="S58" s="42">
        <v>13</v>
      </c>
      <c r="T58" s="44">
        <v>20</v>
      </c>
      <c r="U58" s="42">
        <v>1986</v>
      </c>
      <c r="V58" s="42">
        <v>9</v>
      </c>
      <c r="W58" s="44">
        <v>20.399999999999999</v>
      </c>
      <c r="X58" s="42">
        <v>1981</v>
      </c>
      <c r="Y58" s="42">
        <v>9</v>
      </c>
      <c r="Z58" s="44">
        <v>19.8</v>
      </c>
      <c r="AA58" s="42">
        <v>1995</v>
      </c>
      <c r="AB58" s="42">
        <v>7</v>
      </c>
      <c r="AC58" s="44">
        <v>20.399999999999999</v>
      </c>
      <c r="AD58" s="42">
        <v>1985</v>
      </c>
      <c r="AE58" s="42">
        <v>4</v>
      </c>
      <c r="AF58" s="44">
        <v>20.2</v>
      </c>
      <c r="AG58" s="42">
        <v>1982</v>
      </c>
      <c r="AH58" s="42">
        <v>26</v>
      </c>
      <c r="AI58" s="44">
        <v>20</v>
      </c>
      <c r="AJ58" s="42">
        <v>1986</v>
      </c>
      <c r="AK58" s="42">
        <v>25</v>
      </c>
      <c r="AL58" s="44">
        <v>20</v>
      </c>
      <c r="AM58" s="42">
        <v>1984</v>
      </c>
      <c r="AN58" s="42">
        <v>9</v>
      </c>
      <c r="AO58" s="44">
        <v>21</v>
      </c>
      <c r="AP58" s="42">
        <v>1983</v>
      </c>
      <c r="AQ58" s="42">
        <v>5</v>
      </c>
    </row>
    <row r="59" spans="1:43" ht="14.45" customHeight="1" x14ac:dyDescent="0.2">
      <c r="A59" s="42">
        <v>29015000</v>
      </c>
      <c r="B59" s="42" t="s">
        <v>936</v>
      </c>
      <c r="C59" s="42">
        <v>10.034606999999999</v>
      </c>
      <c r="D59" s="42">
        <v>-74.976637999999994</v>
      </c>
      <c r="E59" s="42">
        <v>75</v>
      </c>
      <c r="F59" s="42" t="s">
        <v>141</v>
      </c>
      <c r="G59" s="42" t="s">
        <v>870</v>
      </c>
      <c r="H59" s="44">
        <v>17</v>
      </c>
      <c r="I59" s="42">
        <v>2000</v>
      </c>
      <c r="J59" s="42">
        <v>17</v>
      </c>
      <c r="K59" s="44">
        <v>17.2</v>
      </c>
      <c r="L59" s="42">
        <v>2001</v>
      </c>
      <c r="M59" s="42">
        <v>2</v>
      </c>
      <c r="N59" s="44">
        <v>17.2</v>
      </c>
      <c r="O59" s="42">
        <v>1997</v>
      </c>
      <c r="P59" s="42">
        <v>3</v>
      </c>
      <c r="Q59" s="44">
        <v>19.2</v>
      </c>
      <c r="R59" s="42">
        <v>2000</v>
      </c>
      <c r="S59" s="42">
        <v>11</v>
      </c>
      <c r="T59" s="44">
        <v>20</v>
      </c>
      <c r="U59" s="42">
        <v>2000</v>
      </c>
      <c r="V59" s="42">
        <v>11</v>
      </c>
      <c r="W59" s="44">
        <v>20.2</v>
      </c>
      <c r="X59" s="42">
        <v>2004</v>
      </c>
      <c r="Y59" s="42">
        <v>26</v>
      </c>
      <c r="Z59" s="44">
        <v>19.399999999999999</v>
      </c>
      <c r="AA59" s="42">
        <v>1984</v>
      </c>
      <c r="AB59" s="42">
        <v>20</v>
      </c>
      <c r="AC59" s="44">
        <v>17.600000000000001</v>
      </c>
      <c r="AD59" s="42">
        <v>1995</v>
      </c>
      <c r="AE59" s="42">
        <v>20</v>
      </c>
      <c r="AF59" s="44">
        <v>20.2</v>
      </c>
      <c r="AG59" s="42">
        <v>1998</v>
      </c>
      <c r="AH59" s="42">
        <v>8</v>
      </c>
      <c r="AI59" s="44">
        <v>18.600000000000001</v>
      </c>
      <c r="AJ59" s="42">
        <v>1996</v>
      </c>
      <c r="AK59" s="42">
        <v>20</v>
      </c>
      <c r="AL59" s="44">
        <v>19</v>
      </c>
      <c r="AM59" s="42">
        <v>1989</v>
      </c>
      <c r="AN59" s="42">
        <v>10</v>
      </c>
      <c r="AO59" s="44">
        <v>17</v>
      </c>
      <c r="AP59" s="42">
        <v>1984</v>
      </c>
      <c r="AQ59" s="42">
        <v>31</v>
      </c>
    </row>
    <row r="60" spans="1:43" ht="14.45" customHeight="1" x14ac:dyDescent="0.2">
      <c r="A60" s="42">
        <v>15065501</v>
      </c>
      <c r="B60" s="42" t="s">
        <v>937</v>
      </c>
      <c r="C60" s="42">
        <v>11.13758333</v>
      </c>
      <c r="D60" s="42">
        <v>-72.615944440000007</v>
      </c>
      <c r="E60" s="42">
        <v>80</v>
      </c>
      <c r="F60" s="42" t="s">
        <v>311</v>
      </c>
      <c r="G60" s="42" t="s">
        <v>40</v>
      </c>
      <c r="H60" s="44">
        <v>18.2</v>
      </c>
      <c r="I60" s="42">
        <v>1991</v>
      </c>
      <c r="J60" s="42">
        <v>25</v>
      </c>
      <c r="K60" s="44">
        <v>18.600000000000001</v>
      </c>
      <c r="L60" s="42">
        <v>2008</v>
      </c>
      <c r="M60" s="42">
        <v>2</v>
      </c>
      <c r="N60" s="44">
        <v>18.600000000000001</v>
      </c>
      <c r="O60" s="42">
        <v>1993</v>
      </c>
      <c r="P60" s="42">
        <v>10</v>
      </c>
      <c r="Q60" s="44">
        <v>17.8</v>
      </c>
      <c r="R60" s="42">
        <v>1993</v>
      </c>
      <c r="S60" s="42">
        <v>29</v>
      </c>
      <c r="T60" s="44">
        <v>16.600000000000001</v>
      </c>
      <c r="U60" s="42">
        <v>1993</v>
      </c>
      <c r="V60" s="42">
        <v>5</v>
      </c>
      <c r="W60" s="44">
        <v>18.600000000000001</v>
      </c>
      <c r="X60" s="42">
        <v>1993</v>
      </c>
      <c r="Y60" s="42">
        <v>2</v>
      </c>
      <c r="Z60" s="44">
        <v>18.8</v>
      </c>
      <c r="AA60" s="42">
        <v>1992</v>
      </c>
      <c r="AB60" s="42">
        <v>15</v>
      </c>
      <c r="AC60" s="44">
        <v>18.8</v>
      </c>
      <c r="AD60" s="42">
        <v>1993</v>
      </c>
      <c r="AE60" s="42">
        <v>28</v>
      </c>
      <c r="AF60" s="44">
        <v>18</v>
      </c>
      <c r="AG60" s="42">
        <v>1992</v>
      </c>
      <c r="AH60" s="42">
        <v>17</v>
      </c>
      <c r="AI60" s="44">
        <v>19.100000000000001</v>
      </c>
      <c r="AJ60" s="42">
        <v>2010</v>
      </c>
      <c r="AK60" s="42">
        <v>21</v>
      </c>
      <c r="AL60" s="44">
        <v>15.6</v>
      </c>
      <c r="AM60" s="42">
        <v>1998</v>
      </c>
      <c r="AN60" s="42">
        <v>8</v>
      </c>
      <c r="AO60" s="44">
        <v>18</v>
      </c>
      <c r="AP60" s="42">
        <v>2008</v>
      </c>
      <c r="AQ60" s="42">
        <v>28</v>
      </c>
    </row>
    <row r="61" spans="1:43" ht="14.45" customHeight="1" x14ac:dyDescent="0.2">
      <c r="A61" s="42">
        <v>48015050</v>
      </c>
      <c r="B61" s="42" t="s">
        <v>938</v>
      </c>
      <c r="C61" s="42">
        <v>-4.1995089999999999</v>
      </c>
      <c r="D61" s="42">
        <v>-69.943095</v>
      </c>
      <c r="E61" s="42">
        <v>84</v>
      </c>
      <c r="F61" s="42" t="s">
        <v>99</v>
      </c>
      <c r="G61" s="42" t="s">
        <v>98</v>
      </c>
      <c r="H61" s="44">
        <v>19</v>
      </c>
      <c r="I61" s="42">
        <v>1986</v>
      </c>
      <c r="J61" s="42">
        <v>29</v>
      </c>
      <c r="K61" s="44">
        <v>20.100000000000001</v>
      </c>
      <c r="L61" s="42">
        <v>1986</v>
      </c>
      <c r="M61" s="42">
        <v>8</v>
      </c>
      <c r="N61" s="44">
        <v>19</v>
      </c>
      <c r="O61" s="42">
        <v>1986</v>
      </c>
      <c r="P61" s="42">
        <v>31</v>
      </c>
      <c r="Q61" s="44">
        <v>18.399999999999999</v>
      </c>
      <c r="R61" s="42">
        <v>1999</v>
      </c>
      <c r="S61" s="42">
        <v>18</v>
      </c>
      <c r="T61" s="44">
        <v>16</v>
      </c>
      <c r="U61" s="42">
        <v>1987</v>
      </c>
      <c r="V61" s="42">
        <v>26</v>
      </c>
      <c r="W61" s="44">
        <v>14.2</v>
      </c>
      <c r="X61" s="42">
        <v>1985</v>
      </c>
      <c r="Y61" s="42">
        <v>11</v>
      </c>
      <c r="Z61" s="44">
        <v>14.5</v>
      </c>
      <c r="AA61" s="42">
        <v>2010</v>
      </c>
      <c r="AB61" s="42">
        <v>18</v>
      </c>
      <c r="AC61" s="44">
        <v>14.6</v>
      </c>
      <c r="AD61" s="42">
        <v>1999</v>
      </c>
      <c r="AE61" s="42">
        <v>17</v>
      </c>
      <c r="AF61" s="44">
        <v>16.399999999999999</v>
      </c>
      <c r="AG61" s="42">
        <v>1980</v>
      </c>
      <c r="AH61" s="42">
        <v>17</v>
      </c>
      <c r="AI61" s="44">
        <v>18.3</v>
      </c>
      <c r="AJ61" s="42">
        <v>1981</v>
      </c>
      <c r="AK61" s="42">
        <v>1</v>
      </c>
      <c r="AL61" s="44">
        <v>17.5</v>
      </c>
      <c r="AM61" s="42">
        <v>1999</v>
      </c>
      <c r="AN61" s="42">
        <v>11</v>
      </c>
      <c r="AO61" s="44">
        <v>20</v>
      </c>
      <c r="AP61" s="42">
        <v>1993</v>
      </c>
      <c r="AQ61" s="42">
        <v>5</v>
      </c>
    </row>
    <row r="62" spans="1:43" ht="14.45" customHeight="1" x14ac:dyDescent="0.2">
      <c r="A62" s="42">
        <v>15085020</v>
      </c>
      <c r="B62" s="42" t="s">
        <v>939</v>
      </c>
      <c r="C62" s="42">
        <v>12.17888889</v>
      </c>
      <c r="D62" s="42">
        <v>-71.28388889</v>
      </c>
      <c r="E62" s="42">
        <v>85</v>
      </c>
      <c r="F62" s="42" t="s">
        <v>707</v>
      </c>
      <c r="G62" s="42" t="s">
        <v>40</v>
      </c>
      <c r="H62" s="44">
        <v>18</v>
      </c>
      <c r="I62" s="42">
        <v>1985</v>
      </c>
      <c r="J62" s="42">
        <v>15</v>
      </c>
      <c r="K62" s="44">
        <v>18</v>
      </c>
      <c r="L62" s="42">
        <v>2011</v>
      </c>
      <c r="M62" s="42">
        <v>21</v>
      </c>
      <c r="N62" s="44">
        <v>18</v>
      </c>
      <c r="O62" s="42">
        <v>1988</v>
      </c>
      <c r="P62" s="42">
        <v>1</v>
      </c>
      <c r="Q62" s="44">
        <v>18.399999999999999</v>
      </c>
      <c r="R62" s="42">
        <v>1980</v>
      </c>
      <c r="S62" s="42">
        <v>11</v>
      </c>
      <c r="T62" s="44">
        <v>20.399999999999999</v>
      </c>
      <c r="U62" s="42">
        <v>1979</v>
      </c>
      <c r="V62" s="42">
        <v>30</v>
      </c>
      <c r="W62" s="44">
        <v>19.600000000000001</v>
      </c>
      <c r="X62" s="42">
        <v>1999</v>
      </c>
      <c r="Y62" s="42">
        <v>3</v>
      </c>
      <c r="Z62" s="44">
        <v>20</v>
      </c>
      <c r="AA62" s="42">
        <v>1979</v>
      </c>
      <c r="AB62" s="42">
        <v>22</v>
      </c>
      <c r="AC62" s="44">
        <v>20</v>
      </c>
      <c r="AD62" s="42">
        <v>1997</v>
      </c>
      <c r="AE62" s="42">
        <v>31</v>
      </c>
      <c r="AF62" s="44">
        <v>15.2</v>
      </c>
      <c r="AG62" s="42">
        <v>2019</v>
      </c>
      <c r="AH62" s="42">
        <v>1</v>
      </c>
      <c r="AI62" s="44">
        <v>19.399999999999999</v>
      </c>
      <c r="AJ62" s="42">
        <v>1999</v>
      </c>
      <c r="AK62" s="42">
        <v>26</v>
      </c>
      <c r="AL62" s="44">
        <v>18.2</v>
      </c>
      <c r="AM62" s="42">
        <v>2000</v>
      </c>
      <c r="AN62" s="42">
        <v>2</v>
      </c>
      <c r="AO62" s="44">
        <v>18.399999999999999</v>
      </c>
      <c r="AP62" s="42">
        <v>1995</v>
      </c>
      <c r="AQ62" s="42">
        <v>8</v>
      </c>
    </row>
    <row r="63" spans="1:43" ht="14.45" customHeight="1" x14ac:dyDescent="0.2">
      <c r="A63" s="42">
        <v>25025190</v>
      </c>
      <c r="B63" s="42" t="s">
        <v>940</v>
      </c>
      <c r="C63" s="42">
        <v>8.3993333329999995</v>
      </c>
      <c r="D63" s="42">
        <v>-75.583722219999999</v>
      </c>
      <c r="E63" s="42">
        <v>90</v>
      </c>
      <c r="F63" s="42" t="s">
        <v>134</v>
      </c>
      <c r="G63" s="42" t="s">
        <v>893</v>
      </c>
      <c r="H63" s="44">
        <v>18</v>
      </c>
      <c r="I63" s="42">
        <v>1987</v>
      </c>
      <c r="J63" s="42">
        <v>9</v>
      </c>
      <c r="K63" s="44">
        <v>18.399999999999999</v>
      </c>
      <c r="L63" s="42">
        <v>1978</v>
      </c>
      <c r="M63" s="42">
        <v>7</v>
      </c>
      <c r="N63" s="44">
        <v>19.2</v>
      </c>
      <c r="O63" s="42">
        <v>1990</v>
      </c>
      <c r="P63" s="42">
        <v>2</v>
      </c>
      <c r="Q63" s="44">
        <v>20</v>
      </c>
      <c r="R63" s="42">
        <v>1983</v>
      </c>
      <c r="S63" s="42">
        <v>5</v>
      </c>
      <c r="T63" s="44">
        <v>19</v>
      </c>
      <c r="U63" s="42">
        <v>1990</v>
      </c>
      <c r="V63" s="42">
        <v>2</v>
      </c>
      <c r="W63" s="44">
        <v>19</v>
      </c>
      <c r="X63" s="42">
        <v>1990</v>
      </c>
      <c r="Y63" s="42">
        <v>1</v>
      </c>
      <c r="Z63" s="44">
        <v>19.2</v>
      </c>
      <c r="AA63" s="42">
        <v>1990</v>
      </c>
      <c r="AB63" s="42">
        <v>28</v>
      </c>
      <c r="AC63" s="44">
        <v>19.2</v>
      </c>
      <c r="AD63" s="42">
        <v>1990</v>
      </c>
      <c r="AE63" s="42">
        <v>6</v>
      </c>
      <c r="AF63" s="44">
        <v>19.2</v>
      </c>
      <c r="AG63" s="42">
        <v>1990</v>
      </c>
      <c r="AH63" s="42">
        <v>10</v>
      </c>
      <c r="AI63" s="44">
        <v>19.2</v>
      </c>
      <c r="AJ63" s="42">
        <v>1990</v>
      </c>
      <c r="AK63" s="42">
        <v>4</v>
      </c>
      <c r="AL63" s="44">
        <v>19.600000000000001</v>
      </c>
      <c r="AM63" s="42">
        <v>1990</v>
      </c>
      <c r="AN63" s="42">
        <v>6</v>
      </c>
      <c r="AO63" s="44">
        <v>18.7</v>
      </c>
      <c r="AP63" s="42">
        <v>1993</v>
      </c>
      <c r="AQ63" s="42">
        <v>10</v>
      </c>
    </row>
    <row r="64" spans="1:43" ht="14.45" customHeight="1" x14ac:dyDescent="0.2">
      <c r="A64" s="42">
        <v>16025040</v>
      </c>
      <c r="B64" s="42" t="s">
        <v>941</v>
      </c>
      <c r="C64" s="42">
        <v>8.1672799999999999</v>
      </c>
      <c r="D64" s="42">
        <v>-72.47878</v>
      </c>
      <c r="E64" s="42">
        <v>96</v>
      </c>
      <c r="F64" s="42" t="s">
        <v>55</v>
      </c>
      <c r="G64" s="42" t="s">
        <v>300</v>
      </c>
      <c r="H64" s="44">
        <v>14</v>
      </c>
      <c r="I64" s="42">
        <v>1985</v>
      </c>
      <c r="J64" s="42">
        <v>31</v>
      </c>
      <c r="K64" s="44">
        <v>13.2</v>
      </c>
      <c r="L64" s="42">
        <v>1985</v>
      </c>
      <c r="M64" s="42">
        <v>6</v>
      </c>
      <c r="N64" s="44">
        <v>13.2</v>
      </c>
      <c r="O64" s="42">
        <v>1985</v>
      </c>
      <c r="P64" s="42">
        <v>9</v>
      </c>
      <c r="Q64" s="44">
        <v>16.2</v>
      </c>
      <c r="R64" s="42">
        <v>1985</v>
      </c>
      <c r="S64" s="42">
        <v>23</v>
      </c>
      <c r="T64" s="44">
        <v>16.2</v>
      </c>
      <c r="U64" s="42">
        <v>1985</v>
      </c>
      <c r="V64" s="42">
        <v>9</v>
      </c>
      <c r="W64" s="44">
        <v>14.1</v>
      </c>
      <c r="X64" s="42">
        <v>1994</v>
      </c>
      <c r="Y64" s="42">
        <v>29</v>
      </c>
      <c r="Z64" s="44">
        <v>16</v>
      </c>
      <c r="AA64" s="42">
        <v>1985</v>
      </c>
      <c r="AB64" s="42">
        <v>3</v>
      </c>
      <c r="AC64" s="44">
        <v>17.2</v>
      </c>
      <c r="AD64" s="42">
        <v>1982</v>
      </c>
      <c r="AE64" s="42">
        <v>16</v>
      </c>
      <c r="AF64" s="44">
        <v>16.2</v>
      </c>
      <c r="AG64" s="42">
        <v>1981</v>
      </c>
      <c r="AH64" s="42">
        <v>14</v>
      </c>
      <c r="AI64" s="44">
        <v>16</v>
      </c>
      <c r="AJ64" s="42">
        <v>1982</v>
      </c>
      <c r="AK64" s="42">
        <v>18</v>
      </c>
      <c r="AL64" s="44">
        <v>17.100000000000001</v>
      </c>
      <c r="AM64" s="42">
        <v>1982</v>
      </c>
      <c r="AN64" s="42">
        <v>24</v>
      </c>
      <c r="AO64" s="44">
        <v>17.600000000000001</v>
      </c>
      <c r="AP64" s="42">
        <v>1988</v>
      </c>
      <c r="AQ64" s="42">
        <v>16</v>
      </c>
    </row>
    <row r="65" spans="1:43" ht="14.45" customHeight="1" x14ac:dyDescent="0.2">
      <c r="A65" s="42">
        <v>31095030</v>
      </c>
      <c r="B65" s="42" t="s">
        <v>942</v>
      </c>
      <c r="C65" s="42">
        <v>3.874444</v>
      </c>
      <c r="D65" s="42">
        <v>-67.919111110000003</v>
      </c>
      <c r="E65" s="42">
        <v>98</v>
      </c>
      <c r="F65" s="42" t="s">
        <v>155</v>
      </c>
      <c r="G65" s="42" t="s">
        <v>154</v>
      </c>
      <c r="H65" s="44">
        <v>17</v>
      </c>
      <c r="I65" s="42">
        <v>1981</v>
      </c>
      <c r="J65" s="42">
        <v>2</v>
      </c>
      <c r="K65" s="44">
        <v>18.399999999999999</v>
      </c>
      <c r="L65" s="42">
        <v>1991</v>
      </c>
      <c r="M65" s="42">
        <v>1</v>
      </c>
      <c r="N65" s="44">
        <v>18.399999999999999</v>
      </c>
      <c r="O65" s="42">
        <v>1989</v>
      </c>
      <c r="P65" s="42">
        <v>16</v>
      </c>
      <c r="Q65" s="44">
        <v>18.8</v>
      </c>
      <c r="R65" s="42">
        <v>2018</v>
      </c>
      <c r="S65" s="42">
        <v>23</v>
      </c>
      <c r="T65" s="44">
        <v>19.399999999999999</v>
      </c>
      <c r="U65" s="42">
        <v>1990</v>
      </c>
      <c r="V65" s="42">
        <v>26</v>
      </c>
      <c r="W65" s="44">
        <v>18</v>
      </c>
      <c r="X65" s="42">
        <v>1981</v>
      </c>
      <c r="Y65" s="42">
        <v>9</v>
      </c>
      <c r="Z65" s="44">
        <v>17.399999999999999</v>
      </c>
      <c r="AA65" s="42">
        <v>1996</v>
      </c>
      <c r="AB65" s="42">
        <v>3</v>
      </c>
      <c r="AC65" s="44">
        <v>17.8</v>
      </c>
      <c r="AD65" s="42">
        <v>1981</v>
      </c>
      <c r="AE65" s="42">
        <v>6</v>
      </c>
      <c r="AF65" s="44">
        <v>18.2</v>
      </c>
      <c r="AG65" s="42">
        <v>1981</v>
      </c>
      <c r="AH65" s="42">
        <v>13</v>
      </c>
      <c r="AI65" s="44">
        <v>18.600000000000001</v>
      </c>
      <c r="AJ65" s="42">
        <v>1981</v>
      </c>
      <c r="AK65" s="42">
        <v>21</v>
      </c>
      <c r="AL65" s="44">
        <v>17.600000000000001</v>
      </c>
      <c r="AM65" s="42">
        <v>1980</v>
      </c>
      <c r="AN65" s="42">
        <v>22</v>
      </c>
      <c r="AO65" s="44">
        <v>17.600000000000001</v>
      </c>
      <c r="AP65" s="42">
        <v>1982</v>
      </c>
      <c r="AQ65" s="42">
        <v>13</v>
      </c>
    </row>
    <row r="66" spans="1:43" ht="14.45" customHeight="1" x14ac:dyDescent="0.2">
      <c r="A66" s="42">
        <v>28025090</v>
      </c>
      <c r="B66" s="42" t="s">
        <v>943</v>
      </c>
      <c r="C66" s="42">
        <v>9.8502500000000008</v>
      </c>
      <c r="D66" s="42">
        <v>-73.265472220000007</v>
      </c>
      <c r="E66" s="42">
        <v>100</v>
      </c>
      <c r="F66" s="42" t="s">
        <v>588</v>
      </c>
      <c r="G66" s="42" t="s">
        <v>43</v>
      </c>
      <c r="H66" s="44">
        <v>15.4</v>
      </c>
      <c r="I66" s="42">
        <v>2000</v>
      </c>
      <c r="J66" s="42">
        <v>14</v>
      </c>
      <c r="K66" s="44">
        <v>15</v>
      </c>
      <c r="L66" s="42">
        <v>2001</v>
      </c>
      <c r="M66" s="42">
        <v>1</v>
      </c>
      <c r="N66" s="44">
        <v>17.600000000000001</v>
      </c>
      <c r="O66" s="42">
        <v>1986</v>
      </c>
      <c r="P66" s="42">
        <v>10</v>
      </c>
      <c r="Q66" s="44">
        <v>18</v>
      </c>
      <c r="R66" s="42">
        <v>1999</v>
      </c>
      <c r="S66" s="42">
        <v>3</v>
      </c>
      <c r="T66" s="44">
        <v>17.8</v>
      </c>
      <c r="U66" s="42">
        <v>1984</v>
      </c>
      <c r="V66" s="42">
        <v>26</v>
      </c>
      <c r="W66" s="44">
        <v>17.2</v>
      </c>
      <c r="X66" s="42">
        <v>2015</v>
      </c>
      <c r="Y66" s="42">
        <v>30</v>
      </c>
      <c r="Z66" s="44">
        <v>17.600000000000001</v>
      </c>
      <c r="AA66" s="42">
        <v>2015</v>
      </c>
      <c r="AB66" s="42">
        <v>1</v>
      </c>
      <c r="AC66" s="44">
        <v>17.600000000000001</v>
      </c>
      <c r="AD66" s="42">
        <v>1986</v>
      </c>
      <c r="AE66" s="42">
        <v>18</v>
      </c>
      <c r="AF66" s="44">
        <v>18.2</v>
      </c>
      <c r="AG66" s="42">
        <v>1983</v>
      </c>
      <c r="AH66" s="42">
        <v>7</v>
      </c>
      <c r="AI66" s="44">
        <v>17</v>
      </c>
      <c r="AJ66" s="42">
        <v>1988</v>
      </c>
      <c r="AK66" s="42">
        <v>22</v>
      </c>
      <c r="AL66" s="44">
        <v>17</v>
      </c>
      <c r="AM66" s="42">
        <v>1988</v>
      </c>
      <c r="AN66" s="42">
        <v>6</v>
      </c>
      <c r="AO66" s="44">
        <v>16</v>
      </c>
      <c r="AP66" s="42">
        <v>2000</v>
      </c>
      <c r="AQ66" s="42">
        <v>16</v>
      </c>
    </row>
    <row r="67" spans="1:43" ht="14.45" customHeight="1" x14ac:dyDescent="0.2">
      <c r="A67" s="42">
        <v>28035020</v>
      </c>
      <c r="B67" s="42" t="s">
        <v>944</v>
      </c>
      <c r="C67" s="42">
        <v>10.363055559999999</v>
      </c>
      <c r="D67" s="42">
        <v>-73.319444439999998</v>
      </c>
      <c r="E67" s="42">
        <v>110</v>
      </c>
      <c r="F67" s="42" t="s">
        <v>44</v>
      </c>
      <c r="G67" s="42" t="s">
        <v>43</v>
      </c>
      <c r="H67" s="44">
        <v>16</v>
      </c>
      <c r="I67" s="42">
        <v>1999</v>
      </c>
      <c r="J67" s="42">
        <v>19</v>
      </c>
      <c r="K67" s="44">
        <v>16.2</v>
      </c>
      <c r="L67" s="42">
        <v>1989</v>
      </c>
      <c r="M67" s="42">
        <v>21</v>
      </c>
      <c r="N67" s="44">
        <v>17.2</v>
      </c>
      <c r="O67" s="42">
        <v>1985</v>
      </c>
      <c r="P67" s="42">
        <v>23</v>
      </c>
      <c r="Q67" s="44">
        <v>16.2</v>
      </c>
      <c r="R67" s="42">
        <v>1985</v>
      </c>
      <c r="S67" s="42">
        <v>30</v>
      </c>
      <c r="T67" s="44">
        <v>16.399999999999999</v>
      </c>
      <c r="U67" s="42">
        <v>1985</v>
      </c>
      <c r="V67" s="42">
        <v>12</v>
      </c>
      <c r="W67" s="44">
        <v>16</v>
      </c>
      <c r="X67" s="42">
        <v>1978</v>
      </c>
      <c r="Y67" s="42">
        <v>25</v>
      </c>
      <c r="Z67" s="44">
        <v>16</v>
      </c>
      <c r="AA67" s="42">
        <v>2000</v>
      </c>
      <c r="AB67" s="42">
        <v>25</v>
      </c>
      <c r="AC67" s="44">
        <v>16.2</v>
      </c>
      <c r="AD67" s="42">
        <v>1978</v>
      </c>
      <c r="AE67" s="42">
        <v>2</v>
      </c>
      <c r="AF67" s="44">
        <v>17</v>
      </c>
      <c r="AG67" s="42">
        <v>1980</v>
      </c>
      <c r="AH67" s="42">
        <v>5</v>
      </c>
      <c r="AI67" s="44">
        <v>17.2</v>
      </c>
      <c r="AJ67" s="42">
        <v>1980</v>
      </c>
      <c r="AK67" s="42">
        <v>19</v>
      </c>
      <c r="AL67" s="44">
        <v>15.8</v>
      </c>
      <c r="AM67" s="42">
        <v>1996</v>
      </c>
      <c r="AN67" s="42">
        <v>23</v>
      </c>
      <c r="AO67" s="44">
        <v>16.600000000000001</v>
      </c>
      <c r="AP67" s="42">
        <v>1983</v>
      </c>
      <c r="AQ67" s="42">
        <v>13</v>
      </c>
    </row>
    <row r="68" spans="1:43" ht="14.45" customHeight="1" x14ac:dyDescent="0.2">
      <c r="A68" s="42">
        <v>51025080</v>
      </c>
      <c r="B68" s="42" t="s">
        <v>945</v>
      </c>
      <c r="C68" s="42">
        <v>1.2483333329999999</v>
      </c>
      <c r="D68" s="42">
        <v>-78.092500000000001</v>
      </c>
      <c r="E68" s="42">
        <v>110</v>
      </c>
      <c r="F68" s="42" t="s">
        <v>741</v>
      </c>
      <c r="G68" s="42" t="s">
        <v>82</v>
      </c>
      <c r="H68" s="44">
        <v>14.6</v>
      </c>
      <c r="I68" s="42">
        <v>2011</v>
      </c>
      <c r="J68" s="42">
        <v>6</v>
      </c>
      <c r="K68" s="44">
        <v>14.6</v>
      </c>
      <c r="L68" s="42">
        <v>2007</v>
      </c>
      <c r="M68" s="42">
        <v>22</v>
      </c>
      <c r="N68" s="44">
        <v>15</v>
      </c>
      <c r="O68" s="42">
        <v>2014</v>
      </c>
      <c r="P68" s="42">
        <v>6</v>
      </c>
      <c r="Q68" s="44">
        <v>15</v>
      </c>
      <c r="R68" s="42">
        <v>2007</v>
      </c>
      <c r="S68" s="42">
        <v>8</v>
      </c>
      <c r="T68" s="44">
        <v>15</v>
      </c>
      <c r="U68" s="42">
        <v>2007</v>
      </c>
      <c r="V68" s="42">
        <v>1</v>
      </c>
      <c r="W68" s="44">
        <v>15</v>
      </c>
      <c r="X68" s="42">
        <v>2007</v>
      </c>
      <c r="Y68" s="42">
        <v>4</v>
      </c>
      <c r="Z68" s="44">
        <v>14.4</v>
      </c>
      <c r="AA68" s="42">
        <v>2002</v>
      </c>
      <c r="AB68" s="42">
        <v>13</v>
      </c>
      <c r="AC68" s="44">
        <v>14.2</v>
      </c>
      <c r="AD68" s="42">
        <v>2010</v>
      </c>
      <c r="AE68" s="42">
        <v>1</v>
      </c>
      <c r="AF68" s="44">
        <v>14.2</v>
      </c>
      <c r="AG68" s="42">
        <v>2010</v>
      </c>
      <c r="AH68" s="42">
        <v>18</v>
      </c>
      <c r="AI68" s="44">
        <v>14.4</v>
      </c>
      <c r="AJ68" s="42">
        <v>2009</v>
      </c>
      <c r="AK68" s="42">
        <v>23</v>
      </c>
      <c r="AL68" s="44">
        <v>14.6</v>
      </c>
      <c r="AM68" s="42">
        <v>2010</v>
      </c>
      <c r="AN68" s="42">
        <v>23</v>
      </c>
      <c r="AO68" s="44">
        <v>14.2</v>
      </c>
      <c r="AP68" s="42">
        <v>2010</v>
      </c>
      <c r="AQ68" s="42">
        <v>14</v>
      </c>
    </row>
    <row r="69" spans="1:43" ht="14.45" customHeight="1" x14ac:dyDescent="0.2">
      <c r="A69" s="42">
        <v>23155040</v>
      </c>
      <c r="B69" s="42" t="s">
        <v>946</v>
      </c>
      <c r="C69" s="42">
        <v>6.8595555560000001</v>
      </c>
      <c r="D69" s="42">
        <v>-73.765083329999996</v>
      </c>
      <c r="E69" s="42">
        <v>114</v>
      </c>
      <c r="F69" s="42" t="s">
        <v>50</v>
      </c>
      <c r="G69" s="42" t="s">
        <v>49</v>
      </c>
      <c r="H69" s="44">
        <v>19</v>
      </c>
      <c r="I69" s="42">
        <v>1994</v>
      </c>
      <c r="J69" s="42">
        <v>22</v>
      </c>
      <c r="K69" s="44">
        <v>19.2</v>
      </c>
      <c r="L69" s="42">
        <v>1996</v>
      </c>
      <c r="M69" s="42">
        <v>2</v>
      </c>
      <c r="N69" s="44">
        <v>19.2</v>
      </c>
      <c r="O69" s="42">
        <v>1996</v>
      </c>
      <c r="P69" s="42">
        <v>13</v>
      </c>
      <c r="Q69" s="44">
        <v>19.8</v>
      </c>
      <c r="R69" s="42">
        <v>1994</v>
      </c>
      <c r="S69" s="42">
        <v>19</v>
      </c>
      <c r="T69" s="44">
        <v>19.2</v>
      </c>
      <c r="U69" s="42">
        <v>1996</v>
      </c>
      <c r="V69" s="42">
        <v>26</v>
      </c>
      <c r="W69" s="44">
        <v>19.600000000000001</v>
      </c>
      <c r="X69" s="42">
        <v>2023</v>
      </c>
      <c r="Y69" s="42">
        <v>14</v>
      </c>
      <c r="Z69" s="44">
        <v>19.2</v>
      </c>
      <c r="AA69" s="42">
        <v>1995</v>
      </c>
      <c r="AB69" s="42">
        <v>10</v>
      </c>
      <c r="AC69" s="44">
        <v>19</v>
      </c>
      <c r="AD69" s="42">
        <v>1984</v>
      </c>
      <c r="AE69" s="42">
        <v>28</v>
      </c>
      <c r="AF69" s="44">
        <v>19</v>
      </c>
      <c r="AG69" s="42">
        <v>1994</v>
      </c>
      <c r="AH69" s="42">
        <v>7</v>
      </c>
      <c r="AI69" s="44">
        <v>19.600000000000001</v>
      </c>
      <c r="AJ69" s="42">
        <v>1982</v>
      </c>
      <c r="AK69" s="42">
        <v>1</v>
      </c>
      <c r="AL69" s="44">
        <v>19.8</v>
      </c>
      <c r="AM69" s="42">
        <v>1993</v>
      </c>
      <c r="AN69" s="42">
        <v>11</v>
      </c>
      <c r="AO69" s="44">
        <v>19.2</v>
      </c>
      <c r="AP69" s="42">
        <v>1993</v>
      </c>
      <c r="AQ69" s="42">
        <v>27</v>
      </c>
    </row>
    <row r="70" spans="1:43" ht="14.45" customHeight="1" x14ac:dyDescent="0.2">
      <c r="A70" s="42">
        <v>35235050</v>
      </c>
      <c r="B70" s="42" t="s">
        <v>947</v>
      </c>
      <c r="C70" s="42">
        <v>5.8185833330000003</v>
      </c>
      <c r="D70" s="42">
        <v>-72.166777780000004</v>
      </c>
      <c r="E70" s="42">
        <v>117</v>
      </c>
      <c r="F70" s="42" t="s">
        <v>257</v>
      </c>
      <c r="G70" s="42" t="s">
        <v>166</v>
      </c>
      <c r="H70" s="44">
        <v>15.1</v>
      </c>
      <c r="I70" s="42">
        <v>2010</v>
      </c>
      <c r="J70" s="42">
        <v>3</v>
      </c>
      <c r="K70" s="44">
        <v>17</v>
      </c>
      <c r="L70" s="42">
        <v>2006</v>
      </c>
      <c r="M70" s="42">
        <v>23</v>
      </c>
      <c r="N70" s="44">
        <v>17</v>
      </c>
      <c r="O70" s="42">
        <v>2011</v>
      </c>
      <c r="P70" s="42">
        <v>11</v>
      </c>
      <c r="Q70" s="44">
        <v>16</v>
      </c>
      <c r="R70" s="42">
        <v>2010</v>
      </c>
      <c r="S70" s="42">
        <v>6</v>
      </c>
      <c r="T70" s="44">
        <v>15.6</v>
      </c>
      <c r="U70" s="42">
        <v>2017</v>
      </c>
      <c r="V70" s="42">
        <v>23</v>
      </c>
      <c r="W70" s="44">
        <v>15.4</v>
      </c>
      <c r="X70" s="42">
        <v>2009</v>
      </c>
      <c r="Y70" s="42">
        <v>26</v>
      </c>
      <c r="Z70" s="44">
        <v>16.100000000000001</v>
      </c>
      <c r="AA70" s="42">
        <v>2009</v>
      </c>
      <c r="AB70" s="42">
        <v>10</v>
      </c>
      <c r="AC70" s="44">
        <v>15.3</v>
      </c>
      <c r="AD70" s="42">
        <v>2009</v>
      </c>
      <c r="AE70" s="42">
        <v>10</v>
      </c>
      <c r="AF70" s="44">
        <v>14.5</v>
      </c>
      <c r="AG70" s="42">
        <v>2014</v>
      </c>
      <c r="AH70" s="42">
        <v>19</v>
      </c>
      <c r="AI70" s="44">
        <v>16</v>
      </c>
      <c r="AJ70" s="42">
        <v>2011</v>
      </c>
      <c r="AK70" s="42">
        <v>21</v>
      </c>
      <c r="AL70" s="44">
        <v>16.3</v>
      </c>
      <c r="AM70" s="42">
        <v>2022</v>
      </c>
      <c r="AN70" s="42">
        <v>4</v>
      </c>
      <c r="AO70" s="44">
        <v>16.2</v>
      </c>
      <c r="AP70" s="42">
        <v>2008</v>
      </c>
      <c r="AQ70" s="42">
        <v>6</v>
      </c>
    </row>
    <row r="71" spans="1:43" ht="14.45" customHeight="1" x14ac:dyDescent="0.2">
      <c r="A71" s="42">
        <v>15085030</v>
      </c>
      <c r="B71" s="42" t="s">
        <v>948</v>
      </c>
      <c r="C71" s="42">
        <v>11.216749999999999</v>
      </c>
      <c r="D71" s="42">
        <v>-72.359944440000007</v>
      </c>
      <c r="E71" s="42">
        <v>118</v>
      </c>
      <c r="F71" s="42" t="s">
        <v>201</v>
      </c>
      <c r="G71" s="42" t="s">
        <v>40</v>
      </c>
      <c r="H71" s="44">
        <v>15.2</v>
      </c>
      <c r="I71" s="42">
        <v>2000</v>
      </c>
      <c r="J71" s="42">
        <v>4</v>
      </c>
      <c r="K71" s="44">
        <v>16</v>
      </c>
      <c r="L71" s="42">
        <v>2008</v>
      </c>
      <c r="M71" s="42">
        <v>3</v>
      </c>
      <c r="N71" s="44">
        <v>17.2</v>
      </c>
      <c r="O71" s="42">
        <v>1987</v>
      </c>
      <c r="P71" s="42">
        <v>8</v>
      </c>
      <c r="Q71" s="44">
        <v>17.2</v>
      </c>
      <c r="R71" s="42">
        <v>1990</v>
      </c>
      <c r="S71" s="42">
        <v>5</v>
      </c>
      <c r="T71" s="44">
        <v>17.600000000000001</v>
      </c>
      <c r="U71" s="42">
        <v>2011</v>
      </c>
      <c r="V71" s="42">
        <v>18</v>
      </c>
      <c r="W71" s="44">
        <v>17.8</v>
      </c>
      <c r="X71" s="42">
        <v>1990</v>
      </c>
      <c r="Y71" s="42">
        <v>17</v>
      </c>
      <c r="Z71" s="44">
        <v>15.2</v>
      </c>
      <c r="AA71" s="42">
        <v>1990</v>
      </c>
      <c r="AB71" s="42">
        <v>23</v>
      </c>
      <c r="AC71" s="44">
        <v>17.399999999999999</v>
      </c>
      <c r="AD71" s="42">
        <v>1990</v>
      </c>
      <c r="AE71" s="42">
        <v>18</v>
      </c>
      <c r="AF71" s="44">
        <v>15.2</v>
      </c>
      <c r="AG71" s="42">
        <v>1990</v>
      </c>
      <c r="AH71" s="42">
        <v>4</v>
      </c>
      <c r="AI71" s="44">
        <v>15.2</v>
      </c>
      <c r="AJ71" s="42">
        <v>1991</v>
      </c>
      <c r="AK71" s="42">
        <v>7</v>
      </c>
      <c r="AL71" s="44">
        <v>17.399999999999999</v>
      </c>
      <c r="AM71" s="42">
        <v>2011</v>
      </c>
      <c r="AN71" s="42">
        <v>23</v>
      </c>
      <c r="AO71" s="44">
        <v>12</v>
      </c>
      <c r="AP71" s="42">
        <v>2004</v>
      </c>
      <c r="AQ71" s="42">
        <v>29</v>
      </c>
    </row>
    <row r="72" spans="1:43" ht="14.45" customHeight="1" x14ac:dyDescent="0.2">
      <c r="A72" s="42">
        <v>23195040</v>
      </c>
      <c r="B72" s="42" t="s">
        <v>949</v>
      </c>
      <c r="C72" s="42">
        <v>7.1447222220000004</v>
      </c>
      <c r="D72" s="42">
        <v>-73.122222219999998</v>
      </c>
      <c r="E72" s="42">
        <v>118</v>
      </c>
      <c r="F72" s="42" t="s">
        <v>950</v>
      </c>
      <c r="G72" s="42" t="s">
        <v>49</v>
      </c>
      <c r="H72" s="44">
        <v>15.8</v>
      </c>
      <c r="I72" s="42">
        <v>1997</v>
      </c>
      <c r="J72" s="42">
        <v>1</v>
      </c>
      <c r="K72" s="44">
        <v>15.2</v>
      </c>
      <c r="L72" s="42">
        <v>1985</v>
      </c>
      <c r="M72" s="42">
        <v>6</v>
      </c>
      <c r="N72" s="44">
        <v>14.8</v>
      </c>
      <c r="O72" s="42">
        <v>1989</v>
      </c>
      <c r="P72" s="42">
        <v>13</v>
      </c>
      <c r="Q72" s="44">
        <v>16.399999999999999</v>
      </c>
      <c r="R72" s="42">
        <v>1991</v>
      </c>
      <c r="S72" s="42">
        <v>11</v>
      </c>
      <c r="T72" s="44">
        <v>14.2</v>
      </c>
      <c r="U72" s="42">
        <v>1990</v>
      </c>
      <c r="V72" s="42">
        <v>14</v>
      </c>
      <c r="W72" s="44">
        <v>15.4</v>
      </c>
      <c r="X72" s="42">
        <v>1982</v>
      </c>
      <c r="Y72" s="42">
        <v>7</v>
      </c>
      <c r="Z72" s="44">
        <v>15</v>
      </c>
      <c r="AA72" s="42">
        <v>1996</v>
      </c>
      <c r="AB72" s="42">
        <v>13</v>
      </c>
      <c r="AC72" s="44">
        <v>16</v>
      </c>
      <c r="AD72" s="42">
        <v>1996</v>
      </c>
      <c r="AE72" s="42">
        <v>21</v>
      </c>
      <c r="AF72" s="44">
        <v>16</v>
      </c>
      <c r="AG72" s="42">
        <v>1996</v>
      </c>
      <c r="AH72" s="42">
        <v>28</v>
      </c>
      <c r="AI72" s="44">
        <v>15.2</v>
      </c>
      <c r="AJ72" s="42">
        <v>1996</v>
      </c>
      <c r="AK72" s="42">
        <v>11</v>
      </c>
      <c r="AL72" s="44">
        <v>15.4</v>
      </c>
      <c r="AM72" s="42">
        <v>1984</v>
      </c>
      <c r="AN72" s="42">
        <v>9</v>
      </c>
      <c r="AO72" s="44">
        <v>15</v>
      </c>
      <c r="AP72" s="42">
        <v>1979</v>
      </c>
      <c r="AQ72" s="42">
        <v>22</v>
      </c>
    </row>
    <row r="73" spans="1:43" ht="14.45" customHeight="1" x14ac:dyDescent="0.2">
      <c r="A73" s="42">
        <v>25025170</v>
      </c>
      <c r="B73" s="42" t="s">
        <v>951</v>
      </c>
      <c r="C73" s="42">
        <v>8.7408611109999992</v>
      </c>
      <c r="D73" s="42">
        <v>-75.498833329999997</v>
      </c>
      <c r="E73" s="42">
        <v>125</v>
      </c>
      <c r="F73" s="42" t="s">
        <v>622</v>
      </c>
      <c r="G73" s="42" t="s">
        <v>893</v>
      </c>
      <c r="H73" s="44">
        <v>19</v>
      </c>
      <c r="I73" s="42">
        <v>2008</v>
      </c>
      <c r="J73" s="42">
        <v>3</v>
      </c>
      <c r="K73" s="44">
        <v>19.2</v>
      </c>
      <c r="L73" s="42">
        <v>2008</v>
      </c>
      <c r="M73" s="42">
        <v>4</v>
      </c>
      <c r="N73" s="44">
        <v>20</v>
      </c>
      <c r="O73" s="42">
        <v>1994</v>
      </c>
      <c r="P73" s="42">
        <v>28</v>
      </c>
      <c r="Q73" s="44">
        <v>19.8</v>
      </c>
      <c r="R73" s="42">
        <v>2007</v>
      </c>
      <c r="S73" s="42">
        <v>8</v>
      </c>
      <c r="T73" s="44">
        <v>19</v>
      </c>
      <c r="U73" s="42">
        <v>2001</v>
      </c>
      <c r="V73" s="42">
        <v>28</v>
      </c>
      <c r="W73" s="44">
        <v>19.600000000000001</v>
      </c>
      <c r="X73" s="42">
        <v>2001</v>
      </c>
      <c r="Y73" s="42">
        <v>12</v>
      </c>
      <c r="Z73" s="44">
        <v>19.399999999999999</v>
      </c>
      <c r="AA73" s="42">
        <v>2007</v>
      </c>
      <c r="AB73" s="42">
        <v>18</v>
      </c>
      <c r="AC73" s="44">
        <v>19.2</v>
      </c>
      <c r="AD73" s="42">
        <v>2006</v>
      </c>
      <c r="AE73" s="42">
        <v>21</v>
      </c>
      <c r="AF73" s="44">
        <v>19</v>
      </c>
      <c r="AG73" s="42">
        <v>2021</v>
      </c>
      <c r="AH73" s="42">
        <v>4</v>
      </c>
      <c r="AI73" s="44">
        <v>19.399999999999999</v>
      </c>
      <c r="AJ73" s="42">
        <v>2007</v>
      </c>
      <c r="AK73" s="42">
        <v>25</v>
      </c>
      <c r="AL73" s="44">
        <v>19.399999999999999</v>
      </c>
      <c r="AM73" s="42">
        <v>2006</v>
      </c>
      <c r="AN73" s="42">
        <v>12</v>
      </c>
      <c r="AO73" s="44">
        <v>19</v>
      </c>
      <c r="AP73" s="42">
        <v>2007</v>
      </c>
      <c r="AQ73" s="42">
        <v>16</v>
      </c>
    </row>
    <row r="74" spans="1:43" ht="14.45" customHeight="1" x14ac:dyDescent="0.2">
      <c r="A74" s="42">
        <v>23155030</v>
      </c>
      <c r="B74" s="42" t="s">
        <v>952</v>
      </c>
      <c r="C74" s="42">
        <v>7.0263888889999997</v>
      </c>
      <c r="D74" s="42">
        <v>-73.808611110000001</v>
      </c>
      <c r="E74" s="42">
        <v>126</v>
      </c>
      <c r="F74" s="42" t="s">
        <v>50</v>
      </c>
      <c r="G74" s="42" t="s">
        <v>49</v>
      </c>
      <c r="H74" s="44">
        <v>20.100000000000001</v>
      </c>
      <c r="I74" s="42">
        <v>2004</v>
      </c>
      <c r="J74" s="42">
        <v>16</v>
      </c>
      <c r="K74" s="44">
        <v>20.3</v>
      </c>
      <c r="L74" s="42">
        <v>1985</v>
      </c>
      <c r="M74" s="42">
        <v>2</v>
      </c>
      <c r="N74" s="44">
        <v>20.2</v>
      </c>
      <c r="O74" s="42">
        <v>1989</v>
      </c>
      <c r="P74" s="42">
        <v>13</v>
      </c>
      <c r="Q74" s="44">
        <v>20</v>
      </c>
      <c r="R74" s="42">
        <v>1999</v>
      </c>
      <c r="S74" s="42">
        <v>5</v>
      </c>
      <c r="T74" s="44">
        <v>20.2</v>
      </c>
      <c r="U74" s="42">
        <v>1981</v>
      </c>
      <c r="V74" s="42">
        <v>24</v>
      </c>
      <c r="W74" s="44">
        <v>19</v>
      </c>
      <c r="X74" s="42">
        <v>2004</v>
      </c>
      <c r="Y74" s="42">
        <v>21</v>
      </c>
      <c r="Z74" s="44">
        <v>20.100000000000001</v>
      </c>
      <c r="AA74" s="42">
        <v>1984</v>
      </c>
      <c r="AB74" s="42">
        <v>31</v>
      </c>
      <c r="AC74" s="44">
        <v>19.600000000000001</v>
      </c>
      <c r="AD74" s="42">
        <v>1983</v>
      </c>
      <c r="AE74" s="42">
        <v>1</v>
      </c>
      <c r="AF74" s="44">
        <v>20</v>
      </c>
      <c r="AG74" s="42">
        <v>1994</v>
      </c>
      <c r="AH74" s="42">
        <v>20</v>
      </c>
      <c r="AI74" s="44">
        <v>20.9</v>
      </c>
      <c r="AJ74" s="42">
        <v>2022</v>
      </c>
      <c r="AK74" s="42">
        <v>13</v>
      </c>
      <c r="AL74" s="44">
        <v>21</v>
      </c>
      <c r="AM74" s="42">
        <v>2001</v>
      </c>
      <c r="AN74" s="42">
        <v>3</v>
      </c>
      <c r="AO74" s="44">
        <v>20.8</v>
      </c>
      <c r="AP74" s="42">
        <v>1978</v>
      </c>
      <c r="AQ74" s="42">
        <v>8</v>
      </c>
    </row>
    <row r="75" spans="1:43" ht="14.45" customHeight="1" x14ac:dyDescent="0.2">
      <c r="A75" s="42">
        <v>26075080</v>
      </c>
      <c r="B75" s="42" t="s">
        <v>953</v>
      </c>
      <c r="C75" s="42">
        <v>3.360416667</v>
      </c>
      <c r="D75" s="42">
        <v>-76.299722222</v>
      </c>
      <c r="E75" s="42">
        <v>128</v>
      </c>
      <c r="F75" s="42" t="s">
        <v>837</v>
      </c>
      <c r="G75" s="42" t="s">
        <v>341</v>
      </c>
      <c r="H75" s="44">
        <v>14</v>
      </c>
      <c r="I75" s="42">
        <v>2017</v>
      </c>
      <c r="J75" s="42">
        <v>23</v>
      </c>
      <c r="K75" s="44">
        <v>15</v>
      </c>
      <c r="L75" s="42">
        <v>1985</v>
      </c>
      <c r="M75" s="42">
        <v>5</v>
      </c>
      <c r="N75" s="44">
        <v>15</v>
      </c>
      <c r="O75" s="42">
        <v>1989</v>
      </c>
      <c r="P75" s="42">
        <v>29</v>
      </c>
      <c r="Q75" s="44">
        <v>15.6</v>
      </c>
      <c r="R75" s="42">
        <v>1985</v>
      </c>
      <c r="S75" s="42">
        <v>28</v>
      </c>
      <c r="T75" s="44">
        <v>15.1</v>
      </c>
      <c r="U75" s="42">
        <v>2019</v>
      </c>
      <c r="V75" s="42">
        <v>31</v>
      </c>
      <c r="W75" s="44">
        <v>14.7</v>
      </c>
      <c r="X75" s="42">
        <v>1986</v>
      </c>
      <c r="Y75" s="42">
        <v>3</v>
      </c>
      <c r="Z75" s="44">
        <v>13.3</v>
      </c>
      <c r="AA75" s="42">
        <v>1986</v>
      </c>
      <c r="AB75" s="42">
        <v>24</v>
      </c>
      <c r="AC75" s="44">
        <v>13</v>
      </c>
      <c r="AD75" s="42">
        <v>2018</v>
      </c>
      <c r="AE75" s="42">
        <v>11</v>
      </c>
      <c r="AF75" s="44">
        <v>15</v>
      </c>
      <c r="AG75" s="42">
        <v>1981</v>
      </c>
      <c r="AH75" s="42">
        <v>12</v>
      </c>
      <c r="AI75" s="44">
        <v>15</v>
      </c>
      <c r="AJ75" s="42">
        <v>1981</v>
      </c>
      <c r="AK75" s="42">
        <v>4</v>
      </c>
      <c r="AL75" s="44">
        <v>13.3</v>
      </c>
      <c r="AM75" s="42">
        <v>1985</v>
      </c>
      <c r="AN75" s="42">
        <v>2</v>
      </c>
      <c r="AO75" s="44">
        <v>15.2</v>
      </c>
      <c r="AP75" s="42">
        <v>2014</v>
      </c>
      <c r="AQ75" s="42">
        <v>15</v>
      </c>
    </row>
    <row r="76" spans="1:43" ht="14.45" customHeight="1" x14ac:dyDescent="0.2">
      <c r="A76" s="42">
        <v>37055010</v>
      </c>
      <c r="B76" s="42" t="s">
        <v>954</v>
      </c>
      <c r="C76" s="42">
        <v>7.0694444440000002</v>
      </c>
      <c r="D76" s="42">
        <v>-70.738055560000006</v>
      </c>
      <c r="E76" s="42">
        <v>128</v>
      </c>
      <c r="F76" s="42" t="s">
        <v>90</v>
      </c>
      <c r="G76" s="42" t="s">
        <v>90</v>
      </c>
      <c r="H76" s="44">
        <v>15.4</v>
      </c>
      <c r="I76" s="42">
        <v>1982</v>
      </c>
      <c r="J76" s="42">
        <v>23</v>
      </c>
      <c r="K76" s="44">
        <v>15.2</v>
      </c>
      <c r="L76" s="42">
        <v>1985</v>
      </c>
      <c r="M76" s="42">
        <v>27</v>
      </c>
      <c r="N76" s="44">
        <v>18</v>
      </c>
      <c r="O76" s="42">
        <v>1989</v>
      </c>
      <c r="P76" s="42">
        <v>28</v>
      </c>
      <c r="Q76" s="44">
        <v>19</v>
      </c>
      <c r="R76" s="42">
        <v>1986</v>
      </c>
      <c r="S76" s="42">
        <v>9</v>
      </c>
      <c r="T76" s="44">
        <v>19.399999999999999</v>
      </c>
      <c r="U76" s="42">
        <v>1986</v>
      </c>
      <c r="V76" s="42">
        <v>17</v>
      </c>
      <c r="W76" s="44">
        <v>19</v>
      </c>
      <c r="X76" s="42">
        <v>1986</v>
      </c>
      <c r="Y76" s="42">
        <v>16</v>
      </c>
      <c r="Z76" s="44">
        <v>18.8</v>
      </c>
      <c r="AA76" s="42">
        <v>1980</v>
      </c>
      <c r="AB76" s="42">
        <v>6</v>
      </c>
      <c r="AC76" s="44">
        <v>18.399999999999999</v>
      </c>
      <c r="AD76" s="42">
        <v>1978</v>
      </c>
      <c r="AE76" s="42">
        <v>16</v>
      </c>
      <c r="AF76" s="44">
        <v>19.399999999999999</v>
      </c>
      <c r="AG76" s="42">
        <v>2008</v>
      </c>
      <c r="AH76" s="42">
        <v>12</v>
      </c>
      <c r="AI76" s="44">
        <v>18.2</v>
      </c>
      <c r="AJ76" s="42">
        <v>1981</v>
      </c>
      <c r="AK76" s="42">
        <v>10</v>
      </c>
      <c r="AL76" s="44">
        <v>18.600000000000001</v>
      </c>
      <c r="AM76" s="42">
        <v>1981</v>
      </c>
      <c r="AN76" s="42">
        <v>23</v>
      </c>
      <c r="AO76" s="44">
        <v>18.2</v>
      </c>
      <c r="AP76" s="42">
        <v>1993</v>
      </c>
      <c r="AQ76" s="42">
        <v>29</v>
      </c>
    </row>
    <row r="77" spans="1:43" ht="14.45" customHeight="1" x14ac:dyDescent="0.2">
      <c r="A77" s="42">
        <v>12015010</v>
      </c>
      <c r="B77" s="42" t="s">
        <v>955</v>
      </c>
      <c r="C77" s="42">
        <v>7.3346666669999996</v>
      </c>
      <c r="D77" s="42">
        <v>-76.486027780000001</v>
      </c>
      <c r="E77" s="42">
        <v>132</v>
      </c>
      <c r="F77" s="42" t="s">
        <v>467</v>
      </c>
      <c r="G77" s="42" t="s">
        <v>57</v>
      </c>
      <c r="H77" s="44">
        <v>16</v>
      </c>
      <c r="I77" s="42">
        <v>1978</v>
      </c>
      <c r="J77" s="42">
        <v>5</v>
      </c>
      <c r="K77" s="44">
        <v>17</v>
      </c>
      <c r="L77" s="42">
        <v>1992</v>
      </c>
      <c r="M77" s="42">
        <v>1</v>
      </c>
      <c r="N77" s="44">
        <v>17.2</v>
      </c>
      <c r="O77" s="42">
        <v>1992</v>
      </c>
      <c r="P77" s="42">
        <v>23</v>
      </c>
      <c r="Q77" s="44">
        <v>16.399999999999999</v>
      </c>
      <c r="R77" s="42">
        <v>1992</v>
      </c>
      <c r="S77" s="42">
        <v>25</v>
      </c>
      <c r="T77" s="44">
        <v>16</v>
      </c>
      <c r="U77" s="42">
        <v>1987</v>
      </c>
      <c r="V77" s="42">
        <v>26</v>
      </c>
      <c r="W77" s="44">
        <v>18.2</v>
      </c>
      <c r="X77" s="42">
        <v>1992</v>
      </c>
      <c r="Y77" s="42">
        <v>28</v>
      </c>
      <c r="Z77" s="44">
        <v>16</v>
      </c>
      <c r="AA77" s="42">
        <v>1991</v>
      </c>
      <c r="AB77" s="42">
        <v>1</v>
      </c>
      <c r="AC77" s="44">
        <v>16</v>
      </c>
      <c r="AD77" s="42">
        <v>1991</v>
      </c>
      <c r="AE77" s="42">
        <v>8</v>
      </c>
      <c r="AF77" s="44">
        <v>16</v>
      </c>
      <c r="AG77" s="42">
        <v>1991</v>
      </c>
      <c r="AH77" s="42">
        <v>16</v>
      </c>
      <c r="AI77" s="44">
        <v>16</v>
      </c>
      <c r="AJ77" s="42">
        <v>1991</v>
      </c>
      <c r="AK77" s="42">
        <v>19</v>
      </c>
      <c r="AL77" s="44">
        <v>16</v>
      </c>
      <c r="AM77" s="42">
        <v>1991</v>
      </c>
      <c r="AN77" s="42">
        <v>19</v>
      </c>
      <c r="AO77" s="44">
        <v>16</v>
      </c>
      <c r="AP77" s="42">
        <v>1991</v>
      </c>
      <c r="AQ77" s="42">
        <v>8</v>
      </c>
    </row>
    <row r="78" spans="1:43" ht="14.45" customHeight="1" x14ac:dyDescent="0.2">
      <c r="A78" s="42">
        <v>24065010</v>
      </c>
      <c r="B78" s="42" t="s">
        <v>956</v>
      </c>
      <c r="C78" s="42">
        <v>7.2461111110000003</v>
      </c>
      <c r="D78" s="42">
        <v>-73.790000000000006</v>
      </c>
      <c r="E78" s="42">
        <v>138</v>
      </c>
      <c r="F78" s="42" t="s">
        <v>793</v>
      </c>
      <c r="G78" s="42" t="s">
        <v>49</v>
      </c>
      <c r="H78" s="44">
        <v>17.600000000000001</v>
      </c>
      <c r="I78" s="42">
        <v>1979</v>
      </c>
      <c r="J78" s="42">
        <v>28</v>
      </c>
      <c r="K78" s="44">
        <v>17</v>
      </c>
      <c r="L78" s="42">
        <v>1989</v>
      </c>
      <c r="M78" s="42">
        <v>16</v>
      </c>
      <c r="N78" s="44">
        <v>14.6</v>
      </c>
      <c r="O78" s="42">
        <v>1996</v>
      </c>
      <c r="P78" s="42">
        <v>2</v>
      </c>
      <c r="Q78" s="44">
        <v>18.2</v>
      </c>
      <c r="R78" s="42">
        <v>1979</v>
      </c>
      <c r="S78" s="42">
        <v>27</v>
      </c>
      <c r="T78" s="44">
        <v>18</v>
      </c>
      <c r="U78" s="42">
        <v>1997</v>
      </c>
      <c r="V78" s="42">
        <v>8</v>
      </c>
      <c r="W78" s="44">
        <v>18</v>
      </c>
      <c r="X78" s="42">
        <v>1997</v>
      </c>
      <c r="Y78" s="42">
        <v>27</v>
      </c>
      <c r="Z78" s="44">
        <v>17.399999999999999</v>
      </c>
      <c r="AA78" s="42">
        <v>1981</v>
      </c>
      <c r="AB78" s="42">
        <v>17</v>
      </c>
      <c r="AC78" s="44">
        <v>17.2</v>
      </c>
      <c r="AD78" s="42">
        <v>2003</v>
      </c>
      <c r="AE78" s="42">
        <v>14</v>
      </c>
      <c r="AF78" s="44">
        <v>17.2</v>
      </c>
      <c r="AG78" s="42">
        <v>1981</v>
      </c>
      <c r="AH78" s="42">
        <v>1</v>
      </c>
      <c r="AI78" s="44">
        <v>18.2</v>
      </c>
      <c r="AJ78" s="42">
        <v>1978</v>
      </c>
      <c r="AK78" s="42">
        <v>3</v>
      </c>
      <c r="AL78" s="44">
        <v>18</v>
      </c>
      <c r="AM78" s="42">
        <v>1997</v>
      </c>
      <c r="AN78" s="42">
        <v>10</v>
      </c>
      <c r="AO78" s="44">
        <v>18.600000000000001</v>
      </c>
      <c r="AP78" s="42">
        <v>1978</v>
      </c>
      <c r="AQ78" s="42">
        <v>11</v>
      </c>
    </row>
    <row r="79" spans="1:43" ht="14.45" customHeight="1" x14ac:dyDescent="0.2">
      <c r="A79" s="42">
        <v>28025502</v>
      </c>
      <c r="B79" s="42" t="s">
        <v>957</v>
      </c>
      <c r="C79" s="42">
        <v>10.43616667</v>
      </c>
      <c r="D79" s="42">
        <v>-73.247666670000001</v>
      </c>
      <c r="E79" s="42">
        <v>138</v>
      </c>
      <c r="F79" s="42" t="s">
        <v>44</v>
      </c>
      <c r="G79" s="42" t="s">
        <v>43</v>
      </c>
      <c r="H79" s="44">
        <v>19</v>
      </c>
      <c r="I79" s="42">
        <v>1985</v>
      </c>
      <c r="J79" s="42">
        <v>29</v>
      </c>
      <c r="K79" s="44">
        <v>18.600000000000001</v>
      </c>
      <c r="L79" s="42">
        <v>2000</v>
      </c>
      <c r="M79" s="42">
        <v>9</v>
      </c>
      <c r="N79" s="44">
        <v>20.3</v>
      </c>
      <c r="O79" s="42">
        <v>1976</v>
      </c>
      <c r="P79" s="42">
        <v>7</v>
      </c>
      <c r="Q79" s="44">
        <v>20.8</v>
      </c>
      <c r="R79" s="42">
        <v>1976</v>
      </c>
      <c r="S79" s="42">
        <v>10</v>
      </c>
      <c r="T79" s="44">
        <v>20.8</v>
      </c>
      <c r="U79" s="42">
        <v>1995</v>
      </c>
      <c r="V79" s="42">
        <v>26</v>
      </c>
      <c r="W79" s="44">
        <v>19.2</v>
      </c>
      <c r="X79" s="42">
        <v>1980</v>
      </c>
      <c r="Y79" s="42">
        <v>7</v>
      </c>
      <c r="Z79" s="44">
        <v>20.8</v>
      </c>
      <c r="AA79" s="42">
        <v>1996</v>
      </c>
      <c r="AB79" s="42">
        <v>12</v>
      </c>
      <c r="AC79" s="44">
        <v>20</v>
      </c>
      <c r="AD79" s="42">
        <v>1979</v>
      </c>
      <c r="AE79" s="42">
        <v>21</v>
      </c>
      <c r="AF79" s="44">
        <v>20.399999999999999</v>
      </c>
      <c r="AG79" s="42">
        <v>1978</v>
      </c>
      <c r="AH79" s="42">
        <v>7</v>
      </c>
      <c r="AI79" s="44">
        <v>18.399999999999999</v>
      </c>
      <c r="AJ79" s="42">
        <v>2006</v>
      </c>
      <c r="AK79" s="42">
        <v>30</v>
      </c>
      <c r="AL79" s="44">
        <v>19</v>
      </c>
      <c r="AM79" s="42">
        <v>1996</v>
      </c>
      <c r="AN79" s="42">
        <v>22</v>
      </c>
      <c r="AO79" s="44">
        <v>19</v>
      </c>
      <c r="AP79" s="42">
        <v>1985</v>
      </c>
      <c r="AQ79" s="42">
        <v>15</v>
      </c>
    </row>
    <row r="80" spans="1:43" ht="14.45" customHeight="1" x14ac:dyDescent="0.2">
      <c r="A80" s="42">
        <v>35225030</v>
      </c>
      <c r="B80" s="42" t="s">
        <v>958</v>
      </c>
      <c r="C80" s="42">
        <v>4.9105280000000002</v>
      </c>
      <c r="D80" s="42">
        <v>-71.433082999999996</v>
      </c>
      <c r="E80" s="42">
        <v>139</v>
      </c>
      <c r="F80" s="42" t="s">
        <v>171</v>
      </c>
      <c r="G80" s="42" t="s">
        <v>166</v>
      </c>
      <c r="H80" s="44">
        <v>15.4</v>
      </c>
      <c r="I80" s="42">
        <v>1984</v>
      </c>
      <c r="J80" s="42">
        <v>13</v>
      </c>
      <c r="K80" s="44">
        <v>15</v>
      </c>
      <c r="L80" s="42">
        <v>1987</v>
      </c>
      <c r="M80" s="42">
        <v>7</v>
      </c>
      <c r="N80" s="44">
        <v>12.6</v>
      </c>
      <c r="O80" s="42">
        <v>1984</v>
      </c>
      <c r="P80" s="42">
        <v>11</v>
      </c>
      <c r="Q80" s="44">
        <v>16.600000000000001</v>
      </c>
      <c r="R80" s="42">
        <v>1982</v>
      </c>
      <c r="S80" s="42">
        <v>21</v>
      </c>
      <c r="T80" s="44">
        <v>16</v>
      </c>
      <c r="U80" s="42">
        <v>1989</v>
      </c>
      <c r="V80" s="42">
        <v>13</v>
      </c>
      <c r="W80" s="44">
        <v>16.399999999999999</v>
      </c>
      <c r="X80" s="42">
        <v>1982</v>
      </c>
      <c r="Y80" s="42">
        <v>17</v>
      </c>
      <c r="Z80" s="44">
        <v>15.8</v>
      </c>
      <c r="AA80" s="42">
        <v>1982</v>
      </c>
      <c r="AB80" s="42">
        <v>18</v>
      </c>
      <c r="AC80" s="44">
        <v>15.4</v>
      </c>
      <c r="AD80" s="42">
        <v>1985</v>
      </c>
      <c r="AE80" s="42">
        <v>1</v>
      </c>
      <c r="AF80" s="44">
        <v>14</v>
      </c>
      <c r="AG80" s="42">
        <v>1982</v>
      </c>
      <c r="AH80" s="42">
        <v>13</v>
      </c>
      <c r="AI80" s="44">
        <v>15.2</v>
      </c>
      <c r="AJ80" s="42">
        <v>1988</v>
      </c>
      <c r="AK80" s="42">
        <v>13</v>
      </c>
      <c r="AL80" s="44">
        <v>16.600000000000001</v>
      </c>
      <c r="AM80" s="42">
        <v>1981</v>
      </c>
      <c r="AN80" s="42">
        <v>7</v>
      </c>
      <c r="AO80" s="44">
        <v>14</v>
      </c>
      <c r="AP80" s="42">
        <v>1985</v>
      </c>
      <c r="AQ80" s="42">
        <v>30</v>
      </c>
    </row>
    <row r="81" spans="1:43" ht="14.45" customHeight="1" x14ac:dyDescent="0.2">
      <c r="A81" s="42">
        <v>47045010</v>
      </c>
      <c r="B81" s="42" t="s">
        <v>959</v>
      </c>
      <c r="C81" s="42">
        <v>-0.18061111099999999</v>
      </c>
      <c r="D81" s="42">
        <v>-74.776277780000001</v>
      </c>
      <c r="E81" s="42">
        <v>147</v>
      </c>
      <c r="F81" s="42" t="s">
        <v>273</v>
      </c>
      <c r="G81" s="42" t="s">
        <v>264</v>
      </c>
      <c r="H81" s="44">
        <v>17</v>
      </c>
      <c r="I81" s="42">
        <v>1987</v>
      </c>
      <c r="J81" s="42">
        <v>21</v>
      </c>
      <c r="K81" s="44">
        <v>17</v>
      </c>
      <c r="L81" s="42">
        <v>1987</v>
      </c>
      <c r="M81" s="42">
        <v>16</v>
      </c>
      <c r="N81" s="44">
        <v>17.5</v>
      </c>
      <c r="O81" s="42">
        <v>1981</v>
      </c>
      <c r="P81" s="42">
        <v>3</v>
      </c>
      <c r="Q81" s="44">
        <v>19.3</v>
      </c>
      <c r="R81" s="42">
        <v>2016</v>
      </c>
      <c r="S81" s="42">
        <v>29</v>
      </c>
      <c r="T81" s="44">
        <v>19.8</v>
      </c>
      <c r="U81" s="42">
        <v>2007</v>
      </c>
      <c r="V81" s="42">
        <v>27</v>
      </c>
      <c r="W81" s="44">
        <v>17.399999999999999</v>
      </c>
      <c r="X81" s="42">
        <v>1996</v>
      </c>
      <c r="Y81" s="42">
        <v>30</v>
      </c>
      <c r="Z81" s="44">
        <v>17.5</v>
      </c>
      <c r="AA81" s="42">
        <v>1981</v>
      </c>
      <c r="AB81" s="42">
        <v>22</v>
      </c>
      <c r="AC81" s="44">
        <v>16.600000000000001</v>
      </c>
      <c r="AD81" s="42">
        <v>2022</v>
      </c>
      <c r="AE81" s="42">
        <v>21</v>
      </c>
      <c r="AF81" s="44">
        <v>17.600000000000001</v>
      </c>
      <c r="AG81" s="42">
        <v>1980</v>
      </c>
      <c r="AH81" s="42">
        <v>18</v>
      </c>
      <c r="AI81" s="44">
        <v>17</v>
      </c>
      <c r="AJ81" s="42">
        <v>1986</v>
      </c>
      <c r="AK81" s="42">
        <v>14</v>
      </c>
      <c r="AL81" s="44">
        <v>18</v>
      </c>
      <c r="AM81" s="42">
        <v>1984</v>
      </c>
      <c r="AN81" s="42">
        <v>21</v>
      </c>
      <c r="AO81" s="44">
        <v>18.600000000000001</v>
      </c>
      <c r="AP81" s="42">
        <v>2016</v>
      </c>
      <c r="AQ81" s="42">
        <v>20</v>
      </c>
    </row>
    <row r="82" spans="1:43" ht="14.45" customHeight="1" x14ac:dyDescent="0.2">
      <c r="A82" s="42">
        <v>44135010</v>
      </c>
      <c r="B82" s="42" t="s">
        <v>960</v>
      </c>
      <c r="C82" s="42">
        <v>-0.61636111100000002</v>
      </c>
      <c r="D82" s="42">
        <v>-72.381916669999995</v>
      </c>
      <c r="E82" s="42">
        <v>150</v>
      </c>
      <c r="F82" s="42" t="s">
        <v>961</v>
      </c>
      <c r="G82" s="42" t="s">
        <v>962</v>
      </c>
      <c r="H82" s="44">
        <v>17.8</v>
      </c>
      <c r="I82" s="42">
        <v>1991</v>
      </c>
      <c r="J82" s="42">
        <v>19</v>
      </c>
      <c r="K82" s="44">
        <v>18.600000000000001</v>
      </c>
      <c r="L82" s="42">
        <v>1989</v>
      </c>
      <c r="M82" s="42">
        <v>17</v>
      </c>
      <c r="N82" s="44">
        <v>12.8</v>
      </c>
      <c r="O82" s="42">
        <v>1992</v>
      </c>
      <c r="P82" s="42">
        <v>13</v>
      </c>
      <c r="Q82" s="44">
        <v>12.7</v>
      </c>
      <c r="R82" s="42">
        <v>1992</v>
      </c>
      <c r="S82" s="42">
        <v>3</v>
      </c>
      <c r="T82" s="44">
        <v>16.3</v>
      </c>
      <c r="U82" s="42">
        <v>1992</v>
      </c>
      <c r="V82" s="42">
        <v>31</v>
      </c>
      <c r="W82" s="44">
        <v>16.2</v>
      </c>
      <c r="X82" s="42">
        <v>1992</v>
      </c>
      <c r="Y82" s="42">
        <v>21</v>
      </c>
      <c r="Z82" s="44">
        <v>15.6</v>
      </c>
      <c r="AA82" s="42">
        <v>2016</v>
      </c>
      <c r="AB82" s="42">
        <v>18</v>
      </c>
      <c r="AC82" s="44">
        <v>16.8</v>
      </c>
      <c r="AD82" s="42">
        <v>1985</v>
      </c>
      <c r="AE82" s="42">
        <v>24</v>
      </c>
      <c r="AF82" s="44">
        <v>16.3</v>
      </c>
      <c r="AG82" s="42">
        <v>1985</v>
      </c>
      <c r="AH82" s="42">
        <v>2</v>
      </c>
      <c r="AI82" s="44">
        <v>18.5</v>
      </c>
      <c r="AJ82" s="42">
        <v>1987</v>
      </c>
      <c r="AK82" s="42">
        <v>25</v>
      </c>
      <c r="AL82" s="44">
        <v>19</v>
      </c>
      <c r="AM82" s="42">
        <v>1985</v>
      </c>
      <c r="AN82" s="42">
        <v>29</v>
      </c>
      <c r="AO82" s="44">
        <v>17.2</v>
      </c>
      <c r="AP82" s="42">
        <v>1985</v>
      </c>
      <c r="AQ82" s="42">
        <v>1</v>
      </c>
    </row>
    <row r="83" spans="1:43" ht="14.45" customHeight="1" x14ac:dyDescent="0.2">
      <c r="A83" s="42">
        <v>29015020</v>
      </c>
      <c r="B83" s="42" t="s">
        <v>963</v>
      </c>
      <c r="C83" s="42">
        <v>9.7156900000000004</v>
      </c>
      <c r="D83" s="42">
        <v>-75.106448</v>
      </c>
      <c r="E83" s="42">
        <v>152</v>
      </c>
      <c r="F83" s="42" t="s">
        <v>964</v>
      </c>
      <c r="G83" s="42" t="s">
        <v>870</v>
      </c>
      <c r="H83" s="44">
        <v>16.3</v>
      </c>
      <c r="I83" s="42">
        <v>2023</v>
      </c>
      <c r="J83" s="42">
        <v>29</v>
      </c>
      <c r="K83" s="44">
        <v>16</v>
      </c>
      <c r="L83" s="42">
        <v>1986</v>
      </c>
      <c r="M83" s="42">
        <v>28</v>
      </c>
      <c r="N83" s="44">
        <v>16.399999999999999</v>
      </c>
      <c r="O83" s="42">
        <v>1988</v>
      </c>
      <c r="P83" s="42">
        <v>20</v>
      </c>
      <c r="Q83" s="44">
        <v>19</v>
      </c>
      <c r="R83" s="42">
        <v>1985</v>
      </c>
      <c r="S83" s="42">
        <v>27</v>
      </c>
      <c r="T83" s="44">
        <v>19</v>
      </c>
      <c r="U83" s="42">
        <v>1985</v>
      </c>
      <c r="V83" s="42">
        <v>1</v>
      </c>
      <c r="W83" s="44">
        <v>19</v>
      </c>
      <c r="X83" s="42">
        <v>1985</v>
      </c>
      <c r="Y83" s="42">
        <v>23</v>
      </c>
      <c r="Z83" s="44">
        <v>19</v>
      </c>
      <c r="AA83" s="42">
        <v>1985</v>
      </c>
      <c r="AB83" s="42">
        <v>10</v>
      </c>
      <c r="AC83" s="44">
        <v>19</v>
      </c>
      <c r="AD83" s="42">
        <v>1986</v>
      </c>
      <c r="AE83" s="42">
        <v>30</v>
      </c>
      <c r="AF83" s="44">
        <v>18.600000000000001</v>
      </c>
      <c r="AG83" s="42">
        <v>1999</v>
      </c>
      <c r="AH83" s="42">
        <v>22</v>
      </c>
      <c r="AI83" s="44">
        <v>19</v>
      </c>
      <c r="AJ83" s="42">
        <v>2011</v>
      </c>
      <c r="AK83" s="42">
        <v>23</v>
      </c>
      <c r="AL83" s="44">
        <v>17.399999999999999</v>
      </c>
      <c r="AM83" s="42">
        <v>1996</v>
      </c>
      <c r="AN83" s="42">
        <v>21</v>
      </c>
      <c r="AO83" s="44">
        <v>16.399999999999999</v>
      </c>
      <c r="AP83" s="42">
        <v>1984</v>
      </c>
      <c r="AQ83" s="42">
        <v>31</v>
      </c>
    </row>
    <row r="84" spans="1:43" ht="14.45" customHeight="1" x14ac:dyDescent="0.2">
      <c r="A84" s="42">
        <v>29015040</v>
      </c>
      <c r="B84" s="42" t="s">
        <v>965</v>
      </c>
      <c r="C84" s="42">
        <v>9.7156900000000004</v>
      </c>
      <c r="D84" s="42">
        <v>-75.106448</v>
      </c>
      <c r="E84" s="42">
        <v>152</v>
      </c>
      <c r="F84" s="42" t="s">
        <v>964</v>
      </c>
      <c r="G84" s="42" t="s">
        <v>870</v>
      </c>
      <c r="H84" s="44">
        <v>17.399999999999999</v>
      </c>
      <c r="I84" s="42">
        <v>2020</v>
      </c>
      <c r="J84" s="42">
        <v>10</v>
      </c>
      <c r="K84" s="44">
        <v>18.399999999999999</v>
      </c>
      <c r="L84" s="42">
        <v>2019</v>
      </c>
      <c r="M84" s="42">
        <v>27</v>
      </c>
      <c r="N84" s="44">
        <v>20.399999999999999</v>
      </c>
      <c r="O84" s="42">
        <v>2019</v>
      </c>
      <c r="P84" s="42">
        <v>13</v>
      </c>
      <c r="Q84" s="44">
        <v>20.3</v>
      </c>
      <c r="R84" s="42">
        <v>2019</v>
      </c>
      <c r="S84" s="42">
        <v>4</v>
      </c>
      <c r="T84" s="44">
        <v>21.3</v>
      </c>
      <c r="U84" s="42">
        <v>2018</v>
      </c>
      <c r="V84" s="42">
        <v>13</v>
      </c>
      <c r="W84" s="44">
        <v>21.4</v>
      </c>
      <c r="X84" s="42">
        <v>2019</v>
      </c>
      <c r="Y84" s="42">
        <v>23</v>
      </c>
      <c r="Z84" s="44">
        <v>21.1</v>
      </c>
      <c r="AA84" s="42">
        <v>2019</v>
      </c>
      <c r="AB84" s="42">
        <v>10</v>
      </c>
      <c r="AC84" s="44">
        <v>20.3</v>
      </c>
      <c r="AD84" s="42">
        <v>2018</v>
      </c>
      <c r="AE84" s="42">
        <v>30</v>
      </c>
      <c r="AF84" s="44">
        <v>20.2</v>
      </c>
      <c r="AG84" s="42">
        <v>2018</v>
      </c>
      <c r="AH84" s="42">
        <v>16</v>
      </c>
      <c r="AI84" s="44">
        <v>21</v>
      </c>
      <c r="AJ84" s="42">
        <v>2018</v>
      </c>
      <c r="AK84" s="42">
        <v>10</v>
      </c>
      <c r="AL84" s="44">
        <v>20.399999999999999</v>
      </c>
      <c r="AM84" s="42">
        <v>2018</v>
      </c>
      <c r="AN84" s="42">
        <v>29</v>
      </c>
      <c r="AO84" s="44">
        <v>18</v>
      </c>
      <c r="AP84" s="42">
        <v>2018</v>
      </c>
      <c r="AQ84" s="42">
        <v>23</v>
      </c>
    </row>
    <row r="85" spans="1:43" ht="14.45" customHeight="1" x14ac:dyDescent="0.2">
      <c r="A85" s="42">
        <v>44115020</v>
      </c>
      <c r="B85" s="42" t="s">
        <v>966</v>
      </c>
      <c r="C85" s="42">
        <v>-6.0749999999999998E-2</v>
      </c>
      <c r="D85" s="42">
        <v>-74.665222220000004</v>
      </c>
      <c r="E85" s="42">
        <v>153</v>
      </c>
      <c r="F85" s="42" t="s">
        <v>273</v>
      </c>
      <c r="G85" s="42" t="s">
        <v>264</v>
      </c>
      <c r="H85" s="44">
        <v>17.2</v>
      </c>
      <c r="I85" s="42">
        <v>1989</v>
      </c>
      <c r="J85" s="42">
        <v>10</v>
      </c>
      <c r="K85" s="44">
        <v>16.100000000000001</v>
      </c>
      <c r="L85" s="42">
        <v>1988</v>
      </c>
      <c r="M85" s="42">
        <v>25</v>
      </c>
      <c r="N85" s="44">
        <v>17</v>
      </c>
      <c r="O85" s="42">
        <v>1993</v>
      </c>
      <c r="P85" s="42">
        <v>15</v>
      </c>
      <c r="Q85" s="44">
        <v>15</v>
      </c>
      <c r="R85" s="42">
        <v>1988</v>
      </c>
      <c r="S85" s="42">
        <v>25</v>
      </c>
      <c r="T85" s="44">
        <v>16.399999999999999</v>
      </c>
      <c r="U85" s="42">
        <v>1988</v>
      </c>
      <c r="V85" s="42">
        <v>10</v>
      </c>
      <c r="W85" s="44">
        <v>18.2</v>
      </c>
      <c r="X85" s="42">
        <v>2023</v>
      </c>
      <c r="Y85" s="42">
        <v>16</v>
      </c>
      <c r="Z85" s="44">
        <v>16</v>
      </c>
      <c r="AA85" s="42">
        <v>1991</v>
      </c>
      <c r="AB85" s="42">
        <v>13</v>
      </c>
      <c r="AC85" s="44">
        <v>14</v>
      </c>
      <c r="AD85" s="42">
        <v>1988</v>
      </c>
      <c r="AE85" s="42">
        <v>19</v>
      </c>
      <c r="AF85" s="44">
        <v>14</v>
      </c>
      <c r="AG85" s="42">
        <v>1988</v>
      </c>
      <c r="AH85" s="42">
        <v>5</v>
      </c>
      <c r="AI85" s="44">
        <v>15</v>
      </c>
      <c r="AJ85" s="42">
        <v>1988</v>
      </c>
      <c r="AK85" s="42">
        <v>30</v>
      </c>
      <c r="AL85" s="44">
        <v>13.2</v>
      </c>
      <c r="AM85" s="42">
        <v>1988</v>
      </c>
      <c r="AN85" s="42">
        <v>26</v>
      </c>
      <c r="AO85" s="44">
        <v>15.2</v>
      </c>
      <c r="AP85" s="42">
        <v>1988</v>
      </c>
      <c r="AQ85" s="42">
        <v>1</v>
      </c>
    </row>
    <row r="86" spans="1:43" ht="14.45" customHeight="1" x14ac:dyDescent="0.2">
      <c r="A86" s="42">
        <v>32155010</v>
      </c>
      <c r="B86" s="42" t="s">
        <v>967</v>
      </c>
      <c r="C86" s="42">
        <v>2.8117779999999999</v>
      </c>
      <c r="D86" s="42">
        <v>-70.475138999999999</v>
      </c>
      <c r="E86" s="42">
        <v>154</v>
      </c>
      <c r="F86" s="42" t="s">
        <v>968</v>
      </c>
      <c r="G86" s="42" t="s">
        <v>154</v>
      </c>
      <c r="H86" s="44">
        <v>18.399999999999999</v>
      </c>
      <c r="I86" s="42">
        <v>2022</v>
      </c>
      <c r="J86" s="42">
        <v>31</v>
      </c>
      <c r="K86" s="44">
        <v>18.399999999999999</v>
      </c>
      <c r="L86" s="42">
        <v>2009</v>
      </c>
      <c r="M86" s="42">
        <v>15</v>
      </c>
      <c r="N86" s="44">
        <v>19.2</v>
      </c>
      <c r="O86" s="42">
        <v>2008</v>
      </c>
      <c r="P86" s="42">
        <v>1</v>
      </c>
      <c r="Q86" s="44">
        <v>19.2</v>
      </c>
      <c r="R86" s="42">
        <v>1998</v>
      </c>
      <c r="S86" s="42">
        <v>1</v>
      </c>
      <c r="T86" s="44">
        <v>19.600000000000001</v>
      </c>
      <c r="U86" s="42">
        <v>1992</v>
      </c>
      <c r="V86" s="42">
        <v>7</v>
      </c>
      <c r="W86" s="44">
        <v>17.8</v>
      </c>
      <c r="X86" s="42">
        <v>2010</v>
      </c>
      <c r="Y86" s="42">
        <v>24</v>
      </c>
      <c r="Z86" s="44">
        <v>17.399999999999999</v>
      </c>
      <c r="AA86" s="42">
        <v>1996</v>
      </c>
      <c r="AB86" s="42">
        <v>1</v>
      </c>
      <c r="AC86" s="44">
        <v>18.899999999999999</v>
      </c>
      <c r="AD86" s="42">
        <v>1991</v>
      </c>
      <c r="AE86" s="42">
        <v>17</v>
      </c>
      <c r="AF86" s="44">
        <v>18.5</v>
      </c>
      <c r="AG86" s="42">
        <v>1991</v>
      </c>
      <c r="AH86" s="42">
        <v>7</v>
      </c>
      <c r="AI86" s="44">
        <v>18.100000000000001</v>
      </c>
      <c r="AJ86" s="42">
        <v>1991</v>
      </c>
      <c r="AK86" s="42">
        <v>22</v>
      </c>
      <c r="AL86" s="44">
        <v>18.2</v>
      </c>
      <c r="AM86" s="42">
        <v>2022</v>
      </c>
      <c r="AN86" s="42">
        <v>3</v>
      </c>
      <c r="AO86" s="44">
        <v>19.2</v>
      </c>
      <c r="AP86" s="42">
        <v>2007</v>
      </c>
      <c r="AQ86" s="42">
        <v>19</v>
      </c>
    </row>
    <row r="87" spans="1:43" ht="14.45" customHeight="1" x14ac:dyDescent="0.2">
      <c r="A87" s="42">
        <v>33055010</v>
      </c>
      <c r="B87" s="42" t="s">
        <v>969</v>
      </c>
      <c r="C87" s="42">
        <v>4.4948059999999996</v>
      </c>
      <c r="D87" s="42">
        <v>-69.812306000000007</v>
      </c>
      <c r="E87" s="42">
        <v>158</v>
      </c>
      <c r="F87" s="42" t="s">
        <v>160</v>
      </c>
      <c r="G87" s="42" t="s">
        <v>92</v>
      </c>
      <c r="H87" s="44">
        <v>17.600000000000001</v>
      </c>
      <c r="I87" s="42">
        <v>2010</v>
      </c>
      <c r="J87" s="42">
        <v>3</v>
      </c>
      <c r="K87" s="44">
        <v>18.2</v>
      </c>
      <c r="L87" s="42">
        <v>1993</v>
      </c>
      <c r="M87" s="42">
        <v>17</v>
      </c>
      <c r="N87" s="44">
        <v>18.399999999999999</v>
      </c>
      <c r="O87" s="42">
        <v>2023</v>
      </c>
      <c r="P87" s="42">
        <v>21</v>
      </c>
      <c r="Q87" s="44">
        <v>18.2</v>
      </c>
      <c r="R87" s="42">
        <v>2004</v>
      </c>
      <c r="S87" s="42">
        <v>5</v>
      </c>
      <c r="T87" s="44">
        <v>18</v>
      </c>
      <c r="U87" s="42">
        <v>2001</v>
      </c>
      <c r="V87" s="42">
        <v>1</v>
      </c>
      <c r="W87" s="44">
        <v>18.2</v>
      </c>
      <c r="X87" s="42">
        <v>2000</v>
      </c>
      <c r="Y87" s="42">
        <v>13</v>
      </c>
      <c r="Z87" s="44">
        <v>18.8</v>
      </c>
      <c r="AA87" s="42">
        <v>2013</v>
      </c>
      <c r="AB87" s="42">
        <v>27</v>
      </c>
      <c r="AC87" s="44">
        <v>17.399999999999999</v>
      </c>
      <c r="AD87" s="42">
        <v>2003</v>
      </c>
      <c r="AE87" s="42">
        <v>13</v>
      </c>
      <c r="AF87" s="44">
        <v>17.8</v>
      </c>
      <c r="AG87" s="42">
        <v>2003</v>
      </c>
      <c r="AH87" s="42">
        <v>18</v>
      </c>
      <c r="AI87" s="44">
        <v>19.100000000000001</v>
      </c>
      <c r="AJ87" s="42">
        <v>2007</v>
      </c>
      <c r="AK87" s="42">
        <v>21</v>
      </c>
      <c r="AL87" s="44">
        <v>17.8</v>
      </c>
      <c r="AM87" s="42">
        <v>2022</v>
      </c>
      <c r="AN87" s="42">
        <v>4</v>
      </c>
      <c r="AO87" s="44">
        <v>19.2</v>
      </c>
      <c r="AP87" s="42">
        <v>2005</v>
      </c>
      <c r="AQ87" s="42">
        <v>19</v>
      </c>
    </row>
    <row r="88" spans="1:43" ht="14.45" customHeight="1" x14ac:dyDescent="0.2">
      <c r="A88" s="42">
        <v>25025270</v>
      </c>
      <c r="B88" s="42" t="s">
        <v>970</v>
      </c>
      <c r="C88" s="42">
        <v>9.3163888890000006</v>
      </c>
      <c r="D88" s="42">
        <v>-75.387500000000003</v>
      </c>
      <c r="E88" s="42">
        <v>160</v>
      </c>
      <c r="F88" s="42" t="s">
        <v>137</v>
      </c>
      <c r="G88" s="42" t="s">
        <v>129</v>
      </c>
      <c r="H88" s="44">
        <v>18</v>
      </c>
      <c r="I88" s="42">
        <v>1996</v>
      </c>
      <c r="J88" s="42">
        <v>4</v>
      </c>
      <c r="K88" s="44">
        <v>17.600000000000001</v>
      </c>
      <c r="L88" s="42">
        <v>1998</v>
      </c>
      <c r="M88" s="42">
        <v>3</v>
      </c>
      <c r="N88" s="44">
        <v>17.8</v>
      </c>
      <c r="O88" s="42">
        <v>1998</v>
      </c>
      <c r="P88" s="42">
        <v>23</v>
      </c>
      <c r="Q88" s="44">
        <v>17.399999999999999</v>
      </c>
      <c r="R88" s="42">
        <v>1998</v>
      </c>
      <c r="S88" s="42">
        <v>9</v>
      </c>
      <c r="T88" s="44">
        <v>18</v>
      </c>
      <c r="U88" s="42">
        <v>1997</v>
      </c>
      <c r="V88" s="42">
        <v>21</v>
      </c>
      <c r="W88" s="44">
        <v>18</v>
      </c>
      <c r="X88" s="42">
        <v>1996</v>
      </c>
      <c r="Y88" s="42">
        <v>10</v>
      </c>
      <c r="Z88" s="44">
        <v>17.8</v>
      </c>
      <c r="AA88" s="42">
        <v>1997</v>
      </c>
      <c r="AB88" s="42">
        <v>26</v>
      </c>
      <c r="AC88" s="44">
        <v>17</v>
      </c>
      <c r="AD88" s="42">
        <v>1998</v>
      </c>
      <c r="AE88" s="42">
        <v>14</v>
      </c>
      <c r="AF88" s="44">
        <v>18.2</v>
      </c>
      <c r="AG88" s="42">
        <v>1989</v>
      </c>
      <c r="AH88" s="42">
        <v>4</v>
      </c>
      <c r="AI88" s="44">
        <v>18</v>
      </c>
      <c r="AJ88" s="42">
        <v>1989</v>
      </c>
      <c r="AK88" s="42">
        <v>19</v>
      </c>
      <c r="AL88" s="44">
        <v>18.399999999999999</v>
      </c>
      <c r="AM88" s="42">
        <v>1997</v>
      </c>
      <c r="AN88" s="42">
        <v>4</v>
      </c>
      <c r="AO88" s="44">
        <v>18</v>
      </c>
      <c r="AP88" s="42">
        <v>1997</v>
      </c>
      <c r="AQ88" s="42">
        <v>8</v>
      </c>
    </row>
    <row r="89" spans="1:43" ht="14.45" customHeight="1" x14ac:dyDescent="0.2">
      <c r="A89" s="42">
        <v>47075010</v>
      </c>
      <c r="B89" s="42" t="s">
        <v>971</v>
      </c>
      <c r="C89" s="42">
        <v>-1.4446111109999999</v>
      </c>
      <c r="D89" s="42">
        <v>-72.789583332999996</v>
      </c>
      <c r="E89" s="42">
        <v>160</v>
      </c>
      <c r="F89" s="42" t="s">
        <v>418</v>
      </c>
      <c r="G89" s="42" t="s">
        <v>98</v>
      </c>
      <c r="H89" s="44">
        <v>19</v>
      </c>
      <c r="I89" s="42">
        <v>1992</v>
      </c>
      <c r="J89" s="42">
        <v>28</v>
      </c>
      <c r="K89" s="44">
        <v>17</v>
      </c>
      <c r="L89" s="42">
        <v>1989</v>
      </c>
      <c r="M89" s="42">
        <v>16</v>
      </c>
      <c r="N89" s="44">
        <v>17.2</v>
      </c>
      <c r="O89" s="42">
        <v>2006</v>
      </c>
      <c r="P89" s="42">
        <v>13</v>
      </c>
      <c r="Q89" s="44">
        <v>17.399999999999999</v>
      </c>
      <c r="R89" s="42">
        <v>2006</v>
      </c>
      <c r="S89" s="42">
        <v>11</v>
      </c>
      <c r="T89" s="44">
        <v>18.8</v>
      </c>
      <c r="U89" s="42">
        <v>2024</v>
      </c>
      <c r="V89" s="42">
        <v>31</v>
      </c>
      <c r="W89" s="44">
        <v>17.2</v>
      </c>
      <c r="X89" s="42">
        <v>2001</v>
      </c>
      <c r="Y89" s="42">
        <v>22</v>
      </c>
      <c r="Z89" s="44">
        <v>17.2</v>
      </c>
      <c r="AA89" s="42">
        <v>2013</v>
      </c>
      <c r="AB89" s="42">
        <v>26</v>
      </c>
      <c r="AC89" s="44">
        <v>17.2</v>
      </c>
      <c r="AD89" s="42">
        <v>2007</v>
      </c>
      <c r="AE89" s="42">
        <v>2</v>
      </c>
      <c r="AF89" s="44">
        <v>18.2</v>
      </c>
      <c r="AG89" s="42">
        <v>2003</v>
      </c>
      <c r="AH89" s="42">
        <v>13</v>
      </c>
      <c r="AI89" s="44">
        <v>17.399999999999999</v>
      </c>
      <c r="AJ89" s="42">
        <v>2000</v>
      </c>
      <c r="AK89" s="42">
        <v>2</v>
      </c>
      <c r="AL89" s="44">
        <v>18</v>
      </c>
      <c r="AM89" s="42">
        <v>2008</v>
      </c>
      <c r="AN89" s="42">
        <v>14</v>
      </c>
      <c r="AO89" s="44">
        <v>13.8</v>
      </c>
      <c r="AP89" s="42">
        <v>1995</v>
      </c>
      <c r="AQ89" s="42">
        <v>31</v>
      </c>
    </row>
    <row r="90" spans="1:43" ht="14.45" customHeight="1" x14ac:dyDescent="0.2">
      <c r="A90" s="42">
        <v>23215050</v>
      </c>
      <c r="B90" s="42" t="s">
        <v>972</v>
      </c>
      <c r="C90" s="42">
        <v>8.6144444440000001</v>
      </c>
      <c r="D90" s="42">
        <v>-73.636388890000006</v>
      </c>
      <c r="E90" s="42">
        <v>163</v>
      </c>
      <c r="F90" s="42" t="s">
        <v>594</v>
      </c>
      <c r="G90" s="42" t="s">
        <v>43</v>
      </c>
      <c r="H90" s="44">
        <v>18</v>
      </c>
      <c r="I90" s="42">
        <v>1993</v>
      </c>
      <c r="J90" s="42">
        <v>5</v>
      </c>
      <c r="K90" s="44">
        <v>18</v>
      </c>
      <c r="L90" s="42">
        <v>1993</v>
      </c>
      <c r="M90" s="42">
        <v>1</v>
      </c>
      <c r="N90" s="44">
        <v>18.2</v>
      </c>
      <c r="O90" s="42">
        <v>1987</v>
      </c>
      <c r="P90" s="42">
        <v>5</v>
      </c>
      <c r="Q90" s="44">
        <v>18.2</v>
      </c>
      <c r="R90" s="42">
        <v>1986</v>
      </c>
      <c r="S90" s="42">
        <v>28</v>
      </c>
      <c r="T90" s="44">
        <v>18</v>
      </c>
      <c r="U90" s="42">
        <v>1994</v>
      </c>
      <c r="V90" s="42">
        <v>5</v>
      </c>
      <c r="W90" s="44">
        <v>18.399999999999999</v>
      </c>
      <c r="X90" s="42">
        <v>1986</v>
      </c>
      <c r="Y90" s="42">
        <v>7</v>
      </c>
      <c r="Z90" s="44">
        <v>18</v>
      </c>
      <c r="AA90" s="42">
        <v>1993</v>
      </c>
      <c r="AB90" s="42">
        <v>6</v>
      </c>
      <c r="AC90" s="44">
        <v>18</v>
      </c>
      <c r="AD90" s="42">
        <v>1993</v>
      </c>
      <c r="AE90" s="42">
        <v>28</v>
      </c>
      <c r="AF90" s="44">
        <v>18</v>
      </c>
      <c r="AG90" s="42">
        <v>1993</v>
      </c>
      <c r="AH90" s="42">
        <v>11</v>
      </c>
      <c r="AI90" s="44">
        <v>18</v>
      </c>
      <c r="AJ90" s="42">
        <v>1993</v>
      </c>
      <c r="AK90" s="42">
        <v>8</v>
      </c>
      <c r="AL90" s="44">
        <v>18.2</v>
      </c>
      <c r="AM90" s="42">
        <v>1993</v>
      </c>
      <c r="AN90" s="42">
        <v>23</v>
      </c>
      <c r="AO90" s="44">
        <v>18</v>
      </c>
      <c r="AP90" s="42">
        <v>1992</v>
      </c>
      <c r="AQ90" s="42">
        <v>5</v>
      </c>
    </row>
    <row r="91" spans="1:43" ht="14.45" customHeight="1" x14ac:dyDescent="0.2">
      <c r="A91" s="42">
        <v>23205020</v>
      </c>
      <c r="B91" s="42" t="s">
        <v>973</v>
      </c>
      <c r="C91" s="42">
        <v>7.4749999999999996</v>
      </c>
      <c r="D91" s="42">
        <v>-73.925555560000006</v>
      </c>
      <c r="E91" s="42">
        <v>165</v>
      </c>
      <c r="F91" s="42" t="s">
        <v>148</v>
      </c>
      <c r="G91" s="42" t="s">
        <v>870</v>
      </c>
      <c r="H91" s="44">
        <v>18</v>
      </c>
      <c r="I91" s="42">
        <v>1979</v>
      </c>
      <c r="J91" s="42">
        <v>4</v>
      </c>
      <c r="K91" s="44">
        <v>18</v>
      </c>
      <c r="L91" s="42">
        <v>1979</v>
      </c>
      <c r="M91" s="42">
        <v>6</v>
      </c>
      <c r="N91" s="44">
        <v>17</v>
      </c>
      <c r="O91" s="42">
        <v>2018</v>
      </c>
      <c r="P91" s="42">
        <v>15</v>
      </c>
      <c r="Q91" s="44">
        <v>18.2</v>
      </c>
      <c r="R91" s="42">
        <v>1979</v>
      </c>
      <c r="S91" s="42">
        <v>15</v>
      </c>
      <c r="T91" s="44">
        <v>19.399999999999999</v>
      </c>
      <c r="U91" s="42">
        <v>1984</v>
      </c>
      <c r="V91" s="42">
        <v>14</v>
      </c>
      <c r="W91" s="44">
        <v>20</v>
      </c>
      <c r="X91" s="42">
        <v>1984</v>
      </c>
      <c r="Y91" s="42">
        <v>3</v>
      </c>
      <c r="Z91" s="44">
        <v>19.600000000000001</v>
      </c>
      <c r="AA91" s="42">
        <v>1984</v>
      </c>
      <c r="AB91" s="42">
        <v>5</v>
      </c>
      <c r="AC91" s="44">
        <v>17.399999999999999</v>
      </c>
      <c r="AD91" s="42">
        <v>1983</v>
      </c>
      <c r="AE91" s="42">
        <v>7</v>
      </c>
      <c r="AF91" s="44">
        <v>20</v>
      </c>
      <c r="AG91" s="42">
        <v>1995</v>
      </c>
      <c r="AH91" s="42">
        <v>3</v>
      </c>
      <c r="AI91" s="44">
        <v>20.2</v>
      </c>
      <c r="AJ91" s="42">
        <v>1986</v>
      </c>
      <c r="AK91" s="42">
        <v>2</v>
      </c>
      <c r="AL91" s="44">
        <v>19.8</v>
      </c>
      <c r="AM91" s="42">
        <v>1995</v>
      </c>
      <c r="AN91" s="42">
        <v>10</v>
      </c>
      <c r="AO91" s="44">
        <v>19</v>
      </c>
      <c r="AP91" s="42">
        <v>1991</v>
      </c>
      <c r="AQ91" s="42">
        <v>16</v>
      </c>
    </row>
    <row r="92" spans="1:43" ht="14.45" customHeight="1" x14ac:dyDescent="0.2">
      <c r="A92" s="42">
        <v>25025080</v>
      </c>
      <c r="B92" s="42" t="s">
        <v>974</v>
      </c>
      <c r="C92" s="42">
        <v>9.3338888890000007</v>
      </c>
      <c r="D92" s="42">
        <v>-75.283055559999994</v>
      </c>
      <c r="E92" s="42">
        <v>166</v>
      </c>
      <c r="F92" s="42" t="s">
        <v>130</v>
      </c>
      <c r="G92" s="42" t="s">
        <v>129</v>
      </c>
      <c r="H92" s="44">
        <v>17.5</v>
      </c>
      <c r="I92" s="42">
        <v>1967</v>
      </c>
      <c r="J92" s="42">
        <v>10</v>
      </c>
      <c r="K92" s="44">
        <v>18.5</v>
      </c>
      <c r="L92" s="42">
        <v>2004</v>
      </c>
      <c r="M92" s="42">
        <v>5</v>
      </c>
      <c r="N92" s="44">
        <v>18.600000000000001</v>
      </c>
      <c r="O92" s="42">
        <v>2004</v>
      </c>
      <c r="P92" s="42">
        <v>28</v>
      </c>
      <c r="Q92" s="44">
        <v>18</v>
      </c>
      <c r="R92" s="42">
        <v>1995</v>
      </c>
      <c r="S92" s="42">
        <v>27</v>
      </c>
      <c r="T92" s="44">
        <v>17.399999999999999</v>
      </c>
      <c r="U92" s="42">
        <v>2002</v>
      </c>
      <c r="V92" s="42">
        <v>27</v>
      </c>
      <c r="W92" s="44">
        <v>17.399999999999999</v>
      </c>
      <c r="X92" s="42">
        <v>2002</v>
      </c>
      <c r="Y92" s="42">
        <v>11</v>
      </c>
      <c r="Z92" s="44">
        <v>17.8</v>
      </c>
      <c r="AA92" s="42">
        <v>2010</v>
      </c>
      <c r="AB92" s="42">
        <v>5</v>
      </c>
      <c r="AC92" s="44">
        <v>18.399999999999999</v>
      </c>
      <c r="AD92" s="42">
        <v>2003</v>
      </c>
      <c r="AE92" s="42">
        <v>13</v>
      </c>
      <c r="AF92" s="44">
        <v>17.8</v>
      </c>
      <c r="AG92" s="42">
        <v>2010</v>
      </c>
      <c r="AH92" s="42">
        <v>5</v>
      </c>
      <c r="AI92" s="44">
        <v>18</v>
      </c>
      <c r="AJ92" s="42">
        <v>2003</v>
      </c>
      <c r="AK92" s="42">
        <v>20</v>
      </c>
      <c r="AL92" s="44">
        <v>17.399999999999999</v>
      </c>
      <c r="AM92" s="42">
        <v>2003</v>
      </c>
      <c r="AN92" s="42">
        <v>7</v>
      </c>
      <c r="AO92" s="44">
        <v>17.8</v>
      </c>
      <c r="AP92" s="42">
        <v>2010</v>
      </c>
      <c r="AQ92" s="42">
        <v>17</v>
      </c>
    </row>
    <row r="93" spans="1:43" ht="14.45" customHeight="1" x14ac:dyDescent="0.2">
      <c r="A93" s="42">
        <v>23125050</v>
      </c>
      <c r="B93" s="42" t="s">
        <v>975</v>
      </c>
      <c r="C93" s="42">
        <v>6.6494444440000002</v>
      </c>
      <c r="D93" s="42">
        <v>-74.061388890000003</v>
      </c>
      <c r="E93" s="42">
        <v>168</v>
      </c>
      <c r="F93" s="42" t="s">
        <v>791</v>
      </c>
      <c r="G93" s="42" t="s">
        <v>49</v>
      </c>
      <c r="H93" s="44">
        <v>18.600000000000001</v>
      </c>
      <c r="I93" s="42">
        <v>2023</v>
      </c>
      <c r="J93" s="42">
        <v>5</v>
      </c>
      <c r="K93" s="44">
        <v>19.2</v>
      </c>
      <c r="L93" s="42">
        <v>1993</v>
      </c>
      <c r="M93" s="42">
        <v>26</v>
      </c>
      <c r="N93" s="44">
        <v>19.600000000000001</v>
      </c>
      <c r="O93" s="42">
        <v>1993</v>
      </c>
      <c r="P93" s="42">
        <v>18</v>
      </c>
      <c r="Q93" s="44">
        <v>19</v>
      </c>
      <c r="R93" s="42">
        <v>2010</v>
      </c>
      <c r="S93" s="42">
        <v>19</v>
      </c>
      <c r="T93" s="44">
        <v>18.399999999999999</v>
      </c>
      <c r="U93" s="42">
        <v>1993</v>
      </c>
      <c r="V93" s="42">
        <v>6</v>
      </c>
      <c r="W93" s="44">
        <v>19.2</v>
      </c>
      <c r="X93" s="42">
        <v>2001</v>
      </c>
      <c r="Y93" s="42">
        <v>13</v>
      </c>
      <c r="Z93" s="44">
        <v>19.600000000000001</v>
      </c>
      <c r="AA93" s="42">
        <v>2022</v>
      </c>
      <c r="AB93" s="42">
        <v>28</v>
      </c>
      <c r="AC93" s="44">
        <v>18.8</v>
      </c>
      <c r="AD93" s="42">
        <v>2022</v>
      </c>
      <c r="AE93" s="42">
        <v>16</v>
      </c>
      <c r="AF93" s="44">
        <v>19</v>
      </c>
      <c r="AG93" s="42">
        <v>2022</v>
      </c>
      <c r="AH93" s="42">
        <v>8</v>
      </c>
      <c r="AI93" s="44">
        <v>19</v>
      </c>
      <c r="AJ93" s="42">
        <v>1982</v>
      </c>
      <c r="AK93" s="42">
        <v>15</v>
      </c>
      <c r="AL93" s="44">
        <v>20</v>
      </c>
      <c r="AM93" s="42">
        <v>1992</v>
      </c>
      <c r="AN93" s="42">
        <v>23</v>
      </c>
      <c r="AO93" s="44">
        <v>19.2</v>
      </c>
      <c r="AP93" s="42">
        <v>2022</v>
      </c>
      <c r="AQ93" s="42">
        <v>3</v>
      </c>
    </row>
    <row r="94" spans="1:43" ht="14.45" customHeight="1" x14ac:dyDescent="0.2">
      <c r="A94" s="42">
        <v>42075010</v>
      </c>
      <c r="B94" s="42" t="s">
        <v>976</v>
      </c>
      <c r="C94" s="42">
        <v>1.2597020000000001</v>
      </c>
      <c r="D94" s="42">
        <v>-70.239204000000001</v>
      </c>
      <c r="E94" s="42">
        <v>168</v>
      </c>
      <c r="F94" s="42" t="s">
        <v>174</v>
      </c>
      <c r="G94" s="42" t="s">
        <v>977</v>
      </c>
      <c r="H94" s="44">
        <v>17</v>
      </c>
      <c r="I94" s="42">
        <v>1999</v>
      </c>
      <c r="J94" s="42">
        <v>20</v>
      </c>
      <c r="K94" s="44">
        <v>17</v>
      </c>
      <c r="L94" s="42">
        <v>1999</v>
      </c>
      <c r="M94" s="42">
        <v>10</v>
      </c>
      <c r="N94" s="44">
        <v>17</v>
      </c>
      <c r="O94" s="42">
        <v>1999</v>
      </c>
      <c r="P94" s="42">
        <v>9</v>
      </c>
      <c r="Q94" s="44">
        <v>17</v>
      </c>
      <c r="R94" s="42">
        <v>1999</v>
      </c>
      <c r="S94" s="42">
        <v>4</v>
      </c>
      <c r="T94" s="44">
        <v>17</v>
      </c>
      <c r="U94" s="42">
        <v>1999</v>
      </c>
      <c r="V94" s="42">
        <v>20</v>
      </c>
      <c r="W94" s="44">
        <v>17</v>
      </c>
      <c r="X94" s="42">
        <v>1999</v>
      </c>
      <c r="Y94" s="42">
        <v>17</v>
      </c>
      <c r="Z94" s="44">
        <v>17</v>
      </c>
      <c r="AA94" s="42">
        <v>1994</v>
      </c>
      <c r="AB94" s="42">
        <v>10</v>
      </c>
      <c r="AC94" s="44">
        <v>16</v>
      </c>
      <c r="AD94" s="42">
        <v>1999</v>
      </c>
      <c r="AE94" s="42">
        <v>17</v>
      </c>
      <c r="AF94" s="44">
        <v>17.2</v>
      </c>
      <c r="AG94" s="42">
        <v>2001</v>
      </c>
      <c r="AH94" s="42">
        <v>2</v>
      </c>
      <c r="AI94" s="44">
        <v>17.8</v>
      </c>
      <c r="AJ94" s="42">
        <v>2001</v>
      </c>
      <c r="AK94" s="42">
        <v>16</v>
      </c>
      <c r="AL94" s="44">
        <v>18</v>
      </c>
      <c r="AM94" s="42">
        <v>2001</v>
      </c>
      <c r="AN94" s="42">
        <v>18</v>
      </c>
      <c r="AO94" s="44">
        <v>17.8</v>
      </c>
      <c r="AP94" s="42">
        <v>2000</v>
      </c>
      <c r="AQ94" s="42">
        <v>8</v>
      </c>
    </row>
    <row r="95" spans="1:43" ht="14.45" customHeight="1" x14ac:dyDescent="0.2">
      <c r="A95" s="42">
        <v>15065040</v>
      </c>
      <c r="B95" s="42" t="s">
        <v>978</v>
      </c>
      <c r="C95" s="42">
        <v>10.89813889</v>
      </c>
      <c r="D95" s="42">
        <v>-72.828472219999995</v>
      </c>
      <c r="E95" s="42">
        <v>170</v>
      </c>
      <c r="F95" s="42" t="s">
        <v>979</v>
      </c>
      <c r="G95" s="42" t="s">
        <v>40</v>
      </c>
      <c r="H95" s="44">
        <v>16.399999999999999</v>
      </c>
      <c r="I95" s="42">
        <v>1979</v>
      </c>
      <c r="J95" s="42">
        <v>19</v>
      </c>
      <c r="K95" s="44">
        <v>16</v>
      </c>
      <c r="L95" s="42">
        <v>1985</v>
      </c>
      <c r="M95" s="42">
        <v>1</v>
      </c>
      <c r="N95" s="44">
        <v>16</v>
      </c>
      <c r="O95" s="42">
        <v>1982</v>
      </c>
      <c r="P95" s="42">
        <v>26</v>
      </c>
      <c r="Q95" s="44">
        <v>15.6</v>
      </c>
      <c r="R95" s="42">
        <v>1996</v>
      </c>
      <c r="S95" s="42">
        <v>25</v>
      </c>
      <c r="T95" s="44">
        <v>16.2</v>
      </c>
      <c r="U95" s="42">
        <v>1978</v>
      </c>
      <c r="V95" s="42">
        <v>27</v>
      </c>
      <c r="W95" s="44">
        <v>12.4</v>
      </c>
      <c r="X95" s="42">
        <v>1996</v>
      </c>
      <c r="Y95" s="42">
        <v>6</v>
      </c>
      <c r="Z95" s="44">
        <v>17.399999999999999</v>
      </c>
      <c r="AA95" s="42">
        <v>1996</v>
      </c>
      <c r="AB95" s="42">
        <v>9</v>
      </c>
      <c r="AC95" s="44">
        <v>19.2</v>
      </c>
      <c r="AD95" s="42">
        <v>1978</v>
      </c>
      <c r="AE95" s="42">
        <v>2</v>
      </c>
      <c r="AF95" s="44">
        <v>17.600000000000001</v>
      </c>
      <c r="AG95" s="42">
        <v>1984</v>
      </c>
      <c r="AH95" s="42">
        <v>1</v>
      </c>
      <c r="AI95" s="44">
        <v>17</v>
      </c>
      <c r="AJ95" s="42">
        <v>1976</v>
      </c>
      <c r="AK95" s="42">
        <v>11</v>
      </c>
      <c r="AL95" s="44">
        <v>17.600000000000001</v>
      </c>
      <c r="AM95" s="42">
        <v>1984</v>
      </c>
      <c r="AN95" s="42">
        <v>16</v>
      </c>
      <c r="AO95" s="44">
        <v>17</v>
      </c>
      <c r="AP95" s="42">
        <v>1984</v>
      </c>
      <c r="AQ95" s="42">
        <v>12</v>
      </c>
    </row>
    <row r="96" spans="1:43" ht="14.45" customHeight="1" x14ac:dyDescent="0.2">
      <c r="A96" s="42">
        <v>25015010</v>
      </c>
      <c r="B96" s="42" t="s">
        <v>980</v>
      </c>
      <c r="C96" s="42">
        <v>8.1807777779999995</v>
      </c>
      <c r="D96" s="42">
        <v>-75.632277779999995</v>
      </c>
      <c r="E96" s="42">
        <v>170</v>
      </c>
      <c r="F96" s="42" t="s">
        <v>134</v>
      </c>
      <c r="G96" s="42" t="s">
        <v>893</v>
      </c>
      <c r="H96" s="44">
        <v>16.399999999999999</v>
      </c>
      <c r="I96" s="42">
        <v>1993</v>
      </c>
      <c r="J96" s="42">
        <v>19</v>
      </c>
      <c r="K96" s="44">
        <v>18.2</v>
      </c>
      <c r="L96" s="42">
        <v>1995</v>
      </c>
      <c r="M96" s="42">
        <v>7</v>
      </c>
      <c r="N96" s="44">
        <v>17.399999999999999</v>
      </c>
      <c r="O96" s="42">
        <v>1993</v>
      </c>
      <c r="P96" s="42">
        <v>25</v>
      </c>
      <c r="Q96" s="44">
        <v>15.4</v>
      </c>
      <c r="R96" s="42">
        <v>1995</v>
      </c>
      <c r="S96" s="42">
        <v>9</v>
      </c>
      <c r="T96" s="44">
        <v>18.2</v>
      </c>
      <c r="U96" s="42">
        <v>1993</v>
      </c>
      <c r="V96" s="42">
        <v>20</v>
      </c>
      <c r="W96" s="44">
        <v>17</v>
      </c>
      <c r="X96" s="42">
        <v>1992</v>
      </c>
      <c r="Y96" s="42">
        <v>17</v>
      </c>
      <c r="Z96" s="44">
        <v>16.100000000000001</v>
      </c>
      <c r="AA96" s="42">
        <v>1989</v>
      </c>
      <c r="AB96" s="42">
        <v>20</v>
      </c>
      <c r="AC96" s="44">
        <v>17</v>
      </c>
      <c r="AD96" s="42">
        <v>1992</v>
      </c>
      <c r="AE96" s="42">
        <v>8</v>
      </c>
      <c r="AF96" s="44">
        <v>16.8</v>
      </c>
      <c r="AG96" s="42">
        <v>1992</v>
      </c>
      <c r="AH96" s="42">
        <v>8</v>
      </c>
      <c r="AI96" s="44">
        <v>18.600000000000001</v>
      </c>
      <c r="AJ96" s="42">
        <v>2004</v>
      </c>
      <c r="AK96" s="42">
        <v>5</v>
      </c>
      <c r="AL96" s="44">
        <v>18.399999999999999</v>
      </c>
      <c r="AM96" s="42">
        <v>1988</v>
      </c>
      <c r="AN96" s="42">
        <v>14</v>
      </c>
      <c r="AO96" s="44">
        <v>17.2</v>
      </c>
      <c r="AP96" s="42">
        <v>1994</v>
      </c>
      <c r="AQ96" s="42">
        <v>25</v>
      </c>
    </row>
    <row r="97" spans="1:43" ht="14.45" customHeight="1" x14ac:dyDescent="0.2">
      <c r="A97" s="42">
        <v>23035020</v>
      </c>
      <c r="B97" s="42" t="s">
        <v>981</v>
      </c>
      <c r="C97" s="42">
        <v>5.471388889</v>
      </c>
      <c r="D97" s="42">
        <v>-74.654722219999996</v>
      </c>
      <c r="E97" s="42">
        <v>172</v>
      </c>
      <c r="F97" s="42" t="s">
        <v>982</v>
      </c>
      <c r="G97" s="42" t="s">
        <v>73</v>
      </c>
      <c r="H97" s="44">
        <v>18.2</v>
      </c>
      <c r="I97" s="42">
        <v>1988</v>
      </c>
      <c r="J97" s="42">
        <v>30</v>
      </c>
      <c r="K97" s="44">
        <v>18</v>
      </c>
      <c r="L97" s="42">
        <v>1988</v>
      </c>
      <c r="M97" s="42">
        <v>7</v>
      </c>
      <c r="N97" s="44">
        <v>18</v>
      </c>
      <c r="O97" s="42">
        <v>1986</v>
      </c>
      <c r="P97" s="42">
        <v>2</v>
      </c>
      <c r="Q97" s="44">
        <v>18</v>
      </c>
      <c r="R97" s="42">
        <v>1986</v>
      </c>
      <c r="S97" s="42">
        <v>19</v>
      </c>
      <c r="T97" s="44">
        <v>18</v>
      </c>
      <c r="U97" s="42">
        <v>1986</v>
      </c>
      <c r="V97" s="42">
        <v>28</v>
      </c>
      <c r="W97" s="44">
        <v>18</v>
      </c>
      <c r="X97" s="42">
        <v>1986</v>
      </c>
      <c r="Y97" s="42">
        <v>9</v>
      </c>
      <c r="Z97" s="44">
        <v>18</v>
      </c>
      <c r="AA97" s="42">
        <v>2002</v>
      </c>
      <c r="AB97" s="42">
        <v>18</v>
      </c>
      <c r="AC97" s="44">
        <v>18.2</v>
      </c>
      <c r="AD97" s="42">
        <v>2001</v>
      </c>
      <c r="AE97" s="42">
        <v>10</v>
      </c>
      <c r="AF97" s="44">
        <v>18</v>
      </c>
      <c r="AG97" s="42">
        <v>2001</v>
      </c>
      <c r="AH97" s="42">
        <v>19</v>
      </c>
      <c r="AI97" s="44">
        <v>18</v>
      </c>
      <c r="AJ97" s="42">
        <v>1988</v>
      </c>
      <c r="AK97" s="42">
        <v>13</v>
      </c>
      <c r="AL97" s="44">
        <v>18</v>
      </c>
      <c r="AM97" s="42">
        <v>1991</v>
      </c>
      <c r="AN97" s="42">
        <v>15</v>
      </c>
      <c r="AO97" s="44">
        <v>18.399999999999999</v>
      </c>
      <c r="AP97" s="42">
        <v>1987</v>
      </c>
      <c r="AQ97" s="42">
        <v>22</v>
      </c>
    </row>
    <row r="98" spans="1:43" ht="14.45" customHeight="1" x14ac:dyDescent="0.2">
      <c r="A98" s="42">
        <v>34015010</v>
      </c>
      <c r="B98" s="42" t="s">
        <v>983</v>
      </c>
      <c r="C98" s="42">
        <v>4.5538910000000001</v>
      </c>
      <c r="D98" s="42">
        <v>-70.930224999999993</v>
      </c>
      <c r="E98" s="42">
        <v>173</v>
      </c>
      <c r="F98" s="42" t="s">
        <v>160</v>
      </c>
      <c r="G98" s="42" t="s">
        <v>92</v>
      </c>
      <c r="H98" s="44">
        <v>15.4</v>
      </c>
      <c r="I98" s="42">
        <v>2001</v>
      </c>
      <c r="J98" s="42">
        <v>31</v>
      </c>
      <c r="K98" s="44">
        <v>16.399999999999999</v>
      </c>
      <c r="L98" s="42">
        <v>2001</v>
      </c>
      <c r="M98" s="42">
        <v>1</v>
      </c>
      <c r="N98" s="44">
        <v>16.399999999999999</v>
      </c>
      <c r="O98" s="42">
        <v>2002</v>
      </c>
      <c r="P98" s="42">
        <v>9</v>
      </c>
      <c r="Q98" s="44">
        <v>17.3</v>
      </c>
      <c r="R98" s="42">
        <v>1996</v>
      </c>
      <c r="S98" s="42">
        <v>28</v>
      </c>
      <c r="T98" s="44">
        <v>19.8</v>
      </c>
      <c r="U98" s="42">
        <v>2006</v>
      </c>
      <c r="V98" s="42">
        <v>21</v>
      </c>
      <c r="W98" s="44">
        <v>18</v>
      </c>
      <c r="X98" s="42">
        <v>2018</v>
      </c>
      <c r="Y98" s="42">
        <v>1</v>
      </c>
      <c r="Z98" s="44">
        <v>17.399999999999999</v>
      </c>
      <c r="AA98" s="42">
        <v>1981</v>
      </c>
      <c r="AB98" s="42">
        <v>21</v>
      </c>
      <c r="AC98" s="44">
        <v>17.8</v>
      </c>
      <c r="AD98" s="42">
        <v>1992</v>
      </c>
      <c r="AE98" s="42">
        <v>11</v>
      </c>
      <c r="AF98" s="44">
        <v>17.899999999999999</v>
      </c>
      <c r="AG98" s="42">
        <v>1991</v>
      </c>
      <c r="AH98" s="42">
        <v>12</v>
      </c>
      <c r="AI98" s="44">
        <v>18</v>
      </c>
      <c r="AJ98" s="42">
        <v>2013</v>
      </c>
      <c r="AK98" s="42">
        <v>14</v>
      </c>
      <c r="AL98" s="44">
        <v>17.8</v>
      </c>
      <c r="AM98" s="42">
        <v>2022</v>
      </c>
      <c r="AN98" s="42">
        <v>4</v>
      </c>
      <c r="AO98" s="44">
        <v>15</v>
      </c>
      <c r="AP98" s="42">
        <v>2000</v>
      </c>
      <c r="AQ98" s="42">
        <v>16</v>
      </c>
    </row>
    <row r="99" spans="1:43" ht="14.45" customHeight="1" x14ac:dyDescent="0.2">
      <c r="A99" s="42">
        <v>35125010</v>
      </c>
      <c r="B99" s="42" t="s">
        <v>984</v>
      </c>
      <c r="C99" s="42">
        <v>4.3698889000000003</v>
      </c>
      <c r="D99" s="42">
        <v>-72.227063799999996</v>
      </c>
      <c r="E99" s="42">
        <v>178</v>
      </c>
      <c r="F99" s="42" t="s">
        <v>985</v>
      </c>
      <c r="G99" s="42" t="s">
        <v>95</v>
      </c>
      <c r="H99" s="44">
        <v>16.8</v>
      </c>
      <c r="I99" s="42">
        <v>1983</v>
      </c>
      <c r="J99" s="42">
        <v>14</v>
      </c>
      <c r="K99" s="44">
        <v>17.399999999999999</v>
      </c>
      <c r="L99" s="42">
        <v>1994</v>
      </c>
      <c r="M99" s="42">
        <v>12</v>
      </c>
      <c r="N99" s="44">
        <v>15.4</v>
      </c>
      <c r="O99" s="42">
        <v>1988</v>
      </c>
      <c r="P99" s="42">
        <v>3</v>
      </c>
      <c r="Q99" s="44">
        <v>17.2</v>
      </c>
      <c r="R99" s="42">
        <v>1985</v>
      </c>
      <c r="S99" s="42">
        <v>24</v>
      </c>
      <c r="T99" s="44">
        <v>15.8</v>
      </c>
      <c r="U99" s="42">
        <v>1985</v>
      </c>
      <c r="V99" s="42">
        <v>27</v>
      </c>
      <c r="W99" s="44">
        <v>16.600000000000001</v>
      </c>
      <c r="X99" s="42">
        <v>2019</v>
      </c>
      <c r="Y99" s="42">
        <v>10</v>
      </c>
      <c r="Z99" s="44">
        <v>18.600000000000001</v>
      </c>
      <c r="AA99" s="42">
        <v>1987</v>
      </c>
      <c r="AB99" s="42">
        <v>6</v>
      </c>
      <c r="AC99" s="44">
        <v>18</v>
      </c>
      <c r="AD99" s="42">
        <v>1994</v>
      </c>
      <c r="AE99" s="42">
        <v>13</v>
      </c>
      <c r="AF99" s="44">
        <v>19.399999999999999</v>
      </c>
      <c r="AG99" s="42">
        <v>2015</v>
      </c>
      <c r="AH99" s="42">
        <v>2</v>
      </c>
      <c r="AI99" s="44">
        <v>18</v>
      </c>
      <c r="AJ99" s="42">
        <v>1991</v>
      </c>
      <c r="AK99" s="42">
        <v>4</v>
      </c>
      <c r="AL99" s="44">
        <v>16.399999999999999</v>
      </c>
      <c r="AM99" s="42">
        <v>2010</v>
      </c>
      <c r="AN99" s="42">
        <v>26</v>
      </c>
      <c r="AO99" s="44">
        <v>17.2</v>
      </c>
      <c r="AP99" s="42">
        <v>1993</v>
      </c>
      <c r="AQ99" s="42">
        <v>27</v>
      </c>
    </row>
    <row r="100" spans="1:43" ht="14.45" customHeight="1" x14ac:dyDescent="0.2">
      <c r="A100" s="42">
        <v>23125040</v>
      </c>
      <c r="B100" s="42" t="s">
        <v>986</v>
      </c>
      <c r="C100" s="42">
        <v>6.6161111110000004</v>
      </c>
      <c r="D100" s="42">
        <v>-73.920555559999997</v>
      </c>
      <c r="E100" s="42">
        <v>180</v>
      </c>
      <c r="F100" s="42" t="s">
        <v>791</v>
      </c>
      <c r="G100" s="42" t="s">
        <v>49</v>
      </c>
      <c r="H100" s="44">
        <v>19</v>
      </c>
      <c r="I100" s="42">
        <v>1979</v>
      </c>
      <c r="J100" s="42">
        <v>7</v>
      </c>
      <c r="K100" s="44">
        <v>17.399999999999999</v>
      </c>
      <c r="L100" s="42">
        <v>1989</v>
      </c>
      <c r="M100" s="42">
        <v>16</v>
      </c>
      <c r="N100" s="44">
        <v>17.399999999999999</v>
      </c>
      <c r="O100" s="42">
        <v>1989</v>
      </c>
      <c r="P100" s="42">
        <v>30</v>
      </c>
      <c r="Q100" s="44">
        <v>18.2</v>
      </c>
      <c r="R100" s="42">
        <v>1982</v>
      </c>
      <c r="S100" s="42">
        <v>13</v>
      </c>
      <c r="T100" s="44">
        <v>19.600000000000001</v>
      </c>
      <c r="U100" s="42">
        <v>1982</v>
      </c>
      <c r="V100" s="42">
        <v>4</v>
      </c>
      <c r="W100" s="44">
        <v>20</v>
      </c>
      <c r="X100" s="42">
        <v>1979</v>
      </c>
      <c r="Y100" s="42">
        <v>24</v>
      </c>
      <c r="Z100" s="44">
        <v>18.399999999999999</v>
      </c>
      <c r="AA100" s="42">
        <v>1986</v>
      </c>
      <c r="AB100" s="42">
        <v>18</v>
      </c>
      <c r="AC100" s="44">
        <v>17.600000000000001</v>
      </c>
      <c r="AD100" s="42">
        <v>1982</v>
      </c>
      <c r="AE100" s="42">
        <v>31</v>
      </c>
      <c r="AF100" s="44">
        <v>19.399999999999999</v>
      </c>
      <c r="AG100" s="42">
        <v>1979</v>
      </c>
      <c r="AH100" s="42">
        <v>1</v>
      </c>
      <c r="AI100" s="44">
        <v>16</v>
      </c>
      <c r="AJ100" s="42">
        <v>1983</v>
      </c>
      <c r="AK100" s="42">
        <v>23</v>
      </c>
      <c r="AL100" s="44">
        <v>15.8</v>
      </c>
      <c r="AM100" s="42">
        <v>1989</v>
      </c>
      <c r="AN100" s="42">
        <v>30</v>
      </c>
      <c r="AO100" s="44">
        <v>19.600000000000001</v>
      </c>
      <c r="AP100" s="42">
        <v>1989</v>
      </c>
      <c r="AQ100" s="42">
        <v>1</v>
      </c>
    </row>
    <row r="101" spans="1:43" ht="14.45" customHeight="1" x14ac:dyDescent="0.2">
      <c r="A101" s="42">
        <v>28025070</v>
      </c>
      <c r="B101" s="42" t="s">
        <v>987</v>
      </c>
      <c r="C101" s="42">
        <v>10.001805559999999</v>
      </c>
      <c r="D101" s="42">
        <v>-73.249388890000006</v>
      </c>
      <c r="E101" s="42">
        <v>180</v>
      </c>
      <c r="F101" s="42" t="s">
        <v>588</v>
      </c>
      <c r="G101" s="42" t="s">
        <v>43</v>
      </c>
      <c r="H101" s="44">
        <v>17.399999999999999</v>
      </c>
      <c r="I101" s="42">
        <v>1978</v>
      </c>
      <c r="J101" s="42">
        <v>2</v>
      </c>
      <c r="K101" s="44">
        <v>17.8</v>
      </c>
      <c r="L101" s="42">
        <v>1994</v>
      </c>
      <c r="M101" s="42">
        <v>4</v>
      </c>
      <c r="N101" s="44">
        <v>18</v>
      </c>
      <c r="O101" s="42">
        <v>1997</v>
      </c>
      <c r="P101" s="42">
        <v>3</v>
      </c>
      <c r="Q101" s="44">
        <v>20</v>
      </c>
      <c r="R101" s="42">
        <v>1979</v>
      </c>
      <c r="S101" s="42">
        <v>12</v>
      </c>
      <c r="T101" s="44">
        <v>17.600000000000001</v>
      </c>
      <c r="U101" s="42">
        <v>1993</v>
      </c>
      <c r="V101" s="42">
        <v>27</v>
      </c>
      <c r="W101" s="44">
        <v>18</v>
      </c>
      <c r="X101" s="42">
        <v>1986</v>
      </c>
      <c r="Y101" s="42">
        <v>7</v>
      </c>
      <c r="Z101" s="44">
        <v>19.600000000000001</v>
      </c>
      <c r="AA101" s="42">
        <v>1996</v>
      </c>
      <c r="AB101" s="42">
        <v>8</v>
      </c>
      <c r="AC101" s="44">
        <v>20.2</v>
      </c>
      <c r="AD101" s="42">
        <v>1995</v>
      </c>
      <c r="AE101" s="42">
        <v>10</v>
      </c>
      <c r="AF101" s="44">
        <v>20</v>
      </c>
      <c r="AG101" s="42">
        <v>1986</v>
      </c>
      <c r="AH101" s="42">
        <v>10</v>
      </c>
      <c r="AI101" s="44">
        <v>18</v>
      </c>
      <c r="AJ101" s="42">
        <v>1992</v>
      </c>
      <c r="AK101" s="42">
        <v>12</v>
      </c>
      <c r="AL101" s="44">
        <v>18.600000000000001</v>
      </c>
      <c r="AM101" s="42">
        <v>1994</v>
      </c>
      <c r="AN101" s="42">
        <v>30</v>
      </c>
      <c r="AO101" s="44">
        <v>17.600000000000001</v>
      </c>
      <c r="AP101" s="42">
        <v>1981</v>
      </c>
      <c r="AQ101" s="42">
        <v>23</v>
      </c>
    </row>
    <row r="102" spans="1:43" ht="14.45" customHeight="1" x14ac:dyDescent="0.2">
      <c r="A102" s="42">
        <v>24015260</v>
      </c>
      <c r="B102" s="42" t="s">
        <v>988</v>
      </c>
      <c r="C102" s="42">
        <v>6.3550000000000004</v>
      </c>
      <c r="D102" s="42">
        <v>-73.368333329999999</v>
      </c>
      <c r="E102" s="42">
        <v>190</v>
      </c>
      <c r="F102" s="42" t="s">
        <v>123</v>
      </c>
      <c r="G102" s="42" t="s">
        <v>49</v>
      </c>
      <c r="H102" s="44">
        <v>11</v>
      </c>
      <c r="I102" s="42">
        <v>1981</v>
      </c>
      <c r="J102" s="42">
        <v>1</v>
      </c>
      <c r="K102" s="44">
        <v>12.6</v>
      </c>
      <c r="L102" s="42">
        <v>1985</v>
      </c>
      <c r="M102" s="42">
        <v>5</v>
      </c>
      <c r="N102" s="44">
        <v>13.2</v>
      </c>
      <c r="O102" s="42">
        <v>2005</v>
      </c>
      <c r="P102" s="42">
        <v>18</v>
      </c>
      <c r="Q102" s="44">
        <v>13</v>
      </c>
      <c r="R102" s="42">
        <v>2008</v>
      </c>
      <c r="S102" s="42">
        <v>3</v>
      </c>
      <c r="T102" s="44">
        <v>11.2</v>
      </c>
      <c r="U102" s="42">
        <v>1981</v>
      </c>
      <c r="V102" s="42">
        <v>3</v>
      </c>
      <c r="W102" s="44">
        <v>11</v>
      </c>
      <c r="X102" s="42">
        <v>1981</v>
      </c>
      <c r="Y102" s="42">
        <v>1</v>
      </c>
      <c r="Z102" s="44">
        <v>12</v>
      </c>
      <c r="AA102" s="42">
        <v>2008</v>
      </c>
      <c r="AB102" s="42">
        <v>9</v>
      </c>
      <c r="AC102" s="44">
        <v>13</v>
      </c>
      <c r="AD102" s="42">
        <v>1983</v>
      </c>
      <c r="AE102" s="42">
        <v>2</v>
      </c>
      <c r="AF102" s="44">
        <v>11</v>
      </c>
      <c r="AG102" s="42">
        <v>1980</v>
      </c>
      <c r="AH102" s="42">
        <v>12</v>
      </c>
      <c r="AI102" s="44">
        <v>14</v>
      </c>
      <c r="AJ102" s="42">
        <v>1980</v>
      </c>
      <c r="AK102" s="42">
        <v>2</v>
      </c>
      <c r="AL102" s="44">
        <v>12</v>
      </c>
      <c r="AM102" s="42">
        <v>1980</v>
      </c>
      <c r="AN102" s="42">
        <v>15</v>
      </c>
      <c r="AO102" s="44">
        <v>11.8</v>
      </c>
      <c r="AP102" s="42">
        <v>1985</v>
      </c>
      <c r="AQ102" s="42">
        <v>31</v>
      </c>
    </row>
    <row r="103" spans="1:43" ht="14.45" customHeight="1" x14ac:dyDescent="0.2">
      <c r="A103" s="42">
        <v>47035020</v>
      </c>
      <c r="B103" s="42" t="s">
        <v>989</v>
      </c>
      <c r="C103" s="42">
        <v>0.132861111</v>
      </c>
      <c r="D103" s="42">
        <v>-75.851111110000005</v>
      </c>
      <c r="E103" s="42">
        <v>190</v>
      </c>
      <c r="F103" s="42" t="s">
        <v>273</v>
      </c>
      <c r="G103" s="42" t="s">
        <v>264</v>
      </c>
      <c r="H103" s="44">
        <v>16.5</v>
      </c>
      <c r="I103" s="42">
        <v>2001</v>
      </c>
      <c r="J103" s="42">
        <v>4</v>
      </c>
      <c r="K103" s="44">
        <v>13.5</v>
      </c>
      <c r="L103" s="42">
        <v>2001</v>
      </c>
      <c r="M103" s="42">
        <v>12</v>
      </c>
      <c r="N103" s="44">
        <v>18.5</v>
      </c>
      <c r="O103" s="42">
        <v>2005</v>
      </c>
      <c r="P103" s="42">
        <v>5</v>
      </c>
      <c r="Q103" s="44">
        <v>19</v>
      </c>
      <c r="R103" s="42">
        <v>2000</v>
      </c>
      <c r="S103" s="42">
        <v>4</v>
      </c>
      <c r="T103" s="44">
        <v>18.5</v>
      </c>
      <c r="U103" s="42">
        <v>2007</v>
      </c>
      <c r="V103" s="42">
        <v>28</v>
      </c>
      <c r="W103" s="44">
        <v>16.7</v>
      </c>
      <c r="X103" s="42">
        <v>1994</v>
      </c>
      <c r="Y103" s="42">
        <v>28</v>
      </c>
      <c r="Z103" s="44">
        <v>16.5</v>
      </c>
      <c r="AA103" s="42">
        <v>1999</v>
      </c>
      <c r="AB103" s="42">
        <v>10</v>
      </c>
      <c r="AC103" s="44">
        <v>17.2</v>
      </c>
      <c r="AD103" s="42">
        <v>1993</v>
      </c>
      <c r="AE103" s="42">
        <v>2</v>
      </c>
      <c r="AF103" s="44">
        <v>17.399999999999999</v>
      </c>
      <c r="AG103" s="42">
        <v>1997</v>
      </c>
      <c r="AH103" s="42">
        <v>8</v>
      </c>
      <c r="AI103" s="44">
        <v>17.5</v>
      </c>
      <c r="AJ103" s="42">
        <v>1994</v>
      </c>
      <c r="AK103" s="42">
        <v>16</v>
      </c>
      <c r="AL103" s="44">
        <v>17</v>
      </c>
      <c r="AM103" s="42">
        <v>2000</v>
      </c>
      <c r="AN103" s="42">
        <v>22</v>
      </c>
      <c r="AO103" s="44">
        <v>16.8</v>
      </c>
      <c r="AP103" s="42">
        <v>2015</v>
      </c>
      <c r="AQ103" s="42">
        <v>1</v>
      </c>
    </row>
    <row r="104" spans="1:43" ht="14.45" customHeight="1" x14ac:dyDescent="0.2">
      <c r="A104" s="42">
        <v>37045010</v>
      </c>
      <c r="B104" s="42" t="s">
        <v>990</v>
      </c>
      <c r="C104" s="42">
        <v>6.9620800000000003</v>
      </c>
      <c r="D104" s="42">
        <v>-71.851252000000002</v>
      </c>
      <c r="E104" s="42">
        <v>197</v>
      </c>
      <c r="F104" s="42" t="s">
        <v>991</v>
      </c>
      <c r="G104" s="42" t="s">
        <v>90</v>
      </c>
      <c r="H104" s="44">
        <v>15.2</v>
      </c>
      <c r="I104" s="42">
        <v>1981</v>
      </c>
      <c r="J104" s="42">
        <v>30</v>
      </c>
      <c r="K104" s="44">
        <v>15.2</v>
      </c>
      <c r="L104" s="42">
        <v>2001</v>
      </c>
      <c r="M104" s="42">
        <v>16</v>
      </c>
      <c r="N104" s="44">
        <v>15</v>
      </c>
      <c r="O104" s="42">
        <v>1981</v>
      </c>
      <c r="P104" s="42">
        <v>28</v>
      </c>
      <c r="Q104" s="44">
        <v>15</v>
      </c>
      <c r="R104" s="42">
        <v>1982</v>
      </c>
      <c r="S104" s="42">
        <v>25</v>
      </c>
      <c r="T104" s="44">
        <v>15</v>
      </c>
      <c r="U104" s="42">
        <v>1982</v>
      </c>
      <c r="V104" s="42">
        <v>13</v>
      </c>
      <c r="W104" s="44">
        <v>15.4</v>
      </c>
      <c r="X104" s="42">
        <v>1984</v>
      </c>
      <c r="Y104" s="42">
        <v>30</v>
      </c>
      <c r="Z104" s="44">
        <v>15</v>
      </c>
      <c r="AA104" s="42">
        <v>1980</v>
      </c>
      <c r="AB104" s="42">
        <v>19</v>
      </c>
      <c r="AC104" s="44">
        <v>14.4</v>
      </c>
      <c r="AD104" s="42">
        <v>1985</v>
      </c>
      <c r="AE104" s="42">
        <v>18</v>
      </c>
      <c r="AF104" s="44">
        <v>14</v>
      </c>
      <c r="AG104" s="42">
        <v>1982</v>
      </c>
      <c r="AH104" s="42">
        <v>21</v>
      </c>
      <c r="AI104" s="44">
        <v>15</v>
      </c>
      <c r="AJ104" s="42">
        <v>1982</v>
      </c>
      <c r="AK104" s="42">
        <v>3</v>
      </c>
      <c r="AL104" s="44">
        <v>15</v>
      </c>
      <c r="AM104" s="42">
        <v>1978</v>
      </c>
      <c r="AN104" s="42">
        <v>17</v>
      </c>
      <c r="AO104" s="44">
        <v>14</v>
      </c>
      <c r="AP104" s="42">
        <v>1980</v>
      </c>
      <c r="AQ104" s="42">
        <v>26</v>
      </c>
    </row>
    <row r="105" spans="1:43" ht="14.45" customHeight="1" x14ac:dyDescent="0.2">
      <c r="A105" s="42">
        <v>23125120</v>
      </c>
      <c r="B105" s="42" t="s">
        <v>992</v>
      </c>
      <c r="C105" s="42">
        <v>6.3086111110000003</v>
      </c>
      <c r="D105" s="42">
        <v>-73.952222219999996</v>
      </c>
      <c r="E105" s="42">
        <v>198</v>
      </c>
      <c r="F105" s="42" t="s">
        <v>312</v>
      </c>
      <c r="G105" s="42" t="s">
        <v>49</v>
      </c>
      <c r="H105" s="44">
        <v>16</v>
      </c>
      <c r="I105" s="42">
        <v>2003</v>
      </c>
      <c r="J105" s="42">
        <v>15</v>
      </c>
      <c r="K105" s="44">
        <v>16.5</v>
      </c>
      <c r="L105" s="42">
        <v>2003</v>
      </c>
      <c r="M105" s="42">
        <v>5</v>
      </c>
      <c r="N105" s="44">
        <v>16</v>
      </c>
      <c r="O105" s="42">
        <v>2003</v>
      </c>
      <c r="P105" s="42">
        <v>1</v>
      </c>
      <c r="Q105" s="44">
        <v>18</v>
      </c>
      <c r="R105" s="42">
        <v>1995</v>
      </c>
      <c r="S105" s="42">
        <v>3</v>
      </c>
      <c r="T105" s="44">
        <v>18</v>
      </c>
      <c r="U105" s="42">
        <v>2002</v>
      </c>
      <c r="V105" s="42">
        <v>28</v>
      </c>
      <c r="W105" s="44">
        <v>17.399999999999999</v>
      </c>
      <c r="X105" s="42">
        <v>1999</v>
      </c>
      <c r="Y105" s="42">
        <v>8</v>
      </c>
      <c r="Z105" s="44">
        <v>16</v>
      </c>
      <c r="AA105" s="42">
        <v>2003</v>
      </c>
      <c r="AB105" s="42">
        <v>12</v>
      </c>
      <c r="AC105" s="44">
        <v>17</v>
      </c>
      <c r="AD105" s="42">
        <v>2002</v>
      </c>
      <c r="AE105" s="42">
        <v>12</v>
      </c>
      <c r="AF105" s="44">
        <v>17</v>
      </c>
      <c r="AG105" s="42">
        <v>2002</v>
      </c>
      <c r="AH105" s="42">
        <v>19</v>
      </c>
      <c r="AI105" s="44">
        <v>16</v>
      </c>
      <c r="AJ105" s="42">
        <v>2003</v>
      </c>
      <c r="AK105" s="42">
        <v>26</v>
      </c>
      <c r="AL105" s="44">
        <v>17</v>
      </c>
      <c r="AM105" s="42">
        <v>2002</v>
      </c>
      <c r="AN105" s="42">
        <v>5</v>
      </c>
      <c r="AO105" s="44">
        <v>17</v>
      </c>
      <c r="AP105" s="42">
        <v>2002</v>
      </c>
      <c r="AQ105" s="42">
        <v>10</v>
      </c>
    </row>
    <row r="106" spans="1:43" ht="14.45" customHeight="1" x14ac:dyDescent="0.2">
      <c r="A106" s="42">
        <v>35105050</v>
      </c>
      <c r="B106" s="42" t="s">
        <v>993</v>
      </c>
      <c r="C106" s="42">
        <v>4.4686500000000002</v>
      </c>
      <c r="D106" s="42">
        <v>-72.953639999999993</v>
      </c>
      <c r="E106" s="42">
        <v>199</v>
      </c>
      <c r="F106" s="42" t="s">
        <v>169</v>
      </c>
      <c r="G106" s="42" t="s">
        <v>95</v>
      </c>
      <c r="H106" s="44">
        <v>15.4</v>
      </c>
      <c r="I106" s="42">
        <v>2000</v>
      </c>
      <c r="J106" s="42">
        <v>14</v>
      </c>
      <c r="K106" s="44">
        <v>16</v>
      </c>
      <c r="L106" s="42">
        <v>2000</v>
      </c>
      <c r="M106" s="42">
        <v>15</v>
      </c>
      <c r="N106" s="44">
        <v>17</v>
      </c>
      <c r="O106" s="42">
        <v>1995</v>
      </c>
      <c r="P106" s="42">
        <v>6</v>
      </c>
      <c r="Q106" s="44">
        <v>18.399999999999999</v>
      </c>
      <c r="R106" s="42">
        <v>1996</v>
      </c>
      <c r="S106" s="42">
        <v>29</v>
      </c>
      <c r="T106" s="44">
        <v>17</v>
      </c>
      <c r="U106" s="42">
        <v>1995</v>
      </c>
      <c r="V106" s="42">
        <v>22</v>
      </c>
      <c r="W106" s="44">
        <v>17.2</v>
      </c>
      <c r="X106" s="42">
        <v>1995</v>
      </c>
      <c r="Y106" s="42">
        <v>16</v>
      </c>
      <c r="Z106" s="44">
        <v>16.8</v>
      </c>
      <c r="AA106" s="42">
        <v>2020</v>
      </c>
      <c r="AB106" s="42">
        <v>5</v>
      </c>
      <c r="AC106" s="44">
        <v>18</v>
      </c>
      <c r="AD106" s="42">
        <v>1995</v>
      </c>
      <c r="AE106" s="42">
        <v>15</v>
      </c>
      <c r="AF106" s="44">
        <v>18.399999999999999</v>
      </c>
      <c r="AG106" s="42">
        <v>1996</v>
      </c>
      <c r="AH106" s="42">
        <v>15</v>
      </c>
      <c r="AI106" s="44">
        <v>18</v>
      </c>
      <c r="AJ106" s="42">
        <v>2020</v>
      </c>
      <c r="AK106" s="42">
        <v>3</v>
      </c>
      <c r="AL106" s="44">
        <v>17</v>
      </c>
      <c r="AM106" s="42">
        <v>1993</v>
      </c>
      <c r="AN106" s="42">
        <v>27</v>
      </c>
      <c r="AO106" s="44">
        <v>17</v>
      </c>
      <c r="AP106" s="42">
        <v>1996</v>
      </c>
      <c r="AQ106" s="42">
        <v>8</v>
      </c>
    </row>
    <row r="107" spans="1:43" ht="14.45" customHeight="1" x14ac:dyDescent="0.2">
      <c r="A107" s="42">
        <v>13095020</v>
      </c>
      <c r="B107" s="42" t="s">
        <v>994</v>
      </c>
      <c r="C107" s="42">
        <v>9.5301388889999998</v>
      </c>
      <c r="D107" s="42">
        <v>-75.351361109999999</v>
      </c>
      <c r="E107" s="42">
        <v>200</v>
      </c>
      <c r="F107" s="42" t="s">
        <v>801</v>
      </c>
      <c r="G107" s="42" t="s">
        <v>129</v>
      </c>
      <c r="H107" s="44">
        <v>16</v>
      </c>
      <c r="I107" s="42">
        <v>1988</v>
      </c>
      <c r="J107" s="42">
        <v>3</v>
      </c>
      <c r="K107" s="44">
        <v>17</v>
      </c>
      <c r="L107" s="42">
        <v>1986</v>
      </c>
      <c r="M107" s="42">
        <v>7</v>
      </c>
      <c r="N107" s="44">
        <v>15.4</v>
      </c>
      <c r="O107" s="42">
        <v>1987</v>
      </c>
      <c r="P107" s="42">
        <v>25</v>
      </c>
      <c r="Q107" s="44">
        <v>16.2</v>
      </c>
      <c r="R107" s="42">
        <v>1987</v>
      </c>
      <c r="S107" s="42">
        <v>2</v>
      </c>
      <c r="T107" s="44">
        <v>15.6</v>
      </c>
      <c r="U107" s="42">
        <v>1989</v>
      </c>
      <c r="V107" s="42">
        <v>1</v>
      </c>
      <c r="W107" s="44">
        <v>16</v>
      </c>
      <c r="X107" s="42">
        <v>1989</v>
      </c>
      <c r="Y107" s="42">
        <v>13</v>
      </c>
      <c r="Z107" s="44">
        <v>16.600000000000001</v>
      </c>
      <c r="AA107" s="42">
        <v>1989</v>
      </c>
      <c r="AB107" s="42">
        <v>19</v>
      </c>
      <c r="AC107" s="44">
        <v>16</v>
      </c>
      <c r="AD107" s="42">
        <v>1989</v>
      </c>
      <c r="AE107" s="42">
        <v>11</v>
      </c>
      <c r="AF107" s="44">
        <v>15.6</v>
      </c>
      <c r="AG107" s="42">
        <v>1989</v>
      </c>
      <c r="AH107" s="42">
        <v>16</v>
      </c>
      <c r="AI107" s="44">
        <v>16.399999999999999</v>
      </c>
      <c r="AJ107" s="42">
        <v>1989</v>
      </c>
      <c r="AK107" s="42">
        <v>28</v>
      </c>
      <c r="AL107" s="44">
        <v>15.4</v>
      </c>
      <c r="AM107" s="42">
        <v>1989</v>
      </c>
      <c r="AN107" s="42">
        <v>27</v>
      </c>
      <c r="AO107" s="44">
        <v>15.2</v>
      </c>
      <c r="AP107" s="42">
        <v>1995</v>
      </c>
      <c r="AQ107" s="42">
        <v>4</v>
      </c>
    </row>
    <row r="108" spans="1:43" ht="14.45" customHeight="1" x14ac:dyDescent="0.2">
      <c r="A108" s="42">
        <v>23215030</v>
      </c>
      <c r="B108" s="42" t="s">
        <v>995</v>
      </c>
      <c r="C108" s="42">
        <v>8.2288888890000003</v>
      </c>
      <c r="D108" s="42">
        <v>-73.602777779999997</v>
      </c>
      <c r="E108" s="42">
        <v>208</v>
      </c>
      <c r="F108" s="42" t="s">
        <v>586</v>
      </c>
      <c r="G108" s="42" t="s">
        <v>43</v>
      </c>
      <c r="H108" s="44">
        <v>19</v>
      </c>
      <c r="I108" s="42">
        <v>1980</v>
      </c>
      <c r="J108" s="42">
        <v>13</v>
      </c>
      <c r="K108" s="44">
        <v>20</v>
      </c>
      <c r="L108" s="42">
        <v>1978</v>
      </c>
      <c r="M108" s="42">
        <v>20</v>
      </c>
      <c r="N108" s="44">
        <v>20</v>
      </c>
      <c r="O108" s="42">
        <v>1997</v>
      </c>
      <c r="P108" s="42">
        <v>25</v>
      </c>
      <c r="Q108" s="44">
        <v>19.399999999999999</v>
      </c>
      <c r="R108" s="42">
        <v>1982</v>
      </c>
      <c r="S108" s="42">
        <v>12</v>
      </c>
      <c r="T108" s="44">
        <v>19.8</v>
      </c>
      <c r="U108" s="42">
        <v>1998</v>
      </c>
      <c r="V108" s="42">
        <v>29</v>
      </c>
      <c r="W108" s="44">
        <v>19.2</v>
      </c>
      <c r="X108" s="42">
        <v>1996</v>
      </c>
      <c r="Y108" s="42">
        <v>5</v>
      </c>
      <c r="Z108" s="44">
        <v>18.600000000000001</v>
      </c>
      <c r="AA108" s="42">
        <v>1996</v>
      </c>
      <c r="AB108" s="42">
        <v>2</v>
      </c>
      <c r="AC108" s="44">
        <v>19.399999999999999</v>
      </c>
      <c r="AD108" s="42">
        <v>1996</v>
      </c>
      <c r="AE108" s="42">
        <v>2</v>
      </c>
      <c r="AF108" s="44">
        <v>18.2</v>
      </c>
      <c r="AG108" s="42">
        <v>1988</v>
      </c>
      <c r="AH108" s="42">
        <v>5</v>
      </c>
      <c r="AI108" s="44">
        <v>19.899999999999999</v>
      </c>
      <c r="AJ108" s="42">
        <v>1999</v>
      </c>
      <c r="AK108" s="42">
        <v>7</v>
      </c>
      <c r="AL108" s="44">
        <v>20</v>
      </c>
      <c r="AM108" s="42">
        <v>1987</v>
      </c>
      <c r="AN108" s="42">
        <v>28</v>
      </c>
      <c r="AO108" s="44">
        <v>19.2</v>
      </c>
      <c r="AP108" s="42">
        <v>1988</v>
      </c>
      <c r="AQ108" s="42">
        <v>20</v>
      </c>
    </row>
    <row r="109" spans="1:43" ht="14.45" customHeight="1" x14ac:dyDescent="0.2">
      <c r="A109" s="42">
        <v>31015010</v>
      </c>
      <c r="B109" s="42" t="s">
        <v>996</v>
      </c>
      <c r="C109" s="42">
        <v>2.372592</v>
      </c>
      <c r="D109" s="42">
        <v>-72.639860999999996</v>
      </c>
      <c r="E109" s="42">
        <v>216</v>
      </c>
      <c r="F109" s="42" t="s">
        <v>152</v>
      </c>
      <c r="G109" s="42" t="s">
        <v>151</v>
      </c>
      <c r="H109" s="44">
        <v>15.7</v>
      </c>
      <c r="I109" s="42">
        <v>1986</v>
      </c>
      <c r="J109" s="42">
        <v>16</v>
      </c>
      <c r="K109" s="44">
        <v>14.6</v>
      </c>
      <c r="L109" s="42">
        <v>1989</v>
      </c>
      <c r="M109" s="42">
        <v>16</v>
      </c>
      <c r="N109" s="44">
        <v>15</v>
      </c>
      <c r="O109" s="42">
        <v>1983</v>
      </c>
      <c r="P109" s="42">
        <v>24</v>
      </c>
      <c r="Q109" s="44">
        <v>16.5</v>
      </c>
      <c r="R109" s="42">
        <v>1985</v>
      </c>
      <c r="S109" s="42">
        <v>5</v>
      </c>
      <c r="T109" s="44">
        <v>15.5</v>
      </c>
      <c r="U109" s="42">
        <v>1985</v>
      </c>
      <c r="V109" s="42">
        <v>13</v>
      </c>
      <c r="W109" s="44">
        <v>14.8</v>
      </c>
      <c r="X109" s="42">
        <v>1985</v>
      </c>
      <c r="Y109" s="42">
        <v>10</v>
      </c>
      <c r="Z109" s="44">
        <v>15.2</v>
      </c>
      <c r="AA109" s="42">
        <v>1989</v>
      </c>
      <c r="AB109" s="42">
        <v>9</v>
      </c>
      <c r="AC109" s="44">
        <v>16</v>
      </c>
      <c r="AD109" s="42">
        <v>1999</v>
      </c>
      <c r="AE109" s="42">
        <v>17</v>
      </c>
      <c r="AF109" s="44">
        <v>15.8</v>
      </c>
      <c r="AG109" s="42">
        <v>1985</v>
      </c>
      <c r="AH109" s="42">
        <v>12</v>
      </c>
      <c r="AI109" s="44">
        <v>16.5</v>
      </c>
      <c r="AJ109" s="42">
        <v>1984</v>
      </c>
      <c r="AK109" s="42">
        <v>31</v>
      </c>
      <c r="AL109" s="44">
        <v>16.8</v>
      </c>
      <c r="AM109" s="42">
        <v>1985</v>
      </c>
      <c r="AN109" s="42">
        <v>16</v>
      </c>
      <c r="AO109" s="44">
        <v>15.4</v>
      </c>
      <c r="AP109" s="42">
        <v>1989</v>
      </c>
      <c r="AQ109" s="42">
        <v>21</v>
      </c>
    </row>
    <row r="110" spans="1:43" ht="14.45" customHeight="1" x14ac:dyDescent="0.2">
      <c r="A110" s="42">
        <v>44055010</v>
      </c>
      <c r="B110" s="42" t="s">
        <v>997</v>
      </c>
      <c r="C110" s="42">
        <v>0.73750000000000004</v>
      </c>
      <c r="D110" s="42">
        <v>-75.236111109999996</v>
      </c>
      <c r="E110" s="42">
        <v>219</v>
      </c>
      <c r="F110" s="42" t="s">
        <v>961</v>
      </c>
      <c r="G110" s="42" t="s">
        <v>962</v>
      </c>
      <c r="H110" s="44">
        <v>15</v>
      </c>
      <c r="I110" s="42">
        <v>1999</v>
      </c>
      <c r="J110" s="42">
        <v>22</v>
      </c>
      <c r="K110" s="44">
        <v>14.8</v>
      </c>
      <c r="L110" s="42">
        <v>1995</v>
      </c>
      <c r="M110" s="42">
        <v>16</v>
      </c>
      <c r="N110" s="44">
        <v>16.2</v>
      </c>
      <c r="O110" s="42">
        <v>2010</v>
      </c>
      <c r="P110" s="42">
        <v>23</v>
      </c>
      <c r="Q110" s="44">
        <v>14.2</v>
      </c>
      <c r="R110" s="42">
        <v>1995</v>
      </c>
      <c r="S110" s="42">
        <v>15</v>
      </c>
      <c r="T110" s="44">
        <v>16.399999999999999</v>
      </c>
      <c r="U110" s="42">
        <v>2008</v>
      </c>
      <c r="V110" s="42">
        <v>26</v>
      </c>
      <c r="W110" s="44">
        <v>14</v>
      </c>
      <c r="X110" s="42">
        <v>2021</v>
      </c>
      <c r="Y110" s="42">
        <v>23</v>
      </c>
      <c r="Z110" s="44">
        <v>14.9</v>
      </c>
      <c r="AA110" s="42">
        <v>2006</v>
      </c>
      <c r="AB110" s="42">
        <v>20</v>
      </c>
      <c r="AC110" s="44">
        <v>14.6</v>
      </c>
      <c r="AD110" s="42">
        <v>2005</v>
      </c>
      <c r="AE110" s="42">
        <v>12</v>
      </c>
      <c r="AF110" s="44">
        <v>15</v>
      </c>
      <c r="AG110" s="42">
        <v>2002</v>
      </c>
      <c r="AH110" s="42">
        <v>22</v>
      </c>
      <c r="AI110" s="44">
        <v>12.4</v>
      </c>
      <c r="AJ110" s="42">
        <v>2003</v>
      </c>
      <c r="AK110" s="42">
        <v>11</v>
      </c>
      <c r="AL110" s="44">
        <v>13.2</v>
      </c>
      <c r="AM110" s="42">
        <v>2003</v>
      </c>
      <c r="AN110" s="42">
        <v>29</v>
      </c>
      <c r="AO110" s="44">
        <v>14.8</v>
      </c>
      <c r="AP110" s="42">
        <v>1990</v>
      </c>
      <c r="AQ110" s="42">
        <v>24</v>
      </c>
    </row>
    <row r="111" spans="1:43" ht="14.45" customHeight="1" x14ac:dyDescent="0.2">
      <c r="A111" s="42">
        <v>32035010</v>
      </c>
      <c r="B111" s="42" t="s">
        <v>998</v>
      </c>
      <c r="C111" s="42">
        <v>2.176139</v>
      </c>
      <c r="D111" s="42">
        <v>-73.793471999999994</v>
      </c>
      <c r="E111" s="42">
        <v>227</v>
      </c>
      <c r="F111" s="42" t="s">
        <v>156</v>
      </c>
      <c r="G111" s="42" t="s">
        <v>95</v>
      </c>
      <c r="H111" s="44">
        <v>15.8</v>
      </c>
      <c r="I111" s="42">
        <v>2010</v>
      </c>
      <c r="J111" s="42">
        <v>4</v>
      </c>
      <c r="K111" s="44">
        <v>15.2</v>
      </c>
      <c r="L111" s="42">
        <v>1996</v>
      </c>
      <c r="M111" s="42">
        <v>18</v>
      </c>
      <c r="N111" s="44">
        <v>17.600000000000001</v>
      </c>
      <c r="O111" s="42">
        <v>1984</v>
      </c>
      <c r="P111" s="42">
        <v>13</v>
      </c>
      <c r="Q111" s="44">
        <v>17.399999999999999</v>
      </c>
      <c r="R111" s="42">
        <v>1990</v>
      </c>
      <c r="S111" s="42">
        <v>26</v>
      </c>
      <c r="T111" s="44">
        <v>18</v>
      </c>
      <c r="U111" s="42">
        <v>1990</v>
      </c>
      <c r="V111" s="42">
        <v>1</v>
      </c>
      <c r="W111" s="44">
        <v>17</v>
      </c>
      <c r="X111" s="42">
        <v>1983</v>
      </c>
      <c r="Y111" s="42">
        <v>7</v>
      </c>
      <c r="Z111" s="44">
        <v>17</v>
      </c>
      <c r="AA111" s="42">
        <v>1990</v>
      </c>
      <c r="AB111" s="42">
        <v>26</v>
      </c>
      <c r="AC111" s="44">
        <v>17</v>
      </c>
      <c r="AD111" s="42">
        <v>1994</v>
      </c>
      <c r="AE111" s="42">
        <v>13</v>
      </c>
      <c r="AF111" s="44">
        <v>17.100000000000001</v>
      </c>
      <c r="AG111" s="42">
        <v>1983</v>
      </c>
      <c r="AH111" s="42">
        <v>9</v>
      </c>
      <c r="AI111" s="44">
        <v>16.5</v>
      </c>
      <c r="AJ111" s="42">
        <v>1983</v>
      </c>
      <c r="AK111" s="42">
        <v>26</v>
      </c>
      <c r="AL111" s="44">
        <v>18.600000000000001</v>
      </c>
      <c r="AM111" s="42">
        <v>1991</v>
      </c>
      <c r="AN111" s="42">
        <v>7</v>
      </c>
      <c r="AO111" s="44">
        <v>15</v>
      </c>
      <c r="AP111" s="42">
        <v>1983</v>
      </c>
      <c r="AQ111" s="42">
        <v>3</v>
      </c>
    </row>
    <row r="112" spans="1:43" ht="14.45" customHeight="1" x14ac:dyDescent="0.2">
      <c r="A112" s="42">
        <v>46015020</v>
      </c>
      <c r="B112" s="42" t="s">
        <v>999</v>
      </c>
      <c r="C112" s="42">
        <v>1.7354722220000001</v>
      </c>
      <c r="D112" s="42">
        <v>-74.785055560000004</v>
      </c>
      <c r="E112" s="42">
        <v>240</v>
      </c>
      <c r="F112" s="42" t="s">
        <v>1000</v>
      </c>
      <c r="G112" s="42" t="s">
        <v>962</v>
      </c>
      <c r="H112" s="44">
        <v>16.2</v>
      </c>
      <c r="I112" s="42">
        <v>1989</v>
      </c>
      <c r="J112" s="42">
        <v>11</v>
      </c>
      <c r="K112" s="44">
        <v>16</v>
      </c>
      <c r="L112" s="42">
        <v>1994</v>
      </c>
      <c r="M112" s="42">
        <v>14</v>
      </c>
      <c r="N112" s="44">
        <v>17</v>
      </c>
      <c r="O112" s="42">
        <v>1997</v>
      </c>
      <c r="P112" s="42">
        <v>6</v>
      </c>
      <c r="Q112" s="44">
        <v>20</v>
      </c>
      <c r="R112" s="42">
        <v>1989</v>
      </c>
      <c r="S112" s="42">
        <v>7</v>
      </c>
      <c r="T112" s="44">
        <v>19.600000000000001</v>
      </c>
      <c r="U112" s="42">
        <v>1989</v>
      </c>
      <c r="V112" s="42">
        <v>14</v>
      </c>
      <c r="W112" s="44">
        <v>17.399999999999999</v>
      </c>
      <c r="X112" s="42">
        <v>1985</v>
      </c>
      <c r="Y112" s="42">
        <v>12</v>
      </c>
      <c r="Z112" s="44">
        <v>17.2</v>
      </c>
      <c r="AA112" s="42">
        <v>1990</v>
      </c>
      <c r="AB112" s="42">
        <v>14</v>
      </c>
      <c r="AC112" s="44">
        <v>16</v>
      </c>
      <c r="AD112" s="42">
        <v>1999</v>
      </c>
      <c r="AE112" s="42">
        <v>17</v>
      </c>
      <c r="AF112" s="44">
        <v>17.2</v>
      </c>
      <c r="AG112" s="42">
        <v>1990</v>
      </c>
      <c r="AH112" s="42">
        <v>16</v>
      </c>
      <c r="AI112" s="44">
        <v>19</v>
      </c>
      <c r="AJ112" s="42">
        <v>1999</v>
      </c>
      <c r="AK112" s="42">
        <v>7</v>
      </c>
      <c r="AL112" s="44">
        <v>16.8</v>
      </c>
      <c r="AM112" s="42">
        <v>2022</v>
      </c>
      <c r="AN112" s="42">
        <v>4</v>
      </c>
      <c r="AO112" s="44">
        <v>16</v>
      </c>
      <c r="AP112" s="42">
        <v>1988</v>
      </c>
      <c r="AQ112" s="42">
        <v>21</v>
      </c>
    </row>
    <row r="113" spans="1:43" ht="14.45" customHeight="1" x14ac:dyDescent="0.2">
      <c r="A113" s="42">
        <v>32035020</v>
      </c>
      <c r="B113" s="42" t="s">
        <v>1001</v>
      </c>
      <c r="C113" s="42">
        <v>2.4383889999999999</v>
      </c>
      <c r="D113" s="42">
        <v>-73.932277999999997</v>
      </c>
      <c r="E113" s="42">
        <v>249</v>
      </c>
      <c r="F113" s="42" t="s">
        <v>156</v>
      </c>
      <c r="G113" s="42" t="s">
        <v>95</v>
      </c>
      <c r="H113" s="44">
        <v>16.2</v>
      </c>
      <c r="I113" s="42">
        <v>1990</v>
      </c>
      <c r="J113" s="42">
        <v>17</v>
      </c>
      <c r="K113" s="44">
        <v>16.399999999999999</v>
      </c>
      <c r="L113" s="42">
        <v>1987</v>
      </c>
      <c r="M113" s="42">
        <v>16</v>
      </c>
      <c r="N113" s="44">
        <v>16</v>
      </c>
      <c r="O113" s="42">
        <v>1994</v>
      </c>
      <c r="P113" s="42">
        <v>19</v>
      </c>
      <c r="Q113" s="44">
        <v>16.399999999999999</v>
      </c>
      <c r="R113" s="42">
        <v>1993</v>
      </c>
      <c r="S113" s="42">
        <v>4</v>
      </c>
      <c r="T113" s="44">
        <v>16.399999999999999</v>
      </c>
      <c r="U113" s="42">
        <v>1994</v>
      </c>
      <c r="V113" s="42">
        <v>6</v>
      </c>
      <c r="W113" s="44">
        <v>16.399999999999999</v>
      </c>
      <c r="X113" s="42">
        <v>1991</v>
      </c>
      <c r="Y113" s="42">
        <v>11</v>
      </c>
      <c r="Z113" s="44">
        <v>16.399999999999999</v>
      </c>
      <c r="AA113" s="42">
        <v>1994</v>
      </c>
      <c r="AB113" s="42">
        <v>14</v>
      </c>
      <c r="AC113" s="44">
        <v>16</v>
      </c>
      <c r="AD113" s="42">
        <v>1993</v>
      </c>
      <c r="AE113" s="42">
        <v>30</v>
      </c>
      <c r="AF113" s="44">
        <v>16.399999999999999</v>
      </c>
      <c r="AG113" s="42">
        <v>1991</v>
      </c>
      <c r="AH113" s="42">
        <v>21</v>
      </c>
      <c r="AI113" s="44">
        <v>16.399999999999999</v>
      </c>
      <c r="AJ113" s="42">
        <v>1994</v>
      </c>
      <c r="AK113" s="42">
        <v>12</v>
      </c>
      <c r="AL113" s="44">
        <v>17.600000000000001</v>
      </c>
      <c r="AM113" s="42">
        <v>1990</v>
      </c>
      <c r="AN113" s="42">
        <v>15</v>
      </c>
      <c r="AO113" s="44">
        <v>16.2</v>
      </c>
      <c r="AP113" s="42">
        <v>1990</v>
      </c>
      <c r="AQ113" s="42">
        <v>19</v>
      </c>
    </row>
    <row r="114" spans="1:43" ht="14.45" customHeight="1" x14ac:dyDescent="0.2">
      <c r="A114" s="42">
        <v>16015010</v>
      </c>
      <c r="B114" s="42" t="s">
        <v>1002</v>
      </c>
      <c r="C114" s="42">
        <v>7.9302777779999998</v>
      </c>
      <c r="D114" s="42">
        <v>-72.509166669999999</v>
      </c>
      <c r="E114" s="42">
        <v>250</v>
      </c>
      <c r="F114" s="42" t="s">
        <v>55</v>
      </c>
      <c r="G114" s="42" t="s">
        <v>300</v>
      </c>
      <c r="H114" s="44">
        <v>16.600000000000001</v>
      </c>
      <c r="I114" s="42">
        <v>1993</v>
      </c>
      <c r="J114" s="42">
        <v>9</v>
      </c>
      <c r="K114" s="44">
        <v>16</v>
      </c>
      <c r="L114" s="42">
        <v>1989</v>
      </c>
      <c r="M114" s="42">
        <v>18</v>
      </c>
      <c r="N114" s="44">
        <v>18</v>
      </c>
      <c r="O114" s="42">
        <v>1986</v>
      </c>
      <c r="P114" s="42">
        <v>9</v>
      </c>
      <c r="Q114" s="44">
        <v>18.8</v>
      </c>
      <c r="R114" s="42">
        <v>1989</v>
      </c>
      <c r="S114" s="42">
        <v>24</v>
      </c>
      <c r="T114" s="44">
        <v>18</v>
      </c>
      <c r="U114" s="42">
        <v>1987</v>
      </c>
      <c r="V114" s="42">
        <v>25</v>
      </c>
      <c r="W114" s="44">
        <v>17.399999999999999</v>
      </c>
      <c r="X114" s="42">
        <v>1990</v>
      </c>
      <c r="Y114" s="42">
        <v>3</v>
      </c>
      <c r="Z114" s="44">
        <v>19</v>
      </c>
      <c r="AA114" s="42">
        <v>1981</v>
      </c>
      <c r="AB114" s="42">
        <v>3</v>
      </c>
      <c r="AC114" s="44">
        <v>18.8</v>
      </c>
      <c r="AD114" s="42">
        <v>1986</v>
      </c>
      <c r="AE114" s="42">
        <v>22</v>
      </c>
      <c r="AF114" s="44">
        <v>18.600000000000001</v>
      </c>
      <c r="AG114" s="42">
        <v>1986</v>
      </c>
      <c r="AH114" s="42">
        <v>26</v>
      </c>
      <c r="AI114" s="44">
        <v>18.8</v>
      </c>
      <c r="AJ114" s="42">
        <v>1986</v>
      </c>
      <c r="AK114" s="42">
        <v>6</v>
      </c>
      <c r="AL114" s="44">
        <v>18</v>
      </c>
      <c r="AM114" s="42">
        <v>1977</v>
      </c>
      <c r="AN114" s="42">
        <v>30</v>
      </c>
      <c r="AO114" s="44">
        <v>16.8</v>
      </c>
      <c r="AP114" s="42">
        <v>1988</v>
      </c>
      <c r="AQ114" s="42">
        <v>16</v>
      </c>
    </row>
    <row r="115" spans="1:43" ht="14.45" customHeight="1" x14ac:dyDescent="0.2">
      <c r="A115" s="42">
        <v>28015070</v>
      </c>
      <c r="B115" s="42" t="s">
        <v>1003</v>
      </c>
      <c r="C115" s="42">
        <v>10.566388890000001</v>
      </c>
      <c r="D115" s="42">
        <v>-73.016388890000002</v>
      </c>
      <c r="E115" s="42">
        <v>255</v>
      </c>
      <c r="F115" s="42" t="s">
        <v>205</v>
      </c>
      <c r="G115" s="42" t="s">
        <v>40</v>
      </c>
      <c r="H115" s="44">
        <v>15.4</v>
      </c>
      <c r="I115" s="42">
        <v>2000</v>
      </c>
      <c r="J115" s="42">
        <v>14</v>
      </c>
      <c r="K115" s="44">
        <v>16.5</v>
      </c>
      <c r="L115" s="42">
        <v>2007</v>
      </c>
      <c r="M115" s="42">
        <v>20</v>
      </c>
      <c r="N115" s="44">
        <v>17</v>
      </c>
      <c r="O115" s="42">
        <v>2008</v>
      </c>
      <c r="P115" s="42">
        <v>1</v>
      </c>
      <c r="Q115" s="44">
        <v>18</v>
      </c>
      <c r="R115" s="42">
        <v>1979</v>
      </c>
      <c r="S115" s="42">
        <v>28</v>
      </c>
      <c r="T115" s="44">
        <v>16.8</v>
      </c>
      <c r="U115" s="42">
        <v>2008</v>
      </c>
      <c r="V115" s="42">
        <v>24</v>
      </c>
      <c r="W115" s="44">
        <v>16.5</v>
      </c>
      <c r="X115" s="42">
        <v>2008</v>
      </c>
      <c r="Y115" s="42">
        <v>27</v>
      </c>
      <c r="Z115" s="44">
        <v>16</v>
      </c>
      <c r="AA115" s="42">
        <v>2008</v>
      </c>
      <c r="AB115" s="42">
        <v>17</v>
      </c>
      <c r="AC115" s="44">
        <v>18.5</v>
      </c>
      <c r="AD115" s="42">
        <v>1984</v>
      </c>
      <c r="AE115" s="42">
        <v>19</v>
      </c>
      <c r="AF115" s="44">
        <v>18.5</v>
      </c>
      <c r="AG115" s="42">
        <v>1999</v>
      </c>
      <c r="AH115" s="42">
        <v>27</v>
      </c>
      <c r="AI115" s="44">
        <v>16.399999999999999</v>
      </c>
      <c r="AJ115" s="42">
        <v>1990</v>
      </c>
      <c r="AK115" s="42">
        <v>25</v>
      </c>
      <c r="AL115" s="44">
        <v>18.5</v>
      </c>
      <c r="AM115" s="42">
        <v>2007</v>
      </c>
      <c r="AN115" s="42">
        <v>23</v>
      </c>
      <c r="AO115" s="44">
        <v>17.2</v>
      </c>
      <c r="AP115" s="42">
        <v>2018</v>
      </c>
      <c r="AQ115" s="42">
        <v>9</v>
      </c>
    </row>
    <row r="116" spans="1:43" ht="14.45" customHeight="1" x14ac:dyDescent="0.2">
      <c r="A116" s="42">
        <v>44045020</v>
      </c>
      <c r="B116" s="42" t="s">
        <v>1004</v>
      </c>
      <c r="C116" s="42">
        <v>1.1952499999999999</v>
      </c>
      <c r="D116" s="42">
        <v>-75.70447222</v>
      </c>
      <c r="E116" s="42">
        <v>270</v>
      </c>
      <c r="F116" s="42" t="s">
        <v>196</v>
      </c>
      <c r="G116" s="42" t="s">
        <v>962</v>
      </c>
      <c r="H116" s="44">
        <v>18</v>
      </c>
      <c r="I116" s="42">
        <v>1985</v>
      </c>
      <c r="J116" s="42">
        <v>24</v>
      </c>
      <c r="K116" s="44">
        <v>17.399999999999999</v>
      </c>
      <c r="L116" s="42">
        <v>1985</v>
      </c>
      <c r="M116" s="42">
        <v>5</v>
      </c>
      <c r="N116" s="44">
        <v>19</v>
      </c>
      <c r="O116" s="42">
        <v>1984</v>
      </c>
      <c r="P116" s="42">
        <v>3</v>
      </c>
      <c r="Q116" s="44">
        <v>19.2</v>
      </c>
      <c r="R116" s="42">
        <v>1995</v>
      </c>
      <c r="S116" s="42">
        <v>27</v>
      </c>
      <c r="T116" s="44">
        <v>18.399999999999999</v>
      </c>
      <c r="U116" s="42">
        <v>1984</v>
      </c>
      <c r="V116" s="42">
        <v>3</v>
      </c>
      <c r="W116" s="44">
        <v>15</v>
      </c>
      <c r="X116" s="42">
        <v>1985</v>
      </c>
      <c r="Y116" s="42">
        <v>11</v>
      </c>
      <c r="Z116" s="44">
        <v>17.600000000000001</v>
      </c>
      <c r="AA116" s="42">
        <v>1994</v>
      </c>
      <c r="AB116" s="42">
        <v>11</v>
      </c>
      <c r="AC116" s="44">
        <v>16.8</v>
      </c>
      <c r="AD116" s="42">
        <v>1999</v>
      </c>
      <c r="AE116" s="42">
        <v>17</v>
      </c>
      <c r="AF116" s="44">
        <v>17.600000000000001</v>
      </c>
      <c r="AG116" s="42">
        <v>1990</v>
      </c>
      <c r="AH116" s="42">
        <v>16</v>
      </c>
      <c r="AI116" s="44">
        <v>19</v>
      </c>
      <c r="AJ116" s="42">
        <v>1983</v>
      </c>
      <c r="AK116" s="42">
        <v>25</v>
      </c>
      <c r="AL116" s="44">
        <v>17.8</v>
      </c>
      <c r="AM116" s="42">
        <v>2022</v>
      </c>
      <c r="AN116" s="42">
        <v>4</v>
      </c>
      <c r="AO116" s="44">
        <v>19</v>
      </c>
      <c r="AP116" s="42">
        <v>1977</v>
      </c>
      <c r="AQ116" s="42">
        <v>5</v>
      </c>
    </row>
    <row r="117" spans="1:43" ht="14.45" customHeight="1" x14ac:dyDescent="0.2">
      <c r="A117" s="42">
        <v>3502500006</v>
      </c>
      <c r="B117" s="42" t="s">
        <v>1005</v>
      </c>
      <c r="C117" s="42">
        <v>3.9325472220000002</v>
      </c>
      <c r="D117" s="42">
        <v>-73.242963888999995</v>
      </c>
      <c r="E117" s="42">
        <v>277</v>
      </c>
      <c r="F117" s="42" t="s">
        <v>176</v>
      </c>
      <c r="G117" s="42" t="s">
        <v>95</v>
      </c>
      <c r="H117" s="44">
        <v>17</v>
      </c>
      <c r="I117" s="42">
        <v>2023</v>
      </c>
      <c r="J117" s="42">
        <v>30</v>
      </c>
      <c r="K117" s="44">
        <v>17.2</v>
      </c>
      <c r="L117" s="42">
        <v>2020</v>
      </c>
      <c r="M117" s="42">
        <v>13</v>
      </c>
      <c r="N117" s="44">
        <v>18.600000000000001</v>
      </c>
      <c r="O117" s="42">
        <v>2020</v>
      </c>
      <c r="P117" s="42">
        <v>6</v>
      </c>
      <c r="Q117" s="44">
        <v>20</v>
      </c>
      <c r="R117" s="42">
        <v>2018</v>
      </c>
      <c r="S117" s="42">
        <v>3</v>
      </c>
      <c r="T117" s="44">
        <v>19</v>
      </c>
      <c r="U117" s="42">
        <v>2022</v>
      </c>
      <c r="V117" s="42">
        <v>22</v>
      </c>
      <c r="W117" s="44">
        <v>17.8</v>
      </c>
      <c r="X117" s="42">
        <v>2022</v>
      </c>
      <c r="Y117" s="42">
        <v>19</v>
      </c>
      <c r="Z117" s="44">
        <v>19.2</v>
      </c>
      <c r="AA117" s="42">
        <v>2019</v>
      </c>
      <c r="AB117" s="42">
        <v>22</v>
      </c>
      <c r="AC117" s="44">
        <v>18.8</v>
      </c>
      <c r="AD117" s="42">
        <v>2022</v>
      </c>
      <c r="AE117" s="42">
        <v>23</v>
      </c>
      <c r="AF117" s="44">
        <v>19</v>
      </c>
      <c r="AG117" s="42">
        <v>2020</v>
      </c>
      <c r="AH117" s="42">
        <v>17</v>
      </c>
      <c r="AI117" s="44">
        <v>18.600000000000001</v>
      </c>
      <c r="AJ117" s="42">
        <v>2022</v>
      </c>
      <c r="AK117" s="42">
        <v>30</v>
      </c>
      <c r="AL117" s="44">
        <v>16.8</v>
      </c>
      <c r="AM117" s="42">
        <v>2022</v>
      </c>
      <c r="AN117" s="42">
        <v>4</v>
      </c>
      <c r="AO117" s="44">
        <v>18</v>
      </c>
      <c r="AP117" s="42">
        <v>2025</v>
      </c>
      <c r="AQ117" s="42">
        <v>28</v>
      </c>
    </row>
    <row r="118" spans="1:43" ht="14.45" customHeight="1" x14ac:dyDescent="0.2">
      <c r="A118" s="42">
        <v>44035030</v>
      </c>
      <c r="B118" s="42" t="s">
        <v>1006</v>
      </c>
      <c r="C118" s="42">
        <v>1.5</v>
      </c>
      <c r="D118" s="42">
        <v>-75.66</v>
      </c>
      <c r="E118" s="42">
        <v>280</v>
      </c>
      <c r="F118" s="42" t="s">
        <v>1007</v>
      </c>
      <c r="G118" s="42" t="s">
        <v>962</v>
      </c>
      <c r="H118" s="44">
        <v>17</v>
      </c>
      <c r="I118" s="42">
        <v>1984</v>
      </c>
      <c r="J118" s="42">
        <v>29</v>
      </c>
      <c r="K118" s="44">
        <v>17.2</v>
      </c>
      <c r="L118" s="42">
        <v>1995</v>
      </c>
      <c r="M118" s="42">
        <v>16</v>
      </c>
      <c r="N118" s="44">
        <v>19</v>
      </c>
      <c r="O118" s="42">
        <v>1984</v>
      </c>
      <c r="P118" s="42">
        <v>26</v>
      </c>
      <c r="Q118" s="44">
        <v>17.5</v>
      </c>
      <c r="R118" s="42">
        <v>1990</v>
      </c>
      <c r="S118" s="42">
        <v>21</v>
      </c>
      <c r="T118" s="44">
        <v>17.5</v>
      </c>
      <c r="U118" s="42">
        <v>1990</v>
      </c>
      <c r="V118" s="42">
        <v>31</v>
      </c>
      <c r="W118" s="44">
        <v>16</v>
      </c>
      <c r="X118" s="42">
        <v>1985</v>
      </c>
      <c r="Y118" s="42">
        <v>11</v>
      </c>
      <c r="Z118" s="44">
        <v>16</v>
      </c>
      <c r="AA118" s="42">
        <v>1986</v>
      </c>
      <c r="AB118" s="42">
        <v>4</v>
      </c>
      <c r="AC118" s="44">
        <v>16</v>
      </c>
      <c r="AD118" s="42">
        <v>1999</v>
      </c>
      <c r="AE118" s="42">
        <v>16</v>
      </c>
      <c r="AF118" s="44">
        <v>16.5</v>
      </c>
      <c r="AG118" s="42">
        <v>1983</v>
      </c>
      <c r="AH118" s="42">
        <v>4</v>
      </c>
      <c r="AI118" s="44">
        <v>18</v>
      </c>
      <c r="AJ118" s="42">
        <v>1986</v>
      </c>
      <c r="AK118" s="42">
        <v>6</v>
      </c>
      <c r="AL118" s="44">
        <v>16.5</v>
      </c>
      <c r="AM118" s="42">
        <v>1982</v>
      </c>
      <c r="AN118" s="42">
        <v>25</v>
      </c>
      <c r="AO118" s="44">
        <v>16.3</v>
      </c>
      <c r="AP118" s="42">
        <v>1989</v>
      </c>
      <c r="AQ118" s="42">
        <v>23</v>
      </c>
    </row>
    <row r="119" spans="1:43" ht="14.45" customHeight="1" x14ac:dyDescent="0.2">
      <c r="A119" s="42">
        <v>16025010</v>
      </c>
      <c r="B119" s="42" t="s">
        <v>1008</v>
      </c>
      <c r="C119" s="42">
        <v>7.8488888890000004</v>
      </c>
      <c r="D119" s="42">
        <v>-72.566111109999994</v>
      </c>
      <c r="E119" s="42">
        <v>285</v>
      </c>
      <c r="F119" s="42" t="s">
        <v>55</v>
      </c>
      <c r="G119" s="42" t="s">
        <v>300</v>
      </c>
      <c r="H119" s="44">
        <v>15.6</v>
      </c>
      <c r="I119" s="42">
        <v>2023</v>
      </c>
      <c r="J119" s="42">
        <v>26</v>
      </c>
      <c r="K119" s="44">
        <v>14.6</v>
      </c>
      <c r="L119" s="42">
        <v>1985</v>
      </c>
      <c r="M119" s="42">
        <v>6</v>
      </c>
      <c r="N119" s="44">
        <v>16.8</v>
      </c>
      <c r="O119" s="42">
        <v>1997</v>
      </c>
      <c r="P119" s="42">
        <v>5</v>
      </c>
      <c r="Q119" s="44">
        <v>17</v>
      </c>
      <c r="R119" s="42">
        <v>1987</v>
      </c>
      <c r="S119" s="42">
        <v>14</v>
      </c>
      <c r="T119" s="44">
        <v>18.399999999999999</v>
      </c>
      <c r="U119" s="42">
        <v>2006</v>
      </c>
      <c r="V119" s="42">
        <v>20</v>
      </c>
      <c r="W119" s="44">
        <v>16.8</v>
      </c>
      <c r="X119" s="42">
        <v>1989</v>
      </c>
      <c r="Y119" s="42">
        <v>27</v>
      </c>
      <c r="Z119" s="44">
        <v>17</v>
      </c>
      <c r="AA119" s="42">
        <v>1989</v>
      </c>
      <c r="AB119" s="42">
        <v>3</v>
      </c>
      <c r="AC119" s="44">
        <v>18</v>
      </c>
      <c r="AD119" s="42">
        <v>1985</v>
      </c>
      <c r="AE119" s="42">
        <v>1</v>
      </c>
      <c r="AF119" s="44">
        <v>19</v>
      </c>
      <c r="AG119" s="42">
        <v>1988</v>
      </c>
      <c r="AH119" s="42">
        <v>24</v>
      </c>
      <c r="AI119" s="44">
        <v>18</v>
      </c>
      <c r="AJ119" s="42">
        <v>1991</v>
      </c>
      <c r="AK119" s="42">
        <v>19</v>
      </c>
      <c r="AL119" s="44">
        <v>17</v>
      </c>
      <c r="AM119" s="42">
        <v>1985</v>
      </c>
      <c r="AN119" s="42">
        <v>25</v>
      </c>
      <c r="AO119" s="44">
        <v>15.4</v>
      </c>
      <c r="AP119" s="42">
        <v>1983</v>
      </c>
      <c r="AQ119" s="42">
        <v>30</v>
      </c>
    </row>
    <row r="120" spans="1:43" ht="14.45" customHeight="1" x14ac:dyDescent="0.2">
      <c r="A120" s="42">
        <v>21235010</v>
      </c>
      <c r="B120" s="42" t="s">
        <v>1009</v>
      </c>
      <c r="C120" s="42">
        <v>4.5618055560000004</v>
      </c>
      <c r="D120" s="42">
        <v>-74.702388889999995</v>
      </c>
      <c r="E120" s="42">
        <v>297</v>
      </c>
      <c r="F120" s="42" t="s">
        <v>364</v>
      </c>
      <c r="G120" s="42" t="s">
        <v>73</v>
      </c>
      <c r="H120" s="44">
        <v>17.399999999999999</v>
      </c>
      <c r="I120" s="42">
        <v>1992</v>
      </c>
      <c r="J120" s="42">
        <v>1</v>
      </c>
      <c r="K120" s="44">
        <v>17.2</v>
      </c>
      <c r="L120" s="42">
        <v>1982</v>
      </c>
      <c r="M120" s="42">
        <v>17</v>
      </c>
      <c r="N120" s="44">
        <v>18</v>
      </c>
      <c r="O120" s="42">
        <v>1982</v>
      </c>
      <c r="P120" s="42">
        <v>20</v>
      </c>
      <c r="Q120" s="44">
        <v>17.399999999999999</v>
      </c>
      <c r="R120" s="42">
        <v>1992</v>
      </c>
      <c r="S120" s="42">
        <v>13</v>
      </c>
      <c r="T120" s="44">
        <v>17.399999999999999</v>
      </c>
      <c r="U120" s="42">
        <v>1995</v>
      </c>
      <c r="V120" s="42">
        <v>15</v>
      </c>
      <c r="W120" s="44">
        <v>17.2</v>
      </c>
      <c r="X120" s="42">
        <v>2008</v>
      </c>
      <c r="Y120" s="42">
        <v>23</v>
      </c>
      <c r="Z120" s="44">
        <v>18</v>
      </c>
      <c r="AA120" s="42">
        <v>1982</v>
      </c>
      <c r="AB120" s="42">
        <v>13</v>
      </c>
      <c r="AC120" s="44">
        <v>18</v>
      </c>
      <c r="AD120" s="42">
        <v>1978</v>
      </c>
      <c r="AE120" s="42">
        <v>22</v>
      </c>
      <c r="AF120" s="44">
        <v>17.399999999999999</v>
      </c>
      <c r="AG120" s="42">
        <v>2008</v>
      </c>
      <c r="AH120" s="42">
        <v>26</v>
      </c>
      <c r="AI120" s="44">
        <v>17.399999999999999</v>
      </c>
      <c r="AJ120" s="42">
        <v>1991</v>
      </c>
      <c r="AK120" s="42">
        <v>21</v>
      </c>
      <c r="AL120" s="44">
        <v>18</v>
      </c>
      <c r="AM120" s="42">
        <v>1983</v>
      </c>
      <c r="AN120" s="42">
        <v>4</v>
      </c>
      <c r="AO120" s="44">
        <v>17.2</v>
      </c>
      <c r="AP120" s="42">
        <v>1983</v>
      </c>
      <c r="AQ120" s="42">
        <v>19</v>
      </c>
    </row>
    <row r="121" spans="1:43" ht="14.45" customHeight="1" x14ac:dyDescent="0.2">
      <c r="A121" s="42">
        <v>13015040</v>
      </c>
      <c r="B121" s="42" t="s">
        <v>1010</v>
      </c>
      <c r="C121" s="42">
        <v>8.0141666669999996</v>
      </c>
      <c r="D121" s="42">
        <v>-76.203055559999996</v>
      </c>
      <c r="E121" s="42">
        <v>300</v>
      </c>
      <c r="F121" s="42" t="s">
        <v>122</v>
      </c>
      <c r="G121" s="42" t="s">
        <v>893</v>
      </c>
      <c r="H121" s="44">
        <v>20</v>
      </c>
      <c r="I121" s="42">
        <v>2022</v>
      </c>
      <c r="J121" s="42">
        <v>31</v>
      </c>
      <c r="K121" s="44">
        <v>19.899999999999999</v>
      </c>
      <c r="L121" s="42">
        <v>2006</v>
      </c>
      <c r="M121" s="42">
        <v>5</v>
      </c>
      <c r="N121" s="44">
        <v>19.600000000000001</v>
      </c>
      <c r="O121" s="42">
        <v>2009</v>
      </c>
      <c r="P121" s="42">
        <v>7</v>
      </c>
      <c r="Q121" s="44">
        <v>18.8</v>
      </c>
      <c r="R121" s="42">
        <v>2009</v>
      </c>
      <c r="S121" s="42">
        <v>11</v>
      </c>
      <c r="T121" s="44">
        <v>19.399999999999999</v>
      </c>
      <c r="U121" s="42">
        <v>2008</v>
      </c>
      <c r="V121" s="42">
        <v>3</v>
      </c>
      <c r="W121" s="44">
        <v>19.600000000000001</v>
      </c>
      <c r="X121" s="42">
        <v>2007</v>
      </c>
      <c r="Y121" s="42">
        <v>3</v>
      </c>
      <c r="Z121" s="44">
        <v>19</v>
      </c>
      <c r="AA121" s="42">
        <v>2008</v>
      </c>
      <c r="AB121" s="42">
        <v>20</v>
      </c>
      <c r="AC121" s="44">
        <v>19.399999999999999</v>
      </c>
      <c r="AD121" s="42">
        <v>2007</v>
      </c>
      <c r="AE121" s="42">
        <v>4</v>
      </c>
      <c r="AF121" s="44">
        <v>19</v>
      </c>
      <c r="AG121" s="42">
        <v>2008</v>
      </c>
      <c r="AH121" s="42">
        <v>21</v>
      </c>
      <c r="AI121" s="44">
        <v>19.2</v>
      </c>
      <c r="AJ121" s="42">
        <v>2008</v>
      </c>
      <c r="AK121" s="42">
        <v>11</v>
      </c>
      <c r="AL121" s="44">
        <v>20</v>
      </c>
      <c r="AM121" s="42">
        <v>2005</v>
      </c>
      <c r="AN121" s="42">
        <v>19</v>
      </c>
      <c r="AO121" s="44">
        <v>19.8</v>
      </c>
      <c r="AP121" s="42">
        <v>2008</v>
      </c>
      <c r="AQ121" s="42">
        <v>12</v>
      </c>
    </row>
    <row r="122" spans="1:43" ht="14.45" customHeight="1" x14ac:dyDescent="0.2">
      <c r="A122" s="42">
        <v>44045030</v>
      </c>
      <c r="B122" s="42" t="s">
        <v>1011</v>
      </c>
      <c r="C122" s="42">
        <v>1.3033611110000001</v>
      </c>
      <c r="D122" s="42">
        <v>-75.807722221999995</v>
      </c>
      <c r="E122" s="42">
        <v>300</v>
      </c>
      <c r="F122" s="42" t="s">
        <v>1012</v>
      </c>
      <c r="G122" s="42" t="s">
        <v>962</v>
      </c>
      <c r="H122" s="44">
        <v>16.600000000000001</v>
      </c>
      <c r="I122" s="42">
        <v>1993</v>
      </c>
      <c r="J122" s="42">
        <v>21</v>
      </c>
      <c r="K122" s="44">
        <v>14</v>
      </c>
      <c r="L122" s="42">
        <v>1996</v>
      </c>
      <c r="M122" s="42">
        <v>15</v>
      </c>
      <c r="N122" s="44">
        <v>18</v>
      </c>
      <c r="O122" s="42">
        <v>1993</v>
      </c>
      <c r="P122" s="42">
        <v>9</v>
      </c>
      <c r="Q122" s="44">
        <v>17.600000000000001</v>
      </c>
      <c r="R122" s="42">
        <v>1992</v>
      </c>
      <c r="S122" s="42">
        <v>29</v>
      </c>
      <c r="T122" s="44">
        <v>18</v>
      </c>
      <c r="U122" s="42">
        <v>1989</v>
      </c>
      <c r="V122" s="42">
        <v>22</v>
      </c>
      <c r="W122" s="44">
        <v>17</v>
      </c>
      <c r="X122" s="42">
        <v>1985</v>
      </c>
      <c r="Y122" s="42">
        <v>10</v>
      </c>
      <c r="Z122" s="44">
        <v>16.2</v>
      </c>
      <c r="AA122" s="42">
        <v>1986</v>
      </c>
      <c r="AB122" s="42">
        <v>3</v>
      </c>
      <c r="AC122" s="44">
        <v>16</v>
      </c>
      <c r="AD122" s="42">
        <v>1999</v>
      </c>
      <c r="AE122" s="42">
        <v>17</v>
      </c>
      <c r="AF122" s="44">
        <v>14</v>
      </c>
      <c r="AG122" s="42">
        <v>1988</v>
      </c>
      <c r="AH122" s="42">
        <v>17</v>
      </c>
      <c r="AI122" s="44">
        <v>18</v>
      </c>
      <c r="AJ122" s="42">
        <v>1983</v>
      </c>
      <c r="AK122" s="42">
        <v>16</v>
      </c>
      <c r="AL122" s="44">
        <v>17.600000000000001</v>
      </c>
      <c r="AM122" s="42">
        <v>1983</v>
      </c>
      <c r="AN122" s="42">
        <v>25</v>
      </c>
      <c r="AO122" s="44">
        <v>18</v>
      </c>
      <c r="AP122" s="42">
        <v>1991</v>
      </c>
      <c r="AQ122" s="42">
        <v>17</v>
      </c>
    </row>
    <row r="123" spans="1:43" ht="14.45" customHeight="1" x14ac:dyDescent="0.2">
      <c r="A123" s="42">
        <v>21185040</v>
      </c>
      <c r="B123" s="42" t="s">
        <v>1013</v>
      </c>
      <c r="C123" s="42">
        <v>4.2754444439999997</v>
      </c>
      <c r="D123" s="42">
        <v>-74.798000000000002</v>
      </c>
      <c r="E123" s="42">
        <v>305</v>
      </c>
      <c r="F123" s="42" t="s">
        <v>817</v>
      </c>
      <c r="G123" s="42" t="s">
        <v>70</v>
      </c>
      <c r="H123" s="44">
        <v>18.399999999999999</v>
      </c>
      <c r="I123" s="42">
        <v>2008</v>
      </c>
      <c r="J123" s="42">
        <v>16</v>
      </c>
      <c r="K123" s="44">
        <v>18.399999999999999</v>
      </c>
      <c r="L123" s="42">
        <v>2008</v>
      </c>
      <c r="M123" s="42">
        <v>5</v>
      </c>
      <c r="N123" s="44">
        <v>18.600000000000001</v>
      </c>
      <c r="O123" s="42">
        <v>2008</v>
      </c>
      <c r="P123" s="42">
        <v>16</v>
      </c>
      <c r="Q123" s="44">
        <v>18.600000000000001</v>
      </c>
      <c r="R123" s="42">
        <v>2008</v>
      </c>
      <c r="S123" s="42">
        <v>27</v>
      </c>
      <c r="T123" s="44">
        <v>18.600000000000001</v>
      </c>
      <c r="U123" s="42">
        <v>2008</v>
      </c>
      <c r="V123" s="42">
        <v>10</v>
      </c>
      <c r="W123" s="44">
        <v>19.600000000000001</v>
      </c>
      <c r="X123" s="42">
        <v>2001</v>
      </c>
      <c r="Y123" s="42">
        <v>24</v>
      </c>
      <c r="Z123" s="44">
        <v>18.399999999999999</v>
      </c>
      <c r="AA123" s="42">
        <v>1981</v>
      </c>
      <c r="AB123" s="42">
        <v>24</v>
      </c>
      <c r="AC123" s="44">
        <v>18.600000000000001</v>
      </c>
      <c r="AD123" s="42">
        <v>2007</v>
      </c>
      <c r="AE123" s="42">
        <v>23</v>
      </c>
      <c r="AF123" s="44">
        <v>18.600000000000001</v>
      </c>
      <c r="AG123" s="42">
        <v>2007</v>
      </c>
      <c r="AH123" s="42">
        <v>28</v>
      </c>
      <c r="AI123" s="44">
        <v>18.8</v>
      </c>
      <c r="AJ123" s="42">
        <v>2007</v>
      </c>
      <c r="AK123" s="42">
        <v>10</v>
      </c>
      <c r="AL123" s="44">
        <v>19</v>
      </c>
      <c r="AM123" s="42">
        <v>1988</v>
      </c>
      <c r="AN123" s="42">
        <v>27</v>
      </c>
      <c r="AO123" s="44">
        <v>19.2</v>
      </c>
      <c r="AP123" s="42">
        <v>2007</v>
      </c>
      <c r="AQ123" s="42">
        <v>19</v>
      </c>
    </row>
    <row r="124" spans="1:43" ht="14.45" customHeight="1" x14ac:dyDescent="0.2">
      <c r="A124" s="42">
        <v>21255080</v>
      </c>
      <c r="B124" s="42" t="s">
        <v>1014</v>
      </c>
      <c r="C124" s="42">
        <v>4.7837779999999999</v>
      </c>
      <c r="D124" s="42">
        <v>-74.767944439999994</v>
      </c>
      <c r="E124" s="42">
        <v>308</v>
      </c>
      <c r="F124" s="42" t="s">
        <v>368</v>
      </c>
      <c r="G124" s="42" t="s">
        <v>70</v>
      </c>
      <c r="H124" s="44">
        <v>19</v>
      </c>
      <c r="I124" s="42">
        <v>1982</v>
      </c>
      <c r="J124" s="42">
        <v>2</v>
      </c>
      <c r="K124" s="44">
        <v>19</v>
      </c>
      <c r="L124" s="42">
        <v>1985</v>
      </c>
      <c r="M124" s="42">
        <v>5</v>
      </c>
      <c r="N124" s="44">
        <v>19</v>
      </c>
      <c r="O124" s="42">
        <v>2014</v>
      </c>
      <c r="P124" s="42">
        <v>9</v>
      </c>
      <c r="Q124" s="44">
        <v>19</v>
      </c>
      <c r="R124" s="42">
        <v>2012</v>
      </c>
      <c r="S124" s="42">
        <v>17</v>
      </c>
      <c r="T124" s="44">
        <v>19.2</v>
      </c>
      <c r="U124" s="42">
        <v>1982</v>
      </c>
      <c r="V124" s="42">
        <v>2</v>
      </c>
      <c r="W124" s="44">
        <v>19</v>
      </c>
      <c r="X124" s="42">
        <v>1985</v>
      </c>
      <c r="Y124" s="42">
        <v>12</v>
      </c>
      <c r="Z124" s="44">
        <v>19</v>
      </c>
      <c r="AA124" s="42">
        <v>1996</v>
      </c>
      <c r="AB124" s="42">
        <v>3</v>
      </c>
      <c r="AC124" s="44">
        <v>19</v>
      </c>
      <c r="AD124" s="42">
        <v>1992</v>
      </c>
      <c r="AE124" s="42">
        <v>1</v>
      </c>
      <c r="AF124" s="44">
        <v>19</v>
      </c>
      <c r="AG124" s="42">
        <v>1983</v>
      </c>
      <c r="AH124" s="42">
        <v>22</v>
      </c>
      <c r="AI124" s="44">
        <v>19</v>
      </c>
      <c r="AJ124" s="42">
        <v>2000</v>
      </c>
      <c r="AK124" s="42">
        <v>20</v>
      </c>
      <c r="AL124" s="44">
        <v>19.5</v>
      </c>
      <c r="AM124" s="42">
        <v>2003</v>
      </c>
      <c r="AN124" s="42">
        <v>4</v>
      </c>
      <c r="AO124" s="44">
        <v>19</v>
      </c>
      <c r="AP124" s="42">
        <v>2014</v>
      </c>
      <c r="AQ124" s="42">
        <v>21</v>
      </c>
    </row>
    <row r="125" spans="1:43" ht="14.45" customHeight="1" x14ac:dyDescent="0.2">
      <c r="A125" s="42">
        <v>35045020</v>
      </c>
      <c r="B125" s="42" t="s">
        <v>1015</v>
      </c>
      <c r="C125" s="42">
        <v>4.300444444</v>
      </c>
      <c r="D125" s="42">
        <v>-73.357500000000002</v>
      </c>
      <c r="E125" s="42">
        <v>310</v>
      </c>
      <c r="F125" s="42" t="s">
        <v>164</v>
      </c>
      <c r="G125" s="42" t="s">
        <v>95</v>
      </c>
      <c r="H125" s="44">
        <v>17.2</v>
      </c>
      <c r="I125" s="42">
        <v>2015</v>
      </c>
      <c r="J125" s="42">
        <v>3</v>
      </c>
      <c r="K125" s="44">
        <v>17.100000000000001</v>
      </c>
      <c r="L125" s="42">
        <v>1985</v>
      </c>
      <c r="M125" s="42">
        <v>5</v>
      </c>
      <c r="N125" s="44">
        <v>18.399999999999999</v>
      </c>
      <c r="O125" s="42">
        <v>1997</v>
      </c>
      <c r="P125" s="42">
        <v>5</v>
      </c>
      <c r="Q125" s="44">
        <v>18.600000000000001</v>
      </c>
      <c r="R125" s="42">
        <v>1982</v>
      </c>
      <c r="S125" s="42">
        <v>22</v>
      </c>
      <c r="T125" s="44">
        <v>16.8</v>
      </c>
      <c r="U125" s="42">
        <v>1991</v>
      </c>
      <c r="V125" s="42">
        <v>6</v>
      </c>
      <c r="W125" s="44">
        <v>17.2</v>
      </c>
      <c r="X125" s="42">
        <v>1984</v>
      </c>
      <c r="Y125" s="42">
        <v>20</v>
      </c>
      <c r="Z125" s="44">
        <v>16.3</v>
      </c>
      <c r="AA125" s="42">
        <v>1985</v>
      </c>
      <c r="AB125" s="42">
        <v>31</v>
      </c>
      <c r="AC125" s="44">
        <v>18</v>
      </c>
      <c r="AD125" s="42">
        <v>1999</v>
      </c>
      <c r="AE125" s="42">
        <v>17</v>
      </c>
      <c r="AF125" s="44">
        <v>18.2</v>
      </c>
      <c r="AG125" s="42">
        <v>1984</v>
      </c>
      <c r="AH125" s="42">
        <v>6</v>
      </c>
      <c r="AI125" s="44">
        <v>15</v>
      </c>
      <c r="AJ125" s="42">
        <v>1982</v>
      </c>
      <c r="AK125" s="42">
        <v>28</v>
      </c>
      <c r="AL125" s="44">
        <v>17.8</v>
      </c>
      <c r="AM125" s="42">
        <v>2022</v>
      </c>
      <c r="AN125" s="42">
        <v>4</v>
      </c>
      <c r="AO125" s="44">
        <v>16</v>
      </c>
      <c r="AP125" s="42">
        <v>2014</v>
      </c>
      <c r="AQ125" s="42">
        <v>23</v>
      </c>
    </row>
    <row r="126" spans="1:43" ht="14.45" customHeight="1" x14ac:dyDescent="0.2">
      <c r="A126" s="42">
        <v>21165010</v>
      </c>
      <c r="B126" s="42" t="s">
        <v>1016</v>
      </c>
      <c r="C126" s="42">
        <v>3.7876111109999999</v>
      </c>
      <c r="D126" s="42">
        <v>-74.917027779999998</v>
      </c>
      <c r="E126" s="42">
        <v>311</v>
      </c>
      <c r="F126" s="42" t="s">
        <v>358</v>
      </c>
      <c r="G126" s="42" t="s">
        <v>70</v>
      </c>
      <c r="H126" s="44">
        <v>19</v>
      </c>
      <c r="I126" s="42">
        <v>2023</v>
      </c>
      <c r="J126" s="42">
        <v>8</v>
      </c>
      <c r="K126" s="44">
        <v>19</v>
      </c>
      <c r="L126" s="42">
        <v>1999</v>
      </c>
      <c r="M126" s="42">
        <v>19</v>
      </c>
      <c r="N126" s="44">
        <v>19</v>
      </c>
      <c r="O126" s="42">
        <v>1997</v>
      </c>
      <c r="P126" s="42">
        <v>7</v>
      </c>
      <c r="Q126" s="44">
        <v>19</v>
      </c>
      <c r="R126" s="42">
        <v>2021</v>
      </c>
      <c r="S126" s="42">
        <v>13</v>
      </c>
      <c r="T126" s="44">
        <v>19.2</v>
      </c>
      <c r="U126" s="42">
        <v>2023</v>
      </c>
      <c r="V126" s="42">
        <v>27</v>
      </c>
      <c r="W126" s="44">
        <v>19</v>
      </c>
      <c r="X126" s="42">
        <v>1994</v>
      </c>
      <c r="Y126" s="42">
        <v>30</v>
      </c>
      <c r="Z126" s="44">
        <v>19</v>
      </c>
      <c r="AA126" s="42">
        <v>1993</v>
      </c>
      <c r="AB126" s="42">
        <v>16</v>
      </c>
      <c r="AC126" s="44">
        <v>19</v>
      </c>
      <c r="AD126" s="42">
        <v>1993</v>
      </c>
      <c r="AE126" s="42">
        <v>19</v>
      </c>
      <c r="AF126" s="44">
        <v>19</v>
      </c>
      <c r="AG126" s="42">
        <v>1996</v>
      </c>
      <c r="AH126" s="42">
        <v>16</v>
      </c>
      <c r="AI126" s="44">
        <v>19</v>
      </c>
      <c r="AJ126" s="42">
        <v>2010</v>
      </c>
      <c r="AK126" s="42">
        <v>1</v>
      </c>
      <c r="AL126" s="44">
        <v>19.399999999999999</v>
      </c>
      <c r="AM126" s="42">
        <v>1990</v>
      </c>
      <c r="AN126" s="42">
        <v>22</v>
      </c>
      <c r="AO126" s="44">
        <v>19.2</v>
      </c>
      <c r="AP126" s="42">
        <v>2000</v>
      </c>
      <c r="AQ126" s="42">
        <v>9</v>
      </c>
    </row>
    <row r="127" spans="1:43" ht="14.45" customHeight="1" x14ac:dyDescent="0.2">
      <c r="A127" s="42">
        <v>21135020</v>
      </c>
      <c r="B127" s="42" t="s">
        <v>1017</v>
      </c>
      <c r="C127" s="42">
        <v>3.85575</v>
      </c>
      <c r="D127" s="42">
        <v>-75.015749999999997</v>
      </c>
      <c r="E127" s="42">
        <v>313</v>
      </c>
      <c r="F127" s="42" t="s">
        <v>356</v>
      </c>
      <c r="G127" s="42" t="s">
        <v>70</v>
      </c>
      <c r="H127" s="44">
        <v>19</v>
      </c>
      <c r="I127" s="42">
        <v>1990</v>
      </c>
      <c r="J127" s="42">
        <v>2</v>
      </c>
      <c r="K127" s="44">
        <v>18</v>
      </c>
      <c r="L127" s="42">
        <v>1979</v>
      </c>
      <c r="M127" s="42">
        <v>26</v>
      </c>
      <c r="N127" s="44">
        <v>18.2</v>
      </c>
      <c r="O127" s="42">
        <v>1990</v>
      </c>
      <c r="P127" s="42">
        <v>5</v>
      </c>
      <c r="Q127" s="44">
        <v>18.2</v>
      </c>
      <c r="R127" s="42">
        <v>1979</v>
      </c>
      <c r="S127" s="42">
        <v>20</v>
      </c>
      <c r="T127" s="44">
        <v>18.2</v>
      </c>
      <c r="U127" s="42">
        <v>1979</v>
      </c>
      <c r="V127" s="42">
        <v>17</v>
      </c>
      <c r="W127" s="44">
        <v>18</v>
      </c>
      <c r="X127" s="42">
        <v>2005</v>
      </c>
      <c r="Y127" s="42">
        <v>25</v>
      </c>
      <c r="Z127" s="44">
        <v>18.600000000000001</v>
      </c>
      <c r="AA127" s="42">
        <v>1979</v>
      </c>
      <c r="AB127" s="42">
        <v>21</v>
      </c>
      <c r="AC127" s="44">
        <v>18.399999999999999</v>
      </c>
      <c r="AD127" s="42">
        <v>1979</v>
      </c>
      <c r="AE127" s="42">
        <v>10</v>
      </c>
      <c r="AF127" s="44">
        <v>18</v>
      </c>
      <c r="AG127" s="42">
        <v>1979</v>
      </c>
      <c r="AH127" s="42">
        <v>22</v>
      </c>
      <c r="AI127" s="44">
        <v>18</v>
      </c>
      <c r="AJ127" s="42">
        <v>1994</v>
      </c>
      <c r="AK127" s="42">
        <v>13</v>
      </c>
      <c r="AL127" s="44">
        <v>18.2</v>
      </c>
      <c r="AM127" s="42">
        <v>1992</v>
      </c>
      <c r="AN127" s="42">
        <v>6</v>
      </c>
      <c r="AO127" s="44">
        <v>18.600000000000001</v>
      </c>
      <c r="AP127" s="42">
        <v>1991</v>
      </c>
      <c r="AQ127" s="42">
        <v>10</v>
      </c>
    </row>
    <row r="128" spans="1:43" ht="14.45" customHeight="1" x14ac:dyDescent="0.2">
      <c r="A128" s="42">
        <v>44045010</v>
      </c>
      <c r="B128" s="42" t="s">
        <v>1018</v>
      </c>
      <c r="C128" s="42">
        <v>1.325138889</v>
      </c>
      <c r="D128" s="42">
        <v>-75.961500000000001</v>
      </c>
      <c r="E128" s="42">
        <v>320</v>
      </c>
      <c r="F128" s="42" t="s">
        <v>194</v>
      </c>
      <c r="G128" s="42" t="s">
        <v>962</v>
      </c>
      <c r="H128" s="44">
        <v>18.2</v>
      </c>
      <c r="I128" s="42">
        <v>1983</v>
      </c>
      <c r="J128" s="42">
        <v>2</v>
      </c>
      <c r="K128" s="44">
        <v>18.600000000000001</v>
      </c>
      <c r="L128" s="42">
        <v>2009</v>
      </c>
      <c r="M128" s="42">
        <v>19</v>
      </c>
      <c r="N128" s="44">
        <v>18</v>
      </c>
      <c r="O128" s="42">
        <v>2007</v>
      </c>
      <c r="P128" s="42">
        <v>26</v>
      </c>
      <c r="Q128" s="44">
        <v>17.399999999999999</v>
      </c>
      <c r="R128" s="42">
        <v>2010</v>
      </c>
      <c r="S128" s="42">
        <v>20</v>
      </c>
      <c r="T128" s="44">
        <v>16.399999999999999</v>
      </c>
      <c r="U128" s="42">
        <v>2004</v>
      </c>
      <c r="V128" s="42">
        <v>23</v>
      </c>
      <c r="W128" s="44">
        <v>16.2</v>
      </c>
      <c r="X128" s="42">
        <v>1985</v>
      </c>
      <c r="Y128" s="42">
        <v>11</v>
      </c>
      <c r="Z128" s="44">
        <v>15.4</v>
      </c>
      <c r="AA128" s="42">
        <v>1981</v>
      </c>
      <c r="AB128" s="42">
        <v>21</v>
      </c>
      <c r="AC128" s="44">
        <v>15.6</v>
      </c>
      <c r="AD128" s="42">
        <v>1999</v>
      </c>
      <c r="AE128" s="42">
        <v>17</v>
      </c>
      <c r="AF128" s="44">
        <v>17</v>
      </c>
      <c r="AG128" s="42">
        <v>1990</v>
      </c>
      <c r="AH128" s="42">
        <v>16</v>
      </c>
      <c r="AI128" s="44">
        <v>17.399999999999999</v>
      </c>
      <c r="AJ128" s="42">
        <v>1979</v>
      </c>
      <c r="AK128" s="42">
        <v>17</v>
      </c>
      <c r="AL128" s="44">
        <v>16</v>
      </c>
      <c r="AM128" s="42">
        <v>1979</v>
      </c>
      <c r="AN128" s="42">
        <v>26</v>
      </c>
      <c r="AO128" s="44">
        <v>16</v>
      </c>
      <c r="AP128" s="42">
        <v>1979</v>
      </c>
      <c r="AQ128" s="42">
        <v>18</v>
      </c>
    </row>
    <row r="129" spans="1:43" ht="14.45" customHeight="1" x14ac:dyDescent="0.2">
      <c r="A129" s="42">
        <v>21255090</v>
      </c>
      <c r="B129" s="42" t="s">
        <v>1019</v>
      </c>
      <c r="C129" s="42">
        <v>5</v>
      </c>
      <c r="D129" s="42">
        <v>-74.899991666999995</v>
      </c>
      <c r="E129" s="42">
        <v>321</v>
      </c>
      <c r="F129" s="42" t="s">
        <v>806</v>
      </c>
      <c r="G129" s="42" t="s">
        <v>70</v>
      </c>
      <c r="H129" s="44">
        <v>16.2</v>
      </c>
      <c r="I129" s="42">
        <v>1991</v>
      </c>
      <c r="J129" s="42">
        <v>8</v>
      </c>
      <c r="K129" s="44">
        <v>16.2</v>
      </c>
      <c r="L129" s="42">
        <v>1991</v>
      </c>
      <c r="M129" s="42">
        <v>15</v>
      </c>
      <c r="N129" s="44">
        <v>16.2</v>
      </c>
      <c r="O129" s="42">
        <v>1991</v>
      </c>
      <c r="P129" s="42">
        <v>14</v>
      </c>
      <c r="Q129" s="44">
        <v>17</v>
      </c>
      <c r="R129" s="42">
        <v>1999</v>
      </c>
      <c r="S129" s="42">
        <v>20</v>
      </c>
      <c r="T129" s="44">
        <v>16.399999999999999</v>
      </c>
      <c r="U129" s="42">
        <v>1992</v>
      </c>
      <c r="V129" s="42">
        <v>23</v>
      </c>
      <c r="W129" s="44">
        <v>16.399999999999999</v>
      </c>
      <c r="X129" s="42">
        <v>1992</v>
      </c>
      <c r="Y129" s="42">
        <v>14</v>
      </c>
      <c r="Z129" s="44">
        <v>16.8</v>
      </c>
      <c r="AA129" s="42">
        <v>1998</v>
      </c>
      <c r="AB129" s="42">
        <v>1</v>
      </c>
      <c r="AC129" s="44">
        <v>16.399999999999999</v>
      </c>
      <c r="AD129" s="42">
        <v>1999</v>
      </c>
      <c r="AE129" s="42">
        <v>3</v>
      </c>
      <c r="AF129" s="44">
        <v>16.2</v>
      </c>
      <c r="AG129" s="42">
        <v>1992</v>
      </c>
      <c r="AH129" s="42">
        <v>3</v>
      </c>
      <c r="AI129" s="44">
        <v>16.600000000000001</v>
      </c>
      <c r="AJ129" s="42">
        <v>1999</v>
      </c>
      <c r="AK129" s="42">
        <v>16</v>
      </c>
      <c r="AL129" s="44">
        <v>16.600000000000001</v>
      </c>
      <c r="AM129" s="42">
        <v>1991</v>
      </c>
      <c r="AN129" s="42">
        <v>9</v>
      </c>
      <c r="AO129" s="44">
        <v>16.399999999999999</v>
      </c>
      <c r="AP129" s="42">
        <v>1996</v>
      </c>
      <c r="AQ129" s="42">
        <v>17</v>
      </c>
    </row>
    <row r="130" spans="1:43" ht="14.45" customHeight="1" x14ac:dyDescent="0.2">
      <c r="A130" s="42">
        <v>35215020</v>
      </c>
      <c r="B130" s="42" t="s">
        <v>1020</v>
      </c>
      <c r="C130" s="42">
        <v>5.3204444439999996</v>
      </c>
      <c r="D130" s="42">
        <v>-72.387500000000003</v>
      </c>
      <c r="E130" s="42">
        <v>325</v>
      </c>
      <c r="F130" s="42" t="s">
        <v>253</v>
      </c>
      <c r="G130" s="42" t="s">
        <v>166</v>
      </c>
      <c r="H130" s="44">
        <v>18</v>
      </c>
      <c r="I130" s="42">
        <v>1994</v>
      </c>
      <c r="J130" s="42">
        <v>20</v>
      </c>
      <c r="K130" s="44">
        <v>18.5</v>
      </c>
      <c r="L130" s="42">
        <v>1994</v>
      </c>
      <c r="M130" s="42">
        <v>9</v>
      </c>
      <c r="N130" s="44">
        <v>18.2</v>
      </c>
      <c r="O130" s="42">
        <v>2025</v>
      </c>
      <c r="P130" s="42">
        <v>18</v>
      </c>
      <c r="Q130" s="44">
        <v>19.399999999999999</v>
      </c>
      <c r="R130" s="42">
        <v>2025</v>
      </c>
      <c r="S130" s="42">
        <v>11</v>
      </c>
      <c r="T130" s="44">
        <v>18.600000000000001</v>
      </c>
      <c r="U130" s="42">
        <v>2025</v>
      </c>
      <c r="V130" s="42">
        <v>31</v>
      </c>
      <c r="W130" s="44">
        <v>17.8</v>
      </c>
      <c r="X130" s="42">
        <v>2025</v>
      </c>
      <c r="Y130" s="42">
        <v>25</v>
      </c>
      <c r="Z130" s="44">
        <v>17.8</v>
      </c>
      <c r="AA130" s="42">
        <v>1983</v>
      </c>
      <c r="AB130" s="42">
        <v>25</v>
      </c>
      <c r="AC130" s="44">
        <v>18</v>
      </c>
      <c r="AD130" s="42">
        <v>1999</v>
      </c>
      <c r="AE130" s="42">
        <v>17</v>
      </c>
      <c r="AF130" s="44">
        <v>18</v>
      </c>
      <c r="AG130" s="42">
        <v>1984</v>
      </c>
      <c r="AH130" s="42">
        <v>22</v>
      </c>
      <c r="AI130" s="44">
        <v>18</v>
      </c>
      <c r="AJ130" s="42">
        <v>1984</v>
      </c>
      <c r="AK130" s="42">
        <v>2</v>
      </c>
      <c r="AL130" s="44">
        <v>18.5</v>
      </c>
      <c r="AM130" s="42">
        <v>1997</v>
      </c>
      <c r="AN130" s="42">
        <v>21</v>
      </c>
      <c r="AO130" s="44">
        <v>18.600000000000001</v>
      </c>
      <c r="AP130" s="42">
        <v>1986</v>
      </c>
      <c r="AQ130" s="42">
        <v>5</v>
      </c>
    </row>
    <row r="131" spans="1:43" ht="14.45" customHeight="1" x14ac:dyDescent="0.2">
      <c r="A131" s="42">
        <v>23185010</v>
      </c>
      <c r="B131" s="42" t="s">
        <v>1021</v>
      </c>
      <c r="C131" s="42">
        <v>7.4561111110000002</v>
      </c>
      <c r="D131" s="42">
        <v>-73.537222220000004</v>
      </c>
      <c r="E131" s="42">
        <v>328</v>
      </c>
      <c r="F131" s="42" t="s">
        <v>317</v>
      </c>
      <c r="G131" s="42" t="s">
        <v>49</v>
      </c>
      <c r="H131" s="44">
        <v>17.2</v>
      </c>
      <c r="I131" s="42">
        <v>1985</v>
      </c>
      <c r="J131" s="42">
        <v>16</v>
      </c>
      <c r="K131" s="44">
        <v>15.2</v>
      </c>
      <c r="L131" s="42">
        <v>1988</v>
      </c>
      <c r="M131" s="42">
        <v>25</v>
      </c>
      <c r="N131" s="44">
        <v>17.2</v>
      </c>
      <c r="O131" s="42">
        <v>1983</v>
      </c>
      <c r="P131" s="42">
        <v>10</v>
      </c>
      <c r="Q131" s="44">
        <v>17.8</v>
      </c>
      <c r="R131" s="42">
        <v>2012</v>
      </c>
      <c r="S131" s="42">
        <v>25</v>
      </c>
      <c r="T131" s="44">
        <v>17.600000000000001</v>
      </c>
      <c r="U131" s="42">
        <v>1991</v>
      </c>
      <c r="V131" s="42">
        <v>4</v>
      </c>
      <c r="W131" s="44">
        <v>19.399999999999999</v>
      </c>
      <c r="X131" s="42">
        <v>1992</v>
      </c>
      <c r="Y131" s="42">
        <v>14</v>
      </c>
      <c r="Z131" s="44">
        <v>17.399999999999999</v>
      </c>
      <c r="AA131" s="42">
        <v>1983</v>
      </c>
      <c r="AB131" s="42">
        <v>15</v>
      </c>
      <c r="AC131" s="44">
        <v>17</v>
      </c>
      <c r="AD131" s="42">
        <v>1991</v>
      </c>
      <c r="AE131" s="42">
        <v>2</v>
      </c>
      <c r="AF131" s="44">
        <v>17</v>
      </c>
      <c r="AG131" s="42">
        <v>1985</v>
      </c>
      <c r="AH131" s="42">
        <v>18</v>
      </c>
      <c r="AI131" s="44">
        <v>17.399999999999999</v>
      </c>
      <c r="AJ131" s="42">
        <v>1983</v>
      </c>
      <c r="AK131" s="42">
        <v>2</v>
      </c>
      <c r="AL131" s="44">
        <v>15</v>
      </c>
      <c r="AM131" s="42">
        <v>1984</v>
      </c>
      <c r="AN131" s="42">
        <v>18</v>
      </c>
      <c r="AO131" s="44">
        <v>17</v>
      </c>
      <c r="AP131" s="42">
        <v>1985</v>
      </c>
      <c r="AQ131" s="42">
        <v>12</v>
      </c>
    </row>
    <row r="132" spans="1:43" ht="14.45" customHeight="1" x14ac:dyDescent="0.2">
      <c r="A132" s="42">
        <v>21185030</v>
      </c>
      <c r="B132" s="42" t="s">
        <v>1022</v>
      </c>
      <c r="C132" s="42">
        <v>4.0088333330000001</v>
      </c>
      <c r="D132" s="42">
        <v>-74.981388890000005</v>
      </c>
      <c r="E132" s="42">
        <v>332</v>
      </c>
      <c r="F132" s="42" t="s">
        <v>359</v>
      </c>
      <c r="G132" s="42" t="s">
        <v>70</v>
      </c>
      <c r="H132" s="44">
        <v>18.8</v>
      </c>
      <c r="I132" s="42">
        <v>2003</v>
      </c>
      <c r="J132" s="42">
        <v>1</v>
      </c>
      <c r="K132" s="44">
        <v>18.600000000000001</v>
      </c>
      <c r="L132" s="42">
        <v>1985</v>
      </c>
      <c r="M132" s="42">
        <v>5</v>
      </c>
      <c r="N132" s="44">
        <v>18.2</v>
      </c>
      <c r="O132" s="42">
        <v>2004</v>
      </c>
      <c r="P132" s="42">
        <v>10</v>
      </c>
      <c r="Q132" s="44">
        <v>18.8</v>
      </c>
      <c r="R132" s="42">
        <v>2004</v>
      </c>
      <c r="S132" s="42">
        <v>1</v>
      </c>
      <c r="T132" s="44">
        <v>18</v>
      </c>
      <c r="U132" s="42">
        <v>2001</v>
      </c>
      <c r="V132" s="42">
        <v>22</v>
      </c>
      <c r="W132" s="44">
        <v>18</v>
      </c>
      <c r="X132" s="42">
        <v>1979</v>
      </c>
      <c r="Y132" s="42">
        <v>6</v>
      </c>
      <c r="Z132" s="44">
        <v>18</v>
      </c>
      <c r="AA132" s="42">
        <v>1979</v>
      </c>
      <c r="AB132" s="42">
        <v>8</v>
      </c>
      <c r="AC132" s="44">
        <v>18.2</v>
      </c>
      <c r="AD132" s="42">
        <v>1978</v>
      </c>
      <c r="AE132" s="42">
        <v>17</v>
      </c>
      <c r="AF132" s="44">
        <v>18.399999999999999</v>
      </c>
      <c r="AG132" s="42">
        <v>2001</v>
      </c>
      <c r="AH132" s="42">
        <v>8</v>
      </c>
      <c r="AI132" s="44">
        <v>18.399999999999999</v>
      </c>
      <c r="AJ132" s="42">
        <v>2005</v>
      </c>
      <c r="AK132" s="42">
        <v>14</v>
      </c>
      <c r="AL132" s="44">
        <v>18</v>
      </c>
      <c r="AM132" s="42">
        <v>1983</v>
      </c>
      <c r="AN132" s="42">
        <v>2</v>
      </c>
      <c r="AO132" s="44">
        <v>18.100000000000001</v>
      </c>
      <c r="AP132" s="42">
        <v>2018</v>
      </c>
      <c r="AQ132" s="42">
        <v>26</v>
      </c>
    </row>
    <row r="133" spans="1:43" ht="14.45" customHeight="1" x14ac:dyDescent="0.2">
      <c r="A133" s="42">
        <v>35025110</v>
      </c>
      <c r="B133" s="42" t="s">
        <v>1023</v>
      </c>
      <c r="C133" s="42">
        <v>4.0574149999999998</v>
      </c>
      <c r="D133" s="42">
        <v>-73.467865000000003</v>
      </c>
      <c r="E133" s="42">
        <v>340</v>
      </c>
      <c r="F133" s="42" t="s">
        <v>96</v>
      </c>
      <c r="G133" s="42" t="s">
        <v>95</v>
      </c>
      <c r="H133" s="44">
        <v>17.2</v>
      </c>
      <c r="I133" s="42">
        <v>1982</v>
      </c>
      <c r="J133" s="42">
        <v>24</v>
      </c>
      <c r="K133" s="44">
        <v>18.8</v>
      </c>
      <c r="L133" s="42">
        <v>1980</v>
      </c>
      <c r="M133" s="42">
        <v>4</v>
      </c>
      <c r="N133" s="44">
        <v>18</v>
      </c>
      <c r="O133" s="42">
        <v>1982</v>
      </c>
      <c r="P133" s="42">
        <v>12</v>
      </c>
      <c r="Q133" s="44">
        <v>18.2</v>
      </c>
      <c r="R133" s="42">
        <v>2005</v>
      </c>
      <c r="S133" s="42">
        <v>18</v>
      </c>
      <c r="T133" s="44">
        <v>18.2</v>
      </c>
      <c r="U133" s="42">
        <v>1984</v>
      </c>
      <c r="V133" s="42">
        <v>11</v>
      </c>
      <c r="W133" s="44">
        <v>17.600000000000001</v>
      </c>
      <c r="X133" s="42">
        <v>2004</v>
      </c>
      <c r="Y133" s="42">
        <v>29</v>
      </c>
      <c r="Z133" s="44">
        <v>17.2</v>
      </c>
      <c r="AA133" s="42">
        <v>1982</v>
      </c>
      <c r="AB133" s="42">
        <v>1</v>
      </c>
      <c r="AC133" s="44">
        <v>18</v>
      </c>
      <c r="AD133" s="42">
        <v>2022</v>
      </c>
      <c r="AE133" s="42">
        <v>22</v>
      </c>
      <c r="AF133" s="44">
        <v>18</v>
      </c>
      <c r="AG133" s="42">
        <v>2007</v>
      </c>
      <c r="AH133" s="42">
        <v>5</v>
      </c>
      <c r="AI133" s="44">
        <v>18</v>
      </c>
      <c r="AJ133" s="42">
        <v>2005</v>
      </c>
      <c r="AK133" s="42">
        <v>10</v>
      </c>
      <c r="AL133" s="44">
        <v>17.399999999999999</v>
      </c>
      <c r="AM133" s="42">
        <v>2022</v>
      </c>
      <c r="AN133" s="42">
        <v>4</v>
      </c>
      <c r="AO133" s="44">
        <v>17.2</v>
      </c>
      <c r="AP133" s="42">
        <v>1982</v>
      </c>
      <c r="AQ133" s="42">
        <v>12</v>
      </c>
    </row>
    <row r="134" spans="1:43" ht="14.45" customHeight="1" x14ac:dyDescent="0.2">
      <c r="A134" s="42">
        <v>36015010</v>
      </c>
      <c r="B134" s="42" t="s">
        <v>1024</v>
      </c>
      <c r="C134" s="42">
        <v>5.8785277779999996</v>
      </c>
      <c r="D134" s="42">
        <v>-71.887194440000002</v>
      </c>
      <c r="E134" s="42">
        <v>342</v>
      </c>
      <c r="F134" s="42" t="s">
        <v>258</v>
      </c>
      <c r="G134" s="42" t="s">
        <v>166</v>
      </c>
      <c r="H134" s="44">
        <v>18.8</v>
      </c>
      <c r="I134" s="42">
        <v>2008</v>
      </c>
      <c r="J134" s="42">
        <v>30</v>
      </c>
      <c r="K134" s="44">
        <v>18.600000000000001</v>
      </c>
      <c r="L134" s="42">
        <v>2008</v>
      </c>
      <c r="M134" s="42">
        <v>2</v>
      </c>
      <c r="N134" s="44">
        <v>17.8</v>
      </c>
      <c r="O134" s="42">
        <v>1999</v>
      </c>
      <c r="P134" s="42">
        <v>15</v>
      </c>
      <c r="Q134" s="44">
        <v>19</v>
      </c>
      <c r="R134" s="42">
        <v>2024</v>
      </c>
      <c r="S134" s="42">
        <v>26</v>
      </c>
      <c r="T134" s="44">
        <v>18</v>
      </c>
      <c r="U134" s="42">
        <v>2024</v>
      </c>
      <c r="V134" s="42">
        <v>6</v>
      </c>
      <c r="W134" s="44">
        <v>19</v>
      </c>
      <c r="X134" s="42">
        <v>2007</v>
      </c>
      <c r="Y134" s="42">
        <v>17</v>
      </c>
      <c r="Z134" s="44">
        <v>18.8</v>
      </c>
      <c r="AA134" s="42">
        <v>2007</v>
      </c>
      <c r="AB134" s="42">
        <v>18</v>
      </c>
      <c r="AC134" s="44">
        <v>18.2</v>
      </c>
      <c r="AD134" s="42">
        <v>1999</v>
      </c>
      <c r="AE134" s="42">
        <v>17</v>
      </c>
      <c r="AF134" s="44">
        <v>18</v>
      </c>
      <c r="AG134" s="42">
        <v>2007</v>
      </c>
      <c r="AH134" s="42">
        <v>20</v>
      </c>
      <c r="AI134" s="44">
        <v>18.600000000000001</v>
      </c>
      <c r="AJ134" s="42">
        <v>2008</v>
      </c>
      <c r="AK134" s="42">
        <v>29</v>
      </c>
      <c r="AL134" s="44">
        <v>18.8</v>
      </c>
      <c r="AM134" s="42">
        <v>2007</v>
      </c>
      <c r="AN134" s="42">
        <v>27</v>
      </c>
      <c r="AO134" s="44">
        <v>18.600000000000001</v>
      </c>
      <c r="AP134" s="42">
        <v>2000</v>
      </c>
      <c r="AQ134" s="42">
        <v>14</v>
      </c>
    </row>
    <row r="135" spans="1:43" ht="14.45" customHeight="1" x14ac:dyDescent="0.2">
      <c r="A135" s="42">
        <v>23115010</v>
      </c>
      <c r="B135" s="42" t="s">
        <v>1025</v>
      </c>
      <c r="C135" s="42">
        <v>5.9783333330000001</v>
      </c>
      <c r="D135" s="42">
        <v>-74.566666670000004</v>
      </c>
      <c r="E135" s="42">
        <v>350</v>
      </c>
      <c r="F135" s="42" t="s">
        <v>1026</v>
      </c>
      <c r="G135" s="42" t="s">
        <v>212</v>
      </c>
      <c r="H135" s="44">
        <v>20</v>
      </c>
      <c r="I135" s="42">
        <v>2004</v>
      </c>
      <c r="J135" s="42">
        <v>1</v>
      </c>
      <c r="K135" s="44">
        <v>20</v>
      </c>
      <c r="L135" s="42">
        <v>2010</v>
      </c>
      <c r="M135" s="42">
        <v>3</v>
      </c>
      <c r="N135" s="44">
        <v>20</v>
      </c>
      <c r="O135" s="42">
        <v>2010</v>
      </c>
      <c r="P135" s="42">
        <v>1</v>
      </c>
      <c r="Q135" s="44">
        <v>20</v>
      </c>
      <c r="R135" s="42">
        <v>2006</v>
      </c>
      <c r="S135" s="42">
        <v>6</v>
      </c>
      <c r="T135" s="44">
        <v>20</v>
      </c>
      <c r="U135" s="42">
        <v>2009</v>
      </c>
      <c r="V135" s="42">
        <v>2</v>
      </c>
      <c r="W135" s="44">
        <v>20</v>
      </c>
      <c r="X135" s="42">
        <v>1989</v>
      </c>
      <c r="Y135" s="42">
        <v>23</v>
      </c>
      <c r="Z135" s="44">
        <v>20.2</v>
      </c>
      <c r="AA135" s="42">
        <v>1990</v>
      </c>
      <c r="AB135" s="42">
        <v>8</v>
      </c>
      <c r="AC135" s="44">
        <v>20</v>
      </c>
      <c r="AD135" s="42">
        <v>1989</v>
      </c>
      <c r="AE135" s="42">
        <v>9</v>
      </c>
      <c r="AF135" s="44">
        <v>20.2</v>
      </c>
      <c r="AG135" s="42">
        <v>2001</v>
      </c>
      <c r="AH135" s="42">
        <v>29</v>
      </c>
      <c r="AI135" s="44">
        <v>20.8</v>
      </c>
      <c r="AJ135" s="42">
        <v>1989</v>
      </c>
      <c r="AK135" s="42">
        <v>22</v>
      </c>
      <c r="AL135" s="44">
        <v>20</v>
      </c>
      <c r="AM135" s="42">
        <v>2002</v>
      </c>
      <c r="AN135" s="42">
        <v>9</v>
      </c>
      <c r="AO135" s="44">
        <v>20</v>
      </c>
      <c r="AP135" s="42">
        <v>2009</v>
      </c>
      <c r="AQ135" s="42">
        <v>6</v>
      </c>
    </row>
    <row r="136" spans="1:43" ht="14.45" customHeight="1" x14ac:dyDescent="0.2">
      <c r="A136" s="42">
        <v>28025020</v>
      </c>
      <c r="B136" s="42" t="s">
        <v>1027</v>
      </c>
      <c r="C136" s="42">
        <v>10.271388890000001</v>
      </c>
      <c r="D136" s="42">
        <v>-73.131388889999997</v>
      </c>
      <c r="E136" s="42">
        <v>350</v>
      </c>
      <c r="F136" s="42" t="s">
        <v>596</v>
      </c>
      <c r="G136" s="42" t="s">
        <v>43</v>
      </c>
      <c r="H136" s="44">
        <v>12</v>
      </c>
      <c r="I136" s="42">
        <v>2005</v>
      </c>
      <c r="J136" s="42">
        <v>20</v>
      </c>
      <c r="K136" s="44">
        <v>12.6</v>
      </c>
      <c r="L136" s="42">
        <v>2002</v>
      </c>
      <c r="M136" s="42">
        <v>12</v>
      </c>
      <c r="N136" s="44">
        <v>15.4</v>
      </c>
      <c r="O136" s="42">
        <v>1998</v>
      </c>
      <c r="P136" s="42">
        <v>13</v>
      </c>
      <c r="Q136" s="44">
        <v>14</v>
      </c>
      <c r="R136" s="42">
        <v>2001</v>
      </c>
      <c r="S136" s="42">
        <v>24</v>
      </c>
      <c r="T136" s="44">
        <v>15.2</v>
      </c>
      <c r="U136" s="42">
        <v>2005</v>
      </c>
      <c r="V136" s="42">
        <v>21</v>
      </c>
      <c r="W136" s="44">
        <v>15.4</v>
      </c>
      <c r="X136" s="42">
        <v>2001</v>
      </c>
      <c r="Y136" s="42">
        <v>4</v>
      </c>
      <c r="Z136" s="44">
        <v>15</v>
      </c>
      <c r="AA136" s="42">
        <v>2001</v>
      </c>
      <c r="AB136" s="42">
        <v>19</v>
      </c>
      <c r="AC136" s="44">
        <v>16.2</v>
      </c>
      <c r="AD136" s="42">
        <v>2001</v>
      </c>
      <c r="AE136" s="42">
        <v>10</v>
      </c>
      <c r="AF136" s="44">
        <v>15.8</v>
      </c>
      <c r="AG136" s="42">
        <v>2001</v>
      </c>
      <c r="AH136" s="42">
        <v>6</v>
      </c>
      <c r="AI136" s="44">
        <v>16.2</v>
      </c>
      <c r="AJ136" s="42">
        <v>2001</v>
      </c>
      <c r="AK136" s="42">
        <v>8</v>
      </c>
      <c r="AL136" s="44">
        <v>13.6</v>
      </c>
      <c r="AM136" s="42">
        <v>2001</v>
      </c>
      <c r="AN136" s="42">
        <v>29</v>
      </c>
      <c r="AO136" s="44">
        <v>13.8</v>
      </c>
      <c r="AP136" s="42">
        <v>2001</v>
      </c>
      <c r="AQ136" s="42">
        <v>3</v>
      </c>
    </row>
    <row r="137" spans="1:43" ht="14.45" customHeight="1" x14ac:dyDescent="0.2">
      <c r="A137" s="42">
        <v>36025010</v>
      </c>
      <c r="B137" s="42" t="s">
        <v>1028</v>
      </c>
      <c r="C137" s="42">
        <v>6.4561944440000003</v>
      </c>
      <c r="D137" s="42">
        <v>-71.745027780000001</v>
      </c>
      <c r="E137" s="42">
        <v>350</v>
      </c>
      <c r="F137" s="42" t="s">
        <v>259</v>
      </c>
      <c r="G137" s="42" t="s">
        <v>90</v>
      </c>
      <c r="H137" s="44">
        <v>18</v>
      </c>
      <c r="I137" s="42">
        <v>2013</v>
      </c>
      <c r="J137" s="42">
        <v>4</v>
      </c>
      <c r="K137" s="44">
        <v>18</v>
      </c>
      <c r="L137" s="42">
        <v>1999</v>
      </c>
      <c r="M137" s="42">
        <v>23</v>
      </c>
      <c r="N137" s="44">
        <v>17.2</v>
      </c>
      <c r="O137" s="42">
        <v>2015</v>
      </c>
      <c r="P137" s="42">
        <v>24</v>
      </c>
      <c r="Q137" s="44">
        <v>13</v>
      </c>
      <c r="R137" s="42">
        <v>2017</v>
      </c>
      <c r="S137" s="42">
        <v>21</v>
      </c>
      <c r="T137" s="44">
        <v>17</v>
      </c>
      <c r="U137" s="42">
        <v>2015</v>
      </c>
      <c r="V137" s="42">
        <v>6</v>
      </c>
      <c r="W137" s="44">
        <v>18</v>
      </c>
      <c r="X137" s="42">
        <v>2012</v>
      </c>
      <c r="Y137" s="42">
        <v>3</v>
      </c>
      <c r="Z137" s="44">
        <v>13.2</v>
      </c>
      <c r="AA137" s="42">
        <v>2019</v>
      </c>
      <c r="AB137" s="42">
        <v>6</v>
      </c>
      <c r="AC137" s="44">
        <v>18</v>
      </c>
      <c r="AD137" s="42">
        <v>1991</v>
      </c>
      <c r="AE137" s="42">
        <v>20</v>
      </c>
      <c r="AF137" s="44">
        <v>18</v>
      </c>
      <c r="AG137" s="42">
        <v>2011</v>
      </c>
      <c r="AH137" s="42">
        <v>4</v>
      </c>
      <c r="AI137" s="44">
        <v>16</v>
      </c>
      <c r="AJ137" s="42">
        <v>1991</v>
      </c>
      <c r="AK137" s="42">
        <v>25</v>
      </c>
      <c r="AL137" s="44">
        <v>15.5</v>
      </c>
      <c r="AM137" s="42">
        <v>1997</v>
      </c>
      <c r="AN137" s="42">
        <v>20</v>
      </c>
      <c r="AO137" s="44">
        <v>13.4</v>
      </c>
      <c r="AP137" s="42">
        <v>2017</v>
      </c>
      <c r="AQ137" s="42">
        <v>12</v>
      </c>
    </row>
    <row r="138" spans="1:43" ht="14.45" customHeight="1" x14ac:dyDescent="0.2">
      <c r="A138" s="42">
        <v>47015070</v>
      </c>
      <c r="B138" s="42" t="s">
        <v>1029</v>
      </c>
      <c r="C138" s="42">
        <v>0.83897222199999999</v>
      </c>
      <c r="D138" s="42">
        <v>-76.570444440000003</v>
      </c>
      <c r="E138" s="42">
        <v>362</v>
      </c>
      <c r="F138" s="42" t="s">
        <v>770</v>
      </c>
      <c r="G138" s="42" t="s">
        <v>264</v>
      </c>
      <c r="H138" s="44">
        <v>18</v>
      </c>
      <c r="I138" s="42">
        <v>1984</v>
      </c>
      <c r="J138" s="42">
        <v>10</v>
      </c>
      <c r="K138" s="44">
        <v>16.2</v>
      </c>
      <c r="L138" s="42">
        <v>1984</v>
      </c>
      <c r="M138" s="42">
        <v>11</v>
      </c>
      <c r="N138" s="44">
        <v>17.8</v>
      </c>
      <c r="O138" s="42">
        <v>1993</v>
      </c>
      <c r="P138" s="42">
        <v>24</v>
      </c>
      <c r="Q138" s="44">
        <v>17.899999999999999</v>
      </c>
      <c r="R138" s="42">
        <v>1993</v>
      </c>
      <c r="S138" s="42">
        <v>23</v>
      </c>
      <c r="T138" s="44">
        <v>17.3</v>
      </c>
      <c r="U138" s="42">
        <v>1990</v>
      </c>
      <c r="V138" s="42">
        <v>26</v>
      </c>
      <c r="W138" s="44">
        <v>16</v>
      </c>
      <c r="X138" s="42">
        <v>1994</v>
      </c>
      <c r="Y138" s="42">
        <v>28</v>
      </c>
      <c r="Z138" s="44">
        <v>16.2</v>
      </c>
      <c r="AA138" s="42">
        <v>1994</v>
      </c>
      <c r="AB138" s="42">
        <v>11</v>
      </c>
      <c r="AC138" s="44">
        <v>16.2</v>
      </c>
      <c r="AD138" s="42">
        <v>2022</v>
      </c>
      <c r="AE138" s="42">
        <v>22</v>
      </c>
      <c r="AF138" s="44">
        <v>16.8</v>
      </c>
      <c r="AG138" s="42">
        <v>1990</v>
      </c>
      <c r="AH138" s="42">
        <v>17</v>
      </c>
      <c r="AI138" s="44">
        <v>18</v>
      </c>
      <c r="AJ138" s="42">
        <v>1991</v>
      </c>
      <c r="AK138" s="42">
        <v>21</v>
      </c>
      <c r="AL138" s="44">
        <v>16.8</v>
      </c>
      <c r="AM138" s="42">
        <v>1990</v>
      </c>
      <c r="AN138" s="42">
        <v>8</v>
      </c>
      <c r="AO138" s="44">
        <v>17.399999999999999</v>
      </c>
      <c r="AP138" s="42">
        <v>1983</v>
      </c>
      <c r="AQ138" s="42">
        <v>15</v>
      </c>
    </row>
    <row r="139" spans="1:43" ht="14.45" customHeight="1" x14ac:dyDescent="0.2">
      <c r="A139" s="42">
        <v>37035010</v>
      </c>
      <c r="B139" s="42" t="s">
        <v>1030</v>
      </c>
      <c r="C139" s="42">
        <v>7.0061111110000001</v>
      </c>
      <c r="D139" s="42">
        <v>-72.115833330000001</v>
      </c>
      <c r="E139" s="42">
        <v>370</v>
      </c>
      <c r="F139" s="42" t="s">
        <v>334</v>
      </c>
      <c r="G139" s="42" t="s">
        <v>300</v>
      </c>
      <c r="H139" s="44">
        <v>15</v>
      </c>
      <c r="I139" s="42">
        <v>1978</v>
      </c>
      <c r="J139" s="42">
        <v>3</v>
      </c>
      <c r="K139" s="44">
        <v>15</v>
      </c>
      <c r="L139" s="42">
        <v>1987</v>
      </c>
      <c r="M139" s="42">
        <v>3</v>
      </c>
      <c r="N139" s="44">
        <v>15</v>
      </c>
      <c r="O139" s="42">
        <v>1987</v>
      </c>
      <c r="P139" s="42">
        <v>3</v>
      </c>
      <c r="Q139" s="44">
        <v>15</v>
      </c>
      <c r="R139" s="42">
        <v>1987</v>
      </c>
      <c r="S139" s="42">
        <v>29</v>
      </c>
      <c r="T139" s="44">
        <v>15.2</v>
      </c>
      <c r="U139" s="42">
        <v>2002</v>
      </c>
      <c r="V139" s="42">
        <v>7</v>
      </c>
      <c r="W139" s="44">
        <v>15</v>
      </c>
      <c r="X139" s="42">
        <v>1987</v>
      </c>
      <c r="Y139" s="42">
        <v>3</v>
      </c>
      <c r="Z139" s="44">
        <v>16</v>
      </c>
      <c r="AA139" s="42">
        <v>2000</v>
      </c>
      <c r="AB139" s="42">
        <v>10</v>
      </c>
      <c r="AC139" s="44">
        <v>16.2</v>
      </c>
      <c r="AD139" s="42">
        <v>2002</v>
      </c>
      <c r="AE139" s="42">
        <v>3</v>
      </c>
      <c r="AF139" s="44">
        <v>16.399999999999999</v>
      </c>
      <c r="AG139" s="42">
        <v>1978</v>
      </c>
      <c r="AH139" s="42">
        <v>11</v>
      </c>
      <c r="AI139" s="44">
        <v>15.8</v>
      </c>
      <c r="AJ139" s="42">
        <v>1987</v>
      </c>
      <c r="AK139" s="42">
        <v>25</v>
      </c>
      <c r="AL139" s="44">
        <v>15</v>
      </c>
      <c r="AM139" s="42">
        <v>1987</v>
      </c>
      <c r="AN139" s="42">
        <v>11</v>
      </c>
      <c r="AO139" s="44">
        <v>15.4</v>
      </c>
      <c r="AP139" s="42">
        <v>1985</v>
      </c>
      <c r="AQ139" s="42">
        <v>28</v>
      </c>
    </row>
    <row r="140" spans="1:43" ht="14.45" customHeight="1" x14ac:dyDescent="0.2">
      <c r="A140" s="42">
        <v>21185090</v>
      </c>
      <c r="B140" s="42" t="s">
        <v>1031</v>
      </c>
      <c r="C140" s="42">
        <v>4.1881388890000002</v>
      </c>
      <c r="D140" s="42">
        <v>-74.96047222</v>
      </c>
      <c r="E140" s="42">
        <v>371</v>
      </c>
      <c r="F140" s="42" t="s">
        <v>362</v>
      </c>
      <c r="G140" s="42" t="s">
        <v>70</v>
      </c>
      <c r="H140" s="44">
        <v>18</v>
      </c>
      <c r="I140" s="42">
        <v>1984</v>
      </c>
      <c r="J140" s="42">
        <v>16</v>
      </c>
      <c r="K140" s="44">
        <v>17.399999999999999</v>
      </c>
      <c r="L140" s="42">
        <v>1996</v>
      </c>
      <c r="M140" s="42">
        <v>3</v>
      </c>
      <c r="N140" s="44">
        <v>18</v>
      </c>
      <c r="O140" s="42">
        <v>2002</v>
      </c>
      <c r="P140" s="42">
        <v>20</v>
      </c>
      <c r="Q140" s="44">
        <v>19.399999999999999</v>
      </c>
      <c r="R140" s="42">
        <v>1993</v>
      </c>
      <c r="S140" s="42">
        <v>25</v>
      </c>
      <c r="T140" s="44">
        <v>18</v>
      </c>
      <c r="U140" s="42">
        <v>2002</v>
      </c>
      <c r="V140" s="42">
        <v>29</v>
      </c>
      <c r="W140" s="44">
        <v>15.2</v>
      </c>
      <c r="X140" s="42">
        <v>1995</v>
      </c>
      <c r="Y140" s="42">
        <v>27</v>
      </c>
      <c r="Z140" s="44">
        <v>17.600000000000001</v>
      </c>
      <c r="AA140" s="42">
        <v>1993</v>
      </c>
      <c r="AB140" s="42">
        <v>7</v>
      </c>
      <c r="AC140" s="44">
        <v>18</v>
      </c>
      <c r="AD140" s="42">
        <v>1999</v>
      </c>
      <c r="AE140" s="42">
        <v>4</v>
      </c>
      <c r="AF140" s="44">
        <v>18.2</v>
      </c>
      <c r="AG140" s="42">
        <v>1992</v>
      </c>
      <c r="AH140" s="42">
        <v>10</v>
      </c>
      <c r="AI140" s="44">
        <v>18</v>
      </c>
      <c r="AJ140" s="42">
        <v>1979</v>
      </c>
      <c r="AK140" s="42">
        <v>20</v>
      </c>
      <c r="AL140" s="44">
        <v>18.2</v>
      </c>
      <c r="AM140" s="42">
        <v>1980</v>
      </c>
      <c r="AN140" s="42">
        <v>25</v>
      </c>
      <c r="AO140" s="44">
        <v>17.8</v>
      </c>
      <c r="AP140" s="42">
        <v>1992</v>
      </c>
      <c r="AQ140" s="42">
        <v>29</v>
      </c>
    </row>
    <row r="141" spans="1:43" ht="14.45" customHeight="1" x14ac:dyDescent="0.2">
      <c r="A141" s="42">
        <v>35035070</v>
      </c>
      <c r="B141" s="42" t="s">
        <v>1032</v>
      </c>
      <c r="C141" s="42">
        <v>4.0768610000000001</v>
      </c>
      <c r="D141" s="42">
        <v>-73.582722000000004</v>
      </c>
      <c r="E141" s="42">
        <v>386</v>
      </c>
      <c r="F141" s="42" t="s">
        <v>96</v>
      </c>
      <c r="G141" s="42" t="s">
        <v>95</v>
      </c>
      <c r="H141" s="44">
        <v>17.2</v>
      </c>
      <c r="I141" s="42">
        <v>1995</v>
      </c>
      <c r="J141" s="42">
        <v>13</v>
      </c>
      <c r="K141" s="44">
        <v>17</v>
      </c>
      <c r="L141" s="42">
        <v>2005</v>
      </c>
      <c r="M141" s="42">
        <v>1</v>
      </c>
      <c r="N141" s="44">
        <v>17</v>
      </c>
      <c r="O141" s="42">
        <v>1987</v>
      </c>
      <c r="P141" s="42">
        <v>2</v>
      </c>
      <c r="Q141" s="44">
        <v>18</v>
      </c>
      <c r="R141" s="42">
        <v>1987</v>
      </c>
      <c r="S141" s="42">
        <v>12</v>
      </c>
      <c r="T141" s="44">
        <v>18</v>
      </c>
      <c r="U141" s="42">
        <v>2006</v>
      </c>
      <c r="V141" s="42">
        <v>23</v>
      </c>
      <c r="W141" s="44">
        <v>17.3</v>
      </c>
      <c r="X141" s="42">
        <v>1984</v>
      </c>
      <c r="Y141" s="42">
        <v>20</v>
      </c>
      <c r="Z141" s="44">
        <v>17.600000000000001</v>
      </c>
      <c r="AA141" s="42">
        <v>1987</v>
      </c>
      <c r="AB141" s="42">
        <v>11</v>
      </c>
      <c r="AC141" s="44">
        <v>16.399999999999999</v>
      </c>
      <c r="AD141" s="42">
        <v>1995</v>
      </c>
      <c r="AE141" s="42">
        <v>14</v>
      </c>
      <c r="AF141" s="44">
        <v>18</v>
      </c>
      <c r="AG141" s="42">
        <v>1995</v>
      </c>
      <c r="AH141" s="42">
        <v>19</v>
      </c>
      <c r="AI141" s="44">
        <v>17</v>
      </c>
      <c r="AJ141" s="42">
        <v>2004</v>
      </c>
      <c r="AK141" s="42">
        <v>21</v>
      </c>
      <c r="AL141" s="44">
        <v>17.2</v>
      </c>
      <c r="AM141" s="42">
        <v>2022</v>
      </c>
      <c r="AN141" s="42">
        <v>4</v>
      </c>
      <c r="AO141" s="44">
        <v>18</v>
      </c>
      <c r="AP141" s="42">
        <v>1996</v>
      </c>
      <c r="AQ141" s="42">
        <v>7</v>
      </c>
    </row>
    <row r="142" spans="1:43" ht="14.45" customHeight="1" x14ac:dyDescent="0.2">
      <c r="A142" s="42">
        <v>21115060</v>
      </c>
      <c r="B142" s="42" t="s">
        <v>1033</v>
      </c>
      <c r="C142" s="42">
        <v>3.3292222219999998</v>
      </c>
      <c r="D142" s="42">
        <v>-75.184055560000004</v>
      </c>
      <c r="E142" s="42">
        <v>400</v>
      </c>
      <c r="F142" s="42" t="s">
        <v>189</v>
      </c>
      <c r="G142" s="42" t="s">
        <v>79</v>
      </c>
      <c r="H142" s="44">
        <v>17.600000000000001</v>
      </c>
      <c r="I142" s="42">
        <v>1996</v>
      </c>
      <c r="J142" s="42">
        <v>26</v>
      </c>
      <c r="K142" s="44">
        <v>19</v>
      </c>
      <c r="L142" s="42">
        <v>1993</v>
      </c>
      <c r="M142" s="42">
        <v>25</v>
      </c>
      <c r="N142" s="44">
        <v>18</v>
      </c>
      <c r="O142" s="42">
        <v>1992</v>
      </c>
      <c r="P142" s="42">
        <v>24</v>
      </c>
      <c r="Q142" s="44">
        <v>19</v>
      </c>
      <c r="R142" s="42">
        <v>1992</v>
      </c>
      <c r="S142" s="42">
        <v>14</v>
      </c>
      <c r="T142" s="44">
        <v>18</v>
      </c>
      <c r="U142" s="42">
        <v>1992</v>
      </c>
      <c r="V142" s="42">
        <v>7</v>
      </c>
      <c r="W142" s="44">
        <v>18.8</v>
      </c>
      <c r="X142" s="42">
        <v>1994</v>
      </c>
      <c r="Y142" s="42">
        <v>7</v>
      </c>
      <c r="Z142" s="44">
        <v>19</v>
      </c>
      <c r="AA142" s="42">
        <v>1993</v>
      </c>
      <c r="AB142" s="42">
        <v>3</v>
      </c>
      <c r="AC142" s="44">
        <v>19</v>
      </c>
      <c r="AD142" s="42">
        <v>1996</v>
      </c>
      <c r="AE142" s="42">
        <v>16</v>
      </c>
      <c r="AF142" s="44">
        <v>18.600000000000001</v>
      </c>
      <c r="AG142" s="42">
        <v>1994</v>
      </c>
      <c r="AH142" s="42">
        <v>25</v>
      </c>
      <c r="AI142" s="44">
        <v>19.399999999999999</v>
      </c>
      <c r="AJ142" s="42">
        <v>1996</v>
      </c>
      <c r="AK142" s="42">
        <v>20</v>
      </c>
      <c r="AL142" s="44">
        <v>18.8</v>
      </c>
      <c r="AM142" s="42">
        <v>1983</v>
      </c>
      <c r="AN142" s="42">
        <v>24</v>
      </c>
      <c r="AO142" s="44">
        <v>19</v>
      </c>
      <c r="AP142" s="42">
        <v>1992</v>
      </c>
      <c r="AQ142" s="42">
        <v>2</v>
      </c>
    </row>
    <row r="143" spans="1:43" ht="14.45" customHeight="1" x14ac:dyDescent="0.2">
      <c r="A143" s="42">
        <v>21135030</v>
      </c>
      <c r="B143" s="42" t="s">
        <v>1034</v>
      </c>
      <c r="C143" s="42">
        <v>3.5738333330000001</v>
      </c>
      <c r="D143" s="42">
        <v>-75.108999999999995</v>
      </c>
      <c r="E143" s="42">
        <v>415</v>
      </c>
      <c r="F143" s="42" t="s">
        <v>187</v>
      </c>
      <c r="G143" s="42" t="s">
        <v>70</v>
      </c>
      <c r="H143" s="44">
        <v>19.2</v>
      </c>
      <c r="I143" s="42">
        <v>2010</v>
      </c>
      <c r="J143" s="42">
        <v>4</v>
      </c>
      <c r="K143" s="44">
        <v>17</v>
      </c>
      <c r="L143" s="42">
        <v>1980</v>
      </c>
      <c r="M143" s="42">
        <v>1</v>
      </c>
      <c r="N143" s="44">
        <v>19</v>
      </c>
      <c r="O143" s="42">
        <v>1979</v>
      </c>
      <c r="P143" s="42">
        <v>6</v>
      </c>
      <c r="Q143" s="44">
        <v>19.399999999999999</v>
      </c>
      <c r="R143" s="42">
        <v>1982</v>
      </c>
      <c r="S143" s="42">
        <v>30</v>
      </c>
      <c r="T143" s="44">
        <v>18.2</v>
      </c>
      <c r="U143" s="42">
        <v>1992</v>
      </c>
      <c r="V143" s="42">
        <v>9</v>
      </c>
      <c r="W143" s="44">
        <v>17.2</v>
      </c>
      <c r="X143" s="42">
        <v>1979</v>
      </c>
      <c r="Y143" s="42">
        <v>15</v>
      </c>
      <c r="Z143" s="44">
        <v>19.399999999999999</v>
      </c>
      <c r="AA143" s="42">
        <v>1979</v>
      </c>
      <c r="AB143" s="42">
        <v>6</v>
      </c>
      <c r="AC143" s="44">
        <v>17.8</v>
      </c>
      <c r="AD143" s="42">
        <v>1993</v>
      </c>
      <c r="AE143" s="42">
        <v>18</v>
      </c>
      <c r="AF143" s="44">
        <v>18.600000000000001</v>
      </c>
      <c r="AG143" s="42">
        <v>1981</v>
      </c>
      <c r="AH143" s="42">
        <v>4</v>
      </c>
      <c r="AI143" s="44">
        <v>17</v>
      </c>
      <c r="AJ143" s="42">
        <v>1980</v>
      </c>
      <c r="AK143" s="42">
        <v>9</v>
      </c>
      <c r="AL143" s="44">
        <v>17</v>
      </c>
      <c r="AM143" s="42">
        <v>1979</v>
      </c>
      <c r="AN143" s="42">
        <v>15</v>
      </c>
      <c r="AO143" s="44">
        <v>17.399999999999999</v>
      </c>
      <c r="AP143" s="42">
        <v>1979</v>
      </c>
      <c r="AQ143" s="42">
        <v>15</v>
      </c>
    </row>
    <row r="144" spans="1:43" ht="14.45" customHeight="1" x14ac:dyDescent="0.2">
      <c r="A144" s="42">
        <v>35035020</v>
      </c>
      <c r="B144" s="42" t="s">
        <v>1035</v>
      </c>
      <c r="C144" s="42">
        <v>4.1619169999999999</v>
      </c>
      <c r="D144" s="42">
        <v>-73.617582999999996</v>
      </c>
      <c r="E144" s="42">
        <v>420</v>
      </c>
      <c r="F144" s="42" t="s">
        <v>96</v>
      </c>
      <c r="G144" s="42" t="s">
        <v>95</v>
      </c>
      <c r="H144" s="44">
        <v>16.8</v>
      </c>
      <c r="I144" s="42">
        <v>1994</v>
      </c>
      <c r="J144" s="42">
        <v>26</v>
      </c>
      <c r="K144" s="44">
        <v>18</v>
      </c>
      <c r="L144" s="42">
        <v>2001</v>
      </c>
      <c r="M144" s="42">
        <v>19</v>
      </c>
      <c r="N144" s="44">
        <v>18.5</v>
      </c>
      <c r="O144" s="42">
        <v>2013</v>
      </c>
      <c r="P144" s="42">
        <v>24</v>
      </c>
      <c r="Q144" s="44">
        <v>18.100000000000001</v>
      </c>
      <c r="R144" s="42">
        <v>2014</v>
      </c>
      <c r="S144" s="42">
        <v>23</v>
      </c>
      <c r="T144" s="44">
        <v>17.600000000000001</v>
      </c>
      <c r="U144" s="42">
        <v>2000</v>
      </c>
      <c r="V144" s="42">
        <v>29</v>
      </c>
      <c r="W144" s="44">
        <v>17</v>
      </c>
      <c r="X144" s="42">
        <v>1985</v>
      </c>
      <c r="Y144" s="42">
        <v>10</v>
      </c>
      <c r="Z144" s="44">
        <v>16</v>
      </c>
      <c r="AA144" s="42">
        <v>1981</v>
      </c>
      <c r="AB144" s="42">
        <v>21</v>
      </c>
      <c r="AC144" s="44">
        <v>17</v>
      </c>
      <c r="AD144" s="42">
        <v>1995</v>
      </c>
      <c r="AE144" s="42">
        <v>14</v>
      </c>
      <c r="AF144" s="44">
        <v>17.8</v>
      </c>
      <c r="AG144" s="42">
        <v>1992</v>
      </c>
      <c r="AH144" s="42">
        <v>21</v>
      </c>
      <c r="AI144" s="44">
        <v>17.5</v>
      </c>
      <c r="AJ144" s="42">
        <v>1993</v>
      </c>
      <c r="AK144" s="42">
        <v>4</v>
      </c>
      <c r="AL144" s="44">
        <v>17.7</v>
      </c>
      <c r="AM144" s="42">
        <v>2012</v>
      </c>
      <c r="AN144" s="42">
        <v>6</v>
      </c>
      <c r="AO144" s="44">
        <v>16.600000000000001</v>
      </c>
      <c r="AP144" s="42">
        <v>1985</v>
      </c>
      <c r="AQ144" s="42">
        <v>18</v>
      </c>
    </row>
    <row r="145" spans="1:43" ht="14.45" customHeight="1" x14ac:dyDescent="0.2">
      <c r="A145" s="42">
        <v>32070110</v>
      </c>
      <c r="B145" s="42" t="s">
        <v>1036</v>
      </c>
      <c r="C145" s="42">
        <v>3.47071</v>
      </c>
      <c r="D145" s="42">
        <v>-73.861850000000004</v>
      </c>
      <c r="E145" s="42">
        <v>422</v>
      </c>
      <c r="F145" s="42" t="s">
        <v>1037</v>
      </c>
      <c r="G145" s="42" t="s">
        <v>95</v>
      </c>
      <c r="H145" s="44">
        <v>18.600000000000001</v>
      </c>
      <c r="I145" s="42">
        <v>1988</v>
      </c>
      <c r="J145" s="42">
        <v>26</v>
      </c>
      <c r="K145" s="44">
        <v>19.3</v>
      </c>
      <c r="L145" s="42">
        <v>1987</v>
      </c>
      <c r="M145" s="42">
        <v>28</v>
      </c>
      <c r="N145" s="44">
        <v>19</v>
      </c>
      <c r="O145" s="42">
        <v>1987</v>
      </c>
      <c r="P145" s="42">
        <v>25</v>
      </c>
      <c r="Q145" s="44">
        <v>19</v>
      </c>
      <c r="R145" s="42">
        <v>1987</v>
      </c>
      <c r="S145" s="42">
        <v>3</v>
      </c>
      <c r="T145" s="44">
        <v>19</v>
      </c>
      <c r="U145" s="42">
        <v>1986</v>
      </c>
      <c r="V145" s="42">
        <v>7</v>
      </c>
      <c r="W145" s="44">
        <v>19.399999999999999</v>
      </c>
      <c r="X145" s="42">
        <v>1986</v>
      </c>
      <c r="Y145" s="42">
        <v>23</v>
      </c>
      <c r="Z145" s="44">
        <v>18.8</v>
      </c>
      <c r="AA145" s="42">
        <v>1988</v>
      </c>
      <c r="AB145" s="42">
        <v>15</v>
      </c>
      <c r="AC145" s="44">
        <v>17.899999999999999</v>
      </c>
      <c r="AD145" s="42">
        <v>1986</v>
      </c>
      <c r="AE145" s="42">
        <v>12</v>
      </c>
      <c r="AF145" s="44">
        <v>18.600000000000001</v>
      </c>
      <c r="AG145" s="42">
        <v>1986</v>
      </c>
      <c r="AH145" s="42">
        <v>7</v>
      </c>
      <c r="AI145" s="44">
        <v>19</v>
      </c>
      <c r="AJ145" s="42">
        <v>1987</v>
      </c>
      <c r="AK145" s="42">
        <v>10</v>
      </c>
      <c r="AL145" s="44">
        <v>19.399999999999999</v>
      </c>
      <c r="AM145" s="42">
        <v>1986</v>
      </c>
      <c r="AN145" s="42">
        <v>7</v>
      </c>
      <c r="AO145" s="44">
        <v>17.5</v>
      </c>
      <c r="AP145" s="42">
        <v>1987</v>
      </c>
      <c r="AQ145" s="42">
        <v>17</v>
      </c>
    </row>
    <row r="146" spans="1:43" ht="14.45" customHeight="1" x14ac:dyDescent="0.2">
      <c r="A146" s="42">
        <v>21255140</v>
      </c>
      <c r="B146" s="42" t="s">
        <v>1038</v>
      </c>
      <c r="C146" s="42">
        <v>4.8215000000000003</v>
      </c>
      <c r="D146" s="42">
        <v>-74.920638890000006</v>
      </c>
      <c r="E146" s="42">
        <v>429</v>
      </c>
      <c r="F146" s="42" t="s">
        <v>820</v>
      </c>
      <c r="G146" s="42" t="s">
        <v>70</v>
      </c>
      <c r="H146" s="44">
        <v>19.8</v>
      </c>
      <c r="I146" s="42">
        <v>1988</v>
      </c>
      <c r="J146" s="42">
        <v>30</v>
      </c>
      <c r="K146" s="44">
        <v>19.8</v>
      </c>
      <c r="L146" s="42">
        <v>1996</v>
      </c>
      <c r="M146" s="42">
        <v>7</v>
      </c>
      <c r="N146" s="44">
        <v>19.8</v>
      </c>
      <c r="O146" s="42">
        <v>1987</v>
      </c>
      <c r="P146" s="42">
        <v>11</v>
      </c>
      <c r="Q146" s="44">
        <v>19.8</v>
      </c>
      <c r="R146" s="42">
        <v>1987</v>
      </c>
      <c r="S146" s="42">
        <v>5</v>
      </c>
      <c r="T146" s="44">
        <v>19.8</v>
      </c>
      <c r="U146" s="42">
        <v>1987</v>
      </c>
      <c r="V146" s="42">
        <v>24</v>
      </c>
      <c r="W146" s="44">
        <v>19.8</v>
      </c>
      <c r="X146" s="42">
        <v>1994</v>
      </c>
      <c r="Y146" s="42">
        <v>5</v>
      </c>
      <c r="Z146" s="44">
        <v>19.8</v>
      </c>
      <c r="AA146" s="42">
        <v>1987</v>
      </c>
      <c r="AB146" s="42">
        <v>25</v>
      </c>
      <c r="AC146" s="44">
        <v>19.8</v>
      </c>
      <c r="AD146" s="42">
        <v>1987</v>
      </c>
      <c r="AE146" s="42">
        <v>2</v>
      </c>
      <c r="AF146" s="44">
        <v>19.8</v>
      </c>
      <c r="AG146" s="42">
        <v>1985</v>
      </c>
      <c r="AH146" s="42">
        <v>26</v>
      </c>
      <c r="AI146" s="44">
        <v>19.8</v>
      </c>
      <c r="AJ146" s="42">
        <v>1986</v>
      </c>
      <c r="AK146" s="42">
        <v>12</v>
      </c>
      <c r="AL146" s="44">
        <v>19.8</v>
      </c>
      <c r="AM146" s="42">
        <v>1987</v>
      </c>
      <c r="AN146" s="42">
        <v>7</v>
      </c>
      <c r="AO146" s="44">
        <v>19.8</v>
      </c>
      <c r="AP146" s="42">
        <v>1985</v>
      </c>
      <c r="AQ146" s="42">
        <v>31</v>
      </c>
    </row>
    <row r="147" spans="1:43" ht="14.45" customHeight="1" x14ac:dyDescent="0.2">
      <c r="A147" s="42">
        <v>21115080</v>
      </c>
      <c r="B147" s="42" t="s">
        <v>1039</v>
      </c>
      <c r="C147" s="42">
        <v>3.1830555559999998</v>
      </c>
      <c r="D147" s="42">
        <v>-75.247500000000002</v>
      </c>
      <c r="E147" s="42">
        <v>430</v>
      </c>
      <c r="F147" s="42" t="s">
        <v>189</v>
      </c>
      <c r="G147" s="42" t="s">
        <v>79</v>
      </c>
      <c r="H147" s="44">
        <v>17.3</v>
      </c>
      <c r="I147" s="42">
        <v>2019</v>
      </c>
      <c r="J147" s="42">
        <v>1</v>
      </c>
      <c r="K147" s="44">
        <v>16.399999999999999</v>
      </c>
      <c r="L147" s="42">
        <v>1989</v>
      </c>
      <c r="M147" s="42">
        <v>3</v>
      </c>
      <c r="N147" s="44">
        <v>18</v>
      </c>
      <c r="O147" s="42">
        <v>1980</v>
      </c>
      <c r="P147" s="42">
        <v>17</v>
      </c>
      <c r="Q147" s="44">
        <v>18.2</v>
      </c>
      <c r="R147" s="42">
        <v>2024</v>
      </c>
      <c r="S147" s="42">
        <v>13</v>
      </c>
      <c r="T147" s="44">
        <v>17</v>
      </c>
      <c r="U147" s="42">
        <v>2024</v>
      </c>
      <c r="V147" s="42">
        <v>11</v>
      </c>
      <c r="W147" s="44">
        <v>15.4</v>
      </c>
      <c r="X147" s="42">
        <v>1995</v>
      </c>
      <c r="Y147" s="42">
        <v>9</v>
      </c>
      <c r="Z147" s="44">
        <v>16</v>
      </c>
      <c r="AA147" s="42">
        <v>1980</v>
      </c>
      <c r="AB147" s="42">
        <v>7</v>
      </c>
      <c r="AC147" s="44">
        <v>16.8</v>
      </c>
      <c r="AD147" s="42">
        <v>1978</v>
      </c>
      <c r="AE147" s="42">
        <v>17</v>
      </c>
      <c r="AF147" s="44">
        <v>18.399999999999999</v>
      </c>
      <c r="AG147" s="42">
        <v>1999</v>
      </c>
      <c r="AH147" s="42">
        <v>26</v>
      </c>
      <c r="AI147" s="44">
        <v>16.8</v>
      </c>
      <c r="AJ147" s="42">
        <v>1978</v>
      </c>
      <c r="AK147" s="42">
        <v>23</v>
      </c>
      <c r="AL147" s="44">
        <v>17</v>
      </c>
      <c r="AM147" s="42">
        <v>1992</v>
      </c>
      <c r="AN147" s="42">
        <v>18</v>
      </c>
      <c r="AO147" s="44">
        <v>17</v>
      </c>
      <c r="AP147" s="42">
        <v>2018</v>
      </c>
      <c r="AQ147" s="42">
        <v>26</v>
      </c>
    </row>
    <row r="148" spans="1:43" ht="14.45" customHeight="1" x14ac:dyDescent="0.2">
      <c r="A148" s="42">
        <v>21215080</v>
      </c>
      <c r="B148" s="42" t="s">
        <v>1040</v>
      </c>
      <c r="C148" s="42">
        <v>4.2315277780000002</v>
      </c>
      <c r="D148" s="42">
        <v>-74.995361110000005</v>
      </c>
      <c r="E148" s="42">
        <v>432</v>
      </c>
      <c r="F148" s="42" t="s">
        <v>362</v>
      </c>
      <c r="G148" s="42" t="s">
        <v>70</v>
      </c>
      <c r="H148" s="44">
        <v>17.399999999999999</v>
      </c>
      <c r="I148" s="42">
        <v>1998</v>
      </c>
      <c r="J148" s="42">
        <v>3</v>
      </c>
      <c r="K148" s="44">
        <v>17.8</v>
      </c>
      <c r="L148" s="42">
        <v>1998</v>
      </c>
      <c r="M148" s="42">
        <v>16</v>
      </c>
      <c r="N148" s="44">
        <v>17</v>
      </c>
      <c r="O148" s="42">
        <v>2001</v>
      </c>
      <c r="P148" s="42">
        <v>3</v>
      </c>
      <c r="Q148" s="44">
        <v>17.600000000000001</v>
      </c>
      <c r="R148" s="42">
        <v>1988</v>
      </c>
      <c r="S148" s="42">
        <v>15</v>
      </c>
      <c r="T148" s="44">
        <v>17</v>
      </c>
      <c r="U148" s="42">
        <v>1998</v>
      </c>
      <c r="V148" s="42">
        <v>20</v>
      </c>
      <c r="W148" s="44">
        <v>16.2</v>
      </c>
      <c r="X148" s="42">
        <v>1983</v>
      </c>
      <c r="Y148" s="42">
        <v>15</v>
      </c>
      <c r="Z148" s="44">
        <v>16</v>
      </c>
      <c r="AA148" s="42">
        <v>1997</v>
      </c>
      <c r="AB148" s="42">
        <v>19</v>
      </c>
      <c r="AC148" s="44">
        <v>16</v>
      </c>
      <c r="AD148" s="42">
        <v>2001</v>
      </c>
      <c r="AE148" s="42">
        <v>11</v>
      </c>
      <c r="AF148" s="44">
        <v>16</v>
      </c>
      <c r="AG148" s="42">
        <v>1998</v>
      </c>
      <c r="AH148" s="42">
        <v>13</v>
      </c>
      <c r="AI148" s="44">
        <v>16.8</v>
      </c>
      <c r="AJ148" s="42">
        <v>1998</v>
      </c>
      <c r="AK148" s="42">
        <v>21</v>
      </c>
      <c r="AL148" s="44">
        <v>16.399999999999999</v>
      </c>
      <c r="AM148" s="42">
        <v>1998</v>
      </c>
      <c r="AN148" s="42">
        <v>7</v>
      </c>
      <c r="AO148" s="44">
        <v>17.2</v>
      </c>
      <c r="AP148" s="42">
        <v>1997</v>
      </c>
      <c r="AQ148" s="42">
        <v>2</v>
      </c>
    </row>
    <row r="149" spans="1:43" ht="14.45" customHeight="1" x14ac:dyDescent="0.2">
      <c r="A149" s="42">
        <v>2125500032</v>
      </c>
      <c r="B149" s="42" t="s">
        <v>1041</v>
      </c>
      <c r="C149" s="42">
        <v>5.1700520000000001</v>
      </c>
      <c r="D149" s="42">
        <v>-74.890866000000003</v>
      </c>
      <c r="E149" s="42">
        <v>437</v>
      </c>
      <c r="F149" s="42" t="s">
        <v>821</v>
      </c>
      <c r="G149" s="42" t="s">
        <v>70</v>
      </c>
      <c r="H149" s="44">
        <v>20.2</v>
      </c>
      <c r="I149" s="42">
        <v>2025</v>
      </c>
      <c r="J149" s="42">
        <v>24</v>
      </c>
      <c r="K149" s="44">
        <v>20.2</v>
      </c>
      <c r="L149" s="42">
        <v>2023</v>
      </c>
      <c r="M149" s="42">
        <v>2</v>
      </c>
      <c r="N149" s="44">
        <v>20.399999999999999</v>
      </c>
      <c r="O149" s="42">
        <v>2022</v>
      </c>
      <c r="P149" s="42">
        <v>12</v>
      </c>
      <c r="Q149" s="44">
        <v>20.6</v>
      </c>
      <c r="R149" s="42">
        <v>2021</v>
      </c>
      <c r="S149" s="42">
        <v>30</v>
      </c>
      <c r="T149" s="44">
        <v>20</v>
      </c>
      <c r="U149" s="42">
        <v>2025</v>
      </c>
      <c r="V149" s="42">
        <v>3</v>
      </c>
      <c r="W149" s="44">
        <v>20</v>
      </c>
      <c r="X149" s="42">
        <v>2020</v>
      </c>
      <c r="Y149" s="42">
        <v>9</v>
      </c>
      <c r="Z149" s="44">
        <v>20.2</v>
      </c>
      <c r="AA149" s="42">
        <v>2025</v>
      </c>
      <c r="AB149" s="42">
        <v>8</v>
      </c>
      <c r="AC149" s="44">
        <v>20</v>
      </c>
      <c r="AD149" s="42">
        <v>2020</v>
      </c>
      <c r="AE149" s="42">
        <v>6</v>
      </c>
      <c r="AF149" s="44">
        <v>20</v>
      </c>
      <c r="AG149" s="42">
        <v>2022</v>
      </c>
      <c r="AH149" s="42">
        <v>27</v>
      </c>
      <c r="AI149" s="44">
        <v>20</v>
      </c>
      <c r="AJ149" s="42">
        <v>2023</v>
      </c>
      <c r="AK149" s="42">
        <v>6</v>
      </c>
      <c r="AL149" s="44">
        <v>20.399999999999999</v>
      </c>
      <c r="AM149" s="42">
        <v>2019</v>
      </c>
      <c r="AN149" s="42">
        <v>17</v>
      </c>
      <c r="AO149" s="44">
        <v>20</v>
      </c>
      <c r="AP149" s="42">
        <v>2019</v>
      </c>
      <c r="AQ149" s="42">
        <v>2</v>
      </c>
    </row>
    <row r="150" spans="1:43" ht="14.45" customHeight="1" x14ac:dyDescent="0.2">
      <c r="A150" s="42">
        <v>21115020</v>
      </c>
      <c r="B150" s="42" t="s">
        <v>1042</v>
      </c>
      <c r="C150" s="42">
        <v>2.94875</v>
      </c>
      <c r="D150" s="42">
        <v>-75.293055559999999</v>
      </c>
      <c r="E150" s="42">
        <v>439</v>
      </c>
      <c r="F150" s="42" t="s">
        <v>80</v>
      </c>
      <c r="G150" s="42" t="s">
        <v>79</v>
      </c>
      <c r="H150" s="44">
        <v>18.399999999999999</v>
      </c>
      <c r="I150" s="42">
        <v>1982</v>
      </c>
      <c r="J150" s="42">
        <v>20</v>
      </c>
      <c r="K150" s="44">
        <v>18.8</v>
      </c>
      <c r="L150" s="42">
        <v>1979</v>
      </c>
      <c r="M150" s="42">
        <v>4</v>
      </c>
      <c r="N150" s="44">
        <v>18.600000000000001</v>
      </c>
      <c r="O150" s="42">
        <v>1982</v>
      </c>
      <c r="P150" s="42">
        <v>7</v>
      </c>
      <c r="Q150" s="44">
        <v>19.2</v>
      </c>
      <c r="R150" s="42">
        <v>1997</v>
      </c>
      <c r="S150" s="42">
        <v>25</v>
      </c>
      <c r="T150" s="44">
        <v>19.100000000000001</v>
      </c>
      <c r="U150" s="42">
        <v>1982</v>
      </c>
      <c r="V150" s="42">
        <v>4</v>
      </c>
      <c r="W150" s="44">
        <v>18</v>
      </c>
      <c r="X150" s="42">
        <v>1994</v>
      </c>
      <c r="Y150" s="42">
        <v>6</v>
      </c>
      <c r="Z150" s="44">
        <v>18.399999999999999</v>
      </c>
      <c r="AA150" s="42">
        <v>1982</v>
      </c>
      <c r="AB150" s="42">
        <v>9</v>
      </c>
      <c r="AC150" s="44">
        <v>18.5</v>
      </c>
      <c r="AD150" s="42">
        <v>1985</v>
      </c>
      <c r="AE150" s="42">
        <v>11</v>
      </c>
      <c r="AF150" s="44">
        <v>17.600000000000001</v>
      </c>
      <c r="AG150" s="42">
        <v>1993</v>
      </c>
      <c r="AH150" s="42">
        <v>11</v>
      </c>
      <c r="AI150" s="44">
        <v>19.600000000000001</v>
      </c>
      <c r="AJ150" s="42">
        <v>1990</v>
      </c>
      <c r="AK150" s="42">
        <v>10</v>
      </c>
      <c r="AL150" s="44">
        <v>18.600000000000001</v>
      </c>
      <c r="AM150" s="42">
        <v>2001</v>
      </c>
      <c r="AN150" s="42">
        <v>2</v>
      </c>
      <c r="AO150" s="44">
        <v>18.5</v>
      </c>
      <c r="AP150" s="42">
        <v>1988</v>
      </c>
      <c r="AQ150" s="42">
        <v>21</v>
      </c>
    </row>
    <row r="151" spans="1:43" ht="14.45" customHeight="1" x14ac:dyDescent="0.2">
      <c r="A151" s="42">
        <v>21145040</v>
      </c>
      <c r="B151" s="42" t="s">
        <v>1043</v>
      </c>
      <c r="C151" s="42">
        <v>3.3733611109999999</v>
      </c>
      <c r="D151" s="42">
        <v>-75.110111110000005</v>
      </c>
      <c r="E151" s="42">
        <v>440</v>
      </c>
      <c r="F151" s="42" t="s">
        <v>189</v>
      </c>
      <c r="G151" s="42" t="s">
        <v>79</v>
      </c>
      <c r="H151" s="44">
        <v>18.399999999999999</v>
      </c>
      <c r="I151" s="42">
        <v>1984</v>
      </c>
      <c r="J151" s="42">
        <v>19</v>
      </c>
      <c r="K151" s="44">
        <v>18.399999999999999</v>
      </c>
      <c r="L151" s="42">
        <v>1979</v>
      </c>
      <c r="M151" s="42">
        <v>8</v>
      </c>
      <c r="N151" s="44">
        <v>17.399999999999999</v>
      </c>
      <c r="O151" s="42">
        <v>1979</v>
      </c>
      <c r="P151" s="42">
        <v>5</v>
      </c>
      <c r="Q151" s="44">
        <v>17.399999999999999</v>
      </c>
      <c r="R151" s="42">
        <v>1979</v>
      </c>
      <c r="S151" s="42">
        <v>18</v>
      </c>
      <c r="T151" s="44">
        <v>18</v>
      </c>
      <c r="U151" s="42">
        <v>1979</v>
      </c>
      <c r="V151" s="42">
        <v>25</v>
      </c>
      <c r="W151" s="44">
        <v>19</v>
      </c>
      <c r="X151" s="42">
        <v>1984</v>
      </c>
      <c r="Y151" s="42">
        <v>12</v>
      </c>
      <c r="Z151" s="44">
        <v>18.2</v>
      </c>
      <c r="AA151" s="42">
        <v>1996</v>
      </c>
      <c r="AB151" s="42">
        <v>24</v>
      </c>
      <c r="AC151" s="44">
        <v>18.2</v>
      </c>
      <c r="AD151" s="42">
        <v>1991</v>
      </c>
      <c r="AE151" s="42">
        <v>11</v>
      </c>
      <c r="AF151" s="44">
        <v>18</v>
      </c>
      <c r="AG151" s="42">
        <v>1979</v>
      </c>
      <c r="AH151" s="42">
        <v>1</v>
      </c>
      <c r="AI151" s="44">
        <v>17.8</v>
      </c>
      <c r="AJ151" s="42">
        <v>1982</v>
      </c>
      <c r="AK151" s="42">
        <v>26</v>
      </c>
      <c r="AL151" s="44">
        <v>18.8</v>
      </c>
      <c r="AM151" s="42">
        <v>1979</v>
      </c>
      <c r="AN151" s="42">
        <v>6</v>
      </c>
      <c r="AO151" s="44">
        <v>17.399999999999999</v>
      </c>
      <c r="AP151" s="42">
        <v>1982</v>
      </c>
      <c r="AQ151" s="42">
        <v>24</v>
      </c>
    </row>
    <row r="152" spans="1:43" ht="14.45" customHeight="1" x14ac:dyDescent="0.2">
      <c r="A152" s="42">
        <v>23070020</v>
      </c>
      <c r="B152" s="42" t="s">
        <v>1044</v>
      </c>
      <c r="C152" s="42">
        <v>5.8555277779999999</v>
      </c>
      <c r="D152" s="42">
        <v>-74.848361109999999</v>
      </c>
      <c r="E152" s="42">
        <v>449</v>
      </c>
      <c r="F152" s="42" t="s">
        <v>496</v>
      </c>
      <c r="G152" s="42" t="s">
        <v>57</v>
      </c>
      <c r="H152" s="44">
        <v>17</v>
      </c>
      <c r="I152" s="42">
        <v>2004</v>
      </c>
      <c r="J152" s="42">
        <v>20</v>
      </c>
      <c r="K152" s="44">
        <v>16.600000000000001</v>
      </c>
      <c r="L152" s="42">
        <v>1996</v>
      </c>
      <c r="M152" s="42">
        <v>1</v>
      </c>
      <c r="N152" s="44">
        <v>17.399999999999999</v>
      </c>
      <c r="O152" s="42">
        <v>1991</v>
      </c>
      <c r="P152" s="42">
        <v>9</v>
      </c>
      <c r="Q152" s="44">
        <v>16.8</v>
      </c>
      <c r="R152" s="42">
        <v>1994</v>
      </c>
      <c r="S152" s="42">
        <v>18</v>
      </c>
      <c r="T152" s="44">
        <v>17.2</v>
      </c>
      <c r="U152" s="42">
        <v>1994</v>
      </c>
      <c r="V152" s="42">
        <v>27</v>
      </c>
      <c r="W152" s="44">
        <v>18.2</v>
      </c>
      <c r="X152" s="42">
        <v>1992</v>
      </c>
      <c r="Y152" s="42">
        <v>4</v>
      </c>
      <c r="Z152" s="44">
        <v>17.2</v>
      </c>
      <c r="AA152" s="42">
        <v>1994</v>
      </c>
      <c r="AB152" s="42">
        <v>16</v>
      </c>
      <c r="AC152" s="44">
        <v>16.399999999999999</v>
      </c>
      <c r="AD152" s="42">
        <v>1990</v>
      </c>
      <c r="AE152" s="42">
        <v>31</v>
      </c>
      <c r="AF152" s="44">
        <v>17</v>
      </c>
      <c r="AG152" s="42">
        <v>1994</v>
      </c>
      <c r="AH152" s="42">
        <v>23</v>
      </c>
      <c r="AI152" s="44">
        <v>17.399999999999999</v>
      </c>
      <c r="AJ152" s="42">
        <v>1995</v>
      </c>
      <c r="AK152" s="42">
        <v>28</v>
      </c>
      <c r="AL152" s="44">
        <v>17.8</v>
      </c>
      <c r="AM152" s="42">
        <v>1996</v>
      </c>
      <c r="AN152" s="42">
        <v>3</v>
      </c>
      <c r="AO152" s="44">
        <v>18.2</v>
      </c>
      <c r="AP152" s="42">
        <v>1993</v>
      </c>
      <c r="AQ152" s="42">
        <v>29</v>
      </c>
    </row>
    <row r="153" spans="1:43" ht="14.45" customHeight="1" x14ac:dyDescent="0.2">
      <c r="A153" s="42">
        <v>21095010</v>
      </c>
      <c r="B153" s="42" t="s">
        <v>1045</v>
      </c>
      <c r="C153" s="42">
        <v>2.8288055559999998</v>
      </c>
      <c r="D153" s="42">
        <v>-75.331166670000002</v>
      </c>
      <c r="E153" s="42">
        <v>460</v>
      </c>
      <c r="F153" s="42" t="s">
        <v>692</v>
      </c>
      <c r="G153" s="42" t="s">
        <v>79</v>
      </c>
      <c r="H153" s="44">
        <v>17.8</v>
      </c>
      <c r="I153" s="42">
        <v>1989</v>
      </c>
      <c r="J153" s="42">
        <v>18</v>
      </c>
      <c r="K153" s="44">
        <v>17</v>
      </c>
      <c r="L153" s="42">
        <v>1979</v>
      </c>
      <c r="M153" s="42">
        <v>27</v>
      </c>
      <c r="N153" s="44">
        <v>17</v>
      </c>
      <c r="O153" s="42">
        <v>1979</v>
      </c>
      <c r="P153" s="42">
        <v>26</v>
      </c>
      <c r="Q153" s="44">
        <v>17</v>
      </c>
      <c r="R153" s="42">
        <v>1979</v>
      </c>
      <c r="S153" s="42">
        <v>7</v>
      </c>
      <c r="T153" s="44">
        <v>18</v>
      </c>
      <c r="U153" s="42">
        <v>1999</v>
      </c>
      <c r="V153" s="42">
        <v>10</v>
      </c>
      <c r="W153" s="44">
        <v>19</v>
      </c>
      <c r="X153" s="42">
        <v>1979</v>
      </c>
      <c r="Y153" s="42">
        <v>12</v>
      </c>
      <c r="Z153" s="44">
        <v>17.399999999999999</v>
      </c>
      <c r="AA153" s="42">
        <v>1999</v>
      </c>
      <c r="AB153" s="42">
        <v>10</v>
      </c>
      <c r="AC153" s="44">
        <v>17.2</v>
      </c>
      <c r="AD153" s="42">
        <v>1984</v>
      </c>
      <c r="AE153" s="42">
        <v>1</v>
      </c>
      <c r="AF153" s="44">
        <v>17</v>
      </c>
      <c r="AG153" s="42">
        <v>1978</v>
      </c>
      <c r="AH153" s="42">
        <v>2</v>
      </c>
      <c r="AI153" s="44">
        <v>17</v>
      </c>
      <c r="AJ153" s="42">
        <v>1978</v>
      </c>
      <c r="AK153" s="42">
        <v>3</v>
      </c>
      <c r="AL153" s="44">
        <v>17.8</v>
      </c>
      <c r="AM153" s="42">
        <v>1979</v>
      </c>
      <c r="AN153" s="42">
        <v>21</v>
      </c>
      <c r="AO153" s="44">
        <v>18.399999999999999</v>
      </c>
      <c r="AP153" s="42">
        <v>1988</v>
      </c>
      <c r="AQ153" s="42">
        <v>21</v>
      </c>
    </row>
    <row r="154" spans="1:43" ht="14.45" customHeight="1" x14ac:dyDescent="0.2">
      <c r="A154" s="42">
        <v>35195020</v>
      </c>
      <c r="B154" s="42" t="s">
        <v>1046</v>
      </c>
      <c r="C154" s="42">
        <v>5.0272577780000001</v>
      </c>
      <c r="D154" s="42">
        <v>-72.869841667000003</v>
      </c>
      <c r="E154" s="42">
        <v>460</v>
      </c>
      <c r="F154" s="42" t="s">
        <v>563</v>
      </c>
      <c r="G154" s="42" t="s">
        <v>166</v>
      </c>
      <c r="H154" s="44">
        <v>16</v>
      </c>
      <c r="I154" s="42">
        <v>1985</v>
      </c>
      <c r="J154" s="42">
        <v>7</v>
      </c>
      <c r="K154" s="44">
        <v>15</v>
      </c>
      <c r="L154" s="42">
        <v>1985</v>
      </c>
      <c r="M154" s="42">
        <v>7</v>
      </c>
      <c r="N154" s="44">
        <v>16</v>
      </c>
      <c r="O154" s="42">
        <v>1987</v>
      </c>
      <c r="P154" s="42">
        <v>1</v>
      </c>
      <c r="Q154" s="44">
        <v>15.4</v>
      </c>
      <c r="R154" s="42">
        <v>1987</v>
      </c>
      <c r="S154" s="42">
        <v>12</v>
      </c>
      <c r="T154" s="44">
        <v>15</v>
      </c>
      <c r="U154" s="42">
        <v>1985</v>
      </c>
      <c r="V154" s="42">
        <v>2</v>
      </c>
      <c r="W154" s="44">
        <v>15.2</v>
      </c>
      <c r="X154" s="42">
        <v>1987</v>
      </c>
      <c r="Y154" s="42">
        <v>18</v>
      </c>
      <c r="Z154" s="44">
        <v>12.2</v>
      </c>
      <c r="AA154" s="42">
        <v>1990</v>
      </c>
      <c r="AB154" s="42">
        <v>30</v>
      </c>
      <c r="AC154" s="44">
        <v>14</v>
      </c>
      <c r="AD154" s="42">
        <v>1990</v>
      </c>
      <c r="AE154" s="42">
        <v>9</v>
      </c>
      <c r="AF154" s="44">
        <v>14.2</v>
      </c>
      <c r="AG154" s="42">
        <v>1995</v>
      </c>
      <c r="AH154" s="42">
        <v>26</v>
      </c>
      <c r="AI154" s="44">
        <v>16</v>
      </c>
      <c r="AJ154" s="42">
        <v>1985</v>
      </c>
      <c r="AK154" s="42">
        <v>3</v>
      </c>
      <c r="AL154" s="44">
        <v>16</v>
      </c>
      <c r="AM154" s="42">
        <v>1985</v>
      </c>
      <c r="AN154" s="42">
        <v>5</v>
      </c>
      <c r="AO154" s="44">
        <v>16.8</v>
      </c>
      <c r="AP154" s="42">
        <v>1983</v>
      </c>
      <c r="AQ154" s="42">
        <v>8</v>
      </c>
    </row>
    <row r="155" spans="1:43" ht="14.45" customHeight="1" x14ac:dyDescent="0.2">
      <c r="A155" s="42">
        <v>26225030</v>
      </c>
      <c r="B155" s="42" t="s">
        <v>1047</v>
      </c>
      <c r="C155" s="42">
        <v>6.5339166669999997</v>
      </c>
      <c r="D155" s="42">
        <v>-75.827333332999999</v>
      </c>
      <c r="E155" s="42">
        <v>534</v>
      </c>
      <c r="F155" s="42" t="s">
        <v>1048</v>
      </c>
      <c r="G155" s="42" t="s">
        <v>57</v>
      </c>
      <c r="H155" s="44">
        <v>15.8</v>
      </c>
      <c r="I155" s="42">
        <v>1997</v>
      </c>
      <c r="J155" s="42">
        <v>19</v>
      </c>
      <c r="K155" s="44">
        <v>17</v>
      </c>
      <c r="L155" s="42">
        <v>1978</v>
      </c>
      <c r="M155" s="42">
        <v>19</v>
      </c>
      <c r="N155" s="44">
        <v>15.4</v>
      </c>
      <c r="O155" s="42">
        <v>1978</v>
      </c>
      <c r="P155" s="42">
        <v>4</v>
      </c>
      <c r="Q155" s="44">
        <v>16.399999999999999</v>
      </c>
      <c r="R155" s="42">
        <v>1997</v>
      </c>
      <c r="S155" s="42">
        <v>24</v>
      </c>
      <c r="T155" s="44">
        <v>16</v>
      </c>
      <c r="U155" s="42">
        <v>1991</v>
      </c>
      <c r="V155" s="42">
        <v>19</v>
      </c>
      <c r="W155" s="44">
        <v>15.4</v>
      </c>
      <c r="X155" s="42">
        <v>1984</v>
      </c>
      <c r="Y155" s="42">
        <v>1</v>
      </c>
      <c r="Z155" s="44">
        <v>15.4</v>
      </c>
      <c r="AA155" s="42">
        <v>1978</v>
      </c>
      <c r="AB155" s="42">
        <v>25</v>
      </c>
      <c r="AC155" s="44">
        <v>15.6</v>
      </c>
      <c r="AD155" s="42">
        <v>1984</v>
      </c>
      <c r="AE155" s="42">
        <v>28</v>
      </c>
      <c r="AF155" s="44">
        <v>16</v>
      </c>
      <c r="AG155" s="42">
        <v>1983</v>
      </c>
      <c r="AH155" s="42">
        <v>22</v>
      </c>
      <c r="AI155" s="44">
        <v>15</v>
      </c>
      <c r="AJ155" s="42">
        <v>1988</v>
      </c>
      <c r="AK155" s="42">
        <v>16</v>
      </c>
      <c r="AL155" s="44">
        <v>15</v>
      </c>
      <c r="AM155" s="42">
        <v>1988</v>
      </c>
      <c r="AN155" s="42">
        <v>15</v>
      </c>
      <c r="AO155" s="44">
        <v>15.2</v>
      </c>
      <c r="AP155" s="42">
        <v>1982</v>
      </c>
      <c r="AQ155" s="42">
        <v>30</v>
      </c>
    </row>
    <row r="156" spans="1:43" ht="14.45" customHeight="1" x14ac:dyDescent="0.2">
      <c r="A156" s="42">
        <v>21185080</v>
      </c>
      <c r="B156" s="42" t="s">
        <v>1049</v>
      </c>
      <c r="C156" s="42">
        <v>4.2164583330000003</v>
      </c>
      <c r="D156" s="42">
        <v>-75.104611110999997</v>
      </c>
      <c r="E156" s="42">
        <v>591</v>
      </c>
      <c r="F156" s="42" t="s">
        <v>360</v>
      </c>
      <c r="G156" s="42" t="s">
        <v>70</v>
      </c>
      <c r="H156" s="44">
        <v>16</v>
      </c>
      <c r="I156" s="42">
        <v>1993</v>
      </c>
      <c r="J156" s="42">
        <v>27</v>
      </c>
      <c r="K156" s="44">
        <v>16</v>
      </c>
      <c r="L156" s="42">
        <v>1993</v>
      </c>
      <c r="M156" s="42">
        <v>24</v>
      </c>
      <c r="N156" s="44">
        <v>16</v>
      </c>
      <c r="O156" s="42">
        <v>2000</v>
      </c>
      <c r="P156" s="42">
        <v>22</v>
      </c>
      <c r="Q156" s="44">
        <v>16</v>
      </c>
      <c r="R156" s="42">
        <v>2000</v>
      </c>
      <c r="S156" s="42">
        <v>12</v>
      </c>
      <c r="T156" s="44">
        <v>16</v>
      </c>
      <c r="U156" s="42">
        <v>2001</v>
      </c>
      <c r="V156" s="42">
        <v>6</v>
      </c>
      <c r="W156" s="44">
        <v>16.2</v>
      </c>
      <c r="X156" s="42">
        <v>1990</v>
      </c>
      <c r="Y156" s="42">
        <v>3</v>
      </c>
      <c r="Z156" s="44">
        <v>16</v>
      </c>
      <c r="AA156" s="42">
        <v>1993</v>
      </c>
      <c r="AB156" s="42">
        <v>19</v>
      </c>
      <c r="AC156" s="44">
        <v>16</v>
      </c>
      <c r="AD156" s="42">
        <v>2001</v>
      </c>
      <c r="AE156" s="42">
        <v>14</v>
      </c>
      <c r="AF156" s="44">
        <v>16</v>
      </c>
      <c r="AG156" s="42">
        <v>1992</v>
      </c>
      <c r="AH156" s="42">
        <v>2</v>
      </c>
      <c r="AI156" s="44">
        <v>16</v>
      </c>
      <c r="AJ156" s="42">
        <v>1992</v>
      </c>
      <c r="AK156" s="42">
        <v>1</v>
      </c>
      <c r="AL156" s="44">
        <v>16</v>
      </c>
      <c r="AM156" s="42">
        <v>1992</v>
      </c>
      <c r="AN156" s="42">
        <v>4</v>
      </c>
      <c r="AO156" s="44">
        <v>16.2</v>
      </c>
      <c r="AP156" s="42">
        <v>2001</v>
      </c>
      <c r="AQ156" s="42">
        <v>26</v>
      </c>
    </row>
    <row r="157" spans="1:43" ht="14.45" customHeight="1" x14ac:dyDescent="0.2">
      <c r="A157" s="42">
        <v>21115160</v>
      </c>
      <c r="B157" s="42" t="s">
        <v>1050</v>
      </c>
      <c r="C157" s="42">
        <v>3.133055556</v>
      </c>
      <c r="D157" s="42">
        <v>-75.081527780000002</v>
      </c>
      <c r="E157" s="42">
        <v>600</v>
      </c>
      <c r="F157" s="42" t="s">
        <v>677</v>
      </c>
      <c r="G157" s="42" t="s">
        <v>79</v>
      </c>
      <c r="H157" s="44">
        <v>15</v>
      </c>
      <c r="I157" s="42">
        <v>1995</v>
      </c>
      <c r="J157" s="42">
        <v>15</v>
      </c>
      <c r="K157" s="44">
        <v>14.8</v>
      </c>
      <c r="L157" s="42">
        <v>1995</v>
      </c>
      <c r="M157" s="42">
        <v>1</v>
      </c>
      <c r="N157" s="44">
        <v>15</v>
      </c>
      <c r="O157" s="42">
        <v>1995</v>
      </c>
      <c r="P157" s="42">
        <v>30</v>
      </c>
      <c r="Q157" s="44">
        <v>15</v>
      </c>
      <c r="R157" s="42">
        <v>1995</v>
      </c>
      <c r="S157" s="42">
        <v>26</v>
      </c>
      <c r="T157" s="44">
        <v>14.4</v>
      </c>
      <c r="U157" s="42">
        <v>1995</v>
      </c>
      <c r="V157" s="42">
        <v>2</v>
      </c>
      <c r="W157" s="44">
        <v>14.2</v>
      </c>
      <c r="X157" s="42">
        <v>1995</v>
      </c>
      <c r="Y157" s="42">
        <v>15</v>
      </c>
      <c r="Z157" s="44">
        <v>17</v>
      </c>
      <c r="AA157" s="42">
        <v>1997</v>
      </c>
      <c r="AB157" s="42">
        <v>28</v>
      </c>
      <c r="AC157" s="44">
        <v>18</v>
      </c>
      <c r="AD157" s="42">
        <v>1995</v>
      </c>
      <c r="AE157" s="42">
        <v>12</v>
      </c>
      <c r="AF157" s="44">
        <v>17.600000000000001</v>
      </c>
      <c r="AG157" s="42">
        <v>1993</v>
      </c>
      <c r="AH157" s="42">
        <v>11</v>
      </c>
      <c r="AI157" s="44">
        <v>16.399999999999999</v>
      </c>
      <c r="AJ157" s="42">
        <v>1994</v>
      </c>
      <c r="AK157" s="42">
        <v>12</v>
      </c>
      <c r="AL157" s="44">
        <v>14.4</v>
      </c>
      <c r="AM157" s="42">
        <v>1996</v>
      </c>
      <c r="AN157" s="42">
        <v>12</v>
      </c>
      <c r="AO157" s="44">
        <v>14.2</v>
      </c>
      <c r="AP157" s="42">
        <v>1994</v>
      </c>
      <c r="AQ157" s="42">
        <v>17</v>
      </c>
    </row>
    <row r="158" spans="1:43" ht="14.45" customHeight="1" x14ac:dyDescent="0.2">
      <c r="A158" s="42">
        <v>26175040</v>
      </c>
      <c r="B158" s="42" t="s">
        <v>1051</v>
      </c>
      <c r="C158" s="42">
        <v>5.8002500000000001</v>
      </c>
      <c r="D158" s="42">
        <v>-75.65097222</v>
      </c>
      <c r="E158" s="42">
        <v>604</v>
      </c>
      <c r="F158" s="42" t="s">
        <v>109</v>
      </c>
      <c r="G158" s="42" t="s">
        <v>57</v>
      </c>
      <c r="H158" s="44">
        <v>14.8</v>
      </c>
      <c r="I158" s="42">
        <v>2024</v>
      </c>
      <c r="J158" s="42">
        <v>24</v>
      </c>
      <c r="K158" s="44">
        <v>15</v>
      </c>
      <c r="L158" s="42">
        <v>1985</v>
      </c>
      <c r="M158" s="42">
        <v>6</v>
      </c>
      <c r="N158" s="44">
        <v>16</v>
      </c>
      <c r="O158" s="42">
        <v>1980</v>
      </c>
      <c r="P158" s="42">
        <v>4</v>
      </c>
      <c r="Q158" s="44">
        <v>15.4</v>
      </c>
      <c r="R158" s="42">
        <v>1999</v>
      </c>
      <c r="S158" s="42">
        <v>18</v>
      </c>
      <c r="T158" s="44">
        <v>16.8</v>
      </c>
      <c r="U158" s="42">
        <v>2008</v>
      </c>
      <c r="V158" s="42">
        <v>10</v>
      </c>
      <c r="W158" s="44">
        <v>16</v>
      </c>
      <c r="X158" s="42">
        <v>2004</v>
      </c>
      <c r="Y158" s="42">
        <v>11</v>
      </c>
      <c r="Z158" s="44">
        <v>15.2</v>
      </c>
      <c r="AA158" s="42">
        <v>2007</v>
      </c>
      <c r="AB158" s="42">
        <v>6</v>
      </c>
      <c r="AC158" s="44">
        <v>15</v>
      </c>
      <c r="AD158" s="42">
        <v>1978</v>
      </c>
      <c r="AE158" s="42">
        <v>18</v>
      </c>
      <c r="AF158" s="44">
        <v>16</v>
      </c>
      <c r="AG158" s="42">
        <v>2009</v>
      </c>
      <c r="AH158" s="42">
        <v>25</v>
      </c>
      <c r="AI158" s="44">
        <v>16.2</v>
      </c>
      <c r="AJ158" s="42">
        <v>2001</v>
      </c>
      <c r="AK158" s="42">
        <v>16</v>
      </c>
      <c r="AL158" s="44">
        <v>15.4</v>
      </c>
      <c r="AM158" s="42">
        <v>2004</v>
      </c>
      <c r="AN158" s="42">
        <v>6</v>
      </c>
      <c r="AO158" s="44">
        <v>15.4</v>
      </c>
      <c r="AP158" s="42">
        <v>1980</v>
      </c>
      <c r="AQ158" s="42">
        <v>21</v>
      </c>
    </row>
    <row r="159" spans="1:43" ht="14.45" customHeight="1" x14ac:dyDescent="0.2">
      <c r="A159" s="42">
        <v>21145020</v>
      </c>
      <c r="B159" s="42" t="s">
        <v>1052</v>
      </c>
      <c r="C159" s="42">
        <v>3.2761111110000001</v>
      </c>
      <c r="D159" s="42">
        <v>-74.935833329999994</v>
      </c>
      <c r="E159" s="42">
        <v>638</v>
      </c>
      <c r="F159" s="42" t="s">
        <v>677</v>
      </c>
      <c r="G159" s="42" t="s">
        <v>79</v>
      </c>
      <c r="H159" s="44">
        <v>18.399999999999999</v>
      </c>
      <c r="I159" s="42">
        <v>2018</v>
      </c>
      <c r="J159" s="42">
        <v>14</v>
      </c>
      <c r="K159" s="44">
        <v>20.399999999999999</v>
      </c>
      <c r="L159" s="42">
        <v>2019</v>
      </c>
      <c r="M159" s="42">
        <v>17</v>
      </c>
      <c r="N159" s="44">
        <v>20</v>
      </c>
      <c r="O159" s="42">
        <v>2018</v>
      </c>
      <c r="P159" s="42">
        <v>4</v>
      </c>
      <c r="Q159" s="44">
        <v>20</v>
      </c>
      <c r="R159" s="42">
        <v>2018</v>
      </c>
      <c r="S159" s="42">
        <v>30</v>
      </c>
      <c r="T159" s="44">
        <v>18.8</v>
      </c>
      <c r="U159" s="42">
        <v>2020</v>
      </c>
      <c r="V159" s="42">
        <v>14</v>
      </c>
      <c r="W159" s="44">
        <v>19.8</v>
      </c>
      <c r="X159" s="42">
        <v>2020</v>
      </c>
      <c r="Y159" s="42">
        <v>9</v>
      </c>
      <c r="Z159" s="44">
        <v>19.8</v>
      </c>
      <c r="AA159" s="42">
        <v>2020</v>
      </c>
      <c r="AB159" s="42">
        <v>20</v>
      </c>
      <c r="AC159" s="44">
        <v>20</v>
      </c>
      <c r="AD159" s="42">
        <v>2019</v>
      </c>
      <c r="AE159" s="42">
        <v>27</v>
      </c>
      <c r="AF159" s="44">
        <v>19</v>
      </c>
      <c r="AG159" s="42">
        <v>2020</v>
      </c>
      <c r="AH159" s="42">
        <v>14</v>
      </c>
      <c r="AI159" s="44">
        <v>20.6</v>
      </c>
      <c r="AJ159" s="42">
        <v>2020</v>
      </c>
      <c r="AK159" s="42">
        <v>1</v>
      </c>
      <c r="AL159" s="44">
        <v>19.399999999999999</v>
      </c>
      <c r="AM159" s="42">
        <v>2019</v>
      </c>
      <c r="AN159" s="42">
        <v>1</v>
      </c>
      <c r="AO159" s="44">
        <v>19</v>
      </c>
      <c r="AP159" s="42">
        <v>2020</v>
      </c>
      <c r="AQ159" s="42">
        <v>20</v>
      </c>
    </row>
    <row r="160" spans="1:43" ht="14.45" customHeight="1" x14ac:dyDescent="0.2">
      <c r="A160" s="42">
        <v>23175020</v>
      </c>
      <c r="B160" s="42" t="s">
        <v>1053</v>
      </c>
      <c r="C160" s="42">
        <v>7.0117500000000001</v>
      </c>
      <c r="D160" s="42">
        <v>-74.716305559999995</v>
      </c>
      <c r="E160" s="42">
        <v>643</v>
      </c>
      <c r="F160" s="42" t="s">
        <v>475</v>
      </c>
      <c r="G160" s="42" t="s">
        <v>57</v>
      </c>
      <c r="H160" s="44">
        <v>15.8</v>
      </c>
      <c r="I160" s="42">
        <v>2020</v>
      </c>
      <c r="J160" s="42">
        <v>11</v>
      </c>
      <c r="K160" s="44">
        <v>16</v>
      </c>
      <c r="L160" s="42">
        <v>1989</v>
      </c>
      <c r="M160" s="42">
        <v>16</v>
      </c>
      <c r="N160" s="44">
        <v>14</v>
      </c>
      <c r="O160" s="42">
        <v>2003</v>
      </c>
      <c r="P160" s="42">
        <v>29</v>
      </c>
      <c r="Q160" s="44">
        <v>16</v>
      </c>
      <c r="R160" s="42">
        <v>1984</v>
      </c>
      <c r="S160" s="42">
        <v>13</v>
      </c>
      <c r="T160" s="44">
        <v>16</v>
      </c>
      <c r="U160" s="42">
        <v>1994</v>
      </c>
      <c r="V160" s="42">
        <v>25</v>
      </c>
      <c r="W160" s="44">
        <v>15.4</v>
      </c>
      <c r="X160" s="42">
        <v>2021</v>
      </c>
      <c r="Y160" s="42">
        <v>23</v>
      </c>
      <c r="Z160" s="44">
        <v>16</v>
      </c>
      <c r="AA160" s="42">
        <v>2021</v>
      </c>
      <c r="AB160" s="42">
        <v>26</v>
      </c>
      <c r="AC160" s="44">
        <v>15.8</v>
      </c>
      <c r="AD160" s="42">
        <v>2022</v>
      </c>
      <c r="AE160" s="42">
        <v>17</v>
      </c>
      <c r="AF160" s="44">
        <v>15</v>
      </c>
      <c r="AG160" s="42">
        <v>2022</v>
      </c>
      <c r="AH160" s="42">
        <v>1</v>
      </c>
      <c r="AI160" s="44">
        <v>15</v>
      </c>
      <c r="AJ160" s="42">
        <v>2022</v>
      </c>
      <c r="AK160" s="42">
        <v>31</v>
      </c>
      <c r="AL160" s="44">
        <v>16</v>
      </c>
      <c r="AM160" s="42">
        <v>2020</v>
      </c>
      <c r="AN160" s="42">
        <v>1</v>
      </c>
      <c r="AO160" s="44">
        <v>13.6</v>
      </c>
      <c r="AP160" s="42">
        <v>2021</v>
      </c>
      <c r="AQ160" s="42">
        <v>28</v>
      </c>
    </row>
    <row r="161" spans="1:43" ht="14.45" customHeight="1" x14ac:dyDescent="0.2">
      <c r="A161" s="42">
        <v>23205030</v>
      </c>
      <c r="B161" s="42" t="s">
        <v>1054</v>
      </c>
      <c r="C161" s="42">
        <v>7.9652777779999999</v>
      </c>
      <c r="D161" s="42">
        <v>-74.059166669999996</v>
      </c>
      <c r="E161" s="42">
        <v>650</v>
      </c>
      <c r="F161" s="42" t="s">
        <v>1055</v>
      </c>
      <c r="G161" s="42" t="s">
        <v>870</v>
      </c>
      <c r="H161" s="44">
        <v>16.2</v>
      </c>
      <c r="I161" s="42">
        <v>1984</v>
      </c>
      <c r="J161" s="42">
        <v>8</v>
      </c>
      <c r="K161" s="44">
        <v>15</v>
      </c>
      <c r="L161" s="42">
        <v>2008</v>
      </c>
      <c r="M161" s="42">
        <v>24</v>
      </c>
      <c r="N161" s="44">
        <v>17.600000000000001</v>
      </c>
      <c r="O161" s="42">
        <v>1981</v>
      </c>
      <c r="P161" s="42">
        <v>19</v>
      </c>
      <c r="Q161" s="44">
        <v>15.6</v>
      </c>
      <c r="R161" s="42">
        <v>1983</v>
      </c>
      <c r="S161" s="42">
        <v>27</v>
      </c>
      <c r="T161" s="44">
        <v>17.399999999999999</v>
      </c>
      <c r="U161" s="42">
        <v>1979</v>
      </c>
      <c r="V161" s="42">
        <v>3</v>
      </c>
      <c r="W161" s="44">
        <v>17.2</v>
      </c>
      <c r="X161" s="42">
        <v>2021</v>
      </c>
      <c r="Y161" s="42">
        <v>14</v>
      </c>
      <c r="Z161" s="44">
        <v>16.2</v>
      </c>
      <c r="AA161" s="42">
        <v>1981</v>
      </c>
      <c r="AB161" s="42">
        <v>18</v>
      </c>
      <c r="AC161" s="44">
        <v>15.2</v>
      </c>
      <c r="AD161" s="42">
        <v>1982</v>
      </c>
      <c r="AE161" s="42">
        <v>17</v>
      </c>
      <c r="AF161" s="44">
        <v>16.2</v>
      </c>
      <c r="AG161" s="42">
        <v>1982</v>
      </c>
      <c r="AH161" s="42">
        <v>17</v>
      </c>
      <c r="AI161" s="44">
        <v>15.8</v>
      </c>
      <c r="AJ161" s="42">
        <v>1982</v>
      </c>
      <c r="AK161" s="42">
        <v>22</v>
      </c>
      <c r="AL161" s="44">
        <v>16.600000000000001</v>
      </c>
      <c r="AM161" s="42">
        <v>2021</v>
      </c>
      <c r="AN161" s="42">
        <v>24</v>
      </c>
      <c r="AO161" s="44">
        <v>16</v>
      </c>
      <c r="AP161" s="42">
        <v>1978</v>
      </c>
      <c r="AQ161" s="42">
        <v>19</v>
      </c>
    </row>
    <row r="162" spans="1:43" ht="14.45" customHeight="1" x14ac:dyDescent="0.2">
      <c r="A162" s="42">
        <v>44015060</v>
      </c>
      <c r="B162" s="42" t="s">
        <v>1056</v>
      </c>
      <c r="C162" s="42">
        <v>1.157333333</v>
      </c>
      <c r="D162" s="42">
        <v>-76.651833330000002</v>
      </c>
      <c r="E162" s="42">
        <v>650</v>
      </c>
      <c r="F162" s="42" t="s">
        <v>265</v>
      </c>
      <c r="G162" s="42" t="s">
        <v>264</v>
      </c>
      <c r="H162" s="44">
        <v>15</v>
      </c>
      <c r="I162" s="42">
        <v>2002</v>
      </c>
      <c r="J162" s="42">
        <v>4</v>
      </c>
      <c r="K162" s="44">
        <v>16.399999999999999</v>
      </c>
      <c r="L162" s="42">
        <v>2001</v>
      </c>
      <c r="M162" s="42">
        <v>6</v>
      </c>
      <c r="N162" s="44">
        <v>15.9</v>
      </c>
      <c r="O162" s="42">
        <v>1999</v>
      </c>
      <c r="P162" s="42">
        <v>22</v>
      </c>
      <c r="Q162" s="44">
        <v>16.600000000000001</v>
      </c>
      <c r="R162" s="42">
        <v>1999</v>
      </c>
      <c r="S162" s="42">
        <v>2</v>
      </c>
      <c r="T162" s="44">
        <v>16.5</v>
      </c>
      <c r="U162" s="42">
        <v>2010</v>
      </c>
      <c r="V162" s="42">
        <v>13</v>
      </c>
      <c r="W162" s="44">
        <v>15</v>
      </c>
      <c r="X162" s="42">
        <v>2001</v>
      </c>
      <c r="Y162" s="42">
        <v>22</v>
      </c>
      <c r="Z162" s="44">
        <v>15.4</v>
      </c>
      <c r="AA162" s="42">
        <v>2012</v>
      </c>
      <c r="AB162" s="42">
        <v>19</v>
      </c>
      <c r="AC162" s="44">
        <v>15</v>
      </c>
      <c r="AD162" s="42">
        <v>2001</v>
      </c>
      <c r="AE162" s="42">
        <v>3</v>
      </c>
      <c r="AF162" s="44">
        <v>16</v>
      </c>
      <c r="AG162" s="42">
        <v>1990</v>
      </c>
      <c r="AH162" s="42">
        <v>16</v>
      </c>
      <c r="AI162" s="44">
        <v>15.2</v>
      </c>
      <c r="AJ162" s="42">
        <v>2008</v>
      </c>
      <c r="AK162" s="42">
        <v>5</v>
      </c>
      <c r="AL162" s="44">
        <v>15.5</v>
      </c>
      <c r="AM162" s="42">
        <v>1998</v>
      </c>
      <c r="AN162" s="42">
        <v>7</v>
      </c>
      <c r="AO162" s="44">
        <v>16.5</v>
      </c>
      <c r="AP162" s="42">
        <v>2001</v>
      </c>
      <c r="AQ162" s="42">
        <v>25</v>
      </c>
    </row>
    <row r="163" spans="1:43" ht="14.45" customHeight="1" x14ac:dyDescent="0.2">
      <c r="A163" s="42">
        <v>21105040</v>
      </c>
      <c r="B163" s="42" t="s">
        <v>1057</v>
      </c>
      <c r="C163" s="42">
        <v>2.6968055560000002</v>
      </c>
      <c r="D163" s="42">
        <v>-75.298888890000001</v>
      </c>
      <c r="E163" s="42">
        <v>680</v>
      </c>
      <c r="F163" s="42" t="s">
        <v>679</v>
      </c>
      <c r="G163" s="42" t="s">
        <v>79</v>
      </c>
      <c r="H163" s="44">
        <v>17.399999999999999</v>
      </c>
      <c r="I163" s="42">
        <v>2007</v>
      </c>
      <c r="J163" s="42">
        <v>5</v>
      </c>
      <c r="K163" s="44">
        <v>15</v>
      </c>
      <c r="L163" s="42">
        <v>2018</v>
      </c>
      <c r="M163" s="42">
        <v>19</v>
      </c>
      <c r="N163" s="44">
        <v>17.8</v>
      </c>
      <c r="O163" s="42">
        <v>1999</v>
      </c>
      <c r="P163" s="42">
        <v>22</v>
      </c>
      <c r="Q163" s="44">
        <v>14.7</v>
      </c>
      <c r="R163" s="42">
        <v>2015</v>
      </c>
      <c r="S163" s="42">
        <v>10</v>
      </c>
      <c r="T163" s="44">
        <v>17.2</v>
      </c>
      <c r="U163" s="42">
        <v>1999</v>
      </c>
      <c r="V163" s="42">
        <v>5</v>
      </c>
      <c r="W163" s="44">
        <v>17</v>
      </c>
      <c r="X163" s="42">
        <v>1999</v>
      </c>
      <c r="Y163" s="42">
        <v>13</v>
      </c>
      <c r="Z163" s="44">
        <v>15.8</v>
      </c>
      <c r="AA163" s="42">
        <v>2007</v>
      </c>
      <c r="AB163" s="42">
        <v>23</v>
      </c>
      <c r="AC163" s="44">
        <v>16.2</v>
      </c>
      <c r="AD163" s="42">
        <v>1999</v>
      </c>
      <c r="AE163" s="42">
        <v>16</v>
      </c>
      <c r="AF163" s="44">
        <v>16.399999999999999</v>
      </c>
      <c r="AG163" s="42">
        <v>2006</v>
      </c>
      <c r="AH163" s="42">
        <v>26</v>
      </c>
      <c r="AI163" s="44">
        <v>16.600000000000001</v>
      </c>
      <c r="AJ163" s="42">
        <v>2006</v>
      </c>
      <c r="AK163" s="42">
        <v>15</v>
      </c>
      <c r="AL163" s="44">
        <v>15</v>
      </c>
      <c r="AM163" s="42">
        <v>2017</v>
      </c>
      <c r="AN163" s="42">
        <v>21</v>
      </c>
      <c r="AO163" s="44">
        <v>17</v>
      </c>
      <c r="AP163" s="42">
        <v>2006</v>
      </c>
      <c r="AQ163" s="42">
        <v>12</v>
      </c>
    </row>
    <row r="164" spans="1:43" ht="14.45" customHeight="1" x14ac:dyDescent="0.2">
      <c r="A164" s="42">
        <v>22055020</v>
      </c>
      <c r="B164" s="42" t="s">
        <v>1058</v>
      </c>
      <c r="C164" s="42">
        <v>3.4557777779999999</v>
      </c>
      <c r="D164" s="42">
        <v>-75.536361110000001</v>
      </c>
      <c r="E164" s="42">
        <v>699</v>
      </c>
      <c r="F164" s="42" t="s">
        <v>375</v>
      </c>
      <c r="G164" s="42" t="s">
        <v>70</v>
      </c>
      <c r="H164" s="44">
        <v>16.2</v>
      </c>
      <c r="I164" s="42">
        <v>1981</v>
      </c>
      <c r="J164" s="42">
        <v>5</v>
      </c>
      <c r="K164" s="44">
        <v>16</v>
      </c>
      <c r="L164" s="42">
        <v>2020</v>
      </c>
      <c r="M164" s="42">
        <v>7</v>
      </c>
      <c r="N164" s="44">
        <v>17</v>
      </c>
      <c r="O164" s="42">
        <v>1991</v>
      </c>
      <c r="P164" s="42">
        <v>25</v>
      </c>
      <c r="Q164" s="44">
        <v>17.399999999999999</v>
      </c>
      <c r="R164" s="42">
        <v>2004</v>
      </c>
      <c r="S164" s="42">
        <v>24</v>
      </c>
      <c r="T164" s="44">
        <v>17</v>
      </c>
      <c r="U164" s="42">
        <v>2008</v>
      </c>
      <c r="V164" s="42">
        <v>10</v>
      </c>
      <c r="W164" s="44">
        <v>17</v>
      </c>
      <c r="X164" s="42">
        <v>1991</v>
      </c>
      <c r="Y164" s="42">
        <v>15</v>
      </c>
      <c r="Z164" s="44">
        <v>16.399999999999999</v>
      </c>
      <c r="AA164" s="42">
        <v>2007</v>
      </c>
      <c r="AB164" s="42">
        <v>30</v>
      </c>
      <c r="AC164" s="44">
        <v>16.399999999999999</v>
      </c>
      <c r="AD164" s="42">
        <v>2019</v>
      </c>
      <c r="AE164" s="42">
        <v>22</v>
      </c>
      <c r="AF164" s="44">
        <v>16</v>
      </c>
      <c r="AG164" s="42">
        <v>2013</v>
      </c>
      <c r="AH164" s="42">
        <v>21</v>
      </c>
      <c r="AI164" s="44">
        <v>17.399999999999999</v>
      </c>
      <c r="AJ164" s="42">
        <v>1985</v>
      </c>
      <c r="AK164" s="42">
        <v>13</v>
      </c>
      <c r="AL164" s="44">
        <v>16.8</v>
      </c>
      <c r="AM164" s="42">
        <v>1990</v>
      </c>
      <c r="AN164" s="42">
        <v>11</v>
      </c>
      <c r="AO164" s="44">
        <v>16.2</v>
      </c>
      <c r="AP164" s="42">
        <v>2018</v>
      </c>
      <c r="AQ164" s="42">
        <v>27</v>
      </c>
    </row>
    <row r="165" spans="1:43" ht="14.45" customHeight="1" x14ac:dyDescent="0.2">
      <c r="A165" s="42">
        <v>23195110</v>
      </c>
      <c r="B165" s="42" t="s">
        <v>1059</v>
      </c>
      <c r="C165" s="42">
        <v>7.0255555559999996</v>
      </c>
      <c r="D165" s="42">
        <v>-73.167222219999999</v>
      </c>
      <c r="E165" s="42">
        <v>777</v>
      </c>
      <c r="F165" s="42" t="s">
        <v>321</v>
      </c>
      <c r="G165" s="42" t="s">
        <v>49</v>
      </c>
      <c r="H165" s="44">
        <v>14</v>
      </c>
      <c r="I165" s="42">
        <v>2015</v>
      </c>
      <c r="J165" s="42">
        <v>7</v>
      </c>
      <c r="K165" s="44">
        <v>14</v>
      </c>
      <c r="L165" s="42">
        <v>1989</v>
      </c>
      <c r="M165" s="42">
        <v>18</v>
      </c>
      <c r="N165" s="44">
        <v>14</v>
      </c>
      <c r="O165" s="42">
        <v>2002</v>
      </c>
      <c r="P165" s="42">
        <v>22</v>
      </c>
      <c r="Q165" s="44">
        <v>15.8</v>
      </c>
      <c r="R165" s="42">
        <v>1989</v>
      </c>
      <c r="S165" s="42">
        <v>3</v>
      </c>
      <c r="T165" s="44">
        <v>16</v>
      </c>
      <c r="U165" s="42">
        <v>1989</v>
      </c>
      <c r="V165" s="42">
        <v>23</v>
      </c>
      <c r="W165" s="44">
        <v>14.8</v>
      </c>
      <c r="X165" s="42">
        <v>1990</v>
      </c>
      <c r="Y165" s="42">
        <v>11</v>
      </c>
      <c r="Z165" s="44">
        <v>14</v>
      </c>
      <c r="AA165" s="42">
        <v>1983</v>
      </c>
      <c r="AB165" s="42">
        <v>8</v>
      </c>
      <c r="AC165" s="44">
        <v>16.5</v>
      </c>
      <c r="AD165" s="42">
        <v>1998</v>
      </c>
      <c r="AE165" s="42">
        <v>28</v>
      </c>
      <c r="AF165" s="44">
        <v>14</v>
      </c>
      <c r="AG165" s="42">
        <v>2003</v>
      </c>
      <c r="AH165" s="42">
        <v>7</v>
      </c>
      <c r="AI165" s="44">
        <v>16</v>
      </c>
      <c r="AJ165" s="42">
        <v>1991</v>
      </c>
      <c r="AK165" s="42">
        <v>19</v>
      </c>
      <c r="AL165" s="44">
        <v>14.5</v>
      </c>
      <c r="AM165" s="42">
        <v>2003</v>
      </c>
      <c r="AN165" s="42">
        <v>1</v>
      </c>
      <c r="AO165" s="44">
        <v>14.8</v>
      </c>
      <c r="AP165" s="42">
        <v>2009</v>
      </c>
      <c r="AQ165" s="42">
        <v>31</v>
      </c>
    </row>
    <row r="166" spans="1:43" ht="14.45" customHeight="1" x14ac:dyDescent="0.2">
      <c r="A166" s="42">
        <v>21045010</v>
      </c>
      <c r="B166" s="42" t="s">
        <v>1060</v>
      </c>
      <c r="C166" s="42">
        <v>2.2815833329999999</v>
      </c>
      <c r="D166" s="42">
        <v>-75.705083329999994</v>
      </c>
      <c r="E166" s="42">
        <v>780</v>
      </c>
      <c r="F166" s="42" t="s">
        <v>673</v>
      </c>
      <c r="G166" s="42" t="s">
        <v>79</v>
      </c>
      <c r="H166" s="44">
        <v>14.4</v>
      </c>
      <c r="I166" s="42">
        <v>2010</v>
      </c>
      <c r="J166" s="42">
        <v>4</v>
      </c>
      <c r="K166" s="44">
        <v>14.8</v>
      </c>
      <c r="L166" s="42">
        <v>1995</v>
      </c>
      <c r="M166" s="42">
        <v>16</v>
      </c>
      <c r="N166" s="44">
        <v>14.6</v>
      </c>
      <c r="O166" s="42">
        <v>2001</v>
      </c>
      <c r="P166" s="42">
        <v>13</v>
      </c>
      <c r="Q166" s="44">
        <v>14.2</v>
      </c>
      <c r="R166" s="42">
        <v>2022</v>
      </c>
      <c r="S166" s="42">
        <v>6</v>
      </c>
      <c r="T166" s="44">
        <v>13</v>
      </c>
      <c r="U166" s="42">
        <v>2022</v>
      </c>
      <c r="V166" s="42">
        <v>1</v>
      </c>
      <c r="W166" s="44">
        <v>15.4</v>
      </c>
      <c r="X166" s="42">
        <v>1986</v>
      </c>
      <c r="Y166" s="42">
        <v>3</v>
      </c>
      <c r="Z166" s="44">
        <v>13.2</v>
      </c>
      <c r="AA166" s="42">
        <v>1999</v>
      </c>
      <c r="AB166" s="42">
        <v>10</v>
      </c>
      <c r="AC166" s="44">
        <v>13</v>
      </c>
      <c r="AD166" s="42">
        <v>1989</v>
      </c>
      <c r="AE166" s="42">
        <v>7</v>
      </c>
      <c r="AF166" s="44">
        <v>13.4</v>
      </c>
      <c r="AG166" s="42">
        <v>1989</v>
      </c>
      <c r="AH166" s="42">
        <v>18</v>
      </c>
      <c r="AI166" s="44">
        <v>14.8</v>
      </c>
      <c r="AJ166" s="42">
        <v>1991</v>
      </c>
      <c r="AK166" s="42">
        <v>14</v>
      </c>
      <c r="AL166" s="44">
        <v>15.8</v>
      </c>
      <c r="AM166" s="42">
        <v>1994</v>
      </c>
      <c r="AN166" s="42">
        <v>12</v>
      </c>
      <c r="AO166" s="44">
        <v>15</v>
      </c>
      <c r="AP166" s="42">
        <v>2015</v>
      </c>
      <c r="AQ166" s="42">
        <v>21</v>
      </c>
    </row>
    <row r="167" spans="1:43" ht="14.45" customHeight="1" x14ac:dyDescent="0.2">
      <c r="A167" s="42">
        <v>23025040</v>
      </c>
      <c r="B167" s="42" t="s">
        <v>1061</v>
      </c>
      <c r="C167" s="42">
        <v>5.301108889</v>
      </c>
      <c r="D167" s="42">
        <v>-74.914580556000004</v>
      </c>
      <c r="E167" s="42">
        <v>788</v>
      </c>
      <c r="F167" s="42" t="s">
        <v>821</v>
      </c>
      <c r="G167" s="42" t="s">
        <v>70</v>
      </c>
      <c r="H167" s="44">
        <v>17</v>
      </c>
      <c r="I167" s="42">
        <v>1996</v>
      </c>
      <c r="J167" s="42">
        <v>9</v>
      </c>
      <c r="K167" s="44">
        <v>17</v>
      </c>
      <c r="L167" s="42">
        <v>1997</v>
      </c>
      <c r="M167" s="42">
        <v>5</v>
      </c>
      <c r="N167" s="44">
        <v>16</v>
      </c>
      <c r="O167" s="42">
        <v>1996</v>
      </c>
      <c r="P167" s="42">
        <v>31</v>
      </c>
      <c r="Q167" s="44">
        <v>16.8</v>
      </c>
      <c r="R167" s="42">
        <v>1997</v>
      </c>
      <c r="S167" s="42">
        <v>4</v>
      </c>
      <c r="T167" s="44">
        <v>17</v>
      </c>
      <c r="U167" s="42">
        <v>1997</v>
      </c>
      <c r="V167" s="42">
        <v>11</v>
      </c>
      <c r="W167" s="44">
        <v>17.2</v>
      </c>
      <c r="X167" s="42">
        <v>1997</v>
      </c>
      <c r="Y167" s="42">
        <v>8</v>
      </c>
      <c r="Z167" s="44">
        <v>17</v>
      </c>
      <c r="AA167" s="42">
        <v>1998</v>
      </c>
      <c r="AB167" s="42">
        <v>16</v>
      </c>
      <c r="AC167" s="44">
        <v>16</v>
      </c>
      <c r="AD167" s="42">
        <v>1999</v>
      </c>
      <c r="AE167" s="42">
        <v>4</v>
      </c>
      <c r="AF167" s="44">
        <v>17</v>
      </c>
      <c r="AG167" s="42">
        <v>1991</v>
      </c>
      <c r="AH167" s="42">
        <v>19</v>
      </c>
      <c r="AI167" s="44">
        <v>16.8</v>
      </c>
      <c r="AJ167" s="42">
        <v>2002</v>
      </c>
      <c r="AK167" s="42">
        <v>27</v>
      </c>
      <c r="AL167" s="44">
        <v>17</v>
      </c>
      <c r="AM167" s="42">
        <v>1992</v>
      </c>
      <c r="AN167" s="42">
        <v>22</v>
      </c>
      <c r="AO167" s="44">
        <v>17</v>
      </c>
      <c r="AP167" s="42">
        <v>1996</v>
      </c>
      <c r="AQ167" s="42">
        <v>28</v>
      </c>
    </row>
    <row r="168" spans="1:43" ht="14.45" customHeight="1" x14ac:dyDescent="0.2">
      <c r="A168" s="42">
        <v>23145020</v>
      </c>
      <c r="B168" s="42" t="s">
        <v>1062</v>
      </c>
      <c r="C168" s="42">
        <v>6.6963888889999996</v>
      </c>
      <c r="D168" s="42">
        <v>-73.510000000000005</v>
      </c>
      <c r="E168" s="42">
        <v>805</v>
      </c>
      <c r="F168" s="42" t="s">
        <v>783</v>
      </c>
      <c r="G168" s="42" t="s">
        <v>49</v>
      </c>
      <c r="H168" s="44">
        <v>17</v>
      </c>
      <c r="I168" s="42">
        <v>1996</v>
      </c>
      <c r="J168" s="42">
        <v>13</v>
      </c>
      <c r="K168" s="44">
        <v>17</v>
      </c>
      <c r="L168" s="42">
        <v>2000</v>
      </c>
      <c r="M168" s="42">
        <v>17</v>
      </c>
      <c r="N168" s="44">
        <v>17.2</v>
      </c>
      <c r="O168" s="42">
        <v>1995</v>
      </c>
      <c r="P168" s="42">
        <v>17</v>
      </c>
      <c r="Q168" s="44">
        <v>17</v>
      </c>
      <c r="R168" s="42">
        <v>2000</v>
      </c>
      <c r="S168" s="42">
        <v>5</v>
      </c>
      <c r="T168" s="44">
        <v>17</v>
      </c>
      <c r="U168" s="42">
        <v>2003</v>
      </c>
      <c r="V168" s="42">
        <v>19</v>
      </c>
      <c r="W168" s="44">
        <v>17</v>
      </c>
      <c r="X168" s="42">
        <v>1996</v>
      </c>
      <c r="Y168" s="42">
        <v>29</v>
      </c>
      <c r="Z168" s="44">
        <v>16.8</v>
      </c>
      <c r="AA168" s="42">
        <v>1996</v>
      </c>
      <c r="AB168" s="42">
        <v>2</v>
      </c>
      <c r="AC168" s="44">
        <v>16.8</v>
      </c>
      <c r="AD168" s="42">
        <v>1996</v>
      </c>
      <c r="AE168" s="42">
        <v>15</v>
      </c>
      <c r="AF168" s="44">
        <v>16.399999999999999</v>
      </c>
      <c r="AG168" s="42">
        <v>2015</v>
      </c>
      <c r="AH168" s="42">
        <v>30</v>
      </c>
      <c r="AI168" s="44">
        <v>17</v>
      </c>
      <c r="AJ168" s="42">
        <v>1999</v>
      </c>
      <c r="AK168" s="42">
        <v>8</v>
      </c>
      <c r="AL168" s="44">
        <v>16</v>
      </c>
      <c r="AM168" s="42">
        <v>2002</v>
      </c>
      <c r="AN168" s="42">
        <v>8</v>
      </c>
      <c r="AO168" s="44">
        <v>15</v>
      </c>
      <c r="AP168" s="42">
        <v>2002</v>
      </c>
      <c r="AQ168" s="42">
        <v>18</v>
      </c>
    </row>
    <row r="169" spans="1:43" ht="14.45" customHeight="1" x14ac:dyDescent="0.2">
      <c r="A169" s="42">
        <v>21245010</v>
      </c>
      <c r="B169" s="42" t="s">
        <v>1063</v>
      </c>
      <c r="C169" s="42">
        <v>4.4296666670000002</v>
      </c>
      <c r="D169" s="42">
        <v>-75.200522219999996</v>
      </c>
      <c r="E169" s="42">
        <v>826</v>
      </c>
      <c r="F169" s="42" t="s">
        <v>71</v>
      </c>
      <c r="G169" s="42" t="s">
        <v>70</v>
      </c>
      <c r="H169" s="44">
        <v>16</v>
      </c>
      <c r="I169" s="42">
        <v>1979</v>
      </c>
      <c r="J169" s="42">
        <v>19</v>
      </c>
      <c r="K169" s="44">
        <v>16.399999999999999</v>
      </c>
      <c r="L169" s="42">
        <v>1980</v>
      </c>
      <c r="M169" s="42">
        <v>21</v>
      </c>
      <c r="N169" s="44">
        <v>16.399999999999999</v>
      </c>
      <c r="O169" s="42">
        <v>1989</v>
      </c>
      <c r="P169" s="42">
        <v>17</v>
      </c>
      <c r="Q169" s="44">
        <v>16</v>
      </c>
      <c r="R169" s="42">
        <v>1991</v>
      </c>
      <c r="S169" s="42">
        <v>12</v>
      </c>
      <c r="T169" s="44">
        <v>16.399999999999999</v>
      </c>
      <c r="U169" s="42">
        <v>1990</v>
      </c>
      <c r="V169" s="42">
        <v>24</v>
      </c>
      <c r="W169" s="44">
        <v>16</v>
      </c>
      <c r="X169" s="42">
        <v>1979</v>
      </c>
      <c r="Y169" s="42">
        <v>7</v>
      </c>
      <c r="Z169" s="44">
        <v>16</v>
      </c>
      <c r="AA169" s="42">
        <v>1984</v>
      </c>
      <c r="AB169" s="42">
        <v>21</v>
      </c>
      <c r="AC169" s="44">
        <v>16.2</v>
      </c>
      <c r="AD169" s="42">
        <v>1991</v>
      </c>
      <c r="AE169" s="42">
        <v>18</v>
      </c>
      <c r="AF169" s="44">
        <v>16</v>
      </c>
      <c r="AG169" s="42">
        <v>1990</v>
      </c>
      <c r="AH169" s="42">
        <v>29</v>
      </c>
      <c r="AI169" s="44">
        <v>16</v>
      </c>
      <c r="AJ169" s="42">
        <v>1990</v>
      </c>
      <c r="AK169" s="42">
        <v>13</v>
      </c>
      <c r="AL169" s="44">
        <v>16</v>
      </c>
      <c r="AM169" s="42">
        <v>1985</v>
      </c>
      <c r="AN169" s="42">
        <v>1</v>
      </c>
      <c r="AO169" s="44">
        <v>16</v>
      </c>
      <c r="AP169" s="42">
        <v>1985</v>
      </c>
      <c r="AQ169" s="42">
        <v>30</v>
      </c>
    </row>
    <row r="170" spans="1:43" ht="14.45" customHeight="1" x14ac:dyDescent="0.2">
      <c r="A170" s="42">
        <v>23085080</v>
      </c>
      <c r="B170" s="42" t="s">
        <v>1064</v>
      </c>
      <c r="C170" s="42">
        <v>6.4835833330000003</v>
      </c>
      <c r="D170" s="42">
        <v>-74.836694440000002</v>
      </c>
      <c r="E170" s="42">
        <v>859</v>
      </c>
      <c r="F170" s="42" t="s">
        <v>485</v>
      </c>
      <c r="G170" s="42" t="s">
        <v>57</v>
      </c>
      <c r="H170" s="44">
        <v>13.8</v>
      </c>
      <c r="I170" s="42">
        <v>1997</v>
      </c>
      <c r="J170" s="42">
        <v>2</v>
      </c>
      <c r="K170" s="44">
        <v>13</v>
      </c>
      <c r="L170" s="42">
        <v>1992</v>
      </c>
      <c r="M170" s="42">
        <v>7</v>
      </c>
      <c r="N170" s="44">
        <v>13</v>
      </c>
      <c r="O170" s="42">
        <v>1996</v>
      </c>
      <c r="P170" s="42">
        <v>17</v>
      </c>
      <c r="Q170" s="44">
        <v>12.2</v>
      </c>
      <c r="R170" s="42">
        <v>1996</v>
      </c>
      <c r="S170" s="42">
        <v>20</v>
      </c>
      <c r="T170" s="44">
        <v>15</v>
      </c>
      <c r="U170" s="42">
        <v>1995</v>
      </c>
      <c r="V170" s="42">
        <v>17</v>
      </c>
      <c r="W170" s="44">
        <v>11.2</v>
      </c>
      <c r="X170" s="42">
        <v>2015</v>
      </c>
      <c r="Y170" s="42">
        <v>30</v>
      </c>
      <c r="Z170" s="44">
        <v>11</v>
      </c>
      <c r="AA170" s="42">
        <v>2015</v>
      </c>
      <c r="AB170" s="42">
        <v>1</v>
      </c>
      <c r="AC170" s="44">
        <v>11.6</v>
      </c>
      <c r="AD170" s="42">
        <v>2015</v>
      </c>
      <c r="AE170" s="42">
        <v>3</v>
      </c>
      <c r="AF170" s="44">
        <v>11</v>
      </c>
      <c r="AG170" s="42">
        <v>2015</v>
      </c>
      <c r="AH170" s="42">
        <v>5</v>
      </c>
      <c r="AI170" s="44">
        <v>12.4</v>
      </c>
      <c r="AJ170" s="42">
        <v>1996</v>
      </c>
      <c r="AK170" s="42">
        <v>16</v>
      </c>
      <c r="AL170" s="44">
        <v>14</v>
      </c>
      <c r="AM170" s="42">
        <v>1984</v>
      </c>
      <c r="AN170" s="42">
        <v>25</v>
      </c>
      <c r="AO170" s="44">
        <v>13</v>
      </c>
      <c r="AP170" s="42">
        <v>2013</v>
      </c>
      <c r="AQ170" s="42">
        <v>20</v>
      </c>
    </row>
    <row r="171" spans="1:43" ht="14.45" customHeight="1" x14ac:dyDescent="0.2">
      <c r="A171" s="42">
        <v>16025030</v>
      </c>
      <c r="B171" s="42" t="s">
        <v>1065</v>
      </c>
      <c r="C171" s="42">
        <v>7.7745833329999998</v>
      </c>
      <c r="D171" s="42">
        <v>-72.830555559999993</v>
      </c>
      <c r="E171" s="42">
        <v>860</v>
      </c>
      <c r="F171" s="42" t="s">
        <v>305</v>
      </c>
      <c r="G171" s="42" t="s">
        <v>300</v>
      </c>
      <c r="H171" s="44">
        <v>10</v>
      </c>
      <c r="I171" s="42">
        <v>1991</v>
      </c>
      <c r="J171" s="42">
        <v>8</v>
      </c>
      <c r="K171" s="44">
        <v>13</v>
      </c>
      <c r="L171" s="42">
        <v>1999</v>
      </c>
      <c r="M171" s="42">
        <v>6</v>
      </c>
      <c r="N171" s="44">
        <v>13.8</v>
      </c>
      <c r="O171" s="42">
        <v>2002</v>
      </c>
      <c r="P171" s="42">
        <v>10</v>
      </c>
      <c r="Q171" s="44">
        <v>13.8</v>
      </c>
      <c r="R171" s="42">
        <v>2002</v>
      </c>
      <c r="S171" s="42">
        <v>9</v>
      </c>
      <c r="T171" s="44">
        <v>14</v>
      </c>
      <c r="U171" s="42">
        <v>2004</v>
      </c>
      <c r="V171" s="42">
        <v>3</v>
      </c>
      <c r="W171" s="44">
        <v>15</v>
      </c>
      <c r="X171" s="42">
        <v>2001</v>
      </c>
      <c r="Y171" s="42">
        <v>3</v>
      </c>
      <c r="Z171" s="44">
        <v>13</v>
      </c>
      <c r="AA171" s="42">
        <v>2004</v>
      </c>
      <c r="AB171" s="42">
        <v>4</v>
      </c>
      <c r="AC171" s="44">
        <v>15.2</v>
      </c>
      <c r="AD171" s="42">
        <v>2000</v>
      </c>
      <c r="AE171" s="42">
        <v>12</v>
      </c>
      <c r="AF171" s="44">
        <v>15.2</v>
      </c>
      <c r="AG171" s="42">
        <v>2007</v>
      </c>
      <c r="AH171" s="42">
        <v>1</v>
      </c>
      <c r="AI171" s="44">
        <v>16</v>
      </c>
      <c r="AJ171" s="42">
        <v>1990</v>
      </c>
      <c r="AK171" s="42">
        <v>28</v>
      </c>
      <c r="AL171" s="44">
        <v>15.2</v>
      </c>
      <c r="AM171" s="42">
        <v>1984</v>
      </c>
      <c r="AN171" s="42">
        <v>26</v>
      </c>
      <c r="AO171" s="44">
        <v>14.2</v>
      </c>
      <c r="AP171" s="42">
        <v>2000</v>
      </c>
      <c r="AQ171" s="42">
        <v>16</v>
      </c>
    </row>
    <row r="172" spans="1:43" ht="14.45" customHeight="1" x14ac:dyDescent="0.2">
      <c r="A172" s="42">
        <v>22045010</v>
      </c>
      <c r="B172" s="42" t="s">
        <v>1066</v>
      </c>
      <c r="C172" s="42">
        <v>3.7224444440000002</v>
      </c>
      <c r="D172" s="42">
        <v>-75.503444439999996</v>
      </c>
      <c r="E172" s="42">
        <v>895</v>
      </c>
      <c r="F172" s="42" t="s">
        <v>373</v>
      </c>
      <c r="G172" s="42" t="s">
        <v>70</v>
      </c>
      <c r="H172" s="44">
        <v>16.8</v>
      </c>
      <c r="I172" s="42">
        <v>1997</v>
      </c>
      <c r="J172" s="42">
        <v>19</v>
      </c>
      <c r="K172" s="44">
        <v>16.8</v>
      </c>
      <c r="L172" s="42">
        <v>2004</v>
      </c>
      <c r="M172" s="42">
        <v>24</v>
      </c>
      <c r="N172" s="44">
        <v>16.8</v>
      </c>
      <c r="O172" s="42">
        <v>2001</v>
      </c>
      <c r="P172" s="42">
        <v>20</v>
      </c>
      <c r="Q172" s="44">
        <v>16.8</v>
      </c>
      <c r="R172" s="42">
        <v>2004</v>
      </c>
      <c r="S172" s="42">
        <v>3</v>
      </c>
      <c r="T172" s="44">
        <v>16.8</v>
      </c>
      <c r="U172" s="42">
        <v>1996</v>
      </c>
      <c r="V172" s="42">
        <v>25</v>
      </c>
      <c r="W172" s="44">
        <v>16.8</v>
      </c>
      <c r="X172" s="42">
        <v>2002</v>
      </c>
      <c r="Y172" s="42">
        <v>16</v>
      </c>
      <c r="Z172" s="44">
        <v>16.8</v>
      </c>
      <c r="AA172" s="42">
        <v>2000</v>
      </c>
      <c r="AB172" s="42">
        <v>30</v>
      </c>
      <c r="AC172" s="44">
        <v>16.8</v>
      </c>
      <c r="AD172" s="42">
        <v>2004</v>
      </c>
      <c r="AE172" s="42">
        <v>27</v>
      </c>
      <c r="AF172" s="44">
        <v>16.8</v>
      </c>
      <c r="AG172" s="42">
        <v>2003</v>
      </c>
      <c r="AH172" s="42">
        <v>18</v>
      </c>
      <c r="AI172" s="44">
        <v>17</v>
      </c>
      <c r="AJ172" s="42">
        <v>1978</v>
      </c>
      <c r="AK172" s="42">
        <v>23</v>
      </c>
      <c r="AL172" s="44">
        <v>16.8</v>
      </c>
      <c r="AM172" s="42">
        <v>2003</v>
      </c>
      <c r="AN172" s="42">
        <v>8</v>
      </c>
      <c r="AO172" s="44">
        <v>16.8</v>
      </c>
      <c r="AP172" s="42">
        <v>1996</v>
      </c>
      <c r="AQ172" s="42">
        <v>10</v>
      </c>
    </row>
    <row r="173" spans="1:43" ht="14.45" customHeight="1" x14ac:dyDescent="0.2">
      <c r="A173" s="42">
        <v>24055040</v>
      </c>
      <c r="B173" s="42" t="s">
        <v>1067</v>
      </c>
      <c r="C173" s="42">
        <v>6.5497222219999998</v>
      </c>
      <c r="D173" s="42">
        <v>-73.292000000000002</v>
      </c>
      <c r="E173" s="42">
        <v>940</v>
      </c>
      <c r="F173" s="42" t="s">
        <v>330</v>
      </c>
      <c r="G173" s="42" t="s">
        <v>49</v>
      </c>
      <c r="H173" s="44">
        <v>15.4</v>
      </c>
      <c r="I173" s="42">
        <v>2017</v>
      </c>
      <c r="J173" s="42">
        <v>23</v>
      </c>
      <c r="K173" s="44">
        <v>16.600000000000001</v>
      </c>
      <c r="L173" s="42">
        <v>2004</v>
      </c>
      <c r="M173" s="42">
        <v>2</v>
      </c>
      <c r="N173" s="44">
        <v>17.2</v>
      </c>
      <c r="O173" s="42">
        <v>1984</v>
      </c>
      <c r="P173" s="42">
        <v>16</v>
      </c>
      <c r="Q173" s="44">
        <v>16</v>
      </c>
      <c r="R173" s="42">
        <v>1993</v>
      </c>
      <c r="S173" s="42">
        <v>29</v>
      </c>
      <c r="T173" s="44">
        <v>16.399999999999999</v>
      </c>
      <c r="U173" s="42">
        <v>1985</v>
      </c>
      <c r="V173" s="42">
        <v>2</v>
      </c>
      <c r="W173" s="44">
        <v>14</v>
      </c>
      <c r="X173" s="42">
        <v>2020</v>
      </c>
      <c r="Y173" s="42">
        <v>21</v>
      </c>
      <c r="Z173" s="44">
        <v>15.6</v>
      </c>
      <c r="AA173" s="42">
        <v>1985</v>
      </c>
      <c r="AB173" s="42">
        <v>16</v>
      </c>
      <c r="AC173" s="44">
        <v>17</v>
      </c>
      <c r="AD173" s="42">
        <v>1998</v>
      </c>
      <c r="AE173" s="42">
        <v>13</v>
      </c>
      <c r="AF173" s="44">
        <v>16.2</v>
      </c>
      <c r="AG173" s="42">
        <v>1984</v>
      </c>
      <c r="AH173" s="42">
        <v>2</v>
      </c>
      <c r="AI173" s="44">
        <v>16.600000000000001</v>
      </c>
      <c r="AJ173" s="42">
        <v>2009</v>
      </c>
      <c r="AK173" s="42">
        <v>1</v>
      </c>
      <c r="AL173" s="44">
        <v>16.399999999999999</v>
      </c>
      <c r="AM173" s="42">
        <v>1999</v>
      </c>
      <c r="AN173" s="42">
        <v>22</v>
      </c>
      <c r="AO173" s="44">
        <v>15.6</v>
      </c>
      <c r="AP173" s="42">
        <v>2000</v>
      </c>
      <c r="AQ173" s="42">
        <v>17</v>
      </c>
    </row>
    <row r="174" spans="1:43" ht="14.45" customHeight="1" x14ac:dyDescent="0.2">
      <c r="A174" s="42">
        <v>21245040</v>
      </c>
      <c r="B174" s="42" t="s">
        <v>1068</v>
      </c>
      <c r="C174" s="42">
        <v>4.424138889</v>
      </c>
      <c r="D174" s="42">
        <v>-75.139416670000003</v>
      </c>
      <c r="E174" s="42">
        <v>943</v>
      </c>
      <c r="F174" s="42" t="s">
        <v>71</v>
      </c>
      <c r="G174" s="42" t="s">
        <v>70</v>
      </c>
      <c r="H174" s="44">
        <v>15.3</v>
      </c>
      <c r="I174" s="42">
        <v>1995</v>
      </c>
      <c r="J174" s="42">
        <v>14</v>
      </c>
      <c r="K174" s="44">
        <v>15.9</v>
      </c>
      <c r="L174" s="42">
        <v>1982</v>
      </c>
      <c r="M174" s="42">
        <v>16</v>
      </c>
      <c r="N174" s="44">
        <v>15.2</v>
      </c>
      <c r="O174" s="42">
        <v>1982</v>
      </c>
      <c r="P174" s="42">
        <v>10</v>
      </c>
      <c r="Q174" s="44">
        <v>16.2</v>
      </c>
      <c r="R174" s="42">
        <v>1982</v>
      </c>
      <c r="S174" s="42">
        <v>27</v>
      </c>
      <c r="T174" s="44">
        <v>16.2</v>
      </c>
      <c r="U174" s="42">
        <v>1978</v>
      </c>
      <c r="V174" s="42">
        <v>5</v>
      </c>
      <c r="W174" s="44">
        <v>15.3</v>
      </c>
      <c r="X174" s="42">
        <v>2009</v>
      </c>
      <c r="Y174" s="42">
        <v>24</v>
      </c>
      <c r="Z174" s="44">
        <v>15.2</v>
      </c>
      <c r="AA174" s="42">
        <v>1984</v>
      </c>
      <c r="AB174" s="42">
        <v>23</v>
      </c>
      <c r="AC174" s="44">
        <v>15.8</v>
      </c>
      <c r="AD174" s="42">
        <v>1999</v>
      </c>
      <c r="AE174" s="42">
        <v>4</v>
      </c>
      <c r="AF174" s="44">
        <v>15.4</v>
      </c>
      <c r="AG174" s="42">
        <v>1989</v>
      </c>
      <c r="AH174" s="42">
        <v>14</v>
      </c>
      <c r="AI174" s="44">
        <v>16.2</v>
      </c>
      <c r="AJ174" s="42">
        <v>2010</v>
      </c>
      <c r="AK174" s="42">
        <v>25</v>
      </c>
      <c r="AL174" s="44">
        <v>15.2</v>
      </c>
      <c r="AM174" s="42">
        <v>2003</v>
      </c>
      <c r="AN174" s="42">
        <v>4</v>
      </c>
      <c r="AO174" s="44">
        <v>15.8</v>
      </c>
      <c r="AP174" s="42">
        <v>1999</v>
      </c>
      <c r="AQ174" s="42">
        <v>29</v>
      </c>
    </row>
    <row r="175" spans="1:43" ht="14.45" customHeight="1" x14ac:dyDescent="0.2">
      <c r="A175" s="42">
        <v>21195060</v>
      </c>
      <c r="B175" s="42" t="s">
        <v>1069</v>
      </c>
      <c r="C175" s="42">
        <v>4.1927222220000004</v>
      </c>
      <c r="D175" s="42">
        <v>-74.487416670000002</v>
      </c>
      <c r="E175" s="42">
        <v>950</v>
      </c>
      <c r="F175" s="42" t="s">
        <v>381</v>
      </c>
      <c r="G175" s="42" t="s">
        <v>73</v>
      </c>
      <c r="H175" s="44">
        <v>14.3</v>
      </c>
      <c r="I175" s="42">
        <v>2006</v>
      </c>
      <c r="J175" s="42">
        <v>5</v>
      </c>
      <c r="K175" s="44">
        <v>15.1</v>
      </c>
      <c r="L175" s="42">
        <v>2006</v>
      </c>
      <c r="M175" s="42">
        <v>21</v>
      </c>
      <c r="N175" s="44">
        <v>14.2</v>
      </c>
      <c r="O175" s="42">
        <v>2006</v>
      </c>
      <c r="P175" s="42">
        <v>14</v>
      </c>
      <c r="Q175" s="44">
        <v>16.8</v>
      </c>
      <c r="R175" s="42">
        <v>2002</v>
      </c>
      <c r="S175" s="42">
        <v>8</v>
      </c>
      <c r="T175" s="44">
        <v>16.600000000000001</v>
      </c>
      <c r="U175" s="42">
        <v>2002</v>
      </c>
      <c r="V175" s="42">
        <v>29</v>
      </c>
      <c r="W175" s="44">
        <v>15.6</v>
      </c>
      <c r="X175" s="42">
        <v>2002</v>
      </c>
      <c r="Y175" s="42">
        <v>5</v>
      </c>
      <c r="Z175" s="44">
        <v>16.8</v>
      </c>
      <c r="AA175" s="42">
        <v>1981</v>
      </c>
      <c r="AB175" s="42">
        <v>18</v>
      </c>
      <c r="AC175" s="44">
        <v>16.2</v>
      </c>
      <c r="AD175" s="42">
        <v>2008</v>
      </c>
      <c r="AE175" s="42">
        <v>9</v>
      </c>
      <c r="AF175" s="44">
        <v>14.8</v>
      </c>
      <c r="AG175" s="42">
        <v>2024</v>
      </c>
      <c r="AH175" s="42">
        <v>8</v>
      </c>
      <c r="AI175" s="44">
        <v>16.399999999999999</v>
      </c>
      <c r="AJ175" s="42">
        <v>1981</v>
      </c>
      <c r="AK175" s="42">
        <v>7</v>
      </c>
      <c r="AL175" s="44">
        <v>14.4</v>
      </c>
      <c r="AM175" s="42">
        <v>2005</v>
      </c>
      <c r="AN175" s="42">
        <v>26</v>
      </c>
      <c r="AO175" s="44">
        <v>14.2</v>
      </c>
      <c r="AP175" s="42">
        <v>2023</v>
      </c>
      <c r="AQ175" s="42">
        <v>1</v>
      </c>
    </row>
    <row r="176" spans="1:43" ht="14.45" customHeight="1" x14ac:dyDescent="0.2">
      <c r="A176" s="42">
        <v>26105110</v>
      </c>
      <c r="B176" s="42" t="s">
        <v>1070</v>
      </c>
      <c r="C176" s="42">
        <v>4.3244999999999996</v>
      </c>
      <c r="D176" s="42">
        <v>-76.084527780000002</v>
      </c>
      <c r="E176" s="42">
        <v>954</v>
      </c>
      <c r="F176" s="42" t="s">
        <v>844</v>
      </c>
      <c r="G176" s="42" t="s">
        <v>341</v>
      </c>
      <c r="H176" s="44">
        <v>13.4</v>
      </c>
      <c r="I176" s="42">
        <v>2017</v>
      </c>
      <c r="J176" s="42">
        <v>23</v>
      </c>
      <c r="K176" s="44">
        <v>13</v>
      </c>
      <c r="L176" s="42">
        <v>2004</v>
      </c>
      <c r="M176" s="42">
        <v>26</v>
      </c>
      <c r="N176" s="44">
        <v>13</v>
      </c>
      <c r="O176" s="42">
        <v>2004</v>
      </c>
      <c r="P176" s="42">
        <v>1</v>
      </c>
      <c r="Q176" s="44">
        <v>14.2</v>
      </c>
      <c r="R176" s="42">
        <v>1995</v>
      </c>
      <c r="S176" s="42">
        <v>19</v>
      </c>
      <c r="T176" s="44">
        <v>13</v>
      </c>
      <c r="U176" s="42">
        <v>1993</v>
      </c>
      <c r="V176" s="42">
        <v>1</v>
      </c>
      <c r="W176" s="44">
        <v>13.6</v>
      </c>
      <c r="X176" s="42">
        <v>1995</v>
      </c>
      <c r="Y176" s="42">
        <v>19</v>
      </c>
      <c r="Z176" s="44">
        <v>13</v>
      </c>
      <c r="AA176" s="42">
        <v>1995</v>
      </c>
      <c r="AB176" s="42">
        <v>24</v>
      </c>
      <c r="AC176" s="44">
        <v>13.2</v>
      </c>
      <c r="AD176" s="42">
        <v>1994</v>
      </c>
      <c r="AE176" s="42">
        <v>15</v>
      </c>
      <c r="AF176" s="44">
        <v>14.2</v>
      </c>
      <c r="AG176" s="42">
        <v>2004</v>
      </c>
      <c r="AH176" s="42">
        <v>21</v>
      </c>
      <c r="AI176" s="44">
        <v>13</v>
      </c>
      <c r="AJ176" s="42">
        <v>1995</v>
      </c>
      <c r="AK176" s="42">
        <v>7</v>
      </c>
      <c r="AL176" s="44">
        <v>14</v>
      </c>
      <c r="AM176" s="42">
        <v>2004</v>
      </c>
      <c r="AN176" s="42">
        <v>1</v>
      </c>
      <c r="AO176" s="44">
        <v>13.2</v>
      </c>
      <c r="AP176" s="42">
        <v>1993</v>
      </c>
      <c r="AQ176" s="42">
        <v>1</v>
      </c>
    </row>
    <row r="177" spans="1:43" ht="14.45" customHeight="1" x14ac:dyDescent="0.2">
      <c r="A177" s="42">
        <v>26075040</v>
      </c>
      <c r="B177" s="42" t="s">
        <v>1071</v>
      </c>
      <c r="C177" s="42">
        <v>3.5366888890000001</v>
      </c>
      <c r="D177" s="42">
        <v>-76.386638888999997</v>
      </c>
      <c r="E177" s="42">
        <v>970</v>
      </c>
      <c r="F177" s="42" t="s">
        <v>77</v>
      </c>
      <c r="G177" s="42" t="s">
        <v>341</v>
      </c>
      <c r="H177" s="44">
        <v>13.7</v>
      </c>
      <c r="I177" s="42">
        <v>2017</v>
      </c>
      <c r="J177" s="42">
        <v>23</v>
      </c>
      <c r="K177" s="44">
        <v>15.2</v>
      </c>
      <c r="L177" s="42">
        <v>1995</v>
      </c>
      <c r="M177" s="42">
        <v>23</v>
      </c>
      <c r="N177" s="44">
        <v>14</v>
      </c>
      <c r="O177" s="42">
        <v>1993</v>
      </c>
      <c r="P177" s="42">
        <v>23</v>
      </c>
      <c r="Q177" s="44">
        <v>15</v>
      </c>
      <c r="R177" s="42">
        <v>1981</v>
      </c>
      <c r="S177" s="42">
        <v>28</v>
      </c>
      <c r="T177" s="44">
        <v>12.6</v>
      </c>
      <c r="U177" s="42">
        <v>2018</v>
      </c>
      <c r="V177" s="42">
        <v>29</v>
      </c>
      <c r="W177" s="44">
        <v>15.6</v>
      </c>
      <c r="X177" s="42">
        <v>2004</v>
      </c>
      <c r="Y177" s="42">
        <v>6</v>
      </c>
      <c r="Z177" s="44">
        <v>13.6</v>
      </c>
      <c r="AA177" s="42">
        <v>1981</v>
      </c>
      <c r="AB177" s="42">
        <v>25</v>
      </c>
      <c r="AC177" s="44">
        <v>13.4</v>
      </c>
      <c r="AD177" s="42">
        <v>1978</v>
      </c>
      <c r="AE177" s="42">
        <v>18</v>
      </c>
      <c r="AF177" s="44">
        <v>14.2</v>
      </c>
      <c r="AG177" s="42">
        <v>1976</v>
      </c>
      <c r="AH177" s="42">
        <v>30</v>
      </c>
      <c r="AI177" s="44">
        <v>15</v>
      </c>
      <c r="AJ177" s="42">
        <v>1976</v>
      </c>
      <c r="AK177" s="42">
        <v>10</v>
      </c>
      <c r="AL177" s="44">
        <v>13.1</v>
      </c>
      <c r="AM177" s="42">
        <v>2016</v>
      </c>
      <c r="AN177" s="42">
        <v>22</v>
      </c>
      <c r="AO177" s="44">
        <v>15.4</v>
      </c>
      <c r="AP177" s="42">
        <v>1990</v>
      </c>
      <c r="AQ177" s="42">
        <v>13</v>
      </c>
    </row>
    <row r="178" spans="1:43" ht="14.45" customHeight="1" x14ac:dyDescent="0.2">
      <c r="A178" s="42">
        <v>26085170</v>
      </c>
      <c r="B178" s="42" t="s">
        <v>1072</v>
      </c>
      <c r="C178" s="42">
        <v>3.4544139999999999</v>
      </c>
      <c r="D178" s="42">
        <v>-76.499948000000003</v>
      </c>
      <c r="E178" s="42">
        <v>971</v>
      </c>
      <c r="F178" s="42" t="s">
        <v>834</v>
      </c>
      <c r="G178" s="42" t="s">
        <v>341</v>
      </c>
      <c r="H178" s="44">
        <v>16</v>
      </c>
      <c r="I178" s="42">
        <v>2001</v>
      </c>
      <c r="J178" s="42">
        <v>18</v>
      </c>
      <c r="K178" s="44">
        <v>16.2</v>
      </c>
      <c r="L178" s="42">
        <v>2008</v>
      </c>
      <c r="M178" s="42">
        <v>20</v>
      </c>
      <c r="N178" s="44">
        <v>17.399999999999999</v>
      </c>
      <c r="O178" s="42">
        <v>2008</v>
      </c>
      <c r="P178" s="42">
        <v>13</v>
      </c>
      <c r="Q178" s="44">
        <v>15.8</v>
      </c>
      <c r="R178" s="42">
        <v>2006</v>
      </c>
      <c r="S178" s="42">
        <v>14</v>
      </c>
      <c r="T178" s="44">
        <v>15.2</v>
      </c>
      <c r="U178" s="42">
        <v>1999</v>
      </c>
      <c r="V178" s="42">
        <v>20</v>
      </c>
      <c r="W178" s="44">
        <v>16.399999999999999</v>
      </c>
      <c r="X178" s="42">
        <v>2008</v>
      </c>
      <c r="Y178" s="42">
        <v>26</v>
      </c>
      <c r="Z178" s="44">
        <v>15.6</v>
      </c>
      <c r="AA178" s="42">
        <v>2009</v>
      </c>
      <c r="AB178" s="42">
        <v>16</v>
      </c>
      <c r="AC178" s="44">
        <v>16</v>
      </c>
      <c r="AD178" s="42">
        <v>2002</v>
      </c>
      <c r="AE178" s="42">
        <v>1</v>
      </c>
      <c r="AF178" s="44">
        <v>16.8</v>
      </c>
      <c r="AG178" s="42">
        <v>2010</v>
      </c>
      <c r="AH178" s="42">
        <v>8</v>
      </c>
      <c r="AI178" s="44">
        <v>15.4</v>
      </c>
      <c r="AJ178" s="42">
        <v>1997</v>
      </c>
      <c r="AK178" s="42">
        <v>14</v>
      </c>
      <c r="AL178" s="44">
        <v>17</v>
      </c>
      <c r="AM178" s="42">
        <v>2003</v>
      </c>
      <c r="AN178" s="42">
        <v>1</v>
      </c>
      <c r="AO178" s="44">
        <v>13.8</v>
      </c>
      <c r="AP178" s="42">
        <v>1990</v>
      </c>
      <c r="AQ178" s="42">
        <v>9</v>
      </c>
    </row>
    <row r="179" spans="1:43" ht="14.45" customHeight="1" x14ac:dyDescent="0.2">
      <c r="A179" s="42">
        <v>24025020</v>
      </c>
      <c r="B179" s="42" t="s">
        <v>1073</v>
      </c>
      <c r="C179" s="42">
        <v>6.5322222219999997</v>
      </c>
      <c r="D179" s="42">
        <v>-73.199166669999997</v>
      </c>
      <c r="E179" s="42">
        <v>975</v>
      </c>
      <c r="F179" s="42" t="s">
        <v>789</v>
      </c>
      <c r="G179" s="42" t="s">
        <v>49</v>
      </c>
      <c r="H179" s="44">
        <v>13.2</v>
      </c>
      <c r="I179" s="42">
        <v>1991</v>
      </c>
      <c r="J179" s="42">
        <v>21</v>
      </c>
      <c r="K179" s="44">
        <v>13.4</v>
      </c>
      <c r="L179" s="42">
        <v>1985</v>
      </c>
      <c r="M179" s="42">
        <v>7</v>
      </c>
      <c r="N179" s="44">
        <v>15.4</v>
      </c>
      <c r="O179" s="42">
        <v>1989</v>
      </c>
      <c r="P179" s="42">
        <v>30</v>
      </c>
      <c r="Q179" s="44">
        <v>14</v>
      </c>
      <c r="R179" s="42">
        <v>1979</v>
      </c>
      <c r="S179" s="42">
        <v>30</v>
      </c>
      <c r="T179" s="44">
        <v>15.4</v>
      </c>
      <c r="U179" s="42">
        <v>1988</v>
      </c>
      <c r="V179" s="42">
        <v>2</v>
      </c>
      <c r="W179" s="44">
        <v>16</v>
      </c>
      <c r="X179" s="42">
        <v>1984</v>
      </c>
      <c r="Y179" s="42">
        <v>21</v>
      </c>
      <c r="Z179" s="44">
        <v>14.8</v>
      </c>
      <c r="AA179" s="42">
        <v>2001</v>
      </c>
      <c r="AB179" s="42">
        <v>17</v>
      </c>
      <c r="AC179" s="44">
        <v>15.8</v>
      </c>
      <c r="AD179" s="42">
        <v>2001</v>
      </c>
      <c r="AE179" s="42">
        <v>9</v>
      </c>
      <c r="AF179" s="44">
        <v>15.8</v>
      </c>
      <c r="AG179" s="42">
        <v>1999</v>
      </c>
      <c r="AH179" s="42">
        <v>29</v>
      </c>
      <c r="AI179" s="44">
        <v>14.2</v>
      </c>
      <c r="AJ179" s="42">
        <v>1984</v>
      </c>
      <c r="AK179" s="42">
        <v>7</v>
      </c>
      <c r="AL179" s="44">
        <v>14.8</v>
      </c>
      <c r="AM179" s="42">
        <v>1999</v>
      </c>
      <c r="AN179" s="42">
        <v>22</v>
      </c>
      <c r="AO179" s="44">
        <v>14</v>
      </c>
      <c r="AP179" s="42">
        <v>1981</v>
      </c>
      <c r="AQ179" s="42">
        <v>23</v>
      </c>
    </row>
    <row r="180" spans="1:43" ht="14.45" customHeight="1" x14ac:dyDescent="0.2">
      <c r="A180" s="42">
        <v>26095320</v>
      </c>
      <c r="B180" s="42" t="s">
        <v>1074</v>
      </c>
      <c r="C180" s="42">
        <v>3.360416667</v>
      </c>
      <c r="D180" s="42">
        <v>-76.300005556000002</v>
      </c>
      <c r="E180" s="42">
        <v>980</v>
      </c>
      <c r="F180" s="42" t="s">
        <v>837</v>
      </c>
      <c r="G180" s="42" t="s">
        <v>341</v>
      </c>
      <c r="H180" s="44">
        <v>15</v>
      </c>
      <c r="I180" s="42">
        <v>1984</v>
      </c>
      <c r="J180" s="42">
        <v>18</v>
      </c>
      <c r="K180" s="44">
        <v>14.8</v>
      </c>
      <c r="L180" s="42">
        <v>1984</v>
      </c>
      <c r="M180" s="42">
        <v>14</v>
      </c>
      <c r="N180" s="44">
        <v>15.2</v>
      </c>
      <c r="O180" s="42">
        <v>2020</v>
      </c>
      <c r="P180" s="42">
        <v>22</v>
      </c>
      <c r="Q180" s="44">
        <v>14</v>
      </c>
      <c r="R180" s="42">
        <v>1999</v>
      </c>
      <c r="S180" s="42">
        <v>7</v>
      </c>
      <c r="T180" s="44">
        <v>15</v>
      </c>
      <c r="U180" s="42">
        <v>1999</v>
      </c>
      <c r="V180" s="42">
        <v>2</v>
      </c>
      <c r="W180" s="44">
        <v>15</v>
      </c>
      <c r="X180" s="42">
        <v>1987</v>
      </c>
      <c r="Y180" s="42">
        <v>20</v>
      </c>
      <c r="Z180" s="44">
        <v>14.6</v>
      </c>
      <c r="AA180" s="42">
        <v>1984</v>
      </c>
      <c r="AB180" s="42">
        <v>2</v>
      </c>
      <c r="AC180" s="44">
        <v>14</v>
      </c>
      <c r="AD180" s="42">
        <v>2019</v>
      </c>
      <c r="AE180" s="42">
        <v>15</v>
      </c>
      <c r="AF180" s="44">
        <v>15</v>
      </c>
      <c r="AG180" s="42">
        <v>2014</v>
      </c>
      <c r="AH180" s="42">
        <v>25</v>
      </c>
      <c r="AI180" s="44">
        <v>14.6</v>
      </c>
      <c r="AJ180" s="42">
        <v>1983</v>
      </c>
      <c r="AK180" s="42">
        <v>17</v>
      </c>
      <c r="AL180" s="44">
        <v>14.2</v>
      </c>
      <c r="AM180" s="42">
        <v>1985</v>
      </c>
      <c r="AN180" s="42">
        <v>2</v>
      </c>
      <c r="AO180" s="44">
        <v>14.6</v>
      </c>
      <c r="AP180" s="42">
        <v>1983</v>
      </c>
      <c r="AQ180" s="42">
        <v>27</v>
      </c>
    </row>
    <row r="181" spans="1:43" ht="14.45" customHeight="1" x14ac:dyDescent="0.2">
      <c r="A181" s="42">
        <v>26045010</v>
      </c>
      <c r="B181" s="42" t="s">
        <v>1075</v>
      </c>
      <c r="C181" s="42">
        <v>3.262805556</v>
      </c>
      <c r="D181" s="42">
        <v>-76.414472219999993</v>
      </c>
      <c r="E181" s="42">
        <v>983</v>
      </c>
      <c r="F181" s="42" t="s">
        <v>579</v>
      </c>
      <c r="G181" s="42" t="s">
        <v>181</v>
      </c>
      <c r="H181" s="44">
        <v>11.2</v>
      </c>
      <c r="I181" s="42">
        <v>2022</v>
      </c>
      <c r="J181" s="42">
        <v>28</v>
      </c>
      <c r="K181" s="44">
        <v>14.4</v>
      </c>
      <c r="L181" s="42">
        <v>1994</v>
      </c>
      <c r="M181" s="42">
        <v>6</v>
      </c>
      <c r="N181" s="44">
        <v>13.6</v>
      </c>
      <c r="O181" s="42">
        <v>2003</v>
      </c>
      <c r="P181" s="42">
        <v>23</v>
      </c>
      <c r="Q181" s="44">
        <v>13.2</v>
      </c>
      <c r="R181" s="42">
        <v>1982</v>
      </c>
      <c r="S181" s="42">
        <v>12</v>
      </c>
      <c r="T181" s="44">
        <v>14.2</v>
      </c>
      <c r="U181" s="42">
        <v>2003</v>
      </c>
      <c r="V181" s="42">
        <v>22</v>
      </c>
      <c r="W181" s="44">
        <v>14</v>
      </c>
      <c r="X181" s="42">
        <v>2002</v>
      </c>
      <c r="Y181" s="42">
        <v>15</v>
      </c>
      <c r="Z181" s="44">
        <v>12.6</v>
      </c>
      <c r="AA181" s="42">
        <v>1986</v>
      </c>
      <c r="AB181" s="42">
        <v>24</v>
      </c>
      <c r="AC181" s="44">
        <v>13.2</v>
      </c>
      <c r="AD181" s="42">
        <v>1980</v>
      </c>
      <c r="AE181" s="42">
        <v>24</v>
      </c>
      <c r="AF181" s="44">
        <v>14.4</v>
      </c>
      <c r="AG181" s="42">
        <v>1981</v>
      </c>
      <c r="AH181" s="42">
        <v>10</v>
      </c>
      <c r="AI181" s="44">
        <v>14.2</v>
      </c>
      <c r="AJ181" s="42">
        <v>1979</v>
      </c>
      <c r="AK181" s="42">
        <v>31</v>
      </c>
      <c r="AL181" s="44">
        <v>14.2</v>
      </c>
      <c r="AM181" s="42">
        <v>1985</v>
      </c>
      <c r="AN181" s="42">
        <v>2</v>
      </c>
      <c r="AO181" s="44">
        <v>14.2</v>
      </c>
      <c r="AP181" s="42">
        <v>1981</v>
      </c>
      <c r="AQ181" s="42">
        <v>28</v>
      </c>
    </row>
    <row r="182" spans="1:43" ht="14.45" customHeight="1" x14ac:dyDescent="0.2">
      <c r="A182" s="42">
        <v>26135100</v>
      </c>
      <c r="B182" s="42" t="s">
        <v>1076</v>
      </c>
      <c r="C182" s="42">
        <v>4.8780277779999999</v>
      </c>
      <c r="D182" s="42">
        <v>-75.877555560000005</v>
      </c>
      <c r="E182" s="42">
        <v>995</v>
      </c>
      <c r="F182" s="42" t="s">
        <v>65</v>
      </c>
      <c r="G182" s="42" t="s">
        <v>64</v>
      </c>
      <c r="H182" s="44">
        <v>15.2</v>
      </c>
      <c r="I182" s="42">
        <v>1986</v>
      </c>
      <c r="J182" s="42">
        <v>28</v>
      </c>
      <c r="K182" s="44">
        <v>15.4</v>
      </c>
      <c r="L182" s="42">
        <v>2017</v>
      </c>
      <c r="M182" s="42">
        <v>15</v>
      </c>
      <c r="N182" s="44">
        <v>15.2</v>
      </c>
      <c r="O182" s="42">
        <v>1995</v>
      </c>
      <c r="P182" s="42">
        <v>15</v>
      </c>
      <c r="Q182" s="44">
        <v>15.6</v>
      </c>
      <c r="R182" s="42">
        <v>1985</v>
      </c>
      <c r="S182" s="42">
        <v>28</v>
      </c>
      <c r="T182" s="44">
        <v>16.399999999999999</v>
      </c>
      <c r="U182" s="42">
        <v>2002</v>
      </c>
      <c r="V182" s="42">
        <v>28</v>
      </c>
      <c r="W182" s="44">
        <v>15.8</v>
      </c>
      <c r="X182" s="42">
        <v>1986</v>
      </c>
      <c r="Y182" s="42">
        <v>3</v>
      </c>
      <c r="Z182" s="44">
        <v>15</v>
      </c>
      <c r="AA182" s="42">
        <v>1983</v>
      </c>
      <c r="AB182" s="42">
        <v>14</v>
      </c>
      <c r="AC182" s="44">
        <v>15</v>
      </c>
      <c r="AD182" s="42">
        <v>1979</v>
      </c>
      <c r="AE182" s="42">
        <v>10</v>
      </c>
      <c r="AF182" s="44">
        <v>15</v>
      </c>
      <c r="AG182" s="42">
        <v>1978</v>
      </c>
      <c r="AH182" s="42">
        <v>6</v>
      </c>
      <c r="AI182" s="44">
        <v>15</v>
      </c>
      <c r="AJ182" s="42">
        <v>1979</v>
      </c>
      <c r="AK182" s="42">
        <v>30</v>
      </c>
      <c r="AL182" s="44">
        <v>11.2</v>
      </c>
      <c r="AM182" s="42">
        <v>1978</v>
      </c>
      <c r="AN182" s="42">
        <v>29</v>
      </c>
      <c r="AO182" s="44">
        <v>16</v>
      </c>
      <c r="AP182" s="42">
        <v>1990</v>
      </c>
      <c r="AQ182" s="42">
        <v>9</v>
      </c>
    </row>
    <row r="183" spans="1:43" ht="14.45" customHeight="1" x14ac:dyDescent="0.2">
      <c r="A183" s="42">
        <v>26055120</v>
      </c>
      <c r="B183" s="42" t="s">
        <v>1077</v>
      </c>
      <c r="C183" s="42">
        <v>3.3780000000000001</v>
      </c>
      <c r="D183" s="42">
        <v>-76.53388889</v>
      </c>
      <c r="E183" s="42">
        <v>996</v>
      </c>
      <c r="F183" s="42" t="s">
        <v>834</v>
      </c>
      <c r="G183" s="42" t="s">
        <v>341</v>
      </c>
      <c r="H183" s="44">
        <v>15</v>
      </c>
      <c r="I183" s="42">
        <v>2000</v>
      </c>
      <c r="J183" s="42">
        <v>2</v>
      </c>
      <c r="K183" s="44">
        <v>16</v>
      </c>
      <c r="L183" s="42">
        <v>2000</v>
      </c>
      <c r="M183" s="42">
        <v>2</v>
      </c>
      <c r="N183" s="44">
        <v>14.2</v>
      </c>
      <c r="O183" s="42">
        <v>2014</v>
      </c>
      <c r="P183" s="42">
        <v>1</v>
      </c>
      <c r="Q183" s="44">
        <v>15</v>
      </c>
      <c r="R183" s="42">
        <v>1992</v>
      </c>
      <c r="S183" s="42">
        <v>16</v>
      </c>
      <c r="T183" s="44">
        <v>15</v>
      </c>
      <c r="U183" s="42">
        <v>1984</v>
      </c>
      <c r="V183" s="42">
        <v>31</v>
      </c>
      <c r="W183" s="44">
        <v>15</v>
      </c>
      <c r="X183" s="42">
        <v>1984</v>
      </c>
      <c r="Y183" s="42">
        <v>14</v>
      </c>
      <c r="Z183" s="44">
        <v>14</v>
      </c>
      <c r="AA183" s="42">
        <v>1997</v>
      </c>
      <c r="AB183" s="42">
        <v>26</v>
      </c>
      <c r="AC183" s="44">
        <v>14.5</v>
      </c>
      <c r="AD183" s="42">
        <v>1991</v>
      </c>
      <c r="AE183" s="42">
        <v>29</v>
      </c>
      <c r="AF183" s="44">
        <v>15</v>
      </c>
      <c r="AG183" s="42">
        <v>1991</v>
      </c>
      <c r="AH183" s="42">
        <v>19</v>
      </c>
      <c r="AI183" s="44">
        <v>15</v>
      </c>
      <c r="AJ183" s="42">
        <v>1991</v>
      </c>
      <c r="AK183" s="42">
        <v>2</v>
      </c>
      <c r="AL183" s="44">
        <v>14.8</v>
      </c>
      <c r="AM183" s="42">
        <v>1985</v>
      </c>
      <c r="AN183" s="42">
        <v>3</v>
      </c>
      <c r="AO183" s="44">
        <v>15</v>
      </c>
      <c r="AP183" s="42">
        <v>1985</v>
      </c>
      <c r="AQ183" s="42">
        <v>1</v>
      </c>
    </row>
    <row r="184" spans="1:43" ht="14.45" customHeight="1" x14ac:dyDescent="0.2">
      <c r="A184" s="42">
        <v>22045020</v>
      </c>
      <c r="B184" s="42" t="s">
        <v>1078</v>
      </c>
      <c r="C184" s="42">
        <v>3.65178</v>
      </c>
      <c r="D184" s="42">
        <v>-75.584194440000005</v>
      </c>
      <c r="E184" s="42">
        <v>1002</v>
      </c>
      <c r="F184" s="42" t="s">
        <v>373</v>
      </c>
      <c r="G184" s="42" t="s">
        <v>70</v>
      </c>
      <c r="H184" s="44">
        <v>15</v>
      </c>
      <c r="I184" s="42">
        <v>1991</v>
      </c>
      <c r="J184" s="42">
        <v>21</v>
      </c>
      <c r="K184" s="44">
        <v>15</v>
      </c>
      <c r="L184" s="42">
        <v>1992</v>
      </c>
      <c r="M184" s="42">
        <v>6</v>
      </c>
      <c r="N184" s="44">
        <v>15</v>
      </c>
      <c r="O184" s="42">
        <v>1988</v>
      </c>
      <c r="P184" s="42">
        <v>26</v>
      </c>
      <c r="Q184" s="44">
        <v>15</v>
      </c>
      <c r="R184" s="42">
        <v>1991</v>
      </c>
      <c r="S184" s="42">
        <v>19</v>
      </c>
      <c r="T184" s="44">
        <v>15</v>
      </c>
      <c r="U184" s="42">
        <v>1992</v>
      </c>
      <c r="V184" s="42">
        <v>1</v>
      </c>
      <c r="W184" s="44">
        <v>15</v>
      </c>
      <c r="X184" s="42">
        <v>1994</v>
      </c>
      <c r="Y184" s="42">
        <v>20</v>
      </c>
      <c r="Z184" s="44">
        <v>15</v>
      </c>
      <c r="AA184" s="42">
        <v>1992</v>
      </c>
      <c r="AB184" s="42">
        <v>22</v>
      </c>
      <c r="AC184" s="44">
        <v>15</v>
      </c>
      <c r="AD184" s="42">
        <v>1991</v>
      </c>
      <c r="AE184" s="42">
        <v>29</v>
      </c>
      <c r="AF184" s="44">
        <v>15</v>
      </c>
      <c r="AG184" s="42">
        <v>1991</v>
      </c>
      <c r="AH184" s="42">
        <v>10</v>
      </c>
      <c r="AI184" s="44">
        <v>15</v>
      </c>
      <c r="AJ184" s="42">
        <v>1993</v>
      </c>
      <c r="AK184" s="42">
        <v>1</v>
      </c>
      <c r="AL184" s="44">
        <v>15</v>
      </c>
      <c r="AM184" s="42">
        <v>1991</v>
      </c>
      <c r="AN184" s="42">
        <v>7</v>
      </c>
      <c r="AO184" s="44">
        <v>15</v>
      </c>
      <c r="AP184" s="42">
        <v>1989</v>
      </c>
      <c r="AQ184" s="42">
        <v>16</v>
      </c>
    </row>
    <row r="185" spans="1:43" ht="14.45" customHeight="1" x14ac:dyDescent="0.2">
      <c r="A185" s="42">
        <v>26025110</v>
      </c>
      <c r="B185" s="42" t="s">
        <v>1079</v>
      </c>
      <c r="C185" s="42">
        <v>3.0753888890000001</v>
      </c>
      <c r="D185" s="42">
        <v>-76.556250000000006</v>
      </c>
      <c r="E185" s="42">
        <v>1009</v>
      </c>
      <c r="F185" s="42" t="s">
        <v>339</v>
      </c>
      <c r="G185" s="42" t="s">
        <v>181</v>
      </c>
      <c r="H185" s="44">
        <v>15</v>
      </c>
      <c r="I185" s="42">
        <v>2004</v>
      </c>
      <c r="J185" s="42">
        <v>28</v>
      </c>
      <c r="K185" s="44">
        <v>15.2</v>
      </c>
      <c r="L185" s="42">
        <v>2007</v>
      </c>
      <c r="M185" s="42">
        <v>21</v>
      </c>
      <c r="N185" s="44">
        <v>15</v>
      </c>
      <c r="O185" s="42">
        <v>2006</v>
      </c>
      <c r="P185" s="42">
        <v>24</v>
      </c>
      <c r="Q185" s="44">
        <v>15.2</v>
      </c>
      <c r="R185" s="42">
        <v>2004</v>
      </c>
      <c r="S185" s="42">
        <v>15</v>
      </c>
      <c r="T185" s="44">
        <v>15</v>
      </c>
      <c r="U185" s="42">
        <v>2005</v>
      </c>
      <c r="V185" s="42">
        <v>23</v>
      </c>
      <c r="W185" s="44">
        <v>15</v>
      </c>
      <c r="X185" s="42">
        <v>2004</v>
      </c>
      <c r="Y185" s="42">
        <v>29</v>
      </c>
      <c r="Z185" s="44">
        <v>14.2</v>
      </c>
      <c r="AA185" s="42">
        <v>2007</v>
      </c>
      <c r="AB185" s="42">
        <v>29</v>
      </c>
      <c r="AC185" s="44">
        <v>14</v>
      </c>
      <c r="AD185" s="42">
        <v>2004</v>
      </c>
      <c r="AE185" s="42">
        <v>10</v>
      </c>
      <c r="AF185" s="44">
        <v>15</v>
      </c>
      <c r="AG185" s="42">
        <v>2002</v>
      </c>
      <c r="AH185" s="42">
        <v>8</v>
      </c>
      <c r="AI185" s="44">
        <v>14.2</v>
      </c>
      <c r="AJ185" s="42">
        <v>2004</v>
      </c>
      <c r="AK185" s="42">
        <v>10</v>
      </c>
      <c r="AL185" s="44">
        <v>15</v>
      </c>
      <c r="AM185" s="42">
        <v>2005</v>
      </c>
      <c r="AN185" s="42">
        <v>11</v>
      </c>
      <c r="AO185" s="44">
        <v>15.2</v>
      </c>
      <c r="AP185" s="42">
        <v>2011</v>
      </c>
      <c r="AQ185" s="42">
        <v>8</v>
      </c>
    </row>
    <row r="186" spans="1:43" ht="14.45" customHeight="1" x14ac:dyDescent="0.2">
      <c r="A186" s="42">
        <v>26105150</v>
      </c>
      <c r="B186" s="42" t="s">
        <v>1080</v>
      </c>
      <c r="C186" s="42">
        <v>4.2389166669999998</v>
      </c>
      <c r="D186" s="42">
        <v>-76.033055555999994</v>
      </c>
      <c r="E186" s="42">
        <v>1011</v>
      </c>
      <c r="F186" s="42" t="s">
        <v>345</v>
      </c>
      <c r="G186" s="42" t="s">
        <v>341</v>
      </c>
      <c r="H186" s="44">
        <v>13.2</v>
      </c>
      <c r="I186" s="42">
        <v>2013</v>
      </c>
      <c r="J186" s="42">
        <v>8</v>
      </c>
      <c r="K186" s="44">
        <v>11.2</v>
      </c>
      <c r="L186" s="42">
        <v>1981</v>
      </c>
      <c r="M186" s="42">
        <v>10</v>
      </c>
      <c r="N186" s="44">
        <v>13.4</v>
      </c>
      <c r="O186" s="42">
        <v>1995</v>
      </c>
      <c r="P186" s="42">
        <v>16</v>
      </c>
      <c r="Q186" s="44">
        <v>12.4</v>
      </c>
      <c r="R186" s="42">
        <v>1985</v>
      </c>
      <c r="S186" s="42">
        <v>30</v>
      </c>
      <c r="T186" s="44">
        <v>12.4</v>
      </c>
      <c r="U186" s="42">
        <v>1985</v>
      </c>
      <c r="V186" s="42">
        <v>1</v>
      </c>
      <c r="W186" s="44">
        <v>13.8</v>
      </c>
      <c r="X186" s="42">
        <v>1986</v>
      </c>
      <c r="Y186" s="42">
        <v>3</v>
      </c>
      <c r="Z186" s="44">
        <v>12.2</v>
      </c>
      <c r="AA186" s="42">
        <v>1994</v>
      </c>
      <c r="AB186" s="42">
        <v>14</v>
      </c>
      <c r="AC186" s="44">
        <v>11.8</v>
      </c>
      <c r="AD186" s="42">
        <v>1991</v>
      </c>
      <c r="AE186" s="42">
        <v>29</v>
      </c>
      <c r="AF186" s="44">
        <v>12.6</v>
      </c>
      <c r="AG186" s="42">
        <v>2009</v>
      </c>
      <c r="AH186" s="42">
        <v>6</v>
      </c>
      <c r="AI186" s="44">
        <v>12.8</v>
      </c>
      <c r="AJ186" s="42">
        <v>1984</v>
      </c>
      <c r="AK186" s="42">
        <v>16</v>
      </c>
      <c r="AL186" s="44">
        <v>13.4</v>
      </c>
      <c r="AM186" s="42">
        <v>1985</v>
      </c>
      <c r="AN186" s="42">
        <v>1</v>
      </c>
      <c r="AO186" s="44">
        <v>13.6</v>
      </c>
      <c r="AP186" s="42">
        <v>1983</v>
      </c>
      <c r="AQ186" s="42">
        <v>28</v>
      </c>
    </row>
    <row r="187" spans="1:43" ht="14.45" customHeight="1" x14ac:dyDescent="0.2">
      <c r="A187" s="42">
        <v>26075010</v>
      </c>
      <c r="B187" s="42" t="s">
        <v>1081</v>
      </c>
      <c r="C187" s="42">
        <v>3.5134722219999999</v>
      </c>
      <c r="D187" s="42">
        <v>-76.314888889000002</v>
      </c>
      <c r="E187" s="42">
        <v>1018</v>
      </c>
      <c r="F187" s="42" t="s">
        <v>77</v>
      </c>
      <c r="G187" s="42" t="s">
        <v>341</v>
      </c>
      <c r="H187" s="44">
        <v>14.8</v>
      </c>
      <c r="I187" s="42">
        <v>1996</v>
      </c>
      <c r="J187" s="42">
        <v>1</v>
      </c>
      <c r="K187" s="44">
        <v>14.9</v>
      </c>
      <c r="L187" s="42">
        <v>1985</v>
      </c>
      <c r="M187" s="42">
        <v>5</v>
      </c>
      <c r="N187" s="44">
        <v>15</v>
      </c>
      <c r="O187" s="42">
        <v>1996</v>
      </c>
      <c r="P187" s="42">
        <v>10</v>
      </c>
      <c r="Q187" s="44">
        <v>15.7</v>
      </c>
      <c r="R187" s="42">
        <v>1980</v>
      </c>
      <c r="S187" s="42">
        <v>12</v>
      </c>
      <c r="T187" s="44">
        <v>15.4</v>
      </c>
      <c r="U187" s="42">
        <v>1996</v>
      </c>
      <c r="V187" s="42">
        <v>12</v>
      </c>
      <c r="W187" s="44">
        <v>15.1</v>
      </c>
      <c r="X187" s="42">
        <v>1977</v>
      </c>
      <c r="Y187" s="42">
        <v>14</v>
      </c>
      <c r="Z187" s="44">
        <v>14.7</v>
      </c>
      <c r="AA187" s="42">
        <v>1985</v>
      </c>
      <c r="AB187" s="42">
        <v>22</v>
      </c>
      <c r="AC187" s="44">
        <v>15</v>
      </c>
      <c r="AD187" s="42">
        <v>1980</v>
      </c>
      <c r="AE187" s="42">
        <v>24</v>
      </c>
      <c r="AF187" s="44">
        <v>15.7</v>
      </c>
      <c r="AG187" s="42">
        <v>1978</v>
      </c>
      <c r="AH187" s="42">
        <v>11</v>
      </c>
      <c r="AI187" s="44">
        <v>15.4</v>
      </c>
      <c r="AJ187" s="42">
        <v>1977</v>
      </c>
      <c r="AK187" s="42">
        <v>31</v>
      </c>
      <c r="AL187" s="44">
        <v>15</v>
      </c>
      <c r="AM187" s="42">
        <v>1986</v>
      </c>
      <c r="AN187" s="42">
        <v>2</v>
      </c>
      <c r="AO187" s="44">
        <v>15.1</v>
      </c>
      <c r="AP187" s="42">
        <v>1985</v>
      </c>
      <c r="AQ187" s="42">
        <v>3</v>
      </c>
    </row>
    <row r="188" spans="1:43" ht="14.45" customHeight="1" x14ac:dyDescent="0.2">
      <c r="A188" s="42">
        <v>21085030</v>
      </c>
      <c r="B188" s="42" t="s">
        <v>1082</v>
      </c>
      <c r="C188" s="42">
        <v>2.76</v>
      </c>
      <c r="D188" s="42">
        <v>-75.58</v>
      </c>
      <c r="E188" s="42">
        <v>1030</v>
      </c>
      <c r="F188" s="42" t="s">
        <v>1083</v>
      </c>
      <c r="G188" s="42" t="s">
        <v>79</v>
      </c>
      <c r="H188" s="44">
        <v>16</v>
      </c>
      <c r="I188" s="42">
        <v>2023</v>
      </c>
      <c r="J188" s="42">
        <v>2</v>
      </c>
      <c r="K188" s="44">
        <v>15.4</v>
      </c>
      <c r="L188" s="42">
        <v>2023</v>
      </c>
      <c r="M188" s="42">
        <v>3</v>
      </c>
      <c r="N188" s="44">
        <v>15</v>
      </c>
      <c r="O188" s="42">
        <v>2023</v>
      </c>
      <c r="P188" s="42">
        <v>12</v>
      </c>
      <c r="Q188" s="44">
        <v>15.6</v>
      </c>
      <c r="R188" s="42">
        <v>2023</v>
      </c>
      <c r="S188" s="42">
        <v>6</v>
      </c>
      <c r="T188" s="44">
        <v>16.600000000000001</v>
      </c>
      <c r="U188" s="42">
        <v>2022</v>
      </c>
      <c r="V188" s="42">
        <v>31</v>
      </c>
      <c r="W188" s="44">
        <v>16</v>
      </c>
      <c r="X188" s="42">
        <v>2022</v>
      </c>
      <c r="Y188" s="42">
        <v>6</v>
      </c>
      <c r="Z188" s="44">
        <v>15.8</v>
      </c>
      <c r="AA188" s="42">
        <v>2013</v>
      </c>
      <c r="AB188" s="42">
        <v>29</v>
      </c>
      <c r="AC188" s="44">
        <v>15.6</v>
      </c>
      <c r="AD188" s="42">
        <v>2022</v>
      </c>
      <c r="AE188" s="42">
        <v>23</v>
      </c>
      <c r="AF188" s="44">
        <v>15</v>
      </c>
      <c r="AG188" s="42">
        <v>2022</v>
      </c>
      <c r="AH188" s="42">
        <v>12</v>
      </c>
      <c r="AI188" s="44">
        <v>16</v>
      </c>
      <c r="AJ188" s="42">
        <v>2022</v>
      </c>
      <c r="AK188" s="42">
        <v>9</v>
      </c>
      <c r="AL188" s="44">
        <v>16</v>
      </c>
      <c r="AM188" s="42">
        <v>2022</v>
      </c>
      <c r="AN188" s="42">
        <v>4</v>
      </c>
      <c r="AO188" s="44">
        <v>15</v>
      </c>
      <c r="AP188" s="42">
        <v>2022</v>
      </c>
      <c r="AQ188" s="42">
        <v>27</v>
      </c>
    </row>
    <row r="189" spans="1:43" ht="14.45" customHeight="1" x14ac:dyDescent="0.2">
      <c r="A189" s="42">
        <v>21035040</v>
      </c>
      <c r="B189" s="42" t="s">
        <v>1084</v>
      </c>
      <c r="C189" s="42">
        <v>1.87</v>
      </c>
      <c r="D189" s="42">
        <v>-75.83</v>
      </c>
      <c r="E189" s="42">
        <v>1045</v>
      </c>
      <c r="F189" s="42" t="s">
        <v>698</v>
      </c>
      <c r="G189" s="42" t="s">
        <v>79</v>
      </c>
      <c r="H189" s="44">
        <v>14.2</v>
      </c>
      <c r="I189" s="42">
        <v>1992</v>
      </c>
      <c r="J189" s="42">
        <v>3</v>
      </c>
      <c r="K189" s="44">
        <v>13.2</v>
      </c>
      <c r="L189" s="42">
        <v>1995</v>
      </c>
      <c r="M189" s="42">
        <v>28</v>
      </c>
      <c r="N189" s="44">
        <v>14.2</v>
      </c>
      <c r="O189" s="42">
        <v>1992</v>
      </c>
      <c r="P189" s="42">
        <v>10</v>
      </c>
      <c r="Q189" s="44">
        <v>13.6</v>
      </c>
      <c r="R189" s="42">
        <v>1995</v>
      </c>
      <c r="S189" s="42">
        <v>14</v>
      </c>
      <c r="T189" s="44">
        <v>12.8</v>
      </c>
      <c r="U189" s="42">
        <v>1993</v>
      </c>
      <c r="V189" s="42">
        <v>5</v>
      </c>
      <c r="W189" s="44">
        <v>14.2</v>
      </c>
      <c r="X189" s="42">
        <v>1992</v>
      </c>
      <c r="Y189" s="42">
        <v>3</v>
      </c>
      <c r="Z189" s="44">
        <v>12.4</v>
      </c>
      <c r="AA189" s="42">
        <v>1996</v>
      </c>
      <c r="AB189" s="42">
        <v>14</v>
      </c>
      <c r="AC189" s="44">
        <v>13.3</v>
      </c>
      <c r="AD189" s="42">
        <v>1996</v>
      </c>
      <c r="AE189" s="42">
        <v>30</v>
      </c>
      <c r="AF189" s="44">
        <v>11.4</v>
      </c>
      <c r="AG189" s="42">
        <v>1995</v>
      </c>
      <c r="AH189" s="42">
        <v>8</v>
      </c>
      <c r="AI189" s="44">
        <v>12.6</v>
      </c>
      <c r="AJ189" s="42">
        <v>1995</v>
      </c>
      <c r="AK189" s="42">
        <v>23</v>
      </c>
      <c r="AL189" s="44">
        <v>12.8</v>
      </c>
      <c r="AM189" s="42">
        <v>1992</v>
      </c>
      <c r="AN189" s="42">
        <v>21</v>
      </c>
      <c r="AO189" s="44">
        <v>13.2</v>
      </c>
      <c r="AP189" s="42">
        <v>1993</v>
      </c>
      <c r="AQ189" s="42">
        <v>3</v>
      </c>
    </row>
    <row r="190" spans="1:43" ht="14.45" customHeight="1" x14ac:dyDescent="0.2">
      <c r="A190" s="42">
        <v>26075050</v>
      </c>
      <c r="B190" s="42" t="s">
        <v>1085</v>
      </c>
      <c r="C190" s="42">
        <v>3.5740555559999998</v>
      </c>
      <c r="D190" s="42">
        <v>-76.277805556000004</v>
      </c>
      <c r="E190" s="42">
        <v>1059</v>
      </c>
      <c r="F190" s="42" t="s">
        <v>77</v>
      </c>
      <c r="G190" s="42" t="s">
        <v>341</v>
      </c>
      <c r="H190" s="44">
        <v>15.2</v>
      </c>
      <c r="I190" s="42">
        <v>1995</v>
      </c>
      <c r="J190" s="42">
        <v>14</v>
      </c>
      <c r="K190" s="44">
        <v>15.2</v>
      </c>
      <c r="L190" s="42">
        <v>1985</v>
      </c>
      <c r="M190" s="42">
        <v>6</v>
      </c>
      <c r="N190" s="44">
        <v>15</v>
      </c>
      <c r="O190" s="42">
        <v>1995</v>
      </c>
      <c r="P190" s="42">
        <v>16</v>
      </c>
      <c r="Q190" s="44">
        <v>15.4</v>
      </c>
      <c r="R190" s="42">
        <v>1985</v>
      </c>
      <c r="S190" s="42">
        <v>28</v>
      </c>
      <c r="T190" s="44">
        <v>15.2</v>
      </c>
      <c r="U190" s="42">
        <v>2001</v>
      </c>
      <c r="V190" s="42">
        <v>25</v>
      </c>
      <c r="W190" s="44">
        <v>15.2</v>
      </c>
      <c r="X190" s="42">
        <v>1986</v>
      </c>
      <c r="Y190" s="42">
        <v>3</v>
      </c>
      <c r="Z190" s="44">
        <v>15.2</v>
      </c>
      <c r="AA190" s="42">
        <v>1985</v>
      </c>
      <c r="AB190" s="42">
        <v>22</v>
      </c>
      <c r="AC190" s="44">
        <v>15</v>
      </c>
      <c r="AD190" s="42">
        <v>1990</v>
      </c>
      <c r="AE190" s="42">
        <v>1</v>
      </c>
      <c r="AF190" s="44">
        <v>16</v>
      </c>
      <c r="AG190" s="42">
        <v>1988</v>
      </c>
      <c r="AH190" s="42">
        <v>6</v>
      </c>
      <c r="AI190" s="44">
        <v>15</v>
      </c>
      <c r="AJ190" s="42">
        <v>1997</v>
      </c>
      <c r="AK190" s="42">
        <v>22</v>
      </c>
      <c r="AL190" s="44">
        <v>15</v>
      </c>
      <c r="AM190" s="42">
        <v>1999</v>
      </c>
      <c r="AN190" s="42">
        <v>16</v>
      </c>
      <c r="AO190" s="44">
        <v>15.4</v>
      </c>
      <c r="AP190" s="42">
        <v>1985</v>
      </c>
      <c r="AQ190" s="42">
        <v>3</v>
      </c>
    </row>
    <row r="191" spans="1:43" ht="14.45" customHeight="1" x14ac:dyDescent="0.2">
      <c r="A191" s="42">
        <v>21055020</v>
      </c>
      <c r="B191" s="42" t="s">
        <v>1086</v>
      </c>
      <c r="C191" s="42">
        <v>2.38</v>
      </c>
      <c r="D191" s="42">
        <v>-75.89</v>
      </c>
      <c r="E191" s="42">
        <v>1070</v>
      </c>
      <c r="F191" s="42" t="s">
        <v>689</v>
      </c>
      <c r="G191" s="42" t="s">
        <v>79</v>
      </c>
      <c r="H191" s="44">
        <v>12</v>
      </c>
      <c r="I191" s="42">
        <v>1995</v>
      </c>
      <c r="J191" s="42">
        <v>16</v>
      </c>
      <c r="K191" s="44">
        <v>13.6</v>
      </c>
      <c r="L191" s="42">
        <v>1985</v>
      </c>
      <c r="M191" s="42">
        <v>5</v>
      </c>
      <c r="N191" s="44">
        <v>13.2</v>
      </c>
      <c r="O191" s="42">
        <v>1985</v>
      </c>
      <c r="P191" s="42">
        <v>2</v>
      </c>
      <c r="Q191" s="44">
        <v>13.8</v>
      </c>
      <c r="R191" s="42">
        <v>2013</v>
      </c>
      <c r="S191" s="42">
        <v>26</v>
      </c>
      <c r="T191" s="44">
        <v>12</v>
      </c>
      <c r="U191" s="42">
        <v>1996</v>
      </c>
      <c r="V191" s="42">
        <v>17</v>
      </c>
      <c r="W191" s="44">
        <v>11.6</v>
      </c>
      <c r="X191" s="42">
        <v>1988</v>
      </c>
      <c r="Y191" s="42">
        <v>1</v>
      </c>
      <c r="Z191" s="44">
        <v>12</v>
      </c>
      <c r="AA191" s="42">
        <v>1992</v>
      </c>
      <c r="AB191" s="42">
        <v>18</v>
      </c>
      <c r="AC191" s="44">
        <v>11.4</v>
      </c>
      <c r="AD191" s="42">
        <v>1996</v>
      </c>
      <c r="AE191" s="42">
        <v>29</v>
      </c>
      <c r="AF191" s="44">
        <v>12</v>
      </c>
      <c r="AG191" s="42">
        <v>2011</v>
      </c>
      <c r="AH191" s="42">
        <v>2</v>
      </c>
      <c r="AI191" s="44">
        <v>12.8</v>
      </c>
      <c r="AJ191" s="42">
        <v>1992</v>
      </c>
      <c r="AK191" s="42">
        <v>8</v>
      </c>
      <c r="AL191" s="44">
        <v>13.2</v>
      </c>
      <c r="AM191" s="42">
        <v>2001</v>
      </c>
      <c r="AN191" s="42">
        <v>4</v>
      </c>
      <c r="AO191" s="44">
        <v>11.2</v>
      </c>
      <c r="AP191" s="42">
        <v>1988</v>
      </c>
      <c r="AQ191" s="42">
        <v>21</v>
      </c>
    </row>
    <row r="192" spans="1:43" ht="14.45" customHeight="1" x14ac:dyDescent="0.2">
      <c r="A192" s="42">
        <v>21115100</v>
      </c>
      <c r="B192" s="42" t="s">
        <v>1087</v>
      </c>
      <c r="C192" s="42">
        <v>2.9426388889999999</v>
      </c>
      <c r="D192" s="42">
        <v>-75.066388889999999</v>
      </c>
      <c r="E192" s="42">
        <v>1100</v>
      </c>
      <c r="F192" s="42" t="s">
        <v>80</v>
      </c>
      <c r="G192" s="42" t="s">
        <v>79</v>
      </c>
      <c r="H192" s="44">
        <v>15</v>
      </c>
      <c r="I192" s="42">
        <v>1983</v>
      </c>
      <c r="J192" s="42">
        <v>3</v>
      </c>
      <c r="K192" s="44">
        <v>14.8</v>
      </c>
      <c r="L192" s="42">
        <v>2018</v>
      </c>
      <c r="M192" s="42">
        <v>25</v>
      </c>
      <c r="N192" s="44">
        <v>14.8</v>
      </c>
      <c r="O192" s="42">
        <v>1981</v>
      </c>
      <c r="P192" s="42">
        <v>2</v>
      </c>
      <c r="Q192" s="44">
        <v>14.6</v>
      </c>
      <c r="R192" s="42">
        <v>1992</v>
      </c>
      <c r="S192" s="42">
        <v>28</v>
      </c>
      <c r="T192" s="44">
        <v>14.8</v>
      </c>
      <c r="U192" s="42">
        <v>1981</v>
      </c>
      <c r="V192" s="42">
        <v>1</v>
      </c>
      <c r="W192" s="44">
        <v>14.2</v>
      </c>
      <c r="X192" s="42">
        <v>2017</v>
      </c>
      <c r="Y192" s="42">
        <v>3</v>
      </c>
      <c r="Z192" s="44">
        <v>14.6</v>
      </c>
      <c r="AA192" s="42">
        <v>1984</v>
      </c>
      <c r="AB192" s="42">
        <v>9</v>
      </c>
      <c r="AC192" s="44">
        <v>15.4</v>
      </c>
      <c r="AD192" s="42">
        <v>1991</v>
      </c>
      <c r="AE192" s="42">
        <v>5</v>
      </c>
      <c r="AF192" s="44">
        <v>14.6</v>
      </c>
      <c r="AG192" s="42">
        <v>1992</v>
      </c>
      <c r="AH192" s="42">
        <v>26</v>
      </c>
      <c r="AI192" s="44">
        <v>14.6</v>
      </c>
      <c r="AJ192" s="42">
        <v>1999</v>
      </c>
      <c r="AK192" s="42">
        <v>31</v>
      </c>
      <c r="AL192" s="44">
        <v>14.6</v>
      </c>
      <c r="AM192" s="42">
        <v>2025</v>
      </c>
      <c r="AN192" s="42">
        <v>29</v>
      </c>
      <c r="AO192" s="44">
        <v>14.8</v>
      </c>
      <c r="AP192" s="42">
        <v>1980</v>
      </c>
      <c r="AQ192" s="42">
        <v>9</v>
      </c>
    </row>
    <row r="193" spans="1:43" ht="14.45" customHeight="1" x14ac:dyDescent="0.2">
      <c r="A193" s="42">
        <v>23125080</v>
      </c>
      <c r="B193" s="42" t="s">
        <v>1088</v>
      </c>
      <c r="C193" s="42">
        <v>5.6617222219999999</v>
      </c>
      <c r="D193" s="42">
        <v>-74.184611110000006</v>
      </c>
      <c r="E193" s="42">
        <v>1100</v>
      </c>
      <c r="F193" s="42" t="s">
        <v>527</v>
      </c>
      <c r="G193" s="42" t="s">
        <v>212</v>
      </c>
      <c r="H193" s="44">
        <v>13.2</v>
      </c>
      <c r="I193" s="42">
        <v>1997</v>
      </c>
      <c r="J193" s="42">
        <v>18</v>
      </c>
      <c r="K193" s="44">
        <v>13.6</v>
      </c>
      <c r="L193" s="42">
        <v>1999</v>
      </c>
      <c r="M193" s="42">
        <v>23</v>
      </c>
      <c r="N193" s="44">
        <v>13.4</v>
      </c>
      <c r="O193" s="42">
        <v>1978</v>
      </c>
      <c r="P193" s="42">
        <v>11</v>
      </c>
      <c r="Q193" s="44">
        <v>10</v>
      </c>
      <c r="R193" s="42">
        <v>1981</v>
      </c>
      <c r="S193" s="42">
        <v>16</v>
      </c>
      <c r="T193" s="44">
        <v>12.2</v>
      </c>
      <c r="U193" s="42">
        <v>1981</v>
      </c>
      <c r="V193" s="42">
        <v>5</v>
      </c>
      <c r="W193" s="44">
        <v>15</v>
      </c>
      <c r="X193" s="42">
        <v>1978</v>
      </c>
      <c r="Y193" s="42">
        <v>18</v>
      </c>
      <c r="Z193" s="44">
        <v>12.6</v>
      </c>
      <c r="AA193" s="42">
        <v>2013</v>
      </c>
      <c r="AB193" s="42">
        <v>29</v>
      </c>
      <c r="AC193" s="44">
        <v>13.2</v>
      </c>
      <c r="AD193" s="42">
        <v>2013</v>
      </c>
      <c r="AE193" s="42">
        <v>3</v>
      </c>
      <c r="AF193" s="44">
        <v>11.4</v>
      </c>
      <c r="AG193" s="42">
        <v>1983</v>
      </c>
      <c r="AH193" s="42">
        <v>15</v>
      </c>
      <c r="AI193" s="44">
        <v>13.6</v>
      </c>
      <c r="AJ193" s="42">
        <v>2009</v>
      </c>
      <c r="AK193" s="42">
        <v>28</v>
      </c>
      <c r="AL193" s="44">
        <v>10</v>
      </c>
      <c r="AM193" s="42">
        <v>2018</v>
      </c>
      <c r="AN193" s="42">
        <v>30</v>
      </c>
      <c r="AO193" s="44">
        <v>12.8</v>
      </c>
      <c r="AP193" s="42">
        <v>2003</v>
      </c>
      <c r="AQ193" s="42">
        <v>5</v>
      </c>
    </row>
    <row r="194" spans="1:43" ht="14.45" customHeight="1" x14ac:dyDescent="0.2">
      <c r="A194" s="42">
        <v>16015140</v>
      </c>
      <c r="B194" s="42" t="s">
        <v>1089</v>
      </c>
      <c r="C194" s="42">
        <v>7.5173611109999996</v>
      </c>
      <c r="D194" s="42">
        <v>-72.644083330000001</v>
      </c>
      <c r="E194" s="42">
        <v>1107</v>
      </c>
      <c r="F194" s="42" t="s">
        <v>1090</v>
      </c>
      <c r="G194" s="42" t="s">
        <v>300</v>
      </c>
      <c r="H194" s="44">
        <v>9.8000000000000007</v>
      </c>
      <c r="I194" s="42">
        <v>2022</v>
      </c>
      <c r="J194" s="42">
        <v>3</v>
      </c>
      <c r="K194" s="44">
        <v>11.2</v>
      </c>
      <c r="L194" s="42">
        <v>2020</v>
      </c>
      <c r="M194" s="42">
        <v>6</v>
      </c>
      <c r="N194" s="44">
        <v>11.8</v>
      </c>
      <c r="O194" s="42">
        <v>2021</v>
      </c>
      <c r="P194" s="42">
        <v>3</v>
      </c>
      <c r="Q194" s="44">
        <v>12.2</v>
      </c>
      <c r="R194" s="42">
        <v>2011</v>
      </c>
      <c r="S194" s="42">
        <v>25</v>
      </c>
      <c r="T194" s="44">
        <v>13</v>
      </c>
      <c r="U194" s="42">
        <v>2021</v>
      </c>
      <c r="V194" s="42">
        <v>14</v>
      </c>
      <c r="W194" s="44">
        <v>11</v>
      </c>
      <c r="X194" s="42">
        <v>2011</v>
      </c>
      <c r="Y194" s="42">
        <v>30</v>
      </c>
      <c r="Z194" s="44">
        <v>12.2</v>
      </c>
      <c r="AA194" s="42">
        <v>2019</v>
      </c>
      <c r="AB194" s="42">
        <v>4</v>
      </c>
      <c r="AC194" s="44">
        <v>12</v>
      </c>
      <c r="AD194" s="42">
        <v>2011</v>
      </c>
      <c r="AE194" s="42">
        <v>31</v>
      </c>
      <c r="AF194" s="44">
        <v>12</v>
      </c>
      <c r="AG194" s="42">
        <v>2011</v>
      </c>
      <c r="AH194" s="42">
        <v>17</v>
      </c>
      <c r="AI194" s="44">
        <v>14</v>
      </c>
      <c r="AJ194" s="42">
        <v>2020</v>
      </c>
      <c r="AK194" s="42">
        <v>16</v>
      </c>
      <c r="AL194" s="44">
        <v>12</v>
      </c>
      <c r="AM194" s="42">
        <v>2011</v>
      </c>
      <c r="AN194" s="42">
        <v>7</v>
      </c>
      <c r="AO194" s="44">
        <v>10.199999999999999</v>
      </c>
      <c r="AP194" s="42">
        <v>2018</v>
      </c>
      <c r="AQ194" s="42">
        <v>24</v>
      </c>
    </row>
    <row r="195" spans="1:43" ht="14.45" customHeight="1" x14ac:dyDescent="0.2">
      <c r="A195" s="42">
        <v>23085220</v>
      </c>
      <c r="B195" s="42" t="s">
        <v>1091</v>
      </c>
      <c r="C195" s="42">
        <v>6.157666667</v>
      </c>
      <c r="D195" s="42">
        <v>-75.038916670000006</v>
      </c>
      <c r="E195" s="42">
        <v>1113</v>
      </c>
      <c r="F195" s="42" t="s">
        <v>478</v>
      </c>
      <c r="G195" s="42" t="s">
        <v>57</v>
      </c>
      <c r="H195" s="44">
        <v>13.8</v>
      </c>
      <c r="I195" s="42">
        <v>1997</v>
      </c>
      <c r="J195" s="42">
        <v>20</v>
      </c>
      <c r="K195" s="44">
        <v>14.6</v>
      </c>
      <c r="L195" s="42">
        <v>1997</v>
      </c>
      <c r="M195" s="42">
        <v>1</v>
      </c>
      <c r="N195" s="44">
        <v>14</v>
      </c>
      <c r="O195" s="42">
        <v>1997</v>
      </c>
      <c r="P195" s="42">
        <v>22</v>
      </c>
      <c r="Q195" s="44">
        <v>15</v>
      </c>
      <c r="R195" s="42">
        <v>2008</v>
      </c>
      <c r="S195" s="42">
        <v>6</v>
      </c>
      <c r="T195" s="44">
        <v>14.2</v>
      </c>
      <c r="U195" s="42">
        <v>2006</v>
      </c>
      <c r="V195" s="42">
        <v>18</v>
      </c>
      <c r="W195" s="44">
        <v>12</v>
      </c>
      <c r="X195" s="42">
        <v>2006</v>
      </c>
      <c r="Y195" s="42">
        <v>17</v>
      </c>
      <c r="Z195" s="44">
        <v>14</v>
      </c>
      <c r="AA195" s="42">
        <v>1996</v>
      </c>
      <c r="AB195" s="42">
        <v>25</v>
      </c>
      <c r="AC195" s="44">
        <v>12.1</v>
      </c>
      <c r="AD195" s="42">
        <v>2020</v>
      </c>
      <c r="AE195" s="42">
        <v>2</v>
      </c>
      <c r="AF195" s="44">
        <v>12.8</v>
      </c>
      <c r="AG195" s="42">
        <v>2006</v>
      </c>
      <c r="AH195" s="42">
        <v>8</v>
      </c>
      <c r="AI195" s="44">
        <v>14.2</v>
      </c>
      <c r="AJ195" s="42">
        <v>2014</v>
      </c>
      <c r="AK195" s="42">
        <v>28</v>
      </c>
      <c r="AL195" s="44">
        <v>14.6</v>
      </c>
      <c r="AM195" s="42">
        <v>1990</v>
      </c>
      <c r="AN195" s="42">
        <v>21</v>
      </c>
      <c r="AO195" s="44">
        <v>14.2</v>
      </c>
      <c r="AP195" s="42">
        <v>1996</v>
      </c>
      <c r="AQ195" s="42">
        <v>16</v>
      </c>
    </row>
    <row r="196" spans="1:43" ht="14.45" customHeight="1" x14ac:dyDescent="0.2">
      <c r="A196" s="42">
        <v>54025010</v>
      </c>
      <c r="B196" s="42" t="s">
        <v>1092</v>
      </c>
      <c r="C196" s="42">
        <v>4.8980833329999998</v>
      </c>
      <c r="D196" s="42">
        <v>-76.676666667000006</v>
      </c>
      <c r="E196" s="42">
        <v>1115</v>
      </c>
      <c r="F196" s="42" t="s">
        <v>603</v>
      </c>
      <c r="G196" s="42" t="s">
        <v>910</v>
      </c>
      <c r="H196" s="44">
        <v>12</v>
      </c>
      <c r="I196" s="42">
        <v>1984</v>
      </c>
      <c r="J196" s="42">
        <v>23</v>
      </c>
      <c r="K196" s="44">
        <v>13</v>
      </c>
      <c r="L196" s="42">
        <v>1984</v>
      </c>
      <c r="M196" s="42">
        <v>5</v>
      </c>
      <c r="N196" s="44">
        <v>13.6</v>
      </c>
      <c r="O196" s="42">
        <v>1984</v>
      </c>
      <c r="P196" s="42">
        <v>3</v>
      </c>
      <c r="Q196" s="44">
        <v>16.2</v>
      </c>
      <c r="R196" s="42">
        <v>1985</v>
      </c>
      <c r="S196" s="42">
        <v>28</v>
      </c>
      <c r="T196" s="44">
        <v>12.4</v>
      </c>
      <c r="U196" s="42">
        <v>2021</v>
      </c>
      <c r="V196" s="42">
        <v>31</v>
      </c>
      <c r="W196" s="44">
        <v>12.2</v>
      </c>
      <c r="X196" s="42">
        <v>1984</v>
      </c>
      <c r="Y196" s="42">
        <v>25</v>
      </c>
      <c r="Z196" s="44">
        <v>13.6</v>
      </c>
      <c r="AA196" s="42">
        <v>1997</v>
      </c>
      <c r="AB196" s="42">
        <v>29</v>
      </c>
      <c r="AC196" s="44">
        <v>14</v>
      </c>
      <c r="AD196" s="42">
        <v>1997</v>
      </c>
      <c r="AE196" s="42">
        <v>1</v>
      </c>
      <c r="AF196" s="44">
        <v>15.2</v>
      </c>
      <c r="AG196" s="42">
        <v>1984</v>
      </c>
      <c r="AH196" s="42">
        <v>15</v>
      </c>
      <c r="AI196" s="44">
        <v>14</v>
      </c>
      <c r="AJ196" s="42">
        <v>1983</v>
      </c>
      <c r="AK196" s="42">
        <v>17</v>
      </c>
      <c r="AL196" s="44">
        <v>15</v>
      </c>
      <c r="AM196" s="42">
        <v>1983</v>
      </c>
      <c r="AN196" s="42">
        <v>14</v>
      </c>
      <c r="AO196" s="44">
        <v>10.8</v>
      </c>
      <c r="AP196" s="42">
        <v>1984</v>
      </c>
      <c r="AQ196" s="42">
        <v>30</v>
      </c>
    </row>
    <row r="197" spans="1:43" ht="14.45" customHeight="1" x14ac:dyDescent="0.2">
      <c r="A197" s="42">
        <v>26105230</v>
      </c>
      <c r="B197" s="42" t="s">
        <v>1093</v>
      </c>
      <c r="C197" s="42">
        <v>4.028333333</v>
      </c>
      <c r="D197" s="42">
        <v>-76.168527780000005</v>
      </c>
      <c r="E197" s="42">
        <v>1119</v>
      </c>
      <c r="F197" s="42" t="s">
        <v>343</v>
      </c>
      <c r="G197" s="42" t="s">
        <v>341</v>
      </c>
      <c r="H197" s="44">
        <v>12</v>
      </c>
      <c r="I197" s="42">
        <v>1992</v>
      </c>
      <c r="J197" s="42">
        <v>13</v>
      </c>
      <c r="K197" s="44">
        <v>12.8</v>
      </c>
      <c r="L197" s="42">
        <v>1997</v>
      </c>
      <c r="M197" s="42">
        <v>27</v>
      </c>
      <c r="N197" s="44">
        <v>14</v>
      </c>
      <c r="O197" s="42">
        <v>2000</v>
      </c>
      <c r="P197" s="42">
        <v>1</v>
      </c>
      <c r="Q197" s="44">
        <v>14.8</v>
      </c>
      <c r="R197" s="42">
        <v>2012</v>
      </c>
      <c r="S197" s="42">
        <v>23</v>
      </c>
      <c r="T197" s="44">
        <v>13.4</v>
      </c>
      <c r="U197" s="42">
        <v>2018</v>
      </c>
      <c r="V197" s="42">
        <v>22</v>
      </c>
      <c r="W197" s="44">
        <v>14.4</v>
      </c>
      <c r="X197" s="42">
        <v>2018</v>
      </c>
      <c r="Y197" s="42">
        <v>24</v>
      </c>
      <c r="Z197" s="44">
        <v>11</v>
      </c>
      <c r="AA197" s="42">
        <v>2013</v>
      </c>
      <c r="AB197" s="42">
        <v>8</v>
      </c>
      <c r="AC197" s="44">
        <v>11.8</v>
      </c>
      <c r="AD197" s="42">
        <v>1996</v>
      </c>
      <c r="AE197" s="42">
        <v>12</v>
      </c>
      <c r="AF197" s="44">
        <v>14.2</v>
      </c>
      <c r="AG197" s="42">
        <v>2018</v>
      </c>
      <c r="AH197" s="42">
        <v>19</v>
      </c>
      <c r="AI197" s="44">
        <v>14.2</v>
      </c>
      <c r="AJ197" s="42">
        <v>1984</v>
      </c>
      <c r="AK197" s="42">
        <v>26</v>
      </c>
      <c r="AL197" s="44">
        <v>11.4</v>
      </c>
      <c r="AM197" s="42">
        <v>2025</v>
      </c>
      <c r="AN197" s="42">
        <v>4</v>
      </c>
      <c r="AO197" s="44">
        <v>12.8</v>
      </c>
      <c r="AP197" s="42">
        <v>1996</v>
      </c>
      <c r="AQ197" s="42">
        <v>19</v>
      </c>
    </row>
    <row r="198" spans="1:43" ht="14.45" customHeight="1" x14ac:dyDescent="0.2">
      <c r="A198" s="42">
        <v>26255020</v>
      </c>
      <c r="B198" s="42" t="s">
        <v>1094</v>
      </c>
      <c r="C198" s="42">
        <v>7.1572222219999997</v>
      </c>
      <c r="D198" s="42">
        <v>-75.442274999999995</v>
      </c>
      <c r="E198" s="42">
        <v>1131</v>
      </c>
      <c r="F198" s="42" t="s">
        <v>501</v>
      </c>
      <c r="G198" s="42" t="s">
        <v>57</v>
      </c>
      <c r="H198" s="44">
        <v>15</v>
      </c>
      <c r="I198" s="42">
        <v>1981</v>
      </c>
      <c r="J198" s="42">
        <v>13</v>
      </c>
      <c r="K198" s="44">
        <v>15</v>
      </c>
      <c r="L198" s="42">
        <v>2008</v>
      </c>
      <c r="M198" s="42">
        <v>2</v>
      </c>
      <c r="N198" s="44">
        <v>15.4</v>
      </c>
      <c r="O198" s="42">
        <v>1989</v>
      </c>
      <c r="P198" s="42">
        <v>12</v>
      </c>
      <c r="Q198" s="44">
        <v>15.6</v>
      </c>
      <c r="R198" s="42">
        <v>1984</v>
      </c>
      <c r="S198" s="42">
        <v>12</v>
      </c>
      <c r="T198" s="44">
        <v>14</v>
      </c>
      <c r="U198" s="42">
        <v>1999</v>
      </c>
      <c r="V198" s="42">
        <v>13</v>
      </c>
      <c r="W198" s="44">
        <v>14.4</v>
      </c>
      <c r="X198" s="42">
        <v>1999</v>
      </c>
      <c r="Y198" s="42">
        <v>5</v>
      </c>
      <c r="Z198" s="44">
        <v>14</v>
      </c>
      <c r="AA198" s="42">
        <v>1999</v>
      </c>
      <c r="AB198" s="42">
        <v>2</v>
      </c>
      <c r="AC198" s="44">
        <v>14</v>
      </c>
      <c r="AD198" s="42">
        <v>2024</v>
      </c>
      <c r="AE198" s="42">
        <v>27</v>
      </c>
      <c r="AF198" s="44">
        <v>15</v>
      </c>
      <c r="AG198" s="42">
        <v>1979</v>
      </c>
      <c r="AH198" s="42">
        <v>5</v>
      </c>
      <c r="AI198" s="44">
        <v>13.8</v>
      </c>
      <c r="AJ198" s="42">
        <v>1983</v>
      </c>
      <c r="AK198" s="42">
        <v>11</v>
      </c>
      <c r="AL198" s="44">
        <v>15.4</v>
      </c>
      <c r="AM198" s="42">
        <v>1999</v>
      </c>
      <c r="AN198" s="42">
        <v>20</v>
      </c>
      <c r="AO198" s="44">
        <v>15</v>
      </c>
      <c r="AP198" s="42">
        <v>1997</v>
      </c>
      <c r="AQ198" s="42">
        <v>16</v>
      </c>
    </row>
    <row r="199" spans="1:43" ht="14.45" customHeight="1" x14ac:dyDescent="0.2">
      <c r="A199" s="42">
        <v>26065020</v>
      </c>
      <c r="B199" s="42" t="s">
        <v>1095</v>
      </c>
      <c r="C199" s="42">
        <v>3.2456666670000001</v>
      </c>
      <c r="D199" s="42">
        <v>-76.223055560000006</v>
      </c>
      <c r="E199" s="42">
        <v>1133</v>
      </c>
      <c r="F199" s="42" t="s">
        <v>571</v>
      </c>
      <c r="G199" s="42" t="s">
        <v>181</v>
      </c>
      <c r="H199" s="44">
        <v>15</v>
      </c>
      <c r="I199" s="42">
        <v>1980</v>
      </c>
      <c r="J199" s="42">
        <v>24</v>
      </c>
      <c r="K199" s="44">
        <v>15.2</v>
      </c>
      <c r="L199" s="42">
        <v>1980</v>
      </c>
      <c r="M199" s="42">
        <v>29</v>
      </c>
      <c r="N199" s="44">
        <v>15.2</v>
      </c>
      <c r="O199" s="42">
        <v>1980</v>
      </c>
      <c r="P199" s="42">
        <v>19</v>
      </c>
      <c r="Q199" s="44">
        <v>15.2</v>
      </c>
      <c r="R199" s="42">
        <v>1979</v>
      </c>
      <c r="S199" s="42">
        <v>20</v>
      </c>
      <c r="T199" s="44">
        <v>15.2</v>
      </c>
      <c r="U199" s="42">
        <v>1981</v>
      </c>
      <c r="V199" s="42">
        <v>8</v>
      </c>
      <c r="W199" s="44">
        <v>15.6</v>
      </c>
      <c r="X199" s="42">
        <v>1989</v>
      </c>
      <c r="Y199" s="42">
        <v>28</v>
      </c>
      <c r="Z199" s="44">
        <v>15</v>
      </c>
      <c r="AA199" s="42">
        <v>1985</v>
      </c>
      <c r="AB199" s="42">
        <v>22</v>
      </c>
      <c r="AC199" s="44">
        <v>15</v>
      </c>
      <c r="AD199" s="42">
        <v>1978</v>
      </c>
      <c r="AE199" s="42">
        <v>21</v>
      </c>
      <c r="AF199" s="44">
        <v>15.2</v>
      </c>
      <c r="AG199" s="42">
        <v>1993</v>
      </c>
      <c r="AH199" s="42">
        <v>9</v>
      </c>
      <c r="AI199" s="44">
        <v>15.3</v>
      </c>
      <c r="AJ199" s="42">
        <v>1990</v>
      </c>
      <c r="AK199" s="42">
        <v>19</v>
      </c>
      <c r="AL199" s="44">
        <v>15</v>
      </c>
      <c r="AM199" s="42">
        <v>1984</v>
      </c>
      <c r="AN199" s="42">
        <v>7</v>
      </c>
      <c r="AO199" s="44">
        <v>15.2</v>
      </c>
      <c r="AP199" s="42">
        <v>1980</v>
      </c>
      <c r="AQ199" s="42">
        <v>29</v>
      </c>
    </row>
    <row r="200" spans="1:43" ht="14.45" customHeight="1" x14ac:dyDescent="0.2">
      <c r="A200" s="42">
        <v>16055100</v>
      </c>
      <c r="B200" s="42" t="s">
        <v>1096</v>
      </c>
      <c r="C200" s="42">
        <v>8.2377777779999999</v>
      </c>
      <c r="D200" s="42">
        <v>-73.32222222</v>
      </c>
      <c r="E200" s="42">
        <v>1150</v>
      </c>
      <c r="F200" s="42" t="s">
        <v>308</v>
      </c>
      <c r="G200" s="42" t="s">
        <v>300</v>
      </c>
      <c r="H200" s="44">
        <v>9</v>
      </c>
      <c r="I200" s="42">
        <v>1994</v>
      </c>
      <c r="J200" s="42">
        <v>31</v>
      </c>
      <c r="K200" s="44">
        <v>9.1999999999999993</v>
      </c>
      <c r="L200" s="42">
        <v>2008</v>
      </c>
      <c r="M200" s="42">
        <v>4</v>
      </c>
      <c r="N200" s="44">
        <v>9.1999999999999993</v>
      </c>
      <c r="O200" s="42">
        <v>1993</v>
      </c>
      <c r="P200" s="42">
        <v>7</v>
      </c>
      <c r="Q200" s="44">
        <v>10</v>
      </c>
      <c r="R200" s="42">
        <v>1993</v>
      </c>
      <c r="S200" s="42">
        <v>5</v>
      </c>
      <c r="T200" s="44">
        <v>11.4</v>
      </c>
      <c r="U200" s="42">
        <v>1993</v>
      </c>
      <c r="V200" s="42">
        <v>16</v>
      </c>
      <c r="W200" s="44">
        <v>9.6</v>
      </c>
      <c r="X200" s="42">
        <v>1997</v>
      </c>
      <c r="Y200" s="42">
        <v>30</v>
      </c>
      <c r="Z200" s="44">
        <v>10</v>
      </c>
      <c r="AA200" s="42">
        <v>1994</v>
      </c>
      <c r="AB200" s="42">
        <v>10</v>
      </c>
      <c r="AC200" s="44">
        <v>10.6</v>
      </c>
      <c r="AD200" s="42">
        <v>2002</v>
      </c>
      <c r="AE200" s="42">
        <v>3</v>
      </c>
      <c r="AF200" s="44">
        <v>11</v>
      </c>
      <c r="AG200" s="42">
        <v>2003</v>
      </c>
      <c r="AH200" s="42">
        <v>2</v>
      </c>
      <c r="AI200" s="44">
        <v>10</v>
      </c>
      <c r="AJ200" s="42">
        <v>1994</v>
      </c>
      <c r="AK200" s="42">
        <v>12</v>
      </c>
      <c r="AL200" s="44">
        <v>10</v>
      </c>
      <c r="AM200" s="42">
        <v>1994</v>
      </c>
      <c r="AN200" s="42">
        <v>16</v>
      </c>
      <c r="AO200" s="44">
        <v>9.1999999999999993</v>
      </c>
      <c r="AP200" s="42">
        <v>1993</v>
      </c>
      <c r="AQ200" s="42">
        <v>30</v>
      </c>
    </row>
    <row r="201" spans="1:43" ht="14.45" customHeight="1" x14ac:dyDescent="0.2">
      <c r="A201" s="42">
        <v>26175030</v>
      </c>
      <c r="B201" s="42" t="s">
        <v>1097</v>
      </c>
      <c r="C201" s="42">
        <v>5.717333333</v>
      </c>
      <c r="D201" s="42">
        <v>-75.690916669999993</v>
      </c>
      <c r="E201" s="42">
        <v>1153</v>
      </c>
      <c r="F201" s="42" t="s">
        <v>498</v>
      </c>
      <c r="G201" s="42" t="s">
        <v>57</v>
      </c>
      <c r="H201" s="44">
        <v>14</v>
      </c>
      <c r="I201" s="42">
        <v>1979</v>
      </c>
      <c r="J201" s="42">
        <v>22</v>
      </c>
      <c r="K201" s="44">
        <v>15</v>
      </c>
      <c r="L201" s="42">
        <v>1979</v>
      </c>
      <c r="M201" s="42">
        <v>4</v>
      </c>
      <c r="N201" s="44">
        <v>14.8</v>
      </c>
      <c r="O201" s="42">
        <v>2000</v>
      </c>
      <c r="P201" s="42">
        <v>14</v>
      </c>
      <c r="Q201" s="44">
        <v>15.6</v>
      </c>
      <c r="R201" s="42">
        <v>2002</v>
      </c>
      <c r="S201" s="42">
        <v>18</v>
      </c>
      <c r="T201" s="44">
        <v>14.2</v>
      </c>
      <c r="U201" s="42">
        <v>2021</v>
      </c>
      <c r="V201" s="42">
        <v>6</v>
      </c>
      <c r="W201" s="44">
        <v>14.2</v>
      </c>
      <c r="X201" s="42">
        <v>2021</v>
      </c>
      <c r="Y201" s="42">
        <v>10</v>
      </c>
      <c r="Z201" s="44">
        <v>15</v>
      </c>
      <c r="AA201" s="42">
        <v>1992</v>
      </c>
      <c r="AB201" s="42">
        <v>8</v>
      </c>
      <c r="AC201" s="44">
        <v>14.3</v>
      </c>
      <c r="AD201" s="42">
        <v>2023</v>
      </c>
      <c r="AE201" s="42">
        <v>11</v>
      </c>
      <c r="AF201" s="44">
        <v>15</v>
      </c>
      <c r="AG201" s="42">
        <v>2000</v>
      </c>
      <c r="AH201" s="42">
        <v>6</v>
      </c>
      <c r="AI201" s="44">
        <v>14</v>
      </c>
      <c r="AJ201" s="42">
        <v>1983</v>
      </c>
      <c r="AK201" s="42">
        <v>29</v>
      </c>
      <c r="AL201" s="44">
        <v>14.2</v>
      </c>
      <c r="AM201" s="42">
        <v>2016</v>
      </c>
      <c r="AN201" s="42">
        <v>22</v>
      </c>
      <c r="AO201" s="44">
        <v>15.2</v>
      </c>
      <c r="AP201" s="42">
        <v>1985</v>
      </c>
      <c r="AQ201" s="42">
        <v>2</v>
      </c>
    </row>
    <row r="202" spans="1:43" ht="14.45" customHeight="1" x14ac:dyDescent="0.2">
      <c r="A202" s="42">
        <v>16055020</v>
      </c>
      <c r="B202" s="42" t="s">
        <v>1098</v>
      </c>
      <c r="C202" s="42">
        <v>8.4422222219999998</v>
      </c>
      <c r="D202" s="42">
        <v>-73.285277780000001</v>
      </c>
      <c r="E202" s="42">
        <v>1160</v>
      </c>
      <c r="F202" s="42" t="s">
        <v>762</v>
      </c>
      <c r="G202" s="42" t="s">
        <v>300</v>
      </c>
      <c r="H202" s="44">
        <v>12.2</v>
      </c>
      <c r="I202" s="42">
        <v>2020</v>
      </c>
      <c r="J202" s="42">
        <v>26</v>
      </c>
      <c r="K202" s="44">
        <v>13.2</v>
      </c>
      <c r="L202" s="42">
        <v>2010</v>
      </c>
      <c r="M202" s="42">
        <v>7</v>
      </c>
      <c r="N202" s="44">
        <v>12.5</v>
      </c>
      <c r="O202" s="42">
        <v>1982</v>
      </c>
      <c r="P202" s="42">
        <v>12</v>
      </c>
      <c r="Q202" s="44">
        <v>15</v>
      </c>
      <c r="R202" s="42">
        <v>1984</v>
      </c>
      <c r="S202" s="42">
        <v>1</v>
      </c>
      <c r="T202" s="44">
        <v>14</v>
      </c>
      <c r="U202" s="42">
        <v>2007</v>
      </c>
      <c r="V202" s="42">
        <v>4</v>
      </c>
      <c r="W202" s="44">
        <v>16</v>
      </c>
      <c r="X202" s="42">
        <v>1982</v>
      </c>
      <c r="Y202" s="42">
        <v>18</v>
      </c>
      <c r="Z202" s="44">
        <v>12</v>
      </c>
      <c r="AA202" s="42">
        <v>1982</v>
      </c>
      <c r="AB202" s="42">
        <v>18</v>
      </c>
      <c r="AC202" s="44">
        <v>12</v>
      </c>
      <c r="AD202" s="42">
        <v>1982</v>
      </c>
      <c r="AE202" s="42">
        <v>11</v>
      </c>
      <c r="AF202" s="44">
        <v>13.4</v>
      </c>
      <c r="AG202" s="42">
        <v>2009</v>
      </c>
      <c r="AH202" s="42">
        <v>1</v>
      </c>
      <c r="AI202" s="44">
        <v>13</v>
      </c>
      <c r="AJ202" s="42">
        <v>2009</v>
      </c>
      <c r="AK202" s="42">
        <v>15</v>
      </c>
      <c r="AL202" s="44">
        <v>13.6</v>
      </c>
      <c r="AM202" s="42">
        <v>2009</v>
      </c>
      <c r="AN202" s="42">
        <v>4</v>
      </c>
      <c r="AO202" s="44">
        <v>13.4</v>
      </c>
      <c r="AP202" s="42">
        <v>2009</v>
      </c>
      <c r="AQ202" s="42">
        <v>18</v>
      </c>
    </row>
    <row r="203" spans="1:43" ht="14.45" customHeight="1" x14ac:dyDescent="0.2">
      <c r="A203" s="42">
        <v>22015020</v>
      </c>
      <c r="B203" s="42" t="s">
        <v>1099</v>
      </c>
      <c r="C203" s="42">
        <v>3.5291388889999999</v>
      </c>
      <c r="D203" s="42">
        <v>-75.631416669999993</v>
      </c>
      <c r="E203" s="42">
        <v>1160</v>
      </c>
      <c r="F203" s="42" t="s">
        <v>826</v>
      </c>
      <c r="G203" s="42" t="s">
        <v>70</v>
      </c>
      <c r="H203" s="44">
        <v>15</v>
      </c>
      <c r="I203" s="42">
        <v>1994</v>
      </c>
      <c r="J203" s="42">
        <v>15</v>
      </c>
      <c r="K203" s="44">
        <v>15</v>
      </c>
      <c r="L203" s="42">
        <v>1994</v>
      </c>
      <c r="M203" s="42">
        <v>2</v>
      </c>
      <c r="N203" s="44">
        <v>15</v>
      </c>
      <c r="O203" s="42">
        <v>1993</v>
      </c>
      <c r="P203" s="42">
        <v>22</v>
      </c>
      <c r="Q203" s="44">
        <v>15.2</v>
      </c>
      <c r="R203" s="42">
        <v>1993</v>
      </c>
      <c r="S203" s="42">
        <v>19</v>
      </c>
      <c r="T203" s="44">
        <v>15.2</v>
      </c>
      <c r="U203" s="42">
        <v>1996</v>
      </c>
      <c r="V203" s="42">
        <v>17</v>
      </c>
      <c r="W203" s="44">
        <v>15</v>
      </c>
      <c r="X203" s="42">
        <v>1994</v>
      </c>
      <c r="Y203" s="42">
        <v>4</v>
      </c>
      <c r="Z203" s="44">
        <v>15</v>
      </c>
      <c r="AA203" s="42">
        <v>1994</v>
      </c>
      <c r="AB203" s="42">
        <v>20</v>
      </c>
      <c r="AC203" s="44">
        <v>15</v>
      </c>
      <c r="AD203" s="42">
        <v>1994</v>
      </c>
      <c r="AE203" s="42">
        <v>9</v>
      </c>
      <c r="AF203" s="44">
        <v>15.2</v>
      </c>
      <c r="AG203" s="42">
        <v>2011</v>
      </c>
      <c r="AH203" s="42">
        <v>9</v>
      </c>
      <c r="AI203" s="44">
        <v>15</v>
      </c>
      <c r="AJ203" s="42">
        <v>1988</v>
      </c>
      <c r="AK203" s="42">
        <v>2</v>
      </c>
      <c r="AL203" s="44">
        <v>15</v>
      </c>
      <c r="AM203" s="42">
        <v>1990</v>
      </c>
      <c r="AN203" s="42">
        <v>11</v>
      </c>
      <c r="AO203" s="44">
        <v>15</v>
      </c>
      <c r="AP203" s="42">
        <v>2009</v>
      </c>
      <c r="AQ203" s="42">
        <v>19</v>
      </c>
    </row>
    <row r="204" spans="1:43" ht="14.45" customHeight="1" x14ac:dyDescent="0.2">
      <c r="A204" s="42">
        <v>24035260</v>
      </c>
      <c r="B204" s="42" t="s">
        <v>1100</v>
      </c>
      <c r="C204" s="42">
        <v>6.5207222219999998</v>
      </c>
      <c r="D204" s="42">
        <v>-72.696611110000006</v>
      </c>
      <c r="E204" s="42">
        <v>1160</v>
      </c>
      <c r="F204" s="42" t="s">
        <v>233</v>
      </c>
      <c r="G204" s="42" t="s">
        <v>49</v>
      </c>
      <c r="H204" s="44">
        <v>12.4</v>
      </c>
      <c r="I204" s="42">
        <v>2023</v>
      </c>
      <c r="J204" s="42">
        <v>29</v>
      </c>
      <c r="K204" s="44">
        <v>10.4</v>
      </c>
      <c r="L204" s="42">
        <v>2007</v>
      </c>
      <c r="M204" s="42">
        <v>25</v>
      </c>
      <c r="N204" s="44">
        <v>12.8</v>
      </c>
      <c r="O204" s="42">
        <v>1994</v>
      </c>
      <c r="P204" s="42">
        <v>23</v>
      </c>
      <c r="Q204" s="44">
        <v>14</v>
      </c>
      <c r="R204" s="42">
        <v>1999</v>
      </c>
      <c r="S204" s="42">
        <v>18</v>
      </c>
      <c r="T204" s="44">
        <v>13.6</v>
      </c>
      <c r="U204" s="42">
        <v>1998</v>
      </c>
      <c r="V204" s="42">
        <v>15</v>
      </c>
      <c r="W204" s="44">
        <v>13.4</v>
      </c>
      <c r="X204" s="42">
        <v>2012</v>
      </c>
      <c r="Y204" s="42">
        <v>22</v>
      </c>
      <c r="Z204" s="44">
        <v>12</v>
      </c>
      <c r="AA204" s="42">
        <v>1998</v>
      </c>
      <c r="AB204" s="42">
        <v>13</v>
      </c>
      <c r="AC204" s="44">
        <v>11.8</v>
      </c>
      <c r="AD204" s="42">
        <v>2001</v>
      </c>
      <c r="AE204" s="42">
        <v>30</v>
      </c>
      <c r="AF204" s="44">
        <v>14</v>
      </c>
      <c r="AG204" s="42">
        <v>1998</v>
      </c>
      <c r="AH204" s="42">
        <v>30</v>
      </c>
      <c r="AI204" s="44">
        <v>12.4</v>
      </c>
      <c r="AJ204" s="42">
        <v>2009</v>
      </c>
      <c r="AK204" s="42">
        <v>9</v>
      </c>
      <c r="AL204" s="44">
        <v>13.4</v>
      </c>
      <c r="AM204" s="42">
        <v>1987</v>
      </c>
      <c r="AN204" s="42">
        <v>13</v>
      </c>
      <c r="AO204" s="44">
        <v>12</v>
      </c>
      <c r="AP204" s="42">
        <v>1985</v>
      </c>
      <c r="AQ204" s="42">
        <v>18</v>
      </c>
    </row>
    <row r="205" spans="1:43" ht="14.45" customHeight="1" x14ac:dyDescent="0.2">
      <c r="A205" s="42">
        <v>26195020</v>
      </c>
      <c r="B205" s="42" t="s">
        <v>1101</v>
      </c>
      <c r="C205" s="42">
        <v>5.6909999999999998</v>
      </c>
      <c r="D205" s="42">
        <v>-75.880222219999993</v>
      </c>
      <c r="E205" s="42">
        <v>1180</v>
      </c>
      <c r="F205" s="42" t="s">
        <v>448</v>
      </c>
      <c r="G205" s="42" t="s">
        <v>57</v>
      </c>
      <c r="H205" s="44">
        <v>10.199999999999999</v>
      </c>
      <c r="I205" s="42">
        <v>1992</v>
      </c>
      <c r="J205" s="42">
        <v>9</v>
      </c>
      <c r="K205" s="44">
        <v>6.2</v>
      </c>
      <c r="L205" s="42">
        <v>2014</v>
      </c>
      <c r="M205" s="42">
        <v>25</v>
      </c>
      <c r="N205" s="44">
        <v>10.199999999999999</v>
      </c>
      <c r="O205" s="42">
        <v>1992</v>
      </c>
      <c r="P205" s="42">
        <v>30</v>
      </c>
      <c r="Q205" s="44">
        <v>10.4</v>
      </c>
      <c r="R205" s="42">
        <v>1992</v>
      </c>
      <c r="S205" s="42">
        <v>2</v>
      </c>
      <c r="T205" s="44">
        <v>10.199999999999999</v>
      </c>
      <c r="U205" s="42">
        <v>1992</v>
      </c>
      <c r="V205" s="42">
        <v>8</v>
      </c>
      <c r="W205" s="44">
        <v>10.199999999999999</v>
      </c>
      <c r="X205" s="42">
        <v>1992</v>
      </c>
      <c r="Y205" s="42">
        <v>15</v>
      </c>
      <c r="Z205" s="44">
        <v>10.199999999999999</v>
      </c>
      <c r="AA205" s="42">
        <v>1992</v>
      </c>
      <c r="AB205" s="42">
        <v>14</v>
      </c>
      <c r="AC205" s="44">
        <v>10</v>
      </c>
      <c r="AD205" s="42">
        <v>1986</v>
      </c>
      <c r="AE205" s="42">
        <v>5</v>
      </c>
      <c r="AF205" s="44">
        <v>10.199999999999999</v>
      </c>
      <c r="AG205" s="42">
        <v>1991</v>
      </c>
      <c r="AH205" s="42">
        <v>27</v>
      </c>
      <c r="AI205" s="44">
        <v>10.4</v>
      </c>
      <c r="AJ205" s="42">
        <v>1991</v>
      </c>
      <c r="AK205" s="42">
        <v>11</v>
      </c>
      <c r="AL205" s="44">
        <v>10</v>
      </c>
      <c r="AM205" s="42">
        <v>1991</v>
      </c>
      <c r="AN205" s="42">
        <v>4</v>
      </c>
      <c r="AO205" s="44">
        <v>10.4</v>
      </c>
      <c r="AP205" s="42">
        <v>1981</v>
      </c>
      <c r="AQ205" s="42">
        <v>26</v>
      </c>
    </row>
    <row r="206" spans="1:43" ht="14.45" customHeight="1" x14ac:dyDescent="0.2">
      <c r="A206" s="42">
        <v>23195502</v>
      </c>
      <c r="B206" s="42" t="s">
        <v>1102</v>
      </c>
      <c r="C206" s="42">
        <v>7.1214722220000004</v>
      </c>
      <c r="D206" s="42">
        <v>-73.184527779999996</v>
      </c>
      <c r="E206" s="42">
        <v>1189</v>
      </c>
      <c r="F206" s="42" t="s">
        <v>52</v>
      </c>
      <c r="G206" s="42" t="s">
        <v>49</v>
      </c>
      <c r="H206" s="44">
        <v>16</v>
      </c>
      <c r="I206" s="42">
        <v>2000</v>
      </c>
      <c r="J206" s="42">
        <v>16</v>
      </c>
      <c r="K206" s="44">
        <v>15.4</v>
      </c>
      <c r="L206" s="42">
        <v>1985</v>
      </c>
      <c r="M206" s="42">
        <v>6</v>
      </c>
      <c r="N206" s="44">
        <v>16.100000000000001</v>
      </c>
      <c r="O206" s="42">
        <v>1979</v>
      </c>
      <c r="P206" s="42">
        <v>25</v>
      </c>
      <c r="Q206" s="44">
        <v>16.2</v>
      </c>
      <c r="R206" s="42">
        <v>2018</v>
      </c>
      <c r="S206" s="42">
        <v>8</v>
      </c>
      <c r="T206" s="44">
        <v>16</v>
      </c>
      <c r="U206" s="42">
        <v>2002</v>
      </c>
      <c r="V206" s="42">
        <v>29</v>
      </c>
      <c r="W206" s="44">
        <v>16.399999999999999</v>
      </c>
      <c r="X206" s="42">
        <v>1979</v>
      </c>
      <c r="Y206" s="42">
        <v>5</v>
      </c>
      <c r="Z206" s="44">
        <v>15.2</v>
      </c>
      <c r="AA206" s="42">
        <v>1985</v>
      </c>
      <c r="AB206" s="42">
        <v>25</v>
      </c>
      <c r="AC206" s="44">
        <v>16.399999999999999</v>
      </c>
      <c r="AD206" s="42">
        <v>1979</v>
      </c>
      <c r="AE206" s="42">
        <v>31</v>
      </c>
      <c r="AF206" s="44">
        <v>15.6</v>
      </c>
      <c r="AG206" s="42">
        <v>1984</v>
      </c>
      <c r="AH206" s="42">
        <v>15</v>
      </c>
      <c r="AI206" s="44">
        <v>15</v>
      </c>
      <c r="AJ206" s="42">
        <v>1982</v>
      </c>
      <c r="AK206" s="42">
        <v>9</v>
      </c>
      <c r="AL206" s="44">
        <v>15.8</v>
      </c>
      <c r="AM206" s="42">
        <v>1984</v>
      </c>
      <c r="AN206" s="42">
        <v>9</v>
      </c>
      <c r="AO206" s="44">
        <v>15.8</v>
      </c>
      <c r="AP206" s="42">
        <v>2010</v>
      </c>
      <c r="AQ206" s="42">
        <v>21</v>
      </c>
    </row>
    <row r="207" spans="1:43" ht="14.45" customHeight="1" x14ac:dyDescent="0.2">
      <c r="A207" s="42">
        <v>26125061</v>
      </c>
      <c r="B207" s="42" t="s">
        <v>1103</v>
      </c>
      <c r="C207" s="42">
        <v>4.454722222</v>
      </c>
      <c r="D207" s="42">
        <v>-75.766388890000002</v>
      </c>
      <c r="E207" s="42">
        <v>1229</v>
      </c>
      <c r="F207" s="42" t="s">
        <v>771</v>
      </c>
      <c r="G207" s="42" t="s">
        <v>67</v>
      </c>
      <c r="H207" s="44">
        <v>11</v>
      </c>
      <c r="I207" s="42">
        <v>1989</v>
      </c>
      <c r="J207" s="42">
        <v>29</v>
      </c>
      <c r="K207" s="44">
        <v>12.6</v>
      </c>
      <c r="L207" s="42">
        <v>1985</v>
      </c>
      <c r="M207" s="42">
        <v>5</v>
      </c>
      <c r="N207" s="44">
        <v>11</v>
      </c>
      <c r="O207" s="42">
        <v>1988</v>
      </c>
      <c r="P207" s="42">
        <v>8</v>
      </c>
      <c r="Q207" s="44">
        <v>12.6</v>
      </c>
      <c r="R207" s="42">
        <v>1985</v>
      </c>
      <c r="S207" s="42">
        <v>21</v>
      </c>
      <c r="T207" s="44">
        <v>13.2</v>
      </c>
      <c r="U207" s="42">
        <v>1990</v>
      </c>
      <c r="V207" s="42">
        <v>2</v>
      </c>
      <c r="W207" s="44">
        <v>11.8</v>
      </c>
      <c r="X207" s="42">
        <v>1986</v>
      </c>
      <c r="Y207" s="42">
        <v>3</v>
      </c>
      <c r="Z207" s="44">
        <v>12.4</v>
      </c>
      <c r="AA207" s="42">
        <v>1983</v>
      </c>
      <c r="AB207" s="42">
        <v>25</v>
      </c>
      <c r="AC207" s="44">
        <v>11.4</v>
      </c>
      <c r="AD207" s="42">
        <v>2018</v>
      </c>
      <c r="AE207" s="42">
        <v>11</v>
      </c>
      <c r="AF207" s="44">
        <v>12.6</v>
      </c>
      <c r="AG207" s="42">
        <v>1986</v>
      </c>
      <c r="AH207" s="42">
        <v>5</v>
      </c>
      <c r="AI207" s="44">
        <v>13</v>
      </c>
      <c r="AJ207" s="42">
        <v>1989</v>
      </c>
      <c r="AK207" s="42">
        <v>4</v>
      </c>
      <c r="AL207" s="44">
        <v>11.8</v>
      </c>
      <c r="AM207" s="42">
        <v>2016</v>
      </c>
      <c r="AN207" s="42">
        <v>22</v>
      </c>
      <c r="AO207" s="44">
        <v>12</v>
      </c>
      <c r="AP207" s="42">
        <v>1989</v>
      </c>
      <c r="AQ207" s="42">
        <v>17</v>
      </c>
    </row>
    <row r="208" spans="1:43" ht="14.45" customHeight="1" x14ac:dyDescent="0.2">
      <c r="A208" s="42">
        <v>23125140</v>
      </c>
      <c r="B208" s="42" t="s">
        <v>1104</v>
      </c>
      <c r="C208" s="42">
        <v>5.5208333329999997</v>
      </c>
      <c r="D208" s="42">
        <v>-74.182416669999995</v>
      </c>
      <c r="E208" s="42">
        <v>1250</v>
      </c>
      <c r="F208" s="42" t="s">
        <v>214</v>
      </c>
      <c r="G208" s="42" t="s">
        <v>212</v>
      </c>
      <c r="H208" s="44">
        <v>13.4</v>
      </c>
      <c r="I208" s="42">
        <v>2005</v>
      </c>
      <c r="J208" s="42">
        <v>17</v>
      </c>
      <c r="K208" s="44">
        <v>12.2</v>
      </c>
      <c r="L208" s="42">
        <v>2002</v>
      </c>
      <c r="M208" s="42">
        <v>8</v>
      </c>
      <c r="N208" s="44">
        <v>12.4</v>
      </c>
      <c r="O208" s="42">
        <v>2002</v>
      </c>
      <c r="P208" s="42">
        <v>20</v>
      </c>
      <c r="Q208" s="44">
        <v>12.4</v>
      </c>
      <c r="R208" s="42">
        <v>2003</v>
      </c>
      <c r="S208" s="42">
        <v>15</v>
      </c>
      <c r="T208" s="44">
        <v>12</v>
      </c>
      <c r="U208" s="42">
        <v>2003</v>
      </c>
      <c r="V208" s="42">
        <v>4</v>
      </c>
      <c r="W208" s="44">
        <v>14.4</v>
      </c>
      <c r="X208" s="42">
        <v>2002</v>
      </c>
      <c r="Y208" s="42">
        <v>4</v>
      </c>
      <c r="Z208" s="44">
        <v>14.2</v>
      </c>
      <c r="AA208" s="42">
        <v>2003</v>
      </c>
      <c r="AB208" s="42">
        <v>1</v>
      </c>
      <c r="AC208" s="44">
        <v>13.8</v>
      </c>
      <c r="AD208" s="42">
        <v>2004</v>
      </c>
      <c r="AE208" s="42">
        <v>27</v>
      </c>
      <c r="AF208" s="44">
        <v>14.2</v>
      </c>
      <c r="AG208" s="42">
        <v>2000</v>
      </c>
      <c r="AH208" s="42">
        <v>24</v>
      </c>
      <c r="AI208" s="44">
        <v>13.2</v>
      </c>
      <c r="AJ208" s="42">
        <v>2002</v>
      </c>
      <c r="AK208" s="42">
        <v>28</v>
      </c>
      <c r="AL208" s="44">
        <v>13</v>
      </c>
      <c r="AM208" s="42">
        <v>2003</v>
      </c>
      <c r="AN208" s="42">
        <v>12</v>
      </c>
      <c r="AO208" s="44">
        <v>14.2</v>
      </c>
      <c r="AP208" s="42">
        <v>2004</v>
      </c>
      <c r="AQ208" s="42">
        <v>16</v>
      </c>
    </row>
    <row r="209" spans="1:43" ht="14.45" customHeight="1" x14ac:dyDescent="0.2">
      <c r="A209" s="42">
        <v>21065040</v>
      </c>
      <c r="B209" s="42" t="s">
        <v>1105</v>
      </c>
      <c r="C209" s="42">
        <v>2.2524999999999999</v>
      </c>
      <c r="D209" s="42">
        <v>-75.529444440000006</v>
      </c>
      <c r="E209" s="42">
        <v>1270</v>
      </c>
      <c r="F209" s="42" t="s">
        <v>184</v>
      </c>
      <c r="G209" s="42" t="s">
        <v>79</v>
      </c>
      <c r="H209" s="44">
        <v>10.4</v>
      </c>
      <c r="I209" s="42">
        <v>1986</v>
      </c>
      <c r="J209" s="42">
        <v>7</v>
      </c>
      <c r="K209" s="44">
        <v>10.6</v>
      </c>
      <c r="L209" s="42">
        <v>1984</v>
      </c>
      <c r="M209" s="42">
        <v>28</v>
      </c>
      <c r="N209" s="44">
        <v>11.2</v>
      </c>
      <c r="O209" s="42">
        <v>1988</v>
      </c>
      <c r="P209" s="42">
        <v>5</v>
      </c>
      <c r="Q209" s="44">
        <v>12</v>
      </c>
      <c r="R209" s="42">
        <v>2013</v>
      </c>
      <c r="S209" s="42">
        <v>25</v>
      </c>
      <c r="T209" s="44">
        <v>13.2</v>
      </c>
      <c r="U209" s="42">
        <v>1979</v>
      </c>
      <c r="V209" s="42">
        <v>24</v>
      </c>
      <c r="W209" s="44">
        <v>11.4</v>
      </c>
      <c r="X209" s="42">
        <v>2001</v>
      </c>
      <c r="Y209" s="42">
        <v>22</v>
      </c>
      <c r="Z209" s="44">
        <v>10.4</v>
      </c>
      <c r="AA209" s="42">
        <v>1999</v>
      </c>
      <c r="AB209" s="42">
        <v>10</v>
      </c>
      <c r="AC209" s="44">
        <v>11</v>
      </c>
      <c r="AD209" s="42">
        <v>1990</v>
      </c>
      <c r="AE209" s="42">
        <v>12</v>
      </c>
      <c r="AF209" s="44">
        <v>11.4</v>
      </c>
      <c r="AG209" s="42">
        <v>1983</v>
      </c>
      <c r="AH209" s="42">
        <v>12</v>
      </c>
      <c r="AI209" s="44">
        <v>11</v>
      </c>
      <c r="AJ209" s="42">
        <v>1984</v>
      </c>
      <c r="AK209" s="42">
        <v>29</v>
      </c>
      <c r="AL209" s="44">
        <v>12.2</v>
      </c>
      <c r="AM209" s="42">
        <v>1983</v>
      </c>
      <c r="AN209" s="42">
        <v>24</v>
      </c>
      <c r="AO209" s="44">
        <v>11.2</v>
      </c>
      <c r="AP209" s="42">
        <v>1980</v>
      </c>
      <c r="AQ209" s="42">
        <v>23</v>
      </c>
    </row>
    <row r="210" spans="1:43" ht="14.45" customHeight="1" x14ac:dyDescent="0.2">
      <c r="A210" s="42">
        <v>11115020</v>
      </c>
      <c r="B210" s="42" t="s">
        <v>1106</v>
      </c>
      <c r="C210" s="42">
        <v>6.7580277779999998</v>
      </c>
      <c r="D210" s="42">
        <v>-76.029666669999997</v>
      </c>
      <c r="E210" s="42">
        <v>1294</v>
      </c>
      <c r="F210" s="42" t="s">
        <v>455</v>
      </c>
      <c r="G210" s="42" t="s">
        <v>57</v>
      </c>
      <c r="H210" s="44">
        <v>10</v>
      </c>
      <c r="I210" s="42">
        <v>2018</v>
      </c>
      <c r="J210" s="42">
        <v>15</v>
      </c>
      <c r="K210" s="44">
        <v>11.2</v>
      </c>
      <c r="L210" s="42">
        <v>1993</v>
      </c>
      <c r="M210" s="42">
        <v>17</v>
      </c>
      <c r="N210" s="44">
        <v>11.2</v>
      </c>
      <c r="O210" s="42">
        <v>1993</v>
      </c>
      <c r="P210" s="42">
        <v>5</v>
      </c>
      <c r="Q210" s="44">
        <v>11.6</v>
      </c>
      <c r="R210" s="42">
        <v>1980</v>
      </c>
      <c r="S210" s="42">
        <v>23</v>
      </c>
      <c r="T210" s="44">
        <v>11.6</v>
      </c>
      <c r="U210" s="42">
        <v>1993</v>
      </c>
      <c r="V210" s="42">
        <v>5</v>
      </c>
      <c r="W210" s="44">
        <v>12.2</v>
      </c>
      <c r="X210" s="42">
        <v>1993</v>
      </c>
      <c r="Y210" s="42">
        <v>6</v>
      </c>
      <c r="Z210" s="44">
        <v>13.4</v>
      </c>
      <c r="AA210" s="42">
        <v>2018</v>
      </c>
      <c r="AB210" s="42">
        <v>15</v>
      </c>
      <c r="AC210" s="44">
        <v>13.2</v>
      </c>
      <c r="AD210" s="42">
        <v>1980</v>
      </c>
      <c r="AE210" s="42">
        <v>20</v>
      </c>
      <c r="AF210" s="44">
        <v>13.2</v>
      </c>
      <c r="AG210" s="42">
        <v>1992</v>
      </c>
      <c r="AH210" s="42">
        <v>17</v>
      </c>
      <c r="AI210" s="44">
        <v>12.6</v>
      </c>
      <c r="AJ210" s="42">
        <v>1984</v>
      </c>
      <c r="AK210" s="42">
        <v>13</v>
      </c>
      <c r="AL210" s="44">
        <v>11.4</v>
      </c>
      <c r="AM210" s="42">
        <v>2016</v>
      </c>
      <c r="AN210" s="42">
        <v>22</v>
      </c>
      <c r="AO210" s="44">
        <v>12</v>
      </c>
      <c r="AP210" s="42">
        <v>2005</v>
      </c>
      <c r="AQ210" s="42">
        <v>31</v>
      </c>
    </row>
    <row r="211" spans="1:43" ht="14.45" customHeight="1" x14ac:dyDescent="0.2">
      <c r="A211" s="42">
        <v>21125010</v>
      </c>
      <c r="B211" s="42" t="s">
        <v>1107</v>
      </c>
      <c r="C211" s="42">
        <v>2.9356944440000001</v>
      </c>
      <c r="D211" s="42">
        <v>-75.589055560000006</v>
      </c>
      <c r="E211" s="42">
        <v>1300</v>
      </c>
      <c r="F211" s="42" t="s">
        <v>696</v>
      </c>
      <c r="G211" s="42" t="s">
        <v>79</v>
      </c>
      <c r="H211" s="44">
        <v>12</v>
      </c>
      <c r="I211" s="42">
        <v>1996</v>
      </c>
      <c r="J211" s="42">
        <v>27</v>
      </c>
      <c r="K211" s="44">
        <v>12.4</v>
      </c>
      <c r="L211" s="42">
        <v>2004</v>
      </c>
      <c r="M211" s="42">
        <v>6</v>
      </c>
      <c r="N211" s="44">
        <v>12.5</v>
      </c>
      <c r="O211" s="42">
        <v>1986</v>
      </c>
      <c r="P211" s="42">
        <v>14</v>
      </c>
      <c r="Q211" s="44">
        <v>11.8</v>
      </c>
      <c r="R211" s="42">
        <v>1986</v>
      </c>
      <c r="S211" s="42">
        <v>4</v>
      </c>
      <c r="T211" s="44">
        <v>13.2</v>
      </c>
      <c r="U211" s="42">
        <v>1996</v>
      </c>
      <c r="V211" s="42">
        <v>22</v>
      </c>
      <c r="W211" s="44">
        <v>12.4</v>
      </c>
      <c r="X211" s="42">
        <v>1997</v>
      </c>
      <c r="Y211" s="42">
        <v>21</v>
      </c>
      <c r="Z211" s="44">
        <v>10.199999999999999</v>
      </c>
      <c r="AA211" s="42">
        <v>1996</v>
      </c>
      <c r="AB211" s="42">
        <v>23</v>
      </c>
      <c r="AC211" s="44">
        <v>10.3</v>
      </c>
      <c r="AD211" s="42">
        <v>1985</v>
      </c>
      <c r="AE211" s="42">
        <v>11</v>
      </c>
      <c r="AF211" s="44">
        <v>12</v>
      </c>
      <c r="AG211" s="42">
        <v>1985</v>
      </c>
      <c r="AH211" s="42">
        <v>7</v>
      </c>
      <c r="AI211" s="44">
        <v>12.4</v>
      </c>
      <c r="AJ211" s="42">
        <v>1984</v>
      </c>
      <c r="AK211" s="42">
        <v>5</v>
      </c>
      <c r="AL211" s="44">
        <v>12</v>
      </c>
      <c r="AM211" s="42">
        <v>1985</v>
      </c>
      <c r="AN211" s="42">
        <v>28</v>
      </c>
      <c r="AO211" s="44">
        <v>12.4</v>
      </c>
      <c r="AP211" s="42">
        <v>1985</v>
      </c>
      <c r="AQ211" s="42">
        <v>1</v>
      </c>
    </row>
    <row r="212" spans="1:43" ht="14.45" customHeight="1" x14ac:dyDescent="0.2">
      <c r="A212" s="42">
        <v>35075040</v>
      </c>
      <c r="B212" s="42" t="s">
        <v>1108</v>
      </c>
      <c r="C212" s="42">
        <v>4.9743611110000003</v>
      </c>
      <c r="D212" s="42">
        <v>-73.316749999999999</v>
      </c>
      <c r="E212" s="42">
        <v>1300</v>
      </c>
      <c r="F212" s="42" t="s">
        <v>245</v>
      </c>
      <c r="G212" s="42" t="s">
        <v>212</v>
      </c>
      <c r="H212" s="44">
        <v>9</v>
      </c>
      <c r="I212" s="42">
        <v>1988</v>
      </c>
      <c r="J212" s="42">
        <v>13</v>
      </c>
      <c r="K212" s="44">
        <v>9.1999999999999993</v>
      </c>
      <c r="L212" s="42">
        <v>2007</v>
      </c>
      <c r="M212" s="42">
        <v>7</v>
      </c>
      <c r="N212" s="44">
        <v>9.6</v>
      </c>
      <c r="O212" s="42">
        <v>1992</v>
      </c>
      <c r="P212" s="42">
        <v>29</v>
      </c>
      <c r="Q212" s="44">
        <v>10.6</v>
      </c>
      <c r="R212" s="42">
        <v>1992</v>
      </c>
      <c r="S212" s="42">
        <v>17</v>
      </c>
      <c r="T212" s="44">
        <v>11</v>
      </c>
      <c r="U212" s="42">
        <v>1992</v>
      </c>
      <c r="V212" s="42">
        <v>27</v>
      </c>
      <c r="W212" s="44">
        <v>9.4</v>
      </c>
      <c r="X212" s="42">
        <v>1997</v>
      </c>
      <c r="Y212" s="42">
        <v>29</v>
      </c>
      <c r="Z212" s="44">
        <v>9.4</v>
      </c>
      <c r="AA212" s="42">
        <v>1997</v>
      </c>
      <c r="AB212" s="42">
        <v>22</v>
      </c>
      <c r="AC212" s="44">
        <v>8.4</v>
      </c>
      <c r="AD212" s="42">
        <v>2018</v>
      </c>
      <c r="AE212" s="42">
        <v>11</v>
      </c>
      <c r="AF212" s="44">
        <v>9.4</v>
      </c>
      <c r="AG212" s="42">
        <v>1983</v>
      </c>
      <c r="AH212" s="42">
        <v>8</v>
      </c>
      <c r="AI212" s="44">
        <v>9.6</v>
      </c>
      <c r="AJ212" s="42">
        <v>1983</v>
      </c>
      <c r="AK212" s="42">
        <v>6</v>
      </c>
      <c r="AL212" s="44">
        <v>10</v>
      </c>
      <c r="AM212" s="42">
        <v>1990</v>
      </c>
      <c r="AN212" s="42">
        <v>29</v>
      </c>
      <c r="AO212" s="44">
        <v>9.6</v>
      </c>
      <c r="AP212" s="42">
        <v>2022</v>
      </c>
      <c r="AQ212" s="42">
        <v>27</v>
      </c>
    </row>
    <row r="213" spans="1:43" ht="14.45" customHeight="1" x14ac:dyDescent="0.2">
      <c r="A213" s="42">
        <v>35085050</v>
      </c>
      <c r="B213" s="42" t="s">
        <v>1109</v>
      </c>
      <c r="C213" s="42">
        <v>5.0345000000000004</v>
      </c>
      <c r="D213" s="42">
        <v>-73.103666669999996</v>
      </c>
      <c r="E213" s="42">
        <v>1300</v>
      </c>
      <c r="F213" s="42" t="s">
        <v>248</v>
      </c>
      <c r="G213" s="42" t="s">
        <v>212</v>
      </c>
      <c r="H213" s="44">
        <v>12</v>
      </c>
      <c r="I213" s="42">
        <v>1990</v>
      </c>
      <c r="J213" s="42">
        <v>17</v>
      </c>
      <c r="K213" s="44">
        <v>12.8</v>
      </c>
      <c r="L213" s="42">
        <v>1998</v>
      </c>
      <c r="M213" s="42">
        <v>28</v>
      </c>
      <c r="N213" s="44">
        <v>12</v>
      </c>
      <c r="O213" s="42">
        <v>1998</v>
      </c>
      <c r="P213" s="42">
        <v>27</v>
      </c>
      <c r="Q213" s="44">
        <v>13</v>
      </c>
      <c r="R213" s="42">
        <v>2015</v>
      </c>
      <c r="S213" s="42">
        <v>13</v>
      </c>
      <c r="T213" s="44">
        <v>12.8</v>
      </c>
      <c r="U213" s="42">
        <v>1998</v>
      </c>
      <c r="V213" s="42">
        <v>2</v>
      </c>
      <c r="W213" s="44">
        <v>11.6</v>
      </c>
      <c r="X213" s="42">
        <v>2012</v>
      </c>
      <c r="Y213" s="42">
        <v>11</v>
      </c>
      <c r="Z213" s="44">
        <v>11</v>
      </c>
      <c r="AA213" s="42">
        <v>1992</v>
      </c>
      <c r="AB213" s="42">
        <v>24</v>
      </c>
      <c r="AC213" s="44">
        <v>11.4</v>
      </c>
      <c r="AD213" s="42">
        <v>1997</v>
      </c>
      <c r="AE213" s="42">
        <v>18</v>
      </c>
      <c r="AF213" s="44">
        <v>13.4</v>
      </c>
      <c r="AG213" s="42">
        <v>1997</v>
      </c>
      <c r="AH213" s="42">
        <v>24</v>
      </c>
      <c r="AI213" s="44">
        <v>14.2</v>
      </c>
      <c r="AJ213" s="42">
        <v>1991</v>
      </c>
      <c r="AK213" s="42">
        <v>21</v>
      </c>
      <c r="AL213" s="44">
        <v>9.1999999999999993</v>
      </c>
      <c r="AM213" s="42">
        <v>2021</v>
      </c>
      <c r="AN213" s="42">
        <v>1</v>
      </c>
      <c r="AO213" s="44">
        <v>13</v>
      </c>
      <c r="AP213" s="42">
        <v>1993</v>
      </c>
      <c r="AQ213" s="42">
        <v>31</v>
      </c>
    </row>
    <row r="214" spans="1:43" ht="14.45" customHeight="1" x14ac:dyDescent="0.2">
      <c r="A214" s="42">
        <v>21015020</v>
      </c>
      <c r="B214" s="42" t="s">
        <v>1110</v>
      </c>
      <c r="C214" s="42">
        <v>1.8248333329999999</v>
      </c>
      <c r="D214" s="42">
        <v>-76.13027778</v>
      </c>
      <c r="E214" s="42">
        <v>1320</v>
      </c>
      <c r="F214" s="42" t="s">
        <v>693</v>
      </c>
      <c r="G214" s="42" t="s">
        <v>79</v>
      </c>
      <c r="H214" s="44">
        <v>9.5</v>
      </c>
      <c r="I214" s="42">
        <v>1979</v>
      </c>
      <c r="J214" s="42">
        <v>2</v>
      </c>
      <c r="K214" s="44">
        <v>10</v>
      </c>
      <c r="L214" s="42">
        <v>1997</v>
      </c>
      <c r="M214" s="42">
        <v>20</v>
      </c>
      <c r="N214" s="44">
        <v>10</v>
      </c>
      <c r="O214" s="42">
        <v>1992</v>
      </c>
      <c r="P214" s="42">
        <v>25</v>
      </c>
      <c r="Q214" s="44">
        <v>10.6</v>
      </c>
      <c r="R214" s="42">
        <v>2013</v>
      </c>
      <c r="S214" s="42">
        <v>26</v>
      </c>
      <c r="T214" s="44">
        <v>11</v>
      </c>
      <c r="U214" s="42">
        <v>1999</v>
      </c>
      <c r="V214" s="42">
        <v>10</v>
      </c>
      <c r="W214" s="44">
        <v>10.4</v>
      </c>
      <c r="X214" s="42">
        <v>1985</v>
      </c>
      <c r="Y214" s="42">
        <v>11</v>
      </c>
      <c r="Z214" s="44">
        <v>9.8000000000000007</v>
      </c>
      <c r="AA214" s="42">
        <v>1992</v>
      </c>
      <c r="AB214" s="42">
        <v>18</v>
      </c>
      <c r="AC214" s="44">
        <v>9.6</v>
      </c>
      <c r="AD214" s="42">
        <v>1995</v>
      </c>
      <c r="AE214" s="42">
        <v>6</v>
      </c>
      <c r="AF214" s="44">
        <v>9.8000000000000007</v>
      </c>
      <c r="AG214" s="42">
        <v>1989</v>
      </c>
      <c r="AH214" s="42">
        <v>18</v>
      </c>
      <c r="AI214" s="44">
        <v>10</v>
      </c>
      <c r="AJ214" s="42">
        <v>1991</v>
      </c>
      <c r="AK214" s="42">
        <v>14</v>
      </c>
      <c r="AL214" s="44">
        <v>10</v>
      </c>
      <c r="AM214" s="42">
        <v>1995</v>
      </c>
      <c r="AN214" s="42">
        <v>1</v>
      </c>
      <c r="AO214" s="44">
        <v>10.4</v>
      </c>
      <c r="AP214" s="42">
        <v>1983</v>
      </c>
      <c r="AQ214" s="42">
        <v>16</v>
      </c>
    </row>
    <row r="215" spans="1:43" ht="14.45" customHeight="1" x14ac:dyDescent="0.2">
      <c r="A215" s="42">
        <v>23085140</v>
      </c>
      <c r="B215" s="42" t="s">
        <v>1111</v>
      </c>
      <c r="C215" s="42">
        <v>5.9638055559999996</v>
      </c>
      <c r="D215" s="42">
        <v>-75.100694439999998</v>
      </c>
      <c r="E215" s="42">
        <v>1325</v>
      </c>
      <c r="F215" s="42" t="s">
        <v>480</v>
      </c>
      <c r="G215" s="42" t="s">
        <v>57</v>
      </c>
      <c r="H215" s="44">
        <v>14</v>
      </c>
      <c r="I215" s="42">
        <v>1995</v>
      </c>
      <c r="J215" s="42">
        <v>25</v>
      </c>
      <c r="K215" s="44">
        <v>14.4</v>
      </c>
      <c r="L215" s="42">
        <v>1986</v>
      </c>
      <c r="M215" s="42">
        <v>28</v>
      </c>
      <c r="N215" s="44">
        <v>14</v>
      </c>
      <c r="O215" s="42">
        <v>2011</v>
      </c>
      <c r="P215" s="42">
        <v>20</v>
      </c>
      <c r="Q215" s="44">
        <v>10.199999999999999</v>
      </c>
      <c r="R215" s="42">
        <v>1983</v>
      </c>
      <c r="S215" s="42">
        <v>28</v>
      </c>
      <c r="T215" s="44">
        <v>10</v>
      </c>
      <c r="U215" s="42">
        <v>1983</v>
      </c>
      <c r="V215" s="42">
        <v>10</v>
      </c>
      <c r="W215" s="44">
        <v>10</v>
      </c>
      <c r="X215" s="42">
        <v>1983</v>
      </c>
      <c r="Y215" s="42">
        <v>16</v>
      </c>
      <c r="Z215" s="44">
        <v>10</v>
      </c>
      <c r="AA215" s="42">
        <v>1983</v>
      </c>
      <c r="AB215" s="42">
        <v>8</v>
      </c>
      <c r="AC215" s="44">
        <v>10</v>
      </c>
      <c r="AD215" s="42">
        <v>1983</v>
      </c>
      <c r="AE215" s="42">
        <v>2</v>
      </c>
      <c r="AF215" s="44">
        <v>10.6</v>
      </c>
      <c r="AG215" s="42">
        <v>1983</v>
      </c>
      <c r="AH215" s="42">
        <v>1</v>
      </c>
      <c r="AI215" s="44">
        <v>10</v>
      </c>
      <c r="AJ215" s="42">
        <v>2015</v>
      </c>
      <c r="AK215" s="42">
        <v>5</v>
      </c>
      <c r="AL215" s="44">
        <v>13.6</v>
      </c>
      <c r="AM215" s="42">
        <v>1983</v>
      </c>
      <c r="AN215" s="42">
        <v>9</v>
      </c>
      <c r="AO215" s="44">
        <v>14.6</v>
      </c>
      <c r="AP215" s="42">
        <v>2011</v>
      </c>
      <c r="AQ215" s="42">
        <v>2</v>
      </c>
    </row>
    <row r="216" spans="1:43" ht="14.45" customHeight="1" x14ac:dyDescent="0.2">
      <c r="A216" s="42">
        <v>26135040</v>
      </c>
      <c r="B216" s="42" t="s">
        <v>1112</v>
      </c>
      <c r="C216" s="42">
        <v>4.8158611110000002</v>
      </c>
      <c r="D216" s="42">
        <v>-75.737222222</v>
      </c>
      <c r="E216" s="42">
        <v>1342</v>
      </c>
      <c r="F216" s="42" t="s">
        <v>65</v>
      </c>
      <c r="G216" s="42" t="s">
        <v>64</v>
      </c>
      <c r="H216" s="44">
        <v>13.8</v>
      </c>
      <c r="I216" s="42">
        <v>1986</v>
      </c>
      <c r="J216" s="42">
        <v>28</v>
      </c>
      <c r="K216" s="44">
        <v>14.4</v>
      </c>
      <c r="L216" s="42">
        <v>1989</v>
      </c>
      <c r="M216" s="42">
        <v>24</v>
      </c>
      <c r="N216" s="44">
        <v>14.2</v>
      </c>
      <c r="O216" s="42">
        <v>1979</v>
      </c>
      <c r="P216" s="42">
        <v>12</v>
      </c>
      <c r="Q216" s="44">
        <v>13</v>
      </c>
      <c r="R216" s="42">
        <v>1979</v>
      </c>
      <c r="S216" s="42">
        <v>28</v>
      </c>
      <c r="T216" s="44">
        <v>14.4</v>
      </c>
      <c r="U216" s="42">
        <v>1983</v>
      </c>
      <c r="V216" s="42">
        <v>12</v>
      </c>
      <c r="W216" s="44">
        <v>13.3</v>
      </c>
      <c r="X216" s="42">
        <v>1986</v>
      </c>
      <c r="Y216" s="42">
        <v>3</v>
      </c>
      <c r="Z216" s="44">
        <v>13.4</v>
      </c>
      <c r="AA216" s="42">
        <v>1983</v>
      </c>
      <c r="AB216" s="42">
        <v>9</v>
      </c>
      <c r="AC216" s="44">
        <v>13.2</v>
      </c>
      <c r="AD216" s="42">
        <v>1994</v>
      </c>
      <c r="AE216" s="42">
        <v>24</v>
      </c>
      <c r="AF216" s="44">
        <v>13.2</v>
      </c>
      <c r="AG216" s="42">
        <v>1994</v>
      </c>
      <c r="AH216" s="42">
        <v>19</v>
      </c>
      <c r="AI216" s="44">
        <v>14</v>
      </c>
      <c r="AJ216" s="42">
        <v>1979</v>
      </c>
      <c r="AK216" s="42">
        <v>30</v>
      </c>
      <c r="AL216" s="44">
        <v>13.4</v>
      </c>
      <c r="AM216" s="42">
        <v>1985</v>
      </c>
      <c r="AN216" s="42">
        <v>2</v>
      </c>
      <c r="AO216" s="44">
        <v>14.4</v>
      </c>
      <c r="AP216" s="42">
        <v>1990</v>
      </c>
      <c r="AQ216" s="42">
        <v>9</v>
      </c>
    </row>
    <row r="217" spans="1:43" ht="14.45" customHeight="1" x14ac:dyDescent="0.2">
      <c r="A217" s="42">
        <v>24025050</v>
      </c>
      <c r="B217" s="42" t="s">
        <v>1113</v>
      </c>
      <c r="C217" s="42">
        <v>6.2741666670000003</v>
      </c>
      <c r="D217" s="42">
        <v>-73.150555560000001</v>
      </c>
      <c r="E217" s="42">
        <v>1350</v>
      </c>
      <c r="F217" s="42" t="s">
        <v>782</v>
      </c>
      <c r="G217" s="42" t="s">
        <v>49</v>
      </c>
      <c r="H217" s="44">
        <v>10.199999999999999</v>
      </c>
      <c r="I217" s="42">
        <v>1992</v>
      </c>
      <c r="J217" s="42">
        <v>19</v>
      </c>
      <c r="K217" s="44">
        <v>10.6</v>
      </c>
      <c r="L217" s="42">
        <v>1995</v>
      </c>
      <c r="M217" s="42">
        <v>12</v>
      </c>
      <c r="N217" s="44">
        <v>10</v>
      </c>
      <c r="O217" s="42">
        <v>1988</v>
      </c>
      <c r="P217" s="42">
        <v>27</v>
      </c>
      <c r="Q217" s="44">
        <v>10.199999999999999</v>
      </c>
      <c r="R217" s="42">
        <v>1986</v>
      </c>
      <c r="S217" s="42">
        <v>23</v>
      </c>
      <c r="T217" s="44">
        <v>10</v>
      </c>
      <c r="U217" s="42">
        <v>1985</v>
      </c>
      <c r="V217" s="42">
        <v>16</v>
      </c>
      <c r="W217" s="44">
        <v>10.4</v>
      </c>
      <c r="X217" s="42">
        <v>1985</v>
      </c>
      <c r="Y217" s="42">
        <v>24</v>
      </c>
      <c r="Z217" s="44">
        <v>10</v>
      </c>
      <c r="AA217" s="42">
        <v>1983</v>
      </c>
      <c r="AB217" s="42">
        <v>25</v>
      </c>
      <c r="AC217" s="44">
        <v>10</v>
      </c>
      <c r="AD217" s="42">
        <v>1984</v>
      </c>
      <c r="AE217" s="42">
        <v>20</v>
      </c>
      <c r="AF217" s="44">
        <v>10</v>
      </c>
      <c r="AG217" s="42">
        <v>1986</v>
      </c>
      <c r="AH217" s="42">
        <v>6</v>
      </c>
      <c r="AI217" s="44">
        <v>10.199999999999999</v>
      </c>
      <c r="AJ217" s="42">
        <v>1984</v>
      </c>
      <c r="AK217" s="42">
        <v>10</v>
      </c>
      <c r="AL217" s="44">
        <v>10.4</v>
      </c>
      <c r="AM217" s="42">
        <v>1983</v>
      </c>
      <c r="AN217" s="42">
        <v>2</v>
      </c>
      <c r="AO217" s="44">
        <v>10.4</v>
      </c>
      <c r="AP217" s="42">
        <v>1985</v>
      </c>
      <c r="AQ217" s="42">
        <v>19</v>
      </c>
    </row>
    <row r="218" spans="1:43" ht="14.45" customHeight="1" x14ac:dyDescent="0.2">
      <c r="A218" s="42">
        <v>21025030</v>
      </c>
      <c r="B218" s="42" t="s">
        <v>1114</v>
      </c>
      <c r="C218" s="42">
        <v>2.079166667</v>
      </c>
      <c r="D218" s="42">
        <v>-75.736222220000002</v>
      </c>
      <c r="E218" s="42">
        <v>1368</v>
      </c>
      <c r="F218" s="42" t="s">
        <v>179</v>
      </c>
      <c r="G218" s="42" t="s">
        <v>79</v>
      </c>
      <c r="H218" s="44">
        <v>15</v>
      </c>
      <c r="I218" s="42">
        <v>2023</v>
      </c>
      <c r="J218" s="42">
        <v>20</v>
      </c>
      <c r="K218" s="44">
        <v>15</v>
      </c>
      <c r="L218" s="42">
        <v>1996</v>
      </c>
      <c r="M218" s="42">
        <v>3</v>
      </c>
      <c r="N218" s="44">
        <v>15</v>
      </c>
      <c r="O218" s="42">
        <v>2008</v>
      </c>
      <c r="P218" s="42">
        <v>13</v>
      </c>
      <c r="Q218" s="44">
        <v>13.8</v>
      </c>
      <c r="R218" s="42">
        <v>2003</v>
      </c>
      <c r="S218" s="42">
        <v>14</v>
      </c>
      <c r="T218" s="44">
        <v>14.2</v>
      </c>
      <c r="U218" s="42">
        <v>2006</v>
      </c>
      <c r="V218" s="42">
        <v>5</v>
      </c>
      <c r="W218" s="44">
        <v>13</v>
      </c>
      <c r="X218" s="42">
        <v>1996</v>
      </c>
      <c r="Y218" s="42">
        <v>16</v>
      </c>
      <c r="Z218" s="44">
        <v>12.8</v>
      </c>
      <c r="AA218" s="42">
        <v>2003</v>
      </c>
      <c r="AB218" s="42">
        <v>15</v>
      </c>
      <c r="AC218" s="44">
        <v>13.5</v>
      </c>
      <c r="AD218" s="42">
        <v>2002</v>
      </c>
      <c r="AE218" s="42">
        <v>13</v>
      </c>
      <c r="AF218" s="44">
        <v>14.2</v>
      </c>
      <c r="AG218" s="42">
        <v>2002</v>
      </c>
      <c r="AH218" s="42">
        <v>11</v>
      </c>
      <c r="AI218" s="44">
        <v>15</v>
      </c>
      <c r="AJ218" s="42">
        <v>2009</v>
      </c>
      <c r="AK218" s="42">
        <v>14</v>
      </c>
      <c r="AL218" s="44">
        <v>14.5</v>
      </c>
      <c r="AM218" s="42">
        <v>2001</v>
      </c>
      <c r="AN218" s="42">
        <v>4</v>
      </c>
      <c r="AO218" s="44">
        <v>14.5</v>
      </c>
      <c r="AP218" s="42">
        <v>2002</v>
      </c>
      <c r="AQ218" s="42">
        <v>17</v>
      </c>
    </row>
    <row r="219" spans="1:43" ht="14.45" customHeight="1" x14ac:dyDescent="0.2">
      <c r="A219" s="42">
        <v>11115040</v>
      </c>
      <c r="B219" s="42" t="s">
        <v>1115</v>
      </c>
      <c r="C219" s="42">
        <v>6.7779722219999998</v>
      </c>
      <c r="D219" s="42">
        <v>-76.203333330000007</v>
      </c>
      <c r="E219" s="42">
        <v>1396</v>
      </c>
      <c r="F219" s="42" t="s">
        <v>462</v>
      </c>
      <c r="G219" s="42" t="s">
        <v>57</v>
      </c>
      <c r="H219" s="44">
        <v>10.4</v>
      </c>
      <c r="I219" s="42">
        <v>2017</v>
      </c>
      <c r="J219" s="42">
        <v>22</v>
      </c>
      <c r="K219" s="44">
        <v>10.6</v>
      </c>
      <c r="L219" s="42">
        <v>2023</v>
      </c>
      <c r="M219" s="42">
        <v>7</v>
      </c>
      <c r="N219" s="44">
        <v>11.4</v>
      </c>
      <c r="O219" s="42">
        <v>2022</v>
      </c>
      <c r="P219" s="42">
        <v>13</v>
      </c>
      <c r="Q219" s="44">
        <v>11</v>
      </c>
      <c r="R219" s="42">
        <v>2020</v>
      </c>
      <c r="S219" s="42">
        <v>20</v>
      </c>
      <c r="T219" s="44">
        <v>12</v>
      </c>
      <c r="U219" s="42">
        <v>2021</v>
      </c>
      <c r="V219" s="42">
        <v>7</v>
      </c>
      <c r="W219" s="44">
        <v>10.6</v>
      </c>
      <c r="X219" s="42">
        <v>2022</v>
      </c>
      <c r="Y219" s="42">
        <v>9</v>
      </c>
      <c r="Z219" s="44">
        <v>11.4</v>
      </c>
      <c r="AA219" s="42">
        <v>2022</v>
      </c>
      <c r="AB219" s="42">
        <v>15</v>
      </c>
      <c r="AC219" s="44">
        <v>11.2</v>
      </c>
      <c r="AD219" s="42">
        <v>2011</v>
      </c>
      <c r="AE219" s="42">
        <v>4</v>
      </c>
      <c r="AF219" s="44">
        <v>11</v>
      </c>
      <c r="AG219" s="42">
        <v>2021</v>
      </c>
      <c r="AH219" s="42">
        <v>23</v>
      </c>
      <c r="AI219" s="44">
        <v>11</v>
      </c>
      <c r="AJ219" s="42">
        <v>2012</v>
      </c>
      <c r="AK219" s="42">
        <v>11</v>
      </c>
      <c r="AL219" s="44">
        <v>11.2</v>
      </c>
      <c r="AM219" s="42">
        <v>2016</v>
      </c>
      <c r="AN219" s="42">
        <v>21</v>
      </c>
      <c r="AO219" s="44">
        <v>11</v>
      </c>
      <c r="AP219" s="42">
        <v>1994</v>
      </c>
      <c r="AQ219" s="42">
        <v>31</v>
      </c>
    </row>
    <row r="220" spans="1:43" ht="14.45" customHeight="1" x14ac:dyDescent="0.2">
      <c r="A220" s="42">
        <v>24015250</v>
      </c>
      <c r="B220" s="42" t="s">
        <v>1116</v>
      </c>
      <c r="C220" s="42">
        <v>6.2371666670000003</v>
      </c>
      <c r="D220" s="42">
        <v>-73.415388890000003</v>
      </c>
      <c r="E220" s="42">
        <v>1400</v>
      </c>
      <c r="F220" s="42" t="s">
        <v>323</v>
      </c>
      <c r="G220" s="42" t="s">
        <v>49</v>
      </c>
      <c r="H220" s="44">
        <v>10.8</v>
      </c>
      <c r="I220" s="42">
        <v>2017</v>
      </c>
      <c r="J220" s="42">
        <v>23</v>
      </c>
      <c r="K220" s="44">
        <v>11</v>
      </c>
      <c r="L220" s="42">
        <v>1989</v>
      </c>
      <c r="M220" s="42">
        <v>25</v>
      </c>
      <c r="N220" s="44">
        <v>10.199999999999999</v>
      </c>
      <c r="O220" s="42">
        <v>1990</v>
      </c>
      <c r="P220" s="42">
        <v>15</v>
      </c>
      <c r="Q220" s="44">
        <v>11.8</v>
      </c>
      <c r="R220" s="42">
        <v>1990</v>
      </c>
      <c r="S220" s="42">
        <v>26</v>
      </c>
      <c r="T220" s="44">
        <v>11</v>
      </c>
      <c r="U220" s="42">
        <v>1985</v>
      </c>
      <c r="V220" s="42">
        <v>1</v>
      </c>
      <c r="W220" s="44">
        <v>11.4</v>
      </c>
      <c r="X220" s="42">
        <v>2016</v>
      </c>
      <c r="Y220" s="42">
        <v>14</v>
      </c>
      <c r="Z220" s="44">
        <v>11</v>
      </c>
      <c r="AA220" s="42">
        <v>1982</v>
      </c>
      <c r="AB220" s="42">
        <v>15</v>
      </c>
      <c r="AC220" s="44">
        <v>11</v>
      </c>
      <c r="AD220" s="42">
        <v>1998</v>
      </c>
      <c r="AE220" s="42">
        <v>6</v>
      </c>
      <c r="AF220" s="44">
        <v>11</v>
      </c>
      <c r="AG220" s="42">
        <v>2001</v>
      </c>
      <c r="AH220" s="42">
        <v>26</v>
      </c>
      <c r="AI220" s="44">
        <v>11.2</v>
      </c>
      <c r="AJ220" s="42">
        <v>1989</v>
      </c>
      <c r="AK220" s="42">
        <v>2</v>
      </c>
      <c r="AL220" s="44">
        <v>11</v>
      </c>
      <c r="AM220" s="42">
        <v>1982</v>
      </c>
      <c r="AN220" s="42">
        <v>12</v>
      </c>
      <c r="AO220" s="44">
        <v>11</v>
      </c>
      <c r="AP220" s="42">
        <v>1997</v>
      </c>
      <c r="AQ220" s="42">
        <v>5</v>
      </c>
    </row>
    <row r="221" spans="1:43" ht="14.45" customHeight="1" x14ac:dyDescent="0.2">
      <c r="A221" s="42">
        <v>21195120</v>
      </c>
      <c r="B221" s="42" t="s">
        <v>1117</v>
      </c>
      <c r="C221" s="42">
        <v>4.3929200000000002</v>
      </c>
      <c r="D221" s="42">
        <v>-74.392719999999997</v>
      </c>
      <c r="E221" s="42">
        <v>1421</v>
      </c>
      <c r="F221" s="42" t="s">
        <v>384</v>
      </c>
      <c r="G221" s="42" t="s">
        <v>73</v>
      </c>
      <c r="H221" s="44">
        <v>12</v>
      </c>
      <c r="I221" s="42">
        <v>2000</v>
      </c>
      <c r="J221" s="42">
        <v>9</v>
      </c>
      <c r="K221" s="44">
        <v>11.4</v>
      </c>
      <c r="L221" s="42">
        <v>2008</v>
      </c>
      <c r="M221" s="42">
        <v>7</v>
      </c>
      <c r="N221" s="44">
        <v>11.4</v>
      </c>
      <c r="O221" s="42">
        <v>2008</v>
      </c>
      <c r="P221" s="42">
        <v>15</v>
      </c>
      <c r="Q221" s="44">
        <v>12</v>
      </c>
      <c r="R221" s="42">
        <v>2007</v>
      </c>
      <c r="S221" s="42">
        <v>13</v>
      </c>
      <c r="T221" s="44">
        <v>11.2</v>
      </c>
      <c r="U221" s="42">
        <v>2008</v>
      </c>
      <c r="V221" s="42">
        <v>9</v>
      </c>
      <c r="W221" s="44">
        <v>11.2</v>
      </c>
      <c r="X221" s="42">
        <v>2018</v>
      </c>
      <c r="Y221" s="42">
        <v>2</v>
      </c>
      <c r="Z221" s="44">
        <v>11.2</v>
      </c>
      <c r="AA221" s="42">
        <v>2008</v>
      </c>
      <c r="AB221" s="42">
        <v>12</v>
      </c>
      <c r="AC221" s="44">
        <v>12</v>
      </c>
      <c r="AD221" s="42">
        <v>2004</v>
      </c>
      <c r="AE221" s="42">
        <v>1</v>
      </c>
      <c r="AF221" s="44">
        <v>11.2</v>
      </c>
      <c r="AG221" s="42">
        <v>2007</v>
      </c>
      <c r="AH221" s="42">
        <v>1</v>
      </c>
      <c r="AI221" s="44">
        <v>11.2</v>
      </c>
      <c r="AJ221" s="42">
        <v>2006</v>
      </c>
      <c r="AK221" s="42">
        <v>24</v>
      </c>
      <c r="AL221" s="44">
        <v>11.2</v>
      </c>
      <c r="AM221" s="42">
        <v>2008</v>
      </c>
      <c r="AN221" s="42">
        <v>23</v>
      </c>
      <c r="AO221" s="44">
        <v>11.2</v>
      </c>
      <c r="AP221" s="42">
        <v>2008</v>
      </c>
      <c r="AQ221" s="42">
        <v>23</v>
      </c>
    </row>
    <row r="222" spans="1:43" ht="14.45" customHeight="1" x14ac:dyDescent="0.2">
      <c r="A222" s="42">
        <v>16055040</v>
      </c>
      <c r="B222" s="42" t="s">
        <v>1118</v>
      </c>
      <c r="C222" s="42">
        <v>8.0872222219999994</v>
      </c>
      <c r="D222" s="42">
        <v>-73.223055560000006</v>
      </c>
      <c r="E222" s="42">
        <v>1430</v>
      </c>
      <c r="F222" s="42" t="s">
        <v>310</v>
      </c>
      <c r="G222" s="42" t="s">
        <v>300</v>
      </c>
      <c r="H222" s="44">
        <v>6</v>
      </c>
      <c r="I222" s="42">
        <v>2023</v>
      </c>
      <c r="J222" s="42">
        <v>27</v>
      </c>
      <c r="K222" s="44">
        <v>4.4000000000000004</v>
      </c>
      <c r="L222" s="42">
        <v>2004</v>
      </c>
      <c r="M222" s="42">
        <v>5</v>
      </c>
      <c r="N222" s="44">
        <v>7.4</v>
      </c>
      <c r="O222" s="42">
        <v>1999</v>
      </c>
      <c r="P222" s="42">
        <v>8</v>
      </c>
      <c r="Q222" s="44">
        <v>9.1999999999999993</v>
      </c>
      <c r="R222" s="42">
        <v>1999</v>
      </c>
      <c r="S222" s="42">
        <v>19</v>
      </c>
      <c r="T222" s="44">
        <v>9.4</v>
      </c>
      <c r="U222" s="42">
        <v>2023</v>
      </c>
      <c r="V222" s="42">
        <v>3</v>
      </c>
      <c r="W222" s="44">
        <v>9.1999999999999993</v>
      </c>
      <c r="X222" s="42">
        <v>2005</v>
      </c>
      <c r="Y222" s="42">
        <v>27</v>
      </c>
      <c r="Z222" s="44">
        <v>8.1999999999999993</v>
      </c>
      <c r="AA222" s="42">
        <v>1986</v>
      </c>
      <c r="AB222" s="42">
        <v>13</v>
      </c>
      <c r="AC222" s="44">
        <v>8.4</v>
      </c>
      <c r="AD222" s="42">
        <v>2001</v>
      </c>
      <c r="AE222" s="42">
        <v>31</v>
      </c>
      <c r="AF222" s="44">
        <v>8.6</v>
      </c>
      <c r="AG222" s="42">
        <v>2001</v>
      </c>
      <c r="AH222" s="42">
        <v>1</v>
      </c>
      <c r="AI222" s="44">
        <v>9</v>
      </c>
      <c r="AJ222" s="42">
        <v>1993</v>
      </c>
      <c r="AK222" s="42">
        <v>3</v>
      </c>
      <c r="AL222" s="44">
        <v>9.8000000000000007</v>
      </c>
      <c r="AM222" s="42">
        <v>1998</v>
      </c>
      <c r="AN222" s="42">
        <v>24</v>
      </c>
      <c r="AO222" s="44">
        <v>6.4</v>
      </c>
      <c r="AP222" s="42">
        <v>2000</v>
      </c>
      <c r="AQ222" s="42">
        <v>14</v>
      </c>
    </row>
    <row r="223" spans="1:43" ht="14.45" customHeight="1" x14ac:dyDescent="0.2">
      <c r="A223" s="42">
        <v>16055010</v>
      </c>
      <c r="B223" s="42" t="s">
        <v>1119</v>
      </c>
      <c r="C223" s="42">
        <v>8.3152777780000005</v>
      </c>
      <c r="D223" s="42">
        <v>-73.357500000000002</v>
      </c>
      <c r="E223" s="42">
        <v>1435</v>
      </c>
      <c r="F223" s="42" t="s">
        <v>308</v>
      </c>
      <c r="G223" s="42" t="s">
        <v>300</v>
      </c>
      <c r="H223" s="44">
        <v>10</v>
      </c>
      <c r="I223" s="42">
        <v>1996</v>
      </c>
      <c r="J223" s="42">
        <v>28</v>
      </c>
      <c r="K223" s="44">
        <v>10.199999999999999</v>
      </c>
      <c r="L223" s="42">
        <v>2022</v>
      </c>
      <c r="M223" s="42">
        <v>21</v>
      </c>
      <c r="N223" s="44">
        <v>10</v>
      </c>
      <c r="O223" s="42">
        <v>2003</v>
      </c>
      <c r="P223" s="42">
        <v>22</v>
      </c>
      <c r="Q223" s="44">
        <v>10</v>
      </c>
      <c r="R223" s="42">
        <v>1986</v>
      </c>
      <c r="S223" s="42">
        <v>9</v>
      </c>
      <c r="T223" s="44">
        <v>12</v>
      </c>
      <c r="U223" s="42">
        <v>1986</v>
      </c>
      <c r="V223" s="42">
        <v>4</v>
      </c>
      <c r="W223" s="44">
        <v>10</v>
      </c>
      <c r="X223" s="42">
        <v>1986</v>
      </c>
      <c r="Y223" s="42">
        <v>23</v>
      </c>
      <c r="Z223" s="44">
        <v>10</v>
      </c>
      <c r="AA223" s="42">
        <v>2004</v>
      </c>
      <c r="AB223" s="42">
        <v>1</v>
      </c>
      <c r="AC223" s="44">
        <v>11.2</v>
      </c>
      <c r="AD223" s="42">
        <v>1997</v>
      </c>
      <c r="AE223" s="42">
        <v>18</v>
      </c>
      <c r="AF223" s="44">
        <v>11.4</v>
      </c>
      <c r="AG223" s="42">
        <v>1986</v>
      </c>
      <c r="AH223" s="42">
        <v>15</v>
      </c>
      <c r="AI223" s="44">
        <v>10.7</v>
      </c>
      <c r="AJ223" s="42">
        <v>1997</v>
      </c>
      <c r="AK223" s="42">
        <v>17</v>
      </c>
      <c r="AL223" s="44">
        <v>10.4</v>
      </c>
      <c r="AM223" s="42">
        <v>1999</v>
      </c>
      <c r="AN223" s="42">
        <v>22</v>
      </c>
      <c r="AO223" s="44">
        <v>10</v>
      </c>
      <c r="AP223" s="42">
        <v>1988</v>
      </c>
      <c r="AQ223" s="42">
        <v>16</v>
      </c>
    </row>
    <row r="224" spans="1:43" ht="14.45" customHeight="1" x14ac:dyDescent="0.2">
      <c r="A224" s="42">
        <v>27015190</v>
      </c>
      <c r="B224" s="42" t="s">
        <v>1120</v>
      </c>
      <c r="C224" s="42">
        <v>6.5403888889999999</v>
      </c>
      <c r="D224" s="42">
        <v>-75.146749999999997</v>
      </c>
      <c r="E224" s="42">
        <v>1440</v>
      </c>
      <c r="F224" s="42" t="s">
        <v>493</v>
      </c>
      <c r="G224" s="42" t="s">
        <v>57</v>
      </c>
      <c r="H224" s="44">
        <v>11.4</v>
      </c>
      <c r="I224" s="42">
        <v>2006</v>
      </c>
      <c r="J224" s="42">
        <v>30</v>
      </c>
      <c r="K224" s="44">
        <v>11.2</v>
      </c>
      <c r="L224" s="42">
        <v>2006</v>
      </c>
      <c r="M224" s="42">
        <v>15</v>
      </c>
      <c r="N224" s="44">
        <v>11</v>
      </c>
      <c r="O224" s="42">
        <v>2019</v>
      </c>
      <c r="P224" s="42">
        <v>6</v>
      </c>
      <c r="Q224" s="44">
        <v>11.2</v>
      </c>
      <c r="R224" s="42">
        <v>2006</v>
      </c>
      <c r="S224" s="42">
        <v>9</v>
      </c>
      <c r="T224" s="44">
        <v>11.4</v>
      </c>
      <c r="U224" s="42">
        <v>2006</v>
      </c>
      <c r="V224" s="42">
        <v>5</v>
      </c>
      <c r="W224" s="44">
        <v>11.2</v>
      </c>
      <c r="X224" s="42">
        <v>2005</v>
      </c>
      <c r="Y224" s="42">
        <v>2</v>
      </c>
      <c r="Z224" s="44">
        <v>11.2</v>
      </c>
      <c r="AA224" s="42">
        <v>2005</v>
      </c>
      <c r="AB224" s="42">
        <v>16</v>
      </c>
      <c r="AC224" s="44">
        <v>12</v>
      </c>
      <c r="AD224" s="42">
        <v>2002</v>
      </c>
      <c r="AE224" s="42">
        <v>31</v>
      </c>
      <c r="AF224" s="44">
        <v>11.2</v>
      </c>
      <c r="AG224" s="42">
        <v>2016</v>
      </c>
      <c r="AH224" s="42">
        <v>25</v>
      </c>
      <c r="AI224" s="44">
        <v>11.2</v>
      </c>
      <c r="AJ224" s="42">
        <v>2016</v>
      </c>
      <c r="AK224" s="42">
        <v>27</v>
      </c>
      <c r="AL224" s="44">
        <v>12.2</v>
      </c>
      <c r="AM224" s="42">
        <v>1985</v>
      </c>
      <c r="AN224" s="42">
        <v>3</v>
      </c>
      <c r="AO224" s="44">
        <v>12</v>
      </c>
      <c r="AP224" s="42">
        <v>1982</v>
      </c>
      <c r="AQ224" s="42">
        <v>28</v>
      </c>
    </row>
    <row r="225" spans="1:43" ht="14.45" customHeight="1" x14ac:dyDescent="0.2">
      <c r="A225" s="42">
        <v>27015090</v>
      </c>
      <c r="B225" s="42" t="s">
        <v>1121</v>
      </c>
      <c r="C225" s="42">
        <v>6.3196944439999996</v>
      </c>
      <c r="D225" s="42">
        <v>-75.553250000000006</v>
      </c>
      <c r="E225" s="42">
        <v>1453</v>
      </c>
      <c r="F225" s="42" t="s">
        <v>114</v>
      </c>
      <c r="G225" s="42" t="s">
        <v>57</v>
      </c>
      <c r="H225" s="44">
        <v>10</v>
      </c>
      <c r="I225" s="42">
        <v>1979</v>
      </c>
      <c r="J225" s="42">
        <v>16</v>
      </c>
      <c r="K225" s="44">
        <v>10</v>
      </c>
      <c r="L225" s="42">
        <v>1979</v>
      </c>
      <c r="M225" s="42">
        <v>3</v>
      </c>
      <c r="N225" s="44">
        <v>11.6</v>
      </c>
      <c r="O225" s="42">
        <v>1986</v>
      </c>
      <c r="P225" s="42">
        <v>9</v>
      </c>
      <c r="Q225" s="44">
        <v>13.6</v>
      </c>
      <c r="R225" s="42">
        <v>1984</v>
      </c>
      <c r="S225" s="42">
        <v>7</v>
      </c>
      <c r="T225" s="44">
        <v>12.8</v>
      </c>
      <c r="U225" s="42">
        <v>1986</v>
      </c>
      <c r="V225" s="42">
        <v>30</v>
      </c>
      <c r="W225" s="44">
        <v>10.199999999999999</v>
      </c>
      <c r="X225" s="42">
        <v>2004</v>
      </c>
      <c r="Y225" s="42">
        <v>30</v>
      </c>
      <c r="Z225" s="44">
        <v>11.2</v>
      </c>
      <c r="AA225" s="42">
        <v>1979</v>
      </c>
      <c r="AB225" s="42">
        <v>8</v>
      </c>
      <c r="AC225" s="44">
        <v>12.2</v>
      </c>
      <c r="AD225" s="42">
        <v>1980</v>
      </c>
      <c r="AE225" s="42">
        <v>24</v>
      </c>
      <c r="AF225" s="44">
        <v>13</v>
      </c>
      <c r="AG225" s="42">
        <v>1991</v>
      </c>
      <c r="AH225" s="42">
        <v>13</v>
      </c>
      <c r="AI225" s="44">
        <v>12.2</v>
      </c>
      <c r="AJ225" s="42">
        <v>1993</v>
      </c>
      <c r="AK225" s="42">
        <v>9</v>
      </c>
      <c r="AL225" s="44">
        <v>11.8</v>
      </c>
      <c r="AM225" s="42">
        <v>2016</v>
      </c>
      <c r="AN225" s="42">
        <v>22</v>
      </c>
      <c r="AO225" s="44">
        <v>10.8</v>
      </c>
      <c r="AP225" s="42">
        <v>1985</v>
      </c>
      <c r="AQ225" s="42">
        <v>26</v>
      </c>
    </row>
    <row r="226" spans="1:43" ht="14.45" customHeight="1" x14ac:dyDescent="0.2">
      <c r="A226" s="42">
        <v>21145070</v>
      </c>
      <c r="B226" s="42" t="s">
        <v>1122</v>
      </c>
      <c r="C226" s="42">
        <v>3.3110277780000001</v>
      </c>
      <c r="D226" s="42">
        <v>-74.702888889999997</v>
      </c>
      <c r="E226" s="42">
        <v>1476</v>
      </c>
      <c r="F226" s="42" t="s">
        <v>191</v>
      </c>
      <c r="G226" s="42" t="s">
        <v>79</v>
      </c>
      <c r="H226" s="44">
        <v>13</v>
      </c>
      <c r="I226" s="42">
        <v>1979</v>
      </c>
      <c r="J226" s="42">
        <v>21</v>
      </c>
      <c r="K226" s="44">
        <v>13.2</v>
      </c>
      <c r="L226" s="42">
        <v>1986</v>
      </c>
      <c r="M226" s="42">
        <v>28</v>
      </c>
      <c r="N226" s="44">
        <v>13.4</v>
      </c>
      <c r="O226" s="42">
        <v>1979</v>
      </c>
      <c r="P226" s="42">
        <v>8</v>
      </c>
      <c r="Q226" s="44">
        <v>13.8</v>
      </c>
      <c r="R226" s="42">
        <v>1988</v>
      </c>
      <c r="S226" s="42">
        <v>14</v>
      </c>
      <c r="T226" s="44">
        <v>14</v>
      </c>
      <c r="U226" s="42">
        <v>1989</v>
      </c>
      <c r="V226" s="42">
        <v>20</v>
      </c>
      <c r="W226" s="44">
        <v>13</v>
      </c>
      <c r="X226" s="42">
        <v>1985</v>
      </c>
      <c r="Y226" s="42">
        <v>10</v>
      </c>
      <c r="Z226" s="44">
        <v>12.6</v>
      </c>
      <c r="AA226" s="42">
        <v>1988</v>
      </c>
      <c r="AB226" s="42">
        <v>13</v>
      </c>
      <c r="AC226" s="44">
        <v>11.6</v>
      </c>
      <c r="AD226" s="42">
        <v>1994</v>
      </c>
      <c r="AE226" s="42">
        <v>29</v>
      </c>
      <c r="AF226" s="44">
        <v>12.4</v>
      </c>
      <c r="AG226" s="42">
        <v>1989</v>
      </c>
      <c r="AH226" s="42">
        <v>26</v>
      </c>
      <c r="AI226" s="44">
        <v>12.8</v>
      </c>
      <c r="AJ226" s="42">
        <v>2017</v>
      </c>
      <c r="AK226" s="42">
        <v>17</v>
      </c>
      <c r="AL226" s="44">
        <v>13.2</v>
      </c>
      <c r="AM226" s="42">
        <v>1996</v>
      </c>
      <c r="AN226" s="42">
        <v>3</v>
      </c>
      <c r="AO226" s="44">
        <v>12</v>
      </c>
      <c r="AP226" s="42">
        <v>1991</v>
      </c>
      <c r="AQ226" s="42">
        <v>27</v>
      </c>
    </row>
    <row r="227" spans="1:43" ht="14.45" customHeight="1" x14ac:dyDescent="0.2">
      <c r="A227" s="42">
        <v>27015070</v>
      </c>
      <c r="B227" s="42" t="s">
        <v>1123</v>
      </c>
      <c r="C227" s="42">
        <v>6.2246389000000004</v>
      </c>
      <c r="D227" s="42">
        <v>-75.588200000000001</v>
      </c>
      <c r="E227" s="42">
        <v>1492</v>
      </c>
      <c r="F227" s="42" t="s">
        <v>60</v>
      </c>
      <c r="G227" s="42" t="s">
        <v>57</v>
      </c>
      <c r="H227" s="44">
        <v>11.4</v>
      </c>
      <c r="I227" s="42">
        <v>1968</v>
      </c>
      <c r="J227" s="42">
        <v>4</v>
      </c>
      <c r="K227" s="44">
        <v>12.4</v>
      </c>
      <c r="L227" s="42">
        <v>1972</v>
      </c>
      <c r="M227" s="42">
        <v>19</v>
      </c>
      <c r="N227" s="44">
        <v>12.7</v>
      </c>
      <c r="O227" s="42">
        <v>1969</v>
      </c>
      <c r="P227" s="42">
        <v>12</v>
      </c>
      <c r="Q227" s="44">
        <v>13.9</v>
      </c>
      <c r="R227" s="42">
        <v>1974</v>
      </c>
      <c r="S227" s="42">
        <v>1</v>
      </c>
      <c r="T227" s="44">
        <v>12.8</v>
      </c>
      <c r="U227" s="42">
        <v>1986</v>
      </c>
      <c r="V227" s="42">
        <v>30</v>
      </c>
      <c r="W227" s="44">
        <v>12.4</v>
      </c>
      <c r="X227" s="42">
        <v>2006</v>
      </c>
      <c r="Y227" s="42">
        <v>1</v>
      </c>
      <c r="Z227" s="44">
        <v>11.2</v>
      </c>
      <c r="AA227" s="42">
        <v>1986</v>
      </c>
      <c r="AB227" s="42">
        <v>20</v>
      </c>
      <c r="AC227" s="44">
        <v>11.4</v>
      </c>
      <c r="AD227" s="42">
        <v>1986</v>
      </c>
      <c r="AE227" s="42">
        <v>25</v>
      </c>
      <c r="AF227" s="44">
        <v>12</v>
      </c>
      <c r="AG227" s="42">
        <v>1986</v>
      </c>
      <c r="AH227" s="42">
        <v>16</v>
      </c>
      <c r="AI227" s="44">
        <v>11.2</v>
      </c>
      <c r="AJ227" s="42">
        <v>1986</v>
      </c>
      <c r="AK227" s="42">
        <v>2</v>
      </c>
      <c r="AL227" s="44">
        <v>11.1</v>
      </c>
      <c r="AM227" s="42">
        <v>2016</v>
      </c>
      <c r="AN227" s="42">
        <v>22</v>
      </c>
      <c r="AO227" s="44">
        <v>11.6</v>
      </c>
      <c r="AP227" s="42">
        <v>1986</v>
      </c>
      <c r="AQ227" s="42">
        <v>26</v>
      </c>
    </row>
    <row r="228" spans="1:43" ht="14.45" customHeight="1" x14ac:dyDescent="0.2">
      <c r="A228" s="42">
        <v>27015330</v>
      </c>
      <c r="B228" s="42" t="s">
        <v>1124</v>
      </c>
      <c r="C228" s="42">
        <v>6.2246389000000004</v>
      </c>
      <c r="D228" s="42">
        <v>-75.588200000000001</v>
      </c>
      <c r="E228" s="42">
        <v>1492</v>
      </c>
      <c r="F228" s="42" t="s">
        <v>60</v>
      </c>
      <c r="G228" s="42" t="s">
        <v>57</v>
      </c>
      <c r="H228" s="44">
        <v>11.4</v>
      </c>
      <c r="I228" s="42">
        <v>1968</v>
      </c>
      <c r="J228" s="42">
        <v>4</v>
      </c>
      <c r="K228" s="44">
        <v>12.4</v>
      </c>
      <c r="L228" s="42">
        <v>1972</v>
      </c>
      <c r="M228" s="42">
        <v>19</v>
      </c>
      <c r="N228" s="44">
        <v>12.7</v>
      </c>
      <c r="O228" s="42">
        <v>1969</v>
      </c>
      <c r="P228" s="42">
        <v>12</v>
      </c>
      <c r="Q228" s="44">
        <v>13.9</v>
      </c>
      <c r="R228" s="42">
        <v>1974</v>
      </c>
      <c r="S228" s="42">
        <v>1</v>
      </c>
      <c r="T228" s="44">
        <v>12.8</v>
      </c>
      <c r="U228" s="42">
        <v>1986</v>
      </c>
      <c r="V228" s="42">
        <v>30</v>
      </c>
      <c r="W228" s="44">
        <v>12.4</v>
      </c>
      <c r="X228" s="42">
        <v>2006</v>
      </c>
      <c r="Y228" s="42">
        <v>1</v>
      </c>
      <c r="Z228" s="44">
        <v>11.2</v>
      </c>
      <c r="AA228" s="42">
        <v>1986</v>
      </c>
      <c r="AB228" s="42">
        <v>20</v>
      </c>
      <c r="AC228" s="44">
        <v>11.4</v>
      </c>
      <c r="AD228" s="42">
        <v>1986</v>
      </c>
      <c r="AE228" s="42">
        <v>25</v>
      </c>
      <c r="AF228" s="44">
        <v>12</v>
      </c>
      <c r="AG228" s="42">
        <v>1986</v>
      </c>
      <c r="AH228" s="42">
        <v>16</v>
      </c>
      <c r="AI228" s="44">
        <v>11.2</v>
      </c>
      <c r="AJ228" s="42">
        <v>1986</v>
      </c>
      <c r="AK228" s="42">
        <v>2</v>
      </c>
      <c r="AL228" s="44">
        <v>11.1</v>
      </c>
      <c r="AM228" s="42">
        <v>2016</v>
      </c>
      <c r="AN228" s="42">
        <v>22</v>
      </c>
      <c r="AO228" s="44">
        <v>11.6</v>
      </c>
      <c r="AP228" s="42">
        <v>1986</v>
      </c>
      <c r="AQ228" s="42">
        <v>26</v>
      </c>
    </row>
    <row r="229" spans="1:43" ht="14.45" customHeight="1" x14ac:dyDescent="0.2">
      <c r="A229" s="42">
        <v>52055030</v>
      </c>
      <c r="B229" s="42" t="s">
        <v>1125</v>
      </c>
      <c r="C229" s="42">
        <v>1.1843611110000001</v>
      </c>
      <c r="D229" s="42">
        <v>-77.465111109999995</v>
      </c>
      <c r="E229" s="42">
        <v>1493</v>
      </c>
      <c r="F229" s="42" t="s">
        <v>287</v>
      </c>
      <c r="G229" s="42" t="s">
        <v>82</v>
      </c>
      <c r="H229" s="44">
        <v>9</v>
      </c>
      <c r="I229" s="42">
        <v>1978</v>
      </c>
      <c r="J229" s="42">
        <v>4</v>
      </c>
      <c r="K229" s="44">
        <v>9.1999999999999993</v>
      </c>
      <c r="L229" s="42">
        <v>1979</v>
      </c>
      <c r="M229" s="42">
        <v>5</v>
      </c>
      <c r="N229" s="44">
        <v>10</v>
      </c>
      <c r="O229" s="42">
        <v>1985</v>
      </c>
      <c r="P229" s="42">
        <v>22</v>
      </c>
      <c r="Q229" s="44">
        <v>10.6</v>
      </c>
      <c r="R229" s="42">
        <v>1985</v>
      </c>
      <c r="S229" s="42">
        <v>15</v>
      </c>
      <c r="T229" s="44">
        <v>7.6</v>
      </c>
      <c r="U229" s="42">
        <v>1998</v>
      </c>
      <c r="V229" s="42">
        <v>6</v>
      </c>
      <c r="W229" s="44">
        <v>10.4</v>
      </c>
      <c r="X229" s="42">
        <v>1981</v>
      </c>
      <c r="Y229" s="42">
        <v>16</v>
      </c>
      <c r="Z229" s="44">
        <v>8.6</v>
      </c>
      <c r="AA229" s="42">
        <v>1978</v>
      </c>
      <c r="AB229" s="42">
        <v>24</v>
      </c>
      <c r="AC229" s="44">
        <v>9</v>
      </c>
      <c r="AD229" s="42">
        <v>1998</v>
      </c>
      <c r="AE229" s="42">
        <v>14</v>
      </c>
      <c r="AF229" s="44">
        <v>8.6</v>
      </c>
      <c r="AG229" s="42">
        <v>1978</v>
      </c>
      <c r="AH229" s="42">
        <v>7</v>
      </c>
      <c r="AI229" s="44">
        <v>10</v>
      </c>
      <c r="AJ229" s="42">
        <v>1978</v>
      </c>
      <c r="AK229" s="42">
        <v>16</v>
      </c>
      <c r="AL229" s="44">
        <v>8.1</v>
      </c>
      <c r="AM229" s="42">
        <v>1985</v>
      </c>
      <c r="AN229" s="42">
        <v>3</v>
      </c>
      <c r="AO229" s="44">
        <v>10.4</v>
      </c>
      <c r="AP229" s="42">
        <v>1984</v>
      </c>
      <c r="AQ229" s="42">
        <v>7</v>
      </c>
    </row>
    <row r="230" spans="1:43" ht="14.45" customHeight="1" x14ac:dyDescent="0.2">
      <c r="A230" s="42">
        <v>16055060</v>
      </c>
      <c r="B230" s="42" t="s">
        <v>1126</v>
      </c>
      <c r="C230" s="42">
        <v>8.2174999999999994</v>
      </c>
      <c r="D230" s="42">
        <v>-73.234999999999999</v>
      </c>
      <c r="E230" s="42">
        <v>1500</v>
      </c>
      <c r="F230" s="42" t="s">
        <v>758</v>
      </c>
      <c r="G230" s="42" t="s">
        <v>300</v>
      </c>
      <c r="H230" s="44">
        <v>8.8000000000000007</v>
      </c>
      <c r="I230" s="42">
        <v>2023</v>
      </c>
      <c r="J230" s="42">
        <v>26</v>
      </c>
      <c r="K230" s="44">
        <v>8.4</v>
      </c>
      <c r="L230" s="42">
        <v>2022</v>
      </c>
      <c r="M230" s="42">
        <v>22</v>
      </c>
      <c r="N230" s="44">
        <v>9.1999999999999993</v>
      </c>
      <c r="O230" s="42">
        <v>1997</v>
      </c>
      <c r="P230" s="42">
        <v>6</v>
      </c>
      <c r="Q230" s="44">
        <v>10.199999999999999</v>
      </c>
      <c r="R230" s="42">
        <v>2002</v>
      </c>
      <c r="S230" s="42">
        <v>1</v>
      </c>
      <c r="T230" s="44">
        <v>10.199999999999999</v>
      </c>
      <c r="U230" s="42">
        <v>1986</v>
      </c>
      <c r="V230" s="42">
        <v>11</v>
      </c>
      <c r="W230" s="44">
        <v>10.199999999999999</v>
      </c>
      <c r="X230" s="42">
        <v>1986</v>
      </c>
      <c r="Y230" s="42">
        <v>13</v>
      </c>
      <c r="Z230" s="44">
        <v>10</v>
      </c>
      <c r="AA230" s="42">
        <v>2003</v>
      </c>
      <c r="AB230" s="42">
        <v>3</v>
      </c>
      <c r="AC230" s="44">
        <v>10</v>
      </c>
      <c r="AD230" s="42">
        <v>2002</v>
      </c>
      <c r="AE230" s="42">
        <v>17</v>
      </c>
      <c r="AF230" s="44">
        <v>10.4</v>
      </c>
      <c r="AG230" s="42">
        <v>2009</v>
      </c>
      <c r="AH230" s="42">
        <v>11</v>
      </c>
      <c r="AI230" s="44">
        <v>9.4</v>
      </c>
      <c r="AJ230" s="42">
        <v>2009</v>
      </c>
      <c r="AK230" s="42">
        <v>9</v>
      </c>
      <c r="AL230" s="44">
        <v>9.8000000000000007</v>
      </c>
      <c r="AM230" s="42">
        <v>1999</v>
      </c>
      <c r="AN230" s="42">
        <v>23</v>
      </c>
      <c r="AO230" s="44">
        <v>9</v>
      </c>
      <c r="AP230" s="42">
        <v>1993</v>
      </c>
      <c r="AQ230" s="42">
        <v>25</v>
      </c>
    </row>
    <row r="231" spans="1:43" ht="14.45" customHeight="1" x14ac:dyDescent="0.2">
      <c r="A231" s="42">
        <v>52055060</v>
      </c>
      <c r="B231" s="42" t="s">
        <v>1127</v>
      </c>
      <c r="C231" s="42">
        <v>1.3735555559999999</v>
      </c>
      <c r="D231" s="42">
        <v>-77.583055560000005</v>
      </c>
      <c r="E231" s="42">
        <v>1500</v>
      </c>
      <c r="F231" s="42" t="s">
        <v>289</v>
      </c>
      <c r="G231" s="42" t="s">
        <v>82</v>
      </c>
      <c r="H231" s="44">
        <v>7</v>
      </c>
      <c r="I231" s="42">
        <v>1992</v>
      </c>
      <c r="J231" s="42">
        <v>31</v>
      </c>
      <c r="K231" s="44">
        <v>8.1999999999999993</v>
      </c>
      <c r="L231" s="42">
        <v>1992</v>
      </c>
      <c r="M231" s="42">
        <v>1</v>
      </c>
      <c r="N231" s="44">
        <v>6.4</v>
      </c>
      <c r="O231" s="42">
        <v>1991</v>
      </c>
      <c r="P231" s="42">
        <v>11</v>
      </c>
      <c r="Q231" s="44">
        <v>8.4</v>
      </c>
      <c r="R231" s="42">
        <v>1991</v>
      </c>
      <c r="S231" s="42">
        <v>1</v>
      </c>
      <c r="T231" s="44">
        <v>9</v>
      </c>
      <c r="U231" s="42">
        <v>1992</v>
      </c>
      <c r="V231" s="42">
        <v>7</v>
      </c>
      <c r="W231" s="44">
        <v>9.1999999999999993</v>
      </c>
      <c r="X231" s="42">
        <v>1999</v>
      </c>
      <c r="Y231" s="42">
        <v>15</v>
      </c>
      <c r="Z231" s="44">
        <v>6.8</v>
      </c>
      <c r="AA231" s="42">
        <v>1991</v>
      </c>
      <c r="AB231" s="42">
        <v>18</v>
      </c>
      <c r="AC231" s="44">
        <v>8</v>
      </c>
      <c r="AD231" s="42">
        <v>1992</v>
      </c>
      <c r="AE231" s="42">
        <v>26</v>
      </c>
      <c r="AF231" s="44">
        <v>10</v>
      </c>
      <c r="AG231" s="42">
        <v>1991</v>
      </c>
      <c r="AH231" s="42">
        <v>4</v>
      </c>
      <c r="AI231" s="44">
        <v>10</v>
      </c>
      <c r="AJ231" s="42">
        <v>1978</v>
      </c>
      <c r="AK231" s="42">
        <v>2</v>
      </c>
      <c r="AL231" s="44">
        <v>10</v>
      </c>
      <c r="AM231" s="42">
        <v>1978</v>
      </c>
      <c r="AN231" s="42">
        <v>1</v>
      </c>
      <c r="AO231" s="44">
        <v>10</v>
      </c>
      <c r="AP231" s="42">
        <v>1978</v>
      </c>
      <c r="AQ231" s="42">
        <v>14</v>
      </c>
    </row>
    <row r="232" spans="1:43" ht="14.45" customHeight="1" x14ac:dyDescent="0.2">
      <c r="A232" s="42">
        <v>23055040</v>
      </c>
      <c r="B232" s="42" t="s">
        <v>1128</v>
      </c>
      <c r="C232" s="42">
        <v>5.4182880559999997</v>
      </c>
      <c r="D232" s="42">
        <v>-74.992927777999995</v>
      </c>
      <c r="E232" s="42">
        <v>1532</v>
      </c>
      <c r="F232" s="42" t="s">
        <v>380</v>
      </c>
      <c r="G232" s="42" t="s">
        <v>116</v>
      </c>
      <c r="H232" s="44">
        <v>14.2</v>
      </c>
      <c r="I232" s="42">
        <v>1978</v>
      </c>
      <c r="J232" s="42">
        <v>18</v>
      </c>
      <c r="K232" s="44">
        <v>14</v>
      </c>
      <c r="L232" s="42">
        <v>1983</v>
      </c>
      <c r="M232" s="42">
        <v>11</v>
      </c>
      <c r="N232" s="44">
        <v>14</v>
      </c>
      <c r="O232" s="42">
        <v>1993</v>
      </c>
      <c r="P232" s="42">
        <v>21</v>
      </c>
      <c r="Q232" s="44">
        <v>14</v>
      </c>
      <c r="R232" s="42">
        <v>1986</v>
      </c>
      <c r="S232" s="42">
        <v>26</v>
      </c>
      <c r="T232" s="44">
        <v>14</v>
      </c>
      <c r="U232" s="42">
        <v>1985</v>
      </c>
      <c r="V232" s="42">
        <v>11</v>
      </c>
      <c r="W232" s="44">
        <v>14</v>
      </c>
      <c r="X232" s="42">
        <v>1978</v>
      </c>
      <c r="Y232" s="42">
        <v>2</v>
      </c>
      <c r="Z232" s="44">
        <v>14</v>
      </c>
      <c r="AA232" s="42">
        <v>1986</v>
      </c>
      <c r="AB232" s="42">
        <v>1</v>
      </c>
      <c r="AC232" s="44">
        <v>14</v>
      </c>
      <c r="AD232" s="42">
        <v>1978</v>
      </c>
      <c r="AE232" s="42">
        <v>26</v>
      </c>
      <c r="AF232" s="44">
        <v>14</v>
      </c>
      <c r="AG232" s="42">
        <v>1982</v>
      </c>
      <c r="AH232" s="42">
        <v>13</v>
      </c>
      <c r="AI232" s="44">
        <v>14</v>
      </c>
      <c r="AJ232" s="42">
        <v>1988</v>
      </c>
      <c r="AK232" s="42">
        <v>8</v>
      </c>
      <c r="AL232" s="44">
        <v>14</v>
      </c>
      <c r="AM232" s="42">
        <v>1986</v>
      </c>
      <c r="AN232" s="42">
        <v>3</v>
      </c>
      <c r="AO232" s="44">
        <v>14</v>
      </c>
      <c r="AP232" s="42">
        <v>1986</v>
      </c>
      <c r="AQ232" s="42">
        <v>8</v>
      </c>
    </row>
    <row r="233" spans="1:43" ht="14.45" customHeight="1" x14ac:dyDescent="0.2">
      <c r="A233" s="42">
        <v>16015100</v>
      </c>
      <c r="B233" s="42" t="s">
        <v>1129</v>
      </c>
      <c r="C233" s="42">
        <v>7.5766666669999996</v>
      </c>
      <c r="D233" s="42">
        <v>-72.483888890000003</v>
      </c>
      <c r="E233" s="42">
        <v>1550</v>
      </c>
      <c r="F233" s="42" t="s">
        <v>302</v>
      </c>
      <c r="G233" s="42" t="s">
        <v>300</v>
      </c>
      <c r="H233" s="44">
        <v>9.6</v>
      </c>
      <c r="I233" s="42">
        <v>2022</v>
      </c>
      <c r="J233" s="42">
        <v>6</v>
      </c>
      <c r="K233" s="44">
        <v>8.4</v>
      </c>
      <c r="L233" s="42">
        <v>2015</v>
      </c>
      <c r="M233" s="42">
        <v>15</v>
      </c>
      <c r="N233" s="44">
        <v>10.8</v>
      </c>
      <c r="O233" s="42">
        <v>2007</v>
      </c>
      <c r="P233" s="42">
        <v>28</v>
      </c>
      <c r="Q233" s="44">
        <v>12.2</v>
      </c>
      <c r="R233" s="42">
        <v>2017</v>
      </c>
      <c r="S233" s="42">
        <v>5</v>
      </c>
      <c r="T233" s="44">
        <v>11.4</v>
      </c>
      <c r="U233" s="42">
        <v>2010</v>
      </c>
      <c r="V233" s="42">
        <v>6</v>
      </c>
      <c r="W233" s="44">
        <v>11</v>
      </c>
      <c r="X233" s="42">
        <v>2006</v>
      </c>
      <c r="Y233" s="42">
        <v>27</v>
      </c>
      <c r="Z233" s="44">
        <v>11.8</v>
      </c>
      <c r="AA233" s="42">
        <v>2013</v>
      </c>
      <c r="AB233" s="42">
        <v>3</v>
      </c>
      <c r="AC233" s="44">
        <v>12.2</v>
      </c>
      <c r="AD233" s="42">
        <v>2014</v>
      </c>
      <c r="AE233" s="42">
        <v>30</v>
      </c>
      <c r="AF233" s="44">
        <v>11.8</v>
      </c>
      <c r="AG233" s="42">
        <v>2016</v>
      </c>
      <c r="AH233" s="42">
        <v>30</v>
      </c>
      <c r="AI233" s="44">
        <v>12.2</v>
      </c>
      <c r="AJ233" s="42">
        <v>2011</v>
      </c>
      <c r="AK233" s="42">
        <v>22</v>
      </c>
      <c r="AL233" s="44">
        <v>11</v>
      </c>
      <c r="AM233" s="42">
        <v>2004</v>
      </c>
      <c r="AN233" s="42">
        <v>30</v>
      </c>
      <c r="AO233" s="44">
        <v>9.8000000000000007</v>
      </c>
      <c r="AP233" s="42">
        <v>2022</v>
      </c>
      <c r="AQ233" s="42">
        <v>24</v>
      </c>
    </row>
    <row r="234" spans="1:43" ht="14.45" customHeight="1" x14ac:dyDescent="0.2">
      <c r="A234" s="42">
        <v>35195050</v>
      </c>
      <c r="B234" s="42" t="s">
        <v>1130</v>
      </c>
      <c r="C234" s="42">
        <v>5.4072777780000001</v>
      </c>
      <c r="D234" s="42">
        <v>-72.717222219999996</v>
      </c>
      <c r="E234" s="42">
        <v>1550</v>
      </c>
      <c r="F234" s="42" t="s">
        <v>251</v>
      </c>
      <c r="G234" s="42" t="s">
        <v>212</v>
      </c>
      <c r="H234" s="44">
        <v>8.1999999999999993</v>
      </c>
      <c r="I234" s="42">
        <v>1993</v>
      </c>
      <c r="J234" s="42">
        <v>23</v>
      </c>
      <c r="K234" s="44">
        <v>10</v>
      </c>
      <c r="L234" s="42">
        <v>1995</v>
      </c>
      <c r="M234" s="42">
        <v>14</v>
      </c>
      <c r="N234" s="44">
        <v>8.6</v>
      </c>
      <c r="O234" s="42">
        <v>1997</v>
      </c>
      <c r="P234" s="42">
        <v>5</v>
      </c>
      <c r="Q234" s="44">
        <v>11.2</v>
      </c>
      <c r="R234" s="42">
        <v>1992</v>
      </c>
      <c r="S234" s="42">
        <v>20</v>
      </c>
      <c r="T234" s="44">
        <v>10.8</v>
      </c>
      <c r="U234" s="42">
        <v>1994</v>
      </c>
      <c r="V234" s="42">
        <v>17</v>
      </c>
      <c r="W234" s="44">
        <v>10</v>
      </c>
      <c r="X234" s="42">
        <v>1995</v>
      </c>
      <c r="Y234" s="42">
        <v>29</v>
      </c>
      <c r="Z234" s="44">
        <v>9.8000000000000007</v>
      </c>
      <c r="AA234" s="42">
        <v>1994</v>
      </c>
      <c r="AB234" s="42">
        <v>22</v>
      </c>
      <c r="AC234" s="44">
        <v>10</v>
      </c>
      <c r="AD234" s="42">
        <v>1994</v>
      </c>
      <c r="AE234" s="42">
        <v>13</v>
      </c>
      <c r="AF234" s="44">
        <v>8.4</v>
      </c>
      <c r="AG234" s="42">
        <v>1994</v>
      </c>
      <c r="AH234" s="42">
        <v>16</v>
      </c>
      <c r="AI234" s="44">
        <v>10</v>
      </c>
      <c r="AJ234" s="42">
        <v>1994</v>
      </c>
      <c r="AK234" s="42">
        <v>7</v>
      </c>
      <c r="AL234" s="44">
        <v>9.8000000000000007</v>
      </c>
      <c r="AM234" s="42">
        <v>1994</v>
      </c>
      <c r="AN234" s="42">
        <v>10</v>
      </c>
      <c r="AO234" s="44">
        <v>8.6</v>
      </c>
      <c r="AP234" s="42">
        <v>1993</v>
      </c>
      <c r="AQ234" s="42">
        <v>31</v>
      </c>
    </row>
    <row r="235" spans="1:43" ht="14.45" customHeight="1" x14ac:dyDescent="0.2">
      <c r="A235" s="42">
        <v>22065040</v>
      </c>
      <c r="B235" s="42" t="s">
        <v>1131</v>
      </c>
      <c r="C235" s="42">
        <v>3.9211999999999998</v>
      </c>
      <c r="D235" s="42">
        <v>-75.467749999999995</v>
      </c>
      <c r="E235" s="42">
        <v>1566</v>
      </c>
      <c r="F235" s="42" t="s">
        <v>377</v>
      </c>
      <c r="G235" s="42" t="s">
        <v>70</v>
      </c>
      <c r="H235" s="44">
        <v>12</v>
      </c>
      <c r="I235" s="42">
        <v>1987</v>
      </c>
      <c r="J235" s="42">
        <v>9</v>
      </c>
      <c r="K235" s="44">
        <v>12</v>
      </c>
      <c r="L235" s="42">
        <v>1989</v>
      </c>
      <c r="M235" s="42">
        <v>4</v>
      </c>
      <c r="N235" s="44">
        <v>12</v>
      </c>
      <c r="O235" s="42">
        <v>1988</v>
      </c>
      <c r="P235" s="42">
        <v>17</v>
      </c>
      <c r="Q235" s="44">
        <v>12</v>
      </c>
      <c r="R235" s="42">
        <v>1988</v>
      </c>
      <c r="S235" s="42">
        <v>8</v>
      </c>
      <c r="T235" s="44">
        <v>12</v>
      </c>
      <c r="U235" s="42">
        <v>1989</v>
      </c>
      <c r="V235" s="42">
        <v>3</v>
      </c>
      <c r="W235" s="44">
        <v>12</v>
      </c>
      <c r="X235" s="42">
        <v>1986</v>
      </c>
      <c r="Y235" s="42">
        <v>6</v>
      </c>
      <c r="Z235" s="44">
        <v>12</v>
      </c>
      <c r="AA235" s="42">
        <v>1989</v>
      </c>
      <c r="AB235" s="42">
        <v>5</v>
      </c>
      <c r="AC235" s="44">
        <v>12</v>
      </c>
      <c r="AD235" s="42">
        <v>1989</v>
      </c>
      <c r="AE235" s="42">
        <v>12</v>
      </c>
      <c r="AF235" s="44">
        <v>12</v>
      </c>
      <c r="AG235" s="42">
        <v>1985</v>
      </c>
      <c r="AH235" s="42">
        <v>25</v>
      </c>
      <c r="AI235" s="44">
        <v>12</v>
      </c>
      <c r="AJ235" s="42">
        <v>1986</v>
      </c>
      <c r="AK235" s="42">
        <v>5</v>
      </c>
      <c r="AL235" s="44">
        <v>12</v>
      </c>
      <c r="AM235" s="42">
        <v>1988</v>
      </c>
      <c r="AN235" s="42">
        <v>3</v>
      </c>
      <c r="AO235" s="44">
        <v>12</v>
      </c>
      <c r="AP235" s="42">
        <v>1985</v>
      </c>
      <c r="AQ235" s="42">
        <v>7</v>
      </c>
    </row>
    <row r="236" spans="1:43" ht="14.45" customHeight="1" x14ac:dyDescent="0.2">
      <c r="A236" s="42">
        <v>27025030</v>
      </c>
      <c r="B236" s="42" t="s">
        <v>1132</v>
      </c>
      <c r="C236" s="42">
        <v>7.0719000000000003</v>
      </c>
      <c r="D236" s="42">
        <v>-75.150499999999994</v>
      </c>
      <c r="E236" s="42">
        <v>1601</v>
      </c>
      <c r="F236" s="42" t="s">
        <v>449</v>
      </c>
      <c r="G236" s="42" t="s">
        <v>57</v>
      </c>
      <c r="H236" s="44">
        <v>10.4</v>
      </c>
      <c r="I236" s="42">
        <v>1997</v>
      </c>
      <c r="J236" s="42">
        <v>28</v>
      </c>
      <c r="K236" s="44">
        <v>11</v>
      </c>
      <c r="L236" s="42">
        <v>2008</v>
      </c>
      <c r="M236" s="42">
        <v>3</v>
      </c>
      <c r="N236" s="44">
        <v>11.4</v>
      </c>
      <c r="O236" s="42">
        <v>1997</v>
      </c>
      <c r="P236" s="42">
        <v>27</v>
      </c>
      <c r="Q236" s="44">
        <v>11</v>
      </c>
      <c r="R236" s="42">
        <v>1997</v>
      </c>
      <c r="S236" s="42">
        <v>5</v>
      </c>
      <c r="T236" s="44">
        <v>12</v>
      </c>
      <c r="U236" s="42">
        <v>2020</v>
      </c>
      <c r="V236" s="42">
        <v>4</v>
      </c>
      <c r="W236" s="44">
        <v>11.4</v>
      </c>
      <c r="X236" s="42">
        <v>2006</v>
      </c>
      <c r="Y236" s="42">
        <v>5</v>
      </c>
      <c r="Z236" s="44">
        <v>12</v>
      </c>
      <c r="AA236" s="42">
        <v>2020</v>
      </c>
      <c r="AB236" s="42">
        <v>11</v>
      </c>
      <c r="AC236" s="44">
        <v>11</v>
      </c>
      <c r="AD236" s="42">
        <v>2005</v>
      </c>
      <c r="AE236" s="42">
        <v>29</v>
      </c>
      <c r="AF236" s="44">
        <v>11.4</v>
      </c>
      <c r="AG236" s="42">
        <v>2006</v>
      </c>
      <c r="AH236" s="42">
        <v>4</v>
      </c>
      <c r="AI236" s="44">
        <v>12.6</v>
      </c>
      <c r="AJ236" s="42">
        <v>2000</v>
      </c>
      <c r="AK236" s="42">
        <v>3</v>
      </c>
      <c r="AL236" s="44">
        <v>12</v>
      </c>
      <c r="AM236" s="42">
        <v>2021</v>
      </c>
      <c r="AN236" s="42">
        <v>3</v>
      </c>
      <c r="AO236" s="44">
        <v>9.6</v>
      </c>
      <c r="AP236" s="42">
        <v>1999</v>
      </c>
      <c r="AQ236" s="42">
        <v>28</v>
      </c>
    </row>
    <row r="237" spans="1:43" ht="14.45" customHeight="1" x14ac:dyDescent="0.2">
      <c r="A237" s="42">
        <v>26135110</v>
      </c>
      <c r="B237" s="42" t="s">
        <v>1133</v>
      </c>
      <c r="C237" s="42">
        <v>4.87</v>
      </c>
      <c r="D237" s="42">
        <v>-75.63</v>
      </c>
      <c r="E237" s="42">
        <v>1628</v>
      </c>
      <c r="F237" s="42" t="s">
        <v>1134</v>
      </c>
      <c r="G237" s="42" t="s">
        <v>64</v>
      </c>
      <c r="H237" s="44">
        <v>10.6</v>
      </c>
      <c r="I237" s="42">
        <v>1980</v>
      </c>
      <c r="J237" s="42">
        <v>25</v>
      </c>
      <c r="K237" s="44">
        <v>10.4</v>
      </c>
      <c r="L237" s="42">
        <v>1980</v>
      </c>
      <c r="M237" s="42">
        <v>5</v>
      </c>
      <c r="N237" s="44">
        <v>10.8</v>
      </c>
      <c r="O237" s="42">
        <v>2011</v>
      </c>
      <c r="P237" s="42">
        <v>15</v>
      </c>
      <c r="Q237" s="44">
        <v>11.4</v>
      </c>
      <c r="R237" s="42">
        <v>2010</v>
      </c>
      <c r="S237" s="42">
        <v>12</v>
      </c>
      <c r="T237" s="44">
        <v>10.6</v>
      </c>
      <c r="U237" s="42">
        <v>1986</v>
      </c>
      <c r="V237" s="42">
        <v>9</v>
      </c>
      <c r="W237" s="44">
        <v>10</v>
      </c>
      <c r="X237" s="42">
        <v>1979</v>
      </c>
      <c r="Y237" s="42">
        <v>29</v>
      </c>
      <c r="Z237" s="44">
        <v>10.4</v>
      </c>
      <c r="AA237" s="42">
        <v>2012</v>
      </c>
      <c r="AB237" s="42">
        <v>14</v>
      </c>
      <c r="AC237" s="44">
        <v>10.199999999999999</v>
      </c>
      <c r="AD237" s="42">
        <v>1986</v>
      </c>
      <c r="AE237" s="42">
        <v>14</v>
      </c>
      <c r="AF237" s="44">
        <v>10.199999999999999</v>
      </c>
      <c r="AG237" s="42">
        <v>2011</v>
      </c>
      <c r="AH237" s="42">
        <v>6</v>
      </c>
      <c r="AI237" s="44">
        <v>10</v>
      </c>
      <c r="AJ237" s="42">
        <v>1979</v>
      </c>
      <c r="AK237" s="42">
        <v>6</v>
      </c>
      <c r="AL237" s="44">
        <v>10.199999999999999</v>
      </c>
      <c r="AM237" s="42">
        <v>2010</v>
      </c>
      <c r="AN237" s="42">
        <v>20</v>
      </c>
      <c r="AO237" s="44">
        <v>10</v>
      </c>
      <c r="AP237" s="42">
        <v>2010</v>
      </c>
      <c r="AQ237" s="42">
        <v>5</v>
      </c>
    </row>
    <row r="238" spans="1:43" ht="14.45" customHeight="1" x14ac:dyDescent="0.2">
      <c r="A238" s="42">
        <v>35085040</v>
      </c>
      <c r="B238" s="42" t="s">
        <v>1135</v>
      </c>
      <c r="C238" s="42">
        <v>5.1925555560000003</v>
      </c>
      <c r="D238" s="42">
        <v>-73.144777779999998</v>
      </c>
      <c r="E238" s="42">
        <v>1640</v>
      </c>
      <c r="F238" s="42" t="s">
        <v>247</v>
      </c>
      <c r="G238" s="42" t="s">
        <v>212</v>
      </c>
      <c r="H238" s="44">
        <v>7.5</v>
      </c>
      <c r="I238" s="42">
        <v>2008</v>
      </c>
      <c r="J238" s="42">
        <v>17</v>
      </c>
      <c r="K238" s="44">
        <v>8.5</v>
      </c>
      <c r="L238" s="42">
        <v>2008</v>
      </c>
      <c r="M238" s="42">
        <v>20</v>
      </c>
      <c r="N238" s="44">
        <v>7.5</v>
      </c>
      <c r="O238" s="42">
        <v>2007</v>
      </c>
      <c r="P238" s="42">
        <v>4</v>
      </c>
      <c r="Q238" s="44">
        <v>8</v>
      </c>
      <c r="R238" s="42">
        <v>2007</v>
      </c>
      <c r="S238" s="42">
        <v>7</v>
      </c>
      <c r="T238" s="44">
        <v>7.5</v>
      </c>
      <c r="U238" s="42">
        <v>2006</v>
      </c>
      <c r="V238" s="42">
        <v>11</v>
      </c>
      <c r="W238" s="44">
        <v>7.5</v>
      </c>
      <c r="X238" s="42">
        <v>2007</v>
      </c>
      <c r="Y238" s="42">
        <v>14</v>
      </c>
      <c r="Z238" s="44">
        <v>8</v>
      </c>
      <c r="AA238" s="42">
        <v>2005</v>
      </c>
      <c r="AB238" s="42">
        <v>30</v>
      </c>
      <c r="AC238" s="44">
        <v>8.5</v>
      </c>
      <c r="AD238" s="42">
        <v>2007</v>
      </c>
      <c r="AE238" s="42">
        <v>7</v>
      </c>
      <c r="AF238" s="44">
        <v>8</v>
      </c>
      <c r="AG238" s="42">
        <v>2007</v>
      </c>
      <c r="AH238" s="42">
        <v>15</v>
      </c>
      <c r="AI238" s="44">
        <v>8.5</v>
      </c>
      <c r="AJ238" s="42">
        <v>2005</v>
      </c>
      <c r="AK238" s="42">
        <v>2</v>
      </c>
      <c r="AL238" s="44">
        <v>7.5</v>
      </c>
      <c r="AM238" s="42">
        <v>2007</v>
      </c>
      <c r="AN238" s="42">
        <v>17</v>
      </c>
      <c r="AO238" s="44">
        <v>9.5</v>
      </c>
      <c r="AP238" s="42">
        <v>2007</v>
      </c>
      <c r="AQ238" s="42">
        <v>13</v>
      </c>
    </row>
    <row r="239" spans="1:43" ht="14.45" customHeight="1" x14ac:dyDescent="0.2">
      <c r="A239" s="42">
        <v>24025040</v>
      </c>
      <c r="B239" s="42" t="s">
        <v>1136</v>
      </c>
      <c r="C239" s="42">
        <v>6.47</v>
      </c>
      <c r="D239" s="42">
        <v>-72.968888890000002</v>
      </c>
      <c r="E239" s="42">
        <v>1673</v>
      </c>
      <c r="F239" s="42" t="s">
        <v>325</v>
      </c>
      <c r="G239" s="42" t="s">
        <v>49</v>
      </c>
      <c r="H239" s="44">
        <v>6.6</v>
      </c>
      <c r="I239" s="42">
        <v>1992</v>
      </c>
      <c r="J239" s="42">
        <v>18</v>
      </c>
      <c r="K239" s="44">
        <v>5</v>
      </c>
      <c r="L239" s="42">
        <v>2004</v>
      </c>
      <c r="M239" s="42">
        <v>5</v>
      </c>
      <c r="N239" s="44">
        <v>7</v>
      </c>
      <c r="O239" s="42">
        <v>1997</v>
      </c>
      <c r="P239" s="42">
        <v>24</v>
      </c>
      <c r="Q239" s="44">
        <v>7</v>
      </c>
      <c r="R239" s="42">
        <v>1999</v>
      </c>
      <c r="S239" s="42">
        <v>19</v>
      </c>
      <c r="T239" s="44">
        <v>8</v>
      </c>
      <c r="U239" s="42">
        <v>1995</v>
      </c>
      <c r="V239" s="42">
        <v>21</v>
      </c>
      <c r="W239" s="44">
        <v>7.4</v>
      </c>
      <c r="X239" s="42">
        <v>1994</v>
      </c>
      <c r="Y239" s="42">
        <v>24</v>
      </c>
      <c r="Z239" s="44">
        <v>7</v>
      </c>
      <c r="AA239" s="42">
        <v>2003</v>
      </c>
      <c r="AB239" s="42">
        <v>2</v>
      </c>
      <c r="AC239" s="44">
        <v>7.4</v>
      </c>
      <c r="AD239" s="42">
        <v>1997</v>
      </c>
      <c r="AE239" s="42">
        <v>7</v>
      </c>
      <c r="AF239" s="44">
        <v>8</v>
      </c>
      <c r="AG239" s="42">
        <v>1997</v>
      </c>
      <c r="AH239" s="42">
        <v>4</v>
      </c>
      <c r="AI239" s="44">
        <v>8.6</v>
      </c>
      <c r="AJ239" s="42">
        <v>1991</v>
      </c>
      <c r="AK239" s="42">
        <v>21</v>
      </c>
      <c r="AL239" s="44">
        <v>7</v>
      </c>
      <c r="AM239" s="42">
        <v>2005</v>
      </c>
      <c r="AN239" s="42">
        <v>29</v>
      </c>
      <c r="AO239" s="44">
        <v>6</v>
      </c>
      <c r="AP239" s="42">
        <v>2005</v>
      </c>
      <c r="AQ239" s="42">
        <v>28</v>
      </c>
    </row>
    <row r="240" spans="1:43" ht="14.45" customHeight="1" x14ac:dyDescent="0.2">
      <c r="A240" s="42">
        <v>23125060</v>
      </c>
      <c r="B240" s="42" t="s">
        <v>1137</v>
      </c>
      <c r="C240" s="42">
        <v>5.7583333330000004</v>
      </c>
      <c r="D240" s="42">
        <v>-73.91333333</v>
      </c>
      <c r="E240" s="42">
        <v>1690</v>
      </c>
      <c r="F240" s="42" t="s">
        <v>311</v>
      </c>
      <c r="G240" s="42" t="s">
        <v>49</v>
      </c>
      <c r="H240" s="44">
        <v>10.4</v>
      </c>
      <c r="I240" s="42">
        <v>2001</v>
      </c>
      <c r="J240" s="42">
        <v>27</v>
      </c>
      <c r="K240" s="44">
        <v>10.4</v>
      </c>
      <c r="L240" s="42">
        <v>1994</v>
      </c>
      <c r="M240" s="42">
        <v>17</v>
      </c>
      <c r="N240" s="44">
        <v>11.4</v>
      </c>
      <c r="O240" s="42">
        <v>1992</v>
      </c>
      <c r="P240" s="42">
        <v>22</v>
      </c>
      <c r="Q240" s="44">
        <v>10.8</v>
      </c>
      <c r="R240" s="42">
        <v>1980</v>
      </c>
      <c r="S240" s="42">
        <v>8</v>
      </c>
      <c r="T240" s="44">
        <v>10.199999999999999</v>
      </c>
      <c r="U240" s="42">
        <v>1992</v>
      </c>
      <c r="V240" s="42">
        <v>29</v>
      </c>
      <c r="W240" s="44">
        <v>10.199999999999999</v>
      </c>
      <c r="X240" s="42">
        <v>1992</v>
      </c>
      <c r="Y240" s="42">
        <v>29</v>
      </c>
      <c r="Z240" s="44">
        <v>10.4</v>
      </c>
      <c r="AA240" s="42">
        <v>1992</v>
      </c>
      <c r="AB240" s="42">
        <v>25</v>
      </c>
      <c r="AC240" s="44">
        <v>10.4</v>
      </c>
      <c r="AD240" s="42">
        <v>1986</v>
      </c>
      <c r="AE240" s="42">
        <v>16</v>
      </c>
      <c r="AF240" s="44">
        <v>11.2</v>
      </c>
      <c r="AG240" s="42">
        <v>1978</v>
      </c>
      <c r="AH240" s="42">
        <v>4</v>
      </c>
      <c r="AI240" s="44">
        <v>12</v>
      </c>
      <c r="AJ240" s="42">
        <v>1991</v>
      </c>
      <c r="AK240" s="42">
        <v>20</v>
      </c>
      <c r="AL240" s="44">
        <v>11.6</v>
      </c>
      <c r="AM240" s="42">
        <v>2010</v>
      </c>
      <c r="AN240" s="42">
        <v>5</v>
      </c>
      <c r="AO240" s="44">
        <v>10.8</v>
      </c>
      <c r="AP240" s="42">
        <v>2011</v>
      </c>
      <c r="AQ240" s="42">
        <v>23</v>
      </c>
    </row>
    <row r="241" spans="1:43" ht="14.45" customHeight="1" x14ac:dyDescent="0.2">
      <c r="A241" s="42">
        <v>21135050</v>
      </c>
      <c r="B241" s="42" t="s">
        <v>1138</v>
      </c>
      <c r="C241" s="42">
        <v>3.0987777780000001</v>
      </c>
      <c r="D241" s="42">
        <v>-75.530027779999998</v>
      </c>
      <c r="E241" s="42">
        <v>1691</v>
      </c>
      <c r="F241" s="42" t="s">
        <v>80</v>
      </c>
      <c r="G241" s="42" t="s">
        <v>79</v>
      </c>
      <c r="H241" s="44">
        <v>12</v>
      </c>
      <c r="I241" s="42">
        <v>1995</v>
      </c>
      <c r="J241" s="42">
        <v>13</v>
      </c>
      <c r="K241" s="44">
        <v>11.4</v>
      </c>
      <c r="L241" s="42">
        <v>1995</v>
      </c>
      <c r="M241" s="42">
        <v>2</v>
      </c>
      <c r="N241" s="44">
        <v>12.2</v>
      </c>
      <c r="O241" s="42">
        <v>1992</v>
      </c>
      <c r="P241" s="42">
        <v>25</v>
      </c>
      <c r="Q241" s="44">
        <v>12.8</v>
      </c>
      <c r="R241" s="42">
        <v>1992</v>
      </c>
      <c r="S241" s="42">
        <v>2</v>
      </c>
      <c r="T241" s="44">
        <v>12.6</v>
      </c>
      <c r="U241" s="42">
        <v>2004</v>
      </c>
      <c r="V241" s="42">
        <v>23</v>
      </c>
      <c r="W241" s="44">
        <v>13</v>
      </c>
      <c r="X241" s="42">
        <v>1996</v>
      </c>
      <c r="Y241" s="42">
        <v>16</v>
      </c>
      <c r="Z241" s="44">
        <v>12.2</v>
      </c>
      <c r="AA241" s="42">
        <v>1994</v>
      </c>
      <c r="AB241" s="42">
        <v>12</v>
      </c>
      <c r="AC241" s="44">
        <v>12</v>
      </c>
      <c r="AD241" s="42">
        <v>1990</v>
      </c>
      <c r="AE241" s="42">
        <v>29</v>
      </c>
      <c r="AF241" s="44">
        <v>12.2</v>
      </c>
      <c r="AG241" s="42">
        <v>1994</v>
      </c>
      <c r="AH241" s="42">
        <v>20</v>
      </c>
      <c r="AI241" s="44">
        <v>11.6</v>
      </c>
      <c r="AJ241" s="42">
        <v>2004</v>
      </c>
      <c r="AK241" s="42">
        <v>13</v>
      </c>
      <c r="AL241" s="44">
        <v>12.2</v>
      </c>
      <c r="AM241" s="42">
        <v>2001</v>
      </c>
      <c r="AN241" s="42">
        <v>4</v>
      </c>
      <c r="AO241" s="44">
        <v>12.4</v>
      </c>
      <c r="AP241" s="42">
        <v>2014</v>
      </c>
      <c r="AQ241" s="42">
        <v>2</v>
      </c>
    </row>
    <row r="242" spans="1:43" ht="14.45" customHeight="1" x14ac:dyDescent="0.2">
      <c r="A242" s="42">
        <v>23085030</v>
      </c>
      <c r="B242" s="42" t="s">
        <v>1139</v>
      </c>
      <c r="C242" s="42">
        <v>6.3762499999999998</v>
      </c>
      <c r="D242" s="42">
        <v>-75.143388889999997</v>
      </c>
      <c r="E242" s="42">
        <v>1712</v>
      </c>
      <c r="F242" s="42" t="s">
        <v>105</v>
      </c>
      <c r="G242" s="42" t="s">
        <v>57</v>
      </c>
      <c r="H242" s="44">
        <v>11</v>
      </c>
      <c r="I242" s="42">
        <v>1997</v>
      </c>
      <c r="J242" s="42">
        <v>30</v>
      </c>
      <c r="K242" s="44">
        <v>10.199999999999999</v>
      </c>
      <c r="L242" s="42">
        <v>2012</v>
      </c>
      <c r="M242" s="42">
        <v>19</v>
      </c>
      <c r="N242" s="44">
        <v>11.4</v>
      </c>
      <c r="O242" s="42">
        <v>2000</v>
      </c>
      <c r="P242" s="42">
        <v>20</v>
      </c>
      <c r="Q242" s="44">
        <v>12</v>
      </c>
      <c r="R242" s="42">
        <v>2004</v>
      </c>
      <c r="S242" s="42">
        <v>26</v>
      </c>
      <c r="T242" s="44">
        <v>11.2</v>
      </c>
      <c r="U242" s="42">
        <v>2003</v>
      </c>
      <c r="V242" s="42">
        <v>17</v>
      </c>
      <c r="W242" s="44">
        <v>10.4</v>
      </c>
      <c r="X242" s="42">
        <v>2002</v>
      </c>
      <c r="Y242" s="42">
        <v>20</v>
      </c>
      <c r="Z242" s="44">
        <v>9.6</v>
      </c>
      <c r="AA242" s="42">
        <v>2018</v>
      </c>
      <c r="AB242" s="42">
        <v>12</v>
      </c>
      <c r="AC242" s="44">
        <v>10</v>
      </c>
      <c r="AD242" s="42">
        <v>2003</v>
      </c>
      <c r="AE242" s="42">
        <v>2</v>
      </c>
      <c r="AF242" s="44">
        <v>10</v>
      </c>
      <c r="AG242" s="42">
        <v>2003</v>
      </c>
      <c r="AH242" s="42">
        <v>24</v>
      </c>
      <c r="AI242" s="44">
        <v>11</v>
      </c>
      <c r="AJ242" s="42">
        <v>2003</v>
      </c>
      <c r="AK242" s="42">
        <v>6</v>
      </c>
      <c r="AL242" s="44">
        <v>10.4</v>
      </c>
      <c r="AM242" s="42">
        <v>2003</v>
      </c>
      <c r="AN242" s="42">
        <v>9</v>
      </c>
      <c r="AO242" s="44">
        <v>11</v>
      </c>
      <c r="AP242" s="42">
        <v>2003</v>
      </c>
      <c r="AQ242" s="42">
        <v>5</v>
      </c>
    </row>
    <row r="243" spans="1:43" ht="14.45" customHeight="1" x14ac:dyDescent="0.2">
      <c r="A243" s="42">
        <v>26205080</v>
      </c>
      <c r="B243" s="42" t="s">
        <v>1140</v>
      </c>
      <c r="C243" s="42">
        <v>6.3410555559999997</v>
      </c>
      <c r="D243" s="42">
        <v>-75.700944440000001</v>
      </c>
      <c r="E243" s="42">
        <v>1737</v>
      </c>
      <c r="F243" s="42" t="s">
        <v>60</v>
      </c>
      <c r="G243" s="42" t="s">
        <v>57</v>
      </c>
      <c r="H243" s="44">
        <v>13.4</v>
      </c>
      <c r="I243" s="42">
        <v>2023</v>
      </c>
      <c r="J243" s="42">
        <v>4</v>
      </c>
      <c r="K243" s="44">
        <v>13.4</v>
      </c>
      <c r="L243" s="42">
        <v>2023</v>
      </c>
      <c r="M243" s="42">
        <v>1</v>
      </c>
      <c r="N243" s="44">
        <v>14</v>
      </c>
      <c r="O243" s="42">
        <v>2021</v>
      </c>
      <c r="P243" s="42">
        <v>17</v>
      </c>
      <c r="Q243" s="44">
        <v>13.8</v>
      </c>
      <c r="R243" s="42">
        <v>2023</v>
      </c>
      <c r="S243" s="42">
        <v>23</v>
      </c>
      <c r="T243" s="44">
        <v>13.4</v>
      </c>
      <c r="U243" s="42">
        <v>2021</v>
      </c>
      <c r="V243" s="42">
        <v>3</v>
      </c>
      <c r="W243" s="44">
        <v>13.6</v>
      </c>
      <c r="X243" s="42">
        <v>2021</v>
      </c>
      <c r="Y243" s="42">
        <v>21</v>
      </c>
      <c r="Z243" s="44">
        <v>14</v>
      </c>
      <c r="AA243" s="42">
        <v>2021</v>
      </c>
      <c r="AB243" s="42">
        <v>17</v>
      </c>
      <c r="AC243" s="44">
        <v>14</v>
      </c>
      <c r="AD243" s="42">
        <v>2021</v>
      </c>
      <c r="AE243" s="42">
        <v>15</v>
      </c>
      <c r="AF243" s="44">
        <v>14</v>
      </c>
      <c r="AG243" s="42">
        <v>2021</v>
      </c>
      <c r="AH243" s="42">
        <v>5</v>
      </c>
      <c r="AI243" s="44">
        <v>14</v>
      </c>
      <c r="AJ243" s="42">
        <v>2023</v>
      </c>
      <c r="AK243" s="42">
        <v>29</v>
      </c>
      <c r="AL243" s="44">
        <v>14.2</v>
      </c>
      <c r="AM243" s="42">
        <v>2022</v>
      </c>
      <c r="AN243" s="42">
        <v>13</v>
      </c>
      <c r="AO243" s="44">
        <v>13</v>
      </c>
      <c r="AP243" s="42">
        <v>2022</v>
      </c>
      <c r="AQ243" s="42">
        <v>3</v>
      </c>
    </row>
    <row r="244" spans="1:43" ht="14.45" customHeight="1" x14ac:dyDescent="0.2">
      <c r="A244" s="42">
        <v>23055070</v>
      </c>
      <c r="B244" s="42" t="s">
        <v>1141</v>
      </c>
      <c r="C244" s="42">
        <v>5.73</v>
      </c>
      <c r="D244" s="42">
        <v>-75.14</v>
      </c>
      <c r="E244" s="42">
        <v>1740</v>
      </c>
      <c r="F244" s="42" t="s">
        <v>1142</v>
      </c>
      <c r="G244" s="42" t="s">
        <v>57</v>
      </c>
      <c r="H244" s="44">
        <v>14</v>
      </c>
      <c r="I244" s="42">
        <v>2020</v>
      </c>
      <c r="J244" s="42">
        <v>1</v>
      </c>
      <c r="K244" s="44">
        <v>14</v>
      </c>
      <c r="L244" s="42">
        <v>2020</v>
      </c>
      <c r="M244" s="42">
        <v>1</v>
      </c>
      <c r="N244" s="44">
        <v>14</v>
      </c>
      <c r="O244" s="42">
        <v>2020</v>
      </c>
      <c r="P244" s="42">
        <v>23</v>
      </c>
      <c r="Q244" s="44">
        <v>14</v>
      </c>
      <c r="R244" s="42">
        <v>2018</v>
      </c>
      <c r="S244" s="42">
        <v>10</v>
      </c>
      <c r="T244" s="44">
        <v>14</v>
      </c>
      <c r="U244" s="42">
        <v>2018</v>
      </c>
      <c r="V244" s="42">
        <v>20</v>
      </c>
      <c r="W244" s="44">
        <v>14</v>
      </c>
      <c r="X244" s="42">
        <v>2018</v>
      </c>
      <c r="Y244" s="42">
        <v>1</v>
      </c>
      <c r="Z244" s="44">
        <v>14</v>
      </c>
      <c r="AA244" s="42">
        <v>2020</v>
      </c>
      <c r="AB244" s="42">
        <v>15</v>
      </c>
      <c r="AC244" s="44">
        <v>14</v>
      </c>
      <c r="AD244" s="42">
        <v>2019</v>
      </c>
      <c r="AE244" s="42">
        <v>8</v>
      </c>
      <c r="AF244" s="44">
        <v>14</v>
      </c>
      <c r="AG244" s="42">
        <v>2019</v>
      </c>
      <c r="AH244" s="42">
        <v>1</v>
      </c>
      <c r="AI244" s="44">
        <v>13</v>
      </c>
      <c r="AJ244" s="42">
        <v>2020</v>
      </c>
      <c r="AK244" s="42">
        <v>14</v>
      </c>
      <c r="AL244" s="44">
        <v>14</v>
      </c>
      <c r="AM244" s="42">
        <v>2019</v>
      </c>
      <c r="AN244" s="42">
        <v>1</v>
      </c>
      <c r="AO244" s="44">
        <v>14</v>
      </c>
      <c r="AP244" s="42">
        <v>2019</v>
      </c>
      <c r="AQ244" s="42">
        <v>2</v>
      </c>
    </row>
    <row r="245" spans="1:43" ht="14.45" customHeight="1" x14ac:dyDescent="0.2">
      <c r="A245" s="42">
        <v>26125130</v>
      </c>
      <c r="B245" s="42" t="s">
        <v>1143</v>
      </c>
      <c r="C245" s="42">
        <v>4.185055556</v>
      </c>
      <c r="D245" s="42">
        <v>-75.832361109999994</v>
      </c>
      <c r="E245" s="42">
        <v>1749</v>
      </c>
      <c r="F245" s="42" t="s">
        <v>348</v>
      </c>
      <c r="G245" s="42" t="s">
        <v>341</v>
      </c>
      <c r="H245" s="44">
        <v>9.6</v>
      </c>
      <c r="I245" s="42">
        <v>1983</v>
      </c>
      <c r="J245" s="42">
        <v>12</v>
      </c>
      <c r="K245" s="44">
        <v>9.1999999999999993</v>
      </c>
      <c r="L245" s="42">
        <v>1983</v>
      </c>
      <c r="M245" s="42">
        <v>7</v>
      </c>
      <c r="N245" s="44">
        <v>9</v>
      </c>
      <c r="O245" s="42">
        <v>2018</v>
      </c>
      <c r="P245" s="42">
        <v>24</v>
      </c>
      <c r="Q245" s="44">
        <v>9.1999999999999993</v>
      </c>
      <c r="R245" s="42">
        <v>1983</v>
      </c>
      <c r="S245" s="42">
        <v>13</v>
      </c>
      <c r="T245" s="44">
        <v>7</v>
      </c>
      <c r="U245" s="42">
        <v>1983</v>
      </c>
      <c r="V245" s="42">
        <v>24</v>
      </c>
      <c r="W245" s="44">
        <v>7.2</v>
      </c>
      <c r="X245" s="42">
        <v>1983</v>
      </c>
      <c r="Y245" s="42">
        <v>25</v>
      </c>
      <c r="Z245" s="44">
        <v>6</v>
      </c>
      <c r="AA245" s="42">
        <v>1983</v>
      </c>
      <c r="AB245" s="42">
        <v>26</v>
      </c>
      <c r="AC245" s="44">
        <v>10</v>
      </c>
      <c r="AD245" s="42">
        <v>2023</v>
      </c>
      <c r="AE245" s="42">
        <v>2</v>
      </c>
      <c r="AF245" s="44">
        <v>8.6</v>
      </c>
      <c r="AG245" s="42">
        <v>1982</v>
      </c>
      <c r="AH245" s="42">
        <v>15</v>
      </c>
      <c r="AI245" s="44">
        <v>8.6</v>
      </c>
      <c r="AJ245" s="42">
        <v>1982</v>
      </c>
      <c r="AK245" s="42">
        <v>2</v>
      </c>
      <c r="AL245" s="44">
        <v>8.6</v>
      </c>
      <c r="AM245" s="42">
        <v>1982</v>
      </c>
      <c r="AN245" s="42">
        <v>19</v>
      </c>
      <c r="AO245" s="44">
        <v>8.1999999999999993</v>
      </c>
      <c r="AP245" s="42">
        <v>1982</v>
      </c>
      <c r="AQ245" s="42">
        <v>28</v>
      </c>
    </row>
    <row r="246" spans="1:43" ht="14.45" customHeight="1" x14ac:dyDescent="0.2">
      <c r="A246" s="42">
        <v>16015030</v>
      </c>
      <c r="B246" s="42" t="s">
        <v>1144</v>
      </c>
      <c r="C246" s="42">
        <v>7.5697222220000002</v>
      </c>
      <c r="D246" s="42">
        <v>-72.53388889</v>
      </c>
      <c r="E246" s="42">
        <v>1760</v>
      </c>
      <c r="F246" s="42" t="s">
        <v>302</v>
      </c>
      <c r="G246" s="42" t="s">
        <v>300</v>
      </c>
      <c r="H246" s="44">
        <v>6.4</v>
      </c>
      <c r="I246" s="42">
        <v>1984</v>
      </c>
      <c r="J246" s="42">
        <v>18</v>
      </c>
      <c r="K246" s="44">
        <v>6</v>
      </c>
      <c r="L246" s="42">
        <v>1984</v>
      </c>
      <c r="M246" s="42">
        <v>1</v>
      </c>
      <c r="N246" s="44">
        <v>7.4</v>
      </c>
      <c r="O246" s="42">
        <v>1989</v>
      </c>
      <c r="P246" s="42">
        <v>11</v>
      </c>
      <c r="Q246" s="44">
        <v>7.2</v>
      </c>
      <c r="R246" s="42">
        <v>1984</v>
      </c>
      <c r="S246" s="42">
        <v>26</v>
      </c>
      <c r="T246" s="44">
        <v>8.1999999999999993</v>
      </c>
      <c r="U246" s="42">
        <v>2011</v>
      </c>
      <c r="V246" s="42">
        <v>21</v>
      </c>
      <c r="W246" s="44">
        <v>7.2</v>
      </c>
      <c r="X246" s="42">
        <v>1984</v>
      </c>
      <c r="Y246" s="42">
        <v>9</v>
      </c>
      <c r="Z246" s="44">
        <v>9.6</v>
      </c>
      <c r="AA246" s="42">
        <v>1985</v>
      </c>
      <c r="AB246" s="42">
        <v>1</v>
      </c>
      <c r="AC246" s="44">
        <v>10</v>
      </c>
      <c r="AD246" s="42">
        <v>2003</v>
      </c>
      <c r="AE246" s="42">
        <v>3</v>
      </c>
      <c r="AF246" s="44">
        <v>9.4</v>
      </c>
      <c r="AG246" s="42">
        <v>2002</v>
      </c>
      <c r="AH246" s="42">
        <v>28</v>
      </c>
      <c r="AI246" s="44">
        <v>8.8000000000000007</v>
      </c>
      <c r="AJ246" s="42">
        <v>1997</v>
      </c>
      <c r="AK246" s="42">
        <v>11</v>
      </c>
      <c r="AL246" s="44">
        <v>9</v>
      </c>
      <c r="AM246" s="42">
        <v>1983</v>
      </c>
      <c r="AN246" s="42">
        <v>8</v>
      </c>
      <c r="AO246" s="44">
        <v>6.2</v>
      </c>
      <c r="AP246" s="42">
        <v>1983</v>
      </c>
      <c r="AQ246" s="42">
        <v>30</v>
      </c>
    </row>
    <row r="247" spans="1:43" ht="14.45" customHeight="1" x14ac:dyDescent="0.2">
      <c r="A247" s="42">
        <v>26145030</v>
      </c>
      <c r="B247" s="42" t="s">
        <v>1145</v>
      </c>
      <c r="C247" s="42">
        <v>5.08</v>
      </c>
      <c r="D247" s="42">
        <v>-75.97</v>
      </c>
      <c r="E247" s="42">
        <v>1763</v>
      </c>
      <c r="F247" s="42" t="s">
        <v>1146</v>
      </c>
      <c r="G247" s="42" t="s">
        <v>64</v>
      </c>
      <c r="H247" s="44">
        <v>12.4</v>
      </c>
      <c r="I247" s="42">
        <v>2001</v>
      </c>
      <c r="J247" s="42">
        <v>24</v>
      </c>
      <c r="K247" s="44">
        <v>13</v>
      </c>
      <c r="L247" s="42">
        <v>1994</v>
      </c>
      <c r="M247" s="42">
        <v>11</v>
      </c>
      <c r="N247" s="44">
        <v>12.6</v>
      </c>
      <c r="O247" s="42">
        <v>2008</v>
      </c>
      <c r="P247" s="42">
        <v>6</v>
      </c>
      <c r="Q247" s="44">
        <v>13.4</v>
      </c>
      <c r="R247" s="42">
        <v>1979</v>
      </c>
      <c r="S247" s="42">
        <v>29</v>
      </c>
      <c r="T247" s="44">
        <v>13.8</v>
      </c>
      <c r="U247" s="42">
        <v>1985</v>
      </c>
      <c r="V247" s="42">
        <v>12</v>
      </c>
      <c r="W247" s="44">
        <v>12.2</v>
      </c>
      <c r="X247" s="42">
        <v>2007</v>
      </c>
      <c r="Y247" s="42">
        <v>21</v>
      </c>
      <c r="Z247" s="44">
        <v>13.4</v>
      </c>
      <c r="AA247" s="42">
        <v>2007</v>
      </c>
      <c r="AB247" s="42">
        <v>25</v>
      </c>
      <c r="AC247" s="44">
        <v>13.6</v>
      </c>
      <c r="AD247" s="42">
        <v>1979</v>
      </c>
      <c r="AE247" s="42">
        <v>30</v>
      </c>
      <c r="AF247" s="44">
        <v>13.6</v>
      </c>
      <c r="AG247" s="42">
        <v>1985</v>
      </c>
      <c r="AH247" s="42">
        <v>2</v>
      </c>
      <c r="AI247" s="44">
        <v>12.8</v>
      </c>
      <c r="AJ247" s="42">
        <v>1979</v>
      </c>
      <c r="AK247" s="42">
        <v>30</v>
      </c>
      <c r="AL247" s="44">
        <v>11.2</v>
      </c>
      <c r="AM247" s="42">
        <v>1996</v>
      </c>
      <c r="AN247" s="42">
        <v>2</v>
      </c>
      <c r="AO247" s="44">
        <v>13</v>
      </c>
      <c r="AP247" s="42">
        <v>1982</v>
      </c>
      <c r="AQ247" s="42">
        <v>21</v>
      </c>
    </row>
    <row r="248" spans="1:43" ht="14.45" customHeight="1" x14ac:dyDescent="0.2">
      <c r="A248" s="42">
        <v>47015080</v>
      </c>
      <c r="B248" s="42" t="s">
        <v>1147</v>
      </c>
      <c r="C248" s="42">
        <v>0.80491666699999997</v>
      </c>
      <c r="D248" s="42">
        <v>-77.303611110000006</v>
      </c>
      <c r="E248" s="42">
        <v>1776</v>
      </c>
      <c r="F248" s="42" t="s">
        <v>269</v>
      </c>
      <c r="G248" s="42" t="s">
        <v>82</v>
      </c>
      <c r="H248" s="44">
        <v>9</v>
      </c>
      <c r="I248" s="42">
        <v>1987</v>
      </c>
      <c r="J248" s="42">
        <v>7</v>
      </c>
      <c r="K248" s="44">
        <v>9.6</v>
      </c>
      <c r="L248" s="42">
        <v>1985</v>
      </c>
      <c r="M248" s="42">
        <v>5</v>
      </c>
      <c r="N248" s="44">
        <v>10</v>
      </c>
      <c r="O248" s="42">
        <v>1989</v>
      </c>
      <c r="P248" s="42">
        <v>26</v>
      </c>
      <c r="Q248" s="44">
        <v>10.4</v>
      </c>
      <c r="R248" s="42">
        <v>2013</v>
      </c>
      <c r="S248" s="42">
        <v>25</v>
      </c>
      <c r="T248" s="44">
        <v>10.4</v>
      </c>
      <c r="U248" s="42">
        <v>1986</v>
      </c>
      <c r="V248" s="42">
        <v>31</v>
      </c>
      <c r="W248" s="44">
        <v>10.1</v>
      </c>
      <c r="X248" s="42">
        <v>1985</v>
      </c>
      <c r="Y248" s="42">
        <v>11</v>
      </c>
      <c r="Z248" s="44">
        <v>8.5</v>
      </c>
      <c r="AA248" s="42">
        <v>2007</v>
      </c>
      <c r="AB248" s="42">
        <v>28</v>
      </c>
      <c r="AC248" s="44">
        <v>9</v>
      </c>
      <c r="AD248" s="42">
        <v>1993</v>
      </c>
      <c r="AE248" s="42">
        <v>8</v>
      </c>
      <c r="AF248" s="44">
        <v>9</v>
      </c>
      <c r="AG248" s="42">
        <v>2001</v>
      </c>
      <c r="AH248" s="42">
        <v>10</v>
      </c>
      <c r="AI248" s="44">
        <v>10.199999999999999</v>
      </c>
      <c r="AJ248" s="42">
        <v>1987</v>
      </c>
      <c r="AK248" s="42">
        <v>9</v>
      </c>
      <c r="AL248" s="44">
        <v>9</v>
      </c>
      <c r="AM248" s="42">
        <v>2018</v>
      </c>
      <c r="AN248" s="42">
        <v>19</v>
      </c>
      <c r="AO248" s="44">
        <v>10</v>
      </c>
      <c r="AP248" s="42">
        <v>2018</v>
      </c>
      <c r="AQ248" s="42">
        <v>9</v>
      </c>
    </row>
    <row r="249" spans="1:43" ht="14.45" customHeight="1" x14ac:dyDescent="0.2">
      <c r="A249" s="42">
        <v>23195090</v>
      </c>
      <c r="B249" s="42" t="s">
        <v>1148</v>
      </c>
      <c r="C249" s="42">
        <v>7.3658299999999999</v>
      </c>
      <c r="D249" s="42">
        <v>-72.987499999999997</v>
      </c>
      <c r="E249" s="42">
        <v>1791</v>
      </c>
      <c r="F249" s="42" t="s">
        <v>319</v>
      </c>
      <c r="G249" s="42" t="s">
        <v>49</v>
      </c>
      <c r="H249" s="44">
        <v>9</v>
      </c>
      <c r="I249" s="42">
        <v>2025</v>
      </c>
      <c r="J249" s="42">
        <v>21</v>
      </c>
      <c r="K249" s="44">
        <v>9</v>
      </c>
      <c r="L249" s="42">
        <v>1982</v>
      </c>
      <c r="M249" s="42">
        <v>12</v>
      </c>
      <c r="N249" s="44">
        <v>9.6</v>
      </c>
      <c r="O249" s="42">
        <v>2023</v>
      </c>
      <c r="P249" s="42">
        <v>4</v>
      </c>
      <c r="Q249" s="44">
        <v>9</v>
      </c>
      <c r="R249" s="42">
        <v>1982</v>
      </c>
      <c r="S249" s="42">
        <v>16</v>
      </c>
      <c r="T249" s="44">
        <v>9.6</v>
      </c>
      <c r="U249" s="42">
        <v>1982</v>
      </c>
      <c r="V249" s="42">
        <v>14</v>
      </c>
      <c r="W249" s="44">
        <v>10</v>
      </c>
      <c r="X249" s="42">
        <v>2004</v>
      </c>
      <c r="Y249" s="42">
        <v>25</v>
      </c>
      <c r="Z249" s="44">
        <v>9.4</v>
      </c>
      <c r="AA249" s="42">
        <v>1985</v>
      </c>
      <c r="AB249" s="42">
        <v>9</v>
      </c>
      <c r="AC249" s="44">
        <v>10.4</v>
      </c>
      <c r="AD249" s="42">
        <v>1982</v>
      </c>
      <c r="AE249" s="42">
        <v>7</v>
      </c>
      <c r="AF249" s="44">
        <v>11</v>
      </c>
      <c r="AG249" s="42">
        <v>1986</v>
      </c>
      <c r="AH249" s="42">
        <v>2</v>
      </c>
      <c r="AI249" s="44">
        <v>9.4</v>
      </c>
      <c r="AJ249" s="42">
        <v>1978</v>
      </c>
      <c r="AK249" s="42">
        <v>20</v>
      </c>
      <c r="AL249" s="44">
        <v>10</v>
      </c>
      <c r="AM249" s="42">
        <v>1997</v>
      </c>
      <c r="AN249" s="42">
        <v>30</v>
      </c>
      <c r="AO249" s="44">
        <v>9.1999999999999993</v>
      </c>
      <c r="AP249" s="42">
        <v>1985</v>
      </c>
      <c r="AQ249" s="42">
        <v>19</v>
      </c>
    </row>
    <row r="250" spans="1:43" ht="14.45" customHeight="1" x14ac:dyDescent="0.2">
      <c r="A250" s="42">
        <v>52045020</v>
      </c>
      <c r="B250" s="42" t="s">
        <v>1149</v>
      </c>
      <c r="C250" s="42">
        <v>1.394083333</v>
      </c>
      <c r="D250" s="42">
        <v>-77.290861109999994</v>
      </c>
      <c r="E250" s="42">
        <v>1796</v>
      </c>
      <c r="F250" s="42" t="s">
        <v>83</v>
      </c>
      <c r="G250" s="42" t="s">
        <v>82</v>
      </c>
      <c r="H250" s="44">
        <v>10</v>
      </c>
      <c r="I250" s="42">
        <v>1979</v>
      </c>
      <c r="J250" s="42">
        <v>12</v>
      </c>
      <c r="K250" s="44">
        <v>10</v>
      </c>
      <c r="L250" s="42">
        <v>1979</v>
      </c>
      <c r="M250" s="42">
        <v>9</v>
      </c>
      <c r="N250" s="44">
        <v>11.3</v>
      </c>
      <c r="O250" s="42">
        <v>1989</v>
      </c>
      <c r="P250" s="42">
        <v>26</v>
      </c>
      <c r="Q250" s="44">
        <v>11.8</v>
      </c>
      <c r="R250" s="42">
        <v>2003</v>
      </c>
      <c r="S250" s="42">
        <v>17</v>
      </c>
      <c r="T250" s="44">
        <v>11.4</v>
      </c>
      <c r="U250" s="42">
        <v>2002</v>
      </c>
      <c r="V250" s="42">
        <v>26</v>
      </c>
      <c r="W250" s="44">
        <v>10</v>
      </c>
      <c r="X250" s="42">
        <v>1980</v>
      </c>
      <c r="Y250" s="42">
        <v>27</v>
      </c>
      <c r="Z250" s="44">
        <v>10</v>
      </c>
      <c r="AA250" s="42">
        <v>1980</v>
      </c>
      <c r="AB250" s="42">
        <v>7</v>
      </c>
      <c r="AC250" s="44">
        <v>11.2</v>
      </c>
      <c r="AD250" s="42">
        <v>1980</v>
      </c>
      <c r="AE250" s="42">
        <v>4</v>
      </c>
      <c r="AF250" s="44">
        <v>10.4</v>
      </c>
      <c r="AG250" s="42">
        <v>1984</v>
      </c>
      <c r="AH250" s="42">
        <v>12</v>
      </c>
      <c r="AI250" s="44">
        <v>11</v>
      </c>
      <c r="AJ250" s="42">
        <v>1979</v>
      </c>
      <c r="AK250" s="42">
        <v>1</v>
      </c>
      <c r="AL250" s="44">
        <v>9.1999999999999993</v>
      </c>
      <c r="AM250" s="42">
        <v>1996</v>
      </c>
      <c r="AN250" s="42">
        <v>22</v>
      </c>
      <c r="AO250" s="44">
        <v>9</v>
      </c>
      <c r="AP250" s="42">
        <v>1980</v>
      </c>
      <c r="AQ250" s="42">
        <v>23</v>
      </c>
    </row>
    <row r="251" spans="1:43" ht="14.45" customHeight="1" x14ac:dyDescent="0.2">
      <c r="A251" s="42">
        <v>21015030</v>
      </c>
      <c r="B251" s="42" t="s">
        <v>1150</v>
      </c>
      <c r="C251" s="42">
        <v>1.8884722220000001</v>
      </c>
      <c r="D251" s="42">
        <v>-76.294972220000005</v>
      </c>
      <c r="E251" s="42">
        <v>1800</v>
      </c>
      <c r="F251" s="42" t="s">
        <v>695</v>
      </c>
      <c r="G251" s="42" t="s">
        <v>79</v>
      </c>
      <c r="H251" s="44">
        <v>10</v>
      </c>
      <c r="I251" s="42">
        <v>2018</v>
      </c>
      <c r="J251" s="42">
        <v>24</v>
      </c>
      <c r="K251" s="44">
        <v>10</v>
      </c>
      <c r="L251" s="42">
        <v>1980</v>
      </c>
      <c r="M251" s="42">
        <v>23</v>
      </c>
      <c r="N251" s="44">
        <v>11</v>
      </c>
      <c r="O251" s="42">
        <v>1978</v>
      </c>
      <c r="P251" s="42">
        <v>14</v>
      </c>
      <c r="Q251" s="44">
        <v>10</v>
      </c>
      <c r="R251" s="42">
        <v>2013</v>
      </c>
      <c r="S251" s="42">
        <v>26</v>
      </c>
      <c r="T251" s="44">
        <v>11</v>
      </c>
      <c r="U251" s="42">
        <v>1978</v>
      </c>
      <c r="V251" s="42">
        <v>10</v>
      </c>
      <c r="W251" s="44">
        <v>10.8</v>
      </c>
      <c r="X251" s="42">
        <v>1986</v>
      </c>
      <c r="Y251" s="42">
        <v>3</v>
      </c>
      <c r="Z251" s="44">
        <v>8.5</v>
      </c>
      <c r="AA251" s="42">
        <v>1978</v>
      </c>
      <c r="AB251" s="42">
        <v>26</v>
      </c>
      <c r="AC251" s="44">
        <v>7</v>
      </c>
      <c r="AD251" s="42">
        <v>1978</v>
      </c>
      <c r="AE251" s="42">
        <v>17</v>
      </c>
      <c r="AF251" s="44">
        <v>10</v>
      </c>
      <c r="AG251" s="42">
        <v>1984</v>
      </c>
      <c r="AH251" s="42">
        <v>1</v>
      </c>
      <c r="AI251" s="44">
        <v>10.4</v>
      </c>
      <c r="AJ251" s="42">
        <v>1991</v>
      </c>
      <c r="AK251" s="42">
        <v>15</v>
      </c>
      <c r="AL251" s="44">
        <v>10.199999999999999</v>
      </c>
      <c r="AM251" s="42">
        <v>1994</v>
      </c>
      <c r="AN251" s="42">
        <v>3</v>
      </c>
      <c r="AO251" s="44">
        <v>10.199999999999999</v>
      </c>
      <c r="AP251" s="42">
        <v>1985</v>
      </c>
      <c r="AQ251" s="42">
        <v>18</v>
      </c>
    </row>
    <row r="252" spans="1:43" ht="14.45" customHeight="1" x14ac:dyDescent="0.2">
      <c r="A252" s="42">
        <v>24055030</v>
      </c>
      <c r="B252" s="42" t="s">
        <v>1151</v>
      </c>
      <c r="C252" s="42">
        <v>6.7927777779999996</v>
      </c>
      <c r="D252" s="42">
        <v>-73.282749999999993</v>
      </c>
      <c r="E252" s="42">
        <v>1810</v>
      </c>
      <c r="F252" s="42" t="s">
        <v>328</v>
      </c>
      <c r="G252" s="42" t="s">
        <v>49</v>
      </c>
      <c r="H252" s="44">
        <v>10</v>
      </c>
      <c r="I252" s="42">
        <v>1989</v>
      </c>
      <c r="J252" s="42">
        <v>11</v>
      </c>
      <c r="K252" s="44">
        <v>10</v>
      </c>
      <c r="L252" s="42">
        <v>1989</v>
      </c>
      <c r="M252" s="42">
        <v>17</v>
      </c>
      <c r="N252" s="44">
        <v>10</v>
      </c>
      <c r="O252" s="42">
        <v>2011</v>
      </c>
      <c r="P252" s="42">
        <v>14</v>
      </c>
      <c r="Q252" s="44">
        <v>10</v>
      </c>
      <c r="R252" s="42">
        <v>1990</v>
      </c>
      <c r="S252" s="42">
        <v>20</v>
      </c>
      <c r="T252" s="44">
        <v>11</v>
      </c>
      <c r="U252" s="42">
        <v>1985</v>
      </c>
      <c r="V252" s="42">
        <v>2</v>
      </c>
      <c r="W252" s="44">
        <v>11.2</v>
      </c>
      <c r="X252" s="42">
        <v>1989</v>
      </c>
      <c r="Y252" s="42">
        <v>17</v>
      </c>
      <c r="Z252" s="44">
        <v>11</v>
      </c>
      <c r="AA252" s="42">
        <v>2004</v>
      </c>
      <c r="AB252" s="42">
        <v>29</v>
      </c>
      <c r="AC252" s="44">
        <v>10.6</v>
      </c>
      <c r="AD252" s="42">
        <v>1984</v>
      </c>
      <c r="AE252" s="42">
        <v>31</v>
      </c>
      <c r="AF252" s="44">
        <v>11</v>
      </c>
      <c r="AG252" s="42">
        <v>1990</v>
      </c>
      <c r="AH252" s="42">
        <v>11</v>
      </c>
      <c r="AI252" s="44">
        <v>10</v>
      </c>
      <c r="AJ252" s="42">
        <v>2011</v>
      </c>
      <c r="AK252" s="42">
        <v>22</v>
      </c>
      <c r="AL252" s="44">
        <v>10.4</v>
      </c>
      <c r="AM252" s="42">
        <v>1996</v>
      </c>
      <c r="AN252" s="42">
        <v>20</v>
      </c>
      <c r="AO252" s="44">
        <v>10.199999999999999</v>
      </c>
      <c r="AP252" s="42">
        <v>2003</v>
      </c>
      <c r="AQ252" s="42">
        <v>29</v>
      </c>
    </row>
    <row r="253" spans="1:43" ht="14.45" customHeight="1" x14ac:dyDescent="0.2">
      <c r="A253" s="42">
        <v>26025100</v>
      </c>
      <c r="B253" s="42" t="s">
        <v>1152</v>
      </c>
      <c r="C253" s="42">
        <v>2.6744722219999999</v>
      </c>
      <c r="D253" s="42">
        <v>-76.52633333</v>
      </c>
      <c r="E253" s="42">
        <v>1822</v>
      </c>
      <c r="F253" s="42" t="s">
        <v>575</v>
      </c>
      <c r="G253" s="42" t="s">
        <v>181</v>
      </c>
      <c r="H253" s="44">
        <v>10.5</v>
      </c>
      <c r="I253" s="42">
        <v>1992</v>
      </c>
      <c r="J253" s="42">
        <v>1</v>
      </c>
      <c r="K253" s="44">
        <v>10.7</v>
      </c>
      <c r="L253" s="42">
        <v>1992</v>
      </c>
      <c r="M253" s="42">
        <v>6</v>
      </c>
      <c r="N253" s="44">
        <v>11.4</v>
      </c>
      <c r="O253" s="42">
        <v>2011</v>
      </c>
      <c r="P253" s="42">
        <v>1</v>
      </c>
      <c r="Q253" s="44">
        <v>11.4</v>
      </c>
      <c r="R253" s="42">
        <v>2023</v>
      </c>
      <c r="S253" s="42">
        <v>6</v>
      </c>
      <c r="T253" s="44">
        <v>12.4</v>
      </c>
      <c r="U253" s="42">
        <v>2008</v>
      </c>
      <c r="V253" s="42">
        <v>12</v>
      </c>
      <c r="W253" s="44">
        <v>10.8</v>
      </c>
      <c r="X253" s="42">
        <v>2022</v>
      </c>
      <c r="Y253" s="42">
        <v>29</v>
      </c>
      <c r="Z253" s="44">
        <v>10.8</v>
      </c>
      <c r="AA253" s="42">
        <v>2022</v>
      </c>
      <c r="AB253" s="42">
        <v>11</v>
      </c>
      <c r="AC253" s="44">
        <v>10.8</v>
      </c>
      <c r="AD253" s="42">
        <v>1993</v>
      </c>
      <c r="AE253" s="42">
        <v>2</v>
      </c>
      <c r="AF253" s="44">
        <v>10.8</v>
      </c>
      <c r="AG253" s="42">
        <v>2019</v>
      </c>
      <c r="AH253" s="42">
        <v>11</v>
      </c>
      <c r="AI253" s="44">
        <v>10.6</v>
      </c>
      <c r="AJ253" s="42">
        <v>2012</v>
      </c>
      <c r="AK253" s="42">
        <v>24</v>
      </c>
      <c r="AL253" s="44">
        <v>11.6</v>
      </c>
      <c r="AM253" s="42">
        <v>1992</v>
      </c>
      <c r="AN253" s="42">
        <v>11</v>
      </c>
      <c r="AO253" s="44">
        <v>10.6</v>
      </c>
      <c r="AP253" s="42">
        <v>1997</v>
      </c>
      <c r="AQ253" s="42">
        <v>14</v>
      </c>
    </row>
    <row r="254" spans="1:43" ht="14.45" customHeight="1" x14ac:dyDescent="0.2">
      <c r="A254" s="42">
        <v>11075020</v>
      </c>
      <c r="B254" s="42" t="s">
        <v>1153</v>
      </c>
      <c r="C254" s="42">
        <v>6.2983055559999999</v>
      </c>
      <c r="D254" s="42">
        <v>-76.143305556000001</v>
      </c>
      <c r="E254" s="42">
        <v>1833</v>
      </c>
      <c r="F254" s="42" t="s">
        <v>100</v>
      </c>
      <c r="G254" s="42" t="s">
        <v>57</v>
      </c>
      <c r="H254" s="44">
        <v>6.6</v>
      </c>
      <c r="I254" s="42">
        <v>1998</v>
      </c>
      <c r="J254" s="42">
        <v>28</v>
      </c>
      <c r="K254" s="44">
        <v>8</v>
      </c>
      <c r="L254" s="42">
        <v>1995</v>
      </c>
      <c r="M254" s="42">
        <v>22</v>
      </c>
      <c r="N254" s="44">
        <v>6</v>
      </c>
      <c r="O254" s="42">
        <v>1995</v>
      </c>
      <c r="P254" s="42">
        <v>15</v>
      </c>
      <c r="Q254" s="44">
        <v>9</v>
      </c>
      <c r="R254" s="42">
        <v>1995</v>
      </c>
      <c r="S254" s="42">
        <v>15</v>
      </c>
      <c r="T254" s="44">
        <v>9.4</v>
      </c>
      <c r="U254" s="42">
        <v>1992</v>
      </c>
      <c r="V254" s="42">
        <v>23</v>
      </c>
      <c r="W254" s="44">
        <v>8</v>
      </c>
      <c r="X254" s="42">
        <v>2018</v>
      </c>
      <c r="Y254" s="42">
        <v>27</v>
      </c>
      <c r="Z254" s="44">
        <v>8.8000000000000007</v>
      </c>
      <c r="AA254" s="42">
        <v>2004</v>
      </c>
      <c r="AB254" s="42">
        <v>17</v>
      </c>
      <c r="AC254" s="44">
        <v>9.1999999999999993</v>
      </c>
      <c r="AD254" s="42">
        <v>2025</v>
      </c>
      <c r="AE254" s="42">
        <v>29</v>
      </c>
      <c r="AF254" s="44">
        <v>8.8000000000000007</v>
      </c>
      <c r="AG254" s="42">
        <v>1998</v>
      </c>
      <c r="AH254" s="42">
        <v>29</v>
      </c>
      <c r="AI254" s="44">
        <v>7.4</v>
      </c>
      <c r="AJ254" s="42">
        <v>1995</v>
      </c>
      <c r="AK254" s="42">
        <v>12</v>
      </c>
      <c r="AL254" s="44">
        <v>7.4</v>
      </c>
      <c r="AM254" s="42">
        <v>1996</v>
      </c>
      <c r="AN254" s="42">
        <v>20</v>
      </c>
      <c r="AO254" s="44">
        <v>6</v>
      </c>
      <c r="AP254" s="42">
        <v>2019</v>
      </c>
      <c r="AQ254" s="42">
        <v>9</v>
      </c>
    </row>
    <row r="255" spans="1:43" ht="14.45" customHeight="1" x14ac:dyDescent="0.2">
      <c r="A255" s="42">
        <v>21206180</v>
      </c>
      <c r="B255" s="42" t="s">
        <v>1154</v>
      </c>
      <c r="C255" s="42">
        <v>4.8055000000000003</v>
      </c>
      <c r="D255" s="42">
        <v>-74.443472220000004</v>
      </c>
      <c r="E255" s="42">
        <v>1850</v>
      </c>
      <c r="F255" s="42" t="s">
        <v>625</v>
      </c>
      <c r="G255" s="42" t="s">
        <v>73</v>
      </c>
      <c r="H255" s="44">
        <v>8.6999999999999993</v>
      </c>
      <c r="I255" s="42">
        <v>2003</v>
      </c>
      <c r="J255" s="42">
        <v>9</v>
      </c>
      <c r="K255" s="44">
        <v>8.8000000000000007</v>
      </c>
      <c r="L255" s="42">
        <v>2012</v>
      </c>
      <c r="M255" s="42">
        <v>1</v>
      </c>
      <c r="N255" s="44">
        <v>8.8000000000000007</v>
      </c>
      <c r="O255" s="42">
        <v>2012</v>
      </c>
      <c r="P255" s="42">
        <v>6</v>
      </c>
      <c r="Q255" s="44">
        <v>10</v>
      </c>
      <c r="R255" s="42">
        <v>2009</v>
      </c>
      <c r="S255" s="42">
        <v>16</v>
      </c>
      <c r="T255" s="44">
        <v>10.199999999999999</v>
      </c>
      <c r="U255" s="42">
        <v>2006</v>
      </c>
      <c r="V255" s="42">
        <v>30</v>
      </c>
      <c r="W255" s="44">
        <v>10.4</v>
      </c>
      <c r="X255" s="42">
        <v>2004</v>
      </c>
      <c r="Y255" s="42">
        <v>26</v>
      </c>
      <c r="Z255" s="44">
        <v>9.8000000000000007</v>
      </c>
      <c r="AA255" s="42">
        <v>2011</v>
      </c>
      <c r="AB255" s="42">
        <v>22</v>
      </c>
      <c r="AC255" s="44">
        <v>8.1999999999999993</v>
      </c>
      <c r="AD255" s="42">
        <v>2010</v>
      </c>
      <c r="AE255" s="42">
        <v>9</v>
      </c>
      <c r="AF255" s="44">
        <v>10.199999999999999</v>
      </c>
      <c r="AG255" s="42">
        <v>2011</v>
      </c>
      <c r="AH255" s="42">
        <v>6</v>
      </c>
      <c r="AI255" s="44">
        <v>10.6</v>
      </c>
      <c r="AJ255" s="42">
        <v>1991</v>
      </c>
      <c r="AK255" s="42">
        <v>25</v>
      </c>
      <c r="AL255" s="44">
        <v>10.199999999999999</v>
      </c>
      <c r="AM255" s="42">
        <v>2007</v>
      </c>
      <c r="AN255" s="42">
        <v>4</v>
      </c>
      <c r="AO255" s="44">
        <v>9.4</v>
      </c>
      <c r="AP255" s="42">
        <v>2011</v>
      </c>
      <c r="AQ255" s="42">
        <v>8</v>
      </c>
    </row>
    <row r="256" spans="1:43" ht="14.45" customHeight="1" x14ac:dyDescent="0.2">
      <c r="A256" s="42">
        <v>26025090</v>
      </c>
      <c r="B256" s="42" t="s">
        <v>1155</v>
      </c>
      <c r="C256" s="42">
        <v>2.5847500000000001</v>
      </c>
      <c r="D256" s="42">
        <v>-76.561833332999996</v>
      </c>
      <c r="E256" s="42">
        <v>1850</v>
      </c>
      <c r="F256" s="42" t="s">
        <v>337</v>
      </c>
      <c r="G256" s="42" t="s">
        <v>181</v>
      </c>
      <c r="H256" s="44">
        <v>8</v>
      </c>
      <c r="I256" s="42">
        <v>1993</v>
      </c>
      <c r="J256" s="42">
        <v>4</v>
      </c>
      <c r="K256" s="44">
        <v>8.8000000000000007</v>
      </c>
      <c r="L256" s="42">
        <v>1989</v>
      </c>
      <c r="M256" s="42">
        <v>28</v>
      </c>
      <c r="N256" s="44">
        <v>10</v>
      </c>
      <c r="O256" s="42">
        <v>1978</v>
      </c>
      <c r="P256" s="42">
        <v>20</v>
      </c>
      <c r="Q256" s="44">
        <v>8.8000000000000007</v>
      </c>
      <c r="R256" s="42">
        <v>1987</v>
      </c>
      <c r="S256" s="42">
        <v>12</v>
      </c>
      <c r="T256" s="44">
        <v>9.8000000000000007</v>
      </c>
      <c r="U256" s="42">
        <v>1992</v>
      </c>
      <c r="V256" s="42">
        <v>22</v>
      </c>
      <c r="W256" s="44">
        <v>9</v>
      </c>
      <c r="X256" s="42">
        <v>1985</v>
      </c>
      <c r="Y256" s="42">
        <v>30</v>
      </c>
      <c r="Z256" s="44">
        <v>10</v>
      </c>
      <c r="AA256" s="42">
        <v>1999</v>
      </c>
      <c r="AB256" s="42">
        <v>16</v>
      </c>
      <c r="AC256" s="44">
        <v>9.1999999999999993</v>
      </c>
      <c r="AD256" s="42">
        <v>1985</v>
      </c>
      <c r="AE256" s="42">
        <v>31</v>
      </c>
      <c r="AF256" s="44">
        <v>10</v>
      </c>
      <c r="AG256" s="42">
        <v>1985</v>
      </c>
      <c r="AH256" s="42">
        <v>21</v>
      </c>
      <c r="AI256" s="44">
        <v>10</v>
      </c>
      <c r="AJ256" s="42">
        <v>1985</v>
      </c>
      <c r="AK256" s="42">
        <v>29</v>
      </c>
      <c r="AL256" s="44">
        <v>9.8000000000000007</v>
      </c>
      <c r="AM256" s="42">
        <v>1985</v>
      </c>
      <c r="AN256" s="42">
        <v>3</v>
      </c>
      <c r="AO256" s="44">
        <v>7.8</v>
      </c>
      <c r="AP256" s="42">
        <v>1988</v>
      </c>
      <c r="AQ256" s="42">
        <v>29</v>
      </c>
    </row>
    <row r="257" spans="1:43" ht="14.45" customHeight="1" x14ac:dyDescent="0.2">
      <c r="A257" s="42">
        <v>52025090</v>
      </c>
      <c r="B257" s="42" t="s">
        <v>1156</v>
      </c>
      <c r="C257" s="42">
        <v>2.1938333330000002</v>
      </c>
      <c r="D257" s="42">
        <v>-76.750333330000004</v>
      </c>
      <c r="E257" s="42">
        <v>1870</v>
      </c>
      <c r="F257" s="42" t="s">
        <v>280</v>
      </c>
      <c r="G257" s="42" t="s">
        <v>181</v>
      </c>
      <c r="H257" s="44">
        <v>9.4</v>
      </c>
      <c r="I257" s="42">
        <v>1986</v>
      </c>
      <c r="J257" s="42">
        <v>1</v>
      </c>
      <c r="K257" s="44">
        <v>9.6</v>
      </c>
      <c r="L257" s="42">
        <v>1983</v>
      </c>
      <c r="M257" s="42">
        <v>6</v>
      </c>
      <c r="N257" s="44">
        <v>9.1999999999999993</v>
      </c>
      <c r="O257" s="42">
        <v>1983</v>
      </c>
      <c r="P257" s="42">
        <v>18</v>
      </c>
      <c r="Q257" s="44">
        <v>9</v>
      </c>
      <c r="R257" s="42">
        <v>1994</v>
      </c>
      <c r="S257" s="42">
        <v>24</v>
      </c>
      <c r="T257" s="44">
        <v>9</v>
      </c>
      <c r="U257" s="42">
        <v>1983</v>
      </c>
      <c r="V257" s="42">
        <v>9</v>
      </c>
      <c r="W257" s="44">
        <v>9.6</v>
      </c>
      <c r="X257" s="42">
        <v>1983</v>
      </c>
      <c r="Y257" s="42">
        <v>7</v>
      </c>
      <c r="Z257" s="44">
        <v>10</v>
      </c>
      <c r="AA257" s="42">
        <v>1983</v>
      </c>
      <c r="AB257" s="42">
        <v>2</v>
      </c>
      <c r="AC257" s="44">
        <v>10</v>
      </c>
      <c r="AD257" s="42">
        <v>1983</v>
      </c>
      <c r="AE257" s="42">
        <v>28</v>
      </c>
      <c r="AF257" s="44">
        <v>10.199999999999999</v>
      </c>
      <c r="AG257" s="42">
        <v>1989</v>
      </c>
      <c r="AH257" s="42">
        <v>13</v>
      </c>
      <c r="AI257" s="44">
        <v>10</v>
      </c>
      <c r="AJ257" s="42">
        <v>1982</v>
      </c>
      <c r="AK257" s="42">
        <v>16</v>
      </c>
      <c r="AL257" s="44">
        <v>10</v>
      </c>
      <c r="AM257" s="42">
        <v>1989</v>
      </c>
      <c r="AN257" s="42">
        <v>27</v>
      </c>
      <c r="AO257" s="44">
        <v>6.6</v>
      </c>
      <c r="AP257" s="42">
        <v>1983</v>
      </c>
      <c r="AQ257" s="42">
        <v>7</v>
      </c>
    </row>
    <row r="258" spans="1:43" ht="14.45" customHeight="1" x14ac:dyDescent="0.2">
      <c r="A258" s="42">
        <v>52045040</v>
      </c>
      <c r="B258" s="42" t="s">
        <v>1157</v>
      </c>
      <c r="C258" s="42">
        <v>1.5491666669999999</v>
      </c>
      <c r="D258" s="42">
        <v>-77.267499999999998</v>
      </c>
      <c r="E258" s="42">
        <v>1875</v>
      </c>
      <c r="F258" s="42" t="s">
        <v>283</v>
      </c>
      <c r="G258" s="42" t="s">
        <v>82</v>
      </c>
      <c r="H258" s="44">
        <v>10.199999999999999</v>
      </c>
      <c r="I258" s="42">
        <v>1984</v>
      </c>
      <c r="J258" s="42">
        <v>4</v>
      </c>
      <c r="K258" s="44">
        <v>10</v>
      </c>
      <c r="L258" s="42">
        <v>1984</v>
      </c>
      <c r="M258" s="42">
        <v>16</v>
      </c>
      <c r="N258" s="44">
        <v>11</v>
      </c>
      <c r="O258" s="42">
        <v>1989</v>
      </c>
      <c r="P258" s="42">
        <v>28</v>
      </c>
      <c r="Q258" s="44">
        <v>9</v>
      </c>
      <c r="R258" s="42">
        <v>2009</v>
      </c>
      <c r="S258" s="42">
        <v>8</v>
      </c>
      <c r="T258" s="44">
        <v>10.199999999999999</v>
      </c>
      <c r="U258" s="42">
        <v>1984</v>
      </c>
      <c r="V258" s="42">
        <v>30</v>
      </c>
      <c r="W258" s="44">
        <v>11.3</v>
      </c>
      <c r="X258" s="42">
        <v>1984</v>
      </c>
      <c r="Y258" s="42">
        <v>3</v>
      </c>
      <c r="Z258" s="44">
        <v>11</v>
      </c>
      <c r="AA258" s="42">
        <v>2003</v>
      </c>
      <c r="AB258" s="42">
        <v>16</v>
      </c>
      <c r="AC258" s="44">
        <v>11</v>
      </c>
      <c r="AD258" s="42">
        <v>2006</v>
      </c>
      <c r="AE258" s="42">
        <v>21</v>
      </c>
      <c r="AF258" s="44">
        <v>10</v>
      </c>
      <c r="AG258" s="42">
        <v>1984</v>
      </c>
      <c r="AH258" s="42">
        <v>27</v>
      </c>
      <c r="AI258" s="44">
        <v>10</v>
      </c>
      <c r="AJ258" s="42">
        <v>1984</v>
      </c>
      <c r="AK258" s="42">
        <v>6</v>
      </c>
      <c r="AL258" s="44">
        <v>10</v>
      </c>
      <c r="AM258" s="42">
        <v>1983</v>
      </c>
      <c r="AN258" s="42">
        <v>24</v>
      </c>
      <c r="AO258" s="44">
        <v>10.199999999999999</v>
      </c>
      <c r="AP258" s="42">
        <v>1983</v>
      </c>
      <c r="AQ258" s="42">
        <v>11</v>
      </c>
    </row>
    <row r="259" spans="1:43" ht="14.45" customHeight="1" x14ac:dyDescent="0.2">
      <c r="A259" s="42">
        <v>23195180</v>
      </c>
      <c r="B259" s="42" t="s">
        <v>1158</v>
      </c>
      <c r="C259" s="42">
        <v>7.7352777780000004</v>
      </c>
      <c r="D259" s="42">
        <v>-73.051666670000003</v>
      </c>
      <c r="E259" s="42">
        <v>1882</v>
      </c>
      <c r="F259" s="42" t="s">
        <v>751</v>
      </c>
      <c r="G259" s="42" t="s">
        <v>300</v>
      </c>
      <c r="H259" s="44">
        <v>5</v>
      </c>
      <c r="I259" s="42">
        <v>1979</v>
      </c>
      <c r="J259" s="42">
        <v>5</v>
      </c>
      <c r="K259" s="44">
        <v>4.5999999999999996</v>
      </c>
      <c r="L259" s="42">
        <v>1991</v>
      </c>
      <c r="M259" s="42">
        <v>2</v>
      </c>
      <c r="N259" s="44">
        <v>6.2</v>
      </c>
      <c r="O259" s="42">
        <v>1990</v>
      </c>
      <c r="P259" s="42">
        <v>1</v>
      </c>
      <c r="Q259" s="44">
        <v>1.4</v>
      </c>
      <c r="R259" s="42">
        <v>2016</v>
      </c>
      <c r="S259" s="42">
        <v>10</v>
      </c>
      <c r="T259" s="44">
        <v>9.4</v>
      </c>
      <c r="U259" s="42">
        <v>1985</v>
      </c>
      <c r="V259" s="42">
        <v>17</v>
      </c>
      <c r="W259" s="44">
        <v>7.2</v>
      </c>
      <c r="X259" s="42">
        <v>1985</v>
      </c>
      <c r="Y259" s="42">
        <v>30</v>
      </c>
      <c r="Z259" s="44">
        <v>7</v>
      </c>
      <c r="AA259" s="42">
        <v>1989</v>
      </c>
      <c r="AB259" s="42">
        <v>3</v>
      </c>
      <c r="AC259" s="44">
        <v>6.4</v>
      </c>
      <c r="AD259" s="42">
        <v>1990</v>
      </c>
      <c r="AE259" s="42">
        <v>2</v>
      </c>
      <c r="AF259" s="44">
        <v>9.8000000000000007</v>
      </c>
      <c r="AG259" s="42">
        <v>1996</v>
      </c>
      <c r="AH259" s="42">
        <v>23</v>
      </c>
      <c r="AI259" s="44">
        <v>9</v>
      </c>
      <c r="AJ259" s="42">
        <v>1992</v>
      </c>
      <c r="AK259" s="42">
        <v>13</v>
      </c>
      <c r="AL259" s="44">
        <v>8.6</v>
      </c>
      <c r="AM259" s="42">
        <v>1986</v>
      </c>
      <c r="AN259" s="42">
        <v>30</v>
      </c>
      <c r="AO259" s="44">
        <v>5.2</v>
      </c>
      <c r="AP259" s="42">
        <v>1985</v>
      </c>
      <c r="AQ259" s="42">
        <v>21</v>
      </c>
    </row>
    <row r="260" spans="1:43" ht="14.45" customHeight="1" x14ac:dyDescent="0.2">
      <c r="A260" s="42">
        <v>23195200</v>
      </c>
      <c r="B260" s="42" t="s">
        <v>1159</v>
      </c>
      <c r="C260" s="42">
        <v>7.4738899999999999</v>
      </c>
      <c r="D260" s="42">
        <v>-72.991110000000006</v>
      </c>
      <c r="E260" s="42">
        <v>1885</v>
      </c>
      <c r="F260" s="42" t="s">
        <v>319</v>
      </c>
      <c r="G260" s="42" t="s">
        <v>49</v>
      </c>
      <c r="H260" s="44">
        <v>6</v>
      </c>
      <c r="I260" s="42">
        <v>1981</v>
      </c>
      <c r="J260" s="42">
        <v>1</v>
      </c>
      <c r="K260" s="44">
        <v>7.6</v>
      </c>
      <c r="L260" s="42">
        <v>1991</v>
      </c>
      <c r="M260" s="42">
        <v>9</v>
      </c>
      <c r="N260" s="44">
        <v>6</v>
      </c>
      <c r="O260" s="42">
        <v>1983</v>
      </c>
      <c r="P260" s="42">
        <v>3</v>
      </c>
      <c r="Q260" s="44">
        <v>8.6</v>
      </c>
      <c r="R260" s="42">
        <v>1993</v>
      </c>
      <c r="S260" s="42">
        <v>12</v>
      </c>
      <c r="T260" s="44">
        <v>10</v>
      </c>
      <c r="U260" s="42">
        <v>2003</v>
      </c>
      <c r="V260" s="42">
        <v>9</v>
      </c>
      <c r="W260" s="44">
        <v>8</v>
      </c>
      <c r="X260" s="42">
        <v>1987</v>
      </c>
      <c r="Y260" s="42">
        <v>25</v>
      </c>
      <c r="Z260" s="44">
        <v>7</v>
      </c>
      <c r="AA260" s="42">
        <v>2003</v>
      </c>
      <c r="AB260" s="42">
        <v>24</v>
      </c>
      <c r="AC260" s="44">
        <v>7</v>
      </c>
      <c r="AD260" s="42">
        <v>1991</v>
      </c>
      <c r="AE260" s="42">
        <v>1</v>
      </c>
      <c r="AF260" s="44">
        <v>10</v>
      </c>
      <c r="AG260" s="42">
        <v>1983</v>
      </c>
      <c r="AH260" s="42">
        <v>9</v>
      </c>
      <c r="AI260" s="44">
        <v>7.2</v>
      </c>
      <c r="AJ260" s="42">
        <v>1984</v>
      </c>
      <c r="AK260" s="42">
        <v>12</v>
      </c>
      <c r="AL260" s="44">
        <v>9.1999999999999993</v>
      </c>
      <c r="AM260" s="42">
        <v>2007</v>
      </c>
      <c r="AN260" s="42">
        <v>15</v>
      </c>
      <c r="AO260" s="44">
        <v>6.4</v>
      </c>
      <c r="AP260" s="42">
        <v>1982</v>
      </c>
      <c r="AQ260" s="42">
        <v>16</v>
      </c>
    </row>
    <row r="261" spans="1:43" ht="14.45" customHeight="1" x14ac:dyDescent="0.2">
      <c r="A261" s="42">
        <v>24015280</v>
      </c>
      <c r="B261" s="42" t="s">
        <v>1160</v>
      </c>
      <c r="C261" s="42">
        <v>5.9447222220000002</v>
      </c>
      <c r="D261" s="42">
        <v>-73.343611109999998</v>
      </c>
      <c r="E261" s="42">
        <v>1900</v>
      </c>
      <c r="F261" s="42" t="s">
        <v>784</v>
      </c>
      <c r="G261" s="42" t="s">
        <v>49</v>
      </c>
      <c r="H261" s="44">
        <v>7.4</v>
      </c>
      <c r="I261" s="42">
        <v>2015</v>
      </c>
      <c r="J261" s="42">
        <v>7</v>
      </c>
      <c r="K261" s="44">
        <v>8.1999999999999993</v>
      </c>
      <c r="L261" s="42">
        <v>1990</v>
      </c>
      <c r="M261" s="42">
        <v>23</v>
      </c>
      <c r="N261" s="44">
        <v>9.4</v>
      </c>
      <c r="O261" s="42">
        <v>1991</v>
      </c>
      <c r="P261" s="42">
        <v>21</v>
      </c>
      <c r="Q261" s="44">
        <v>9.8000000000000007</v>
      </c>
      <c r="R261" s="42">
        <v>1980</v>
      </c>
      <c r="S261" s="42">
        <v>30</v>
      </c>
      <c r="T261" s="44">
        <v>10</v>
      </c>
      <c r="U261" s="42">
        <v>1980</v>
      </c>
      <c r="V261" s="42">
        <v>17</v>
      </c>
      <c r="W261" s="44">
        <v>9</v>
      </c>
      <c r="X261" s="42">
        <v>1980</v>
      </c>
      <c r="Y261" s="42">
        <v>22</v>
      </c>
      <c r="Z261" s="44">
        <v>9</v>
      </c>
      <c r="AA261" s="42">
        <v>1985</v>
      </c>
      <c r="AB261" s="42">
        <v>11</v>
      </c>
      <c r="AC261" s="44">
        <v>9.4</v>
      </c>
      <c r="AD261" s="42">
        <v>1998</v>
      </c>
      <c r="AE261" s="42">
        <v>17</v>
      </c>
      <c r="AF261" s="44">
        <v>8</v>
      </c>
      <c r="AG261" s="42">
        <v>1985</v>
      </c>
      <c r="AH261" s="42">
        <v>2</v>
      </c>
      <c r="AI261" s="44">
        <v>9</v>
      </c>
      <c r="AJ261" s="42">
        <v>1991</v>
      </c>
      <c r="AK261" s="42">
        <v>21</v>
      </c>
      <c r="AL261" s="44">
        <v>10</v>
      </c>
      <c r="AM261" s="42">
        <v>1984</v>
      </c>
      <c r="AN261" s="42">
        <v>14</v>
      </c>
      <c r="AO261" s="44">
        <v>8</v>
      </c>
      <c r="AP261" s="42">
        <v>1985</v>
      </c>
      <c r="AQ261" s="42">
        <v>17</v>
      </c>
    </row>
    <row r="262" spans="1:43" ht="14.45" customHeight="1" x14ac:dyDescent="0.2">
      <c r="A262" s="42">
        <v>21205670</v>
      </c>
      <c r="B262" s="42" t="s">
        <v>1161</v>
      </c>
      <c r="C262" s="42">
        <v>4.7679879999999999</v>
      </c>
      <c r="D262" s="42">
        <v>-74.434235000000001</v>
      </c>
      <c r="E262" s="42">
        <v>1915</v>
      </c>
      <c r="F262" s="42" t="s">
        <v>625</v>
      </c>
      <c r="G262" s="42" t="s">
        <v>73</v>
      </c>
      <c r="H262" s="44">
        <v>9</v>
      </c>
      <c r="I262" s="42">
        <v>1996</v>
      </c>
      <c r="J262" s="42">
        <v>12</v>
      </c>
      <c r="K262" s="44">
        <v>10</v>
      </c>
      <c r="L262" s="42">
        <v>1996</v>
      </c>
      <c r="M262" s="42">
        <v>27</v>
      </c>
      <c r="N262" s="44">
        <v>10.199999999999999</v>
      </c>
      <c r="O262" s="42">
        <v>1999</v>
      </c>
      <c r="P262" s="42">
        <v>7</v>
      </c>
      <c r="Q262" s="44">
        <v>10.6</v>
      </c>
      <c r="R262" s="42">
        <v>1996</v>
      </c>
      <c r="S262" s="42">
        <v>27</v>
      </c>
      <c r="T262" s="44">
        <v>9</v>
      </c>
      <c r="U262" s="42">
        <v>1996</v>
      </c>
      <c r="V262" s="42">
        <v>16</v>
      </c>
      <c r="W262" s="44">
        <v>10</v>
      </c>
      <c r="X262" s="42">
        <v>1992</v>
      </c>
      <c r="Y262" s="42">
        <v>24</v>
      </c>
      <c r="Z262" s="44">
        <v>9.4</v>
      </c>
      <c r="AA262" s="42">
        <v>1999</v>
      </c>
      <c r="AB262" s="42">
        <v>12</v>
      </c>
      <c r="AC262" s="44">
        <v>9.1999999999999993</v>
      </c>
      <c r="AD262" s="42">
        <v>1995</v>
      </c>
      <c r="AE262" s="42">
        <v>19</v>
      </c>
      <c r="AF262" s="44">
        <v>10.199999999999999</v>
      </c>
      <c r="AG262" s="42">
        <v>1994</v>
      </c>
      <c r="AH262" s="42">
        <v>12</v>
      </c>
      <c r="AI262" s="44">
        <v>10</v>
      </c>
      <c r="AJ262" s="42">
        <v>2006</v>
      </c>
      <c r="AK262" s="42">
        <v>6</v>
      </c>
      <c r="AL262" s="44">
        <v>9.4</v>
      </c>
      <c r="AM262" s="42">
        <v>2010</v>
      </c>
      <c r="AN262" s="42">
        <v>13</v>
      </c>
      <c r="AO262" s="44">
        <v>9.8000000000000007</v>
      </c>
      <c r="AP262" s="42">
        <v>2010</v>
      </c>
      <c r="AQ262" s="42">
        <v>6</v>
      </c>
    </row>
    <row r="263" spans="1:43" ht="14.45" customHeight="1" x14ac:dyDescent="0.2">
      <c r="A263" s="42">
        <v>27015260</v>
      </c>
      <c r="B263" s="42" t="s">
        <v>1162</v>
      </c>
      <c r="C263" s="42">
        <v>6.0483611110000002</v>
      </c>
      <c r="D263" s="42">
        <v>-75.624666669999996</v>
      </c>
      <c r="E263" s="42">
        <v>1923</v>
      </c>
      <c r="F263" s="42" t="s">
        <v>116</v>
      </c>
      <c r="G263" s="42" t="s">
        <v>57</v>
      </c>
      <c r="H263" s="44">
        <v>8.8000000000000007</v>
      </c>
      <c r="I263" s="42">
        <v>2001</v>
      </c>
      <c r="J263" s="42">
        <v>3</v>
      </c>
      <c r="K263" s="44">
        <v>8.4</v>
      </c>
      <c r="L263" s="42">
        <v>2001</v>
      </c>
      <c r="M263" s="42">
        <v>12</v>
      </c>
      <c r="N263" s="44">
        <v>8.4</v>
      </c>
      <c r="O263" s="42">
        <v>2001</v>
      </c>
      <c r="P263" s="42">
        <v>13</v>
      </c>
      <c r="Q263" s="44">
        <v>9.4</v>
      </c>
      <c r="R263" s="42">
        <v>2001</v>
      </c>
      <c r="S263" s="42">
        <v>2</v>
      </c>
      <c r="T263" s="44">
        <v>9.4</v>
      </c>
      <c r="U263" s="42">
        <v>2001</v>
      </c>
      <c r="V263" s="42">
        <v>22</v>
      </c>
      <c r="W263" s="44">
        <v>9.8000000000000007</v>
      </c>
      <c r="X263" s="42">
        <v>2000</v>
      </c>
      <c r="Y263" s="42">
        <v>27</v>
      </c>
      <c r="Z263" s="44">
        <v>9</v>
      </c>
      <c r="AA263" s="42">
        <v>2002</v>
      </c>
      <c r="AB263" s="42">
        <v>30</v>
      </c>
      <c r="AC263" s="44">
        <v>9.4</v>
      </c>
      <c r="AD263" s="42">
        <v>2002</v>
      </c>
      <c r="AE263" s="42">
        <v>2</v>
      </c>
      <c r="AF263" s="44">
        <v>9.1999999999999993</v>
      </c>
      <c r="AG263" s="42">
        <v>2002</v>
      </c>
      <c r="AH263" s="42">
        <v>9</v>
      </c>
      <c r="AI263" s="44">
        <v>9.8000000000000007</v>
      </c>
      <c r="AJ263" s="42">
        <v>1999</v>
      </c>
      <c r="AK263" s="42">
        <v>7</v>
      </c>
      <c r="AL263" s="44">
        <v>7.4</v>
      </c>
      <c r="AM263" s="42">
        <v>2016</v>
      </c>
      <c r="AN263" s="42">
        <v>22</v>
      </c>
      <c r="AO263" s="44">
        <v>9.1999999999999993</v>
      </c>
      <c r="AP263" s="42">
        <v>1998</v>
      </c>
      <c r="AQ263" s="42">
        <v>23</v>
      </c>
    </row>
    <row r="264" spans="1:43" ht="14.45" customHeight="1" x14ac:dyDescent="0.2">
      <c r="A264" s="42">
        <v>35075020</v>
      </c>
      <c r="B264" s="42" t="s">
        <v>1163</v>
      </c>
      <c r="C264" s="42">
        <v>5.0222777780000003</v>
      </c>
      <c r="D264" s="42">
        <v>-73.449166669999997</v>
      </c>
      <c r="E264" s="42">
        <v>1930</v>
      </c>
      <c r="F264" s="42" t="s">
        <v>241</v>
      </c>
      <c r="G264" s="42" t="s">
        <v>212</v>
      </c>
      <c r="H264" s="44">
        <v>8</v>
      </c>
      <c r="I264" s="42">
        <v>2010</v>
      </c>
      <c r="J264" s="42">
        <v>4</v>
      </c>
      <c r="K264" s="44">
        <v>8.8000000000000007</v>
      </c>
      <c r="L264" s="42">
        <v>1985</v>
      </c>
      <c r="M264" s="42">
        <v>27</v>
      </c>
      <c r="N264" s="44">
        <v>10.199999999999999</v>
      </c>
      <c r="O264" s="42">
        <v>2016</v>
      </c>
      <c r="P264" s="42">
        <v>13</v>
      </c>
      <c r="Q264" s="44">
        <v>9.1999999999999993</v>
      </c>
      <c r="R264" s="42">
        <v>1985</v>
      </c>
      <c r="S264" s="42">
        <v>13</v>
      </c>
      <c r="T264" s="44">
        <v>7.6</v>
      </c>
      <c r="U264" s="42">
        <v>1984</v>
      </c>
      <c r="V264" s="42">
        <v>20</v>
      </c>
      <c r="W264" s="44">
        <v>8.4</v>
      </c>
      <c r="X264" s="42">
        <v>1985</v>
      </c>
      <c r="Y264" s="42">
        <v>11</v>
      </c>
      <c r="Z264" s="44">
        <v>7.3</v>
      </c>
      <c r="AA264" s="42">
        <v>1985</v>
      </c>
      <c r="AB264" s="42">
        <v>23</v>
      </c>
      <c r="AC264" s="44">
        <v>7</v>
      </c>
      <c r="AD264" s="42">
        <v>1985</v>
      </c>
      <c r="AE264" s="42">
        <v>28</v>
      </c>
      <c r="AF264" s="44">
        <v>7.3</v>
      </c>
      <c r="AG264" s="42">
        <v>1985</v>
      </c>
      <c r="AH264" s="42">
        <v>4</v>
      </c>
      <c r="AI264" s="44">
        <v>9.4</v>
      </c>
      <c r="AJ264" s="42">
        <v>1985</v>
      </c>
      <c r="AK264" s="42">
        <v>14</v>
      </c>
      <c r="AL264" s="44">
        <v>8.4</v>
      </c>
      <c r="AM264" s="42">
        <v>1985</v>
      </c>
      <c r="AN264" s="42">
        <v>25</v>
      </c>
      <c r="AO264" s="44">
        <v>7.2</v>
      </c>
      <c r="AP264" s="42">
        <v>1985</v>
      </c>
      <c r="AQ264" s="42">
        <v>3</v>
      </c>
    </row>
    <row r="265" spans="1:43" ht="14.45" customHeight="1" x14ac:dyDescent="0.2">
      <c r="A265" s="42">
        <v>26135160</v>
      </c>
      <c r="B265" s="42" t="s">
        <v>1164</v>
      </c>
      <c r="C265" s="42">
        <v>4.8416666670000001</v>
      </c>
      <c r="D265" s="42">
        <v>-75.579972220000002</v>
      </c>
      <c r="E265" s="42">
        <v>1947</v>
      </c>
      <c r="F265" s="42" t="s">
        <v>1134</v>
      </c>
      <c r="G265" s="42" t="s">
        <v>64</v>
      </c>
      <c r="H265" s="44">
        <v>11</v>
      </c>
      <c r="I265" s="42">
        <v>2004</v>
      </c>
      <c r="J265" s="42">
        <v>19</v>
      </c>
      <c r="K265" s="44">
        <v>11.2</v>
      </c>
      <c r="L265" s="42">
        <v>2007</v>
      </c>
      <c r="M265" s="42">
        <v>8</v>
      </c>
      <c r="N265" s="44">
        <v>11.4</v>
      </c>
      <c r="O265" s="42">
        <v>1997</v>
      </c>
      <c r="P265" s="42">
        <v>14</v>
      </c>
      <c r="Q265" s="44">
        <v>11</v>
      </c>
      <c r="R265" s="42">
        <v>1995</v>
      </c>
      <c r="S265" s="42">
        <v>15</v>
      </c>
      <c r="T265" s="44">
        <v>11.2</v>
      </c>
      <c r="U265" s="42">
        <v>2008</v>
      </c>
      <c r="V265" s="42">
        <v>16</v>
      </c>
      <c r="W265" s="44">
        <v>11.4</v>
      </c>
      <c r="X265" s="42">
        <v>1999</v>
      </c>
      <c r="Y265" s="42">
        <v>29</v>
      </c>
      <c r="Z265" s="44">
        <v>11</v>
      </c>
      <c r="AA265" s="42">
        <v>2001</v>
      </c>
      <c r="AB265" s="42">
        <v>27</v>
      </c>
      <c r="AC265" s="44">
        <v>11.6</v>
      </c>
      <c r="AD265" s="42">
        <v>1999</v>
      </c>
      <c r="AE265" s="42">
        <v>23</v>
      </c>
      <c r="AF265" s="44">
        <v>11.4</v>
      </c>
      <c r="AG265" s="42">
        <v>2000</v>
      </c>
      <c r="AH265" s="42">
        <v>21</v>
      </c>
      <c r="AI265" s="44">
        <v>10.6</v>
      </c>
      <c r="AJ265" s="42">
        <v>1994</v>
      </c>
      <c r="AK265" s="42">
        <v>19</v>
      </c>
      <c r="AL265" s="44">
        <v>11.2</v>
      </c>
      <c r="AM265" s="42">
        <v>2007</v>
      </c>
      <c r="AN265" s="42">
        <v>10</v>
      </c>
      <c r="AO265" s="44">
        <v>11</v>
      </c>
      <c r="AP265" s="42">
        <v>1999</v>
      </c>
      <c r="AQ265" s="42">
        <v>28</v>
      </c>
    </row>
    <row r="266" spans="1:43" ht="14.45" customHeight="1" x14ac:dyDescent="0.2">
      <c r="A266" s="42">
        <v>23085160</v>
      </c>
      <c r="B266" s="42" t="s">
        <v>1165</v>
      </c>
      <c r="C266" s="42">
        <v>6.3119444439999999</v>
      </c>
      <c r="D266" s="42">
        <v>-75.253555559999995</v>
      </c>
      <c r="E266" s="42">
        <v>1965</v>
      </c>
      <c r="F266" s="42" t="s">
        <v>487</v>
      </c>
      <c r="G266" s="42" t="s">
        <v>57</v>
      </c>
      <c r="H266" s="44">
        <v>6.2</v>
      </c>
      <c r="I266" s="42">
        <v>2003</v>
      </c>
      <c r="J266" s="42">
        <v>21</v>
      </c>
      <c r="K266" s="44">
        <v>6.6</v>
      </c>
      <c r="L266" s="42">
        <v>1992</v>
      </c>
      <c r="M266" s="42">
        <v>13</v>
      </c>
      <c r="N266" s="44">
        <v>6.8</v>
      </c>
      <c r="O266" s="42">
        <v>1980</v>
      </c>
      <c r="P266" s="42">
        <v>1</v>
      </c>
      <c r="Q266" s="44">
        <v>7</v>
      </c>
      <c r="R266" s="42">
        <v>1980</v>
      </c>
      <c r="S266" s="42">
        <v>12</v>
      </c>
      <c r="T266" s="44">
        <v>6</v>
      </c>
      <c r="U266" s="42">
        <v>1980</v>
      </c>
      <c r="V266" s="42">
        <v>29</v>
      </c>
      <c r="W266" s="44">
        <v>7.4</v>
      </c>
      <c r="X266" s="42">
        <v>1991</v>
      </c>
      <c r="Y266" s="42">
        <v>30</v>
      </c>
      <c r="Z266" s="44">
        <v>6</v>
      </c>
      <c r="AA266" s="42">
        <v>1979</v>
      </c>
      <c r="AB266" s="42">
        <v>8</v>
      </c>
      <c r="AC266" s="44">
        <v>6.2</v>
      </c>
      <c r="AD266" s="42">
        <v>1978</v>
      </c>
      <c r="AE266" s="42">
        <v>19</v>
      </c>
      <c r="AF266" s="44">
        <v>7.2</v>
      </c>
      <c r="AG266" s="42">
        <v>1991</v>
      </c>
      <c r="AH266" s="42">
        <v>13</v>
      </c>
      <c r="AI266" s="44">
        <v>8</v>
      </c>
      <c r="AJ266" s="42">
        <v>2019</v>
      </c>
      <c r="AK266" s="42">
        <v>22</v>
      </c>
      <c r="AL266" s="44">
        <v>6.8</v>
      </c>
      <c r="AM266" s="42">
        <v>1992</v>
      </c>
      <c r="AN266" s="42">
        <v>9</v>
      </c>
      <c r="AO266" s="44">
        <v>7.4</v>
      </c>
      <c r="AP266" s="42">
        <v>2004</v>
      </c>
      <c r="AQ266" s="42">
        <v>28</v>
      </c>
    </row>
    <row r="267" spans="1:43" ht="14.45" customHeight="1" x14ac:dyDescent="0.2">
      <c r="A267" s="42">
        <v>26145020</v>
      </c>
      <c r="B267" s="42" t="s">
        <v>1166</v>
      </c>
      <c r="C267" s="42">
        <v>5.2759444440000003</v>
      </c>
      <c r="D267" s="42">
        <v>-75.800138888999996</v>
      </c>
      <c r="E267" s="42">
        <v>1984</v>
      </c>
      <c r="F267" s="42" t="s">
        <v>351</v>
      </c>
      <c r="G267" s="42" t="s">
        <v>116</v>
      </c>
      <c r="H267" s="44">
        <v>10</v>
      </c>
      <c r="I267" s="42">
        <v>1981</v>
      </c>
      <c r="J267" s="42">
        <v>2</v>
      </c>
      <c r="K267" s="44">
        <v>10.199999999999999</v>
      </c>
      <c r="L267" s="42">
        <v>1990</v>
      </c>
      <c r="M267" s="42">
        <v>17</v>
      </c>
      <c r="N267" s="44">
        <v>10.4</v>
      </c>
      <c r="O267" s="42">
        <v>1984</v>
      </c>
      <c r="P267" s="42">
        <v>12</v>
      </c>
      <c r="Q267" s="44">
        <v>9</v>
      </c>
      <c r="R267" s="42">
        <v>1985</v>
      </c>
      <c r="S267" s="42">
        <v>22</v>
      </c>
      <c r="T267" s="44">
        <v>8.8000000000000007</v>
      </c>
      <c r="U267" s="42">
        <v>1989</v>
      </c>
      <c r="V267" s="42">
        <v>29</v>
      </c>
      <c r="W267" s="44">
        <v>7.2</v>
      </c>
      <c r="X267" s="42">
        <v>1997</v>
      </c>
      <c r="Y267" s="42">
        <v>30</v>
      </c>
      <c r="Z267" s="44">
        <v>7.2</v>
      </c>
      <c r="AA267" s="42">
        <v>1997</v>
      </c>
      <c r="AB267" s="42">
        <v>31</v>
      </c>
      <c r="AC267" s="44">
        <v>9</v>
      </c>
      <c r="AD267" s="42">
        <v>1997</v>
      </c>
      <c r="AE267" s="42">
        <v>28</v>
      </c>
      <c r="AF267" s="44">
        <v>6</v>
      </c>
      <c r="AG267" s="42">
        <v>1985</v>
      </c>
      <c r="AH267" s="42">
        <v>24</v>
      </c>
      <c r="AI267" s="44">
        <v>10</v>
      </c>
      <c r="AJ267" s="42">
        <v>1994</v>
      </c>
      <c r="AK267" s="42">
        <v>18</v>
      </c>
      <c r="AL267" s="44">
        <v>9</v>
      </c>
      <c r="AM267" s="42">
        <v>1997</v>
      </c>
      <c r="AN267" s="42">
        <v>1</v>
      </c>
      <c r="AO267" s="44">
        <v>10</v>
      </c>
      <c r="AP267" s="42">
        <v>1980</v>
      </c>
      <c r="AQ267" s="42">
        <v>30</v>
      </c>
    </row>
    <row r="268" spans="1:43" ht="14.45" customHeight="1" x14ac:dyDescent="0.2">
      <c r="A268" s="42">
        <v>11025010</v>
      </c>
      <c r="B268" s="42" t="s">
        <v>1167</v>
      </c>
      <c r="C268" s="42">
        <v>5.8783055559999999</v>
      </c>
      <c r="D268" s="42">
        <v>-76.084333330000007</v>
      </c>
      <c r="E268" s="42">
        <v>2018</v>
      </c>
      <c r="F268" s="42" t="s">
        <v>458</v>
      </c>
      <c r="G268" s="42" t="s">
        <v>57</v>
      </c>
      <c r="H268" s="44">
        <v>8.8000000000000007</v>
      </c>
      <c r="I268" s="42">
        <v>2000</v>
      </c>
      <c r="J268" s="42">
        <v>18</v>
      </c>
      <c r="K268" s="44">
        <v>8.1999999999999993</v>
      </c>
      <c r="L268" s="42">
        <v>1985</v>
      </c>
      <c r="M268" s="42">
        <v>5</v>
      </c>
      <c r="N268" s="44">
        <v>8.4</v>
      </c>
      <c r="O268" s="42">
        <v>2003</v>
      </c>
      <c r="P268" s="42">
        <v>6</v>
      </c>
      <c r="Q268" s="44">
        <v>10</v>
      </c>
      <c r="R268" s="42">
        <v>2001</v>
      </c>
      <c r="S268" s="42">
        <v>6</v>
      </c>
      <c r="T268" s="44">
        <v>9.1999999999999993</v>
      </c>
      <c r="U268" s="42">
        <v>2002</v>
      </c>
      <c r="V268" s="42">
        <v>27</v>
      </c>
      <c r="W268" s="44">
        <v>10.199999999999999</v>
      </c>
      <c r="X268" s="42">
        <v>1990</v>
      </c>
      <c r="Y268" s="42">
        <v>2</v>
      </c>
      <c r="Z268" s="44">
        <v>9.1999999999999993</v>
      </c>
      <c r="AA268" s="42">
        <v>1986</v>
      </c>
      <c r="AB268" s="42">
        <v>26</v>
      </c>
      <c r="AC268" s="44">
        <v>9.4</v>
      </c>
      <c r="AD268" s="42">
        <v>1982</v>
      </c>
      <c r="AE268" s="42">
        <v>5</v>
      </c>
      <c r="AF268" s="44">
        <v>8.8000000000000007</v>
      </c>
      <c r="AG268" s="42">
        <v>1991</v>
      </c>
      <c r="AH268" s="42">
        <v>13</v>
      </c>
      <c r="AI268" s="44">
        <v>8.4</v>
      </c>
      <c r="AJ268" s="42">
        <v>1989</v>
      </c>
      <c r="AK268" s="42">
        <v>28</v>
      </c>
      <c r="AL268" s="44">
        <v>8.4</v>
      </c>
      <c r="AM268" s="42">
        <v>2001</v>
      </c>
      <c r="AN268" s="42">
        <v>3</v>
      </c>
      <c r="AO268" s="44">
        <v>9</v>
      </c>
      <c r="AP268" s="42">
        <v>2003</v>
      </c>
      <c r="AQ268" s="42">
        <v>6</v>
      </c>
    </row>
    <row r="269" spans="1:43" ht="14.45" customHeight="1" x14ac:dyDescent="0.2">
      <c r="A269" s="42">
        <v>23065120</v>
      </c>
      <c r="B269" s="42" t="s">
        <v>1168</v>
      </c>
      <c r="C269" s="42">
        <v>5.1378870000000001</v>
      </c>
      <c r="D269" s="42">
        <v>-74.136578</v>
      </c>
      <c r="E269" s="42">
        <v>2018</v>
      </c>
      <c r="F269" s="42" t="s">
        <v>650</v>
      </c>
      <c r="G269" s="42" t="s">
        <v>73</v>
      </c>
      <c r="H269" s="44">
        <v>8.1999999999999993</v>
      </c>
      <c r="I269" s="42">
        <v>1982</v>
      </c>
      <c r="J269" s="42">
        <v>14</v>
      </c>
      <c r="K269" s="44">
        <v>8.9</v>
      </c>
      <c r="L269" s="42">
        <v>2008</v>
      </c>
      <c r="M269" s="42">
        <v>2</v>
      </c>
      <c r="N269" s="44">
        <v>9</v>
      </c>
      <c r="O269" s="42">
        <v>1992</v>
      </c>
      <c r="P269" s="42">
        <v>24</v>
      </c>
      <c r="Q269" s="44">
        <v>10</v>
      </c>
      <c r="R269" s="42">
        <v>1985</v>
      </c>
      <c r="S269" s="42">
        <v>11</v>
      </c>
      <c r="T269" s="44">
        <v>9.6</v>
      </c>
      <c r="U269" s="42">
        <v>1993</v>
      </c>
      <c r="V269" s="42">
        <v>17</v>
      </c>
      <c r="W269" s="44">
        <v>9.8000000000000007</v>
      </c>
      <c r="X269" s="42">
        <v>1984</v>
      </c>
      <c r="Y269" s="42">
        <v>17</v>
      </c>
      <c r="Z269" s="44">
        <v>10</v>
      </c>
      <c r="AA269" s="42">
        <v>1993</v>
      </c>
      <c r="AB269" s="42">
        <v>17</v>
      </c>
      <c r="AC269" s="44">
        <v>10.4</v>
      </c>
      <c r="AD269" s="42">
        <v>1992</v>
      </c>
      <c r="AE269" s="42">
        <v>16</v>
      </c>
      <c r="AF269" s="44">
        <v>10.199999999999999</v>
      </c>
      <c r="AG269" s="42">
        <v>1989</v>
      </c>
      <c r="AH269" s="42">
        <v>13</v>
      </c>
      <c r="AI269" s="44">
        <v>8</v>
      </c>
      <c r="AJ269" s="42">
        <v>1992</v>
      </c>
      <c r="AK269" s="42">
        <v>12</v>
      </c>
      <c r="AL269" s="44">
        <v>9.6</v>
      </c>
      <c r="AM269" s="42">
        <v>2002</v>
      </c>
      <c r="AN269" s="42">
        <v>29</v>
      </c>
      <c r="AO269" s="44">
        <v>8</v>
      </c>
      <c r="AP269" s="42">
        <v>1989</v>
      </c>
      <c r="AQ269" s="42">
        <v>22</v>
      </c>
    </row>
    <row r="270" spans="1:43" ht="14.45" customHeight="1" x14ac:dyDescent="0.2">
      <c r="A270" s="42">
        <v>23085110</v>
      </c>
      <c r="B270" s="42" t="s">
        <v>1169</v>
      </c>
      <c r="C270" s="42">
        <v>6.2138888999999997</v>
      </c>
      <c r="D270" s="42">
        <v>-75.241388889000007</v>
      </c>
      <c r="E270" s="42">
        <v>2022</v>
      </c>
      <c r="F270" s="42" t="s">
        <v>107</v>
      </c>
      <c r="G270" s="42" t="s">
        <v>57</v>
      </c>
      <c r="H270" s="44">
        <v>8.1999999999999993</v>
      </c>
      <c r="I270" s="42">
        <v>1999</v>
      </c>
      <c r="J270" s="42">
        <v>19</v>
      </c>
      <c r="K270" s="44">
        <v>9</v>
      </c>
      <c r="L270" s="42">
        <v>1992</v>
      </c>
      <c r="M270" s="42">
        <v>13</v>
      </c>
      <c r="N270" s="44">
        <v>9</v>
      </c>
      <c r="O270" s="42">
        <v>1997</v>
      </c>
      <c r="P270" s="42">
        <v>22</v>
      </c>
      <c r="Q270" s="44">
        <v>7.2</v>
      </c>
      <c r="R270" s="42">
        <v>1998</v>
      </c>
      <c r="S270" s="42">
        <v>13</v>
      </c>
      <c r="T270" s="44">
        <v>9.1999999999999993</v>
      </c>
      <c r="U270" s="42">
        <v>1998</v>
      </c>
      <c r="V270" s="42">
        <v>12</v>
      </c>
      <c r="W270" s="44">
        <v>10</v>
      </c>
      <c r="X270" s="42">
        <v>1979</v>
      </c>
      <c r="Y270" s="42">
        <v>9</v>
      </c>
      <c r="Z270" s="44">
        <v>9.1999999999999993</v>
      </c>
      <c r="AA270" s="42">
        <v>2001</v>
      </c>
      <c r="AB270" s="42">
        <v>27</v>
      </c>
      <c r="AC270" s="44">
        <v>9</v>
      </c>
      <c r="AD270" s="42">
        <v>1978</v>
      </c>
      <c r="AE270" s="42">
        <v>21</v>
      </c>
      <c r="AF270" s="44">
        <v>8.6</v>
      </c>
      <c r="AG270" s="42">
        <v>2000</v>
      </c>
      <c r="AH270" s="42">
        <v>28</v>
      </c>
      <c r="AI270" s="44">
        <v>9.1999999999999993</v>
      </c>
      <c r="AJ270" s="42">
        <v>2000</v>
      </c>
      <c r="AK270" s="42">
        <v>1</v>
      </c>
      <c r="AL270" s="44">
        <v>8.4</v>
      </c>
      <c r="AM270" s="42">
        <v>1998</v>
      </c>
      <c r="AN270" s="42">
        <v>18</v>
      </c>
      <c r="AO270" s="44">
        <v>8.6</v>
      </c>
      <c r="AP270" s="42">
        <v>1989</v>
      </c>
      <c r="AQ270" s="42">
        <v>17</v>
      </c>
    </row>
    <row r="271" spans="1:43" ht="14.45" customHeight="1" x14ac:dyDescent="0.2">
      <c r="A271" s="42">
        <v>26215010</v>
      </c>
      <c r="B271" s="42" t="s">
        <v>1170</v>
      </c>
      <c r="C271" s="42">
        <v>6.0395555559999998</v>
      </c>
      <c r="D271" s="42">
        <v>-75.919527778000003</v>
      </c>
      <c r="E271" s="42">
        <v>2032</v>
      </c>
      <c r="F271" s="42" t="s">
        <v>459</v>
      </c>
      <c r="G271" s="42" t="s">
        <v>57</v>
      </c>
      <c r="H271" s="44">
        <v>11</v>
      </c>
      <c r="I271" s="42">
        <v>1999</v>
      </c>
      <c r="J271" s="42">
        <v>11</v>
      </c>
      <c r="K271" s="44">
        <v>10.4</v>
      </c>
      <c r="L271" s="42">
        <v>2007</v>
      </c>
      <c r="M271" s="42">
        <v>19</v>
      </c>
      <c r="N271" s="44">
        <v>10.8</v>
      </c>
      <c r="O271" s="42">
        <v>1999</v>
      </c>
      <c r="P271" s="42">
        <v>19</v>
      </c>
      <c r="Q271" s="44">
        <v>10.4</v>
      </c>
      <c r="R271" s="42">
        <v>1999</v>
      </c>
      <c r="S271" s="42">
        <v>8</v>
      </c>
      <c r="T271" s="44">
        <v>10.6</v>
      </c>
      <c r="U271" s="42">
        <v>1999</v>
      </c>
      <c r="V271" s="42">
        <v>5</v>
      </c>
      <c r="W271" s="44">
        <v>10.199999999999999</v>
      </c>
      <c r="X271" s="42">
        <v>1995</v>
      </c>
      <c r="Y271" s="42">
        <v>7</v>
      </c>
      <c r="Z271" s="44">
        <v>10.4</v>
      </c>
      <c r="AA271" s="42">
        <v>2007</v>
      </c>
      <c r="AB271" s="42">
        <v>9</v>
      </c>
      <c r="AC271" s="44">
        <v>10.4</v>
      </c>
      <c r="AD271" s="42">
        <v>2007</v>
      </c>
      <c r="AE271" s="42">
        <v>30</v>
      </c>
      <c r="AF271" s="44">
        <v>10.6</v>
      </c>
      <c r="AG271" s="42">
        <v>2006</v>
      </c>
      <c r="AH271" s="42">
        <v>16</v>
      </c>
      <c r="AI271" s="44">
        <v>10.4</v>
      </c>
      <c r="AJ271" s="42">
        <v>1994</v>
      </c>
      <c r="AK271" s="42">
        <v>18</v>
      </c>
      <c r="AL271" s="44">
        <v>11</v>
      </c>
      <c r="AM271" s="42">
        <v>1982</v>
      </c>
      <c r="AN271" s="42">
        <v>4</v>
      </c>
      <c r="AO271" s="44">
        <v>10.6</v>
      </c>
      <c r="AP271" s="42">
        <v>1981</v>
      </c>
      <c r="AQ271" s="42">
        <v>11</v>
      </c>
    </row>
    <row r="272" spans="1:43" ht="14.45" customHeight="1" x14ac:dyDescent="0.2">
      <c r="A272" s="42">
        <v>21255120</v>
      </c>
      <c r="B272" s="42" t="s">
        <v>1171</v>
      </c>
      <c r="C272" s="42">
        <v>5.0267619440000004</v>
      </c>
      <c r="D272" s="42">
        <v>-75.117336111</v>
      </c>
      <c r="E272" s="42">
        <v>2069</v>
      </c>
      <c r="F272" s="42" t="s">
        <v>371</v>
      </c>
      <c r="G272" s="42" t="s">
        <v>70</v>
      </c>
      <c r="H272" s="44">
        <v>11</v>
      </c>
      <c r="I272" s="42">
        <v>1981</v>
      </c>
      <c r="J272" s="42">
        <v>23</v>
      </c>
      <c r="K272" s="44">
        <v>11</v>
      </c>
      <c r="L272" s="42">
        <v>2008</v>
      </c>
      <c r="M272" s="42">
        <v>3</v>
      </c>
      <c r="N272" s="44">
        <v>11</v>
      </c>
      <c r="O272" s="42">
        <v>1981</v>
      </c>
      <c r="P272" s="42">
        <v>21</v>
      </c>
      <c r="Q272" s="44">
        <v>11</v>
      </c>
      <c r="R272" s="42">
        <v>1982</v>
      </c>
      <c r="S272" s="42">
        <v>28</v>
      </c>
      <c r="T272" s="44">
        <v>11</v>
      </c>
      <c r="U272" s="42">
        <v>1980</v>
      </c>
      <c r="V272" s="42">
        <v>15</v>
      </c>
      <c r="W272" s="44">
        <v>11</v>
      </c>
      <c r="X272" s="42">
        <v>1988</v>
      </c>
      <c r="Y272" s="42">
        <v>20</v>
      </c>
      <c r="Z272" s="44">
        <v>11</v>
      </c>
      <c r="AA272" s="42">
        <v>1990</v>
      </c>
      <c r="AB272" s="42">
        <v>11</v>
      </c>
      <c r="AC272" s="44">
        <v>11</v>
      </c>
      <c r="AD272" s="42">
        <v>1980</v>
      </c>
      <c r="AE272" s="42">
        <v>5</v>
      </c>
      <c r="AF272" s="44">
        <v>11</v>
      </c>
      <c r="AG272" s="42">
        <v>1981</v>
      </c>
      <c r="AH272" s="42">
        <v>12</v>
      </c>
      <c r="AI272" s="44">
        <v>11</v>
      </c>
      <c r="AJ272" s="42">
        <v>1981</v>
      </c>
      <c r="AK272" s="42">
        <v>1</v>
      </c>
      <c r="AL272" s="44">
        <v>11.6</v>
      </c>
      <c r="AM272" s="42">
        <v>1984</v>
      </c>
      <c r="AN272" s="42">
        <v>10</v>
      </c>
      <c r="AO272" s="44">
        <v>11</v>
      </c>
      <c r="AP272" s="42">
        <v>1985</v>
      </c>
      <c r="AQ272" s="42">
        <v>26</v>
      </c>
    </row>
    <row r="273" spans="1:43" ht="14.45" customHeight="1" x14ac:dyDescent="0.2">
      <c r="A273" s="42">
        <v>23085270</v>
      </c>
      <c r="B273" s="42" t="s">
        <v>1172</v>
      </c>
      <c r="C273" s="42">
        <v>6.1686110999999997</v>
      </c>
      <c r="D273" s="42">
        <v>-75.426111110999997</v>
      </c>
      <c r="E273" s="42">
        <v>2073</v>
      </c>
      <c r="F273" s="42" t="s">
        <v>62</v>
      </c>
      <c r="G273" s="42" t="s">
        <v>57</v>
      </c>
      <c r="H273" s="44">
        <v>6.6</v>
      </c>
      <c r="I273" s="42">
        <v>2015</v>
      </c>
      <c r="J273" s="42">
        <v>4</v>
      </c>
      <c r="K273" s="44">
        <v>6.8</v>
      </c>
      <c r="L273" s="42">
        <v>2012</v>
      </c>
      <c r="M273" s="42">
        <v>19</v>
      </c>
      <c r="N273" s="44">
        <v>7.4</v>
      </c>
      <c r="O273" s="42">
        <v>1989</v>
      </c>
      <c r="P273" s="42">
        <v>18</v>
      </c>
      <c r="Q273" s="44">
        <v>8</v>
      </c>
      <c r="R273" s="42">
        <v>1999</v>
      </c>
      <c r="S273" s="42">
        <v>5</v>
      </c>
      <c r="T273" s="44">
        <v>8</v>
      </c>
      <c r="U273" s="42">
        <v>1986</v>
      </c>
      <c r="V273" s="42">
        <v>13</v>
      </c>
      <c r="W273" s="44">
        <v>7</v>
      </c>
      <c r="X273" s="42">
        <v>1998</v>
      </c>
      <c r="Y273" s="42">
        <v>30</v>
      </c>
      <c r="Z273" s="44">
        <v>5.6</v>
      </c>
      <c r="AA273" s="42">
        <v>1981</v>
      </c>
      <c r="AB273" s="42">
        <v>25</v>
      </c>
      <c r="AC273" s="44">
        <v>7</v>
      </c>
      <c r="AD273" s="42">
        <v>1978</v>
      </c>
      <c r="AE273" s="42">
        <v>21</v>
      </c>
      <c r="AF273" s="44">
        <v>7.4</v>
      </c>
      <c r="AG273" s="42">
        <v>1981</v>
      </c>
      <c r="AH273" s="42">
        <v>23</v>
      </c>
      <c r="AI273" s="44">
        <v>7</v>
      </c>
      <c r="AJ273" s="42">
        <v>1982</v>
      </c>
      <c r="AK273" s="42">
        <v>29</v>
      </c>
      <c r="AL273" s="44">
        <v>5</v>
      </c>
      <c r="AM273" s="42">
        <v>2016</v>
      </c>
      <c r="AN273" s="42">
        <v>22</v>
      </c>
      <c r="AO273" s="44">
        <v>7</v>
      </c>
      <c r="AP273" s="42">
        <v>1996</v>
      </c>
      <c r="AQ273" s="42">
        <v>16</v>
      </c>
    </row>
    <row r="274" spans="1:43" ht="14.45" customHeight="1" x14ac:dyDescent="0.2">
      <c r="A274" s="42">
        <v>21055030</v>
      </c>
      <c r="B274" s="42" t="s">
        <v>1173</v>
      </c>
      <c r="C274" s="42">
        <v>2.2400000000000002</v>
      </c>
      <c r="D274" s="42">
        <v>-76.16</v>
      </c>
      <c r="E274" s="42">
        <v>2085</v>
      </c>
      <c r="F274" s="42" t="s">
        <v>182</v>
      </c>
      <c r="G274" s="42" t="s">
        <v>181</v>
      </c>
      <c r="H274" s="44">
        <v>7.2</v>
      </c>
      <c r="I274" s="42">
        <v>2024</v>
      </c>
      <c r="J274" s="42">
        <v>24</v>
      </c>
      <c r="K274" s="44">
        <v>7.2</v>
      </c>
      <c r="L274" s="42">
        <v>2023</v>
      </c>
      <c r="M274" s="42">
        <v>4</v>
      </c>
      <c r="N274" s="44">
        <v>8</v>
      </c>
      <c r="O274" s="42">
        <v>1989</v>
      </c>
      <c r="P274" s="42">
        <v>26</v>
      </c>
      <c r="Q274" s="44">
        <v>9</v>
      </c>
      <c r="R274" s="42">
        <v>1979</v>
      </c>
      <c r="S274" s="42">
        <v>11</v>
      </c>
      <c r="T274" s="44">
        <v>8.4</v>
      </c>
      <c r="U274" s="42">
        <v>1994</v>
      </c>
      <c r="V274" s="42">
        <v>19</v>
      </c>
      <c r="W274" s="44">
        <v>7.2</v>
      </c>
      <c r="X274" s="42">
        <v>1994</v>
      </c>
      <c r="Y274" s="42">
        <v>29</v>
      </c>
      <c r="Z274" s="44">
        <v>8</v>
      </c>
      <c r="AA274" s="42">
        <v>1988</v>
      </c>
      <c r="AB274" s="42">
        <v>27</v>
      </c>
      <c r="AC274" s="44">
        <v>8</v>
      </c>
      <c r="AD274" s="42">
        <v>1979</v>
      </c>
      <c r="AE274" s="42">
        <v>10</v>
      </c>
      <c r="AF274" s="44">
        <v>8</v>
      </c>
      <c r="AG274" s="42">
        <v>1993</v>
      </c>
      <c r="AH274" s="42">
        <v>6</v>
      </c>
      <c r="AI274" s="44">
        <v>7</v>
      </c>
      <c r="AJ274" s="42">
        <v>1993</v>
      </c>
      <c r="AK274" s="42">
        <v>29</v>
      </c>
      <c r="AL274" s="44">
        <v>7</v>
      </c>
      <c r="AM274" s="42">
        <v>1993</v>
      </c>
      <c r="AN274" s="42">
        <v>9</v>
      </c>
      <c r="AO274" s="44">
        <v>7.2</v>
      </c>
      <c r="AP274" s="42">
        <v>2022</v>
      </c>
      <c r="AQ274" s="42">
        <v>28</v>
      </c>
    </row>
    <row r="275" spans="1:43" ht="14.45" customHeight="1" x14ac:dyDescent="0.2">
      <c r="A275" s="42">
        <v>47015040</v>
      </c>
      <c r="B275" s="42" t="s">
        <v>1174</v>
      </c>
      <c r="C275" s="42">
        <v>1.198277778</v>
      </c>
      <c r="D275" s="42">
        <v>-76.960972220000002</v>
      </c>
      <c r="E275" s="42">
        <v>2100</v>
      </c>
      <c r="F275" s="42" t="s">
        <v>267</v>
      </c>
      <c r="G275" s="42" t="s">
        <v>264</v>
      </c>
      <c r="H275" s="44">
        <v>2.2999999999999998</v>
      </c>
      <c r="I275" s="42">
        <v>1987</v>
      </c>
      <c r="J275" s="42">
        <v>5</v>
      </c>
      <c r="K275" s="44">
        <v>2.2000000000000002</v>
      </c>
      <c r="L275" s="42">
        <v>1987</v>
      </c>
      <c r="M275" s="42">
        <v>8</v>
      </c>
      <c r="N275" s="44">
        <v>2.1</v>
      </c>
      <c r="O275" s="42">
        <v>1987</v>
      </c>
      <c r="P275" s="42">
        <v>19</v>
      </c>
      <c r="Q275" s="44">
        <v>2.4</v>
      </c>
      <c r="R275" s="42">
        <v>1990</v>
      </c>
      <c r="S275" s="42">
        <v>18</v>
      </c>
      <c r="T275" s="44">
        <v>5</v>
      </c>
      <c r="U275" s="42">
        <v>1987</v>
      </c>
      <c r="V275" s="42">
        <v>16</v>
      </c>
      <c r="W275" s="44">
        <v>4.2</v>
      </c>
      <c r="X275" s="42">
        <v>1987</v>
      </c>
      <c r="Y275" s="42">
        <v>21</v>
      </c>
      <c r="Z275" s="44">
        <v>2.5</v>
      </c>
      <c r="AA275" s="42">
        <v>2003</v>
      </c>
      <c r="AB275" s="42">
        <v>14</v>
      </c>
      <c r="AC275" s="44">
        <v>1.8</v>
      </c>
      <c r="AD275" s="42">
        <v>1990</v>
      </c>
      <c r="AE275" s="42">
        <v>23</v>
      </c>
      <c r="AF275" s="44">
        <v>3.4</v>
      </c>
      <c r="AG275" s="42">
        <v>1990</v>
      </c>
      <c r="AH275" s="42">
        <v>23</v>
      </c>
      <c r="AI275" s="44">
        <v>4.5999999999999996</v>
      </c>
      <c r="AJ275" s="42">
        <v>1979</v>
      </c>
      <c r="AK275" s="42">
        <v>31</v>
      </c>
      <c r="AL275" s="44">
        <v>1.6</v>
      </c>
      <c r="AM275" s="42">
        <v>1990</v>
      </c>
      <c r="AN275" s="42">
        <v>1</v>
      </c>
      <c r="AO275" s="44">
        <v>2.8</v>
      </c>
      <c r="AP275" s="42">
        <v>1981</v>
      </c>
      <c r="AQ275" s="42">
        <v>25</v>
      </c>
    </row>
    <row r="276" spans="1:43" ht="14.45" customHeight="1" x14ac:dyDescent="0.2">
      <c r="A276" s="42">
        <v>26155110</v>
      </c>
      <c r="B276" s="42" t="s">
        <v>1175</v>
      </c>
      <c r="C276" s="42">
        <v>5.0297777779999997</v>
      </c>
      <c r="D276" s="42">
        <v>-75.469916667000007</v>
      </c>
      <c r="E276" s="42">
        <v>2104</v>
      </c>
      <c r="F276" s="42" t="s">
        <v>353</v>
      </c>
      <c r="G276" s="42" t="s">
        <v>116</v>
      </c>
      <c r="H276" s="44">
        <v>8.6</v>
      </c>
      <c r="I276" s="42">
        <v>2000</v>
      </c>
      <c r="J276" s="42">
        <v>4</v>
      </c>
      <c r="K276" s="44">
        <v>7.4</v>
      </c>
      <c r="L276" s="42">
        <v>1996</v>
      </c>
      <c r="M276" s="42">
        <v>6</v>
      </c>
      <c r="N276" s="44">
        <v>8.1999999999999993</v>
      </c>
      <c r="O276" s="42">
        <v>1999</v>
      </c>
      <c r="P276" s="42">
        <v>8</v>
      </c>
      <c r="Q276" s="44">
        <v>6.3</v>
      </c>
      <c r="R276" s="42">
        <v>1999</v>
      </c>
      <c r="S276" s="42">
        <v>11</v>
      </c>
      <c r="T276" s="44">
        <v>8.1999999999999993</v>
      </c>
      <c r="U276" s="42">
        <v>1996</v>
      </c>
      <c r="V276" s="42">
        <v>21</v>
      </c>
      <c r="W276" s="44">
        <v>8.6</v>
      </c>
      <c r="X276" s="42">
        <v>1996</v>
      </c>
      <c r="Y276" s="42">
        <v>4</v>
      </c>
      <c r="Z276" s="44">
        <v>7.4</v>
      </c>
      <c r="AA276" s="42">
        <v>1995</v>
      </c>
      <c r="AB276" s="42">
        <v>9</v>
      </c>
      <c r="AC276" s="44">
        <v>7.8</v>
      </c>
      <c r="AD276" s="42">
        <v>1995</v>
      </c>
      <c r="AE276" s="42">
        <v>16</v>
      </c>
      <c r="AF276" s="44">
        <v>9</v>
      </c>
      <c r="AG276" s="42">
        <v>1993</v>
      </c>
      <c r="AH276" s="42">
        <v>7</v>
      </c>
      <c r="AI276" s="44">
        <v>8.8000000000000007</v>
      </c>
      <c r="AJ276" s="42">
        <v>2012</v>
      </c>
      <c r="AK276" s="42">
        <v>23</v>
      </c>
      <c r="AL276" s="44">
        <v>8.6</v>
      </c>
      <c r="AM276" s="42">
        <v>1995</v>
      </c>
      <c r="AN276" s="42">
        <v>14</v>
      </c>
      <c r="AO276" s="44">
        <v>8.8000000000000007</v>
      </c>
      <c r="AP276" s="42">
        <v>1995</v>
      </c>
      <c r="AQ276" s="42">
        <v>12</v>
      </c>
    </row>
    <row r="277" spans="1:43" ht="14.45" customHeight="1" x14ac:dyDescent="0.2">
      <c r="A277" s="42">
        <v>35085020</v>
      </c>
      <c r="B277" s="42" t="s">
        <v>1176</v>
      </c>
      <c r="C277" s="42">
        <v>5.3584166670000002</v>
      </c>
      <c r="D277" s="42">
        <v>-73.203611109999997</v>
      </c>
      <c r="E277" s="42">
        <v>2120</v>
      </c>
      <c r="F277" s="42" t="s">
        <v>1177</v>
      </c>
      <c r="G277" s="42" t="s">
        <v>212</v>
      </c>
      <c r="H277" s="44">
        <v>8.8000000000000007</v>
      </c>
      <c r="I277" s="42">
        <v>1994</v>
      </c>
      <c r="J277" s="42">
        <v>24</v>
      </c>
      <c r="K277" s="44">
        <v>8</v>
      </c>
      <c r="L277" s="42">
        <v>2004</v>
      </c>
      <c r="M277" s="42">
        <v>4</v>
      </c>
      <c r="N277" s="44">
        <v>8.5</v>
      </c>
      <c r="O277" s="42">
        <v>2004</v>
      </c>
      <c r="P277" s="42">
        <v>30</v>
      </c>
      <c r="Q277" s="44">
        <v>9.6</v>
      </c>
      <c r="R277" s="42">
        <v>1990</v>
      </c>
      <c r="S277" s="42">
        <v>26</v>
      </c>
      <c r="T277" s="44">
        <v>9.1999999999999993</v>
      </c>
      <c r="U277" s="42">
        <v>1987</v>
      </c>
      <c r="V277" s="42">
        <v>24</v>
      </c>
      <c r="W277" s="44">
        <v>8.8000000000000007</v>
      </c>
      <c r="X277" s="42">
        <v>1987</v>
      </c>
      <c r="Y277" s="42">
        <v>21</v>
      </c>
      <c r="Z277" s="44">
        <v>8.6</v>
      </c>
      <c r="AA277" s="42">
        <v>1985</v>
      </c>
      <c r="AB277" s="42">
        <v>18</v>
      </c>
      <c r="AC277" s="44">
        <v>8.4</v>
      </c>
      <c r="AD277" s="42">
        <v>1988</v>
      </c>
      <c r="AE277" s="42">
        <v>10</v>
      </c>
      <c r="AF277" s="44">
        <v>8.6</v>
      </c>
      <c r="AG277" s="42">
        <v>1988</v>
      </c>
      <c r="AH277" s="42">
        <v>18</v>
      </c>
      <c r="AI277" s="44">
        <v>7.5</v>
      </c>
      <c r="AJ277" s="42">
        <v>2003</v>
      </c>
      <c r="AK277" s="42">
        <v>6</v>
      </c>
      <c r="AL277" s="44">
        <v>9.4</v>
      </c>
      <c r="AM277" s="42">
        <v>1994</v>
      </c>
      <c r="AN277" s="42">
        <v>30</v>
      </c>
      <c r="AO277" s="44">
        <v>8</v>
      </c>
      <c r="AP277" s="42">
        <v>1988</v>
      </c>
      <c r="AQ277" s="42">
        <v>20</v>
      </c>
    </row>
    <row r="278" spans="1:43" ht="14.45" customHeight="1" x14ac:dyDescent="0.2">
      <c r="A278" s="42">
        <v>23085260</v>
      </c>
      <c r="B278" s="42" t="s">
        <v>1178</v>
      </c>
      <c r="C278" s="42">
        <v>6.1319166669999996</v>
      </c>
      <c r="D278" s="42">
        <v>-75.414555559999997</v>
      </c>
      <c r="E278" s="42">
        <v>2125</v>
      </c>
      <c r="F278" s="42" t="s">
        <v>62</v>
      </c>
      <c r="G278" s="42" t="s">
        <v>57</v>
      </c>
      <c r="H278" s="44">
        <v>5.4</v>
      </c>
      <c r="I278" s="42">
        <v>1991</v>
      </c>
      <c r="J278" s="42">
        <v>25</v>
      </c>
      <c r="K278" s="44">
        <v>5.2</v>
      </c>
      <c r="L278" s="42">
        <v>1985</v>
      </c>
      <c r="M278" s="42">
        <v>8</v>
      </c>
      <c r="N278" s="44">
        <v>6</v>
      </c>
      <c r="O278" s="42">
        <v>1993</v>
      </c>
      <c r="P278" s="42">
        <v>11</v>
      </c>
      <c r="Q278" s="44">
        <v>4</v>
      </c>
      <c r="R278" s="42">
        <v>1987</v>
      </c>
      <c r="S278" s="42">
        <v>14</v>
      </c>
      <c r="T278" s="44">
        <v>7.6</v>
      </c>
      <c r="U278" s="42">
        <v>1986</v>
      </c>
      <c r="V278" s="42">
        <v>13</v>
      </c>
      <c r="W278" s="44">
        <v>5.6</v>
      </c>
      <c r="X278" s="42">
        <v>1985</v>
      </c>
      <c r="Y278" s="42">
        <v>22</v>
      </c>
      <c r="Z278" s="44">
        <v>4.5999999999999996</v>
      </c>
      <c r="AA278" s="42">
        <v>1983</v>
      </c>
      <c r="AB278" s="42">
        <v>26</v>
      </c>
      <c r="AC278" s="44">
        <v>5.2</v>
      </c>
      <c r="AD278" s="42">
        <v>1986</v>
      </c>
      <c r="AE278" s="42">
        <v>10</v>
      </c>
      <c r="AF278" s="44">
        <v>5</v>
      </c>
      <c r="AG278" s="42">
        <v>1991</v>
      </c>
      <c r="AH278" s="42">
        <v>12</v>
      </c>
      <c r="AI278" s="44">
        <v>5</v>
      </c>
      <c r="AJ278" s="42">
        <v>1986</v>
      </c>
      <c r="AK278" s="42">
        <v>31</v>
      </c>
      <c r="AL278" s="44">
        <v>5.4</v>
      </c>
      <c r="AM278" s="42">
        <v>1986</v>
      </c>
      <c r="AN278" s="42">
        <v>13</v>
      </c>
      <c r="AO278" s="44">
        <v>5</v>
      </c>
      <c r="AP278" s="42">
        <v>1987</v>
      </c>
      <c r="AQ278" s="42">
        <v>21</v>
      </c>
    </row>
    <row r="279" spans="1:43" ht="14.45" customHeight="1" x14ac:dyDescent="0.2">
      <c r="A279" s="42">
        <v>24035330</v>
      </c>
      <c r="B279" s="42" t="s">
        <v>1179</v>
      </c>
      <c r="C279" s="42">
        <v>6.328972222</v>
      </c>
      <c r="D279" s="42">
        <v>-72.582277779999998</v>
      </c>
      <c r="E279" s="42">
        <v>2150</v>
      </c>
      <c r="F279" s="42" t="s">
        <v>235</v>
      </c>
      <c r="G279" s="42" t="s">
        <v>212</v>
      </c>
      <c r="H279" s="44">
        <v>5.6</v>
      </c>
      <c r="I279" s="42">
        <v>1991</v>
      </c>
      <c r="J279" s="42">
        <v>24</v>
      </c>
      <c r="K279" s="44">
        <v>5</v>
      </c>
      <c r="L279" s="42">
        <v>2024</v>
      </c>
      <c r="M279" s="42">
        <v>3</v>
      </c>
      <c r="N279" s="44">
        <v>6.6</v>
      </c>
      <c r="O279" s="42">
        <v>1990</v>
      </c>
      <c r="P279" s="42">
        <v>27</v>
      </c>
      <c r="Q279" s="44">
        <v>7</v>
      </c>
      <c r="R279" s="42">
        <v>1990</v>
      </c>
      <c r="S279" s="42">
        <v>8</v>
      </c>
      <c r="T279" s="44">
        <v>5</v>
      </c>
      <c r="U279" s="42">
        <v>1991</v>
      </c>
      <c r="V279" s="42">
        <v>26</v>
      </c>
      <c r="W279" s="44">
        <v>6</v>
      </c>
      <c r="X279" s="42">
        <v>1991</v>
      </c>
      <c r="Y279" s="42">
        <v>1</v>
      </c>
      <c r="Z279" s="44">
        <v>6.6</v>
      </c>
      <c r="AA279" s="42">
        <v>1990</v>
      </c>
      <c r="AB279" s="42">
        <v>3</v>
      </c>
      <c r="AC279" s="44">
        <v>6.6</v>
      </c>
      <c r="AD279" s="42">
        <v>1990</v>
      </c>
      <c r="AE279" s="42">
        <v>3</v>
      </c>
      <c r="AF279" s="44">
        <v>6.6</v>
      </c>
      <c r="AG279" s="42">
        <v>1990</v>
      </c>
      <c r="AH279" s="42">
        <v>15</v>
      </c>
      <c r="AI279" s="44">
        <v>7</v>
      </c>
      <c r="AJ279" s="42">
        <v>1991</v>
      </c>
      <c r="AK279" s="42">
        <v>2</v>
      </c>
      <c r="AL279" s="44">
        <v>7</v>
      </c>
      <c r="AM279" s="42">
        <v>1991</v>
      </c>
      <c r="AN279" s="42">
        <v>2</v>
      </c>
      <c r="AO279" s="44">
        <v>6</v>
      </c>
      <c r="AP279" s="42">
        <v>1990</v>
      </c>
      <c r="AQ279" s="42">
        <v>10</v>
      </c>
    </row>
    <row r="280" spans="1:43" ht="14.45" customHeight="1" x14ac:dyDescent="0.2">
      <c r="A280" s="42">
        <v>26195030</v>
      </c>
      <c r="B280" s="42" t="s">
        <v>1180</v>
      </c>
      <c r="C280" s="42">
        <v>5.587722222</v>
      </c>
      <c r="D280" s="42">
        <v>-75.800555556000006</v>
      </c>
      <c r="E280" s="42">
        <v>2161</v>
      </c>
      <c r="F280" s="42" t="s">
        <v>464</v>
      </c>
      <c r="G280" s="42" t="s">
        <v>57</v>
      </c>
      <c r="H280" s="44">
        <v>10</v>
      </c>
      <c r="I280" s="42">
        <v>2008</v>
      </c>
      <c r="J280" s="42">
        <v>11</v>
      </c>
      <c r="K280" s="44">
        <v>10</v>
      </c>
      <c r="L280" s="42">
        <v>2008</v>
      </c>
      <c r="M280" s="42">
        <v>4</v>
      </c>
      <c r="N280" s="44">
        <v>10</v>
      </c>
      <c r="O280" s="42">
        <v>2008</v>
      </c>
      <c r="P280" s="42">
        <v>15</v>
      </c>
      <c r="Q280" s="44">
        <v>10</v>
      </c>
      <c r="R280" s="42">
        <v>2008</v>
      </c>
      <c r="S280" s="42">
        <v>2</v>
      </c>
      <c r="T280" s="44">
        <v>11</v>
      </c>
      <c r="U280" s="42">
        <v>2008</v>
      </c>
      <c r="V280" s="42">
        <v>18</v>
      </c>
      <c r="W280" s="44">
        <v>10.8</v>
      </c>
      <c r="X280" s="42">
        <v>1992</v>
      </c>
      <c r="Y280" s="42">
        <v>18</v>
      </c>
      <c r="Z280" s="44">
        <v>10</v>
      </c>
      <c r="AA280" s="42">
        <v>2008</v>
      </c>
      <c r="AB280" s="42">
        <v>19</v>
      </c>
      <c r="AC280" s="44">
        <v>10.4</v>
      </c>
      <c r="AD280" s="42">
        <v>2008</v>
      </c>
      <c r="AE280" s="42">
        <v>25</v>
      </c>
      <c r="AF280" s="44">
        <v>10.4</v>
      </c>
      <c r="AG280" s="42">
        <v>1992</v>
      </c>
      <c r="AH280" s="42">
        <v>3</v>
      </c>
      <c r="AI280" s="44">
        <v>10.199999999999999</v>
      </c>
      <c r="AJ280" s="42">
        <v>1992</v>
      </c>
      <c r="AK280" s="42">
        <v>9</v>
      </c>
      <c r="AL280" s="44">
        <v>10.199999999999999</v>
      </c>
      <c r="AM280" s="42">
        <v>1996</v>
      </c>
      <c r="AN280" s="42">
        <v>21</v>
      </c>
      <c r="AO280" s="44">
        <v>10</v>
      </c>
      <c r="AP280" s="42">
        <v>1994</v>
      </c>
      <c r="AQ280" s="42">
        <v>30</v>
      </c>
    </row>
    <row r="281" spans="1:43" ht="14.45" customHeight="1" x14ac:dyDescent="0.2">
      <c r="A281" s="42">
        <v>26185010</v>
      </c>
      <c r="B281" s="42" t="s">
        <v>1181</v>
      </c>
      <c r="C281" s="42">
        <v>5.5787500000000003</v>
      </c>
      <c r="D281" s="42">
        <v>-75.344777780000001</v>
      </c>
      <c r="E281" s="42">
        <v>2180</v>
      </c>
      <c r="F281" s="42" t="s">
        <v>541</v>
      </c>
      <c r="G281" s="42" t="s">
        <v>116</v>
      </c>
      <c r="H281" s="44">
        <v>4</v>
      </c>
      <c r="I281" s="42">
        <v>2017</v>
      </c>
      <c r="J281" s="42">
        <v>1</v>
      </c>
      <c r="K281" s="44">
        <v>9</v>
      </c>
      <c r="L281" s="42">
        <v>2001</v>
      </c>
      <c r="M281" s="42">
        <v>9</v>
      </c>
      <c r="N281" s="44">
        <v>9</v>
      </c>
      <c r="O281" s="42">
        <v>1997</v>
      </c>
      <c r="P281" s="42">
        <v>25</v>
      </c>
      <c r="Q281" s="44">
        <v>8</v>
      </c>
      <c r="R281" s="42">
        <v>1997</v>
      </c>
      <c r="S281" s="42">
        <v>16</v>
      </c>
      <c r="T281" s="44">
        <v>8</v>
      </c>
      <c r="U281" s="42">
        <v>1997</v>
      </c>
      <c r="V281" s="42">
        <v>7</v>
      </c>
      <c r="W281" s="44">
        <v>10</v>
      </c>
      <c r="X281" s="42">
        <v>1998</v>
      </c>
      <c r="Y281" s="42">
        <v>2</v>
      </c>
      <c r="Z281" s="44">
        <v>9.1999999999999993</v>
      </c>
      <c r="AA281" s="42">
        <v>1998</v>
      </c>
      <c r="AB281" s="42">
        <v>20</v>
      </c>
      <c r="AC281" s="44">
        <v>9.4</v>
      </c>
      <c r="AD281" s="42">
        <v>2006</v>
      </c>
      <c r="AE281" s="42">
        <v>13</v>
      </c>
      <c r="AF281" s="44">
        <v>9.8000000000000007</v>
      </c>
      <c r="AG281" s="42">
        <v>2014</v>
      </c>
      <c r="AH281" s="42">
        <v>13</v>
      </c>
      <c r="AI281" s="44">
        <v>7.4</v>
      </c>
      <c r="AJ281" s="42">
        <v>1997</v>
      </c>
      <c r="AK281" s="42">
        <v>13</v>
      </c>
      <c r="AL281" s="44">
        <v>6.6</v>
      </c>
      <c r="AM281" s="42">
        <v>1996</v>
      </c>
      <c r="AN281" s="42">
        <v>29</v>
      </c>
      <c r="AO281" s="44">
        <v>7</v>
      </c>
      <c r="AP281" s="42">
        <v>1996</v>
      </c>
      <c r="AQ281" s="42">
        <v>5</v>
      </c>
    </row>
    <row r="282" spans="1:43" ht="14.45" customHeight="1" x14ac:dyDescent="0.2">
      <c r="A282" s="42">
        <v>52055200</v>
      </c>
      <c r="B282" s="42" t="s">
        <v>1182</v>
      </c>
      <c r="C282" s="42">
        <v>1.0042222220000001</v>
      </c>
      <c r="D282" s="42">
        <v>-77.445805559999997</v>
      </c>
      <c r="E282" s="42">
        <v>2181</v>
      </c>
      <c r="F282" s="42" t="s">
        <v>292</v>
      </c>
      <c r="G282" s="42" t="s">
        <v>82</v>
      </c>
      <c r="H282" s="44">
        <v>7.6</v>
      </c>
      <c r="I282" s="42">
        <v>2020</v>
      </c>
      <c r="J282" s="42">
        <v>9</v>
      </c>
      <c r="K282" s="44">
        <v>8.4</v>
      </c>
      <c r="L282" s="42">
        <v>2017</v>
      </c>
      <c r="M282" s="42">
        <v>27</v>
      </c>
      <c r="N282" s="44">
        <v>9</v>
      </c>
      <c r="O282" s="42">
        <v>2018</v>
      </c>
      <c r="P282" s="42">
        <v>18</v>
      </c>
      <c r="Q282" s="44">
        <v>8.6</v>
      </c>
      <c r="R282" s="42">
        <v>2013</v>
      </c>
      <c r="S282" s="42">
        <v>26</v>
      </c>
      <c r="T282" s="44">
        <v>9.6</v>
      </c>
      <c r="U282" s="42">
        <v>2011</v>
      </c>
      <c r="V282" s="42">
        <v>4</v>
      </c>
      <c r="W282" s="44">
        <v>9.4</v>
      </c>
      <c r="X282" s="42">
        <v>2011</v>
      </c>
      <c r="Y282" s="42">
        <v>29</v>
      </c>
      <c r="Z282" s="44">
        <v>8.6</v>
      </c>
      <c r="AA282" s="42">
        <v>2010</v>
      </c>
      <c r="AB282" s="42">
        <v>23</v>
      </c>
      <c r="AC282" s="44">
        <v>7.8</v>
      </c>
      <c r="AD282" s="42">
        <v>2022</v>
      </c>
      <c r="AE282" s="42">
        <v>13</v>
      </c>
      <c r="AF282" s="44">
        <v>8</v>
      </c>
      <c r="AG282" s="42">
        <v>2020</v>
      </c>
      <c r="AH282" s="42">
        <v>26</v>
      </c>
      <c r="AI282" s="44">
        <v>9</v>
      </c>
      <c r="AJ282" s="42">
        <v>2010</v>
      </c>
      <c r="AK282" s="42">
        <v>3</v>
      </c>
      <c r="AL282" s="44">
        <v>8.6</v>
      </c>
      <c r="AM282" s="42">
        <v>2020</v>
      </c>
      <c r="AN282" s="42">
        <v>3</v>
      </c>
      <c r="AO282" s="44">
        <v>9</v>
      </c>
      <c r="AP282" s="42">
        <v>2010</v>
      </c>
      <c r="AQ282" s="42">
        <v>19</v>
      </c>
    </row>
    <row r="283" spans="1:43" ht="14.45" customHeight="1" x14ac:dyDescent="0.2">
      <c r="A283" s="42">
        <v>52045030</v>
      </c>
      <c r="B283" s="42" t="s">
        <v>1183</v>
      </c>
      <c r="C283" s="42">
        <v>1.5387222220000001</v>
      </c>
      <c r="D283" s="42">
        <v>-77.032611110000005</v>
      </c>
      <c r="E283" s="42">
        <v>2190</v>
      </c>
      <c r="F283" s="42" t="s">
        <v>282</v>
      </c>
      <c r="G283" s="42" t="s">
        <v>82</v>
      </c>
      <c r="H283" s="44">
        <v>7</v>
      </c>
      <c r="I283" s="42">
        <v>2017</v>
      </c>
      <c r="J283" s="42">
        <v>23</v>
      </c>
      <c r="K283" s="44">
        <v>7.4</v>
      </c>
      <c r="L283" s="42">
        <v>1995</v>
      </c>
      <c r="M283" s="42">
        <v>16</v>
      </c>
      <c r="N283" s="44">
        <v>6.4</v>
      </c>
      <c r="O283" s="42">
        <v>2008</v>
      </c>
      <c r="P283" s="42">
        <v>3</v>
      </c>
      <c r="Q283" s="44">
        <v>7.8</v>
      </c>
      <c r="R283" s="42">
        <v>1985</v>
      </c>
      <c r="S283" s="42">
        <v>23</v>
      </c>
      <c r="T283" s="44">
        <v>8.4</v>
      </c>
      <c r="U283" s="42">
        <v>1981</v>
      </c>
      <c r="V283" s="42">
        <v>8</v>
      </c>
      <c r="W283" s="44">
        <v>7.4</v>
      </c>
      <c r="X283" s="42">
        <v>2016</v>
      </c>
      <c r="Y283" s="42">
        <v>16</v>
      </c>
      <c r="Z283" s="44">
        <v>6</v>
      </c>
      <c r="AA283" s="42">
        <v>1989</v>
      </c>
      <c r="AB283" s="42">
        <v>17</v>
      </c>
      <c r="AC283" s="44">
        <v>6.4</v>
      </c>
      <c r="AD283" s="42">
        <v>1978</v>
      </c>
      <c r="AE283" s="42">
        <v>18</v>
      </c>
      <c r="AF283" s="44">
        <v>7</v>
      </c>
      <c r="AG283" s="42">
        <v>1997</v>
      </c>
      <c r="AH283" s="42">
        <v>10</v>
      </c>
      <c r="AI283" s="44">
        <v>7.2</v>
      </c>
      <c r="AJ283" s="42">
        <v>1991</v>
      </c>
      <c r="AK283" s="42">
        <v>22</v>
      </c>
      <c r="AL283" s="44">
        <v>6.8</v>
      </c>
      <c r="AM283" s="42">
        <v>1985</v>
      </c>
      <c r="AN283" s="42">
        <v>1</v>
      </c>
      <c r="AO283" s="44">
        <v>8</v>
      </c>
      <c r="AP283" s="42">
        <v>1997</v>
      </c>
      <c r="AQ283" s="42">
        <v>19</v>
      </c>
    </row>
    <row r="284" spans="1:43" ht="14.45" customHeight="1" x14ac:dyDescent="0.2">
      <c r="A284" s="42">
        <v>23125100</v>
      </c>
      <c r="B284" s="42" t="s">
        <v>1184</v>
      </c>
      <c r="C284" s="42">
        <v>5.5149166669999996</v>
      </c>
      <c r="D284" s="42">
        <v>-73.943111110000004</v>
      </c>
      <c r="E284" s="42">
        <v>2200</v>
      </c>
      <c r="F284" s="42" t="s">
        <v>210</v>
      </c>
      <c r="G284" s="42" t="s">
        <v>212</v>
      </c>
      <c r="H284" s="44">
        <v>4.8</v>
      </c>
      <c r="I284" s="42">
        <v>1995</v>
      </c>
      <c r="J284" s="42">
        <v>12</v>
      </c>
      <c r="K284" s="44">
        <v>5.4</v>
      </c>
      <c r="L284" s="42">
        <v>1995</v>
      </c>
      <c r="M284" s="42">
        <v>1</v>
      </c>
      <c r="N284" s="44">
        <v>4.8</v>
      </c>
      <c r="O284" s="42">
        <v>1997</v>
      </c>
      <c r="P284" s="42">
        <v>29</v>
      </c>
      <c r="Q284" s="44">
        <v>4.2</v>
      </c>
      <c r="R284" s="42">
        <v>2000</v>
      </c>
      <c r="S284" s="42">
        <v>20</v>
      </c>
      <c r="T284" s="44">
        <v>5.2</v>
      </c>
      <c r="U284" s="42">
        <v>1996</v>
      </c>
      <c r="V284" s="42">
        <v>2</v>
      </c>
      <c r="W284" s="44">
        <v>4.8</v>
      </c>
      <c r="X284" s="42">
        <v>2000</v>
      </c>
      <c r="Y284" s="42">
        <v>28</v>
      </c>
      <c r="Z284" s="44">
        <v>4.4000000000000004</v>
      </c>
      <c r="AA284" s="42">
        <v>2000</v>
      </c>
      <c r="AB284" s="42">
        <v>16</v>
      </c>
      <c r="AC284" s="44">
        <v>4.2</v>
      </c>
      <c r="AD284" s="42">
        <v>2000</v>
      </c>
      <c r="AE284" s="42">
        <v>14</v>
      </c>
      <c r="AF284" s="44">
        <v>4.2</v>
      </c>
      <c r="AG284" s="42">
        <v>2000</v>
      </c>
      <c r="AH284" s="42">
        <v>18</v>
      </c>
      <c r="AI284" s="44">
        <v>5.2</v>
      </c>
      <c r="AJ284" s="42">
        <v>1997</v>
      </c>
      <c r="AK284" s="42">
        <v>20</v>
      </c>
      <c r="AL284" s="44">
        <v>5.4</v>
      </c>
      <c r="AM284" s="42">
        <v>1995</v>
      </c>
      <c r="AN284" s="42">
        <v>10</v>
      </c>
      <c r="AO284" s="44">
        <v>4.4000000000000004</v>
      </c>
      <c r="AP284" s="42">
        <v>1997</v>
      </c>
      <c r="AQ284" s="42">
        <v>4</v>
      </c>
    </row>
    <row r="285" spans="1:43" ht="14.45" customHeight="1" x14ac:dyDescent="0.2">
      <c r="A285" s="42">
        <v>35075030</v>
      </c>
      <c r="B285" s="42" t="s">
        <v>1185</v>
      </c>
      <c r="C285" s="42">
        <v>5.4222222220000003</v>
      </c>
      <c r="D285" s="42">
        <v>-73.349416669999997</v>
      </c>
      <c r="E285" s="42">
        <v>2200</v>
      </c>
      <c r="F285" s="42" t="s">
        <v>243</v>
      </c>
      <c r="G285" s="42" t="s">
        <v>212</v>
      </c>
      <c r="H285" s="44">
        <v>3.4</v>
      </c>
      <c r="I285" s="42">
        <v>2010</v>
      </c>
      <c r="J285" s="42">
        <v>5</v>
      </c>
      <c r="K285" s="44">
        <v>3.2</v>
      </c>
      <c r="L285" s="42">
        <v>1995</v>
      </c>
      <c r="M285" s="42">
        <v>16</v>
      </c>
      <c r="N285" s="44">
        <v>5.2</v>
      </c>
      <c r="O285" s="42">
        <v>1995</v>
      </c>
      <c r="P285" s="42">
        <v>21</v>
      </c>
      <c r="Q285" s="44">
        <v>7.2</v>
      </c>
      <c r="R285" s="42">
        <v>1991</v>
      </c>
      <c r="S285" s="42">
        <v>2</v>
      </c>
      <c r="T285" s="44">
        <v>7</v>
      </c>
      <c r="U285" s="42">
        <v>2006</v>
      </c>
      <c r="V285" s="42">
        <v>23</v>
      </c>
      <c r="W285" s="44">
        <v>6.4</v>
      </c>
      <c r="X285" s="42">
        <v>2012</v>
      </c>
      <c r="Y285" s="42">
        <v>22</v>
      </c>
      <c r="Z285" s="44">
        <v>6.2</v>
      </c>
      <c r="AA285" s="42">
        <v>1984</v>
      </c>
      <c r="AB285" s="42">
        <v>9</v>
      </c>
      <c r="AC285" s="44">
        <v>3</v>
      </c>
      <c r="AD285" s="42">
        <v>2018</v>
      </c>
      <c r="AE285" s="42">
        <v>16</v>
      </c>
      <c r="AF285" s="44">
        <v>1.2</v>
      </c>
      <c r="AG285" s="42">
        <v>1993</v>
      </c>
      <c r="AH285" s="42">
        <v>4</v>
      </c>
      <c r="AI285" s="44">
        <v>5.8</v>
      </c>
      <c r="AJ285" s="42">
        <v>2016</v>
      </c>
      <c r="AK285" s="42">
        <v>21</v>
      </c>
      <c r="AL285" s="44">
        <v>5.2</v>
      </c>
      <c r="AM285" s="42">
        <v>2016</v>
      </c>
      <c r="AN285" s="42">
        <v>6</v>
      </c>
      <c r="AO285" s="44">
        <v>4</v>
      </c>
      <c r="AP285" s="42">
        <v>2002</v>
      </c>
      <c r="AQ285" s="42">
        <v>12</v>
      </c>
    </row>
    <row r="286" spans="1:43" ht="14.45" customHeight="1" x14ac:dyDescent="0.2">
      <c r="A286" s="42">
        <v>21215130</v>
      </c>
      <c r="B286" s="42" t="s">
        <v>1186</v>
      </c>
      <c r="C286" s="42">
        <v>4.3413888890000001</v>
      </c>
      <c r="D286" s="42">
        <v>-75.518583329999998</v>
      </c>
      <c r="E286" s="42">
        <v>2229</v>
      </c>
      <c r="F286" s="42" t="s">
        <v>808</v>
      </c>
      <c r="G286" s="42" t="s">
        <v>70</v>
      </c>
      <c r="H286" s="44">
        <v>7</v>
      </c>
      <c r="I286" s="42">
        <v>2015</v>
      </c>
      <c r="J286" s="42">
        <v>5</v>
      </c>
      <c r="K286" s="44">
        <v>6.4</v>
      </c>
      <c r="L286" s="42">
        <v>2018</v>
      </c>
      <c r="M286" s="42">
        <v>27</v>
      </c>
      <c r="N286" s="44">
        <v>7</v>
      </c>
      <c r="O286" s="42">
        <v>2020</v>
      </c>
      <c r="P286" s="42">
        <v>22</v>
      </c>
      <c r="Q286" s="44">
        <v>9</v>
      </c>
      <c r="R286" s="42">
        <v>2013</v>
      </c>
      <c r="S286" s="42">
        <v>26</v>
      </c>
      <c r="T286" s="44">
        <v>8.8000000000000007</v>
      </c>
      <c r="U286" s="42">
        <v>2019</v>
      </c>
      <c r="V286" s="42">
        <v>1</v>
      </c>
      <c r="W286" s="44">
        <v>8.1999999999999993</v>
      </c>
      <c r="X286" s="42">
        <v>2013</v>
      </c>
      <c r="Y286" s="42">
        <v>6</v>
      </c>
      <c r="Z286" s="44">
        <v>8</v>
      </c>
      <c r="AA286" s="42">
        <v>2015</v>
      </c>
      <c r="AB286" s="42">
        <v>24</v>
      </c>
      <c r="AC286" s="44">
        <v>7</v>
      </c>
      <c r="AD286" s="42">
        <v>2014</v>
      </c>
      <c r="AE286" s="42">
        <v>31</v>
      </c>
      <c r="AF286" s="44">
        <v>7.2</v>
      </c>
      <c r="AG286" s="42">
        <v>2013</v>
      </c>
      <c r="AH286" s="42">
        <v>21</v>
      </c>
      <c r="AI286" s="44">
        <v>7</v>
      </c>
      <c r="AJ286" s="42">
        <v>2008</v>
      </c>
      <c r="AK286" s="42">
        <v>17</v>
      </c>
      <c r="AL286" s="44">
        <v>7</v>
      </c>
      <c r="AM286" s="42">
        <v>2016</v>
      </c>
      <c r="AN286" s="42">
        <v>22</v>
      </c>
      <c r="AO286" s="44">
        <v>6.8</v>
      </c>
      <c r="AP286" s="42">
        <v>2014</v>
      </c>
      <c r="AQ286" s="42">
        <v>23</v>
      </c>
    </row>
    <row r="287" spans="1:43" ht="14.45" customHeight="1" x14ac:dyDescent="0.2">
      <c r="A287" s="42">
        <v>21245140</v>
      </c>
      <c r="B287" s="42" t="s">
        <v>1187</v>
      </c>
      <c r="C287" s="42">
        <v>4.7118611110000002</v>
      </c>
      <c r="D287" s="42">
        <v>-75.09445556</v>
      </c>
      <c r="E287" s="42">
        <v>2288</v>
      </c>
      <c r="F287" s="42" t="s">
        <v>366</v>
      </c>
      <c r="G287" s="42" t="s">
        <v>70</v>
      </c>
      <c r="H287" s="44">
        <v>10</v>
      </c>
      <c r="I287" s="42">
        <v>1985</v>
      </c>
      <c r="J287" s="42">
        <v>15</v>
      </c>
      <c r="K287" s="44">
        <v>10.5</v>
      </c>
      <c r="L287" s="42">
        <v>2001</v>
      </c>
      <c r="M287" s="42">
        <v>5</v>
      </c>
      <c r="N287" s="44">
        <v>10.5</v>
      </c>
      <c r="O287" s="42">
        <v>2000</v>
      </c>
      <c r="P287" s="42">
        <v>9</v>
      </c>
      <c r="Q287" s="44">
        <v>10</v>
      </c>
      <c r="R287" s="42">
        <v>2000</v>
      </c>
      <c r="S287" s="42">
        <v>25</v>
      </c>
      <c r="T287" s="44">
        <v>10</v>
      </c>
      <c r="U287" s="42">
        <v>2000</v>
      </c>
      <c r="V287" s="42">
        <v>14</v>
      </c>
      <c r="W287" s="44">
        <v>10</v>
      </c>
      <c r="X287" s="42">
        <v>2003</v>
      </c>
      <c r="Y287" s="42">
        <v>7</v>
      </c>
      <c r="Z287" s="44">
        <v>10.199999999999999</v>
      </c>
      <c r="AA287" s="42">
        <v>1985</v>
      </c>
      <c r="AB287" s="42">
        <v>16</v>
      </c>
      <c r="AC287" s="44">
        <v>10.4</v>
      </c>
      <c r="AD287" s="42">
        <v>1985</v>
      </c>
      <c r="AE287" s="42">
        <v>22</v>
      </c>
      <c r="AF287" s="44">
        <v>10.6</v>
      </c>
      <c r="AG287" s="42">
        <v>1983</v>
      </c>
      <c r="AH287" s="42">
        <v>2</v>
      </c>
      <c r="AI287" s="44">
        <v>10</v>
      </c>
      <c r="AJ287" s="42">
        <v>2005</v>
      </c>
      <c r="AK287" s="42">
        <v>3</v>
      </c>
      <c r="AL287" s="44">
        <v>10.4</v>
      </c>
      <c r="AM287" s="42">
        <v>1983</v>
      </c>
      <c r="AN287" s="42">
        <v>5</v>
      </c>
      <c r="AO287" s="44">
        <v>10</v>
      </c>
      <c r="AP287" s="42">
        <v>1999</v>
      </c>
      <c r="AQ287" s="42">
        <v>26</v>
      </c>
    </row>
    <row r="288" spans="1:43" ht="14.45" customHeight="1" x14ac:dyDescent="0.2">
      <c r="A288" s="42">
        <v>24015090</v>
      </c>
      <c r="B288" s="42" t="s">
        <v>1188</v>
      </c>
      <c r="C288" s="42">
        <v>5.7106666669999999</v>
      </c>
      <c r="D288" s="42">
        <v>-73.602277779999994</v>
      </c>
      <c r="E288" s="42">
        <v>2300</v>
      </c>
      <c r="F288" s="42" t="s">
        <v>216</v>
      </c>
      <c r="G288" s="42" t="s">
        <v>212</v>
      </c>
      <c r="H288" s="44">
        <v>5</v>
      </c>
      <c r="I288" s="42">
        <v>2010</v>
      </c>
      <c r="J288" s="42">
        <v>3</v>
      </c>
      <c r="K288" s="44">
        <v>3.8</v>
      </c>
      <c r="L288" s="42">
        <v>2007</v>
      </c>
      <c r="M288" s="42">
        <v>4</v>
      </c>
      <c r="N288" s="44">
        <v>6.8</v>
      </c>
      <c r="O288" s="42">
        <v>1990</v>
      </c>
      <c r="P288" s="42">
        <v>2</v>
      </c>
      <c r="Q288" s="44">
        <v>7.6</v>
      </c>
      <c r="R288" s="42">
        <v>1999</v>
      </c>
      <c r="S288" s="42">
        <v>4</v>
      </c>
      <c r="T288" s="44">
        <v>7.8</v>
      </c>
      <c r="U288" s="42">
        <v>1999</v>
      </c>
      <c r="V288" s="42">
        <v>3</v>
      </c>
      <c r="W288" s="44">
        <v>5.8</v>
      </c>
      <c r="X288" s="42">
        <v>2004</v>
      </c>
      <c r="Y288" s="42">
        <v>24</v>
      </c>
      <c r="Z288" s="44">
        <v>5</v>
      </c>
      <c r="AA288" s="42">
        <v>2004</v>
      </c>
      <c r="AB288" s="42">
        <v>1</v>
      </c>
      <c r="AC288" s="44">
        <v>6</v>
      </c>
      <c r="AD288" s="42">
        <v>2025</v>
      </c>
      <c r="AE288" s="42">
        <v>5</v>
      </c>
      <c r="AF288" s="44">
        <v>7</v>
      </c>
      <c r="AG288" s="42">
        <v>1992</v>
      </c>
      <c r="AH288" s="42">
        <v>17</v>
      </c>
      <c r="AI288" s="44">
        <v>6.8</v>
      </c>
      <c r="AJ288" s="42">
        <v>2000</v>
      </c>
      <c r="AK288" s="42">
        <v>30</v>
      </c>
      <c r="AL288" s="44">
        <v>7</v>
      </c>
      <c r="AM288" s="42">
        <v>1999</v>
      </c>
      <c r="AN288" s="42">
        <v>29</v>
      </c>
      <c r="AO288" s="44">
        <v>5.6</v>
      </c>
      <c r="AP288" s="42">
        <v>1989</v>
      </c>
      <c r="AQ288" s="42">
        <v>19</v>
      </c>
    </row>
    <row r="289" spans="1:43" ht="14.45" customHeight="1" x14ac:dyDescent="0.2">
      <c r="A289" s="42">
        <v>52025020</v>
      </c>
      <c r="B289" s="42" t="s">
        <v>1189</v>
      </c>
      <c r="C289" s="42">
        <v>1.753333333</v>
      </c>
      <c r="D289" s="42">
        <v>-76.891666670000006</v>
      </c>
      <c r="E289" s="42">
        <v>2300</v>
      </c>
      <c r="F289" s="42" t="s">
        <v>34</v>
      </c>
      <c r="G289" s="42" t="s">
        <v>181</v>
      </c>
      <c r="H289" s="44">
        <v>8.1999999999999993</v>
      </c>
      <c r="I289" s="42">
        <v>1980</v>
      </c>
      <c r="J289" s="42">
        <v>4</v>
      </c>
      <c r="K289" s="44">
        <v>8.4</v>
      </c>
      <c r="L289" s="42">
        <v>1978</v>
      </c>
      <c r="M289" s="42">
        <v>25</v>
      </c>
      <c r="N289" s="44">
        <v>8.4</v>
      </c>
      <c r="O289" s="42">
        <v>1978</v>
      </c>
      <c r="P289" s="42">
        <v>31</v>
      </c>
      <c r="Q289" s="44">
        <v>8.4</v>
      </c>
      <c r="R289" s="42">
        <v>1979</v>
      </c>
      <c r="S289" s="42">
        <v>4</v>
      </c>
      <c r="T289" s="44">
        <v>8.4</v>
      </c>
      <c r="U289" s="42">
        <v>1979</v>
      </c>
      <c r="V289" s="42">
        <v>23</v>
      </c>
      <c r="W289" s="44">
        <v>8.4</v>
      </c>
      <c r="X289" s="42">
        <v>1978</v>
      </c>
      <c r="Y289" s="42">
        <v>11</v>
      </c>
      <c r="Z289" s="44">
        <v>8.1999999999999993</v>
      </c>
      <c r="AA289" s="42">
        <v>1979</v>
      </c>
      <c r="AB289" s="42">
        <v>14</v>
      </c>
      <c r="AC289" s="44">
        <v>8</v>
      </c>
      <c r="AD289" s="42">
        <v>1979</v>
      </c>
      <c r="AE289" s="42">
        <v>24</v>
      </c>
      <c r="AF289" s="44">
        <v>8.1999999999999993</v>
      </c>
      <c r="AG289" s="42">
        <v>1979</v>
      </c>
      <c r="AH289" s="42">
        <v>15</v>
      </c>
      <c r="AI289" s="44">
        <v>8.1999999999999993</v>
      </c>
      <c r="AJ289" s="42">
        <v>1978</v>
      </c>
      <c r="AK289" s="42">
        <v>5</v>
      </c>
      <c r="AL289" s="44">
        <v>8</v>
      </c>
      <c r="AM289" s="42">
        <v>1978</v>
      </c>
      <c r="AN289" s="42">
        <v>3</v>
      </c>
      <c r="AO289" s="44">
        <v>8</v>
      </c>
      <c r="AP289" s="42">
        <v>1979</v>
      </c>
      <c r="AQ289" s="42">
        <v>21</v>
      </c>
    </row>
    <row r="290" spans="1:43" ht="14.45" customHeight="1" x14ac:dyDescent="0.2">
      <c r="A290" s="42">
        <v>26155170</v>
      </c>
      <c r="B290" s="42" t="s">
        <v>1190</v>
      </c>
      <c r="C290" s="42">
        <v>5.0322222219999997</v>
      </c>
      <c r="D290" s="42">
        <v>-75.438333330000006</v>
      </c>
      <c r="E290" s="42">
        <v>2325</v>
      </c>
      <c r="F290" s="42" t="s">
        <v>353</v>
      </c>
      <c r="G290" s="42" t="s">
        <v>116</v>
      </c>
      <c r="H290" s="44">
        <v>9</v>
      </c>
      <c r="I290" s="42">
        <v>2000</v>
      </c>
      <c r="J290" s="42">
        <v>10</v>
      </c>
      <c r="K290" s="44">
        <v>8.6</v>
      </c>
      <c r="L290" s="42">
        <v>2008</v>
      </c>
      <c r="M290" s="42">
        <v>4</v>
      </c>
      <c r="N290" s="44">
        <v>9.3000000000000007</v>
      </c>
      <c r="O290" s="42">
        <v>2022</v>
      </c>
      <c r="P290" s="42">
        <v>9</v>
      </c>
      <c r="Q290" s="44">
        <v>9</v>
      </c>
      <c r="R290" s="42">
        <v>2004</v>
      </c>
      <c r="S290" s="42">
        <v>17</v>
      </c>
      <c r="T290" s="44">
        <v>9</v>
      </c>
      <c r="U290" s="42">
        <v>2004</v>
      </c>
      <c r="V290" s="42">
        <v>17</v>
      </c>
      <c r="W290" s="44">
        <v>9.1999999999999993</v>
      </c>
      <c r="X290" s="42">
        <v>2004</v>
      </c>
      <c r="Y290" s="42">
        <v>7</v>
      </c>
      <c r="Z290" s="44">
        <v>9.4</v>
      </c>
      <c r="AA290" s="42">
        <v>2014</v>
      </c>
      <c r="AB290" s="42">
        <v>28</v>
      </c>
      <c r="AC290" s="44">
        <v>9.8000000000000007</v>
      </c>
      <c r="AD290" s="42">
        <v>1996</v>
      </c>
      <c r="AE290" s="42">
        <v>11</v>
      </c>
      <c r="AF290" s="44">
        <v>9.6</v>
      </c>
      <c r="AG290" s="42">
        <v>1998</v>
      </c>
      <c r="AH290" s="42">
        <v>17</v>
      </c>
      <c r="AI290" s="44">
        <v>9.1999999999999993</v>
      </c>
      <c r="AJ290" s="42">
        <v>2006</v>
      </c>
      <c r="AK290" s="42">
        <v>20</v>
      </c>
      <c r="AL290" s="44">
        <v>8</v>
      </c>
      <c r="AM290" s="42">
        <v>2008</v>
      </c>
      <c r="AN290" s="42">
        <v>9</v>
      </c>
      <c r="AO290" s="44">
        <v>8.4</v>
      </c>
      <c r="AP290" s="42">
        <v>2013</v>
      </c>
      <c r="AQ290" s="42">
        <v>29</v>
      </c>
    </row>
    <row r="291" spans="1:43" ht="14.45" customHeight="1" x14ac:dyDescent="0.2">
      <c r="A291" s="42">
        <v>16015020</v>
      </c>
      <c r="B291" s="42" t="s">
        <v>1191</v>
      </c>
      <c r="C291" s="42">
        <v>7.3731111110000001</v>
      </c>
      <c r="D291" s="42">
        <v>-72.644999999999996</v>
      </c>
      <c r="E291" s="42">
        <v>2340</v>
      </c>
      <c r="F291" s="42" t="s">
        <v>301</v>
      </c>
      <c r="G291" s="42" t="s">
        <v>300</v>
      </c>
      <c r="H291" s="44">
        <v>-1.2</v>
      </c>
      <c r="I291" s="42">
        <v>2022</v>
      </c>
      <c r="J291" s="42">
        <v>6</v>
      </c>
      <c r="K291" s="44">
        <v>0.6</v>
      </c>
      <c r="L291" s="42">
        <v>2007</v>
      </c>
      <c r="M291" s="42">
        <v>3</v>
      </c>
      <c r="N291" s="44">
        <v>0.6</v>
      </c>
      <c r="O291" s="42">
        <v>1997</v>
      </c>
      <c r="P291" s="42">
        <v>2</v>
      </c>
      <c r="Q291" s="44">
        <v>5.2</v>
      </c>
      <c r="R291" s="42">
        <v>2002</v>
      </c>
      <c r="S291" s="42">
        <v>6</v>
      </c>
      <c r="T291" s="44">
        <v>5.4</v>
      </c>
      <c r="U291" s="42">
        <v>1999</v>
      </c>
      <c r="V291" s="42">
        <v>27</v>
      </c>
      <c r="W291" s="44">
        <v>5.4</v>
      </c>
      <c r="X291" s="42">
        <v>1994</v>
      </c>
      <c r="Y291" s="42">
        <v>24</v>
      </c>
      <c r="Z291" s="44">
        <v>2.6</v>
      </c>
      <c r="AA291" s="42">
        <v>2004</v>
      </c>
      <c r="AB291" s="42">
        <v>29</v>
      </c>
      <c r="AC291" s="44">
        <v>5</v>
      </c>
      <c r="AD291" s="42">
        <v>1992</v>
      </c>
      <c r="AE291" s="42">
        <v>16</v>
      </c>
      <c r="AF291" s="44">
        <v>5</v>
      </c>
      <c r="AG291" s="42">
        <v>1997</v>
      </c>
      <c r="AH291" s="42">
        <v>30</v>
      </c>
      <c r="AI291" s="44">
        <v>5</v>
      </c>
      <c r="AJ291" s="42">
        <v>1992</v>
      </c>
      <c r="AK291" s="42">
        <v>13</v>
      </c>
      <c r="AL291" s="44">
        <v>2.8</v>
      </c>
      <c r="AM291" s="42">
        <v>2000</v>
      </c>
      <c r="AN291" s="42">
        <v>21</v>
      </c>
      <c r="AO291" s="44">
        <v>0.2</v>
      </c>
      <c r="AP291" s="42">
        <v>1993</v>
      </c>
      <c r="AQ291" s="42">
        <v>30</v>
      </c>
    </row>
    <row r="292" spans="1:43" ht="14.45" customHeight="1" x14ac:dyDescent="0.2">
      <c r="A292" s="42">
        <v>24035310</v>
      </c>
      <c r="B292" s="42" t="s">
        <v>1192</v>
      </c>
      <c r="C292" s="42">
        <v>6.5495277779999999</v>
      </c>
      <c r="D292" s="42">
        <v>-72.504722220000005</v>
      </c>
      <c r="E292" s="42">
        <v>2350</v>
      </c>
      <c r="F292" s="42" t="s">
        <v>234</v>
      </c>
      <c r="G292" s="42" t="s">
        <v>212</v>
      </c>
      <c r="H292" s="44">
        <v>4.5999999999999996</v>
      </c>
      <c r="I292" s="42">
        <v>2006</v>
      </c>
      <c r="J292" s="42">
        <v>1</v>
      </c>
      <c r="K292" s="44">
        <v>4.5999999999999996</v>
      </c>
      <c r="L292" s="42">
        <v>2008</v>
      </c>
      <c r="M292" s="42">
        <v>4</v>
      </c>
      <c r="N292" s="44">
        <v>5.8</v>
      </c>
      <c r="O292" s="42">
        <v>2008</v>
      </c>
      <c r="P292" s="42">
        <v>1</v>
      </c>
      <c r="Q292" s="44">
        <v>6</v>
      </c>
      <c r="R292" s="42">
        <v>1992</v>
      </c>
      <c r="S292" s="42">
        <v>25</v>
      </c>
      <c r="T292" s="44">
        <v>6.2</v>
      </c>
      <c r="U292" s="42">
        <v>1985</v>
      </c>
      <c r="V292" s="42">
        <v>19</v>
      </c>
      <c r="W292" s="44">
        <v>5.2</v>
      </c>
      <c r="X292" s="42">
        <v>1987</v>
      </c>
      <c r="Y292" s="42">
        <v>26</v>
      </c>
      <c r="Z292" s="44">
        <v>5</v>
      </c>
      <c r="AA292" s="42">
        <v>1985</v>
      </c>
      <c r="AB292" s="42">
        <v>18</v>
      </c>
      <c r="AC292" s="44">
        <v>6.2</v>
      </c>
      <c r="AD292" s="42">
        <v>1985</v>
      </c>
      <c r="AE292" s="42">
        <v>3</v>
      </c>
      <c r="AF292" s="44">
        <v>4.8</v>
      </c>
      <c r="AG292" s="42">
        <v>1984</v>
      </c>
      <c r="AH292" s="42">
        <v>19</v>
      </c>
      <c r="AI292" s="44">
        <v>4.5999999999999996</v>
      </c>
      <c r="AJ292" s="42">
        <v>2005</v>
      </c>
      <c r="AK292" s="42">
        <v>6</v>
      </c>
      <c r="AL292" s="44">
        <v>4.8</v>
      </c>
      <c r="AM292" s="42">
        <v>2005</v>
      </c>
      <c r="AN292" s="42">
        <v>27</v>
      </c>
      <c r="AO292" s="44">
        <v>4</v>
      </c>
      <c r="AP292" s="42">
        <v>1986</v>
      </c>
      <c r="AQ292" s="42">
        <v>30</v>
      </c>
    </row>
    <row r="293" spans="1:43" ht="14.45" customHeight="1" x14ac:dyDescent="0.2">
      <c r="A293" s="42">
        <v>35075010</v>
      </c>
      <c r="B293" s="42" t="s">
        <v>1193</v>
      </c>
      <c r="C293" s="42">
        <v>5.3526944439999999</v>
      </c>
      <c r="D293" s="42">
        <v>-73.453777779999996</v>
      </c>
      <c r="E293" s="42">
        <v>2438</v>
      </c>
      <c r="F293" s="42" t="s">
        <v>240</v>
      </c>
      <c r="G293" s="42" t="s">
        <v>212</v>
      </c>
      <c r="H293" s="44">
        <v>0.8</v>
      </c>
      <c r="I293" s="42">
        <v>1983</v>
      </c>
      <c r="J293" s="42">
        <v>22</v>
      </c>
      <c r="K293" s="44">
        <v>3</v>
      </c>
      <c r="L293" s="42">
        <v>2007</v>
      </c>
      <c r="M293" s="42">
        <v>4</v>
      </c>
      <c r="N293" s="44">
        <v>4</v>
      </c>
      <c r="O293" s="42">
        <v>2024</v>
      </c>
      <c r="P293" s="42">
        <v>29</v>
      </c>
      <c r="Q293" s="44">
        <v>2.5</v>
      </c>
      <c r="R293" s="42">
        <v>1998</v>
      </c>
      <c r="S293" s="42">
        <v>23</v>
      </c>
      <c r="T293" s="44">
        <v>6</v>
      </c>
      <c r="U293" s="42">
        <v>1999</v>
      </c>
      <c r="V293" s="42">
        <v>11</v>
      </c>
      <c r="W293" s="44">
        <v>5.8</v>
      </c>
      <c r="X293" s="42">
        <v>1989</v>
      </c>
      <c r="Y293" s="42">
        <v>16</v>
      </c>
      <c r="Z293" s="44">
        <v>4.2</v>
      </c>
      <c r="AA293" s="42">
        <v>2010</v>
      </c>
      <c r="AB293" s="42">
        <v>24</v>
      </c>
      <c r="AC293" s="44">
        <v>2</v>
      </c>
      <c r="AD293" s="42">
        <v>2005</v>
      </c>
      <c r="AE293" s="42">
        <v>27</v>
      </c>
      <c r="AF293" s="44">
        <v>3.8</v>
      </c>
      <c r="AG293" s="42">
        <v>2004</v>
      </c>
      <c r="AH293" s="42">
        <v>8</v>
      </c>
      <c r="AI293" s="44">
        <v>0.6</v>
      </c>
      <c r="AJ293" s="42">
        <v>2018</v>
      </c>
      <c r="AK293" s="42">
        <v>10</v>
      </c>
      <c r="AL293" s="44">
        <v>4.5999999999999996</v>
      </c>
      <c r="AM293" s="42">
        <v>1983</v>
      </c>
      <c r="AN293" s="42">
        <v>6</v>
      </c>
      <c r="AO293" s="44">
        <v>3.4</v>
      </c>
      <c r="AP293" s="42">
        <v>1985</v>
      </c>
      <c r="AQ293" s="42">
        <v>18</v>
      </c>
    </row>
    <row r="294" spans="1:43" ht="14.45" customHeight="1" x14ac:dyDescent="0.2">
      <c r="A294" s="42">
        <v>52015010</v>
      </c>
      <c r="B294" s="42" t="s">
        <v>1194</v>
      </c>
      <c r="C294" s="42">
        <v>2.2497222219999999</v>
      </c>
      <c r="D294" s="42">
        <v>-76.611944440000002</v>
      </c>
      <c r="E294" s="42">
        <v>2450</v>
      </c>
      <c r="F294" s="42" t="s">
        <v>582</v>
      </c>
      <c r="G294" s="42" t="s">
        <v>181</v>
      </c>
      <c r="H294" s="44">
        <v>5.4</v>
      </c>
      <c r="I294" s="42">
        <v>1999</v>
      </c>
      <c r="J294" s="42">
        <v>13</v>
      </c>
      <c r="K294" s="44">
        <v>6.4</v>
      </c>
      <c r="L294" s="42">
        <v>1999</v>
      </c>
      <c r="M294" s="42">
        <v>21</v>
      </c>
      <c r="N294" s="44">
        <v>4.5</v>
      </c>
      <c r="O294" s="42">
        <v>1998</v>
      </c>
      <c r="P294" s="42">
        <v>15</v>
      </c>
      <c r="Q294" s="44">
        <v>6.5</v>
      </c>
      <c r="R294" s="42">
        <v>1999</v>
      </c>
      <c r="S294" s="42">
        <v>5</v>
      </c>
      <c r="T294" s="44">
        <v>5.5</v>
      </c>
      <c r="U294" s="42">
        <v>1998</v>
      </c>
      <c r="V294" s="42">
        <v>4</v>
      </c>
      <c r="W294" s="44">
        <v>4.5</v>
      </c>
      <c r="X294" s="42">
        <v>1998</v>
      </c>
      <c r="Y294" s="42">
        <v>24</v>
      </c>
      <c r="Z294" s="44">
        <v>5.4</v>
      </c>
      <c r="AA294" s="42">
        <v>1998</v>
      </c>
      <c r="AB294" s="42">
        <v>7</v>
      </c>
      <c r="AC294" s="44">
        <v>4.2</v>
      </c>
      <c r="AD294" s="42">
        <v>2022</v>
      </c>
      <c r="AE294" s="42">
        <v>23</v>
      </c>
      <c r="AF294" s="44">
        <v>4.7</v>
      </c>
      <c r="AG294" s="42">
        <v>2022</v>
      </c>
      <c r="AH294" s="42">
        <v>1</v>
      </c>
      <c r="AI294" s="44">
        <v>5</v>
      </c>
      <c r="AJ294" s="42">
        <v>1997</v>
      </c>
      <c r="AK294" s="42">
        <v>1</v>
      </c>
      <c r="AL294" s="44">
        <v>5.2</v>
      </c>
      <c r="AM294" s="42">
        <v>1997</v>
      </c>
      <c r="AN294" s="42">
        <v>15</v>
      </c>
      <c r="AO294" s="44">
        <v>5.8</v>
      </c>
      <c r="AP294" s="42">
        <v>1998</v>
      </c>
      <c r="AQ294" s="42">
        <v>27</v>
      </c>
    </row>
    <row r="295" spans="1:43" ht="14.45" customHeight="1" x14ac:dyDescent="0.2">
      <c r="A295" s="42">
        <v>24035120</v>
      </c>
      <c r="B295" s="42" t="s">
        <v>1195</v>
      </c>
      <c r="C295" s="42">
        <v>5.8024444439999998</v>
      </c>
      <c r="D295" s="42">
        <v>-73.074472220000004</v>
      </c>
      <c r="E295" s="42">
        <v>2485</v>
      </c>
      <c r="F295" s="42" t="s">
        <v>228</v>
      </c>
      <c r="G295" s="42" t="s">
        <v>212</v>
      </c>
      <c r="H295" s="44">
        <v>-6.6</v>
      </c>
      <c r="I295" s="42">
        <v>2010</v>
      </c>
      <c r="J295" s="42">
        <v>4</v>
      </c>
      <c r="K295" s="44">
        <v>-8</v>
      </c>
      <c r="L295" s="42">
        <v>2007</v>
      </c>
      <c r="M295" s="42">
        <v>4</v>
      </c>
      <c r="N295" s="44">
        <v>-4.4000000000000004</v>
      </c>
      <c r="O295" s="42">
        <v>2010</v>
      </c>
      <c r="P295" s="42">
        <v>25</v>
      </c>
      <c r="Q295" s="44">
        <v>-0.2</v>
      </c>
      <c r="R295" s="42">
        <v>2024</v>
      </c>
      <c r="S295" s="42">
        <v>10</v>
      </c>
      <c r="T295" s="44">
        <v>0</v>
      </c>
      <c r="U295" s="42">
        <v>1984</v>
      </c>
      <c r="V295" s="42">
        <v>6</v>
      </c>
      <c r="W295" s="44">
        <v>-5.8</v>
      </c>
      <c r="X295" s="42">
        <v>2015</v>
      </c>
      <c r="Y295" s="42">
        <v>30</v>
      </c>
      <c r="Z295" s="44">
        <v>-1.4</v>
      </c>
      <c r="AA295" s="42">
        <v>1985</v>
      </c>
      <c r="AB295" s="42">
        <v>1</v>
      </c>
      <c r="AC295" s="44">
        <v>-1.1000000000000001</v>
      </c>
      <c r="AD295" s="42">
        <v>2014</v>
      </c>
      <c r="AE295" s="42">
        <v>30</v>
      </c>
      <c r="AF295" s="44">
        <v>-0.2</v>
      </c>
      <c r="AG295" s="42">
        <v>1986</v>
      </c>
      <c r="AH295" s="42">
        <v>16</v>
      </c>
      <c r="AI295" s="44">
        <v>-1.2</v>
      </c>
      <c r="AJ295" s="42">
        <v>1991</v>
      </c>
      <c r="AK295" s="42">
        <v>21</v>
      </c>
      <c r="AL295" s="44">
        <v>-0.3</v>
      </c>
      <c r="AM295" s="42">
        <v>1987</v>
      </c>
      <c r="AN295" s="42">
        <v>12</v>
      </c>
      <c r="AO295" s="44">
        <v>-4</v>
      </c>
      <c r="AP295" s="42">
        <v>1985</v>
      </c>
      <c r="AQ295" s="42">
        <v>18</v>
      </c>
    </row>
    <row r="296" spans="1:43" ht="14.45" customHeight="1" x14ac:dyDescent="0.2">
      <c r="A296" s="42">
        <v>24035340</v>
      </c>
      <c r="B296" s="42" t="s">
        <v>1196</v>
      </c>
      <c r="C296" s="42">
        <v>5.6769444440000001</v>
      </c>
      <c r="D296" s="42">
        <v>-72.967916669999994</v>
      </c>
      <c r="E296" s="42">
        <v>2500</v>
      </c>
      <c r="F296" s="42" t="s">
        <v>536</v>
      </c>
      <c r="G296" s="42" t="s">
        <v>212</v>
      </c>
      <c r="H296" s="44">
        <v>-6.6</v>
      </c>
      <c r="I296" s="42">
        <v>2015</v>
      </c>
      <c r="J296" s="42">
        <v>6</v>
      </c>
      <c r="K296" s="44">
        <v>-8.8000000000000007</v>
      </c>
      <c r="L296" s="42">
        <v>1995</v>
      </c>
      <c r="M296" s="42">
        <v>15</v>
      </c>
      <c r="N296" s="44">
        <v>-6.8</v>
      </c>
      <c r="O296" s="42">
        <v>1992</v>
      </c>
      <c r="P296" s="42">
        <v>24</v>
      </c>
      <c r="Q296" s="44">
        <v>-4</v>
      </c>
      <c r="R296" s="42">
        <v>1987</v>
      </c>
      <c r="S296" s="42">
        <v>15</v>
      </c>
      <c r="T296" s="44">
        <v>-0.8</v>
      </c>
      <c r="U296" s="42">
        <v>1999</v>
      </c>
      <c r="V296" s="42">
        <v>25</v>
      </c>
      <c r="W296" s="44">
        <v>-0.9</v>
      </c>
      <c r="X296" s="42">
        <v>2008</v>
      </c>
      <c r="Y296" s="42">
        <v>4</v>
      </c>
      <c r="Z296" s="44">
        <v>-1.8</v>
      </c>
      <c r="AA296" s="42">
        <v>2000</v>
      </c>
      <c r="AB296" s="42">
        <v>9</v>
      </c>
      <c r="AC296" s="44">
        <v>-3</v>
      </c>
      <c r="AD296" s="42">
        <v>2014</v>
      </c>
      <c r="AE296" s="42">
        <v>30</v>
      </c>
      <c r="AF296" s="44">
        <v>-2.4</v>
      </c>
      <c r="AG296" s="42">
        <v>2009</v>
      </c>
      <c r="AH296" s="42">
        <v>30</v>
      </c>
      <c r="AI296" s="44">
        <v>-2.6</v>
      </c>
      <c r="AJ296" s="42">
        <v>2009</v>
      </c>
      <c r="AK296" s="42">
        <v>9</v>
      </c>
      <c r="AL296" s="44">
        <v>-1.2</v>
      </c>
      <c r="AM296" s="42">
        <v>1987</v>
      </c>
      <c r="AN296" s="42">
        <v>12</v>
      </c>
      <c r="AO296" s="44">
        <v>-7</v>
      </c>
      <c r="AP296" s="42">
        <v>1985</v>
      </c>
      <c r="AQ296" s="42">
        <v>19</v>
      </c>
    </row>
    <row r="297" spans="1:43" ht="14.45" customHeight="1" x14ac:dyDescent="0.2">
      <c r="A297" s="42">
        <v>24035430</v>
      </c>
      <c r="B297" s="42" t="s">
        <v>1197</v>
      </c>
      <c r="C297" s="42">
        <v>5.7458299999999998</v>
      </c>
      <c r="D297" s="42">
        <v>-73.11636</v>
      </c>
      <c r="E297" s="42">
        <v>2521</v>
      </c>
      <c r="F297" s="42" t="s">
        <v>238</v>
      </c>
      <c r="G297" s="42" t="s">
        <v>212</v>
      </c>
      <c r="H297" s="44">
        <v>-4</v>
      </c>
      <c r="I297" s="42">
        <v>2002</v>
      </c>
      <c r="J297" s="42">
        <v>27</v>
      </c>
      <c r="K297" s="44">
        <v>-8</v>
      </c>
      <c r="L297" s="42">
        <v>1985</v>
      </c>
      <c r="M297" s="42">
        <v>5</v>
      </c>
      <c r="N297" s="44">
        <v>-1.9</v>
      </c>
      <c r="O297" s="42">
        <v>1992</v>
      </c>
      <c r="P297" s="42">
        <v>24</v>
      </c>
      <c r="Q297" s="44">
        <v>-1.2</v>
      </c>
      <c r="R297" s="42">
        <v>2024</v>
      </c>
      <c r="S297" s="42">
        <v>10</v>
      </c>
      <c r="T297" s="44">
        <v>1</v>
      </c>
      <c r="U297" s="42">
        <v>1999</v>
      </c>
      <c r="V297" s="42">
        <v>25</v>
      </c>
      <c r="W297" s="44">
        <v>-0.2</v>
      </c>
      <c r="X297" s="42">
        <v>1989</v>
      </c>
      <c r="Y297" s="42">
        <v>16</v>
      </c>
      <c r="Z297" s="44">
        <v>-1.4</v>
      </c>
      <c r="AA297" s="42">
        <v>1986</v>
      </c>
      <c r="AB297" s="42">
        <v>13</v>
      </c>
      <c r="AC297" s="44">
        <v>-0.2</v>
      </c>
      <c r="AD297" s="42">
        <v>2024</v>
      </c>
      <c r="AE297" s="42">
        <v>18</v>
      </c>
      <c r="AF297" s="44">
        <v>-0.4</v>
      </c>
      <c r="AG297" s="42">
        <v>1986</v>
      </c>
      <c r="AH297" s="42">
        <v>15</v>
      </c>
      <c r="AI297" s="44">
        <v>-1.4</v>
      </c>
      <c r="AJ297" s="42">
        <v>2009</v>
      </c>
      <c r="AK297" s="42">
        <v>9</v>
      </c>
      <c r="AL297" s="44">
        <v>0.2</v>
      </c>
      <c r="AM297" s="42">
        <v>2012</v>
      </c>
      <c r="AN297" s="42">
        <v>7</v>
      </c>
      <c r="AO297" s="44">
        <v>-3.8</v>
      </c>
      <c r="AP297" s="42">
        <v>1987</v>
      </c>
      <c r="AQ297" s="42">
        <v>17</v>
      </c>
    </row>
    <row r="298" spans="1:43" ht="14.45" customHeight="1" x14ac:dyDescent="0.2">
      <c r="A298" s="42">
        <v>24035150</v>
      </c>
      <c r="B298" s="42" t="s">
        <v>1198</v>
      </c>
      <c r="C298" s="42">
        <v>5.7815833330000004</v>
      </c>
      <c r="D298" s="42">
        <v>-72.894305560000006</v>
      </c>
      <c r="E298" s="42">
        <v>2530</v>
      </c>
      <c r="F298" s="42" t="s">
        <v>1199</v>
      </c>
      <c r="G298" s="42" t="s">
        <v>212</v>
      </c>
      <c r="H298" s="44">
        <v>0.1</v>
      </c>
      <c r="I298" s="42">
        <v>1991</v>
      </c>
      <c r="J298" s="42">
        <v>30</v>
      </c>
      <c r="K298" s="44">
        <v>0</v>
      </c>
      <c r="L298" s="42">
        <v>2020</v>
      </c>
      <c r="M298" s="42">
        <v>6</v>
      </c>
      <c r="N298" s="44">
        <v>1</v>
      </c>
      <c r="O298" s="42">
        <v>1997</v>
      </c>
      <c r="P298" s="42">
        <v>8</v>
      </c>
      <c r="Q298" s="44">
        <v>1.4</v>
      </c>
      <c r="R298" s="42">
        <v>1991</v>
      </c>
      <c r="S298" s="42">
        <v>25</v>
      </c>
      <c r="T298" s="44">
        <v>4</v>
      </c>
      <c r="U298" s="42">
        <v>1985</v>
      </c>
      <c r="V298" s="42">
        <v>5</v>
      </c>
      <c r="W298" s="44">
        <v>2.6</v>
      </c>
      <c r="X298" s="42">
        <v>1997</v>
      </c>
      <c r="Y298" s="42">
        <v>21</v>
      </c>
      <c r="Z298" s="44">
        <v>1.4</v>
      </c>
      <c r="AA298" s="42">
        <v>1986</v>
      </c>
      <c r="AB298" s="42">
        <v>19</v>
      </c>
      <c r="AC298" s="44">
        <v>0.5</v>
      </c>
      <c r="AD298" s="42">
        <v>1997</v>
      </c>
      <c r="AE298" s="42">
        <v>16</v>
      </c>
      <c r="AF298" s="44">
        <v>0.1</v>
      </c>
      <c r="AG298" s="42">
        <v>1997</v>
      </c>
      <c r="AH298" s="42">
        <v>30</v>
      </c>
      <c r="AI298" s="44">
        <v>0</v>
      </c>
      <c r="AJ298" s="42">
        <v>1997</v>
      </c>
      <c r="AK298" s="42">
        <v>8</v>
      </c>
      <c r="AL298" s="44">
        <v>0.2</v>
      </c>
      <c r="AM298" s="42">
        <v>1997</v>
      </c>
      <c r="AN298" s="42">
        <v>23</v>
      </c>
      <c r="AO298" s="44">
        <v>-3.2</v>
      </c>
      <c r="AP298" s="42">
        <v>1985</v>
      </c>
      <c r="AQ298" s="42">
        <v>18</v>
      </c>
    </row>
    <row r="299" spans="1:43" ht="14.45" customHeight="1" x14ac:dyDescent="0.2">
      <c r="A299" s="42">
        <v>21205420</v>
      </c>
      <c r="B299" s="42" t="s">
        <v>1200</v>
      </c>
      <c r="C299" s="42">
        <v>4.6886619999999999</v>
      </c>
      <c r="D299" s="42">
        <v>-74.205625999999995</v>
      </c>
      <c r="E299" s="42">
        <v>2543</v>
      </c>
      <c r="F299" s="42" t="s">
        <v>387</v>
      </c>
      <c r="G299" s="42" t="s">
        <v>73</v>
      </c>
      <c r="H299" s="44">
        <v>-3.6</v>
      </c>
      <c r="I299" s="42">
        <v>1991</v>
      </c>
      <c r="J299" s="42">
        <v>26</v>
      </c>
      <c r="K299" s="44">
        <v>-5.0999999999999996</v>
      </c>
      <c r="L299" s="42">
        <v>1995</v>
      </c>
      <c r="M299" s="42">
        <v>15</v>
      </c>
      <c r="N299" s="44">
        <v>-3.8</v>
      </c>
      <c r="O299" s="42">
        <v>1992</v>
      </c>
      <c r="P299" s="42">
        <v>24</v>
      </c>
      <c r="Q299" s="44">
        <v>-0.2</v>
      </c>
      <c r="R299" s="42">
        <v>1985</v>
      </c>
      <c r="S299" s="42">
        <v>13</v>
      </c>
      <c r="T299" s="44">
        <v>0</v>
      </c>
      <c r="U299" s="42">
        <v>1979</v>
      </c>
      <c r="V299" s="42">
        <v>10</v>
      </c>
      <c r="W299" s="44">
        <v>0.1</v>
      </c>
      <c r="X299" s="42">
        <v>1980</v>
      </c>
      <c r="Y299" s="42">
        <v>28</v>
      </c>
      <c r="Z299" s="44">
        <v>-1.8</v>
      </c>
      <c r="AA299" s="42">
        <v>1986</v>
      </c>
      <c r="AB299" s="42">
        <v>19</v>
      </c>
      <c r="AC299" s="44">
        <v>-1.5</v>
      </c>
      <c r="AD299" s="42">
        <v>1989</v>
      </c>
      <c r="AE299" s="42">
        <v>3</v>
      </c>
      <c r="AF299" s="44">
        <v>-1.8</v>
      </c>
      <c r="AG299" s="42">
        <v>1996</v>
      </c>
      <c r="AH299" s="42">
        <v>23</v>
      </c>
      <c r="AI299" s="44">
        <v>-0.7</v>
      </c>
      <c r="AJ299" s="42">
        <v>1991</v>
      </c>
      <c r="AK299" s="42">
        <v>25</v>
      </c>
      <c r="AL299" s="44">
        <v>0</v>
      </c>
      <c r="AM299" s="42">
        <v>1978</v>
      </c>
      <c r="AN299" s="42">
        <v>28</v>
      </c>
      <c r="AO299" s="44">
        <v>-4.5999999999999996</v>
      </c>
      <c r="AP299" s="42">
        <v>1993</v>
      </c>
      <c r="AQ299" s="42">
        <v>31</v>
      </c>
    </row>
    <row r="300" spans="1:43" ht="14.45" customHeight="1" x14ac:dyDescent="0.2">
      <c r="A300" s="42">
        <v>21205791</v>
      </c>
      <c r="B300" s="42" t="s">
        <v>1201</v>
      </c>
      <c r="C300" s="42">
        <v>4.7055829999999998</v>
      </c>
      <c r="D300" s="42">
        <v>-74.150666999999999</v>
      </c>
      <c r="E300" s="42">
        <v>2547</v>
      </c>
      <c r="F300" s="42" t="s">
        <v>409</v>
      </c>
      <c r="G300" s="42" t="s">
        <v>74</v>
      </c>
      <c r="H300" s="44">
        <v>-2.4</v>
      </c>
      <c r="I300" s="42">
        <v>1995</v>
      </c>
      <c r="J300" s="42">
        <v>24</v>
      </c>
      <c r="K300" s="44">
        <v>-6.4</v>
      </c>
      <c r="L300" s="42">
        <v>1995</v>
      </c>
      <c r="M300" s="42">
        <v>15</v>
      </c>
      <c r="N300" s="44">
        <v>-1.9</v>
      </c>
      <c r="O300" s="42">
        <v>1992</v>
      </c>
      <c r="P300" s="42">
        <v>24</v>
      </c>
      <c r="Q300" s="44">
        <v>0.2</v>
      </c>
      <c r="R300" s="42">
        <v>1975</v>
      </c>
      <c r="S300" s="42">
        <v>13</v>
      </c>
      <c r="T300" s="44">
        <v>0.7</v>
      </c>
      <c r="U300" s="42">
        <v>1984</v>
      </c>
      <c r="V300" s="42">
        <v>6</v>
      </c>
      <c r="W300" s="44">
        <v>1</v>
      </c>
      <c r="X300" s="42">
        <v>1974</v>
      </c>
      <c r="Y300" s="42">
        <v>5</v>
      </c>
      <c r="Z300" s="44">
        <v>0.4</v>
      </c>
      <c r="AA300" s="42">
        <v>1986</v>
      </c>
      <c r="AB300" s="42">
        <v>19</v>
      </c>
      <c r="AC300" s="44">
        <v>-0.3</v>
      </c>
      <c r="AD300" s="42">
        <v>1989</v>
      </c>
      <c r="AE300" s="42">
        <v>3</v>
      </c>
      <c r="AF300" s="44">
        <v>-0.2</v>
      </c>
      <c r="AG300" s="42">
        <v>1992</v>
      </c>
      <c r="AH300" s="42">
        <v>17</v>
      </c>
      <c r="AI300" s="44">
        <v>0.5</v>
      </c>
      <c r="AJ300" s="42">
        <v>1991</v>
      </c>
      <c r="AK300" s="42">
        <v>25</v>
      </c>
      <c r="AL300" s="44">
        <v>0.6</v>
      </c>
      <c r="AM300" s="42">
        <v>1980</v>
      </c>
      <c r="AN300" s="42">
        <v>9</v>
      </c>
      <c r="AO300" s="44">
        <v>-2</v>
      </c>
      <c r="AP300" s="42">
        <v>1993</v>
      </c>
      <c r="AQ300" s="42">
        <v>31</v>
      </c>
    </row>
    <row r="301" spans="1:43" ht="14.45" customHeight="1" x14ac:dyDescent="0.2">
      <c r="A301" s="42">
        <v>2120500135</v>
      </c>
      <c r="B301" s="42" t="s">
        <v>1202</v>
      </c>
      <c r="C301" s="42">
        <v>4.8541400000000001</v>
      </c>
      <c r="D301" s="42">
        <v>-74.032690000000002</v>
      </c>
      <c r="E301" s="42">
        <v>2548</v>
      </c>
      <c r="F301" s="42" t="s">
        <v>635</v>
      </c>
      <c r="G301" s="42" t="s">
        <v>73</v>
      </c>
      <c r="H301" s="44">
        <v>5.2</v>
      </c>
      <c r="I301" s="42">
        <v>2021</v>
      </c>
      <c r="J301" s="42">
        <v>8</v>
      </c>
      <c r="K301" s="44">
        <v>5.2</v>
      </c>
      <c r="L301" s="42">
        <v>2021</v>
      </c>
      <c r="M301" s="42">
        <v>11</v>
      </c>
      <c r="N301" s="44">
        <v>5.2</v>
      </c>
      <c r="O301" s="42">
        <v>2021</v>
      </c>
      <c r="P301" s="42">
        <v>20</v>
      </c>
      <c r="Q301" s="44">
        <v>5.2</v>
      </c>
      <c r="R301" s="42">
        <v>2021</v>
      </c>
      <c r="S301" s="42">
        <v>4</v>
      </c>
      <c r="T301" s="44">
        <v>5</v>
      </c>
      <c r="U301" s="42">
        <v>2021</v>
      </c>
      <c r="V301" s="42">
        <v>10</v>
      </c>
      <c r="W301" s="44">
        <v>5.2</v>
      </c>
      <c r="X301" s="42">
        <v>2021</v>
      </c>
      <c r="Y301" s="42">
        <v>2</v>
      </c>
      <c r="Z301" s="44">
        <v>5</v>
      </c>
      <c r="AA301" s="42">
        <v>2021</v>
      </c>
      <c r="AB301" s="42">
        <v>30</v>
      </c>
      <c r="AC301" s="44">
        <v>5.2</v>
      </c>
      <c r="AD301" s="42">
        <v>2021</v>
      </c>
      <c r="AE301" s="42">
        <v>9</v>
      </c>
      <c r="AF301" s="44">
        <v>7.2</v>
      </c>
      <c r="AG301" s="42">
        <v>2021</v>
      </c>
      <c r="AH301" s="42">
        <v>8</v>
      </c>
      <c r="AI301" s="44">
        <v>5.2</v>
      </c>
      <c r="AJ301" s="42">
        <v>2020</v>
      </c>
      <c r="AK301" s="42">
        <v>19</v>
      </c>
      <c r="AL301" s="44">
        <v>5.2</v>
      </c>
      <c r="AM301" s="42">
        <v>2020</v>
      </c>
      <c r="AN301" s="42">
        <v>3</v>
      </c>
      <c r="AO301" s="44">
        <v>5.2</v>
      </c>
      <c r="AP301" s="42">
        <v>2020</v>
      </c>
      <c r="AQ301" s="42">
        <v>7</v>
      </c>
    </row>
    <row r="302" spans="1:43" ht="14.45" customHeight="1" x14ac:dyDescent="0.2">
      <c r="A302" s="42">
        <v>21205770</v>
      </c>
      <c r="B302" s="42" t="s">
        <v>1203</v>
      </c>
      <c r="C302" s="42">
        <v>4.7288055560000002</v>
      </c>
      <c r="D302" s="42">
        <v>-74.272499999999994</v>
      </c>
      <c r="E302" s="42">
        <v>2550</v>
      </c>
      <c r="F302" s="42" t="s">
        <v>406</v>
      </c>
      <c r="G302" s="42" t="s">
        <v>73</v>
      </c>
      <c r="H302" s="44">
        <v>-3</v>
      </c>
      <c r="I302" s="42">
        <v>1991</v>
      </c>
      <c r="J302" s="42">
        <v>26</v>
      </c>
      <c r="K302" s="44">
        <v>-3.6</v>
      </c>
      <c r="L302" s="42">
        <v>2007</v>
      </c>
      <c r="M302" s="42">
        <v>4</v>
      </c>
      <c r="N302" s="44">
        <v>-2</v>
      </c>
      <c r="O302" s="42">
        <v>1986</v>
      </c>
      <c r="P302" s="42">
        <v>21</v>
      </c>
      <c r="Q302" s="44">
        <v>-3</v>
      </c>
      <c r="R302" s="42">
        <v>1990</v>
      </c>
      <c r="S302" s="42">
        <v>13</v>
      </c>
      <c r="T302" s="44">
        <v>-2.2000000000000002</v>
      </c>
      <c r="U302" s="42">
        <v>1986</v>
      </c>
      <c r="V302" s="42">
        <v>3</v>
      </c>
      <c r="W302" s="44">
        <v>-2.2999999999999998</v>
      </c>
      <c r="X302" s="42">
        <v>1983</v>
      </c>
      <c r="Y302" s="42">
        <v>9</v>
      </c>
      <c r="Z302" s="44">
        <v>0</v>
      </c>
      <c r="AA302" s="42">
        <v>1984</v>
      </c>
      <c r="AB302" s="42">
        <v>21</v>
      </c>
      <c r="AC302" s="44">
        <v>-2</v>
      </c>
      <c r="AD302" s="42">
        <v>1983</v>
      </c>
      <c r="AE302" s="42">
        <v>4</v>
      </c>
      <c r="AF302" s="44">
        <v>-0.5</v>
      </c>
      <c r="AG302" s="42">
        <v>2020</v>
      </c>
      <c r="AH302" s="42">
        <v>11</v>
      </c>
      <c r="AI302" s="44">
        <v>-1</v>
      </c>
      <c r="AJ302" s="42">
        <v>2021</v>
      </c>
      <c r="AK302" s="42">
        <v>21</v>
      </c>
      <c r="AL302" s="44">
        <v>0.6</v>
      </c>
      <c r="AM302" s="42">
        <v>1990</v>
      </c>
      <c r="AN302" s="42">
        <v>9</v>
      </c>
      <c r="AO302" s="44">
        <v>-2.2000000000000002</v>
      </c>
      <c r="AP302" s="42">
        <v>1986</v>
      </c>
      <c r="AQ302" s="42">
        <v>26</v>
      </c>
    </row>
    <row r="303" spans="1:43" ht="14.45" customHeight="1" x14ac:dyDescent="0.2">
      <c r="A303" s="42">
        <v>21206010</v>
      </c>
      <c r="B303" s="42" t="s">
        <v>1204</v>
      </c>
      <c r="C303" s="42">
        <v>5.0890277780000002</v>
      </c>
      <c r="D303" s="42">
        <v>-73.802750000000003</v>
      </c>
      <c r="E303" s="42">
        <v>2550</v>
      </c>
      <c r="F303" s="42" t="s">
        <v>662</v>
      </c>
      <c r="G303" s="42" t="s">
        <v>73</v>
      </c>
      <c r="H303" s="44">
        <v>-4.8</v>
      </c>
      <c r="I303" s="42">
        <v>2010</v>
      </c>
      <c r="J303" s="42">
        <v>4</v>
      </c>
      <c r="K303" s="44">
        <v>-4.8</v>
      </c>
      <c r="L303" s="42">
        <v>2007</v>
      </c>
      <c r="M303" s="42">
        <v>4</v>
      </c>
      <c r="N303" s="44">
        <v>-0.2</v>
      </c>
      <c r="O303" s="42">
        <v>2007</v>
      </c>
      <c r="P303" s="42">
        <v>2</v>
      </c>
      <c r="Q303" s="44">
        <v>1</v>
      </c>
      <c r="R303" s="42">
        <v>2001</v>
      </c>
      <c r="S303" s="42">
        <v>22</v>
      </c>
      <c r="T303" s="44">
        <v>0.4</v>
      </c>
      <c r="U303" s="42">
        <v>2019</v>
      </c>
      <c r="V303" s="42">
        <v>1</v>
      </c>
      <c r="W303" s="44">
        <v>1</v>
      </c>
      <c r="X303" s="42">
        <v>1994</v>
      </c>
      <c r="Y303" s="42">
        <v>24</v>
      </c>
      <c r="Z303" s="44">
        <v>0.2</v>
      </c>
      <c r="AA303" s="42">
        <v>1985</v>
      </c>
      <c r="AB303" s="42">
        <v>1</v>
      </c>
      <c r="AC303" s="44">
        <v>0</v>
      </c>
      <c r="AD303" s="42">
        <v>1978</v>
      </c>
      <c r="AE303" s="42">
        <v>17</v>
      </c>
      <c r="AF303" s="44">
        <v>0.4</v>
      </c>
      <c r="AG303" s="42">
        <v>2015</v>
      </c>
      <c r="AH303" s="42">
        <v>14</v>
      </c>
      <c r="AI303" s="44">
        <v>0</v>
      </c>
      <c r="AJ303" s="42">
        <v>2002</v>
      </c>
      <c r="AK303" s="42">
        <v>14</v>
      </c>
      <c r="AL303" s="44">
        <v>0.2</v>
      </c>
      <c r="AM303" s="42">
        <v>1977</v>
      </c>
      <c r="AN303" s="42">
        <v>30</v>
      </c>
      <c r="AO303" s="44">
        <v>-0.6</v>
      </c>
      <c r="AP303" s="42">
        <v>2022</v>
      </c>
      <c r="AQ303" s="42">
        <v>27</v>
      </c>
    </row>
    <row r="304" spans="1:43" ht="14.45" customHeight="1" x14ac:dyDescent="0.2">
      <c r="A304" s="42">
        <v>24015360</v>
      </c>
      <c r="B304" s="42" t="s">
        <v>1205</v>
      </c>
      <c r="C304" s="42">
        <v>5.6962222220000003</v>
      </c>
      <c r="D304" s="42">
        <v>-73.759</v>
      </c>
      <c r="E304" s="42">
        <v>2550</v>
      </c>
      <c r="F304" s="42" t="s">
        <v>222</v>
      </c>
      <c r="G304" s="42" t="s">
        <v>212</v>
      </c>
      <c r="H304" s="44">
        <v>-1.6</v>
      </c>
      <c r="I304" s="42">
        <v>2016</v>
      </c>
      <c r="J304" s="42">
        <v>11</v>
      </c>
      <c r="K304" s="44">
        <v>-0.3</v>
      </c>
      <c r="L304" s="42">
        <v>2016</v>
      </c>
      <c r="M304" s="42">
        <v>2</v>
      </c>
      <c r="N304" s="44">
        <v>-1.3</v>
      </c>
      <c r="O304" s="42">
        <v>2020</v>
      </c>
      <c r="P304" s="42">
        <v>5</v>
      </c>
      <c r="Q304" s="44">
        <v>1</v>
      </c>
      <c r="R304" s="42">
        <v>2024</v>
      </c>
      <c r="S304" s="42">
        <v>10</v>
      </c>
      <c r="T304" s="44">
        <v>2</v>
      </c>
      <c r="U304" s="42">
        <v>2023</v>
      </c>
      <c r="V304" s="42">
        <v>3</v>
      </c>
      <c r="W304" s="44">
        <v>1.6</v>
      </c>
      <c r="X304" s="42">
        <v>2014</v>
      </c>
      <c r="Y304" s="42">
        <v>27</v>
      </c>
      <c r="Z304" s="44">
        <v>-0.6</v>
      </c>
      <c r="AA304" s="42">
        <v>2010</v>
      </c>
      <c r="AB304" s="42">
        <v>2</v>
      </c>
      <c r="AC304" s="44">
        <v>-0.8</v>
      </c>
      <c r="AD304" s="42">
        <v>2024</v>
      </c>
      <c r="AE304" s="42">
        <v>18</v>
      </c>
      <c r="AF304" s="44">
        <v>0</v>
      </c>
      <c r="AG304" s="42">
        <v>2023</v>
      </c>
      <c r="AH304" s="42">
        <v>21</v>
      </c>
      <c r="AI304" s="44">
        <v>0.2</v>
      </c>
      <c r="AJ304" s="42">
        <v>2013</v>
      </c>
      <c r="AK304" s="42">
        <v>9</v>
      </c>
      <c r="AL304" s="44">
        <v>0.4</v>
      </c>
      <c r="AM304" s="42">
        <v>2013</v>
      </c>
      <c r="AN304" s="42">
        <v>13</v>
      </c>
      <c r="AO304" s="44">
        <v>0</v>
      </c>
      <c r="AP304" s="42">
        <v>2018</v>
      </c>
      <c r="AQ304" s="42">
        <v>6</v>
      </c>
    </row>
    <row r="305" spans="1:43" ht="14.45" customHeight="1" x14ac:dyDescent="0.2">
      <c r="A305" s="42">
        <v>21205710</v>
      </c>
      <c r="B305" s="42" t="s">
        <v>1206</v>
      </c>
      <c r="C305" s="42">
        <v>4.6678670000000002</v>
      </c>
      <c r="D305" s="42">
        <v>-74.101033999999999</v>
      </c>
      <c r="E305" s="42">
        <v>2552</v>
      </c>
      <c r="F305" s="42" t="s">
        <v>409</v>
      </c>
      <c r="G305" s="42" t="s">
        <v>74</v>
      </c>
      <c r="H305" s="44">
        <v>0.6</v>
      </c>
      <c r="I305" s="42">
        <v>1979</v>
      </c>
      <c r="J305" s="42">
        <v>17</v>
      </c>
      <c r="K305" s="44">
        <v>-0.4</v>
      </c>
      <c r="L305" s="42">
        <v>2007</v>
      </c>
      <c r="M305" s="42">
        <v>6</v>
      </c>
      <c r="N305" s="44">
        <v>2</v>
      </c>
      <c r="O305" s="42">
        <v>1982</v>
      </c>
      <c r="P305" s="42">
        <v>3</v>
      </c>
      <c r="Q305" s="44">
        <v>0.4</v>
      </c>
      <c r="R305" s="42">
        <v>1982</v>
      </c>
      <c r="S305" s="42">
        <v>18</v>
      </c>
      <c r="T305" s="44">
        <v>0.4</v>
      </c>
      <c r="U305" s="42">
        <v>1997</v>
      </c>
      <c r="V305" s="42">
        <v>2</v>
      </c>
      <c r="W305" s="44">
        <v>0.4</v>
      </c>
      <c r="X305" s="42">
        <v>1981</v>
      </c>
      <c r="Y305" s="42">
        <v>17</v>
      </c>
      <c r="Z305" s="44">
        <v>0.2</v>
      </c>
      <c r="AA305" s="42">
        <v>1981</v>
      </c>
      <c r="AB305" s="42">
        <v>8</v>
      </c>
      <c r="AC305" s="44">
        <v>1.6</v>
      </c>
      <c r="AD305" s="42">
        <v>1998</v>
      </c>
      <c r="AE305" s="42">
        <v>25</v>
      </c>
      <c r="AF305" s="44">
        <v>1.8</v>
      </c>
      <c r="AG305" s="42">
        <v>1997</v>
      </c>
      <c r="AH305" s="42">
        <v>25</v>
      </c>
      <c r="AI305" s="44">
        <v>1.1000000000000001</v>
      </c>
      <c r="AJ305" s="42">
        <v>2005</v>
      </c>
      <c r="AK305" s="42">
        <v>17</v>
      </c>
      <c r="AL305" s="44">
        <v>0.1</v>
      </c>
      <c r="AM305" s="42">
        <v>1982</v>
      </c>
      <c r="AN305" s="42">
        <v>23</v>
      </c>
      <c r="AO305" s="44">
        <v>1</v>
      </c>
      <c r="AP305" s="42">
        <v>1986</v>
      </c>
      <c r="AQ305" s="42">
        <v>28</v>
      </c>
    </row>
    <row r="306" spans="1:43" ht="14.45" customHeight="1" x14ac:dyDescent="0.2">
      <c r="A306" s="42">
        <v>21205012</v>
      </c>
      <c r="B306" s="42" t="s">
        <v>1207</v>
      </c>
      <c r="C306" s="42">
        <v>4.6372299999999997</v>
      </c>
      <c r="D306" s="42">
        <v>-74.088920000000002</v>
      </c>
      <c r="E306" s="42">
        <v>2556</v>
      </c>
      <c r="F306" s="42" t="s">
        <v>409</v>
      </c>
      <c r="G306" s="42" t="s">
        <v>74</v>
      </c>
      <c r="H306" s="44">
        <v>0.8</v>
      </c>
      <c r="I306" s="42">
        <v>1996</v>
      </c>
      <c r="J306" s="42">
        <v>8</v>
      </c>
      <c r="K306" s="44">
        <v>-4</v>
      </c>
      <c r="L306" s="42">
        <v>1995</v>
      </c>
      <c r="M306" s="42">
        <v>12</v>
      </c>
      <c r="N306" s="44">
        <v>1.6</v>
      </c>
      <c r="O306" s="42">
        <v>1992</v>
      </c>
      <c r="P306" s="42">
        <v>24</v>
      </c>
      <c r="Q306" s="44">
        <v>0</v>
      </c>
      <c r="R306" s="42">
        <v>2003</v>
      </c>
      <c r="S306" s="42">
        <v>9</v>
      </c>
      <c r="T306" s="44">
        <v>0</v>
      </c>
      <c r="U306" s="42">
        <v>2018</v>
      </c>
      <c r="V306" s="42">
        <v>18</v>
      </c>
      <c r="W306" s="44">
        <v>0.9</v>
      </c>
      <c r="X306" s="42">
        <v>1990</v>
      </c>
      <c r="Y306" s="42">
        <v>25</v>
      </c>
      <c r="Z306" s="44">
        <v>0</v>
      </c>
      <c r="AA306" s="42">
        <v>1988</v>
      </c>
      <c r="AB306" s="42">
        <v>27</v>
      </c>
      <c r="AC306" s="44">
        <v>0</v>
      </c>
      <c r="AD306" s="42">
        <v>1988</v>
      </c>
      <c r="AE306" s="42">
        <v>3</v>
      </c>
      <c r="AF306" s="44">
        <v>1.4</v>
      </c>
      <c r="AG306" s="42">
        <v>1988</v>
      </c>
      <c r="AH306" s="42">
        <v>18</v>
      </c>
      <c r="AI306" s="44">
        <v>0.8</v>
      </c>
      <c r="AJ306" s="42">
        <v>1988</v>
      </c>
      <c r="AK306" s="42">
        <v>23</v>
      </c>
      <c r="AL306" s="44">
        <v>1</v>
      </c>
      <c r="AM306" s="42">
        <v>1994</v>
      </c>
      <c r="AN306" s="42">
        <v>18</v>
      </c>
      <c r="AO306" s="44">
        <v>1.4</v>
      </c>
      <c r="AP306" s="42">
        <v>1993</v>
      </c>
      <c r="AQ306" s="42">
        <v>31</v>
      </c>
    </row>
    <row r="307" spans="1:43" ht="14.45" customHeight="1" x14ac:dyDescent="0.2">
      <c r="A307" s="42">
        <v>21206560</v>
      </c>
      <c r="B307" s="42" t="s">
        <v>1208</v>
      </c>
      <c r="C307" s="42">
        <v>4.62547</v>
      </c>
      <c r="D307" s="42">
        <v>-74.156065999999996</v>
      </c>
      <c r="E307" s="42">
        <v>2557</v>
      </c>
      <c r="F307" s="42" t="s">
        <v>409</v>
      </c>
      <c r="G307" s="42" t="s">
        <v>74</v>
      </c>
      <c r="H307" s="44">
        <v>1.3</v>
      </c>
      <c r="I307" s="42">
        <v>2008</v>
      </c>
      <c r="J307" s="42">
        <v>20</v>
      </c>
      <c r="K307" s="44">
        <v>-2.8</v>
      </c>
      <c r="L307" s="42">
        <v>2007</v>
      </c>
      <c r="M307" s="42">
        <v>17</v>
      </c>
      <c r="N307" s="44">
        <v>2.2000000000000002</v>
      </c>
      <c r="O307" s="42">
        <v>2002</v>
      </c>
      <c r="P307" s="42">
        <v>17</v>
      </c>
      <c r="Q307" s="44">
        <v>3.5</v>
      </c>
      <c r="R307" s="42">
        <v>2000</v>
      </c>
      <c r="S307" s="42">
        <v>22</v>
      </c>
      <c r="T307" s="44">
        <v>1</v>
      </c>
      <c r="U307" s="42">
        <v>2004</v>
      </c>
      <c r="V307" s="42">
        <v>21</v>
      </c>
      <c r="W307" s="44">
        <v>1</v>
      </c>
      <c r="X307" s="42">
        <v>2008</v>
      </c>
      <c r="Y307" s="42">
        <v>7</v>
      </c>
      <c r="Z307" s="44">
        <v>1</v>
      </c>
      <c r="AA307" s="42">
        <v>2001</v>
      </c>
      <c r="AB307" s="42">
        <v>29</v>
      </c>
      <c r="AC307" s="44">
        <v>4</v>
      </c>
      <c r="AD307" s="42">
        <v>2003</v>
      </c>
      <c r="AE307" s="42">
        <v>10</v>
      </c>
      <c r="AF307" s="44">
        <v>4.3</v>
      </c>
      <c r="AG307" s="42">
        <v>2006</v>
      </c>
      <c r="AH307" s="42">
        <v>26</v>
      </c>
      <c r="AI307" s="44">
        <v>1</v>
      </c>
      <c r="AJ307" s="42">
        <v>1998</v>
      </c>
      <c r="AK307" s="42">
        <v>22</v>
      </c>
      <c r="AL307" s="44">
        <v>1.7</v>
      </c>
      <c r="AM307" s="42">
        <v>2001</v>
      </c>
      <c r="AN307" s="42">
        <v>11</v>
      </c>
      <c r="AO307" s="44">
        <v>-1</v>
      </c>
      <c r="AP307" s="42">
        <v>1998</v>
      </c>
      <c r="AQ307" s="42">
        <v>27</v>
      </c>
    </row>
    <row r="308" spans="1:43" ht="14.45" customHeight="1" x14ac:dyDescent="0.2">
      <c r="A308" s="42">
        <v>21205980</v>
      </c>
      <c r="B308" s="42" t="s">
        <v>1209</v>
      </c>
      <c r="C308" s="42">
        <v>4.7923888889999997</v>
      </c>
      <c r="D308" s="42">
        <v>-74.200916669999998</v>
      </c>
      <c r="E308" s="42">
        <v>2560</v>
      </c>
      <c r="F308" s="42" t="s">
        <v>663</v>
      </c>
      <c r="G308" s="42" t="s">
        <v>73</v>
      </c>
      <c r="H308" s="44">
        <v>-5.5</v>
      </c>
      <c r="I308" s="42">
        <v>1991</v>
      </c>
      <c r="J308" s="42">
        <v>26</v>
      </c>
      <c r="K308" s="44">
        <v>-8.8000000000000007</v>
      </c>
      <c r="L308" s="42">
        <v>2007</v>
      </c>
      <c r="M308" s="42">
        <v>4</v>
      </c>
      <c r="N308" s="44">
        <v>-5</v>
      </c>
      <c r="O308" s="42">
        <v>1992</v>
      </c>
      <c r="P308" s="42">
        <v>24</v>
      </c>
      <c r="Q308" s="44">
        <v>-0.4</v>
      </c>
      <c r="R308" s="42">
        <v>1987</v>
      </c>
      <c r="S308" s="42">
        <v>15</v>
      </c>
      <c r="T308" s="44">
        <v>0.1</v>
      </c>
      <c r="U308" s="42">
        <v>1985</v>
      </c>
      <c r="V308" s="42">
        <v>14</v>
      </c>
      <c r="W308" s="44">
        <v>0.4</v>
      </c>
      <c r="X308" s="42">
        <v>1980</v>
      </c>
      <c r="Y308" s="42">
        <v>28</v>
      </c>
      <c r="Z308" s="44">
        <v>-1</v>
      </c>
      <c r="AA308" s="42">
        <v>1993</v>
      </c>
      <c r="AB308" s="42">
        <v>17</v>
      </c>
      <c r="AC308" s="44">
        <v>-3</v>
      </c>
      <c r="AD308" s="42">
        <v>1997</v>
      </c>
      <c r="AE308" s="42">
        <v>30</v>
      </c>
      <c r="AF308" s="44">
        <v>-1.8</v>
      </c>
      <c r="AG308" s="42">
        <v>1992</v>
      </c>
      <c r="AH308" s="42">
        <v>20</v>
      </c>
      <c r="AI308" s="44">
        <v>-2.6</v>
      </c>
      <c r="AJ308" s="42">
        <v>2002</v>
      </c>
      <c r="AK308" s="42">
        <v>14</v>
      </c>
      <c r="AL308" s="44">
        <v>-0.2</v>
      </c>
      <c r="AM308" s="42">
        <v>1990</v>
      </c>
      <c r="AN308" s="42">
        <v>29</v>
      </c>
      <c r="AO308" s="44">
        <v>-4.2</v>
      </c>
      <c r="AP308" s="42">
        <v>1993</v>
      </c>
      <c r="AQ308" s="42">
        <v>31</v>
      </c>
    </row>
    <row r="309" spans="1:43" ht="14.45" customHeight="1" x14ac:dyDescent="0.2">
      <c r="A309" s="42">
        <v>21205990</v>
      </c>
      <c r="B309" s="42" t="s">
        <v>1210</v>
      </c>
      <c r="C309" s="42">
        <v>4.9277777780000003</v>
      </c>
      <c r="D309" s="42">
        <v>-73.95</v>
      </c>
      <c r="E309" s="42">
        <v>2560</v>
      </c>
      <c r="F309" s="42" t="s">
        <v>396</v>
      </c>
      <c r="G309" s="42" t="s">
        <v>73</v>
      </c>
      <c r="H309" s="44">
        <v>-4.3</v>
      </c>
      <c r="I309" s="42">
        <v>2010</v>
      </c>
      <c r="J309" s="42">
        <v>4</v>
      </c>
      <c r="K309" s="44">
        <v>-3.7</v>
      </c>
      <c r="L309" s="42">
        <v>2004</v>
      </c>
      <c r="M309" s="42">
        <v>5</v>
      </c>
      <c r="N309" s="44">
        <v>-1</v>
      </c>
      <c r="O309" s="42">
        <v>2003</v>
      </c>
      <c r="P309" s="42">
        <v>7</v>
      </c>
      <c r="Q309" s="44">
        <v>0.3</v>
      </c>
      <c r="R309" s="42">
        <v>2003</v>
      </c>
      <c r="S309" s="42">
        <v>2</v>
      </c>
      <c r="T309" s="44">
        <v>0</v>
      </c>
      <c r="U309" s="42">
        <v>1987</v>
      </c>
      <c r="V309" s="42">
        <v>19</v>
      </c>
      <c r="W309" s="44">
        <v>0</v>
      </c>
      <c r="X309" s="42">
        <v>1983</v>
      </c>
      <c r="Y309" s="42">
        <v>6</v>
      </c>
      <c r="Z309" s="44">
        <v>0.2</v>
      </c>
      <c r="AA309" s="42">
        <v>1978</v>
      </c>
      <c r="AB309" s="42">
        <v>25</v>
      </c>
      <c r="AC309" s="44">
        <v>-0.3</v>
      </c>
      <c r="AD309" s="42">
        <v>1997</v>
      </c>
      <c r="AE309" s="42">
        <v>29</v>
      </c>
      <c r="AF309" s="44">
        <v>0</v>
      </c>
      <c r="AG309" s="42">
        <v>1987</v>
      </c>
      <c r="AH309" s="42">
        <v>11</v>
      </c>
      <c r="AI309" s="44">
        <v>-0.2</v>
      </c>
      <c r="AJ309" s="42">
        <v>2002</v>
      </c>
      <c r="AK309" s="42">
        <v>2</v>
      </c>
      <c r="AL309" s="44">
        <v>0</v>
      </c>
      <c r="AM309" s="42">
        <v>1987</v>
      </c>
      <c r="AN309" s="42">
        <v>8</v>
      </c>
      <c r="AO309" s="44">
        <v>0</v>
      </c>
      <c r="AP309" s="42">
        <v>1985</v>
      </c>
      <c r="AQ309" s="42">
        <v>8</v>
      </c>
    </row>
    <row r="310" spans="1:43" ht="14.45" customHeight="1" x14ac:dyDescent="0.2">
      <c r="A310" s="42">
        <v>21205910</v>
      </c>
      <c r="B310" s="42" t="s">
        <v>1211</v>
      </c>
      <c r="C310" s="42">
        <v>4.9892200000000004</v>
      </c>
      <c r="D310" s="42">
        <v>-74.001189999999994</v>
      </c>
      <c r="E310" s="42">
        <v>2570</v>
      </c>
      <c r="F310" s="42" t="s">
        <v>668</v>
      </c>
      <c r="G310" s="42" t="s">
        <v>73</v>
      </c>
      <c r="H310" s="44">
        <v>-5</v>
      </c>
      <c r="I310" s="42">
        <v>2002</v>
      </c>
      <c r="J310" s="42">
        <v>2</v>
      </c>
      <c r="K310" s="44">
        <v>-6</v>
      </c>
      <c r="L310" s="42">
        <v>2002</v>
      </c>
      <c r="M310" s="42">
        <v>21</v>
      </c>
      <c r="N310" s="44">
        <v>-5</v>
      </c>
      <c r="O310" s="42">
        <v>2002</v>
      </c>
      <c r="P310" s="42">
        <v>10</v>
      </c>
      <c r="Q310" s="44">
        <v>-0.4</v>
      </c>
      <c r="R310" s="42">
        <v>2001</v>
      </c>
      <c r="S310" s="42">
        <v>1</v>
      </c>
      <c r="T310" s="44">
        <v>0.3</v>
      </c>
      <c r="U310" s="42">
        <v>1999</v>
      </c>
      <c r="V310" s="42">
        <v>17</v>
      </c>
      <c r="W310" s="44">
        <v>0.4</v>
      </c>
      <c r="X310" s="42">
        <v>1988</v>
      </c>
      <c r="Y310" s="42">
        <v>7</v>
      </c>
      <c r="Z310" s="44">
        <v>-2</v>
      </c>
      <c r="AA310" s="42">
        <v>2001</v>
      </c>
      <c r="AB310" s="42">
        <v>17</v>
      </c>
      <c r="AC310" s="44">
        <v>-0.4</v>
      </c>
      <c r="AD310" s="42">
        <v>2000</v>
      </c>
      <c r="AE310" s="42">
        <v>19</v>
      </c>
      <c r="AF310" s="44">
        <v>-3</v>
      </c>
      <c r="AG310" s="42">
        <v>1997</v>
      </c>
      <c r="AH310" s="42">
        <v>5</v>
      </c>
      <c r="AI310" s="44">
        <v>-4</v>
      </c>
      <c r="AJ310" s="42">
        <v>2001</v>
      </c>
      <c r="AK310" s="42">
        <v>1</v>
      </c>
      <c r="AL310" s="44">
        <v>-5</v>
      </c>
      <c r="AM310" s="42">
        <v>2001</v>
      </c>
      <c r="AN310" s="42">
        <v>24</v>
      </c>
      <c r="AO310" s="44">
        <v>-3</v>
      </c>
      <c r="AP310" s="42">
        <v>2001</v>
      </c>
      <c r="AQ310" s="42">
        <v>4</v>
      </c>
    </row>
    <row r="311" spans="1:43" ht="14.45" customHeight="1" x14ac:dyDescent="0.2">
      <c r="A311" s="42">
        <v>21206260</v>
      </c>
      <c r="B311" s="42" t="s">
        <v>1212</v>
      </c>
      <c r="C311" s="42">
        <v>4.7986388890000002</v>
      </c>
      <c r="D311" s="42">
        <v>-74.049722220000007</v>
      </c>
      <c r="E311" s="42">
        <v>2570</v>
      </c>
      <c r="F311" s="42" t="s">
        <v>409</v>
      </c>
      <c r="G311" s="42" t="s">
        <v>74</v>
      </c>
      <c r="H311" s="44">
        <v>-0.4</v>
      </c>
      <c r="I311" s="42">
        <v>2010</v>
      </c>
      <c r="J311" s="42">
        <v>4</v>
      </c>
      <c r="K311" s="44">
        <v>-0.7</v>
      </c>
      <c r="L311" s="42">
        <v>2007</v>
      </c>
      <c r="M311" s="42">
        <v>12</v>
      </c>
      <c r="N311" s="44">
        <v>0.2</v>
      </c>
      <c r="O311" s="42">
        <v>1993</v>
      </c>
      <c r="P311" s="42">
        <v>2</v>
      </c>
      <c r="Q311" s="44">
        <v>0.2</v>
      </c>
      <c r="R311" s="42">
        <v>2003</v>
      </c>
      <c r="S311" s="42">
        <v>2</v>
      </c>
      <c r="T311" s="44">
        <v>0.3</v>
      </c>
      <c r="U311" s="42">
        <v>2003</v>
      </c>
      <c r="V311" s="42">
        <v>4</v>
      </c>
      <c r="W311" s="44">
        <v>-2</v>
      </c>
      <c r="X311" s="42">
        <v>1994</v>
      </c>
      <c r="Y311" s="42">
        <v>24</v>
      </c>
      <c r="Z311" s="44">
        <v>0.1</v>
      </c>
      <c r="AA311" s="42">
        <v>1993</v>
      </c>
      <c r="AB311" s="42">
        <v>7</v>
      </c>
      <c r="AC311" s="44">
        <v>0.2</v>
      </c>
      <c r="AD311" s="42">
        <v>1991</v>
      </c>
      <c r="AE311" s="42">
        <v>25</v>
      </c>
      <c r="AF311" s="44">
        <v>0.2</v>
      </c>
      <c r="AG311" s="42">
        <v>1992</v>
      </c>
      <c r="AH311" s="42">
        <v>2</v>
      </c>
      <c r="AI311" s="44">
        <v>0</v>
      </c>
      <c r="AJ311" s="42">
        <v>2002</v>
      </c>
      <c r="AK311" s="42">
        <v>13</v>
      </c>
      <c r="AL311" s="44">
        <v>0.2</v>
      </c>
      <c r="AM311" s="42">
        <v>1993</v>
      </c>
      <c r="AN311" s="42">
        <v>23</v>
      </c>
      <c r="AO311" s="44">
        <v>-0.1</v>
      </c>
      <c r="AP311" s="42">
        <v>2003</v>
      </c>
      <c r="AQ311" s="42">
        <v>16</v>
      </c>
    </row>
    <row r="312" spans="1:43" ht="14.45" customHeight="1" x14ac:dyDescent="0.2">
      <c r="A312" s="42">
        <v>21205970</v>
      </c>
      <c r="B312" s="42" t="s">
        <v>1213</v>
      </c>
      <c r="C312" s="42">
        <v>5.0904600000000002</v>
      </c>
      <c r="D312" s="42">
        <v>-73.881249999999994</v>
      </c>
      <c r="E312" s="42">
        <v>2572</v>
      </c>
      <c r="F312" s="42" t="s">
        <v>648</v>
      </c>
      <c r="G312" s="42" t="s">
        <v>73</v>
      </c>
      <c r="H312" s="44">
        <v>-8.1999999999999993</v>
      </c>
      <c r="I312" s="42">
        <v>2010</v>
      </c>
      <c r="J312" s="42">
        <v>12</v>
      </c>
      <c r="K312" s="44">
        <v>-5.4</v>
      </c>
      <c r="L312" s="42">
        <v>2004</v>
      </c>
      <c r="M312" s="42">
        <v>5</v>
      </c>
      <c r="N312" s="44">
        <v>-2</v>
      </c>
      <c r="O312" s="42">
        <v>2010</v>
      </c>
      <c r="P312" s="42">
        <v>25</v>
      </c>
      <c r="Q312" s="44">
        <v>-1.4</v>
      </c>
      <c r="R312" s="42">
        <v>2001</v>
      </c>
      <c r="S312" s="42">
        <v>22</v>
      </c>
      <c r="T312" s="44">
        <v>0.6</v>
      </c>
      <c r="U312" s="42">
        <v>1986</v>
      </c>
      <c r="V312" s="42">
        <v>2</v>
      </c>
      <c r="W312" s="44">
        <v>0</v>
      </c>
      <c r="X312" s="42">
        <v>1989</v>
      </c>
      <c r="Y312" s="42">
        <v>16</v>
      </c>
      <c r="Z312" s="44">
        <v>0.2</v>
      </c>
      <c r="AA312" s="42">
        <v>2001</v>
      </c>
      <c r="AB312" s="42">
        <v>24</v>
      </c>
      <c r="AC312" s="44">
        <v>-0.7</v>
      </c>
      <c r="AD312" s="42">
        <v>1997</v>
      </c>
      <c r="AE312" s="42">
        <v>30</v>
      </c>
      <c r="AF312" s="44">
        <v>-1.3</v>
      </c>
      <c r="AG312" s="42">
        <v>2002</v>
      </c>
      <c r="AH312" s="42">
        <v>22</v>
      </c>
      <c r="AI312" s="44">
        <v>-1.2</v>
      </c>
      <c r="AJ312" s="42">
        <v>2002</v>
      </c>
      <c r="AK312" s="42">
        <v>14</v>
      </c>
      <c r="AL312" s="44">
        <v>0</v>
      </c>
      <c r="AM312" s="42">
        <v>1985</v>
      </c>
      <c r="AN312" s="42">
        <v>26</v>
      </c>
      <c r="AO312" s="44">
        <v>-3.6</v>
      </c>
      <c r="AP312" s="42">
        <v>2018</v>
      </c>
      <c r="AQ312" s="42">
        <v>20</v>
      </c>
    </row>
    <row r="313" spans="1:43" ht="14.45" customHeight="1" x14ac:dyDescent="0.2">
      <c r="A313" s="42">
        <v>21206020</v>
      </c>
      <c r="B313" s="42" t="s">
        <v>1214</v>
      </c>
      <c r="C313" s="42">
        <v>4.8985277780000001</v>
      </c>
      <c r="D313" s="42">
        <v>-74.104833330000005</v>
      </c>
      <c r="E313" s="42">
        <v>2575</v>
      </c>
      <c r="F313" s="42" t="s">
        <v>404</v>
      </c>
      <c r="G313" s="42" t="s">
        <v>73</v>
      </c>
      <c r="H313" s="44">
        <v>0</v>
      </c>
      <c r="I313" s="42">
        <v>1978</v>
      </c>
      <c r="J313" s="42">
        <v>13</v>
      </c>
      <c r="K313" s="44">
        <v>0</v>
      </c>
      <c r="L313" s="42">
        <v>1980</v>
      </c>
      <c r="M313" s="42">
        <v>14</v>
      </c>
      <c r="N313" s="44">
        <v>0</v>
      </c>
      <c r="O313" s="42">
        <v>1978</v>
      </c>
      <c r="P313" s="42">
        <v>14</v>
      </c>
      <c r="Q313" s="44">
        <v>0</v>
      </c>
      <c r="R313" s="42">
        <v>1985</v>
      </c>
      <c r="S313" s="42">
        <v>13</v>
      </c>
      <c r="T313" s="44">
        <v>1</v>
      </c>
      <c r="U313" s="42">
        <v>1985</v>
      </c>
      <c r="V313" s="42">
        <v>21</v>
      </c>
      <c r="W313" s="44">
        <v>0</v>
      </c>
      <c r="X313" s="42">
        <v>1985</v>
      </c>
      <c r="Y313" s="42">
        <v>29</v>
      </c>
      <c r="Z313" s="44">
        <v>0.5</v>
      </c>
      <c r="AA313" s="42">
        <v>2000</v>
      </c>
      <c r="AB313" s="42">
        <v>17</v>
      </c>
      <c r="AC313" s="44">
        <v>-2.4</v>
      </c>
      <c r="AD313" s="42">
        <v>1997</v>
      </c>
      <c r="AE313" s="42">
        <v>30</v>
      </c>
      <c r="AF313" s="44">
        <v>-3.4</v>
      </c>
      <c r="AG313" s="42">
        <v>1997</v>
      </c>
      <c r="AH313" s="42">
        <v>17</v>
      </c>
      <c r="AI313" s="44">
        <v>0</v>
      </c>
      <c r="AJ313" s="42">
        <v>2020</v>
      </c>
      <c r="AK313" s="42">
        <v>31</v>
      </c>
      <c r="AL313" s="44">
        <v>0.2</v>
      </c>
      <c r="AM313" s="42">
        <v>1993</v>
      </c>
      <c r="AN313" s="42">
        <v>18</v>
      </c>
      <c r="AO313" s="44">
        <v>0</v>
      </c>
      <c r="AP313" s="42">
        <v>1984</v>
      </c>
      <c r="AQ313" s="42">
        <v>7</v>
      </c>
    </row>
    <row r="314" spans="1:43" ht="14.45" customHeight="1" x14ac:dyDescent="0.2">
      <c r="A314" s="42">
        <v>21206060</v>
      </c>
      <c r="B314" s="42" t="s">
        <v>1215</v>
      </c>
      <c r="C314" s="42">
        <v>4.7171111110000004</v>
      </c>
      <c r="D314" s="42">
        <v>-74.253333330000004</v>
      </c>
      <c r="E314" s="42">
        <v>2575</v>
      </c>
      <c r="F314" s="42" t="s">
        <v>406</v>
      </c>
      <c r="G314" s="42" t="s">
        <v>73</v>
      </c>
      <c r="H314" s="44">
        <v>-3.5</v>
      </c>
      <c r="I314" s="42">
        <v>2015</v>
      </c>
      <c r="J314" s="42">
        <v>6</v>
      </c>
      <c r="K314" s="44">
        <v>-5</v>
      </c>
      <c r="L314" s="42">
        <v>2007</v>
      </c>
      <c r="M314" s="42">
        <v>3</v>
      </c>
      <c r="N314" s="44">
        <v>0</v>
      </c>
      <c r="O314" s="42">
        <v>1988</v>
      </c>
      <c r="P314" s="42">
        <v>25</v>
      </c>
      <c r="Q314" s="44">
        <v>0</v>
      </c>
      <c r="R314" s="42">
        <v>2002</v>
      </c>
      <c r="S314" s="42">
        <v>12</v>
      </c>
      <c r="T314" s="44">
        <v>0</v>
      </c>
      <c r="U314" s="42">
        <v>1994</v>
      </c>
      <c r="V314" s="42">
        <v>30</v>
      </c>
      <c r="W314" s="44">
        <v>0</v>
      </c>
      <c r="X314" s="42">
        <v>1994</v>
      </c>
      <c r="Y314" s="42">
        <v>15</v>
      </c>
      <c r="Z314" s="44">
        <v>0</v>
      </c>
      <c r="AA314" s="42">
        <v>1978</v>
      </c>
      <c r="AB314" s="42">
        <v>19</v>
      </c>
      <c r="AC314" s="44">
        <v>-0.7</v>
      </c>
      <c r="AD314" s="42">
        <v>1997</v>
      </c>
      <c r="AE314" s="42">
        <v>29</v>
      </c>
      <c r="AF314" s="44">
        <v>-0.6</v>
      </c>
      <c r="AG314" s="42">
        <v>1997</v>
      </c>
      <c r="AH314" s="42">
        <v>17</v>
      </c>
      <c r="AI314" s="44">
        <v>-0.6</v>
      </c>
      <c r="AJ314" s="42">
        <v>2013</v>
      </c>
      <c r="AK314" s="42">
        <v>6</v>
      </c>
      <c r="AL314" s="44">
        <v>0</v>
      </c>
      <c r="AM314" s="42">
        <v>1991</v>
      </c>
      <c r="AN314" s="42">
        <v>3</v>
      </c>
      <c r="AO314" s="44">
        <v>-2</v>
      </c>
      <c r="AP314" s="42">
        <v>2012</v>
      </c>
      <c r="AQ314" s="42">
        <v>31</v>
      </c>
    </row>
    <row r="315" spans="1:43" ht="14.45" customHeight="1" x14ac:dyDescent="0.2">
      <c r="A315" s="42">
        <v>24035020</v>
      </c>
      <c r="B315" s="42" t="s">
        <v>1216</v>
      </c>
      <c r="C315" s="42">
        <v>5.9072777780000001</v>
      </c>
      <c r="D315" s="42">
        <v>-72.810611109999996</v>
      </c>
      <c r="E315" s="42">
        <v>2575</v>
      </c>
      <c r="F315" s="42" t="s">
        <v>516</v>
      </c>
      <c r="G315" s="42" t="s">
        <v>212</v>
      </c>
      <c r="H315" s="44">
        <v>0.6</v>
      </c>
      <c r="I315" s="42">
        <v>1994</v>
      </c>
      <c r="J315" s="42">
        <v>24</v>
      </c>
      <c r="K315" s="44">
        <v>2</v>
      </c>
      <c r="L315" s="42">
        <v>1994</v>
      </c>
      <c r="M315" s="42">
        <v>12</v>
      </c>
      <c r="N315" s="44">
        <v>2</v>
      </c>
      <c r="O315" s="42">
        <v>1994</v>
      </c>
      <c r="P315" s="42">
        <v>8</v>
      </c>
      <c r="Q315" s="44">
        <v>2.8</v>
      </c>
      <c r="R315" s="42">
        <v>2010</v>
      </c>
      <c r="S315" s="42">
        <v>2</v>
      </c>
      <c r="T315" s="44">
        <v>2.8</v>
      </c>
      <c r="U315" s="42">
        <v>1994</v>
      </c>
      <c r="V315" s="42">
        <v>19</v>
      </c>
      <c r="W315" s="44">
        <v>3</v>
      </c>
      <c r="X315" s="42">
        <v>1994</v>
      </c>
      <c r="Y315" s="42">
        <v>1</v>
      </c>
      <c r="Z315" s="44">
        <v>4</v>
      </c>
      <c r="AA315" s="42">
        <v>1994</v>
      </c>
      <c r="AB315" s="42">
        <v>22</v>
      </c>
      <c r="AC315" s="44">
        <v>3.6</v>
      </c>
      <c r="AD315" s="42">
        <v>1994</v>
      </c>
      <c r="AE315" s="42">
        <v>1</v>
      </c>
      <c r="AF315" s="44">
        <v>4.2</v>
      </c>
      <c r="AG315" s="42">
        <v>1991</v>
      </c>
      <c r="AH315" s="42">
        <v>3</v>
      </c>
      <c r="AI315" s="44">
        <v>5</v>
      </c>
      <c r="AJ315" s="42">
        <v>1993</v>
      </c>
      <c r="AK315" s="42">
        <v>5</v>
      </c>
      <c r="AL315" s="44">
        <v>5</v>
      </c>
      <c r="AM315" s="42">
        <v>1993</v>
      </c>
      <c r="AN315" s="42">
        <v>25</v>
      </c>
      <c r="AO315" s="44">
        <v>2.2000000000000002</v>
      </c>
      <c r="AP315" s="42">
        <v>2011</v>
      </c>
      <c r="AQ315" s="42">
        <v>22</v>
      </c>
    </row>
    <row r="316" spans="1:43" ht="14.45" customHeight="1" x14ac:dyDescent="0.2">
      <c r="A316" s="42">
        <v>24015120</v>
      </c>
      <c r="B316" s="42" t="s">
        <v>1217</v>
      </c>
      <c r="C316" s="42">
        <v>5.4672777779999997</v>
      </c>
      <c r="D316" s="42">
        <v>-73.734805559999998</v>
      </c>
      <c r="E316" s="42">
        <v>2580</v>
      </c>
      <c r="F316" s="42" t="s">
        <v>415</v>
      </c>
      <c r="G316" s="42" t="s">
        <v>73</v>
      </c>
      <c r="H316" s="44">
        <v>1.5</v>
      </c>
      <c r="I316" s="42">
        <v>1986</v>
      </c>
      <c r="J316" s="42">
        <v>7</v>
      </c>
      <c r="K316" s="44">
        <v>1.4</v>
      </c>
      <c r="L316" s="42">
        <v>2020</v>
      </c>
      <c r="M316" s="42">
        <v>7</v>
      </c>
      <c r="N316" s="44">
        <v>2.8</v>
      </c>
      <c r="O316" s="42">
        <v>2020</v>
      </c>
      <c r="P316" s="42">
        <v>5</v>
      </c>
      <c r="Q316" s="44">
        <v>4.4000000000000004</v>
      </c>
      <c r="R316" s="42">
        <v>2024</v>
      </c>
      <c r="S316" s="42">
        <v>10</v>
      </c>
      <c r="T316" s="44">
        <v>3.4</v>
      </c>
      <c r="U316" s="42">
        <v>1978</v>
      </c>
      <c r="V316" s="42">
        <v>4</v>
      </c>
      <c r="W316" s="44">
        <v>2.6</v>
      </c>
      <c r="X316" s="42">
        <v>1979</v>
      </c>
      <c r="Y316" s="42">
        <v>18</v>
      </c>
      <c r="Z316" s="44">
        <v>2</v>
      </c>
      <c r="AA316" s="42">
        <v>1979</v>
      </c>
      <c r="AB316" s="42">
        <v>16</v>
      </c>
      <c r="AC316" s="44">
        <v>1.2</v>
      </c>
      <c r="AD316" s="42">
        <v>2018</v>
      </c>
      <c r="AE316" s="42">
        <v>16</v>
      </c>
      <c r="AF316" s="44">
        <v>1.1000000000000001</v>
      </c>
      <c r="AG316" s="42">
        <v>2009</v>
      </c>
      <c r="AH316" s="42">
        <v>29</v>
      </c>
      <c r="AI316" s="44">
        <v>1.2</v>
      </c>
      <c r="AJ316" s="42">
        <v>1990</v>
      </c>
      <c r="AK316" s="42">
        <v>29</v>
      </c>
      <c r="AL316" s="44">
        <v>4</v>
      </c>
      <c r="AM316" s="42">
        <v>2012</v>
      </c>
      <c r="AN316" s="42">
        <v>7</v>
      </c>
      <c r="AO316" s="44">
        <v>1.6</v>
      </c>
      <c r="AP316" s="42">
        <v>1979</v>
      </c>
      <c r="AQ316" s="42">
        <v>21</v>
      </c>
    </row>
    <row r="317" spans="1:43" ht="14.45" customHeight="1" x14ac:dyDescent="0.2">
      <c r="A317" s="42">
        <v>21205940</v>
      </c>
      <c r="B317" s="42" t="s">
        <v>1218</v>
      </c>
      <c r="C317" s="42">
        <v>4.8321100000000001</v>
      </c>
      <c r="D317" s="42">
        <v>-74.380560000000003</v>
      </c>
      <c r="E317" s="42">
        <v>2590</v>
      </c>
      <c r="F317" s="42" t="s">
        <v>398</v>
      </c>
      <c r="G317" s="42" t="s">
        <v>73</v>
      </c>
      <c r="H317" s="44">
        <v>-3.2</v>
      </c>
      <c r="I317" s="42">
        <v>2001</v>
      </c>
      <c r="J317" s="42">
        <v>3</v>
      </c>
      <c r="K317" s="44">
        <v>-2.4</v>
      </c>
      <c r="L317" s="42">
        <v>2020</v>
      </c>
      <c r="M317" s="42">
        <v>6</v>
      </c>
      <c r="N317" s="44">
        <v>-0.9</v>
      </c>
      <c r="O317" s="42">
        <v>2003</v>
      </c>
      <c r="P317" s="42">
        <v>7</v>
      </c>
      <c r="Q317" s="44">
        <v>0.2</v>
      </c>
      <c r="R317" s="42">
        <v>1980</v>
      </c>
      <c r="S317" s="42">
        <v>1</v>
      </c>
      <c r="T317" s="44">
        <v>0</v>
      </c>
      <c r="U317" s="42">
        <v>1989</v>
      </c>
      <c r="V317" s="42">
        <v>16</v>
      </c>
      <c r="W317" s="44">
        <v>0</v>
      </c>
      <c r="X317" s="42">
        <v>1980</v>
      </c>
      <c r="Y317" s="42">
        <v>28</v>
      </c>
      <c r="Z317" s="44">
        <v>-0.4</v>
      </c>
      <c r="AA317" s="42">
        <v>1999</v>
      </c>
      <c r="AB317" s="42">
        <v>5</v>
      </c>
      <c r="AC317" s="44">
        <v>-0.4</v>
      </c>
      <c r="AD317" s="42">
        <v>2000</v>
      </c>
      <c r="AE317" s="42">
        <v>19</v>
      </c>
      <c r="AF317" s="44">
        <v>-1.6</v>
      </c>
      <c r="AG317" s="42">
        <v>2002</v>
      </c>
      <c r="AH317" s="42">
        <v>22</v>
      </c>
      <c r="AI317" s="44">
        <v>0</v>
      </c>
      <c r="AJ317" s="42">
        <v>1991</v>
      </c>
      <c r="AK317" s="42">
        <v>5</v>
      </c>
      <c r="AL317" s="44">
        <v>0</v>
      </c>
      <c r="AM317" s="42">
        <v>1995</v>
      </c>
      <c r="AN317" s="42">
        <v>3</v>
      </c>
      <c r="AO317" s="44">
        <v>-1</v>
      </c>
      <c r="AP317" s="42">
        <v>2015</v>
      </c>
      <c r="AQ317" s="42">
        <v>27</v>
      </c>
    </row>
    <row r="318" spans="1:43" ht="14.45" customHeight="1" x14ac:dyDescent="0.2">
      <c r="A318" s="42">
        <v>21206600</v>
      </c>
      <c r="B318" s="42" t="s">
        <v>1219</v>
      </c>
      <c r="C318" s="42">
        <v>4.786594</v>
      </c>
      <c r="D318" s="42">
        <v>-74.102247000000006</v>
      </c>
      <c r="E318" s="42">
        <v>2590</v>
      </c>
      <c r="F318" s="42" t="s">
        <v>409</v>
      </c>
      <c r="G318" s="42" t="s">
        <v>74</v>
      </c>
      <c r="H318" s="44">
        <v>-2.2000000000000002</v>
      </c>
      <c r="I318" s="42">
        <v>2010</v>
      </c>
      <c r="J318" s="42">
        <v>4</v>
      </c>
      <c r="K318" s="44">
        <v>-2.6</v>
      </c>
      <c r="L318" s="42">
        <v>2012</v>
      </c>
      <c r="M318" s="42">
        <v>21</v>
      </c>
      <c r="N318" s="44">
        <v>2.8</v>
      </c>
      <c r="O318" s="42">
        <v>2008</v>
      </c>
      <c r="P318" s="42">
        <v>19</v>
      </c>
      <c r="Q318" s="44">
        <v>2.2000000000000002</v>
      </c>
      <c r="R318" s="42">
        <v>2012</v>
      </c>
      <c r="S318" s="42">
        <v>3</v>
      </c>
      <c r="T318" s="44">
        <v>2.8</v>
      </c>
      <c r="U318" s="42">
        <v>2009</v>
      </c>
      <c r="V318" s="42">
        <v>30</v>
      </c>
      <c r="W318" s="44">
        <v>2.4</v>
      </c>
      <c r="X318" s="42">
        <v>2012</v>
      </c>
      <c r="Y318" s="42">
        <v>22</v>
      </c>
      <c r="Z318" s="44">
        <v>-0.4</v>
      </c>
      <c r="AA318" s="42">
        <v>2004</v>
      </c>
      <c r="AB318" s="42">
        <v>16</v>
      </c>
      <c r="AC318" s="44">
        <v>0.9</v>
      </c>
      <c r="AD318" s="42">
        <v>2004</v>
      </c>
      <c r="AE318" s="42">
        <v>31</v>
      </c>
      <c r="AF318" s="44">
        <v>1.2</v>
      </c>
      <c r="AG318" s="42">
        <v>2011</v>
      </c>
      <c r="AH318" s="42">
        <v>14</v>
      </c>
      <c r="AI318" s="44">
        <v>1</v>
      </c>
      <c r="AJ318" s="42">
        <v>2002</v>
      </c>
      <c r="AK318" s="42">
        <v>29</v>
      </c>
      <c r="AL318" s="44">
        <v>2.6</v>
      </c>
      <c r="AM318" s="42">
        <v>2007</v>
      </c>
      <c r="AN318" s="42">
        <v>20</v>
      </c>
      <c r="AO318" s="44">
        <v>2</v>
      </c>
      <c r="AP318" s="42">
        <v>2008</v>
      </c>
      <c r="AQ318" s="42">
        <v>17</v>
      </c>
    </row>
    <row r="319" spans="1:43" ht="14.45" customHeight="1" x14ac:dyDescent="0.2">
      <c r="A319" s="42">
        <v>24035320</v>
      </c>
      <c r="B319" s="42" t="s">
        <v>1220</v>
      </c>
      <c r="C319" s="42">
        <v>6.1168611110000004</v>
      </c>
      <c r="D319" s="42">
        <v>-72.70483333</v>
      </c>
      <c r="E319" s="42">
        <v>2594</v>
      </c>
      <c r="F319" s="42" t="s">
        <v>532</v>
      </c>
      <c r="G319" s="42" t="s">
        <v>212</v>
      </c>
      <c r="H319" s="44">
        <v>2.8</v>
      </c>
      <c r="I319" s="42">
        <v>2023</v>
      </c>
      <c r="J319" s="42">
        <v>29</v>
      </c>
      <c r="K319" s="44">
        <v>3.6</v>
      </c>
      <c r="L319" s="42">
        <v>2020</v>
      </c>
      <c r="M319" s="42">
        <v>6</v>
      </c>
      <c r="N319" s="44">
        <v>4.4000000000000004</v>
      </c>
      <c r="O319" s="42">
        <v>1988</v>
      </c>
      <c r="P319" s="42">
        <v>5</v>
      </c>
      <c r="Q319" s="44">
        <v>4.5999999999999996</v>
      </c>
      <c r="R319" s="42">
        <v>2017</v>
      </c>
      <c r="S319" s="42">
        <v>6</v>
      </c>
      <c r="T319" s="44">
        <v>6</v>
      </c>
      <c r="U319" s="42">
        <v>2015</v>
      </c>
      <c r="V319" s="42">
        <v>30</v>
      </c>
      <c r="W319" s="44">
        <v>5.6</v>
      </c>
      <c r="X319" s="42">
        <v>2022</v>
      </c>
      <c r="Y319" s="42">
        <v>2</v>
      </c>
      <c r="Z319" s="44">
        <v>5.8</v>
      </c>
      <c r="AA319" s="42">
        <v>2019</v>
      </c>
      <c r="AB319" s="42">
        <v>26</v>
      </c>
      <c r="AC319" s="44">
        <v>4.2</v>
      </c>
      <c r="AD319" s="42">
        <v>1999</v>
      </c>
      <c r="AE319" s="42">
        <v>10</v>
      </c>
      <c r="AF319" s="44">
        <v>5.4</v>
      </c>
      <c r="AG319" s="42">
        <v>2021</v>
      </c>
      <c r="AH319" s="42">
        <v>14</v>
      </c>
      <c r="AI319" s="44">
        <v>6.2</v>
      </c>
      <c r="AJ319" s="42">
        <v>2019</v>
      </c>
      <c r="AK319" s="42">
        <v>15</v>
      </c>
      <c r="AL319" s="44">
        <v>4.4000000000000004</v>
      </c>
      <c r="AM319" s="42">
        <v>1998</v>
      </c>
      <c r="AN319" s="42">
        <v>6</v>
      </c>
      <c r="AO319" s="44">
        <v>4.8</v>
      </c>
      <c r="AP319" s="42">
        <v>2017</v>
      </c>
      <c r="AQ319" s="42">
        <v>19</v>
      </c>
    </row>
    <row r="320" spans="1:43" ht="14.45" customHeight="1" x14ac:dyDescent="0.2">
      <c r="A320" s="42">
        <v>24015220</v>
      </c>
      <c r="B320" s="42" t="s">
        <v>1221</v>
      </c>
      <c r="C320" s="42">
        <v>5.5093888890000002</v>
      </c>
      <c r="D320" s="42">
        <v>-73.495777779999997</v>
      </c>
      <c r="E320" s="42">
        <v>2600</v>
      </c>
      <c r="F320" s="42" t="s">
        <v>218</v>
      </c>
      <c r="G320" s="42" t="s">
        <v>212</v>
      </c>
      <c r="H320" s="44">
        <v>-2</v>
      </c>
      <c r="I320" s="42">
        <v>2010</v>
      </c>
      <c r="J320" s="42">
        <v>3</v>
      </c>
      <c r="K320" s="44">
        <v>-2.9</v>
      </c>
      <c r="L320" s="42">
        <v>1985</v>
      </c>
      <c r="M320" s="42">
        <v>4</v>
      </c>
      <c r="N320" s="44">
        <v>1.2</v>
      </c>
      <c r="O320" s="42">
        <v>2001</v>
      </c>
      <c r="P320" s="42">
        <v>13</v>
      </c>
      <c r="Q320" s="44">
        <v>1</v>
      </c>
      <c r="R320" s="42">
        <v>1984</v>
      </c>
      <c r="S320" s="42">
        <v>30</v>
      </c>
      <c r="T320" s="44">
        <v>1.2</v>
      </c>
      <c r="U320" s="42">
        <v>1984</v>
      </c>
      <c r="V320" s="42">
        <v>8</v>
      </c>
      <c r="W320" s="44">
        <v>1.2</v>
      </c>
      <c r="X320" s="42">
        <v>1989</v>
      </c>
      <c r="Y320" s="42">
        <v>29</v>
      </c>
      <c r="Z320" s="44">
        <v>-1.4</v>
      </c>
      <c r="AA320" s="42">
        <v>1985</v>
      </c>
      <c r="AB320" s="42">
        <v>1</v>
      </c>
      <c r="AC320" s="44">
        <v>0.4</v>
      </c>
      <c r="AD320" s="42">
        <v>1997</v>
      </c>
      <c r="AE320" s="42">
        <v>29</v>
      </c>
      <c r="AF320" s="44">
        <v>1</v>
      </c>
      <c r="AG320" s="42">
        <v>1992</v>
      </c>
      <c r="AH320" s="42">
        <v>17</v>
      </c>
      <c r="AI320" s="44">
        <v>1.2</v>
      </c>
      <c r="AJ320" s="42">
        <v>1988</v>
      </c>
      <c r="AK320" s="42">
        <v>24</v>
      </c>
      <c r="AL320" s="44">
        <v>1</v>
      </c>
      <c r="AM320" s="42">
        <v>2012</v>
      </c>
      <c r="AN320" s="42">
        <v>7</v>
      </c>
      <c r="AO320" s="44">
        <v>-4.2</v>
      </c>
      <c r="AP320" s="42">
        <v>1993</v>
      </c>
      <c r="AQ320" s="42">
        <v>30</v>
      </c>
    </row>
    <row r="321" spans="1:43" ht="14.45" customHeight="1" x14ac:dyDescent="0.2">
      <c r="A321" s="42">
        <v>26095080</v>
      </c>
      <c r="B321" s="42" t="s">
        <v>1222</v>
      </c>
      <c r="C321" s="42">
        <v>3.7299722219999998</v>
      </c>
      <c r="D321" s="42">
        <v>-76.074777780000005</v>
      </c>
      <c r="E321" s="42">
        <v>2628</v>
      </c>
      <c r="F321" s="42" t="s">
        <v>835</v>
      </c>
      <c r="G321" s="42" t="s">
        <v>341</v>
      </c>
      <c r="H321" s="44">
        <v>2.2000000000000002</v>
      </c>
      <c r="I321" s="42">
        <v>1984</v>
      </c>
      <c r="J321" s="42">
        <v>11</v>
      </c>
      <c r="K321" s="44">
        <v>2.6</v>
      </c>
      <c r="L321" s="42">
        <v>1983</v>
      </c>
      <c r="M321" s="42">
        <v>22</v>
      </c>
      <c r="N321" s="44">
        <v>2</v>
      </c>
      <c r="O321" s="42">
        <v>1981</v>
      </c>
      <c r="P321" s="42">
        <v>3</v>
      </c>
      <c r="Q321" s="44">
        <v>3</v>
      </c>
      <c r="R321" s="42">
        <v>1983</v>
      </c>
      <c r="S321" s="42">
        <v>29</v>
      </c>
      <c r="T321" s="44">
        <v>2.2999999999999998</v>
      </c>
      <c r="U321" s="42">
        <v>1984</v>
      </c>
      <c r="V321" s="42">
        <v>29</v>
      </c>
      <c r="W321" s="44">
        <v>3.6</v>
      </c>
      <c r="X321" s="42">
        <v>1984</v>
      </c>
      <c r="Y321" s="42">
        <v>14</v>
      </c>
      <c r="Z321" s="44">
        <v>2.2000000000000002</v>
      </c>
      <c r="AA321" s="42">
        <v>1982</v>
      </c>
      <c r="AB321" s="42">
        <v>6</v>
      </c>
      <c r="AC321" s="44">
        <v>2</v>
      </c>
      <c r="AD321" s="42">
        <v>1982</v>
      </c>
      <c r="AE321" s="42">
        <v>4</v>
      </c>
      <c r="AF321" s="44">
        <v>3.6</v>
      </c>
      <c r="AG321" s="42">
        <v>1982</v>
      </c>
      <c r="AH321" s="42">
        <v>4</v>
      </c>
      <c r="AI321" s="44">
        <v>2.2000000000000002</v>
      </c>
      <c r="AJ321" s="42">
        <v>1979</v>
      </c>
      <c r="AK321" s="42">
        <v>10</v>
      </c>
      <c r="AL321" s="44">
        <v>2.4</v>
      </c>
      <c r="AM321" s="42">
        <v>1982</v>
      </c>
      <c r="AN321" s="42">
        <v>3</v>
      </c>
      <c r="AO321" s="44">
        <v>2</v>
      </c>
      <c r="AP321" s="42">
        <v>2008</v>
      </c>
      <c r="AQ321" s="42">
        <v>22</v>
      </c>
    </row>
    <row r="322" spans="1:43" ht="14.45" customHeight="1" x14ac:dyDescent="0.2">
      <c r="A322" s="42">
        <v>24035420</v>
      </c>
      <c r="B322" s="42" t="s">
        <v>1223</v>
      </c>
      <c r="C322" s="42">
        <v>5.96225</v>
      </c>
      <c r="D322" s="42">
        <v>-72.938500000000005</v>
      </c>
      <c r="E322" s="42">
        <v>2643</v>
      </c>
      <c r="F322" s="42" t="s">
        <v>236</v>
      </c>
      <c r="G322" s="42" t="s">
        <v>212</v>
      </c>
      <c r="H322" s="44">
        <v>-5.6</v>
      </c>
      <c r="I322" s="42">
        <v>2015</v>
      </c>
      <c r="J322" s="42">
        <v>7</v>
      </c>
      <c r="K322" s="44">
        <v>-5.8</v>
      </c>
      <c r="L322" s="42">
        <v>2020</v>
      </c>
      <c r="M322" s="42">
        <v>6</v>
      </c>
      <c r="N322" s="44">
        <v>-2.4</v>
      </c>
      <c r="O322" s="42">
        <v>2020</v>
      </c>
      <c r="P322" s="42">
        <v>5</v>
      </c>
      <c r="Q322" s="44">
        <v>0.1</v>
      </c>
      <c r="R322" s="42">
        <v>2017</v>
      </c>
      <c r="S322" s="42">
        <v>4</v>
      </c>
      <c r="T322" s="44">
        <v>0.2</v>
      </c>
      <c r="U322" s="42">
        <v>2014</v>
      </c>
      <c r="V322" s="42">
        <v>25</v>
      </c>
      <c r="W322" s="44">
        <v>-5.2</v>
      </c>
      <c r="X322" s="42">
        <v>2015</v>
      </c>
      <c r="Y322" s="42">
        <v>30</v>
      </c>
      <c r="Z322" s="44">
        <v>-1</v>
      </c>
      <c r="AA322" s="42">
        <v>2013</v>
      </c>
      <c r="AB322" s="42">
        <v>12</v>
      </c>
      <c r="AC322" s="44">
        <v>-3</v>
      </c>
      <c r="AD322" s="42">
        <v>2014</v>
      </c>
      <c r="AE322" s="42">
        <v>30</v>
      </c>
      <c r="AF322" s="44">
        <v>0</v>
      </c>
      <c r="AG322" s="42">
        <v>2009</v>
      </c>
      <c r="AH322" s="42">
        <v>6</v>
      </c>
      <c r="AI322" s="44">
        <v>0.2</v>
      </c>
      <c r="AJ322" s="42">
        <v>2009</v>
      </c>
      <c r="AK322" s="42">
        <v>11</v>
      </c>
      <c r="AL322" s="44">
        <v>-0.5</v>
      </c>
      <c r="AM322" s="42">
        <v>2012</v>
      </c>
      <c r="AN322" s="42">
        <v>8</v>
      </c>
      <c r="AO322" s="44">
        <v>-1</v>
      </c>
      <c r="AP322" s="42">
        <v>2013</v>
      </c>
      <c r="AQ322" s="42">
        <v>31</v>
      </c>
    </row>
    <row r="323" spans="1:43" ht="14.45" customHeight="1" x14ac:dyDescent="0.2">
      <c r="A323" s="42">
        <v>21205920</v>
      </c>
      <c r="B323" s="42" t="s">
        <v>1224</v>
      </c>
      <c r="C323" s="42">
        <v>4.8208333330000004</v>
      </c>
      <c r="D323" s="42">
        <v>-73.963888890000007</v>
      </c>
      <c r="E323" s="42">
        <v>2650</v>
      </c>
      <c r="F323" s="42" t="s">
        <v>396</v>
      </c>
      <c r="G323" s="42" t="s">
        <v>73</v>
      </c>
      <c r="H323" s="44">
        <v>-5</v>
      </c>
      <c r="I323" s="42">
        <v>2001</v>
      </c>
      <c r="J323" s="42">
        <v>30</v>
      </c>
      <c r="K323" s="44">
        <v>-7.4</v>
      </c>
      <c r="L323" s="42">
        <v>2007</v>
      </c>
      <c r="M323" s="42">
        <v>4</v>
      </c>
      <c r="N323" s="44">
        <v>-1.6</v>
      </c>
      <c r="O323" s="42">
        <v>2002</v>
      </c>
      <c r="P323" s="42">
        <v>10</v>
      </c>
      <c r="Q323" s="44">
        <v>-1.2</v>
      </c>
      <c r="R323" s="42">
        <v>2024</v>
      </c>
      <c r="S323" s="42">
        <v>10</v>
      </c>
      <c r="T323" s="44">
        <v>0</v>
      </c>
      <c r="U323" s="42">
        <v>2006</v>
      </c>
      <c r="V323" s="42">
        <v>23</v>
      </c>
      <c r="W323" s="44">
        <v>0</v>
      </c>
      <c r="X323" s="42">
        <v>1997</v>
      </c>
      <c r="Y323" s="42">
        <v>21</v>
      </c>
      <c r="Z323" s="44">
        <v>0</v>
      </c>
      <c r="AA323" s="42">
        <v>1984</v>
      </c>
      <c r="AB323" s="42">
        <v>31</v>
      </c>
      <c r="AC323" s="44">
        <v>-0.8</v>
      </c>
      <c r="AD323" s="42">
        <v>1997</v>
      </c>
      <c r="AE323" s="42">
        <v>29</v>
      </c>
      <c r="AF323" s="44">
        <v>-1.6</v>
      </c>
      <c r="AG323" s="42">
        <v>2002</v>
      </c>
      <c r="AH323" s="42">
        <v>22</v>
      </c>
      <c r="AI323" s="44">
        <v>-0.6</v>
      </c>
      <c r="AJ323" s="42">
        <v>2002</v>
      </c>
      <c r="AK323" s="42">
        <v>14</v>
      </c>
      <c r="AL323" s="44">
        <v>-0.2</v>
      </c>
      <c r="AM323" s="42">
        <v>2012</v>
      </c>
      <c r="AN323" s="42">
        <v>25</v>
      </c>
      <c r="AO323" s="44">
        <v>-4.2</v>
      </c>
      <c r="AP323" s="42">
        <v>2009</v>
      </c>
      <c r="AQ323" s="42">
        <v>31</v>
      </c>
    </row>
    <row r="324" spans="1:43" ht="14.45" customHeight="1" x14ac:dyDescent="0.2">
      <c r="A324" s="42">
        <v>21205960</v>
      </c>
      <c r="B324" s="42" t="s">
        <v>1225</v>
      </c>
      <c r="C324" s="42">
        <v>4.9390555559999996</v>
      </c>
      <c r="D324" s="42">
        <v>-74.152583329999999</v>
      </c>
      <c r="E324" s="42">
        <v>2650</v>
      </c>
      <c r="F324" s="42" t="s">
        <v>400</v>
      </c>
      <c r="G324" s="42" t="s">
        <v>73</v>
      </c>
      <c r="H324" s="44">
        <v>-3.6</v>
      </c>
      <c r="I324" s="42">
        <v>2004</v>
      </c>
      <c r="J324" s="42">
        <v>26</v>
      </c>
      <c r="K324" s="44">
        <v>-6.6</v>
      </c>
      <c r="L324" s="42">
        <v>1997</v>
      </c>
      <c r="M324" s="42">
        <v>19</v>
      </c>
      <c r="N324" s="44">
        <v>0</v>
      </c>
      <c r="O324" s="42">
        <v>1978</v>
      </c>
      <c r="P324" s="42">
        <v>16</v>
      </c>
      <c r="Q324" s="44">
        <v>0.2</v>
      </c>
      <c r="R324" s="42">
        <v>1987</v>
      </c>
      <c r="S324" s="42">
        <v>15</v>
      </c>
      <c r="T324" s="44">
        <v>0.4</v>
      </c>
      <c r="U324" s="42">
        <v>1984</v>
      </c>
      <c r="V324" s="42">
        <v>6</v>
      </c>
      <c r="W324" s="44">
        <v>0</v>
      </c>
      <c r="X324" s="42">
        <v>1994</v>
      </c>
      <c r="Y324" s="42">
        <v>1</v>
      </c>
      <c r="Z324" s="44">
        <v>0</v>
      </c>
      <c r="AA324" s="42">
        <v>1979</v>
      </c>
      <c r="AB324" s="42">
        <v>26</v>
      </c>
      <c r="AC324" s="44">
        <v>-0.4</v>
      </c>
      <c r="AD324" s="42">
        <v>1997</v>
      </c>
      <c r="AE324" s="42">
        <v>30</v>
      </c>
      <c r="AF324" s="44">
        <v>0.2</v>
      </c>
      <c r="AG324" s="42">
        <v>2002</v>
      </c>
      <c r="AH324" s="42">
        <v>22</v>
      </c>
      <c r="AI324" s="44">
        <v>0.4</v>
      </c>
      <c r="AJ324" s="42">
        <v>1990</v>
      </c>
      <c r="AK324" s="42">
        <v>30</v>
      </c>
      <c r="AL324" s="44">
        <v>0.2</v>
      </c>
      <c r="AM324" s="42">
        <v>1981</v>
      </c>
      <c r="AN324" s="42">
        <v>4</v>
      </c>
      <c r="AO324" s="44">
        <v>-1.8</v>
      </c>
      <c r="AP324" s="42">
        <v>2009</v>
      </c>
      <c r="AQ324" s="42">
        <v>31</v>
      </c>
    </row>
    <row r="325" spans="1:43" ht="14.45" customHeight="1" x14ac:dyDescent="0.2">
      <c r="A325" s="42">
        <v>21206030</v>
      </c>
      <c r="B325" s="42" t="s">
        <v>1226</v>
      </c>
      <c r="C325" s="42">
        <v>4.9168333329999996</v>
      </c>
      <c r="D325" s="42">
        <v>-74.181666669999998</v>
      </c>
      <c r="E325" s="42">
        <v>2650</v>
      </c>
      <c r="F325" s="42" t="s">
        <v>400</v>
      </c>
      <c r="G325" s="42" t="s">
        <v>73</v>
      </c>
      <c r="H325" s="44">
        <v>-0.2</v>
      </c>
      <c r="I325" s="42">
        <v>2013</v>
      </c>
      <c r="J325" s="42">
        <v>7</v>
      </c>
      <c r="K325" s="44">
        <v>-3</v>
      </c>
      <c r="L325" s="42">
        <v>2020</v>
      </c>
      <c r="M325" s="42">
        <v>6</v>
      </c>
      <c r="N325" s="44">
        <v>0</v>
      </c>
      <c r="O325" s="42">
        <v>1978</v>
      </c>
      <c r="P325" s="42">
        <v>16</v>
      </c>
      <c r="Q325" s="44">
        <v>1.8</v>
      </c>
      <c r="R325" s="42">
        <v>2008</v>
      </c>
      <c r="S325" s="42">
        <v>12</v>
      </c>
      <c r="T325" s="44">
        <v>1.6</v>
      </c>
      <c r="U325" s="42">
        <v>1984</v>
      </c>
      <c r="V325" s="42">
        <v>6</v>
      </c>
      <c r="W325" s="44">
        <v>1.4</v>
      </c>
      <c r="X325" s="42">
        <v>1997</v>
      </c>
      <c r="Y325" s="42">
        <v>21</v>
      </c>
      <c r="Z325" s="44">
        <v>0.4</v>
      </c>
      <c r="AA325" s="42">
        <v>1978</v>
      </c>
      <c r="AB325" s="42">
        <v>25</v>
      </c>
      <c r="AC325" s="44">
        <v>-8.6</v>
      </c>
      <c r="AD325" s="42">
        <v>2000</v>
      </c>
      <c r="AE325" s="42">
        <v>23</v>
      </c>
      <c r="AF325" s="44">
        <v>0.4</v>
      </c>
      <c r="AG325" s="42">
        <v>1979</v>
      </c>
      <c r="AH325" s="42">
        <v>5</v>
      </c>
      <c r="AI325" s="44">
        <v>0</v>
      </c>
      <c r="AJ325" s="42">
        <v>1984</v>
      </c>
      <c r="AK325" s="42">
        <v>29</v>
      </c>
      <c r="AL325" s="44">
        <v>1</v>
      </c>
      <c r="AM325" s="42">
        <v>1996</v>
      </c>
      <c r="AN325" s="42">
        <v>4</v>
      </c>
      <c r="AO325" s="44">
        <v>-3.4</v>
      </c>
      <c r="AP325" s="42">
        <v>2000</v>
      </c>
      <c r="AQ325" s="42">
        <v>26</v>
      </c>
    </row>
    <row r="326" spans="1:43" ht="14.45" customHeight="1" x14ac:dyDescent="0.2">
      <c r="A326" s="42">
        <v>21240110</v>
      </c>
      <c r="B326" s="42" t="s">
        <v>1227</v>
      </c>
      <c r="C326" s="42">
        <v>4.7356111109999999</v>
      </c>
      <c r="D326" s="42">
        <v>-75.13891667</v>
      </c>
      <c r="E326" s="42">
        <v>2670</v>
      </c>
      <c r="F326" s="42" t="s">
        <v>366</v>
      </c>
      <c r="G326" s="42" t="s">
        <v>70</v>
      </c>
      <c r="H326" s="44">
        <v>7.4</v>
      </c>
      <c r="I326" s="42">
        <v>1995</v>
      </c>
      <c r="J326" s="42">
        <v>9</v>
      </c>
      <c r="K326" s="44">
        <v>7.6</v>
      </c>
      <c r="L326" s="42">
        <v>1985</v>
      </c>
      <c r="M326" s="42">
        <v>26</v>
      </c>
      <c r="N326" s="44">
        <v>6</v>
      </c>
      <c r="O326" s="42">
        <v>1992</v>
      </c>
      <c r="P326" s="42">
        <v>30</v>
      </c>
      <c r="Q326" s="44">
        <v>3.1</v>
      </c>
      <c r="R326" s="42">
        <v>1992</v>
      </c>
      <c r="S326" s="42">
        <v>20</v>
      </c>
      <c r="T326" s="44">
        <v>3.1</v>
      </c>
      <c r="U326" s="42">
        <v>1992</v>
      </c>
      <c r="V326" s="42">
        <v>6</v>
      </c>
      <c r="W326" s="44">
        <v>1</v>
      </c>
      <c r="X326" s="42">
        <v>2000</v>
      </c>
      <c r="Y326" s="42">
        <v>11</v>
      </c>
      <c r="Z326" s="44">
        <v>8.1999999999999993</v>
      </c>
      <c r="AA326" s="42">
        <v>1985</v>
      </c>
      <c r="AB326" s="42">
        <v>3</v>
      </c>
      <c r="AC326" s="44">
        <v>8.1999999999999993</v>
      </c>
      <c r="AD326" s="42">
        <v>2004</v>
      </c>
      <c r="AE326" s="42">
        <v>4</v>
      </c>
      <c r="AF326" s="44">
        <v>8.6</v>
      </c>
      <c r="AG326" s="42">
        <v>1986</v>
      </c>
      <c r="AH326" s="42">
        <v>2</v>
      </c>
      <c r="AI326" s="44">
        <v>7.6</v>
      </c>
      <c r="AJ326" s="42">
        <v>1991</v>
      </c>
      <c r="AK326" s="42">
        <v>13</v>
      </c>
      <c r="AL326" s="44">
        <v>7.2</v>
      </c>
      <c r="AM326" s="42">
        <v>1991</v>
      </c>
      <c r="AN326" s="42">
        <v>15</v>
      </c>
      <c r="AO326" s="44">
        <v>8</v>
      </c>
      <c r="AP326" s="42">
        <v>1999</v>
      </c>
      <c r="AQ326" s="42">
        <v>28</v>
      </c>
    </row>
    <row r="327" spans="1:43" ht="14.45" customHeight="1" x14ac:dyDescent="0.2">
      <c r="A327" s="42">
        <v>21206280</v>
      </c>
      <c r="B327" s="42" t="s">
        <v>1228</v>
      </c>
      <c r="C327" s="42">
        <v>4.6482299999999999</v>
      </c>
      <c r="D327" s="42">
        <v>-74.320350000000005</v>
      </c>
      <c r="E327" s="42">
        <v>2680</v>
      </c>
      <c r="F327" s="42" t="s">
        <v>632</v>
      </c>
      <c r="G327" s="42" t="s">
        <v>73</v>
      </c>
      <c r="H327" s="44">
        <v>1.6</v>
      </c>
      <c r="I327" s="42">
        <v>1997</v>
      </c>
      <c r="J327" s="42">
        <v>19</v>
      </c>
      <c r="K327" s="44">
        <v>1.6</v>
      </c>
      <c r="L327" s="42">
        <v>2007</v>
      </c>
      <c r="M327" s="42">
        <v>4</v>
      </c>
      <c r="N327" s="44">
        <v>0.8</v>
      </c>
      <c r="O327" s="42">
        <v>1997</v>
      </c>
      <c r="P327" s="42">
        <v>8</v>
      </c>
      <c r="Q327" s="44">
        <v>3</v>
      </c>
      <c r="R327" s="42">
        <v>1997</v>
      </c>
      <c r="S327" s="42">
        <v>27</v>
      </c>
      <c r="T327" s="44">
        <v>4.5999999999999996</v>
      </c>
      <c r="U327" s="42">
        <v>1995</v>
      </c>
      <c r="V327" s="42">
        <v>20</v>
      </c>
      <c r="W327" s="44">
        <v>5</v>
      </c>
      <c r="X327" s="42">
        <v>1996</v>
      </c>
      <c r="Y327" s="42">
        <v>15</v>
      </c>
      <c r="Z327" s="44">
        <v>1</v>
      </c>
      <c r="AA327" s="42">
        <v>1999</v>
      </c>
      <c r="AB327" s="42">
        <v>30</v>
      </c>
      <c r="AC327" s="44">
        <v>4.8</v>
      </c>
      <c r="AD327" s="42">
        <v>1996</v>
      </c>
      <c r="AE327" s="42">
        <v>16</v>
      </c>
      <c r="AF327" s="44">
        <v>0.5</v>
      </c>
      <c r="AG327" s="42">
        <v>1997</v>
      </c>
      <c r="AH327" s="42">
        <v>24</v>
      </c>
      <c r="AI327" s="44">
        <v>1</v>
      </c>
      <c r="AJ327" s="42">
        <v>1997</v>
      </c>
      <c r="AK327" s="42">
        <v>13</v>
      </c>
      <c r="AL327" s="44">
        <v>1</v>
      </c>
      <c r="AM327" s="42">
        <v>1990</v>
      </c>
      <c r="AN327" s="42">
        <v>9</v>
      </c>
      <c r="AO327" s="44">
        <v>1.6</v>
      </c>
      <c r="AP327" s="42">
        <v>1997</v>
      </c>
      <c r="AQ327" s="42">
        <v>14</v>
      </c>
    </row>
    <row r="328" spans="1:43" ht="14.45" customHeight="1" x14ac:dyDescent="0.2">
      <c r="A328" s="42">
        <v>24035130</v>
      </c>
      <c r="B328" s="42" t="s">
        <v>1229</v>
      </c>
      <c r="C328" s="42">
        <v>5.5430774999999999</v>
      </c>
      <c r="D328" s="42">
        <v>-73.360813059999998</v>
      </c>
      <c r="E328" s="42">
        <v>2690</v>
      </c>
      <c r="F328" s="42" t="s">
        <v>230</v>
      </c>
      <c r="G328" s="42" t="s">
        <v>212</v>
      </c>
      <c r="H328" s="44">
        <v>-0.6</v>
      </c>
      <c r="I328" s="42">
        <v>2010</v>
      </c>
      <c r="J328" s="42">
        <v>3</v>
      </c>
      <c r="K328" s="44">
        <v>-1.1000000000000001</v>
      </c>
      <c r="L328" s="42">
        <v>1985</v>
      </c>
      <c r="M328" s="42">
        <v>5</v>
      </c>
      <c r="N328" s="44">
        <v>-0.2</v>
      </c>
      <c r="O328" s="42">
        <v>2008</v>
      </c>
      <c r="P328" s="42">
        <v>7</v>
      </c>
      <c r="Q328" s="44">
        <v>3.8</v>
      </c>
      <c r="R328" s="42">
        <v>2008</v>
      </c>
      <c r="S328" s="42">
        <v>3</v>
      </c>
      <c r="T328" s="44">
        <v>1</v>
      </c>
      <c r="U328" s="42">
        <v>2019</v>
      </c>
      <c r="V328" s="42">
        <v>13</v>
      </c>
      <c r="W328" s="44">
        <v>2.2000000000000002</v>
      </c>
      <c r="X328" s="42">
        <v>1994</v>
      </c>
      <c r="Y328" s="42">
        <v>24</v>
      </c>
      <c r="Z328" s="44">
        <v>1.8</v>
      </c>
      <c r="AA328" s="42">
        <v>1985</v>
      </c>
      <c r="AB328" s="42">
        <v>1</v>
      </c>
      <c r="AC328" s="44">
        <v>1</v>
      </c>
      <c r="AD328" s="42">
        <v>2014</v>
      </c>
      <c r="AE328" s="42">
        <v>30</v>
      </c>
      <c r="AF328" s="44">
        <v>2.9</v>
      </c>
      <c r="AG328" s="42">
        <v>2020</v>
      </c>
      <c r="AH328" s="42">
        <v>22</v>
      </c>
      <c r="AI328" s="44">
        <v>3.2</v>
      </c>
      <c r="AJ328" s="42">
        <v>1988</v>
      </c>
      <c r="AK328" s="42">
        <v>10</v>
      </c>
      <c r="AL328" s="44">
        <v>2</v>
      </c>
      <c r="AM328" s="42">
        <v>2012</v>
      </c>
      <c r="AN328" s="42">
        <v>7</v>
      </c>
      <c r="AO328" s="44">
        <v>0.4</v>
      </c>
      <c r="AP328" s="42">
        <v>1985</v>
      </c>
      <c r="AQ328" s="42">
        <v>19</v>
      </c>
    </row>
    <row r="329" spans="1:43" ht="14.45" customHeight="1" x14ac:dyDescent="0.2">
      <c r="A329" s="42">
        <v>24035040</v>
      </c>
      <c r="B329" s="42" t="s">
        <v>1230</v>
      </c>
      <c r="C329" s="42">
        <v>5.5791944439999996</v>
      </c>
      <c r="D329" s="42">
        <v>-73.208777777999998</v>
      </c>
      <c r="E329" s="42">
        <v>2700</v>
      </c>
      <c r="F329" s="42" t="s">
        <v>224</v>
      </c>
      <c r="G329" s="42" t="s">
        <v>212</v>
      </c>
      <c r="H329" s="44">
        <v>-4.8</v>
      </c>
      <c r="I329" s="42">
        <v>2010</v>
      </c>
      <c r="J329" s="42">
        <v>4</v>
      </c>
      <c r="K329" s="44">
        <v>-9.8000000000000007</v>
      </c>
      <c r="L329" s="42">
        <v>2007</v>
      </c>
      <c r="M329" s="42">
        <v>2</v>
      </c>
      <c r="N329" s="44">
        <v>-2</v>
      </c>
      <c r="O329" s="42">
        <v>2020</v>
      </c>
      <c r="P329" s="42">
        <v>5</v>
      </c>
      <c r="Q329" s="44">
        <v>-0.6</v>
      </c>
      <c r="R329" s="42">
        <v>2024</v>
      </c>
      <c r="S329" s="42">
        <v>10</v>
      </c>
      <c r="T329" s="44">
        <v>1.8</v>
      </c>
      <c r="U329" s="42">
        <v>2019</v>
      </c>
      <c r="V329" s="42">
        <v>1</v>
      </c>
      <c r="W329" s="44">
        <v>2</v>
      </c>
      <c r="X329" s="42">
        <v>2012</v>
      </c>
      <c r="Y329" s="42">
        <v>22</v>
      </c>
      <c r="Z329" s="44">
        <v>1.2</v>
      </c>
      <c r="AA329" s="42">
        <v>2003</v>
      </c>
      <c r="AB329" s="42">
        <v>6</v>
      </c>
      <c r="AC329" s="44">
        <v>-1.6</v>
      </c>
      <c r="AD329" s="42">
        <v>2014</v>
      </c>
      <c r="AE329" s="42">
        <v>30</v>
      </c>
      <c r="AF329" s="44">
        <v>0.4</v>
      </c>
      <c r="AG329" s="42">
        <v>1999</v>
      </c>
      <c r="AH329" s="42">
        <v>21</v>
      </c>
      <c r="AI329" s="44">
        <v>1.2</v>
      </c>
      <c r="AJ329" s="42">
        <v>2008</v>
      </c>
      <c r="AK329" s="42">
        <v>24</v>
      </c>
      <c r="AL329" s="44">
        <v>1</v>
      </c>
      <c r="AM329" s="42">
        <v>2012</v>
      </c>
      <c r="AN329" s="42">
        <v>7</v>
      </c>
      <c r="AO329" s="44">
        <v>-2.4</v>
      </c>
      <c r="AP329" s="42">
        <v>2009</v>
      </c>
      <c r="AQ329" s="42">
        <v>31</v>
      </c>
    </row>
    <row r="330" spans="1:43" ht="14.45" customHeight="1" x14ac:dyDescent="0.2">
      <c r="A330" s="42">
        <v>21205740</v>
      </c>
      <c r="B330" s="42" t="s">
        <v>1231</v>
      </c>
      <c r="C330" s="42">
        <v>5.1177222220000003</v>
      </c>
      <c r="D330" s="42">
        <v>-73.70141667</v>
      </c>
      <c r="E330" s="42">
        <v>2709</v>
      </c>
      <c r="F330" s="42" t="s">
        <v>394</v>
      </c>
      <c r="G330" s="42" t="s">
        <v>73</v>
      </c>
      <c r="H330" s="44">
        <v>-0.4</v>
      </c>
      <c r="I330" s="42">
        <v>2011</v>
      </c>
      <c r="J330" s="42">
        <v>25</v>
      </c>
      <c r="K330" s="44">
        <v>-2.8</v>
      </c>
      <c r="L330" s="42">
        <v>2020</v>
      </c>
      <c r="M330" s="42">
        <v>18</v>
      </c>
      <c r="N330" s="44">
        <v>-2.4</v>
      </c>
      <c r="O330" s="42">
        <v>2002</v>
      </c>
      <c r="P330" s="42">
        <v>10</v>
      </c>
      <c r="Q330" s="44">
        <v>1</v>
      </c>
      <c r="R330" s="42">
        <v>2002</v>
      </c>
      <c r="S330" s="42">
        <v>14</v>
      </c>
      <c r="T330" s="44">
        <v>0.2</v>
      </c>
      <c r="U330" s="42">
        <v>2002</v>
      </c>
      <c r="V330" s="42">
        <v>14</v>
      </c>
      <c r="W330" s="44">
        <v>-3.8</v>
      </c>
      <c r="X330" s="42">
        <v>2001</v>
      </c>
      <c r="Y330" s="42">
        <v>24</v>
      </c>
      <c r="Z330" s="44">
        <v>0</v>
      </c>
      <c r="AA330" s="42">
        <v>1976</v>
      </c>
      <c r="AB330" s="42">
        <v>17</v>
      </c>
      <c r="AC330" s="44">
        <v>1</v>
      </c>
      <c r="AD330" s="42">
        <v>1999</v>
      </c>
      <c r="AE330" s="42">
        <v>25</v>
      </c>
      <c r="AF330" s="44">
        <v>0.4</v>
      </c>
      <c r="AG330" s="42">
        <v>2002</v>
      </c>
      <c r="AH330" s="42">
        <v>22</v>
      </c>
      <c r="AI330" s="44">
        <v>0.4</v>
      </c>
      <c r="AJ330" s="42">
        <v>2002</v>
      </c>
      <c r="AK330" s="42">
        <v>14</v>
      </c>
      <c r="AL330" s="44">
        <v>0.2</v>
      </c>
      <c r="AM330" s="42">
        <v>1995</v>
      </c>
      <c r="AN330" s="42">
        <v>30</v>
      </c>
      <c r="AO330" s="44">
        <v>-2</v>
      </c>
      <c r="AP330" s="42">
        <v>2002</v>
      </c>
      <c r="AQ330" s="42">
        <v>12</v>
      </c>
    </row>
    <row r="331" spans="1:43" ht="14.45" customHeight="1" x14ac:dyDescent="0.2">
      <c r="A331" s="42">
        <v>52045010</v>
      </c>
      <c r="B331" s="42" t="s">
        <v>1232</v>
      </c>
      <c r="C331" s="42">
        <v>1.1982222220000001</v>
      </c>
      <c r="D331" s="42">
        <v>-77.303083330000007</v>
      </c>
      <c r="E331" s="42">
        <v>2710</v>
      </c>
      <c r="F331" s="42" t="s">
        <v>271</v>
      </c>
      <c r="G331" s="42" t="s">
        <v>82</v>
      </c>
      <c r="H331" s="44">
        <v>4.8</v>
      </c>
      <c r="I331" s="42">
        <v>2004</v>
      </c>
      <c r="J331" s="42">
        <v>28</v>
      </c>
      <c r="K331" s="44">
        <v>4.2</v>
      </c>
      <c r="L331" s="42">
        <v>2023</v>
      </c>
      <c r="M331" s="42">
        <v>3</v>
      </c>
      <c r="N331" s="44">
        <v>4.5999999999999996</v>
      </c>
      <c r="O331" s="42">
        <v>2020</v>
      </c>
      <c r="P331" s="42">
        <v>22</v>
      </c>
      <c r="Q331" s="44">
        <v>5.7</v>
      </c>
      <c r="R331" s="42">
        <v>2010</v>
      </c>
      <c r="S331" s="42">
        <v>7</v>
      </c>
      <c r="T331" s="44">
        <v>5</v>
      </c>
      <c r="U331" s="42">
        <v>1985</v>
      </c>
      <c r="V331" s="42">
        <v>3</v>
      </c>
      <c r="W331" s="44">
        <v>4.9000000000000004</v>
      </c>
      <c r="X331" s="42">
        <v>1985</v>
      </c>
      <c r="Y331" s="42">
        <v>10</v>
      </c>
      <c r="Z331" s="44">
        <v>4.5999999999999996</v>
      </c>
      <c r="AA331" s="42">
        <v>1996</v>
      </c>
      <c r="AB331" s="42">
        <v>14</v>
      </c>
      <c r="AC331" s="44">
        <v>4.2</v>
      </c>
      <c r="AD331" s="42">
        <v>2022</v>
      </c>
      <c r="AE331" s="42">
        <v>13</v>
      </c>
      <c r="AF331" s="44">
        <v>4</v>
      </c>
      <c r="AG331" s="42">
        <v>2021</v>
      </c>
      <c r="AH331" s="42">
        <v>14</v>
      </c>
      <c r="AI331" s="44">
        <v>4.5999999999999996</v>
      </c>
      <c r="AJ331" s="42">
        <v>2003</v>
      </c>
      <c r="AK331" s="42">
        <v>3</v>
      </c>
      <c r="AL331" s="44">
        <v>3.8</v>
      </c>
      <c r="AM331" s="42">
        <v>2020</v>
      </c>
      <c r="AN331" s="42">
        <v>4</v>
      </c>
      <c r="AO331" s="44">
        <v>3</v>
      </c>
      <c r="AP331" s="42">
        <v>2025</v>
      </c>
      <c r="AQ331" s="42">
        <v>8</v>
      </c>
    </row>
    <row r="332" spans="1:43" ht="14.45" customHeight="1" x14ac:dyDescent="0.2">
      <c r="A332" s="42">
        <v>21205700</v>
      </c>
      <c r="B332" s="42" t="s">
        <v>1233</v>
      </c>
      <c r="C332" s="42">
        <v>4.8779529999999998</v>
      </c>
      <c r="D332" s="42">
        <v>-73.864452999999997</v>
      </c>
      <c r="E332" s="42">
        <v>2750</v>
      </c>
      <c r="F332" s="42" t="s">
        <v>390</v>
      </c>
      <c r="G332" s="42" t="s">
        <v>73</v>
      </c>
      <c r="H332" s="44">
        <v>-0.8</v>
      </c>
      <c r="I332" s="42">
        <v>2020</v>
      </c>
      <c r="J332" s="42">
        <v>8</v>
      </c>
      <c r="K332" s="44">
        <v>-1.4</v>
      </c>
      <c r="L332" s="42">
        <v>2020</v>
      </c>
      <c r="M332" s="42">
        <v>5</v>
      </c>
      <c r="N332" s="44">
        <v>0.6</v>
      </c>
      <c r="O332" s="42">
        <v>1997</v>
      </c>
      <c r="P332" s="42">
        <v>12</v>
      </c>
      <c r="Q332" s="44">
        <v>1.4</v>
      </c>
      <c r="R332" s="42">
        <v>2007</v>
      </c>
      <c r="S332" s="42">
        <v>13</v>
      </c>
      <c r="T332" s="44">
        <v>1</v>
      </c>
      <c r="U332" s="42">
        <v>2006</v>
      </c>
      <c r="V332" s="42">
        <v>27</v>
      </c>
      <c r="W332" s="44">
        <v>1</v>
      </c>
      <c r="X332" s="42">
        <v>1993</v>
      </c>
      <c r="Y332" s="42">
        <v>5</v>
      </c>
      <c r="Z332" s="44">
        <v>2.4</v>
      </c>
      <c r="AA332" s="42">
        <v>1994</v>
      </c>
      <c r="AB332" s="42">
        <v>10</v>
      </c>
      <c r="AC332" s="44">
        <v>2.2000000000000002</v>
      </c>
      <c r="AD332" s="42">
        <v>1990</v>
      </c>
      <c r="AE332" s="42">
        <v>21</v>
      </c>
      <c r="AF332" s="44">
        <v>2</v>
      </c>
      <c r="AG332" s="42">
        <v>2020</v>
      </c>
      <c r="AH332" s="42">
        <v>22</v>
      </c>
      <c r="AI332" s="44">
        <v>1.5</v>
      </c>
      <c r="AJ332" s="42">
        <v>2002</v>
      </c>
      <c r="AK332" s="42">
        <v>14</v>
      </c>
      <c r="AL332" s="44">
        <v>1.8</v>
      </c>
      <c r="AM332" s="42">
        <v>2009</v>
      </c>
      <c r="AN332" s="42">
        <v>23</v>
      </c>
      <c r="AO332" s="44">
        <v>-1.8</v>
      </c>
      <c r="AP332" s="42">
        <v>2022</v>
      </c>
      <c r="AQ332" s="42">
        <v>27</v>
      </c>
    </row>
    <row r="333" spans="1:43" ht="14.45" customHeight="1" x14ac:dyDescent="0.2">
      <c r="A333" s="42">
        <v>52055090</v>
      </c>
      <c r="B333" s="42" t="s">
        <v>1234</v>
      </c>
      <c r="C333" s="42">
        <v>1.107583333</v>
      </c>
      <c r="D333" s="42">
        <v>-77.389361109999996</v>
      </c>
      <c r="E333" s="42">
        <v>2800</v>
      </c>
      <c r="F333" s="42" t="s">
        <v>291</v>
      </c>
      <c r="G333" s="42" t="s">
        <v>82</v>
      </c>
      <c r="H333" s="44">
        <v>5</v>
      </c>
      <c r="I333" s="42">
        <v>1999</v>
      </c>
      <c r="J333" s="42">
        <v>27</v>
      </c>
      <c r="K333" s="44">
        <v>5</v>
      </c>
      <c r="L333" s="42">
        <v>1999</v>
      </c>
      <c r="M333" s="42">
        <v>1</v>
      </c>
      <c r="N333" s="44">
        <v>6.5</v>
      </c>
      <c r="O333" s="42">
        <v>1988</v>
      </c>
      <c r="P333" s="42">
        <v>6</v>
      </c>
      <c r="Q333" s="44">
        <v>5.2</v>
      </c>
      <c r="R333" s="42">
        <v>2001</v>
      </c>
      <c r="S333" s="42">
        <v>4</v>
      </c>
      <c r="T333" s="44">
        <v>6.2</v>
      </c>
      <c r="U333" s="42">
        <v>2001</v>
      </c>
      <c r="V333" s="42">
        <v>25</v>
      </c>
      <c r="W333" s="44">
        <v>4.5</v>
      </c>
      <c r="X333" s="42">
        <v>1988</v>
      </c>
      <c r="Y333" s="42">
        <v>11</v>
      </c>
      <c r="Z333" s="44">
        <v>5</v>
      </c>
      <c r="AA333" s="42">
        <v>1988</v>
      </c>
      <c r="AB333" s="42">
        <v>13</v>
      </c>
      <c r="AC333" s="44">
        <v>4.9000000000000004</v>
      </c>
      <c r="AD333" s="42">
        <v>1999</v>
      </c>
      <c r="AE333" s="42">
        <v>2</v>
      </c>
      <c r="AF333" s="44">
        <v>5</v>
      </c>
      <c r="AG333" s="42">
        <v>1998</v>
      </c>
      <c r="AH333" s="42">
        <v>1</v>
      </c>
      <c r="AI333" s="44">
        <v>5.2</v>
      </c>
      <c r="AJ333" s="42">
        <v>1999</v>
      </c>
      <c r="AK333" s="42">
        <v>17</v>
      </c>
      <c r="AL333" s="44">
        <v>1</v>
      </c>
      <c r="AM333" s="42">
        <v>2017</v>
      </c>
      <c r="AN333" s="42">
        <v>17</v>
      </c>
      <c r="AO333" s="44">
        <v>5</v>
      </c>
      <c r="AP333" s="42">
        <v>2000</v>
      </c>
      <c r="AQ333" s="42">
        <v>3</v>
      </c>
    </row>
    <row r="334" spans="1:43" ht="14.45" customHeight="1" x14ac:dyDescent="0.2">
      <c r="A334" s="42">
        <v>21255110</v>
      </c>
      <c r="B334" s="42" t="s">
        <v>1235</v>
      </c>
      <c r="C334" s="42">
        <v>4.7017499999999997</v>
      </c>
      <c r="D334" s="42">
        <v>-75.131833330000006</v>
      </c>
      <c r="E334" s="42">
        <v>2817</v>
      </c>
      <c r="F334" s="42" t="s">
        <v>366</v>
      </c>
      <c r="G334" s="42" t="s">
        <v>70</v>
      </c>
      <c r="H334" s="44">
        <v>4.4000000000000004</v>
      </c>
      <c r="I334" s="42">
        <v>1985</v>
      </c>
      <c r="J334" s="42">
        <v>22</v>
      </c>
      <c r="K334" s="44">
        <v>4</v>
      </c>
      <c r="L334" s="42">
        <v>1994</v>
      </c>
      <c r="M334" s="42">
        <v>10</v>
      </c>
      <c r="N334" s="44">
        <v>4.5999999999999996</v>
      </c>
      <c r="O334" s="42">
        <v>1994</v>
      </c>
      <c r="P334" s="42">
        <v>6</v>
      </c>
      <c r="Q334" s="44">
        <v>5.8</v>
      </c>
      <c r="R334" s="42">
        <v>1986</v>
      </c>
      <c r="S334" s="42">
        <v>26</v>
      </c>
      <c r="T334" s="44">
        <v>5</v>
      </c>
      <c r="U334" s="42">
        <v>1986</v>
      </c>
      <c r="V334" s="42">
        <v>23</v>
      </c>
      <c r="W334" s="44">
        <v>4.8</v>
      </c>
      <c r="X334" s="42">
        <v>1988</v>
      </c>
      <c r="Y334" s="42">
        <v>28</v>
      </c>
      <c r="Z334" s="44">
        <v>4.5</v>
      </c>
      <c r="AA334" s="42">
        <v>2018</v>
      </c>
      <c r="AB334" s="42">
        <v>3</v>
      </c>
      <c r="AC334" s="44">
        <v>5</v>
      </c>
      <c r="AD334" s="42">
        <v>2018</v>
      </c>
      <c r="AE334" s="42">
        <v>16</v>
      </c>
      <c r="AF334" s="44">
        <v>5</v>
      </c>
      <c r="AG334" s="42">
        <v>2017</v>
      </c>
      <c r="AH334" s="42">
        <v>18</v>
      </c>
      <c r="AI334" s="44">
        <v>4.8</v>
      </c>
      <c r="AJ334" s="42">
        <v>2018</v>
      </c>
      <c r="AK334" s="42">
        <v>15</v>
      </c>
      <c r="AL334" s="44">
        <v>5</v>
      </c>
      <c r="AM334" s="42">
        <v>1978</v>
      </c>
      <c r="AN334" s="42">
        <v>15</v>
      </c>
      <c r="AO334" s="44">
        <v>4.5999999999999996</v>
      </c>
      <c r="AP334" s="42">
        <v>2018</v>
      </c>
      <c r="AQ334" s="42">
        <v>27</v>
      </c>
    </row>
    <row r="335" spans="1:43" ht="14.45" customHeight="1" x14ac:dyDescent="0.2">
      <c r="A335" s="42">
        <v>52055210</v>
      </c>
      <c r="B335" s="42" t="s">
        <v>1236</v>
      </c>
      <c r="C335" s="42">
        <v>1.1599999999999999</v>
      </c>
      <c r="D335" s="42">
        <v>-77.278805559999995</v>
      </c>
      <c r="E335" s="42">
        <v>2820</v>
      </c>
      <c r="F335" s="42" t="s">
        <v>271</v>
      </c>
      <c r="G335" s="42" t="s">
        <v>82</v>
      </c>
      <c r="H335" s="44">
        <v>0.6</v>
      </c>
      <c r="I335" s="42">
        <v>2017</v>
      </c>
      <c r="J335" s="42">
        <v>23</v>
      </c>
      <c r="K335" s="44">
        <v>2.4</v>
      </c>
      <c r="L335" s="42">
        <v>2007</v>
      </c>
      <c r="M335" s="42">
        <v>5</v>
      </c>
      <c r="N335" s="44">
        <v>3.8</v>
      </c>
      <c r="O335" s="42">
        <v>1985</v>
      </c>
      <c r="P335" s="42">
        <v>23</v>
      </c>
      <c r="Q335" s="44">
        <v>3</v>
      </c>
      <c r="R335" s="42">
        <v>2013</v>
      </c>
      <c r="S335" s="42">
        <v>25</v>
      </c>
      <c r="T335" s="44">
        <v>3.2</v>
      </c>
      <c r="U335" s="42">
        <v>1986</v>
      </c>
      <c r="V335" s="42">
        <v>31</v>
      </c>
      <c r="W335" s="44">
        <v>4.5999999999999996</v>
      </c>
      <c r="X335" s="42">
        <v>2022</v>
      </c>
      <c r="Y335" s="42">
        <v>28</v>
      </c>
      <c r="Z335" s="44">
        <v>3.1</v>
      </c>
      <c r="AA335" s="42">
        <v>1996</v>
      </c>
      <c r="AB335" s="42">
        <v>13</v>
      </c>
      <c r="AC335" s="44">
        <v>2.4</v>
      </c>
      <c r="AD335" s="42">
        <v>2016</v>
      </c>
      <c r="AE335" s="42">
        <v>24</v>
      </c>
      <c r="AF335" s="44">
        <v>2.8</v>
      </c>
      <c r="AG335" s="42">
        <v>2021</v>
      </c>
      <c r="AH335" s="42">
        <v>14</v>
      </c>
      <c r="AI335" s="44">
        <v>3.2</v>
      </c>
      <c r="AJ335" s="42">
        <v>2018</v>
      </c>
      <c r="AK335" s="42">
        <v>13</v>
      </c>
      <c r="AL335" s="44">
        <v>1.8</v>
      </c>
      <c r="AM335" s="42">
        <v>1985</v>
      </c>
      <c r="AN335" s="42">
        <v>2</v>
      </c>
      <c r="AO335" s="44">
        <v>1.8</v>
      </c>
      <c r="AP335" s="42">
        <v>2025</v>
      </c>
      <c r="AQ335" s="42">
        <v>9</v>
      </c>
    </row>
    <row r="336" spans="1:43" ht="14.45" customHeight="1" x14ac:dyDescent="0.2">
      <c r="A336" s="42">
        <v>47015100</v>
      </c>
      <c r="B336" s="42" t="s">
        <v>1237</v>
      </c>
      <c r="C336" s="42">
        <v>1.159944444</v>
      </c>
      <c r="D336" s="42">
        <v>-77.161472219999993</v>
      </c>
      <c r="E336" s="42">
        <v>2830</v>
      </c>
      <c r="F336" s="42" t="s">
        <v>271</v>
      </c>
      <c r="G336" s="42" t="s">
        <v>82</v>
      </c>
      <c r="H336" s="44">
        <v>0.2</v>
      </c>
      <c r="I336" s="42">
        <v>2017</v>
      </c>
      <c r="J336" s="42">
        <v>23</v>
      </c>
      <c r="K336" s="44">
        <v>1.3</v>
      </c>
      <c r="L336" s="42">
        <v>2007</v>
      </c>
      <c r="M336" s="42">
        <v>5</v>
      </c>
      <c r="N336" s="44">
        <v>1.5</v>
      </c>
      <c r="O336" s="42">
        <v>1992</v>
      </c>
      <c r="P336" s="42">
        <v>25</v>
      </c>
      <c r="Q336" s="44">
        <v>1.4</v>
      </c>
      <c r="R336" s="42">
        <v>2013</v>
      </c>
      <c r="S336" s="42">
        <v>26</v>
      </c>
      <c r="T336" s="44">
        <v>1.8</v>
      </c>
      <c r="U336" s="42">
        <v>1986</v>
      </c>
      <c r="V336" s="42">
        <v>31</v>
      </c>
      <c r="W336" s="44">
        <v>3</v>
      </c>
      <c r="X336" s="42">
        <v>1985</v>
      </c>
      <c r="Y336" s="42">
        <v>24</v>
      </c>
      <c r="Z336" s="44">
        <v>0.8</v>
      </c>
      <c r="AA336" s="42">
        <v>2003</v>
      </c>
      <c r="AB336" s="42">
        <v>14</v>
      </c>
      <c r="AC336" s="44">
        <v>1.2</v>
      </c>
      <c r="AD336" s="42">
        <v>2022</v>
      </c>
      <c r="AE336" s="42">
        <v>13</v>
      </c>
      <c r="AF336" s="44">
        <v>1.2</v>
      </c>
      <c r="AG336" s="42">
        <v>1991</v>
      </c>
      <c r="AH336" s="42">
        <v>3</v>
      </c>
      <c r="AI336" s="44">
        <v>1.9</v>
      </c>
      <c r="AJ336" s="42">
        <v>1991</v>
      </c>
      <c r="AK336" s="42">
        <v>15</v>
      </c>
      <c r="AL336" s="44">
        <v>1.5</v>
      </c>
      <c r="AM336" s="42">
        <v>1992</v>
      </c>
      <c r="AN336" s="42">
        <v>22</v>
      </c>
      <c r="AO336" s="44">
        <v>0.2</v>
      </c>
      <c r="AP336" s="42">
        <v>2025</v>
      </c>
      <c r="AQ336" s="42">
        <v>9</v>
      </c>
    </row>
    <row r="337" spans="1:43" ht="14.45" customHeight="1" x14ac:dyDescent="0.2">
      <c r="A337" s="42">
        <v>24035400</v>
      </c>
      <c r="B337" s="42" t="s">
        <v>1238</v>
      </c>
      <c r="C337" s="42">
        <v>6.8452777779999998</v>
      </c>
      <c r="D337" s="42">
        <v>-72.67777778</v>
      </c>
      <c r="E337" s="42">
        <v>2841</v>
      </c>
      <c r="F337" s="42" t="s">
        <v>327</v>
      </c>
      <c r="G337" s="42" t="s">
        <v>49</v>
      </c>
      <c r="H337" s="44">
        <v>3.6</v>
      </c>
      <c r="I337" s="42">
        <v>2021</v>
      </c>
      <c r="J337" s="42">
        <v>6</v>
      </c>
      <c r="K337" s="44">
        <v>3.6</v>
      </c>
      <c r="L337" s="42">
        <v>2012</v>
      </c>
      <c r="M337" s="42">
        <v>16</v>
      </c>
      <c r="N337" s="44">
        <v>4</v>
      </c>
      <c r="O337" s="42">
        <v>2011</v>
      </c>
      <c r="P337" s="42">
        <v>14</v>
      </c>
      <c r="Q337" s="44">
        <v>5</v>
      </c>
      <c r="R337" s="42">
        <v>2018</v>
      </c>
      <c r="S337" s="42">
        <v>2</v>
      </c>
      <c r="T337" s="44">
        <v>5</v>
      </c>
      <c r="U337" s="42">
        <v>2016</v>
      </c>
      <c r="V337" s="42">
        <v>30</v>
      </c>
      <c r="W337" s="44">
        <v>5</v>
      </c>
      <c r="X337" s="42">
        <v>2013</v>
      </c>
      <c r="Y337" s="42">
        <v>27</v>
      </c>
      <c r="Z337" s="44">
        <v>6.2</v>
      </c>
      <c r="AA337" s="42">
        <v>2007</v>
      </c>
      <c r="AB337" s="42">
        <v>26</v>
      </c>
      <c r="AC337" s="44">
        <v>6</v>
      </c>
      <c r="AD337" s="42">
        <v>2020</v>
      </c>
      <c r="AE337" s="42">
        <v>30</v>
      </c>
      <c r="AF337" s="44">
        <v>5.4</v>
      </c>
      <c r="AG337" s="42">
        <v>2014</v>
      </c>
      <c r="AH337" s="42">
        <v>20</v>
      </c>
      <c r="AI337" s="44">
        <v>5</v>
      </c>
      <c r="AJ337" s="42">
        <v>2022</v>
      </c>
      <c r="AK337" s="42">
        <v>31</v>
      </c>
      <c r="AL337" s="44">
        <v>5</v>
      </c>
      <c r="AM337" s="42">
        <v>2016</v>
      </c>
      <c r="AN337" s="42">
        <v>21</v>
      </c>
      <c r="AO337" s="44">
        <v>3.4</v>
      </c>
      <c r="AP337" s="42">
        <v>2010</v>
      </c>
      <c r="AQ337" s="42">
        <v>31</v>
      </c>
    </row>
    <row r="338" spans="1:43" ht="14.45" customHeight="1" x14ac:dyDescent="0.2">
      <c r="A338" s="42">
        <v>26185040</v>
      </c>
      <c r="B338" s="42" t="s">
        <v>1239</v>
      </c>
      <c r="C338" s="42">
        <v>5.3729444439999998</v>
      </c>
      <c r="D338" s="42">
        <v>-75.375333330000004</v>
      </c>
      <c r="E338" s="42">
        <v>2855</v>
      </c>
      <c r="F338" s="42" t="s">
        <v>1240</v>
      </c>
      <c r="G338" s="42" t="s">
        <v>116</v>
      </c>
      <c r="H338" s="44">
        <v>-1.8</v>
      </c>
      <c r="I338" s="42">
        <v>2012</v>
      </c>
      <c r="J338" s="42">
        <v>28</v>
      </c>
      <c r="K338" s="44">
        <v>-7.8</v>
      </c>
      <c r="L338" s="42">
        <v>1985</v>
      </c>
      <c r="M338" s="42">
        <v>5</v>
      </c>
      <c r="N338" s="44">
        <v>-1</v>
      </c>
      <c r="O338" s="42">
        <v>2012</v>
      </c>
      <c r="P338" s="42">
        <v>7</v>
      </c>
      <c r="Q338" s="44">
        <v>1.1000000000000001</v>
      </c>
      <c r="R338" s="42">
        <v>1986</v>
      </c>
      <c r="S338" s="42">
        <v>27</v>
      </c>
      <c r="T338" s="44">
        <v>1</v>
      </c>
      <c r="U338" s="42">
        <v>2006</v>
      </c>
      <c r="V338" s="42">
        <v>7</v>
      </c>
      <c r="W338" s="44">
        <v>1</v>
      </c>
      <c r="X338" s="42">
        <v>1997</v>
      </c>
      <c r="Y338" s="42">
        <v>21</v>
      </c>
      <c r="Z338" s="44">
        <v>-5.8</v>
      </c>
      <c r="AA338" s="42">
        <v>1986</v>
      </c>
      <c r="AB338" s="42">
        <v>19</v>
      </c>
      <c r="AC338" s="44">
        <v>1</v>
      </c>
      <c r="AD338" s="42">
        <v>1983</v>
      </c>
      <c r="AE338" s="42">
        <v>27</v>
      </c>
      <c r="AF338" s="44">
        <v>1</v>
      </c>
      <c r="AG338" s="42">
        <v>1984</v>
      </c>
      <c r="AH338" s="42">
        <v>2</v>
      </c>
      <c r="AI338" s="44">
        <v>1</v>
      </c>
      <c r="AJ338" s="42">
        <v>2005</v>
      </c>
      <c r="AK338" s="42">
        <v>4</v>
      </c>
      <c r="AL338" s="44">
        <v>0</v>
      </c>
      <c r="AM338" s="42">
        <v>2012</v>
      </c>
      <c r="AN338" s="42">
        <v>7</v>
      </c>
      <c r="AO338" s="44">
        <v>-2.2000000000000002</v>
      </c>
      <c r="AP338" s="42">
        <v>2011</v>
      </c>
      <c r="AQ338" s="42">
        <v>2</v>
      </c>
    </row>
    <row r="339" spans="1:43" ht="14.45" customHeight="1" x14ac:dyDescent="0.2">
      <c r="A339" s="42">
        <v>21205720</v>
      </c>
      <c r="B339" s="42" t="s">
        <v>1241</v>
      </c>
      <c r="C339" s="42">
        <v>4.5057499999999999</v>
      </c>
      <c r="D339" s="42">
        <v>-74.189277779999998</v>
      </c>
      <c r="E339" s="42">
        <v>2900</v>
      </c>
      <c r="F339" s="42" t="s">
        <v>392</v>
      </c>
      <c r="G339" s="42" t="s">
        <v>73</v>
      </c>
      <c r="H339" s="44">
        <v>1</v>
      </c>
      <c r="I339" s="42">
        <v>1987</v>
      </c>
      <c r="J339" s="42">
        <v>4</v>
      </c>
      <c r="K339" s="44">
        <v>0</v>
      </c>
      <c r="L339" s="42">
        <v>2020</v>
      </c>
      <c r="M339" s="42">
        <v>6</v>
      </c>
      <c r="N339" s="44">
        <v>1.4</v>
      </c>
      <c r="O339" s="42">
        <v>1989</v>
      </c>
      <c r="P339" s="42">
        <v>30</v>
      </c>
      <c r="Q339" s="44">
        <v>2</v>
      </c>
      <c r="R339" s="42">
        <v>1989</v>
      </c>
      <c r="S339" s="42">
        <v>2</v>
      </c>
      <c r="T339" s="44">
        <v>1.4</v>
      </c>
      <c r="U339" s="42">
        <v>1989</v>
      </c>
      <c r="V339" s="42">
        <v>31</v>
      </c>
      <c r="W339" s="44">
        <v>0.5</v>
      </c>
      <c r="X339" s="42">
        <v>1981</v>
      </c>
      <c r="Y339" s="42">
        <v>14</v>
      </c>
      <c r="Z339" s="44">
        <v>1.2</v>
      </c>
      <c r="AA339" s="42">
        <v>1995</v>
      </c>
      <c r="AB339" s="42">
        <v>8</v>
      </c>
      <c r="AC339" s="44">
        <v>2.4</v>
      </c>
      <c r="AD339" s="42">
        <v>2011</v>
      </c>
      <c r="AE339" s="42">
        <v>18</v>
      </c>
      <c r="AF339" s="44">
        <v>2</v>
      </c>
      <c r="AG339" s="42">
        <v>2015</v>
      </c>
      <c r="AH339" s="42">
        <v>13</v>
      </c>
      <c r="AI339" s="44">
        <v>1.2</v>
      </c>
      <c r="AJ339" s="42">
        <v>1981</v>
      </c>
      <c r="AK339" s="42">
        <v>12</v>
      </c>
      <c r="AL339" s="44">
        <v>3.6</v>
      </c>
      <c r="AM339" s="42">
        <v>2005</v>
      </c>
      <c r="AN339" s="42">
        <v>29</v>
      </c>
      <c r="AO339" s="44">
        <v>2.2000000000000002</v>
      </c>
      <c r="AP339" s="42">
        <v>1985</v>
      </c>
      <c r="AQ339" s="42">
        <v>20</v>
      </c>
    </row>
    <row r="340" spans="1:43" ht="14.45" customHeight="1" x14ac:dyDescent="0.2">
      <c r="A340" s="42">
        <v>26015020</v>
      </c>
      <c r="B340" s="42" t="s">
        <v>1242</v>
      </c>
      <c r="C340" s="42">
        <v>2.1917219999999999</v>
      </c>
      <c r="D340" s="42">
        <v>-76.482028</v>
      </c>
      <c r="E340" s="42">
        <v>2900</v>
      </c>
      <c r="F340" s="42" t="s">
        <v>1243</v>
      </c>
      <c r="G340" s="42" t="s">
        <v>181</v>
      </c>
      <c r="H340" s="44">
        <v>-3</v>
      </c>
      <c r="I340" s="42">
        <v>1998</v>
      </c>
      <c r="J340" s="42">
        <v>24</v>
      </c>
      <c r="K340" s="44">
        <v>-1.6</v>
      </c>
      <c r="L340" s="42">
        <v>2000</v>
      </c>
      <c r="M340" s="42">
        <v>9</v>
      </c>
      <c r="N340" s="44">
        <v>0</v>
      </c>
      <c r="O340" s="42">
        <v>1989</v>
      </c>
      <c r="P340" s="42">
        <v>29</v>
      </c>
      <c r="Q340" s="44">
        <v>1</v>
      </c>
      <c r="R340" s="42">
        <v>1987</v>
      </c>
      <c r="S340" s="42">
        <v>10</v>
      </c>
      <c r="T340" s="44">
        <v>0.5</v>
      </c>
      <c r="U340" s="42">
        <v>1993</v>
      </c>
      <c r="V340" s="42">
        <v>11</v>
      </c>
      <c r="W340" s="44">
        <v>1.6</v>
      </c>
      <c r="X340" s="42">
        <v>1999</v>
      </c>
      <c r="Y340" s="42">
        <v>12</v>
      </c>
      <c r="Z340" s="44">
        <v>1.2</v>
      </c>
      <c r="AA340" s="42">
        <v>1987</v>
      </c>
      <c r="AB340" s="42">
        <v>27</v>
      </c>
      <c r="AC340" s="44">
        <v>-1.6</v>
      </c>
      <c r="AD340" s="42">
        <v>1998</v>
      </c>
      <c r="AE340" s="42">
        <v>8</v>
      </c>
      <c r="AF340" s="44">
        <v>0</v>
      </c>
      <c r="AG340" s="42">
        <v>1998</v>
      </c>
      <c r="AH340" s="42">
        <v>2</v>
      </c>
      <c r="AI340" s="44">
        <v>-4.8</v>
      </c>
      <c r="AJ340" s="42">
        <v>1991</v>
      </c>
      <c r="AK340" s="42">
        <v>15</v>
      </c>
      <c r="AL340" s="44">
        <v>-2.8</v>
      </c>
      <c r="AM340" s="42">
        <v>1997</v>
      </c>
      <c r="AN340" s="42">
        <v>28</v>
      </c>
      <c r="AO340" s="44">
        <v>-2.6</v>
      </c>
      <c r="AP340" s="42">
        <v>1999</v>
      </c>
      <c r="AQ340" s="42">
        <v>31</v>
      </c>
    </row>
    <row r="341" spans="1:43" ht="14.45" customHeight="1" x14ac:dyDescent="0.2">
      <c r="A341" s="42">
        <v>44015030</v>
      </c>
      <c r="B341" s="42" t="s">
        <v>1244</v>
      </c>
      <c r="C341" s="42">
        <v>1.900416667</v>
      </c>
      <c r="D341" s="42">
        <v>-76.668750000000003</v>
      </c>
      <c r="E341" s="42">
        <v>2900</v>
      </c>
      <c r="F341" s="42" t="s">
        <v>262</v>
      </c>
      <c r="G341" s="42" t="s">
        <v>181</v>
      </c>
      <c r="H341" s="44">
        <v>-2.6</v>
      </c>
      <c r="I341" s="42">
        <v>2017</v>
      </c>
      <c r="J341" s="42">
        <v>23</v>
      </c>
      <c r="K341" s="44">
        <v>-1.8</v>
      </c>
      <c r="L341" s="42">
        <v>2007</v>
      </c>
      <c r="M341" s="42">
        <v>4</v>
      </c>
      <c r="N341" s="44">
        <v>-4</v>
      </c>
      <c r="O341" s="42">
        <v>2009</v>
      </c>
      <c r="P341" s="42">
        <v>9</v>
      </c>
      <c r="Q341" s="44">
        <v>-0.6</v>
      </c>
      <c r="R341" s="42">
        <v>1991</v>
      </c>
      <c r="S341" s="42">
        <v>18</v>
      </c>
      <c r="T341" s="44">
        <v>-1</v>
      </c>
      <c r="U341" s="42">
        <v>2009</v>
      </c>
      <c r="V341" s="42">
        <v>26</v>
      </c>
      <c r="W341" s="44">
        <v>-1.2</v>
      </c>
      <c r="X341" s="42">
        <v>2013</v>
      </c>
      <c r="Y341" s="42">
        <v>29</v>
      </c>
      <c r="Z341" s="44">
        <v>-1.8</v>
      </c>
      <c r="AA341" s="42">
        <v>1996</v>
      </c>
      <c r="AB341" s="42">
        <v>24</v>
      </c>
      <c r="AC341" s="44">
        <v>-2.4</v>
      </c>
      <c r="AD341" s="42">
        <v>2012</v>
      </c>
      <c r="AE341" s="42">
        <v>7</v>
      </c>
      <c r="AF341" s="44">
        <v>-1.6</v>
      </c>
      <c r="AG341" s="42">
        <v>2013</v>
      </c>
      <c r="AH341" s="42">
        <v>12</v>
      </c>
      <c r="AI341" s="44">
        <v>-2.6</v>
      </c>
      <c r="AJ341" s="42">
        <v>1991</v>
      </c>
      <c r="AK341" s="42">
        <v>15</v>
      </c>
      <c r="AL341" s="44">
        <v>-2.4</v>
      </c>
      <c r="AM341" s="42">
        <v>2016</v>
      </c>
      <c r="AN341" s="42">
        <v>22</v>
      </c>
      <c r="AO341" s="44">
        <v>-1.6</v>
      </c>
      <c r="AP341" s="42">
        <v>1989</v>
      </c>
      <c r="AQ341" s="42">
        <v>16</v>
      </c>
    </row>
    <row r="342" spans="1:43" ht="14.45" customHeight="1" x14ac:dyDescent="0.2">
      <c r="A342" s="42">
        <v>26105140</v>
      </c>
      <c r="B342" s="42" t="s">
        <v>1245</v>
      </c>
      <c r="C342" s="42">
        <v>4.0330555559999999</v>
      </c>
      <c r="D342" s="42">
        <v>-75.888027777999994</v>
      </c>
      <c r="E342" s="42">
        <v>2902</v>
      </c>
      <c r="F342" s="42" t="s">
        <v>343</v>
      </c>
      <c r="G342" s="42" t="s">
        <v>341</v>
      </c>
      <c r="H342" s="44">
        <v>2</v>
      </c>
      <c r="I342" s="42">
        <v>1984</v>
      </c>
      <c r="J342" s="42">
        <v>1</v>
      </c>
      <c r="K342" s="44">
        <v>2</v>
      </c>
      <c r="L342" s="42">
        <v>1992</v>
      </c>
      <c r="M342" s="42">
        <v>15</v>
      </c>
      <c r="N342" s="44">
        <v>2.1</v>
      </c>
      <c r="O342" s="42">
        <v>1983</v>
      </c>
      <c r="P342" s="42">
        <v>19</v>
      </c>
      <c r="Q342" s="44">
        <v>2</v>
      </c>
      <c r="R342" s="42">
        <v>1983</v>
      </c>
      <c r="S342" s="42">
        <v>19</v>
      </c>
      <c r="T342" s="44">
        <v>3.1</v>
      </c>
      <c r="U342" s="42">
        <v>1983</v>
      </c>
      <c r="V342" s="42">
        <v>3</v>
      </c>
      <c r="W342" s="44">
        <v>3</v>
      </c>
      <c r="X342" s="42">
        <v>1986</v>
      </c>
      <c r="Y342" s="42">
        <v>22</v>
      </c>
      <c r="Z342" s="44">
        <v>2</v>
      </c>
      <c r="AA342" s="42">
        <v>2014</v>
      </c>
      <c r="AB342" s="42">
        <v>20</v>
      </c>
      <c r="AC342" s="44">
        <v>1.6</v>
      </c>
      <c r="AD342" s="42">
        <v>2016</v>
      </c>
      <c r="AE342" s="42">
        <v>27</v>
      </c>
      <c r="AF342" s="44">
        <v>3</v>
      </c>
      <c r="AG342" s="42">
        <v>1986</v>
      </c>
      <c r="AH342" s="42">
        <v>17</v>
      </c>
      <c r="AI342" s="44">
        <v>2.4</v>
      </c>
      <c r="AJ342" s="42">
        <v>1992</v>
      </c>
      <c r="AK342" s="42">
        <v>4</v>
      </c>
      <c r="AL342" s="44">
        <v>3</v>
      </c>
      <c r="AM342" s="42">
        <v>1984</v>
      </c>
      <c r="AN342" s="42">
        <v>9</v>
      </c>
      <c r="AO342" s="44">
        <v>4</v>
      </c>
      <c r="AP342" s="42">
        <v>1980</v>
      </c>
      <c r="AQ342" s="42">
        <v>31</v>
      </c>
    </row>
    <row r="343" spans="1:43" ht="14.45" customHeight="1" x14ac:dyDescent="0.2">
      <c r="A343" s="42">
        <v>24035010</v>
      </c>
      <c r="B343" s="42" t="s">
        <v>1246</v>
      </c>
      <c r="C343" s="42">
        <v>6.2481111110000001</v>
      </c>
      <c r="D343" s="42">
        <v>-72.548888890000001</v>
      </c>
      <c r="E343" s="42">
        <v>2950</v>
      </c>
      <c r="F343" s="42" t="s">
        <v>524</v>
      </c>
      <c r="G343" s="42" t="s">
        <v>212</v>
      </c>
      <c r="H343" s="44">
        <v>4</v>
      </c>
      <c r="I343" s="42">
        <v>1995</v>
      </c>
      <c r="J343" s="42">
        <v>29</v>
      </c>
      <c r="K343" s="44">
        <v>4.2</v>
      </c>
      <c r="L343" s="42">
        <v>1992</v>
      </c>
      <c r="M343" s="42">
        <v>18</v>
      </c>
      <c r="N343" s="44">
        <v>4</v>
      </c>
      <c r="O343" s="42">
        <v>1991</v>
      </c>
      <c r="P343" s="42">
        <v>19</v>
      </c>
      <c r="Q343" s="44">
        <v>5</v>
      </c>
      <c r="R343" s="42">
        <v>1991</v>
      </c>
      <c r="S343" s="42">
        <v>2</v>
      </c>
      <c r="T343" s="44">
        <v>4</v>
      </c>
      <c r="U343" s="42">
        <v>1994</v>
      </c>
      <c r="V343" s="42">
        <v>26</v>
      </c>
      <c r="W343" s="44">
        <v>4</v>
      </c>
      <c r="X343" s="42">
        <v>1995</v>
      </c>
      <c r="Y343" s="42">
        <v>14</v>
      </c>
      <c r="Z343" s="44">
        <v>4.8</v>
      </c>
      <c r="AA343" s="42">
        <v>2006</v>
      </c>
      <c r="AB343" s="42">
        <v>29</v>
      </c>
      <c r="AC343" s="44">
        <v>4.8</v>
      </c>
      <c r="AD343" s="42">
        <v>2006</v>
      </c>
      <c r="AE343" s="42">
        <v>3</v>
      </c>
      <c r="AF343" s="44">
        <v>4.4000000000000004</v>
      </c>
      <c r="AG343" s="42">
        <v>2003</v>
      </c>
      <c r="AH343" s="42">
        <v>12</v>
      </c>
      <c r="AI343" s="44">
        <v>4</v>
      </c>
      <c r="AJ343" s="42">
        <v>2015</v>
      </c>
      <c r="AK343" s="42">
        <v>29</v>
      </c>
      <c r="AL343" s="44">
        <v>4</v>
      </c>
      <c r="AM343" s="42">
        <v>1994</v>
      </c>
      <c r="AN343" s="42">
        <v>16</v>
      </c>
      <c r="AO343" s="44">
        <v>4</v>
      </c>
      <c r="AP343" s="42">
        <v>1986</v>
      </c>
      <c r="AQ343" s="42">
        <v>28</v>
      </c>
    </row>
    <row r="344" spans="1:43" ht="14.45" customHeight="1" x14ac:dyDescent="0.2">
      <c r="A344" s="42">
        <v>24015380</v>
      </c>
      <c r="B344" s="42" t="s">
        <v>1247</v>
      </c>
      <c r="C344" s="42">
        <v>5.3481899999999998</v>
      </c>
      <c r="D344" s="42">
        <v>-73.898169999999993</v>
      </c>
      <c r="E344" s="42">
        <v>2960</v>
      </c>
      <c r="F344" s="42" t="s">
        <v>1248</v>
      </c>
      <c r="G344" s="42" t="s">
        <v>73</v>
      </c>
      <c r="H344" s="44">
        <v>-1.6</v>
      </c>
      <c r="I344" s="42">
        <v>2016</v>
      </c>
      <c r="J344" s="42">
        <v>19</v>
      </c>
      <c r="K344" s="44">
        <v>0.2</v>
      </c>
      <c r="L344" s="42">
        <v>2020</v>
      </c>
      <c r="M344" s="42">
        <v>5</v>
      </c>
      <c r="N344" s="44">
        <v>-0.3</v>
      </c>
      <c r="O344" s="42">
        <v>2016</v>
      </c>
      <c r="P344" s="42">
        <v>27</v>
      </c>
      <c r="Q344" s="44">
        <v>1.4</v>
      </c>
      <c r="R344" s="42">
        <v>2014</v>
      </c>
      <c r="S344" s="42">
        <v>1</v>
      </c>
      <c r="T344" s="44">
        <v>2.4</v>
      </c>
      <c r="U344" s="42">
        <v>2016</v>
      </c>
      <c r="V344" s="42">
        <v>9</v>
      </c>
      <c r="W344" s="44">
        <v>3</v>
      </c>
      <c r="X344" s="42">
        <v>2014</v>
      </c>
      <c r="Y344" s="42">
        <v>27</v>
      </c>
      <c r="Z344" s="44">
        <v>2.4</v>
      </c>
      <c r="AA344" s="42">
        <v>2017</v>
      </c>
      <c r="AB344" s="42">
        <v>5</v>
      </c>
      <c r="AC344" s="44">
        <v>1.8</v>
      </c>
      <c r="AD344" s="42">
        <v>2019</v>
      </c>
      <c r="AE344" s="42">
        <v>30</v>
      </c>
      <c r="AF344" s="44">
        <v>2.2000000000000002</v>
      </c>
      <c r="AG344" s="42">
        <v>2021</v>
      </c>
      <c r="AH344" s="42">
        <v>27</v>
      </c>
      <c r="AI344" s="44">
        <v>2.4</v>
      </c>
      <c r="AJ344" s="42">
        <v>2022</v>
      </c>
      <c r="AK344" s="42">
        <v>31</v>
      </c>
      <c r="AL344" s="44">
        <v>0.4</v>
      </c>
      <c r="AM344" s="42">
        <v>2021</v>
      </c>
      <c r="AN344" s="42">
        <v>19</v>
      </c>
      <c r="AO344" s="44">
        <v>-0.6</v>
      </c>
      <c r="AP344" s="42">
        <v>2015</v>
      </c>
      <c r="AQ344" s="42">
        <v>24</v>
      </c>
    </row>
    <row r="345" spans="1:43" ht="14.45" customHeight="1" x14ac:dyDescent="0.2">
      <c r="A345" s="42">
        <v>52055230</v>
      </c>
      <c r="B345" s="42" t="s">
        <v>1249</v>
      </c>
      <c r="C345" s="42">
        <v>0.85708333299999995</v>
      </c>
      <c r="D345" s="42">
        <v>-77.677750000000003</v>
      </c>
      <c r="E345" s="42">
        <v>2961</v>
      </c>
      <c r="F345" s="42" t="s">
        <v>85</v>
      </c>
      <c r="G345" s="42" t="s">
        <v>82</v>
      </c>
      <c r="H345" s="44">
        <v>-0.4</v>
      </c>
      <c r="I345" s="42">
        <v>2017</v>
      </c>
      <c r="J345" s="42">
        <v>23</v>
      </c>
      <c r="K345" s="44">
        <v>-0.8</v>
      </c>
      <c r="L345" s="42">
        <v>2007</v>
      </c>
      <c r="M345" s="42">
        <v>5</v>
      </c>
      <c r="N345" s="44">
        <v>-0.5</v>
      </c>
      <c r="O345" s="42">
        <v>1989</v>
      </c>
      <c r="P345" s="42">
        <v>26</v>
      </c>
      <c r="Q345" s="44">
        <v>-0.8</v>
      </c>
      <c r="R345" s="42">
        <v>2013</v>
      </c>
      <c r="S345" s="42">
        <v>25</v>
      </c>
      <c r="T345" s="44">
        <v>1.2</v>
      </c>
      <c r="U345" s="42">
        <v>2006</v>
      </c>
      <c r="V345" s="42">
        <v>18</v>
      </c>
      <c r="W345" s="44">
        <v>-0.8</v>
      </c>
      <c r="X345" s="42">
        <v>1997</v>
      </c>
      <c r="Y345" s="42">
        <v>22</v>
      </c>
      <c r="Z345" s="44">
        <v>-1</v>
      </c>
      <c r="AA345" s="42">
        <v>1996</v>
      </c>
      <c r="AB345" s="42">
        <v>13</v>
      </c>
      <c r="AC345" s="44">
        <v>-1</v>
      </c>
      <c r="AD345" s="42">
        <v>1997</v>
      </c>
      <c r="AE345" s="42">
        <v>30</v>
      </c>
      <c r="AF345" s="44">
        <v>-1.4</v>
      </c>
      <c r="AG345" s="42">
        <v>2012</v>
      </c>
      <c r="AH345" s="42">
        <v>16</v>
      </c>
      <c r="AI345" s="44">
        <v>-0.8</v>
      </c>
      <c r="AJ345" s="42">
        <v>2006</v>
      </c>
      <c r="AK345" s="42">
        <v>18</v>
      </c>
      <c r="AL345" s="44">
        <v>-2.4</v>
      </c>
      <c r="AM345" s="42">
        <v>1985</v>
      </c>
      <c r="AN345" s="42">
        <v>3</v>
      </c>
      <c r="AO345" s="44">
        <v>-0.4</v>
      </c>
      <c r="AP345" s="42">
        <v>2007</v>
      </c>
      <c r="AQ345" s="42">
        <v>5</v>
      </c>
    </row>
    <row r="346" spans="1:43" ht="14.45" customHeight="1" x14ac:dyDescent="0.2">
      <c r="A346" s="42">
        <v>24035070</v>
      </c>
      <c r="B346" s="42" t="s">
        <v>1250</v>
      </c>
      <c r="C346" s="42">
        <v>6.463472222</v>
      </c>
      <c r="D346" s="42">
        <v>-72.409194439999993</v>
      </c>
      <c r="E346" s="42">
        <v>2963</v>
      </c>
      <c r="F346" s="42" t="s">
        <v>521</v>
      </c>
      <c r="G346" s="42" t="s">
        <v>212</v>
      </c>
      <c r="H346" s="44">
        <v>2.4</v>
      </c>
      <c r="I346" s="42">
        <v>2008</v>
      </c>
      <c r="J346" s="42">
        <v>3</v>
      </c>
      <c r="K346" s="44">
        <v>2.4</v>
      </c>
      <c r="L346" s="42">
        <v>2007</v>
      </c>
      <c r="M346" s="42">
        <v>21</v>
      </c>
      <c r="N346" s="44">
        <v>2.6</v>
      </c>
      <c r="O346" s="42">
        <v>2008</v>
      </c>
      <c r="P346" s="42">
        <v>11</v>
      </c>
      <c r="Q346" s="44">
        <v>3.2</v>
      </c>
      <c r="R346" s="42">
        <v>2008</v>
      </c>
      <c r="S346" s="42">
        <v>3</v>
      </c>
      <c r="T346" s="44">
        <v>4.2</v>
      </c>
      <c r="U346" s="42">
        <v>2007</v>
      </c>
      <c r="V346" s="42">
        <v>6</v>
      </c>
      <c r="W346" s="44">
        <v>4</v>
      </c>
      <c r="X346" s="42">
        <v>2007</v>
      </c>
      <c r="Y346" s="42">
        <v>13</v>
      </c>
      <c r="Z346" s="44">
        <v>3.6</v>
      </c>
      <c r="AA346" s="42">
        <v>2007</v>
      </c>
      <c r="AB346" s="42">
        <v>26</v>
      </c>
      <c r="AC346" s="44">
        <v>3.2</v>
      </c>
      <c r="AD346" s="42">
        <v>1991</v>
      </c>
      <c r="AE346" s="42">
        <v>21</v>
      </c>
      <c r="AF346" s="44">
        <v>3.6</v>
      </c>
      <c r="AG346" s="42">
        <v>2007</v>
      </c>
      <c r="AH346" s="42">
        <v>7</v>
      </c>
      <c r="AI346" s="44">
        <v>3.6</v>
      </c>
      <c r="AJ346" s="42">
        <v>2008</v>
      </c>
      <c r="AK346" s="42">
        <v>13</v>
      </c>
      <c r="AL346" s="44">
        <v>4.2</v>
      </c>
      <c r="AM346" s="42">
        <v>2007</v>
      </c>
      <c r="AN346" s="42">
        <v>14</v>
      </c>
      <c r="AO346" s="44">
        <v>2.4</v>
      </c>
      <c r="AP346" s="42">
        <v>2007</v>
      </c>
      <c r="AQ346" s="42">
        <v>3</v>
      </c>
    </row>
    <row r="347" spans="1:43" ht="14.45" customHeight="1" x14ac:dyDescent="0.2">
      <c r="A347" s="42">
        <v>35095030</v>
      </c>
      <c r="B347" s="42" t="s">
        <v>1251</v>
      </c>
      <c r="C347" s="42">
        <v>5.5749138890000003</v>
      </c>
      <c r="D347" s="42">
        <v>-72.947694440000006</v>
      </c>
      <c r="E347" s="42">
        <v>3000</v>
      </c>
      <c r="F347" s="42" t="s">
        <v>520</v>
      </c>
      <c r="G347" s="42" t="s">
        <v>212</v>
      </c>
      <c r="H347" s="44">
        <v>0.4</v>
      </c>
      <c r="I347" s="42">
        <v>2010</v>
      </c>
      <c r="J347" s="42">
        <v>4</v>
      </c>
      <c r="K347" s="44">
        <v>-1.2</v>
      </c>
      <c r="L347" s="42">
        <v>2004</v>
      </c>
      <c r="M347" s="42">
        <v>5</v>
      </c>
      <c r="N347" s="44">
        <v>2</v>
      </c>
      <c r="O347" s="42">
        <v>2003</v>
      </c>
      <c r="P347" s="42">
        <v>16</v>
      </c>
      <c r="Q347" s="44">
        <v>2.2000000000000002</v>
      </c>
      <c r="R347" s="42">
        <v>2004</v>
      </c>
      <c r="S347" s="42">
        <v>30</v>
      </c>
      <c r="T347" s="44">
        <v>2.4</v>
      </c>
      <c r="U347" s="42">
        <v>2002</v>
      </c>
      <c r="V347" s="42">
        <v>31</v>
      </c>
      <c r="W347" s="44">
        <v>1.4</v>
      </c>
      <c r="X347" s="42">
        <v>2004</v>
      </c>
      <c r="Y347" s="42">
        <v>28</v>
      </c>
      <c r="Z347" s="44">
        <v>2</v>
      </c>
      <c r="AA347" s="42">
        <v>1983</v>
      </c>
      <c r="AB347" s="42">
        <v>31</v>
      </c>
      <c r="AC347" s="44">
        <v>2.4</v>
      </c>
      <c r="AD347" s="42">
        <v>2002</v>
      </c>
      <c r="AE347" s="42">
        <v>7</v>
      </c>
      <c r="AF347" s="44">
        <v>2.2000000000000002</v>
      </c>
      <c r="AG347" s="42">
        <v>2002</v>
      </c>
      <c r="AH347" s="42">
        <v>25</v>
      </c>
      <c r="AI347" s="44">
        <v>2.4</v>
      </c>
      <c r="AJ347" s="42">
        <v>2002</v>
      </c>
      <c r="AK347" s="42">
        <v>30</v>
      </c>
      <c r="AL347" s="44">
        <v>2</v>
      </c>
      <c r="AM347" s="42">
        <v>2002</v>
      </c>
      <c r="AN347" s="42">
        <v>10</v>
      </c>
      <c r="AO347" s="44">
        <v>1.2</v>
      </c>
      <c r="AP347" s="42">
        <v>2010</v>
      </c>
      <c r="AQ347" s="42">
        <v>5</v>
      </c>
    </row>
    <row r="348" spans="1:43" ht="14.45" customHeight="1" x14ac:dyDescent="0.2">
      <c r="A348" s="42">
        <v>52055220</v>
      </c>
      <c r="B348" s="42" t="s">
        <v>1252</v>
      </c>
      <c r="C348" s="42">
        <v>1.070707855</v>
      </c>
      <c r="D348" s="42">
        <v>-77.636935688999998</v>
      </c>
      <c r="E348" s="42">
        <v>3033</v>
      </c>
      <c r="F348" s="42" t="s">
        <v>295</v>
      </c>
      <c r="G348" s="42" t="s">
        <v>82</v>
      </c>
      <c r="H348" s="44">
        <v>1.6</v>
      </c>
      <c r="I348" s="42">
        <v>2017</v>
      </c>
      <c r="J348" s="42">
        <v>24</v>
      </c>
      <c r="K348" s="44">
        <v>2.8</v>
      </c>
      <c r="L348" s="42">
        <v>2007</v>
      </c>
      <c r="M348" s="42">
        <v>5</v>
      </c>
      <c r="N348" s="44">
        <v>1.2</v>
      </c>
      <c r="O348" s="42">
        <v>1985</v>
      </c>
      <c r="P348" s="42">
        <v>22</v>
      </c>
      <c r="Q348" s="44">
        <v>2.8</v>
      </c>
      <c r="R348" s="42">
        <v>2002</v>
      </c>
      <c r="S348" s="42">
        <v>13</v>
      </c>
      <c r="T348" s="44">
        <v>3</v>
      </c>
      <c r="U348" s="42">
        <v>2006</v>
      </c>
      <c r="V348" s="42">
        <v>20</v>
      </c>
      <c r="W348" s="44">
        <v>3.4</v>
      </c>
      <c r="X348" s="42">
        <v>2012</v>
      </c>
      <c r="Y348" s="42">
        <v>23</v>
      </c>
      <c r="Z348" s="44">
        <v>1.6</v>
      </c>
      <c r="AA348" s="42">
        <v>1990</v>
      </c>
      <c r="AB348" s="42">
        <v>26</v>
      </c>
      <c r="AC348" s="44">
        <v>2</v>
      </c>
      <c r="AD348" s="42">
        <v>2008</v>
      </c>
      <c r="AE348" s="42">
        <v>17</v>
      </c>
      <c r="AF348" s="44">
        <v>2.2000000000000002</v>
      </c>
      <c r="AG348" s="42">
        <v>2008</v>
      </c>
      <c r="AH348" s="42">
        <v>24</v>
      </c>
      <c r="AI348" s="44">
        <v>2</v>
      </c>
      <c r="AJ348" s="42">
        <v>1979</v>
      </c>
      <c r="AK348" s="42">
        <v>30</v>
      </c>
      <c r="AL348" s="44">
        <v>0.4</v>
      </c>
      <c r="AM348" s="42">
        <v>2020</v>
      </c>
      <c r="AN348" s="42">
        <v>3</v>
      </c>
      <c r="AO348" s="44">
        <v>1.8</v>
      </c>
      <c r="AP348" s="42">
        <v>1999</v>
      </c>
      <c r="AQ348" s="42">
        <v>29</v>
      </c>
    </row>
    <row r="349" spans="1:43" ht="14.45" customHeight="1" x14ac:dyDescent="0.2">
      <c r="A349" s="42">
        <v>26025070</v>
      </c>
      <c r="B349" s="42" t="s">
        <v>1253</v>
      </c>
      <c r="C349" s="42">
        <v>2.5097499999999999</v>
      </c>
      <c r="D349" s="42">
        <v>-76.289055555999994</v>
      </c>
      <c r="E349" s="42">
        <v>3071</v>
      </c>
      <c r="F349" s="42" t="s">
        <v>584</v>
      </c>
      <c r="G349" s="42" t="s">
        <v>181</v>
      </c>
      <c r="H349" s="44">
        <v>-4.4000000000000004</v>
      </c>
      <c r="I349" s="42">
        <v>1992</v>
      </c>
      <c r="J349" s="42">
        <v>19</v>
      </c>
      <c r="K349" s="44">
        <v>-4.4000000000000004</v>
      </c>
      <c r="L349" s="42">
        <v>2007</v>
      </c>
      <c r="M349" s="42">
        <v>5</v>
      </c>
      <c r="N349" s="44">
        <v>-4.8</v>
      </c>
      <c r="O349" s="42">
        <v>1987</v>
      </c>
      <c r="P349" s="42">
        <v>26</v>
      </c>
      <c r="Q349" s="44">
        <v>-1</v>
      </c>
      <c r="R349" s="42">
        <v>2008</v>
      </c>
      <c r="S349" s="42">
        <v>4</v>
      </c>
      <c r="T349" s="44">
        <v>0.2</v>
      </c>
      <c r="U349" s="42">
        <v>1985</v>
      </c>
      <c r="V349" s="42">
        <v>4</v>
      </c>
      <c r="W349" s="44">
        <v>0.4</v>
      </c>
      <c r="X349" s="42">
        <v>1986</v>
      </c>
      <c r="Y349" s="42">
        <v>3</v>
      </c>
      <c r="Z349" s="44">
        <v>0</v>
      </c>
      <c r="AA349" s="42">
        <v>1984</v>
      </c>
      <c r="AB349" s="42">
        <v>6</v>
      </c>
      <c r="AC349" s="44">
        <v>0.1</v>
      </c>
      <c r="AD349" s="42">
        <v>1987</v>
      </c>
      <c r="AE349" s="42">
        <v>5</v>
      </c>
      <c r="AF349" s="44">
        <v>-1</v>
      </c>
      <c r="AG349" s="42">
        <v>2008</v>
      </c>
      <c r="AH349" s="42">
        <v>24</v>
      </c>
      <c r="AI349" s="44">
        <v>-4.4000000000000004</v>
      </c>
      <c r="AJ349" s="42">
        <v>2011</v>
      </c>
      <c r="AK349" s="42">
        <v>19</v>
      </c>
      <c r="AL349" s="44">
        <v>-4.5999999999999996</v>
      </c>
      <c r="AM349" s="42">
        <v>2015</v>
      </c>
      <c r="AN349" s="42">
        <v>28</v>
      </c>
      <c r="AO349" s="44">
        <v>-4.8</v>
      </c>
      <c r="AP349" s="42">
        <v>1988</v>
      </c>
      <c r="AQ349" s="42">
        <v>21</v>
      </c>
    </row>
    <row r="350" spans="1:43" ht="14.45" customHeight="1" x14ac:dyDescent="0.2">
      <c r="A350" s="42">
        <v>21206650</v>
      </c>
      <c r="B350" s="42" t="s">
        <v>1254</v>
      </c>
      <c r="C350" s="42">
        <v>4.5167527779999999</v>
      </c>
      <c r="D350" s="42">
        <v>-74.088222221999999</v>
      </c>
      <c r="E350" s="42">
        <v>3100</v>
      </c>
      <c r="F350" s="42" t="s">
        <v>409</v>
      </c>
      <c r="G350" s="42" t="s">
        <v>74</v>
      </c>
      <c r="H350" s="44">
        <v>3</v>
      </c>
      <c r="I350" s="42">
        <v>2004</v>
      </c>
      <c r="J350" s="42">
        <v>28</v>
      </c>
      <c r="K350" s="44">
        <v>3.4</v>
      </c>
      <c r="L350" s="42">
        <v>2022</v>
      </c>
      <c r="M350" s="42">
        <v>26</v>
      </c>
      <c r="N350" s="44">
        <v>2</v>
      </c>
      <c r="O350" s="42">
        <v>2007</v>
      </c>
      <c r="P350" s="42">
        <v>15</v>
      </c>
      <c r="Q350" s="44">
        <v>1.8</v>
      </c>
      <c r="R350" s="42">
        <v>2004</v>
      </c>
      <c r="S350" s="42">
        <v>12</v>
      </c>
      <c r="T350" s="44">
        <v>3</v>
      </c>
      <c r="U350" s="42">
        <v>2020</v>
      </c>
      <c r="V350" s="42">
        <v>8</v>
      </c>
      <c r="W350" s="44">
        <v>3</v>
      </c>
      <c r="X350" s="42">
        <v>2009</v>
      </c>
      <c r="Y350" s="42">
        <v>2</v>
      </c>
      <c r="Z350" s="44">
        <v>2</v>
      </c>
      <c r="AA350" s="42">
        <v>2009</v>
      </c>
      <c r="AB350" s="42">
        <v>25</v>
      </c>
      <c r="AC350" s="44">
        <v>2</v>
      </c>
      <c r="AD350" s="42">
        <v>2009</v>
      </c>
      <c r="AE350" s="42">
        <v>10</v>
      </c>
      <c r="AF350" s="44">
        <v>3</v>
      </c>
      <c r="AG350" s="42">
        <v>2020</v>
      </c>
      <c r="AH350" s="42">
        <v>30</v>
      </c>
      <c r="AI350" s="44">
        <v>0.2</v>
      </c>
      <c r="AJ350" s="42">
        <v>2004</v>
      </c>
      <c r="AK350" s="42">
        <v>6</v>
      </c>
      <c r="AL350" s="44">
        <v>3.4</v>
      </c>
      <c r="AM350" s="42">
        <v>2020</v>
      </c>
      <c r="AN350" s="42">
        <v>18</v>
      </c>
      <c r="AO350" s="44">
        <v>3.8</v>
      </c>
      <c r="AP350" s="42">
        <v>2019</v>
      </c>
      <c r="AQ350" s="42">
        <v>25</v>
      </c>
    </row>
    <row r="351" spans="1:43" ht="14.45" customHeight="1" x14ac:dyDescent="0.2">
      <c r="A351" s="42">
        <v>52045090</v>
      </c>
      <c r="B351" s="42" t="s">
        <v>1255</v>
      </c>
      <c r="C351" s="42">
        <v>0.93263888900000003</v>
      </c>
      <c r="D351" s="42">
        <v>-77.629583330000003</v>
      </c>
      <c r="E351" s="42">
        <v>3141</v>
      </c>
      <c r="F351" s="42" t="s">
        <v>285</v>
      </c>
      <c r="G351" s="42" t="s">
        <v>82</v>
      </c>
      <c r="H351" s="44">
        <v>0.4</v>
      </c>
      <c r="I351" s="42">
        <v>2008</v>
      </c>
      <c r="J351" s="42">
        <v>9</v>
      </c>
      <c r="K351" s="44">
        <v>1.3</v>
      </c>
      <c r="L351" s="42">
        <v>2008</v>
      </c>
      <c r="M351" s="42">
        <v>7</v>
      </c>
      <c r="N351" s="44">
        <v>1.2</v>
      </c>
      <c r="O351" s="42">
        <v>2008</v>
      </c>
      <c r="P351" s="42">
        <v>19</v>
      </c>
      <c r="Q351" s="44">
        <v>1.6</v>
      </c>
      <c r="R351" s="42">
        <v>2008</v>
      </c>
      <c r="S351" s="42">
        <v>24</v>
      </c>
      <c r="T351" s="44">
        <v>1</v>
      </c>
      <c r="U351" s="42">
        <v>2008</v>
      </c>
      <c r="V351" s="42">
        <v>27</v>
      </c>
      <c r="W351" s="44">
        <v>1.2</v>
      </c>
      <c r="X351" s="42">
        <v>2008</v>
      </c>
      <c r="Y351" s="42">
        <v>6</v>
      </c>
      <c r="Z351" s="44">
        <v>0.1</v>
      </c>
      <c r="AA351" s="42">
        <v>2007</v>
      </c>
      <c r="AB351" s="42">
        <v>28</v>
      </c>
      <c r="AC351" s="44">
        <v>1.2</v>
      </c>
      <c r="AD351" s="42">
        <v>2007</v>
      </c>
      <c r="AE351" s="42">
        <v>16</v>
      </c>
      <c r="AF351" s="44">
        <v>1.2</v>
      </c>
      <c r="AG351" s="42">
        <v>2009</v>
      </c>
      <c r="AH351" s="42">
        <v>13</v>
      </c>
      <c r="AI351" s="44">
        <v>1</v>
      </c>
      <c r="AJ351" s="42">
        <v>2007</v>
      </c>
      <c r="AK351" s="42">
        <v>27</v>
      </c>
      <c r="AL351" s="44">
        <v>2.1</v>
      </c>
      <c r="AM351" s="42">
        <v>2007</v>
      </c>
      <c r="AN351" s="42">
        <v>21</v>
      </c>
      <c r="AO351" s="44">
        <v>0.3</v>
      </c>
      <c r="AP351" s="42">
        <v>2007</v>
      </c>
      <c r="AQ351" s="42">
        <v>30</v>
      </c>
    </row>
    <row r="352" spans="1:43" ht="14.45" customHeight="1" x14ac:dyDescent="0.2">
      <c r="A352" s="42">
        <v>35025070</v>
      </c>
      <c r="B352" s="42" t="s">
        <v>1256</v>
      </c>
      <c r="C352" s="42">
        <v>4.1966666669999997</v>
      </c>
      <c r="D352" s="42">
        <v>-74.190944439999996</v>
      </c>
      <c r="E352" s="42">
        <v>3150</v>
      </c>
      <c r="F352" s="42" t="s">
        <v>409</v>
      </c>
      <c r="G352" s="42" t="s">
        <v>74</v>
      </c>
      <c r="H352" s="44">
        <v>-4</v>
      </c>
      <c r="I352" s="42">
        <v>1994</v>
      </c>
      <c r="J352" s="42">
        <v>24</v>
      </c>
      <c r="K352" s="44">
        <v>-4</v>
      </c>
      <c r="L352" s="42">
        <v>2007</v>
      </c>
      <c r="M352" s="42">
        <v>3</v>
      </c>
      <c r="N352" s="44">
        <v>0</v>
      </c>
      <c r="O352" s="42">
        <v>1999</v>
      </c>
      <c r="P352" s="42">
        <v>3</v>
      </c>
      <c r="Q352" s="44">
        <v>0.5</v>
      </c>
      <c r="R352" s="42">
        <v>2009</v>
      </c>
      <c r="S352" s="42">
        <v>6</v>
      </c>
      <c r="T352" s="44">
        <v>0.1</v>
      </c>
      <c r="U352" s="42">
        <v>2004</v>
      </c>
      <c r="V352" s="42">
        <v>5</v>
      </c>
      <c r="W352" s="44">
        <v>1.2</v>
      </c>
      <c r="X352" s="42">
        <v>1994</v>
      </c>
      <c r="Y352" s="42">
        <v>24</v>
      </c>
      <c r="Z352" s="44">
        <v>1.2</v>
      </c>
      <c r="AA352" s="42">
        <v>1993</v>
      </c>
      <c r="AB352" s="42">
        <v>21</v>
      </c>
      <c r="AC352" s="44">
        <v>1</v>
      </c>
      <c r="AD352" s="42">
        <v>1998</v>
      </c>
      <c r="AE352" s="42">
        <v>9</v>
      </c>
      <c r="AF352" s="44">
        <v>1</v>
      </c>
      <c r="AG352" s="42">
        <v>2002</v>
      </c>
      <c r="AH352" s="42">
        <v>7</v>
      </c>
      <c r="AI352" s="44">
        <v>0.6</v>
      </c>
      <c r="AJ352" s="42">
        <v>1997</v>
      </c>
      <c r="AK352" s="42">
        <v>8</v>
      </c>
      <c r="AL352" s="44">
        <v>1</v>
      </c>
      <c r="AM352" s="42">
        <v>1997</v>
      </c>
      <c r="AN352" s="42">
        <v>11</v>
      </c>
      <c r="AO352" s="44">
        <v>0.3</v>
      </c>
      <c r="AP352" s="42">
        <v>1993</v>
      </c>
      <c r="AQ352" s="42">
        <v>28</v>
      </c>
    </row>
    <row r="353" spans="1:43" ht="14.45" customHeight="1" x14ac:dyDescent="0.2">
      <c r="A353" s="42">
        <v>35025060</v>
      </c>
      <c r="B353" s="42" t="s">
        <v>1257</v>
      </c>
      <c r="C353" s="42">
        <v>4.587059</v>
      </c>
      <c r="D353" s="42">
        <v>-73.995885000000001</v>
      </c>
      <c r="E353" s="42">
        <v>3195</v>
      </c>
      <c r="F353" s="42" t="s">
        <v>417</v>
      </c>
      <c r="G353" s="42" t="s">
        <v>73</v>
      </c>
      <c r="H353" s="44">
        <v>-4</v>
      </c>
      <c r="I353" s="42">
        <v>2001</v>
      </c>
      <c r="J353" s="42">
        <v>1</v>
      </c>
      <c r="K353" s="44">
        <v>-3</v>
      </c>
      <c r="L353" s="42">
        <v>2012</v>
      </c>
      <c r="M353" s="42">
        <v>22</v>
      </c>
      <c r="N353" s="44">
        <v>-3</v>
      </c>
      <c r="O353" s="42">
        <v>1992</v>
      </c>
      <c r="P353" s="42">
        <v>23</v>
      </c>
      <c r="Q353" s="44">
        <v>1</v>
      </c>
      <c r="R353" s="42">
        <v>2001</v>
      </c>
      <c r="S353" s="42">
        <v>4</v>
      </c>
      <c r="T353" s="44">
        <v>0.3</v>
      </c>
      <c r="U353" s="42">
        <v>1989</v>
      </c>
      <c r="V353" s="42">
        <v>28</v>
      </c>
      <c r="W353" s="44">
        <v>1.2</v>
      </c>
      <c r="X353" s="42">
        <v>1996</v>
      </c>
      <c r="Y353" s="42">
        <v>30</v>
      </c>
      <c r="Z353" s="44">
        <v>1.2</v>
      </c>
      <c r="AA353" s="42">
        <v>1999</v>
      </c>
      <c r="AB353" s="42">
        <v>10</v>
      </c>
      <c r="AC353" s="44">
        <v>0.1</v>
      </c>
      <c r="AD353" s="42">
        <v>1998</v>
      </c>
      <c r="AE353" s="42">
        <v>18</v>
      </c>
      <c r="AF353" s="44">
        <v>0.2</v>
      </c>
      <c r="AG353" s="42">
        <v>1998</v>
      </c>
      <c r="AH353" s="42">
        <v>7</v>
      </c>
      <c r="AI353" s="44">
        <v>0.1</v>
      </c>
      <c r="AJ353" s="42">
        <v>2002</v>
      </c>
      <c r="AK353" s="42">
        <v>2</v>
      </c>
      <c r="AL353" s="44">
        <v>-2</v>
      </c>
      <c r="AM353" s="42">
        <v>2019</v>
      </c>
      <c r="AN353" s="42">
        <v>6</v>
      </c>
      <c r="AO353" s="44">
        <v>-1.6</v>
      </c>
      <c r="AP353" s="42">
        <v>2002</v>
      </c>
      <c r="AQ353" s="42">
        <v>27</v>
      </c>
    </row>
    <row r="354" spans="1:43" ht="14.45" customHeight="1" x14ac:dyDescent="0.2">
      <c r="A354" s="42">
        <v>37015020</v>
      </c>
      <c r="B354" s="42" t="s">
        <v>1258</v>
      </c>
      <c r="C354" s="42">
        <v>7.1869444439999999</v>
      </c>
      <c r="D354" s="42">
        <v>-72.868611110000003</v>
      </c>
      <c r="E354" s="42">
        <v>3214</v>
      </c>
      <c r="F354" s="42" t="s">
        <v>332</v>
      </c>
      <c r="G354" s="42" t="s">
        <v>49</v>
      </c>
      <c r="H354" s="44">
        <v>-9.8000000000000007</v>
      </c>
      <c r="I354" s="42">
        <v>2000</v>
      </c>
      <c r="J354" s="42">
        <v>4</v>
      </c>
      <c r="K354" s="44">
        <v>-9.8000000000000007</v>
      </c>
      <c r="L354" s="42">
        <v>2002</v>
      </c>
      <c r="M354" s="42">
        <v>10</v>
      </c>
      <c r="N354" s="44">
        <v>-9.8000000000000007</v>
      </c>
      <c r="O354" s="42">
        <v>2000</v>
      </c>
      <c r="P354" s="42">
        <v>18</v>
      </c>
      <c r="Q354" s="44">
        <v>-7.2</v>
      </c>
      <c r="R354" s="42">
        <v>2001</v>
      </c>
      <c r="S354" s="42">
        <v>22</v>
      </c>
      <c r="T354" s="44">
        <v>-3.4</v>
      </c>
      <c r="U354" s="42">
        <v>2005</v>
      </c>
      <c r="V354" s="42">
        <v>28</v>
      </c>
      <c r="W354" s="44">
        <v>0.2</v>
      </c>
      <c r="X354" s="42">
        <v>2022</v>
      </c>
      <c r="Y354" s="42">
        <v>2</v>
      </c>
      <c r="Z354" s="44">
        <v>-3</v>
      </c>
      <c r="AA354" s="42">
        <v>1986</v>
      </c>
      <c r="AB354" s="42">
        <v>12</v>
      </c>
      <c r="AC354" s="44">
        <v>-2.6</v>
      </c>
      <c r="AD354" s="42">
        <v>1986</v>
      </c>
      <c r="AE354" s="42">
        <v>25</v>
      </c>
      <c r="AF354" s="44">
        <v>-4.4000000000000004</v>
      </c>
      <c r="AG354" s="42">
        <v>1986</v>
      </c>
      <c r="AH354" s="42">
        <v>26</v>
      </c>
      <c r="AI354" s="44">
        <v>-2</v>
      </c>
      <c r="AJ354" s="42">
        <v>1983</v>
      </c>
      <c r="AK354" s="42">
        <v>18</v>
      </c>
      <c r="AL354" s="44">
        <v>-9.6</v>
      </c>
      <c r="AM354" s="42">
        <v>2001</v>
      </c>
      <c r="AN354" s="42">
        <v>30</v>
      </c>
      <c r="AO354" s="44">
        <v>-9.8000000000000007</v>
      </c>
      <c r="AP354" s="42">
        <v>2001</v>
      </c>
      <c r="AQ354" s="42">
        <v>1</v>
      </c>
    </row>
    <row r="355" spans="1:43" ht="14.45" customHeight="1" x14ac:dyDescent="0.2">
      <c r="A355" s="42">
        <v>24035350</v>
      </c>
      <c r="B355" s="42" t="s">
        <v>1259</v>
      </c>
      <c r="C355" s="42">
        <v>5.9011388890000003</v>
      </c>
      <c r="D355" s="42">
        <v>-73.058333329999996</v>
      </c>
      <c r="E355" s="42">
        <v>3265</v>
      </c>
      <c r="F355" s="42" t="s">
        <v>228</v>
      </c>
      <c r="G355" s="42" t="s">
        <v>212</v>
      </c>
      <c r="H355" s="44">
        <v>0.4</v>
      </c>
      <c r="I355" s="42">
        <v>2006</v>
      </c>
      <c r="J355" s="42">
        <v>2</v>
      </c>
      <c r="K355" s="44">
        <v>1.2</v>
      </c>
      <c r="L355" s="42">
        <v>2005</v>
      </c>
      <c r="M355" s="42">
        <v>23</v>
      </c>
      <c r="N355" s="44">
        <v>0.6</v>
      </c>
      <c r="O355" s="42">
        <v>2007</v>
      </c>
      <c r="P355" s="42">
        <v>11</v>
      </c>
      <c r="Q355" s="44">
        <v>0.8</v>
      </c>
      <c r="R355" s="42">
        <v>2007</v>
      </c>
      <c r="S355" s="42">
        <v>28</v>
      </c>
      <c r="T355" s="44">
        <v>2.2000000000000002</v>
      </c>
      <c r="U355" s="42">
        <v>2001</v>
      </c>
      <c r="V355" s="42">
        <v>11</v>
      </c>
      <c r="W355" s="44">
        <v>0.8</v>
      </c>
      <c r="X355" s="42">
        <v>2007</v>
      </c>
      <c r="Y355" s="42">
        <v>13</v>
      </c>
      <c r="Z355" s="44">
        <v>0.4</v>
      </c>
      <c r="AA355" s="42">
        <v>2007</v>
      </c>
      <c r="AB355" s="42">
        <v>26</v>
      </c>
      <c r="AC355" s="44">
        <v>0.8</v>
      </c>
      <c r="AD355" s="42">
        <v>2007</v>
      </c>
      <c r="AE355" s="42">
        <v>6</v>
      </c>
      <c r="AF355" s="44">
        <v>0.4</v>
      </c>
      <c r="AG355" s="42">
        <v>2007</v>
      </c>
      <c r="AH355" s="42">
        <v>28</v>
      </c>
      <c r="AI355" s="44">
        <v>0.6</v>
      </c>
      <c r="AJ355" s="42">
        <v>2007</v>
      </c>
      <c r="AK355" s="42">
        <v>10</v>
      </c>
      <c r="AL355" s="44">
        <v>0.4</v>
      </c>
      <c r="AM355" s="42">
        <v>2007</v>
      </c>
      <c r="AN355" s="42">
        <v>11</v>
      </c>
      <c r="AO355" s="44">
        <v>1.7</v>
      </c>
      <c r="AP355" s="42">
        <v>1997</v>
      </c>
      <c r="AQ355" s="42">
        <v>16</v>
      </c>
    </row>
    <row r="356" spans="1:43" ht="14.45" customHeight="1" x14ac:dyDescent="0.2">
      <c r="A356" s="42">
        <v>35235010</v>
      </c>
      <c r="B356" s="42" t="s">
        <v>1260</v>
      </c>
      <c r="C356" s="42">
        <v>6.0116666670000001</v>
      </c>
      <c r="D356" s="42">
        <v>-72.529277780000001</v>
      </c>
      <c r="E356" s="42">
        <v>3590</v>
      </c>
      <c r="F356" s="42" t="s">
        <v>534</v>
      </c>
      <c r="G356" s="42" t="s">
        <v>212</v>
      </c>
      <c r="H356" s="44">
        <v>0</v>
      </c>
      <c r="I356" s="42">
        <v>1979</v>
      </c>
      <c r="J356" s="42">
        <v>30</v>
      </c>
      <c r="K356" s="44">
        <v>-1.8</v>
      </c>
      <c r="L356" s="42">
        <v>1985</v>
      </c>
      <c r="M356" s="42">
        <v>4</v>
      </c>
      <c r="N356" s="44">
        <v>0</v>
      </c>
      <c r="O356" s="42">
        <v>1994</v>
      </c>
      <c r="P356" s="42">
        <v>2</v>
      </c>
      <c r="Q356" s="44">
        <v>0</v>
      </c>
      <c r="R356" s="42">
        <v>1994</v>
      </c>
      <c r="S356" s="42">
        <v>1</v>
      </c>
      <c r="T356" s="44">
        <v>0.4</v>
      </c>
      <c r="U356" s="42">
        <v>1994</v>
      </c>
      <c r="V356" s="42">
        <v>7</v>
      </c>
      <c r="W356" s="44">
        <v>-1.2</v>
      </c>
      <c r="X356" s="42">
        <v>1983</v>
      </c>
      <c r="Y356" s="42">
        <v>15</v>
      </c>
      <c r="Z356" s="44">
        <v>0</v>
      </c>
      <c r="AA356" s="42">
        <v>2008</v>
      </c>
      <c r="AB356" s="42">
        <v>1</v>
      </c>
      <c r="AC356" s="44">
        <v>0</v>
      </c>
      <c r="AD356" s="42">
        <v>1991</v>
      </c>
      <c r="AE356" s="42">
        <v>8</v>
      </c>
      <c r="AF356" s="44">
        <v>0.2</v>
      </c>
      <c r="AG356" s="42">
        <v>1981</v>
      </c>
      <c r="AH356" s="42">
        <v>20</v>
      </c>
      <c r="AI356" s="44">
        <v>0</v>
      </c>
      <c r="AJ356" s="42">
        <v>2008</v>
      </c>
      <c r="AK356" s="42">
        <v>23</v>
      </c>
      <c r="AL356" s="44">
        <v>0.4</v>
      </c>
      <c r="AM356" s="42">
        <v>2002</v>
      </c>
      <c r="AN356" s="42">
        <v>22</v>
      </c>
      <c r="AO356" s="44">
        <v>0</v>
      </c>
      <c r="AP356" s="42">
        <v>1987</v>
      </c>
      <c r="AQ356" s="42">
        <v>17</v>
      </c>
    </row>
    <row r="357" spans="1:43" x14ac:dyDescent="0.2">
      <c r="A357" s="42">
        <v>24035240</v>
      </c>
      <c r="B357" s="42" t="s">
        <v>1261</v>
      </c>
      <c r="C357" s="42">
        <v>6.4100833330000002</v>
      </c>
      <c r="D357" s="42">
        <v>-72.375194440000001</v>
      </c>
      <c r="E357" s="42">
        <v>3716</v>
      </c>
      <c r="F357" s="42" t="s">
        <v>521</v>
      </c>
      <c r="G357" s="42" t="s">
        <v>212</v>
      </c>
      <c r="H357" s="44">
        <v>-8.4</v>
      </c>
      <c r="I357" s="42">
        <v>2004</v>
      </c>
      <c r="J357" s="42">
        <v>31</v>
      </c>
      <c r="K357" s="44">
        <v>-8.1999999999999993</v>
      </c>
      <c r="L357" s="42">
        <v>2008</v>
      </c>
      <c r="M357" s="42">
        <v>2</v>
      </c>
      <c r="N357" s="44">
        <v>-4.8</v>
      </c>
      <c r="O357" s="42">
        <v>1992</v>
      </c>
      <c r="P357" s="42">
        <v>25</v>
      </c>
      <c r="Q357" s="44">
        <v>-2.8</v>
      </c>
      <c r="R357" s="42">
        <v>2003</v>
      </c>
      <c r="S357" s="42">
        <v>2</v>
      </c>
      <c r="T357" s="44">
        <v>-2.8</v>
      </c>
      <c r="U357" s="42">
        <v>2019</v>
      </c>
      <c r="V357" s="42">
        <v>12</v>
      </c>
      <c r="W357" s="44">
        <v>-2.2000000000000002</v>
      </c>
      <c r="X357" s="42">
        <v>2009</v>
      </c>
      <c r="Y357" s="42">
        <v>6</v>
      </c>
      <c r="Z357" s="44">
        <v>-2.4</v>
      </c>
      <c r="AA357" s="42">
        <v>2021</v>
      </c>
      <c r="AB357" s="42">
        <v>17</v>
      </c>
      <c r="AC357" s="44">
        <v>-2.8</v>
      </c>
      <c r="AD357" s="42">
        <v>1993</v>
      </c>
      <c r="AE357" s="42">
        <v>28</v>
      </c>
      <c r="AF357" s="44">
        <v>-3.2</v>
      </c>
      <c r="AG357" s="42">
        <v>2009</v>
      </c>
      <c r="AH357" s="42">
        <v>8</v>
      </c>
      <c r="AI357" s="44">
        <v>-2.8</v>
      </c>
      <c r="AJ357" s="42">
        <v>1990</v>
      </c>
      <c r="AK357" s="42">
        <v>28</v>
      </c>
      <c r="AL357" s="44">
        <v>-2.8</v>
      </c>
      <c r="AM357" s="42">
        <v>2000</v>
      </c>
      <c r="AN357" s="42">
        <v>22</v>
      </c>
      <c r="AO357" s="44">
        <v>-5</v>
      </c>
      <c r="AP357" s="42">
        <v>1999</v>
      </c>
      <c r="AQ357" s="42">
        <v>25</v>
      </c>
    </row>
    <row r="358" spans="1:43" x14ac:dyDescent="0.2">
      <c r="A358" s="42">
        <v>26135140</v>
      </c>
      <c r="B358" s="42" t="s">
        <v>1262</v>
      </c>
      <c r="C358" s="42">
        <v>4.7764166670000003</v>
      </c>
      <c r="D358" s="42">
        <v>-75.412499999999994</v>
      </c>
      <c r="E358" s="42">
        <v>3950</v>
      </c>
      <c r="F358" s="42" t="s">
        <v>65</v>
      </c>
      <c r="G358" s="42" t="s">
        <v>64</v>
      </c>
      <c r="H358" s="44">
        <v>-5</v>
      </c>
      <c r="I358" s="42">
        <v>2002</v>
      </c>
      <c r="J358" s="42">
        <v>11</v>
      </c>
      <c r="K358" s="44">
        <v>-8</v>
      </c>
      <c r="L358" s="42">
        <v>2002</v>
      </c>
      <c r="M358" s="42">
        <v>11</v>
      </c>
      <c r="N358" s="44">
        <v>-4</v>
      </c>
      <c r="O358" s="42">
        <v>2000</v>
      </c>
      <c r="P358" s="42">
        <v>10</v>
      </c>
      <c r="Q358" s="44">
        <v>-3</v>
      </c>
      <c r="R358" s="42">
        <v>1996</v>
      </c>
      <c r="S358" s="42">
        <v>17</v>
      </c>
      <c r="T358" s="44">
        <v>-2.2000000000000002</v>
      </c>
      <c r="U358" s="42">
        <v>1996</v>
      </c>
      <c r="V358" s="42">
        <v>15</v>
      </c>
      <c r="W358" s="44">
        <v>-2.6</v>
      </c>
      <c r="X358" s="42">
        <v>2002</v>
      </c>
      <c r="Y358" s="42">
        <v>7</v>
      </c>
      <c r="Z358" s="44">
        <v>-2.8</v>
      </c>
      <c r="AA358" s="42">
        <v>1997</v>
      </c>
      <c r="AB358" s="42">
        <v>21</v>
      </c>
      <c r="AC358" s="44">
        <v>-2</v>
      </c>
      <c r="AD358" s="42">
        <v>1997</v>
      </c>
      <c r="AE358" s="42">
        <v>14</v>
      </c>
      <c r="AF358" s="44">
        <v>-3</v>
      </c>
      <c r="AG358" s="42">
        <v>2001</v>
      </c>
      <c r="AH358" s="42">
        <v>7</v>
      </c>
      <c r="AI358" s="44">
        <v>-2.8</v>
      </c>
      <c r="AJ358" s="42">
        <v>2001</v>
      </c>
      <c r="AK358" s="42">
        <v>1</v>
      </c>
      <c r="AL358" s="44">
        <v>-3</v>
      </c>
      <c r="AM358" s="42">
        <v>2000</v>
      </c>
      <c r="AN358" s="42">
        <v>21</v>
      </c>
      <c r="AO358" s="44">
        <v>-2.8</v>
      </c>
      <c r="AP358" s="42">
        <v>1997</v>
      </c>
      <c r="AQ358" s="42">
        <v>14</v>
      </c>
    </row>
  </sheetData>
  <autoFilter ref="A1:AQ356" xr:uid="{00000000-0009-0000-0000-000002000000}">
    <filterColumn colId="7" showButton="0"/>
    <filterColumn colId="8" showButton="0"/>
    <filterColumn colId="10" showButton="0"/>
    <filterColumn colId="11" showButton="0"/>
    <filterColumn colId="13" showButton="0"/>
    <filterColumn colId="14" showButton="0"/>
    <filterColumn colId="16" showButton="0"/>
    <filterColumn colId="17" showButton="0"/>
    <filterColumn colId="19" showButton="0"/>
    <filterColumn colId="20" showButton="0"/>
    <filterColumn colId="22" showButton="0"/>
    <filterColumn colId="23" showButton="0"/>
    <filterColumn colId="25" showButton="0"/>
    <filterColumn colId="26" showButton="0"/>
    <filterColumn colId="28" showButton="0"/>
    <filterColumn colId="29" showButton="0"/>
    <filterColumn colId="31" showButton="0"/>
    <filterColumn colId="32" showButton="0"/>
    <filterColumn colId="34" showButton="0"/>
    <filterColumn colId="35" showButton="0"/>
    <filterColumn colId="37" showButton="0"/>
    <filterColumn colId="38" showButton="0"/>
    <filterColumn colId="40" showButton="0"/>
    <filterColumn colId="41" showButton="0"/>
  </autoFilter>
  <mergeCells count="19">
    <mergeCell ref="AO1:AQ1"/>
    <mergeCell ref="B1:B2"/>
    <mergeCell ref="Z1:AB1"/>
    <mergeCell ref="AF1:AH1"/>
    <mergeCell ref="AL1:AN1"/>
    <mergeCell ref="G1:G2"/>
    <mergeCell ref="W1:Y1"/>
    <mergeCell ref="C1:C2"/>
    <mergeCell ref="N1:P1"/>
    <mergeCell ref="E1:E2"/>
    <mergeCell ref="Q1:S1"/>
    <mergeCell ref="A1:A2"/>
    <mergeCell ref="H1:J1"/>
    <mergeCell ref="AI1:AK1"/>
    <mergeCell ref="D1:D2"/>
    <mergeCell ref="F1:F2"/>
    <mergeCell ref="K1:M1"/>
    <mergeCell ref="AC1:AE1"/>
    <mergeCell ref="T1:V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5" sqref="D5"/>
    </sheetView>
  </sheetViews>
  <sheetFormatPr baseColWidth="10" defaultRowHeight="12.75" x14ac:dyDescent="0.2"/>
  <cols>
    <col min="3" max="3" width="73.140625" customWidth="1"/>
  </cols>
  <sheetData>
    <row r="1" spans="1:4" x14ac:dyDescent="0.2">
      <c r="A1" s="45" t="s">
        <v>1263</v>
      </c>
      <c r="B1" s="45" t="s">
        <v>1264</v>
      </c>
      <c r="C1" s="45" t="s">
        <v>1265</v>
      </c>
      <c r="D1" s="45" t="s">
        <v>1266</v>
      </c>
    </row>
    <row r="2" spans="1:4" ht="38.25" customHeight="1" x14ac:dyDescent="0.2">
      <c r="A2" s="34">
        <v>46071</v>
      </c>
      <c r="B2" s="33" t="s">
        <v>1267</v>
      </c>
      <c r="C2" s="32" t="s">
        <v>1268</v>
      </c>
      <c r="D2" s="33" t="s">
        <v>1269</v>
      </c>
    </row>
    <row r="3" spans="1:4" ht="51" customHeight="1" x14ac:dyDescent="0.2">
      <c r="A3" s="60">
        <v>46076</v>
      </c>
      <c r="B3" s="61" t="s">
        <v>1267</v>
      </c>
      <c r="C3" s="62" t="s">
        <v>1270</v>
      </c>
      <c r="D3" s="61" t="s">
        <v>1269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Climatologia</vt:lpstr>
      <vt:lpstr>Minimos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Servicio Operacional De Pronósticos Y Alertas - Ospa</cp:lastModifiedBy>
  <cp:lastPrinted>2017-06-11T12:02:38Z</cp:lastPrinted>
  <dcterms:created xsi:type="dcterms:W3CDTF">2008-10-19T17:20:03Z</dcterms:created>
  <dcterms:modified xsi:type="dcterms:W3CDTF">2026-09-13T15:30:51Z</dcterms:modified>
</cp:coreProperties>
</file>