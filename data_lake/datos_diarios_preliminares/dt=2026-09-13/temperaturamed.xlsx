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139E381-D1BF-4F9E-9E8C-D22A3C141FC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S211" i="1" s="1"/>
  <c r="AQ211" i="1"/>
  <c r="AP211" i="1"/>
  <c r="AR210" i="1"/>
  <c r="AP210" i="1"/>
  <c r="AQ210" i="1" s="1"/>
  <c r="AS210" i="1" s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Q186" i="1"/>
  <c r="AS186" i="1" s="1"/>
  <c r="AP186" i="1"/>
  <c r="AR185" i="1"/>
  <c r="AP185" i="1"/>
  <c r="AQ185" i="1" s="1"/>
  <c r="AS185" i="1" s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Q171" i="1"/>
  <c r="AS171" i="1" s="1"/>
  <c r="AP171" i="1"/>
  <c r="AR170" i="1"/>
  <c r="AP170" i="1"/>
  <c r="AQ170" i="1" s="1"/>
  <c r="AS170" i="1" s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Q166" i="1"/>
  <c r="AS166" i="1" s="1"/>
  <c r="AP166" i="1"/>
  <c r="AR165" i="1"/>
  <c r="AP165" i="1"/>
  <c r="AQ165" i="1" s="1"/>
  <c r="AS165" i="1" s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Q161" i="1"/>
  <c r="AS161" i="1" s="1"/>
  <c r="AP161" i="1"/>
  <c r="AR160" i="1"/>
  <c r="AP160" i="1"/>
  <c r="AQ160" i="1" s="1"/>
  <c r="AS160" i="1" s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Q156" i="1"/>
  <c r="AS156" i="1" s="1"/>
  <c r="AP156" i="1"/>
  <c r="AR155" i="1"/>
  <c r="AP155" i="1"/>
  <c r="AQ155" i="1" s="1"/>
  <c r="AS155" i="1" s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Q134" i="1"/>
  <c r="AS134" i="1" s="1"/>
  <c r="AP134" i="1"/>
  <c r="AR133" i="1"/>
  <c r="AP133" i="1"/>
  <c r="AQ133" i="1" s="1"/>
  <c r="AS133" i="1" s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Q124" i="1"/>
  <c r="AS124" i="1" s="1"/>
  <c r="AP124" i="1"/>
  <c r="AR123" i="1"/>
  <c r="AP123" i="1"/>
  <c r="AQ123" i="1" s="1"/>
  <c r="AS123" i="1" s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Q119" i="1"/>
  <c r="AS119" i="1" s="1"/>
  <c r="AP119" i="1"/>
  <c r="AR118" i="1"/>
  <c r="AP118" i="1"/>
  <c r="AQ118" i="1" s="1"/>
  <c r="AS118" i="1" s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Q109" i="1"/>
  <c r="AS109" i="1" s="1"/>
  <c r="AP109" i="1"/>
  <c r="AR108" i="1"/>
  <c r="AP108" i="1"/>
  <c r="AQ108" i="1" s="1"/>
  <c r="AS108" i="1" s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Q104" i="1"/>
  <c r="AS104" i="1" s="1"/>
  <c r="AP104" i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Q99" i="1"/>
  <c r="AS99" i="1" s="1"/>
  <c r="AP99" i="1"/>
  <c r="AR98" i="1"/>
  <c r="AP98" i="1"/>
  <c r="AQ98" i="1" s="1"/>
  <c r="AS98" i="1" s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Q94" i="1"/>
  <c r="AS94" i="1" s="1"/>
  <c r="AP94" i="1"/>
  <c r="AR93" i="1"/>
  <c r="AP93" i="1"/>
  <c r="AQ93" i="1" s="1"/>
  <c r="AS93" i="1" s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Q89" i="1"/>
  <c r="AS89" i="1" s="1"/>
  <c r="AP89" i="1"/>
  <c r="AR88" i="1"/>
  <c r="AP88" i="1"/>
  <c r="AQ88" i="1" s="1"/>
  <c r="AS88" i="1" s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Q84" i="1"/>
  <c r="AS84" i="1" s="1"/>
  <c r="AP84" i="1"/>
  <c r="AR83" i="1"/>
  <c r="AP83" i="1"/>
  <c r="AQ83" i="1" s="1"/>
  <c r="AS83" i="1" s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Q79" i="1"/>
  <c r="AS79" i="1" s="1"/>
  <c r="AP79" i="1"/>
  <c r="AR78" i="1"/>
  <c r="AP78" i="1"/>
  <c r="AQ78" i="1" s="1"/>
  <c r="AS78" i="1" s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Q74" i="1"/>
  <c r="AS74" i="1" s="1"/>
  <c r="AP74" i="1"/>
  <c r="AR73" i="1"/>
  <c r="AP73" i="1"/>
  <c r="AQ73" i="1" s="1"/>
  <c r="AS73" i="1" s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Q64" i="1"/>
  <c r="AS64" i="1" s="1"/>
  <c r="AP64" i="1"/>
  <c r="AR63" i="1"/>
  <c r="AP63" i="1"/>
  <c r="AQ63" i="1" s="1"/>
  <c r="AS63" i="1" s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Q59" i="1"/>
  <c r="AS59" i="1" s="1"/>
  <c r="AP59" i="1"/>
  <c r="AR58" i="1"/>
  <c r="AP58" i="1"/>
  <c r="AQ58" i="1" s="1"/>
  <c r="AS58" i="1" s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Q54" i="1"/>
  <c r="AS54" i="1" s="1"/>
  <c r="AP54" i="1"/>
  <c r="AR53" i="1"/>
  <c r="AP53" i="1"/>
  <c r="AQ53" i="1" s="1"/>
  <c r="AS53" i="1" s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Q49" i="1"/>
  <c r="AS49" i="1" s="1"/>
  <c r="AP49" i="1"/>
  <c r="AR48" i="1"/>
  <c r="AP48" i="1"/>
  <c r="AQ48" i="1" s="1"/>
  <c r="AS48" i="1" s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Q44" i="1"/>
  <c r="AS44" i="1" s="1"/>
  <c r="AP44" i="1"/>
  <c r="AR43" i="1"/>
  <c r="AP43" i="1"/>
  <c r="AQ43" i="1" s="1"/>
  <c r="AS43" i="1" s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Q39" i="1"/>
  <c r="AS39" i="1" s="1"/>
  <c r="AP39" i="1"/>
  <c r="AR38" i="1"/>
  <c r="AP38" i="1"/>
  <c r="AQ38" i="1" s="1"/>
  <c r="AS38" i="1" s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Q34" i="1"/>
  <c r="AS34" i="1" s="1"/>
  <c r="AP34" i="1"/>
  <c r="AR33" i="1"/>
  <c r="AP33" i="1"/>
  <c r="AQ33" i="1" s="1"/>
  <c r="AS33" i="1" s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Q29" i="1"/>
  <c r="AS29" i="1" s="1"/>
  <c r="AP29" i="1"/>
  <c r="AR28" i="1"/>
  <c r="AP28" i="1"/>
  <c r="AQ28" i="1" s="1"/>
  <c r="AS28" i="1" s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Q24" i="1"/>
  <c r="AS24" i="1" s="1"/>
  <c r="AP24" i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Q19" i="1"/>
  <c r="AS19" i="1" s="1"/>
  <c r="AP19" i="1"/>
  <c r="AR18" i="1"/>
  <c r="AP18" i="1"/>
  <c r="AQ18" i="1" s="1"/>
  <c r="AS18" i="1" s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Q14" i="1"/>
  <c r="AS14" i="1" s="1"/>
  <c r="AP14" i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Q9" i="1"/>
  <c r="AS9" i="1" s="1"/>
  <c r="AP9" i="1"/>
  <c r="AR8" i="1"/>
  <c r="AP8" i="1"/>
  <c r="AQ8" i="1" s="1"/>
  <c r="AS8" i="1" s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<sst xmlns="http://schemas.openxmlformats.org/spreadsheetml/2006/main" count="3690" uniqueCount="1514">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</sst>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B1" zoomScale="85" zoomScaleNormal="85" workbookViewId="0">
      <selection activeCell="W7" sqref="W7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62" width="32.42578125" style="50" customWidth="1"/>
    <col min="16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>
        <v>30</v>
      </c>
      <c r="Q5" s="56">
        <v>29</v>
      </c>
      <c r="R5" s="56">
        <v>30.3</v>
      </c>
      <c r="S5" s="56">
        <v>30.2</v>
      </c>
      <c r="T5" s="56">
        <v>30</v>
      </c>
      <c r="U5" s="56">
        <v>30.4</v>
      </c>
      <c r="V5" s="56">
        <v>29.9</v>
      </c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12</v>
      </c>
      <c r="AQ5" s="71" t="str">
        <f t="shared" ref="AQ5:AQ68" si="1">IF(AP5&gt;14,AVERAGE(K5:AO5),"")</f>
        <v/>
      </c>
      <c r="AR5" s="71">
        <f>IFERROR(VLOOKUP(A5,Climatologia_TMED!A:U,9+$E$2,FALSE),"")</f>
        <v>28.19559771167529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>
        <v>30.1</v>
      </c>
      <c r="Q6" s="56">
        <v>30.2</v>
      </c>
      <c r="R6" s="56">
        <v>30.6</v>
      </c>
      <c r="S6" s="56">
        <v>30.5</v>
      </c>
      <c r="T6" s="56">
        <v>30.1</v>
      </c>
      <c r="U6" s="56">
        <v>29.6</v>
      </c>
      <c r="V6" s="56">
        <v>30.1</v>
      </c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12</v>
      </c>
      <c r="AQ6" s="71" t="str">
        <f t="shared" si="1"/>
        <v/>
      </c>
      <c r="AR6" s="71">
        <f>IFERROR(VLOOKUP(A6,Climatologia_TMED!A:U,9+$E$2,FALSE),"")</f>
        <v>28.25163478260869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>
        <v>31.2</v>
      </c>
      <c r="Q7" s="56">
        <v>30.7</v>
      </c>
      <c r="R7" s="56">
        <v>30.6</v>
      </c>
      <c r="S7" s="56">
        <v>32.799999999999997</v>
      </c>
      <c r="T7" s="56">
        <v>30.7</v>
      </c>
      <c r="U7" s="56">
        <v>31.5</v>
      </c>
      <c r="V7" s="56">
        <v>30.2</v>
      </c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12</v>
      </c>
      <c r="AQ7" s="71" t="str">
        <f t="shared" si="1"/>
        <v/>
      </c>
      <c r="AR7" s="71">
        <f>IFERROR(VLOOKUP(A7,Climatologia_TMED!A:U,9+$E$2,FALSE),"")</f>
        <v>28.589798932951091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>
        <v>31.5</v>
      </c>
      <c r="Q8" s="56">
        <v>30.2</v>
      </c>
      <c r="R8" s="56">
        <v>31.1</v>
      </c>
      <c r="S8" s="56">
        <v>31.3</v>
      </c>
      <c r="T8" s="56">
        <v>31.2</v>
      </c>
      <c r="U8" s="56">
        <v>30.3</v>
      </c>
      <c r="V8" s="56">
        <v>30.6</v>
      </c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12</v>
      </c>
      <c r="AQ8" s="71" t="str">
        <f t="shared" si="1"/>
        <v/>
      </c>
      <c r="AR8" s="71">
        <f>IFERROR(VLOOKUP(A8,Climatologia_TMED!A:U,9+$E$2,FALSE),"")</f>
        <v>28.588634585621801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>
        <v>31.6</v>
      </c>
      <c r="Q9" s="56">
        <v>30.1</v>
      </c>
      <c r="R9" s="56">
        <v>30.7</v>
      </c>
      <c r="S9" s="56">
        <v>31</v>
      </c>
      <c r="T9" s="56">
        <v>30.8</v>
      </c>
      <c r="U9" s="56">
        <v>30.1</v>
      </c>
      <c r="V9" s="56">
        <v>30.1</v>
      </c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12</v>
      </c>
      <c r="AQ9" s="71" t="str">
        <f t="shared" si="1"/>
        <v/>
      </c>
      <c r="AR9" s="71">
        <f>IFERROR(VLOOKUP(A9,Climatologia_TMED!A:U,9+$E$2,FALSE),"")</f>
        <v>29.696260683760649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>
        <v>33.299999999999997</v>
      </c>
      <c r="Q10" s="56">
        <v>32.4</v>
      </c>
      <c r="R10" s="56">
        <v>33.9</v>
      </c>
      <c r="S10" s="56">
        <v>32.299999999999997</v>
      </c>
      <c r="T10" s="56">
        <v>32.5</v>
      </c>
      <c r="U10" s="56">
        <v>33.200000000000003</v>
      </c>
      <c r="V10" s="56">
        <v>32.9</v>
      </c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12</v>
      </c>
      <c r="AQ10" s="71" t="str">
        <f t="shared" si="1"/>
        <v/>
      </c>
      <c r="AR10" s="71">
        <f>IFERROR(VLOOKUP(A10,Climatologia_TMED!A:U,9+$E$2,FALSE),"")</f>
        <v>28.721385845783921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>
        <v>31.5</v>
      </c>
      <c r="Q11" s="56">
        <v>30.9</v>
      </c>
      <c r="R11" s="56">
        <v>34.799999999999997</v>
      </c>
      <c r="S11" s="56">
        <v>34.5</v>
      </c>
      <c r="T11" s="56">
        <v>33.200000000000003</v>
      </c>
      <c r="U11" s="56">
        <v>32.9</v>
      </c>
      <c r="V11" s="56">
        <v>32.9</v>
      </c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12</v>
      </c>
      <c r="AQ11" s="71" t="str">
        <f t="shared" si="1"/>
        <v/>
      </c>
      <c r="AR11" s="71">
        <f>IFERROR(VLOOKUP(A11,Climatologia_TMED!A:U,9+$E$2,FALSE),"")</f>
        <v>28.21428787063774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>
        <v>28.2</v>
      </c>
      <c r="Q12" s="56">
        <v>29.4</v>
      </c>
      <c r="R12" s="56">
        <v>31.4</v>
      </c>
      <c r="S12" s="56">
        <v>30.3</v>
      </c>
      <c r="T12" s="56">
        <v>28.3</v>
      </c>
      <c r="U12" s="56">
        <v>28.1</v>
      </c>
      <c r="V12" s="56">
        <v>30.2</v>
      </c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12</v>
      </c>
      <c r="AQ12" s="71" t="str">
        <f t="shared" si="1"/>
        <v/>
      </c>
      <c r="AR12" s="71">
        <f>IFERROR(VLOOKUP(A12,Climatologia_TMED!A:U,9+$E$2,FALSE),"")</f>
        <v>27.70823838484932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>
        <v>29.5</v>
      </c>
      <c r="Q13" s="56">
        <v>30.7</v>
      </c>
      <c r="R13" s="56">
        <v>31</v>
      </c>
      <c r="S13" s="56">
        <v>32.9</v>
      </c>
      <c r="T13" s="56">
        <v>31.3</v>
      </c>
      <c r="U13" s="56">
        <v>28.5</v>
      </c>
      <c r="V13" s="56">
        <v>31.9</v>
      </c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12</v>
      </c>
      <c r="AQ13" s="71" t="str">
        <f t="shared" si="1"/>
        <v/>
      </c>
      <c r="AR13" s="71">
        <f>IFERROR(VLOOKUP(A13,Climatologia_TMED!A:U,9+$E$2,FALSE),"")</f>
        <v>27.821442821282261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>
        <v>23.5</v>
      </c>
      <c r="Q14" s="56">
        <v>22.7</v>
      </c>
      <c r="R14" s="56">
        <v>24.4</v>
      </c>
      <c r="S14" s="56">
        <v>24.8</v>
      </c>
      <c r="T14" s="56">
        <v>24.3</v>
      </c>
      <c r="U14" s="56">
        <v>23.6</v>
      </c>
      <c r="V14" s="56">
        <v>24.6</v>
      </c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12</v>
      </c>
      <c r="AQ14" s="71" t="str">
        <f t="shared" si="1"/>
        <v/>
      </c>
      <c r="AR14" s="71">
        <f>IFERROR(VLOOKUP(A14,Climatologia_TMED!A:U,9+$E$2,FALSE),"")</f>
        <v>21.645192307692302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>
        <v>29.8</v>
      </c>
      <c r="Q15" s="56">
        <v>31.3</v>
      </c>
      <c r="R15" s="56">
        <v>29.9</v>
      </c>
      <c r="S15" s="56">
        <v>31.9</v>
      </c>
      <c r="T15" s="56">
        <v>30</v>
      </c>
      <c r="U15" s="56">
        <v>30.5</v>
      </c>
      <c r="V15" s="56">
        <v>31.8</v>
      </c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12</v>
      </c>
      <c r="AQ15" s="71" t="str">
        <f t="shared" si="1"/>
        <v/>
      </c>
      <c r="AR15" s="71">
        <f>IFERROR(VLOOKUP(A15,Climatologia_TMED!A:U,9+$E$2,FALSE),"")</f>
        <v>28.721184147509561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>
        <v>28.1</v>
      </c>
      <c r="Q16" s="56">
        <v>28.7</v>
      </c>
      <c r="R16" s="56">
        <v>29.3</v>
      </c>
      <c r="S16" s="56">
        <v>29.6</v>
      </c>
      <c r="T16" s="56">
        <v>28.3</v>
      </c>
      <c r="U16" s="56">
        <v>26.8</v>
      </c>
      <c r="V16" s="56">
        <v>28.5</v>
      </c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12</v>
      </c>
      <c r="AQ16" s="71" t="str">
        <f t="shared" si="1"/>
        <v/>
      </c>
      <c r="AR16" s="71">
        <f>IFERROR(VLOOKUP(A16,Climatologia_TMED!A:U,9+$E$2,FALSE),"")</f>
        <v>27.412401021711371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>
        <v>25.1</v>
      </c>
      <c r="Q17" s="56">
        <v>24.8</v>
      </c>
      <c r="R17" s="56">
        <v>26</v>
      </c>
      <c r="S17" s="56">
        <v>27.1</v>
      </c>
      <c r="T17" s="56">
        <v>26</v>
      </c>
      <c r="U17" s="56">
        <v>23.8</v>
      </c>
      <c r="V17" s="56">
        <v>26.6</v>
      </c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12</v>
      </c>
      <c r="AQ17" s="71" t="str">
        <f t="shared" si="1"/>
        <v/>
      </c>
      <c r="AR17" s="71">
        <f>IFERROR(VLOOKUP(A17,Climatologia_TMED!A:U,9+$E$2,FALSE),"")</f>
        <v>23.202496921182259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>
        <v>19.600000000000001</v>
      </c>
      <c r="Q18" s="56">
        <v>17.899999999999999</v>
      </c>
      <c r="R18" s="56">
        <v>19.899999999999999</v>
      </c>
      <c r="S18" s="56">
        <v>19.8</v>
      </c>
      <c r="T18" s="56">
        <v>19.8</v>
      </c>
      <c r="U18" s="56">
        <v>20</v>
      </c>
      <c r="V18" s="56">
        <v>19.8</v>
      </c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12</v>
      </c>
      <c r="AQ18" s="71" t="str">
        <f t="shared" si="1"/>
        <v/>
      </c>
      <c r="AR18" s="71">
        <f>IFERROR(VLOOKUP(A18,Climatologia_TMED!A:U,9+$E$2,FALSE),"")</f>
        <v>17.218397988505739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>
        <v>23.8</v>
      </c>
      <c r="Q19" s="56">
        <v>23.1</v>
      </c>
      <c r="R19" s="56">
        <v>27.2</v>
      </c>
      <c r="S19" s="56">
        <v>25.4</v>
      </c>
      <c r="T19" s="56">
        <v>25.9</v>
      </c>
      <c r="U19" s="56">
        <v>23.2</v>
      </c>
      <c r="V19" s="56">
        <v>24.2</v>
      </c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12</v>
      </c>
      <c r="AQ19" s="71" t="str">
        <f t="shared" si="1"/>
        <v/>
      </c>
      <c r="AR19" s="71">
        <f>IFERROR(VLOOKUP(A19,Climatologia_TMED!A:U,9+$E$2,FALSE),"")</f>
        <v>21.945897435897429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>
        <v>26.3</v>
      </c>
      <c r="Q20" s="56">
        <v>23</v>
      </c>
      <c r="R20" s="56">
        <v>26.4</v>
      </c>
      <c r="S20" s="56">
        <v>24.7</v>
      </c>
      <c r="T20" s="56">
        <v>25.3</v>
      </c>
      <c r="U20" s="56">
        <v>24</v>
      </c>
      <c r="V20" s="56">
        <v>25.3</v>
      </c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12</v>
      </c>
      <c r="AQ20" s="71" t="str">
        <f t="shared" si="1"/>
        <v/>
      </c>
      <c r="AR20" s="71">
        <f>IFERROR(VLOOKUP(A20,Climatologia_TMED!A:U,9+$E$2,FALSE),"")</f>
        <v>22.11881789187823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>
        <v>28.4</v>
      </c>
      <c r="Q21" s="56">
        <v>27.6</v>
      </c>
      <c r="R21" s="56">
        <v>29.6</v>
      </c>
      <c r="S21" s="56">
        <v>29.1</v>
      </c>
      <c r="T21" s="56">
        <v>29.7</v>
      </c>
      <c r="U21" s="56">
        <v>27.8</v>
      </c>
      <c r="V21" s="56">
        <v>29.1</v>
      </c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12</v>
      </c>
      <c r="AQ21" s="71" t="str">
        <f t="shared" si="1"/>
        <v/>
      </c>
      <c r="AR21" s="71">
        <f>IFERROR(VLOOKUP(A21,Climatologia_TMED!A:U,9+$E$2,FALSE),"")</f>
        <v>24.941045052186539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>
        <v>16.100000000000001</v>
      </c>
      <c r="Q22" s="56">
        <v>13.5</v>
      </c>
      <c r="R22" s="56">
        <v>15.6</v>
      </c>
      <c r="S22" s="56">
        <v>16.600000000000001</v>
      </c>
      <c r="T22" s="56">
        <v>15.1</v>
      </c>
      <c r="U22" s="56">
        <v>16</v>
      </c>
      <c r="V22" s="56">
        <v>16.2</v>
      </c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12</v>
      </c>
      <c r="AQ22" s="71" t="str">
        <f t="shared" si="1"/>
        <v/>
      </c>
      <c r="AR22" s="71">
        <f>IFERROR(VLOOKUP(A22,Climatologia_TMED!A:U,9+$E$2,FALSE),"")</f>
        <v>13.769711096374881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>
        <v>27</v>
      </c>
      <c r="Q23" s="56">
        <v>25.7</v>
      </c>
      <c r="R23" s="56">
        <v>26.7</v>
      </c>
      <c r="S23" s="56">
        <v>27.2</v>
      </c>
      <c r="T23" s="56">
        <v>27.2</v>
      </c>
      <c r="U23" s="56">
        <v>26.7</v>
      </c>
      <c r="V23" s="56">
        <v>26.9</v>
      </c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12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>
        <v>31.7</v>
      </c>
      <c r="Q24" s="56">
        <v>31.2</v>
      </c>
      <c r="R24" s="56">
        <v>31.2</v>
      </c>
      <c r="S24" s="56">
        <v>32</v>
      </c>
      <c r="T24" s="56">
        <v>31.5</v>
      </c>
      <c r="U24" s="56">
        <v>30.6</v>
      </c>
      <c r="V24" s="56">
        <v>30.8</v>
      </c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12</v>
      </c>
      <c r="AQ24" s="71" t="str">
        <f t="shared" si="1"/>
        <v/>
      </c>
      <c r="AR24" s="71">
        <f>IFERROR(VLOOKUP(A24,Climatologia_TMED!A:U,9+$E$2,FALSE),"")</f>
        <v>29.322570561941241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>
        <v>22.8</v>
      </c>
      <c r="Q25" s="56">
        <v>22.1</v>
      </c>
      <c r="R25" s="56">
        <v>23.5</v>
      </c>
      <c r="S25" s="56">
        <v>23</v>
      </c>
      <c r="T25" s="56">
        <v>24.8</v>
      </c>
      <c r="U25" s="56">
        <v>22.9</v>
      </c>
      <c r="V25" s="56">
        <v>23.2</v>
      </c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12</v>
      </c>
      <c r="AQ25" s="71" t="str">
        <f t="shared" si="1"/>
        <v/>
      </c>
      <c r="AR25" s="71">
        <f>IFERROR(VLOOKUP(A25,Climatologia_TMED!A:U,9+$E$2,FALSE),"")</f>
        <v>19.994578515905641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>
        <v>10.7</v>
      </c>
      <c r="Q26" s="56">
        <v>10.5</v>
      </c>
      <c r="R26" s="56">
        <v>11.2</v>
      </c>
      <c r="S26" s="56">
        <v>12.5</v>
      </c>
      <c r="T26" s="56">
        <v>12.6</v>
      </c>
      <c r="U26" s="56">
        <v>12.1</v>
      </c>
      <c r="V26" s="56">
        <v>11</v>
      </c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12</v>
      </c>
      <c r="AQ26" s="71" t="str">
        <f t="shared" si="1"/>
        <v/>
      </c>
      <c r="AR26" s="71">
        <f>IFERROR(VLOOKUP(A26,Climatologia_TMED!A:U,9+$E$2,FALSE),"")</f>
        <v>10.71746913580245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>
        <v>26.6</v>
      </c>
      <c r="Q27" s="56">
        <v>27.1</v>
      </c>
      <c r="R27" s="56">
        <v>29.3</v>
      </c>
      <c r="S27" s="56">
        <v>28.3</v>
      </c>
      <c r="T27" s="56">
        <v>27.1</v>
      </c>
      <c r="U27" s="56">
        <v>26.4</v>
      </c>
      <c r="V27" s="56">
        <v>29.9</v>
      </c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12</v>
      </c>
      <c r="AQ27" s="71" t="str">
        <f t="shared" si="1"/>
        <v/>
      </c>
      <c r="AR27" s="71">
        <f>IFERROR(VLOOKUP(A27,Climatologia_TMED!A:U,9+$E$2,FALSE),"")</f>
        <v>26.709312260536379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99"/>
      <c r="M28" s="56">
        <v>29.2</v>
      </c>
      <c r="N28" s="56">
        <v>26.8</v>
      </c>
      <c r="O28" s="56">
        <v>28.8</v>
      </c>
      <c r="P28" s="56">
        <v>23.1</v>
      </c>
      <c r="Q28" s="56">
        <v>27.5</v>
      </c>
      <c r="R28" s="56">
        <v>27.3</v>
      </c>
      <c r="S28" s="56">
        <v>29.1</v>
      </c>
      <c r="T28" s="56">
        <v>24.1</v>
      </c>
      <c r="U28" s="56">
        <v>28.9</v>
      </c>
      <c r="V28" s="56">
        <v>28.3</v>
      </c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11</v>
      </c>
      <c r="AQ28" s="71" t="str">
        <f t="shared" si="1"/>
        <v/>
      </c>
      <c r="AR28" s="71">
        <f>IFERROR(VLOOKUP(A28,Climatologia_TMED!A:U,9+$E$2,FALSE),"")</f>
        <v>26.623456522478399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>
        <v>27.4</v>
      </c>
      <c r="Q29" s="56">
        <v>28.1</v>
      </c>
      <c r="R29" s="56">
        <v>28.8</v>
      </c>
      <c r="S29" s="56">
        <v>30.2</v>
      </c>
      <c r="T29" s="56">
        <v>27.7</v>
      </c>
      <c r="U29" s="56">
        <v>30.1</v>
      </c>
      <c r="V29" s="56">
        <v>28.9</v>
      </c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12</v>
      </c>
      <c r="AQ29" s="71" t="str">
        <f t="shared" si="1"/>
        <v/>
      </c>
      <c r="AR29" s="71">
        <f>IFERROR(VLOOKUP(A29,Climatologia_TMED!A:U,9+$E$2,FALSE),"")</f>
        <v>27.90706246579089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>
        <v>27.5</v>
      </c>
      <c r="Q30" s="56">
        <v>25.9</v>
      </c>
      <c r="R30" s="56">
        <v>24.1</v>
      </c>
      <c r="S30" s="56">
        <v>26.2</v>
      </c>
      <c r="T30" s="56">
        <v>24.9</v>
      </c>
      <c r="U30" s="56">
        <v>25.9</v>
      </c>
      <c r="V30" s="56">
        <v>26.6</v>
      </c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12</v>
      </c>
      <c r="AQ30" s="71" t="str">
        <f t="shared" si="1"/>
        <v/>
      </c>
      <c r="AR30" s="71">
        <f>IFERROR(VLOOKUP(A30,Climatologia_TMED!A:U,9+$E$2,FALSE),"")</f>
        <v>25.8193588981371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>
        <v>27.8</v>
      </c>
      <c r="Q31" s="98">
        <v>27.4</v>
      </c>
      <c r="R31" s="98">
        <v>26.3</v>
      </c>
      <c r="S31" s="98">
        <v>28.6</v>
      </c>
      <c r="T31" s="98">
        <v>29</v>
      </c>
      <c r="U31" s="98">
        <v>28.1</v>
      </c>
      <c r="V31" s="98">
        <v>27.6</v>
      </c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12</v>
      </c>
      <c r="AQ31" s="71" t="str">
        <f t="shared" si="1"/>
        <v/>
      </c>
      <c r="AR31" s="71">
        <f>IFERROR(VLOOKUP(A31,Climatologia_TMED!A:U,9+$E$2,FALSE),"")</f>
        <v>26.375667582417581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>
        <v>20.2</v>
      </c>
      <c r="Q32" s="56">
        <v>20.266666666666669</v>
      </c>
      <c r="R32" s="56">
        <v>21.4</v>
      </c>
      <c r="S32" s="56">
        <v>20</v>
      </c>
      <c r="T32" s="56">
        <v>20.533333333333331</v>
      </c>
      <c r="U32" s="56">
        <v>19.533333333333331</v>
      </c>
      <c r="V32" s="56">
        <v>19.733333333333331</v>
      </c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12</v>
      </c>
      <c r="AQ32" s="71" t="str">
        <f t="shared" si="1"/>
        <v/>
      </c>
      <c r="AR32" s="71">
        <f>IFERROR(VLOOKUP(A32,Climatologia_TMED!A:U,9+$E$2,FALSE),"")</f>
        <v>17.481558928512911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>
        <v>28</v>
      </c>
      <c r="Q33" s="56">
        <v>27.55</v>
      </c>
      <c r="R33" s="56">
        <v>29.55</v>
      </c>
      <c r="S33" s="56">
        <v>29.35</v>
      </c>
      <c r="T33" s="56">
        <v>27.2</v>
      </c>
      <c r="U33" s="56">
        <v>27.05</v>
      </c>
      <c r="V33" s="56">
        <v>28.1</v>
      </c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12</v>
      </c>
      <c r="AQ33" s="71" t="str">
        <f t="shared" si="1"/>
        <v/>
      </c>
      <c r="AR33" s="71">
        <f>IFERROR(VLOOKUP(A33,Climatologia_TMED!A:U,9+$E$2,FALSE),"")</f>
        <v>26.682697842546961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>
        <v>21.2</v>
      </c>
      <c r="Q34" s="56">
        <v>20.399999999999999</v>
      </c>
      <c r="R34" s="56">
        <v>22.266666666666669</v>
      </c>
      <c r="S34" s="56">
        <v>22.733333333333331</v>
      </c>
      <c r="T34" s="56">
        <v>22</v>
      </c>
      <c r="U34" s="56">
        <v>22.266666666666669</v>
      </c>
      <c r="V34" s="56">
        <v>22.6</v>
      </c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12</v>
      </c>
      <c r="AQ34" s="71" t="str">
        <f t="shared" si="1"/>
        <v/>
      </c>
      <c r="AR34" s="71">
        <f>IFERROR(VLOOKUP(A34,Climatologia_TMED!A:U,9+$E$2,FALSE),"")</f>
        <v>19.739292288721511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>
        <v>25.75</v>
      </c>
      <c r="Q35" s="56">
        <v>25.1</v>
      </c>
      <c r="R35" s="56">
        <v>26.3</v>
      </c>
      <c r="S35" s="56">
        <v>26.35</v>
      </c>
      <c r="T35" s="56">
        <v>25.2</v>
      </c>
      <c r="U35" s="56">
        <v>25.45</v>
      </c>
      <c r="V35" s="56">
        <v>26.6</v>
      </c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12</v>
      </c>
      <c r="AQ35" s="71" t="str">
        <f t="shared" si="1"/>
        <v/>
      </c>
      <c r="AR35" s="71">
        <f>IFERROR(VLOOKUP(A35,Climatologia_TMED!A:U,9+$E$2,FALSE),"")</f>
        <v>23.891595702759091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>
        <v>19.55</v>
      </c>
      <c r="Q36" s="56">
        <v>19.75</v>
      </c>
      <c r="R36" s="56">
        <v>20.350000000000001</v>
      </c>
      <c r="S36" s="56">
        <v>21</v>
      </c>
      <c r="T36" s="56">
        <v>20</v>
      </c>
      <c r="U36" s="56">
        <v>19.600000000000001</v>
      </c>
      <c r="V36" s="56">
        <v>19.95</v>
      </c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12</v>
      </c>
      <c r="AQ36" s="71" t="str">
        <f t="shared" si="1"/>
        <v/>
      </c>
      <c r="AR36" s="71">
        <f>IFERROR(VLOOKUP(A36,Climatologia_TMED!A:U,9+$E$2,FALSE),"")</f>
        <v>18.514353665342391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>
        <v>28.2</v>
      </c>
      <c r="Q37" s="56">
        <v>27.4</v>
      </c>
      <c r="R37" s="56">
        <v>28.95</v>
      </c>
      <c r="S37" s="56">
        <v>28.45</v>
      </c>
      <c r="T37" s="56">
        <v>28.75</v>
      </c>
      <c r="U37" s="56">
        <v>27.25</v>
      </c>
      <c r="V37" s="56">
        <v>28.6</v>
      </c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12</v>
      </c>
      <c r="AQ37" s="71" t="str">
        <f t="shared" si="1"/>
        <v/>
      </c>
      <c r="AR37" s="71">
        <f>IFERROR(VLOOKUP(A37,Climatologia_TMED!A:U,9+$E$2,FALSE),"")</f>
        <v>25.832923850574691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>
        <v>15.4</v>
      </c>
      <c r="Q38" s="56">
        <v>15.6</v>
      </c>
      <c r="R38" s="56">
        <v>16.850000000000001</v>
      </c>
      <c r="S38" s="56">
        <v>15.95</v>
      </c>
      <c r="T38" s="56">
        <v>16.05</v>
      </c>
      <c r="U38" s="56">
        <v>17.3</v>
      </c>
      <c r="V38" s="56">
        <v>17.100000000000001</v>
      </c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12</v>
      </c>
      <c r="AQ38" s="71" t="str">
        <f t="shared" si="1"/>
        <v/>
      </c>
      <c r="AR38" s="71">
        <f>IFERROR(VLOOKUP(A38,Climatologia_TMED!A:U,9+$E$2,FALSE),"")</f>
        <v>14.973386973180061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>
        <v>23.13333333333334</v>
      </c>
      <c r="Q39" s="56">
        <v>22.6</v>
      </c>
      <c r="R39" s="56">
        <v>24.06666666666667</v>
      </c>
      <c r="S39" s="56">
        <v>23.666666666666671</v>
      </c>
      <c r="T39" s="56">
        <v>24.13333333333334</v>
      </c>
      <c r="U39" s="56">
        <v>20.333333333333329</v>
      </c>
      <c r="V39" s="56">
        <v>22.066666666666659</v>
      </c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12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>
        <v>25.13333333333334</v>
      </c>
      <c r="Q40" s="56">
        <v>24.333333333333329</v>
      </c>
      <c r="R40" s="56">
        <v>26.13333333333334</v>
      </c>
      <c r="S40" s="56"/>
      <c r="T40" s="56">
        <v>25.733333333333331</v>
      </c>
      <c r="U40" s="56">
        <v>24.266666666666669</v>
      </c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10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>
        <v>21.13333333333334</v>
      </c>
      <c r="P41" s="56">
        <v>20.43333333333333</v>
      </c>
      <c r="Q41" s="56">
        <v>20.766666666666669</v>
      </c>
      <c r="R41" s="56">
        <v>21.733333333333331</v>
      </c>
      <c r="S41" s="56">
        <v>21.933333333333341</v>
      </c>
      <c r="T41" s="56">
        <v>19.133333333333329</v>
      </c>
      <c r="U41" s="56">
        <v>19.333333333333329</v>
      </c>
      <c r="V41" s="56">
        <v>20.93333333333333</v>
      </c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12</v>
      </c>
      <c r="AQ41" s="71" t="str">
        <f t="shared" si="1"/>
        <v/>
      </c>
      <c r="AR41" s="71">
        <f>IFERROR(VLOOKUP(A41,Climatologia_TMED!A:U,9+$E$2,FALSE),"")</f>
        <v>18.027767276645449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>
        <v>28.2</v>
      </c>
      <c r="Q42" s="56">
        <v>27.35</v>
      </c>
      <c r="R42" s="56">
        <v>29.1</v>
      </c>
      <c r="S42" s="56">
        <v>28.8</v>
      </c>
      <c r="T42" s="56">
        <v>27.5</v>
      </c>
      <c r="U42" s="56">
        <v>26.4</v>
      </c>
      <c r="V42" s="56">
        <v>27.85</v>
      </c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12</v>
      </c>
      <c r="AQ42" s="71" t="str">
        <f t="shared" si="1"/>
        <v/>
      </c>
      <c r="AR42" s="71">
        <f>IFERROR(VLOOKUP(A42,Climatologia_TMED!A:U,9+$E$2,FALSE),"")</f>
        <v>27.293074712643669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>
        <v>28.85</v>
      </c>
      <c r="Q43" s="56">
        <v>28.3</v>
      </c>
      <c r="R43" s="56">
        <v>30.75</v>
      </c>
      <c r="S43" s="56">
        <v>31</v>
      </c>
      <c r="T43" s="56">
        <v>28.5</v>
      </c>
      <c r="U43" s="56">
        <v>27.4</v>
      </c>
      <c r="V43" s="56">
        <v>29.05</v>
      </c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12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>
        <v>26.375</v>
      </c>
      <c r="Q44" s="56">
        <v>26.75</v>
      </c>
      <c r="R44" s="56">
        <v>29.55</v>
      </c>
      <c r="S44" s="56">
        <v>30.425000000000001</v>
      </c>
      <c r="T44" s="56">
        <v>27.75</v>
      </c>
      <c r="U44" s="56">
        <v>27.45</v>
      </c>
      <c r="V44" s="56">
        <v>28.324999999999999</v>
      </c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12</v>
      </c>
      <c r="AQ44" s="71" t="str">
        <f t="shared" si="1"/>
        <v/>
      </c>
      <c r="AR44" s="71">
        <f>IFERROR(VLOOKUP(A44,Climatologia_TMED!A:U,9+$E$2,FALSE),"")</f>
        <v>27.271401728699139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>
        <v>28.4</v>
      </c>
      <c r="Q45" s="56">
        <v>28.4</v>
      </c>
      <c r="R45" s="56">
        <v>30.35</v>
      </c>
      <c r="S45" s="56">
        <v>31</v>
      </c>
      <c r="T45" s="56">
        <v>28.8</v>
      </c>
      <c r="U45" s="56">
        <v>27.75</v>
      </c>
      <c r="V45" s="56">
        <v>28.65</v>
      </c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12</v>
      </c>
      <c r="AQ45" s="71" t="str">
        <f t="shared" si="1"/>
        <v/>
      </c>
      <c r="AR45" s="71">
        <f>IFERROR(VLOOKUP(A45,Climatologia_TMED!A:U,9+$E$2,FALSE),"")</f>
        <v>27.170883848750218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>
        <v>27.9</v>
      </c>
      <c r="Q46" s="56">
        <v>28.75</v>
      </c>
      <c r="R46" s="56">
        <v>29.05</v>
      </c>
      <c r="S46" s="56">
        <v>29.9</v>
      </c>
      <c r="T46" s="56">
        <v>28.55</v>
      </c>
      <c r="U46" s="56">
        <v>27.8</v>
      </c>
      <c r="V46" s="56">
        <v>29.3</v>
      </c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12</v>
      </c>
      <c r="AQ46" s="71" t="str">
        <f t="shared" si="1"/>
        <v/>
      </c>
      <c r="AR46" s="71">
        <f>IFERROR(VLOOKUP(A46,Climatologia_TMED!A:U,9+$E$2,FALSE),"")</f>
        <v>27.502544129720849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>
        <v>28.266666666666669</v>
      </c>
      <c r="Q47" s="56">
        <v>29.2</v>
      </c>
      <c r="R47" s="56">
        <v>31.933333333333341</v>
      </c>
      <c r="S47" s="56">
        <v>31.06666666666667</v>
      </c>
      <c r="T47" s="56">
        <v>28.666666666666671</v>
      </c>
      <c r="U47" s="56">
        <v>28.2</v>
      </c>
      <c r="V47" s="56">
        <v>30.86666666666666</v>
      </c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12</v>
      </c>
      <c r="AQ47" s="71" t="str">
        <f t="shared" si="1"/>
        <v/>
      </c>
      <c r="AR47" s="71">
        <f>IFERROR(VLOOKUP(A47,Climatologia_TMED!A:U,9+$E$2,FALSE),"")</f>
        <v>27.547468594953131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>
        <v>27.6</v>
      </c>
      <c r="P50" s="56">
        <v>25.35</v>
      </c>
      <c r="Q50" s="56">
        <v>28.55</v>
      </c>
      <c r="R50" s="56">
        <v>30.4</v>
      </c>
      <c r="S50" s="56">
        <v>29.9</v>
      </c>
      <c r="T50" s="56">
        <v>28</v>
      </c>
      <c r="U50" s="56">
        <v>27.75</v>
      </c>
      <c r="V50" s="56">
        <v>29.05</v>
      </c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12</v>
      </c>
      <c r="AQ50" s="71" t="str">
        <f t="shared" si="1"/>
        <v/>
      </c>
      <c r="AR50" s="71">
        <f>IFERROR(VLOOKUP(A50,Climatologia_TMED!A:U,9+$E$2,FALSE),"")</f>
        <v>27.104513508203151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>
        <v>27.85</v>
      </c>
      <c r="Q53" s="56">
        <v>27.85</v>
      </c>
      <c r="R53" s="56">
        <v>29.5</v>
      </c>
      <c r="S53" s="56">
        <v>30.85</v>
      </c>
      <c r="T53" s="56">
        <v>29.55</v>
      </c>
      <c r="U53" s="56">
        <v>26.95</v>
      </c>
      <c r="V53" s="56">
        <v>29.35</v>
      </c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12</v>
      </c>
      <c r="AQ53" s="71" t="str">
        <f t="shared" si="1"/>
        <v/>
      </c>
      <c r="AR53" s="71">
        <f>IFERROR(VLOOKUP(A53,Climatologia_TMED!A:U,9+$E$2,FALSE),"")</f>
        <v>26.749827654625062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>
        <v>29.15</v>
      </c>
      <c r="Q54" s="56">
        <v>29.7</v>
      </c>
      <c r="R54" s="56">
        <v>31.5</v>
      </c>
      <c r="S54" s="56">
        <v>31.1</v>
      </c>
      <c r="T54" s="56">
        <v>29.45</v>
      </c>
      <c r="U54" s="56">
        <v>28.7</v>
      </c>
      <c r="V54" s="56">
        <v>30.9</v>
      </c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12</v>
      </c>
      <c r="AQ54" s="71" t="str">
        <f t="shared" si="1"/>
        <v/>
      </c>
      <c r="AR54" s="71">
        <f>IFERROR(VLOOKUP(A54,Climatologia_TMED!A:U,9+$E$2,FALSE),"")</f>
        <v>28.232848920531278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>
        <v>28.9</v>
      </c>
      <c r="R55" s="56">
        <v>31.35</v>
      </c>
      <c r="S55" s="56">
        <v>31.25</v>
      </c>
      <c r="T55" s="56">
        <v>31.1</v>
      </c>
      <c r="U55" s="56">
        <v>30.65</v>
      </c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9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>
        <v>26.1</v>
      </c>
      <c r="Q59" s="56">
        <v>28.75</v>
      </c>
      <c r="R59" s="56">
        <v>30.7</v>
      </c>
      <c r="S59" s="56">
        <v>29.9</v>
      </c>
      <c r="T59" s="56">
        <v>28.75</v>
      </c>
      <c r="U59" s="56">
        <v>29.15</v>
      </c>
      <c r="V59" s="56">
        <v>29.9</v>
      </c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12</v>
      </c>
      <c r="AQ59" s="71" t="str">
        <f t="shared" si="1"/>
        <v/>
      </c>
      <c r="AR59" s="71">
        <f>IFERROR(VLOOKUP(A59,Climatologia_TMED!A:U,9+$E$2,FALSE),"")</f>
        <v>27.588642383345931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>
        <v>26.65</v>
      </c>
      <c r="O60" s="56">
        <v>24.4</v>
      </c>
      <c r="P60" s="56">
        <v>26.35</v>
      </c>
      <c r="Q60" s="56">
        <v>26.1</v>
      </c>
      <c r="R60" s="56">
        <v>26.1</v>
      </c>
      <c r="S60" s="56"/>
      <c r="T60" s="56">
        <v>25.35</v>
      </c>
      <c r="U60" s="56">
        <v>28.25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9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>
        <v>26.7</v>
      </c>
      <c r="Q61" s="56">
        <v>27.85</v>
      </c>
      <c r="R61" s="56">
        <v>27.05</v>
      </c>
      <c r="S61" s="56">
        <v>28.35</v>
      </c>
      <c r="T61" s="56">
        <v>26.5</v>
      </c>
      <c r="U61" s="56">
        <v>27.15</v>
      </c>
      <c r="V61" s="56">
        <v>26.95</v>
      </c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12</v>
      </c>
      <c r="AQ61" s="71" t="str">
        <f t="shared" si="1"/>
        <v/>
      </c>
      <c r="AR61" s="71">
        <f>IFERROR(VLOOKUP(A61,Climatologia_TMED!A:U,9+$E$2,FALSE),"")</f>
        <v>26.632899791994539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>
        <v>26.86666666666666</v>
      </c>
      <c r="Q62" s="56">
        <v>27.93333333333333</v>
      </c>
      <c r="R62" s="56">
        <v>27.333333333333329</v>
      </c>
      <c r="S62" s="56">
        <v>26.066666666666659</v>
      </c>
      <c r="T62" s="56">
        <v>26.666666666666671</v>
      </c>
      <c r="U62" s="56">
        <v>27.266666666666669</v>
      </c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11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>
        <v>27.95</v>
      </c>
      <c r="P65" s="56">
        <v>25.5</v>
      </c>
      <c r="Q65" s="56">
        <v>25.9</v>
      </c>
      <c r="R65" s="56">
        <v>26.4</v>
      </c>
      <c r="S65" s="56">
        <v>27.1</v>
      </c>
      <c r="T65" s="56">
        <v>23.85</v>
      </c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10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>
        <v>25.6</v>
      </c>
      <c r="Q66" s="56">
        <v>25.95</v>
      </c>
      <c r="R66" s="56">
        <v>27.05</v>
      </c>
      <c r="S66" s="56">
        <v>26.35</v>
      </c>
      <c r="T66" s="56">
        <v>23.85</v>
      </c>
      <c r="U66" s="56">
        <v>26.3</v>
      </c>
      <c r="V66" s="56">
        <v>28</v>
      </c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12</v>
      </c>
      <c r="AQ66" s="71" t="str">
        <f t="shared" si="1"/>
        <v/>
      </c>
      <c r="AR66" s="71">
        <f>IFERROR(VLOOKUP(A66,Climatologia_TMED!A:U,9+$E$2,FALSE),"")</f>
        <v>26.03334788268257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>
        <v>27.65</v>
      </c>
      <c r="Q67" s="56">
        <v>27.15</v>
      </c>
      <c r="R67" s="56">
        <v>25.9</v>
      </c>
      <c r="S67" s="56">
        <v>25.375</v>
      </c>
      <c r="T67" s="56">
        <v>26.3</v>
      </c>
      <c r="U67" s="56">
        <v>27.7</v>
      </c>
      <c r="V67" s="56">
        <v>27.1</v>
      </c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12</v>
      </c>
      <c r="AQ67" s="71" t="str">
        <f t="shared" si="1"/>
        <v/>
      </c>
      <c r="AR67" s="71">
        <f>IFERROR(VLOOKUP(A67,Climatologia_TMED!A:U,9+$E$2,FALSE),"")</f>
        <v>25.972265457945628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>
        <v>25.3</v>
      </c>
      <c r="Q68" s="56">
        <v>24.9</v>
      </c>
      <c r="R68" s="56">
        <v>25.05</v>
      </c>
      <c r="S68" s="56">
        <v>25.15</v>
      </c>
      <c r="T68" s="56">
        <v>26.75</v>
      </c>
      <c r="U68" s="56">
        <v>25.5</v>
      </c>
      <c r="V68" s="56">
        <v>26.1</v>
      </c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12</v>
      </c>
      <c r="AQ68" s="71" t="str">
        <f t="shared" si="1"/>
        <v/>
      </c>
      <c r="AR68" s="71">
        <f>IFERROR(VLOOKUP(A68,Climatologia_TMED!A:U,9+$E$2,FALSE),"")</f>
        <v>25.69936023080939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>
        <v>26.5</v>
      </c>
      <c r="Q69" s="56">
        <v>24.8</v>
      </c>
      <c r="R69" s="56">
        <v>26.5</v>
      </c>
      <c r="S69" s="56">
        <v>24.95</v>
      </c>
      <c r="T69" s="56">
        <v>24.85</v>
      </c>
      <c r="U69" s="56">
        <v>26.4</v>
      </c>
      <c r="V69" s="56">
        <v>25.2</v>
      </c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12</v>
      </c>
      <c r="AQ69" s="71" t="str">
        <f t="shared" ref="AQ69:AQ132" si="4">IF(AP69&gt;14,AVERAGE(K69:AO69),"")</f>
        <v/>
      </c>
      <c r="AR69" s="71">
        <f>IFERROR(VLOOKUP(A69,Climatologia_TMED!A:U,9+$E$2,FALSE),"")</f>
        <v>25.433855658806561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>
        <v>27.86666666666666</v>
      </c>
      <c r="O70" s="56">
        <v>26.13333333333334</v>
      </c>
      <c r="P70" s="56">
        <v>27.666666666666671</v>
      </c>
      <c r="Q70" s="56">
        <v>26.533333333333331</v>
      </c>
      <c r="R70" s="56">
        <v>28.333333333333329</v>
      </c>
      <c r="S70" s="56">
        <v>25.533333333333331</v>
      </c>
      <c r="T70" s="56">
        <v>25.466666666666669</v>
      </c>
      <c r="U70" s="56">
        <v>27.8</v>
      </c>
      <c r="V70" s="56">
        <v>28.466666666666669</v>
      </c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12</v>
      </c>
      <c r="AQ70" s="71" t="str">
        <f t="shared" si="4"/>
        <v/>
      </c>
      <c r="AR70" s="71">
        <f>IFERROR(VLOOKUP(A70,Climatologia_TMED!A:U,9+$E$2,FALSE),"")</f>
        <v>26.78526553852701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>
        <v>27.4</v>
      </c>
      <c r="R71" s="56">
        <v>27.966666666666669</v>
      </c>
      <c r="S71" s="56">
        <v>27.3</v>
      </c>
      <c r="T71" s="56">
        <v>25.233333333333331</v>
      </c>
      <c r="U71" s="56">
        <v>27.033333333333331</v>
      </c>
      <c r="V71" s="56">
        <v>27.63333333333334</v>
      </c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10</v>
      </c>
      <c r="AQ71" s="71" t="str">
        <f t="shared" si="4"/>
        <v/>
      </c>
      <c r="AR71" s="71">
        <f>IFERROR(VLOOKUP(A71,Climatologia_TMED!A:U,9+$E$2,FALSE),"")</f>
        <v>26.743940917887269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>
        <v>26.233333333333331</v>
      </c>
      <c r="Q72" s="56">
        <v>26.533333333333331</v>
      </c>
      <c r="R72" s="56">
        <v>23.833333333333329</v>
      </c>
      <c r="S72" s="56">
        <v>27.166666666666671</v>
      </c>
      <c r="T72" s="56">
        <v>26.3</v>
      </c>
      <c r="U72" s="56">
        <v>25.6</v>
      </c>
      <c r="V72" s="56">
        <v>26.6</v>
      </c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12</v>
      </c>
      <c r="AQ72" s="71" t="str">
        <f t="shared" si="4"/>
        <v/>
      </c>
      <c r="AR72" s="71">
        <f>IFERROR(VLOOKUP(A72,Climatologia_TMED!A:U,9+$E$2,FALSE),"")</f>
        <v>25.67966610037471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>
        <v>26.5</v>
      </c>
      <c r="S73" s="56">
        <v>26.1</v>
      </c>
      <c r="T73" s="56">
        <v>24.3</v>
      </c>
      <c r="U73" s="56">
        <v>28.4</v>
      </c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9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>
        <v>21.9</v>
      </c>
      <c r="Q74" s="56">
        <v>22.3</v>
      </c>
      <c r="R74" s="56">
        <v>22.95</v>
      </c>
      <c r="S74" s="56">
        <v>21.3</v>
      </c>
      <c r="T74" s="56">
        <v>21.55</v>
      </c>
      <c r="U74" s="56">
        <v>22.25</v>
      </c>
      <c r="V74" s="56">
        <v>21.65</v>
      </c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12</v>
      </c>
      <c r="AQ74" s="71" t="str">
        <f t="shared" si="4"/>
        <v/>
      </c>
      <c r="AR74" s="71">
        <f>IFERROR(VLOOKUP(A74,Climatologia_TMED!A:U,9+$E$2,FALSE),"")</f>
        <v>21.0133878380074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>
        <v>15.8</v>
      </c>
      <c r="Q75" s="56">
        <v>14.53333333333333</v>
      </c>
      <c r="R75" s="56">
        <v>16.93333333333333</v>
      </c>
      <c r="S75" s="56">
        <v>17.333333333333329</v>
      </c>
      <c r="T75" s="56">
        <v>20.06666666666667</v>
      </c>
      <c r="U75" s="56">
        <v>17.666666666666671</v>
      </c>
      <c r="V75" s="56">
        <v>15</v>
      </c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12</v>
      </c>
      <c r="AQ75" s="71" t="str">
        <f t="shared" si="4"/>
        <v/>
      </c>
      <c r="AR75" s="71">
        <f>IFERROR(VLOOKUP(A75,Climatologia_TMED!A:U,9+$E$2,FALSE),"")</f>
        <v>15.701877672565811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>
        <v>20.350000000000001</v>
      </c>
      <c r="Q76" s="56">
        <v>21.9</v>
      </c>
      <c r="R76" s="56">
        <v>23.5</v>
      </c>
      <c r="S76" s="56">
        <v>22.15</v>
      </c>
      <c r="T76" s="56">
        <v>20.7</v>
      </c>
      <c r="U76" s="56">
        <v>20.9</v>
      </c>
      <c r="V76" s="56">
        <v>20.65</v>
      </c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12</v>
      </c>
      <c r="AQ76" s="71" t="str">
        <f t="shared" si="4"/>
        <v/>
      </c>
      <c r="AR76" s="71">
        <f>IFERROR(VLOOKUP(A76,Climatologia_TMED!A:U,9+$E$2,FALSE),"")</f>
        <v>20.329282890428001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>
        <v>25.6</v>
      </c>
      <c r="Q77" s="56">
        <v>25</v>
      </c>
      <c r="R77" s="56">
        <v>25.266666666666669</v>
      </c>
      <c r="S77" s="56">
        <v>25.466666666666669</v>
      </c>
      <c r="T77" s="56">
        <v>25.4</v>
      </c>
      <c r="U77" s="56">
        <v>24.2</v>
      </c>
      <c r="V77" s="56">
        <v>25.666666666666671</v>
      </c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12</v>
      </c>
      <c r="AQ77" s="71" t="str">
        <f t="shared" si="4"/>
        <v/>
      </c>
      <c r="AR77" s="71">
        <f>IFERROR(VLOOKUP(A77,Climatologia_TMED!A:U,9+$E$2,FALSE),"")</f>
        <v>23.181190288660531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>
        <v>33.65</v>
      </c>
      <c r="Q78" s="56"/>
      <c r="R78" s="56">
        <v>33.900000000000013</v>
      </c>
      <c r="S78" s="56">
        <v>32.700000000000003</v>
      </c>
      <c r="T78" s="56">
        <v>34.049999999999997</v>
      </c>
      <c r="U78" s="56">
        <v>33.200000000000003</v>
      </c>
      <c r="V78" s="56">
        <v>33.4</v>
      </c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11</v>
      </c>
      <c r="AQ78" s="71" t="str">
        <f t="shared" si="4"/>
        <v/>
      </c>
      <c r="AR78" s="71">
        <f>IFERROR(VLOOKUP(A78,Climatologia_TMED!A:U,9+$E$2,FALSE),"")</f>
        <v>29.972578572390191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>
        <v>33.700000000000003</v>
      </c>
      <c r="Q79" s="56">
        <v>32.466666666666669</v>
      </c>
      <c r="R79" s="56">
        <v>33.6</v>
      </c>
      <c r="S79" s="56">
        <v>33.666666666666657</v>
      </c>
      <c r="T79" s="56">
        <v>33</v>
      </c>
      <c r="U79" s="56">
        <v>32.6</v>
      </c>
      <c r="V79" s="56">
        <v>32.799999999999997</v>
      </c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12</v>
      </c>
      <c r="AQ79" s="71" t="str">
        <f t="shared" si="4"/>
        <v/>
      </c>
      <c r="AR79" s="71">
        <f>IFERROR(VLOOKUP(A79,Climatologia_TMED!A:U,9+$E$2,FALSE),"")</f>
        <v>30.131825001485431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>
        <v>22.266666666666669</v>
      </c>
      <c r="Q80" s="56">
        <v>20.533333333333331</v>
      </c>
      <c r="R80" s="56">
        <v>22.06666666666667</v>
      </c>
      <c r="S80" s="56">
        <v>22.533333333333331</v>
      </c>
      <c r="T80" s="56">
        <v>22.266666666666669</v>
      </c>
      <c r="U80" s="56">
        <v>21.733333333333331</v>
      </c>
      <c r="V80" s="56">
        <v>22.4</v>
      </c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12</v>
      </c>
      <c r="AQ80" s="71" t="str">
        <f t="shared" si="4"/>
        <v/>
      </c>
      <c r="AR80" s="71">
        <f>IFERROR(VLOOKUP(A80,Climatologia_TMED!A:U,9+$E$2,FALSE),"")</f>
        <v>20.400266345908459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>
        <v>26.35</v>
      </c>
      <c r="Q81" s="56">
        <v>26.05</v>
      </c>
      <c r="R81" s="56">
        <v>25.5</v>
      </c>
      <c r="S81" s="56">
        <v>24.4</v>
      </c>
      <c r="T81" s="56">
        <v>26.1</v>
      </c>
      <c r="U81" s="56">
        <v>25.85</v>
      </c>
      <c r="V81" s="56">
        <v>25.65</v>
      </c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12</v>
      </c>
      <c r="AQ81" s="71" t="str">
        <f t="shared" si="4"/>
        <v/>
      </c>
      <c r="AR81" s="71">
        <f>IFERROR(VLOOKUP(A81,Climatologia_TMED!A:U,9+$E$2,FALSE),"")</f>
        <v>25.577833762927309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>
        <v>28.06666666666667</v>
      </c>
      <c r="Q82" s="56"/>
      <c r="R82" s="56">
        <v>27.333333333333329</v>
      </c>
      <c r="S82" s="56">
        <v>27.066666666666659</v>
      </c>
      <c r="T82" s="56">
        <v>27.266666666666669</v>
      </c>
      <c r="U82" s="56">
        <v>26.533333333333331</v>
      </c>
      <c r="V82" s="56">
        <v>27.666666666666671</v>
      </c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11</v>
      </c>
      <c r="AQ82" s="71" t="str">
        <f t="shared" si="4"/>
        <v/>
      </c>
      <c r="AR82" s="71">
        <f>IFERROR(VLOOKUP(A82,Climatologia_TMED!A:U,9+$E$2,FALSE),"")</f>
        <v>26.422429947394001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>
        <v>33.400000000000013</v>
      </c>
      <c r="Q85" s="56">
        <v>32.1</v>
      </c>
      <c r="R85" s="56">
        <v>32.733333333333327</v>
      </c>
      <c r="S85" s="56">
        <v>32.1</v>
      </c>
      <c r="T85" s="56">
        <v>33.049999999999997</v>
      </c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10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>
        <v>30.85</v>
      </c>
      <c r="Q86" s="56">
        <v>30.35</v>
      </c>
      <c r="R86" s="56">
        <v>29.9</v>
      </c>
      <c r="S86" s="56">
        <v>30.35</v>
      </c>
      <c r="T86" s="56">
        <v>30.7</v>
      </c>
      <c r="U86" s="56">
        <v>30.45</v>
      </c>
      <c r="V86" s="56">
        <v>30.6</v>
      </c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12</v>
      </c>
      <c r="AQ86" s="71" t="str">
        <f t="shared" si="4"/>
        <v/>
      </c>
      <c r="AR86" s="71">
        <f>IFERROR(VLOOKUP(A86,Climatologia_TMED!A:U,9+$E$2,FALSE),"")</f>
        <v>28.266494092446621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>
        <v>30.15</v>
      </c>
      <c r="Q87" s="56">
        <v>29.15</v>
      </c>
      <c r="R87" s="56">
        <v>32</v>
      </c>
      <c r="S87" s="56">
        <v>32.75</v>
      </c>
      <c r="T87" s="56">
        <v>31.75</v>
      </c>
      <c r="U87" s="56">
        <v>30.6</v>
      </c>
      <c r="V87" s="56">
        <v>31.6</v>
      </c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12</v>
      </c>
      <c r="AQ87" s="71" t="str">
        <f t="shared" si="4"/>
        <v/>
      </c>
      <c r="AR87" s="71">
        <f>IFERROR(VLOOKUP(A87,Climatologia_TMED!A:U,9+$E$2,FALSE),"")</f>
        <v>28.46747541407867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>
        <v>30.65</v>
      </c>
      <c r="P88" s="56">
        <v>27.8</v>
      </c>
      <c r="Q88" s="56">
        <v>30.3</v>
      </c>
      <c r="R88" s="56">
        <v>31.75</v>
      </c>
      <c r="S88" s="56">
        <v>32</v>
      </c>
      <c r="T88" s="56">
        <v>30.2</v>
      </c>
      <c r="U88" s="56">
        <v>29.8</v>
      </c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11</v>
      </c>
      <c r="AQ88" s="71" t="str">
        <f t="shared" si="4"/>
        <v/>
      </c>
      <c r="AR88" s="71">
        <f>IFERROR(VLOOKUP(A88,Climatologia_TMED!A:U,9+$E$2,FALSE),"")</f>
        <v>27.487126327474471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>
        <v>28.7</v>
      </c>
      <c r="Q89" s="56">
        <v>29.4</v>
      </c>
      <c r="R89" s="56">
        <v>32.75</v>
      </c>
      <c r="S89" s="56">
        <v>34.549999999999997</v>
      </c>
      <c r="T89" s="56">
        <v>32.35</v>
      </c>
      <c r="U89" s="56"/>
      <c r="V89" s="56">
        <v>33.099999999999987</v>
      </c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10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>
        <v>31.9</v>
      </c>
      <c r="Q90" s="56">
        <v>29.8</v>
      </c>
      <c r="R90" s="56">
        <v>32.9</v>
      </c>
      <c r="S90" s="56">
        <v>33.950000000000003</v>
      </c>
      <c r="T90" s="56">
        <v>32.15</v>
      </c>
      <c r="U90" s="56">
        <v>32.5</v>
      </c>
      <c r="V90" s="56">
        <v>32.5</v>
      </c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12</v>
      </c>
      <c r="AQ90" s="71" t="str">
        <f t="shared" si="4"/>
        <v/>
      </c>
      <c r="AR90" s="71">
        <f>IFERROR(VLOOKUP(A90,Climatologia_TMED!A:U,9+$E$2,FALSE),"")</f>
        <v>27.68573940212433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>
        <v>30.25</v>
      </c>
      <c r="N91" s="56"/>
      <c r="O91" s="56">
        <v>31.45</v>
      </c>
      <c r="P91" s="56">
        <v>32.099999999999987</v>
      </c>
      <c r="Q91" s="56">
        <v>31.05</v>
      </c>
      <c r="R91" s="56">
        <v>32.650000000000013</v>
      </c>
      <c r="S91" s="56">
        <v>34</v>
      </c>
      <c r="T91" s="56">
        <v>33.1</v>
      </c>
      <c r="U91" s="56">
        <v>31.05</v>
      </c>
      <c r="V91" s="56">
        <v>34.299999999999997</v>
      </c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9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>
        <v>19.3</v>
      </c>
      <c r="Q92" s="56">
        <v>18.024999999999999</v>
      </c>
      <c r="R92" s="56">
        <v>19.75</v>
      </c>
      <c r="S92" s="56">
        <v>19.100000000000001</v>
      </c>
      <c r="T92" s="56">
        <v>19.149999999999999</v>
      </c>
      <c r="U92" s="56">
        <v>18.55</v>
      </c>
      <c r="V92" s="56">
        <v>17.899999999999999</v>
      </c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12</v>
      </c>
      <c r="AQ92" s="71" t="str">
        <f t="shared" si="4"/>
        <v/>
      </c>
      <c r="AR92" s="71">
        <f>IFERROR(VLOOKUP(A92,Climatologia_TMED!A:U,9+$E$2,FALSE),"")</f>
        <v>16.238137566137532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>
        <v>25.06666666666667</v>
      </c>
      <c r="Q93" s="56">
        <v>23.333333333333329</v>
      </c>
      <c r="R93" s="56">
        <v>24.466666666666669</v>
      </c>
      <c r="S93" s="56">
        <v>25.266666666666669</v>
      </c>
      <c r="T93" s="56">
        <v>25.466666666666669</v>
      </c>
      <c r="U93" s="56">
        <v>25.86666666666666</v>
      </c>
      <c r="V93" s="56">
        <v>25.733333333333331</v>
      </c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12</v>
      </c>
      <c r="AQ93" s="71" t="str">
        <f t="shared" si="4"/>
        <v/>
      </c>
      <c r="AR93" s="71">
        <f>IFERROR(VLOOKUP(A93,Climatologia_TMED!A:U,9+$E$2,FALSE),"")</f>
        <v>22.28312267806265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>
        <v>17.8</v>
      </c>
      <c r="R94" s="56">
        <v>18</v>
      </c>
      <c r="S94" s="56">
        <v>17.75</v>
      </c>
      <c r="T94" s="56">
        <v>17.100000000000001</v>
      </c>
      <c r="U94" s="56">
        <v>18.45</v>
      </c>
      <c r="V94" s="56">
        <v>17.3</v>
      </c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9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14.45</v>
      </c>
      <c r="P95" s="56">
        <v>14.15</v>
      </c>
      <c r="Q95" s="56">
        <v>13.8</v>
      </c>
      <c r="R95" s="56">
        <v>14.75</v>
      </c>
      <c r="S95" s="56">
        <v>15.65</v>
      </c>
      <c r="T95" s="56">
        <v>14.55</v>
      </c>
      <c r="U95" s="56">
        <v>14.6</v>
      </c>
      <c r="V95" s="56">
        <v>16.2</v>
      </c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12</v>
      </c>
      <c r="AQ95" s="71" t="str">
        <f t="shared" si="4"/>
        <v/>
      </c>
      <c r="AR95" s="71">
        <f>IFERROR(VLOOKUP(A95,Climatologia_TMED!A:U,9+$E$2,FALSE),"")</f>
        <v>13.88572613872102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>
        <v>14.93333333333333</v>
      </c>
      <c r="Q97" s="56">
        <v>16.733333333333331</v>
      </c>
      <c r="R97" s="56">
        <v>17.333333333333329</v>
      </c>
      <c r="S97" s="56">
        <v>18.333333333333329</v>
      </c>
      <c r="T97" s="56">
        <v>16.600000000000001</v>
      </c>
      <c r="U97" s="56">
        <v>16.666666666666661</v>
      </c>
      <c r="V97" s="56">
        <v>15.93333333333333</v>
      </c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12</v>
      </c>
      <c r="AQ97" s="71" t="str">
        <f t="shared" si="4"/>
        <v/>
      </c>
      <c r="AR97" s="71">
        <f>IFERROR(VLOOKUP(A97,Climatologia_TMED!A:U,9+$E$2,FALSE),"")</f>
        <v>14.31904513099447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>
        <v>12.2</v>
      </c>
      <c r="Q98" s="56">
        <v>12.1</v>
      </c>
      <c r="R98" s="56">
        <v>13.2</v>
      </c>
      <c r="S98" s="56">
        <v>14.35</v>
      </c>
      <c r="T98" s="56">
        <v>14.2</v>
      </c>
      <c r="U98" s="56">
        <v>13.8</v>
      </c>
      <c r="V98" s="56">
        <v>13.2</v>
      </c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12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>
        <v>14.66666666666667</v>
      </c>
      <c r="Q99" s="56">
        <v>13.6</v>
      </c>
      <c r="R99" s="56">
        <v>15.56666666666667</v>
      </c>
      <c r="S99" s="56">
        <v>16.233333333333331</v>
      </c>
      <c r="T99" s="56">
        <v>15.66666666666667</v>
      </c>
      <c r="U99" s="56">
        <v>14.8</v>
      </c>
      <c r="V99" s="56">
        <v>16.3</v>
      </c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12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>
        <v>15.6</v>
      </c>
      <c r="Q100" s="56">
        <v>15.33333333333333</v>
      </c>
      <c r="R100" s="56">
        <v>15</v>
      </c>
      <c r="S100" s="56">
        <v>17.666666666666671</v>
      </c>
      <c r="T100" s="56">
        <v>17.466666666666669</v>
      </c>
      <c r="U100" s="56">
        <v>16.600000000000001</v>
      </c>
      <c r="V100" s="56">
        <v>16.533333333333331</v>
      </c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12</v>
      </c>
      <c r="AQ100" s="71" t="str">
        <f t="shared" si="4"/>
        <v/>
      </c>
      <c r="AR100" s="71">
        <f>IFERROR(VLOOKUP(A100,Climatologia_TMED!A:U,9+$E$2,FALSE),"")</f>
        <v>14.483315594307189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>
        <v>13.2</v>
      </c>
      <c r="Q101" s="56">
        <v>12.95</v>
      </c>
      <c r="R101" s="56">
        <v>13.6</v>
      </c>
      <c r="S101" s="56">
        <v>14.45</v>
      </c>
      <c r="T101" s="56">
        <v>14.25</v>
      </c>
      <c r="U101" s="56">
        <v>14.05</v>
      </c>
      <c r="V101" s="56">
        <v>15.6</v>
      </c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12</v>
      </c>
      <c r="AQ101" s="71" t="str">
        <f t="shared" si="4"/>
        <v/>
      </c>
      <c r="AR101" s="71">
        <f>IFERROR(VLOOKUP(A101,Climatologia_TMED!A:U,9+$E$2,FALSE),"")</f>
        <v>12.81914533693047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>
        <v>13.33333333333333</v>
      </c>
      <c r="S102" s="56">
        <v>13.46666666666667</v>
      </c>
      <c r="T102" s="56">
        <v>13.2</v>
      </c>
      <c r="U102" s="56">
        <v>13.866666666666671</v>
      </c>
      <c r="V102" s="56">
        <v>15.2</v>
      </c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6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>
        <v>19.133333333333329</v>
      </c>
      <c r="Q105" s="56">
        <v>20.06666666666667</v>
      </c>
      <c r="R105" s="56">
        <v>19.399999999999999</v>
      </c>
      <c r="S105" s="56">
        <v>20.93333333333333</v>
      </c>
      <c r="T105" s="56">
        <v>19.600000000000001</v>
      </c>
      <c r="U105" s="56">
        <v>18.666666666666671</v>
      </c>
      <c r="V105" s="56">
        <v>19.2</v>
      </c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12</v>
      </c>
      <c r="AQ105" s="71" t="str">
        <f t="shared" si="4"/>
        <v/>
      </c>
      <c r="AR105" s="71">
        <f>IFERROR(VLOOKUP(A105,Climatologia_TMED!A:U,9+$E$2,FALSE),"")</f>
        <v>17.31151636275251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>
        <v>14.1</v>
      </c>
      <c r="Q108" s="56">
        <v>13.2</v>
      </c>
      <c r="R108" s="56">
        <v>14.9</v>
      </c>
      <c r="S108" s="56">
        <v>14</v>
      </c>
      <c r="T108" s="56">
        <v>15.2</v>
      </c>
      <c r="U108" s="56">
        <v>13.75</v>
      </c>
      <c r="V108" s="56">
        <v>13.85</v>
      </c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12</v>
      </c>
      <c r="AQ108" s="71" t="str">
        <f t="shared" si="4"/>
        <v/>
      </c>
      <c r="AR108" s="71">
        <f>IFERROR(VLOOKUP(A108,Climatologia_TMED!A:U,9+$E$2,FALSE),"")</f>
        <v>14.328268637690741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>
        <v>14.35</v>
      </c>
      <c r="Q109" s="56">
        <v>14.15</v>
      </c>
      <c r="R109" s="56">
        <v>13.85</v>
      </c>
      <c r="S109" s="56">
        <v>15.8</v>
      </c>
      <c r="T109" s="56">
        <v>14.45</v>
      </c>
      <c r="U109" s="56">
        <v>15.2</v>
      </c>
      <c r="V109" s="56">
        <v>15.85</v>
      </c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12</v>
      </c>
      <c r="AQ109" s="71" t="str">
        <f t="shared" si="4"/>
        <v/>
      </c>
      <c r="AR109" s="71">
        <f>IFERROR(VLOOKUP(A109,Climatologia_TMED!A:U,9+$E$2,FALSE),"")</f>
        <v>14.084508876117489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>
        <v>17.06666666666667</v>
      </c>
      <c r="S110" s="56">
        <v>18</v>
      </c>
      <c r="T110" s="56">
        <v>17.13333333333334</v>
      </c>
      <c r="U110" s="56">
        <v>18.133333333333329</v>
      </c>
      <c r="V110" s="56">
        <v>18.600000000000001</v>
      </c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9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>
        <v>15.133333333333329</v>
      </c>
      <c r="Q111" s="56">
        <v>15.133333333333329</v>
      </c>
      <c r="R111" s="56">
        <v>14.8</v>
      </c>
      <c r="S111" s="56">
        <v>17</v>
      </c>
      <c r="T111" s="56">
        <v>15.66666666666667</v>
      </c>
      <c r="U111" s="56">
        <v>16.266666666666669</v>
      </c>
      <c r="V111" s="56">
        <v>17.733333333333331</v>
      </c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12</v>
      </c>
      <c r="AQ111" s="71" t="str">
        <f t="shared" si="4"/>
        <v/>
      </c>
      <c r="AR111" s="71">
        <f>IFERROR(VLOOKUP(A111,Climatologia_TMED!A:U,9+$E$2,FALSE),"")</f>
        <v>15.803133701388001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>
        <v>18.666666666666671</v>
      </c>
      <c r="Q112" s="56">
        <v>18.8</v>
      </c>
      <c r="R112" s="56">
        <v>17</v>
      </c>
      <c r="S112" s="56">
        <v>18.466666666666669</v>
      </c>
      <c r="T112" s="56">
        <v>17.733333333333331</v>
      </c>
      <c r="U112" s="56">
        <v>18.533333333333331</v>
      </c>
      <c r="V112" s="56">
        <v>18.600000000000001</v>
      </c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12</v>
      </c>
      <c r="AQ112" s="71" t="str">
        <f t="shared" si="4"/>
        <v/>
      </c>
      <c r="AR112" s="71">
        <f>IFERROR(VLOOKUP(A112,Climatologia_TMED!A:U,9+$E$2,FALSE),"")</f>
        <v>17.236627506814891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>
        <v>19</v>
      </c>
      <c r="Q113" s="56">
        <v>20</v>
      </c>
      <c r="R113" s="56">
        <v>19.666666666666671</v>
      </c>
      <c r="S113" s="56"/>
      <c r="T113" s="56">
        <v>18.399999999999999</v>
      </c>
      <c r="U113" s="56">
        <v>19.8</v>
      </c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8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>
        <v>22.333333333333329</v>
      </c>
      <c r="R114" s="56">
        <v>21.8</v>
      </c>
      <c r="S114" s="56">
        <v>22.533333333333331</v>
      </c>
      <c r="T114" s="56">
        <v>21.333333333333329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7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>
        <v>26.9</v>
      </c>
      <c r="Q115" s="56">
        <v>27.95</v>
      </c>
      <c r="R115" s="56">
        <v>27.85</v>
      </c>
      <c r="S115" s="56">
        <v>27.1</v>
      </c>
      <c r="T115" s="56">
        <v>26.15</v>
      </c>
      <c r="U115" s="56">
        <v>27.2</v>
      </c>
      <c r="V115" s="56">
        <v>28.85</v>
      </c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12</v>
      </c>
      <c r="AQ115" s="71" t="str">
        <f t="shared" si="4"/>
        <v/>
      </c>
      <c r="AR115" s="71">
        <f>IFERROR(VLOOKUP(A115,Climatologia_TMED!A:U,9+$E$2,FALSE),"")</f>
        <v>27.435459278907519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>
        <v>19.466666666666669</v>
      </c>
      <c r="Q116" s="56">
        <v>19.93333333333333</v>
      </c>
      <c r="R116" s="56">
        <v>19.466666666666669</v>
      </c>
      <c r="S116" s="56">
        <v>18.93333333333333</v>
      </c>
      <c r="T116" s="56">
        <v>19.2</v>
      </c>
      <c r="U116" s="56">
        <v>19.93333333333333</v>
      </c>
      <c r="V116" s="56">
        <v>20</v>
      </c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12</v>
      </c>
      <c r="AQ116" s="71" t="str">
        <f t="shared" si="4"/>
        <v/>
      </c>
      <c r="AR116" s="71">
        <f>IFERROR(VLOOKUP(A116,Climatologia_TMED!A:U,9+$E$2,FALSE),"")</f>
        <v>18.998379875318051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>
        <v>26.266666666666669</v>
      </c>
      <c r="Q117" s="56">
        <v>27.86666666666666</v>
      </c>
      <c r="R117" s="56">
        <v>27.266666666666669</v>
      </c>
      <c r="S117" s="56">
        <v>27</v>
      </c>
      <c r="T117" s="56">
        <v>25.6</v>
      </c>
      <c r="U117" s="56">
        <v>27.2</v>
      </c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11</v>
      </c>
      <c r="AQ117" s="71" t="str">
        <f t="shared" si="4"/>
        <v/>
      </c>
      <c r="AR117" s="71">
        <f>IFERROR(VLOOKUP(A117,Climatologia_TMED!A:U,9+$E$2,FALSE),"")</f>
        <v>26.39198997936926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>
        <v>29</v>
      </c>
      <c r="Q118" s="56">
        <v>29.733333333333331</v>
      </c>
      <c r="R118" s="56">
        <v>29.466666666666669</v>
      </c>
      <c r="S118" s="56">
        <v>30.8</v>
      </c>
      <c r="T118" s="56">
        <v>29.4</v>
      </c>
      <c r="U118" s="56">
        <v>29.266666666666669</v>
      </c>
      <c r="V118" s="56">
        <v>29.4</v>
      </c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7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>
        <v>23.733333333333331</v>
      </c>
      <c r="Q119" s="56">
        <v>23.733333333333331</v>
      </c>
      <c r="R119" s="56">
        <v>23.4</v>
      </c>
      <c r="S119" s="56">
        <v>23.6</v>
      </c>
      <c r="T119" s="56"/>
      <c r="U119" s="56"/>
      <c r="V119" s="56">
        <v>24.066666666666659</v>
      </c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10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>
        <v>28.06666666666667</v>
      </c>
      <c r="S120" s="56">
        <v>28.266666666666669</v>
      </c>
      <c r="T120" s="56">
        <v>27.13333333333334</v>
      </c>
      <c r="U120" s="56">
        <v>27.8</v>
      </c>
      <c r="V120" s="56">
        <v>28.266666666666669</v>
      </c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7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>
        <v>12.06666666666667</v>
      </c>
      <c r="Q122" s="56">
        <v>11.066666666666659</v>
      </c>
      <c r="R122" s="56">
        <v>13</v>
      </c>
      <c r="S122" s="56">
        <v>13.066666666666659</v>
      </c>
      <c r="T122" s="56">
        <v>14.266666666666669</v>
      </c>
      <c r="U122" s="56">
        <v>12.93333333333333</v>
      </c>
      <c r="V122" s="56">
        <v>13</v>
      </c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12</v>
      </c>
      <c r="AQ122" s="71" t="str">
        <f t="shared" si="4"/>
        <v/>
      </c>
      <c r="AR122" s="71">
        <f>IFERROR(VLOOKUP(A122,Climatologia_TMED!A:U,9+$E$2,FALSE),"")</f>
        <v>10.480613155511239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>
        <v>16.666666666666671</v>
      </c>
      <c r="Q124" s="56">
        <v>16.466666666666669</v>
      </c>
      <c r="R124" s="56">
        <v>16.733333333333331</v>
      </c>
      <c r="S124" s="56">
        <v>17.533333333333331</v>
      </c>
      <c r="T124" s="56">
        <v>17.733333333333331</v>
      </c>
      <c r="U124" s="56">
        <v>16.399999999999999</v>
      </c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11</v>
      </c>
      <c r="AQ124" s="71" t="str">
        <f t="shared" si="4"/>
        <v/>
      </c>
      <c r="AR124" s="71">
        <f>IFERROR(VLOOKUP(A124,Climatologia_TMED!A:U,9+$E$2,FALSE),"")</f>
        <v>15.581381177062839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>
        <v>11.33333333333333</v>
      </c>
      <c r="Q126" s="56"/>
      <c r="R126" s="56">
        <v>10.633333333333329</v>
      </c>
      <c r="S126" s="56">
        <v>11.93333333333333</v>
      </c>
      <c r="T126" s="56">
        <v>13</v>
      </c>
      <c r="U126" s="56">
        <v>12.733333333333331</v>
      </c>
      <c r="V126" s="56">
        <v>11.733333333333331</v>
      </c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10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>
        <v>14.9</v>
      </c>
      <c r="Q130" s="56">
        <v>15.733333333333331</v>
      </c>
      <c r="R130" s="56">
        <v>15.866666666666671</v>
      </c>
      <c r="S130" s="56">
        <v>17.733333333333331</v>
      </c>
      <c r="T130" s="56">
        <v>16.8</v>
      </c>
      <c r="U130" s="56">
        <v>16.033333333333331</v>
      </c>
      <c r="V130" s="56">
        <v>15.633333333333329</v>
      </c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12</v>
      </c>
      <c r="AQ130" s="71" t="str">
        <f t="shared" si="4"/>
        <v/>
      </c>
      <c r="AR130" s="71">
        <f>IFERROR(VLOOKUP(A130,Climatologia_TMED!A:U,9+$E$2,FALSE),"")</f>
        <v>14.40976256368152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>
        <v>18.25</v>
      </c>
      <c r="Q131" s="56">
        <v>18.100000000000001</v>
      </c>
      <c r="R131" s="56">
        <v>18.649999999999999</v>
      </c>
      <c r="S131" s="56">
        <v>18.55</v>
      </c>
      <c r="T131" s="56">
        <v>19</v>
      </c>
      <c r="U131" s="56">
        <v>19.2</v>
      </c>
      <c r="V131" s="56">
        <v>19.350000000000001</v>
      </c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12</v>
      </c>
      <c r="AQ131" s="71" t="str">
        <f t="shared" si="4"/>
        <v/>
      </c>
      <c r="AR131" s="71">
        <f>IFERROR(VLOOKUP(A131,Climatologia_TMED!A:U,9+$E$2,FALSE),"")</f>
        <v>17.160277508071349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>
        <v>12.733333333333331</v>
      </c>
      <c r="Q133" s="56">
        <v>13.4</v>
      </c>
      <c r="R133" s="56">
        <v>13.633333333333329</v>
      </c>
      <c r="S133" s="56">
        <v>13.16666666666667</v>
      </c>
      <c r="T133" s="56">
        <v>14.53333333333333</v>
      </c>
      <c r="U133" s="56">
        <v>14.2</v>
      </c>
      <c r="V133" s="56">
        <v>14.43333333333333</v>
      </c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12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13.069584214343539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>
        <v>18.2</v>
      </c>
      <c r="Q134" s="56">
        <v>17.133333333333329</v>
      </c>
      <c r="R134" s="56">
        <v>18.2</v>
      </c>
      <c r="S134" s="56">
        <v>19.666666666666671</v>
      </c>
      <c r="T134" s="56">
        <v>18.466666666666669</v>
      </c>
      <c r="U134" s="56">
        <v>18.533333333333331</v>
      </c>
      <c r="V134" s="56">
        <v>17.8</v>
      </c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12</v>
      </c>
      <c r="AQ134" s="71" t="str">
        <f t="shared" si="7"/>
        <v/>
      </c>
      <c r="AR134" s="71">
        <f>IFERROR(VLOOKUP(A134,Climatologia_TMED!A:U,9+$E$2,FALSE),"")</f>
        <v>16.153236104678619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>
        <v>21.9</v>
      </c>
      <c r="Q135" s="56">
        <v>20.7</v>
      </c>
      <c r="R135" s="56">
        <v>22.25</v>
      </c>
      <c r="S135" s="56">
        <v>22.6</v>
      </c>
      <c r="T135" s="56">
        <v>20.2</v>
      </c>
      <c r="U135" s="56">
        <v>19.100000000000001</v>
      </c>
      <c r="V135" s="56">
        <v>22.05</v>
      </c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12</v>
      </c>
      <c r="AQ135" s="71" t="str">
        <f t="shared" si="7"/>
        <v/>
      </c>
      <c r="AR135" s="71">
        <f>IFERROR(VLOOKUP(A135,Climatologia_TMED!A:U,9+$E$2,FALSE),"")</f>
        <v>18.508045822497071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>
        <v>10.733333333333331</v>
      </c>
      <c r="Q136" s="56">
        <v>11.133333333333329</v>
      </c>
      <c r="R136" s="56">
        <v>11.06666666666667</v>
      </c>
      <c r="S136" s="56">
        <v>11.33333333333333</v>
      </c>
      <c r="T136" s="56">
        <v>11.6</v>
      </c>
      <c r="U136" s="56">
        <v>11.6</v>
      </c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11</v>
      </c>
      <c r="AQ136" s="71" t="str">
        <f t="shared" si="7"/>
        <v/>
      </c>
      <c r="AR136" s="71">
        <f>IFERROR(VLOOKUP(A136,Climatologia_TMED!A:U,9+$E$2,FALSE),"")</f>
        <v>11.35006818181817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>
        <v>23.86666666666666</v>
      </c>
      <c r="Q138" s="56">
        <v>21.733333333333331</v>
      </c>
      <c r="R138" s="56">
        <v>23.533333333333331</v>
      </c>
      <c r="S138" s="56">
        <v>23.733333333333331</v>
      </c>
      <c r="T138" s="56">
        <v>23.466666666666669</v>
      </c>
      <c r="U138" s="56">
        <v>22.93333333333333</v>
      </c>
      <c r="V138" s="56">
        <v>24.86666666666666</v>
      </c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12</v>
      </c>
      <c r="AQ138" s="71" t="str">
        <f t="shared" si="7"/>
        <v/>
      </c>
      <c r="AR138" s="71">
        <f>IFERROR(VLOOKUP(A138,Climatologia_TMED!A:U,9+$E$2,FALSE),"")</f>
        <v>20.212549364462841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>
        <v>13.025</v>
      </c>
      <c r="R139" s="56">
        <v>13.975</v>
      </c>
      <c r="S139" s="56">
        <v>14</v>
      </c>
      <c r="T139" s="56">
        <v>14.85</v>
      </c>
      <c r="U139" s="56">
        <v>15.4</v>
      </c>
      <c r="V139" s="56">
        <v>15.324999999999999</v>
      </c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9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>
        <v>15.75</v>
      </c>
      <c r="Q140" s="56">
        <v>15.75</v>
      </c>
      <c r="R140" s="56">
        <v>17.899999999999999</v>
      </c>
      <c r="S140" s="56">
        <v>16.55</v>
      </c>
      <c r="T140" s="56">
        <v>16.05</v>
      </c>
      <c r="U140" s="56">
        <v>15.95</v>
      </c>
      <c r="V140" s="56">
        <v>17.3</v>
      </c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12</v>
      </c>
      <c r="AQ140" s="71" t="str">
        <f t="shared" si="7"/>
        <v/>
      </c>
      <c r="AR140" s="71">
        <f>IFERROR(VLOOKUP(A140,Climatologia_TMED!A:U,9+$E$2,FALSE),"")</f>
        <v>15.86800396825396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>
        <v>11.866666666666671</v>
      </c>
      <c r="Q141" s="56">
        <v>12.4</v>
      </c>
      <c r="R141" s="56">
        <v>13.2</v>
      </c>
      <c r="S141" s="56">
        <v>13.53333333333333</v>
      </c>
      <c r="T141" s="56">
        <v>14.733333333333331</v>
      </c>
      <c r="U141" s="56">
        <v>13.46666666666667</v>
      </c>
      <c r="V141" s="56">
        <v>14.6</v>
      </c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12</v>
      </c>
      <c r="AQ141" s="71" t="str">
        <f t="shared" si="7"/>
        <v/>
      </c>
      <c r="AR141" s="71">
        <f>IFERROR(VLOOKUP(A141,Climatologia_TMED!A:U,9+$E$2,FALSE),"")</f>
        <v>12.41555836002585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>
        <v>10.5</v>
      </c>
      <c r="Q142" s="56">
        <v>10.1</v>
      </c>
      <c r="R142" s="56">
        <v>11.25</v>
      </c>
      <c r="S142" s="56">
        <v>12</v>
      </c>
      <c r="T142" s="56">
        <v>11.55</v>
      </c>
      <c r="U142" s="56">
        <v>12.1</v>
      </c>
      <c r="V142" s="56">
        <v>11.75</v>
      </c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12</v>
      </c>
      <c r="AQ142" s="71" t="str">
        <f t="shared" si="7"/>
        <v/>
      </c>
      <c r="AR142" s="71">
        <f>IFERROR(VLOOKUP(A142,Climatologia_TMED!A:U,9+$E$2,FALSE),"")</f>
        <v>10.878836012622729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>
        <v>27</v>
      </c>
      <c r="Q143" s="56">
        <v>27.13333333333334</v>
      </c>
      <c r="R143" s="56">
        <v>27.533333333333331</v>
      </c>
      <c r="S143" s="56">
        <v>28.666666666666671</v>
      </c>
      <c r="T143" s="56">
        <v>28.333333333333329</v>
      </c>
      <c r="U143" s="56">
        <v>26.8</v>
      </c>
      <c r="V143" s="56">
        <v>28.466666666666669</v>
      </c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12</v>
      </c>
      <c r="AQ143" s="71" t="str">
        <f t="shared" si="7"/>
        <v/>
      </c>
      <c r="AR143" s="71">
        <f>IFERROR(VLOOKUP(A143,Climatologia_TMED!A:U,9+$E$2,FALSE),"")</f>
        <v>25.845127155172399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>
        <v>15.733333333333331</v>
      </c>
      <c r="P144" s="56">
        <v>15.33333333333333</v>
      </c>
      <c r="Q144" s="56">
        <v>15.6</v>
      </c>
      <c r="R144" s="56">
        <v>14.33333333333333</v>
      </c>
      <c r="S144" s="56">
        <v>16.266666666666669</v>
      </c>
      <c r="T144" s="56">
        <v>15.53333333333333</v>
      </c>
      <c r="U144" s="56">
        <v>15.93333333333333</v>
      </c>
      <c r="V144" s="56">
        <v>16.533333333333331</v>
      </c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12</v>
      </c>
      <c r="AQ144" s="71" t="str">
        <f t="shared" si="7"/>
        <v/>
      </c>
      <c r="AR144" s="71">
        <f>IFERROR(VLOOKUP(A144,Climatologia_TMED!A:U,9+$E$2,FALSE),"")</f>
        <v>16.049799344705932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>
        <v>21</v>
      </c>
      <c r="Q145" s="56">
        <v>20.733333333333331</v>
      </c>
      <c r="R145" s="56">
        <v>19.533333333333331</v>
      </c>
      <c r="S145" s="56">
        <v>20.333333333333329</v>
      </c>
      <c r="T145" s="56">
        <v>20.6</v>
      </c>
      <c r="U145" s="56">
        <v>20.133333333333329</v>
      </c>
      <c r="V145" s="56">
        <v>20.533333333333331</v>
      </c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12</v>
      </c>
      <c r="AQ145" s="71" t="str">
        <f t="shared" si="7"/>
        <v/>
      </c>
      <c r="AR145" s="71">
        <f>IFERROR(VLOOKUP(A145,Climatologia_TMED!A:U,9+$E$2,FALSE),"")</f>
        <v>19.60942301581591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>
        <v>30.666666666666671</v>
      </c>
      <c r="Q146" s="56">
        <v>32.6</v>
      </c>
      <c r="R146" s="56">
        <v>30.466666666666669</v>
      </c>
      <c r="S146" s="56">
        <v>31.333333333333329</v>
      </c>
      <c r="T146" s="56">
        <v>29.733333333333331</v>
      </c>
      <c r="U146" s="56">
        <v>31.06666666666667</v>
      </c>
      <c r="V146" s="56">
        <v>32</v>
      </c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12</v>
      </c>
      <c r="AQ146" s="71" t="str">
        <f t="shared" si="7"/>
        <v/>
      </c>
      <c r="AR146" s="71">
        <f>IFERROR(VLOOKUP(A146,Climatologia_TMED!A:U,9+$E$2,FALSE),"")</f>
        <v>29.357750542626871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>
        <v>25.733333333333331</v>
      </c>
      <c r="Q147" s="56">
        <v>27.333333333333329</v>
      </c>
      <c r="R147" s="56">
        <v>24.533333333333331</v>
      </c>
      <c r="S147" s="56">
        <v>27.333333333333329</v>
      </c>
      <c r="T147" s="56">
        <v>26.066666666666659</v>
      </c>
      <c r="U147" s="56">
        <v>26.466666666666669</v>
      </c>
      <c r="V147" s="56">
        <v>27.466666666666669</v>
      </c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12</v>
      </c>
      <c r="AQ147" s="71" t="str">
        <f t="shared" si="7"/>
        <v/>
      </c>
      <c r="AR147" s="71">
        <f>IFERROR(VLOOKUP(A147,Climatologia_TMED!A:U,9+$E$2,FALSE),"")</f>
        <v>24.12521236571591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>
        <v>31.666666666666671</v>
      </c>
      <c r="Q148" s="56">
        <v>31.666666666666671</v>
      </c>
      <c r="R148" s="56">
        <v>30.6</v>
      </c>
      <c r="S148" s="56">
        <v>30.6</v>
      </c>
      <c r="T148" s="56">
        <v>30.13333333333334</v>
      </c>
      <c r="U148" s="56">
        <v>28.733333333333331</v>
      </c>
      <c r="V148" s="56">
        <v>31.266666666666669</v>
      </c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12</v>
      </c>
      <c r="AQ148" s="71" t="str">
        <f t="shared" si="7"/>
        <v/>
      </c>
      <c r="AR148" s="71">
        <f>IFERROR(VLOOKUP(A148,Climatologia_TMED!A:U,9+$E$2,FALSE),"")</f>
        <v>28.928979357144449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>
        <v>23.533333333333331</v>
      </c>
      <c r="Q149" s="56">
        <v>23.666666666666671</v>
      </c>
      <c r="R149" s="56">
        <v>27.066666666666659</v>
      </c>
      <c r="S149" s="56">
        <v>24.93333333333333</v>
      </c>
      <c r="T149" s="56">
        <v>24.4</v>
      </c>
      <c r="U149" s="56">
        <v>23.4</v>
      </c>
      <c r="V149" s="56">
        <v>23.8</v>
      </c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12</v>
      </c>
      <c r="AQ149" s="71" t="str">
        <f t="shared" si="7"/>
        <v/>
      </c>
      <c r="AR149" s="71">
        <f>IFERROR(VLOOKUP(A149,Climatologia_TMED!A:U,9+$E$2,FALSE),"")</f>
        <v>21.503141534391531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>
        <v>23.933333333333341</v>
      </c>
      <c r="P151" s="56">
        <v>23.13333333333334</v>
      </c>
      <c r="Q151" s="56">
        <v>23.8</v>
      </c>
      <c r="R151" s="56">
        <v>25.93333333333333</v>
      </c>
      <c r="S151" s="56">
        <v>24</v>
      </c>
      <c r="T151" s="56">
        <v>23.666666666666671</v>
      </c>
      <c r="U151" s="56">
        <v>25.466666666666669</v>
      </c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11</v>
      </c>
      <c r="AQ151" s="71" t="str">
        <f t="shared" si="7"/>
        <v/>
      </c>
      <c r="AR151" s="71">
        <f>IFERROR(VLOOKUP(A151,Climatologia_TMED!A:U,9+$E$2,FALSE),"")</f>
        <v>21.410009141056261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>
        <v>22.5</v>
      </c>
      <c r="Q154" s="56">
        <v>20.100000000000001</v>
      </c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7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>
        <v>27.933333333333341</v>
      </c>
      <c r="Q155" s="56">
        <v>29.4</v>
      </c>
      <c r="R155" s="56">
        <v>30.333333333333329</v>
      </c>
      <c r="S155" s="56">
        <v>30.86666666666666</v>
      </c>
      <c r="T155" s="56">
        <v>29.4</v>
      </c>
      <c r="U155" s="56">
        <v>28.13333333333334</v>
      </c>
      <c r="V155" s="56">
        <v>30.066666666666659</v>
      </c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12</v>
      </c>
      <c r="AQ155" s="71" t="str">
        <f t="shared" si="7"/>
        <v/>
      </c>
      <c r="AR155" s="71">
        <f>IFERROR(VLOOKUP(A155,Climatologia_TMED!A:U,9+$E$2,FALSE),"")</f>
        <v>27.651460311092379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>
        <v>30.93333333333333</v>
      </c>
      <c r="Q157" s="56">
        <v>30.266666666666669</v>
      </c>
      <c r="R157" s="56">
        <v>30.533333333333331</v>
      </c>
      <c r="S157" s="56">
        <v>32.733333333333327</v>
      </c>
      <c r="T157" s="56">
        <v>31.533333333333331</v>
      </c>
      <c r="U157" s="56">
        <v>29.066666666666659</v>
      </c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10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>
        <v>31.13333333333334</v>
      </c>
      <c r="Q158" s="56">
        <v>30.4</v>
      </c>
      <c r="R158" s="56">
        <v>31.666666666666671</v>
      </c>
      <c r="S158" s="56">
        <v>31.6</v>
      </c>
      <c r="T158" s="56">
        <v>32.06666666666667</v>
      </c>
      <c r="U158" s="56">
        <v>31.466666666666669</v>
      </c>
      <c r="V158" s="56">
        <v>31.06666666666667</v>
      </c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12</v>
      </c>
      <c r="AQ158" s="71" t="str">
        <f t="shared" si="7"/>
        <v/>
      </c>
      <c r="AR158" s="71">
        <f>IFERROR(VLOOKUP(A158,Climatologia_TMED!A:U,9+$E$2,FALSE),"")</f>
        <v>27.726090563430109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>
        <v>20.333333333333329</v>
      </c>
      <c r="Q159" s="56">
        <v>21</v>
      </c>
      <c r="R159" s="56">
        <v>20.8</v>
      </c>
      <c r="S159" s="56">
        <v>22.333333333333329</v>
      </c>
      <c r="T159" s="56">
        <v>22.666666666666671</v>
      </c>
      <c r="U159" s="56">
        <v>21.333333333333329</v>
      </c>
      <c r="V159" s="56">
        <v>21.4</v>
      </c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12</v>
      </c>
      <c r="AQ159" s="71" t="str">
        <f t="shared" si="7"/>
        <v/>
      </c>
      <c r="AR159" s="71">
        <f>IFERROR(VLOOKUP(A159,Climatologia_TMED!A:U,9+$E$2,FALSE),"")</f>
        <v>18.835058362971861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>
        <v>26.13333333333334</v>
      </c>
      <c r="R160" s="56">
        <v>26.93333333333333</v>
      </c>
      <c r="S160" s="56">
        <v>28.266666666666669</v>
      </c>
      <c r="T160" s="56">
        <v>27.533333333333331</v>
      </c>
      <c r="U160" s="56">
        <v>27.266666666666669</v>
      </c>
      <c r="V160" s="56">
        <v>28.333333333333329</v>
      </c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11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>
        <v>28.13333333333334</v>
      </c>
      <c r="Q162" s="56">
        <v>28.666666666666671</v>
      </c>
      <c r="R162" s="56">
        <v>30</v>
      </c>
      <c r="S162" s="56">
        <v>29.733333333333331</v>
      </c>
      <c r="T162" s="56">
        <v>28.8</v>
      </c>
      <c r="U162" s="56">
        <v>28</v>
      </c>
      <c r="V162" s="56">
        <v>28.933333333333341</v>
      </c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12</v>
      </c>
      <c r="AQ162" s="71" t="str">
        <f t="shared" si="7"/>
        <v/>
      </c>
      <c r="AR162" s="71">
        <f>IFERROR(VLOOKUP(A162,Climatologia_TMED!A:U,9+$E$2,FALSE),"")</f>
        <v>28.127510724694599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>
        <v>20.06666666666667</v>
      </c>
      <c r="Q163" s="56">
        <v>21</v>
      </c>
      <c r="R163" s="56">
        <v>21.86666666666666</v>
      </c>
      <c r="S163" s="56">
        <v>21.933333333333341</v>
      </c>
      <c r="T163" s="56">
        <v>21.533333333333331</v>
      </c>
      <c r="U163" s="56">
        <v>21.533333333333331</v>
      </c>
      <c r="V163" s="56">
        <v>22.2</v>
      </c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12</v>
      </c>
      <c r="AQ163" s="71" t="str">
        <f t="shared" si="7"/>
        <v/>
      </c>
      <c r="AR163" s="71">
        <f>IFERROR(VLOOKUP(A163,Climatologia_TMED!A:U,9+$E$2,FALSE),"")</f>
        <v>21.22896057140672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>
        <v>24.05</v>
      </c>
      <c r="Q164" s="56">
        <v>25.1</v>
      </c>
      <c r="R164" s="56">
        <v>25.9</v>
      </c>
      <c r="S164" s="56">
        <v>26.55</v>
      </c>
      <c r="T164" s="56">
        <v>25.75</v>
      </c>
      <c r="U164" s="56">
        <v>25.2</v>
      </c>
      <c r="V164" s="56">
        <v>25.25</v>
      </c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12</v>
      </c>
      <c r="AQ164" s="71" t="str">
        <f t="shared" si="7"/>
        <v/>
      </c>
      <c r="AR164" s="71">
        <f>IFERROR(VLOOKUP(A164,Climatologia_TMED!A:U,9+$E$2,FALSE),"")</f>
        <v>23.89155800492609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>
        <v>14.133333333333329</v>
      </c>
      <c r="Q166" s="56">
        <v>14.133333333333329</v>
      </c>
      <c r="R166" s="56">
        <v>14.53333333333333</v>
      </c>
      <c r="S166" s="56">
        <v>15.8</v>
      </c>
      <c r="T166" s="56">
        <v>14.93333333333333</v>
      </c>
      <c r="U166" s="56">
        <v>14.8</v>
      </c>
      <c r="V166" s="56">
        <v>15</v>
      </c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12</v>
      </c>
      <c r="AQ166" s="71" t="str">
        <f t="shared" si="7"/>
        <v/>
      </c>
      <c r="AR166" s="71">
        <f>IFERROR(VLOOKUP(A166,Climatologia_TMED!A:U,9+$E$2,FALSE),"")</f>
        <v>13.620666666666629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>
        <v>22.333333333333329</v>
      </c>
      <c r="Q167" s="56">
        <v>20.733333333333331</v>
      </c>
      <c r="R167" s="56">
        <v>21.6</v>
      </c>
      <c r="S167" s="56">
        <v>23.06666666666667</v>
      </c>
      <c r="T167" s="56">
        <v>21.933333333333341</v>
      </c>
      <c r="U167" s="56">
        <v>20.93333333333333</v>
      </c>
      <c r="V167" s="56">
        <v>21.666666666666671</v>
      </c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12</v>
      </c>
      <c r="AQ167" s="71" t="str">
        <f t="shared" si="7"/>
        <v/>
      </c>
      <c r="AR167" s="71">
        <f>IFERROR(VLOOKUP(A167,Climatologia_TMED!A:U,9+$E$2,FALSE),"")</f>
        <v>19.08208868706501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>
        <v>27.6</v>
      </c>
      <c r="Q168" s="56">
        <v>27.75</v>
      </c>
      <c r="R168" s="56">
        <v>29.05</v>
      </c>
      <c r="S168" s="56">
        <v>30.5</v>
      </c>
      <c r="T168" s="56">
        <v>27.55</v>
      </c>
      <c r="U168" s="56">
        <v>28.05</v>
      </c>
      <c r="V168" s="56">
        <v>29.1</v>
      </c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12</v>
      </c>
      <c r="AQ168" s="71" t="str">
        <f t="shared" si="7"/>
        <v/>
      </c>
      <c r="AR168" s="71">
        <f>IFERROR(VLOOKUP(A168,Climatologia_TMED!A:U,9+$E$2,FALSE),"")</f>
        <v>26.096985386238281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>
        <v>8.25</v>
      </c>
      <c r="Q169" s="56">
        <v>8.3000000000000007</v>
      </c>
      <c r="R169" s="56">
        <v>8.25</v>
      </c>
      <c r="S169" s="56">
        <v>9.25</v>
      </c>
      <c r="T169" s="56">
        <v>9.6000000000000014</v>
      </c>
      <c r="U169" s="56">
        <v>8.3999999999999986</v>
      </c>
      <c r="V169" s="56">
        <v>10.199999999999999</v>
      </c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12</v>
      </c>
      <c r="AQ169" s="71" t="str">
        <f t="shared" si="7"/>
        <v/>
      </c>
      <c r="AR169" s="71">
        <f>IFERROR(VLOOKUP(A169,Climatologia_TMED!A:U,9+$E$2,FALSE),"")</f>
        <v>9.1213698261706551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>
        <v>25.6</v>
      </c>
      <c r="Q170" s="56">
        <v>27.266666666666669</v>
      </c>
      <c r="R170" s="56">
        <v>23.13333333333334</v>
      </c>
      <c r="S170" s="56">
        <v>26.93333333333333</v>
      </c>
      <c r="T170" s="56">
        <v>26.666666666666671</v>
      </c>
      <c r="U170" s="56">
        <v>24.2</v>
      </c>
      <c r="V170" s="56">
        <v>26.333333333333329</v>
      </c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12</v>
      </c>
      <c r="AQ170" s="71" t="str">
        <f t="shared" si="7"/>
        <v/>
      </c>
      <c r="AR170" s="71">
        <f>IFERROR(VLOOKUP(A170,Climatologia_TMED!A:U,9+$E$2,FALSE),"")</f>
        <v>24.925912119489681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>
        <v>22.86666666666666</v>
      </c>
      <c r="S171" s="56">
        <v>22.13333333333334</v>
      </c>
      <c r="T171" s="56">
        <v>23.266666666666669</v>
      </c>
      <c r="U171" s="56">
        <v>22.266666666666669</v>
      </c>
      <c r="V171" s="56">
        <v>22.733333333333331</v>
      </c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9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>
        <v>26.45</v>
      </c>
      <c r="Q172" s="56">
        <v>25.85</v>
      </c>
      <c r="R172" s="56">
        <v>26.75</v>
      </c>
      <c r="S172" s="56">
        <v>26.6</v>
      </c>
      <c r="T172" s="56">
        <v>25.95</v>
      </c>
      <c r="U172" s="56">
        <v>25.3</v>
      </c>
      <c r="V172" s="56">
        <v>26.3</v>
      </c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12</v>
      </c>
      <c r="AQ172" s="71" t="str">
        <f t="shared" si="7"/>
        <v/>
      </c>
      <c r="AR172" s="71">
        <f>IFERROR(VLOOKUP(A172,Climatologia_TMED!A:U,9+$E$2,FALSE),"")</f>
        <v>24.505676764856439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25.75</v>
      </c>
      <c r="P173" s="56">
        <v>25.9</v>
      </c>
      <c r="Q173" s="56">
        <v>24.95</v>
      </c>
      <c r="R173" s="56">
        <v>25.55</v>
      </c>
      <c r="S173" s="56">
        <v>26.05</v>
      </c>
      <c r="T173" s="56">
        <v>26.15</v>
      </c>
      <c r="U173" s="56">
        <v>25.05</v>
      </c>
      <c r="V173" s="56">
        <v>25.95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12</v>
      </c>
      <c r="AQ173" s="71" t="str">
        <f t="shared" si="7"/>
        <v/>
      </c>
      <c r="AR173" s="71">
        <f>IFERROR(VLOOKUP(A173,Climatologia_TMED!A:U,9+$E$2,FALSE),"")</f>
        <v>24.013909243295011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>
        <v>12.866666666666671</v>
      </c>
      <c r="Q174" s="56">
        <v>11.33333333333333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/>
      <c r="P175" s="56"/>
      <c r="Q175" s="56"/>
      <c r="R175" s="56"/>
      <c r="S175" s="56"/>
      <c r="T175" s="56">
        <v>25.6</v>
      </c>
      <c r="U175" s="56">
        <v>24.933333333333341</v>
      </c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5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>
        <v>24.86666666666666</v>
      </c>
      <c r="Q178" s="56">
        <v>25.4</v>
      </c>
      <c r="R178" s="56">
        <v>26.133333333333329</v>
      </c>
      <c r="S178" s="56">
        <v>24.8</v>
      </c>
      <c r="T178" s="56">
        <v>25.86666666666666</v>
      </c>
      <c r="U178" s="56">
        <v>24.533333333333331</v>
      </c>
      <c r="V178" s="56">
        <v>26.333333333333329</v>
      </c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12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>
        <v>17.850000000000001</v>
      </c>
      <c r="Q179" s="56">
        <v>18.350000000000001</v>
      </c>
      <c r="R179" s="56">
        <v>19.7</v>
      </c>
      <c r="S179" s="56">
        <v>18.649999999999999</v>
      </c>
      <c r="T179" s="56">
        <v>18.45</v>
      </c>
      <c r="U179" s="56">
        <v>18.55</v>
      </c>
      <c r="V179" s="56">
        <v>18.8</v>
      </c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12</v>
      </c>
      <c r="AQ179" s="71" t="str">
        <f t="shared" si="7"/>
        <v/>
      </c>
      <c r="AR179" s="71">
        <f>IFERROR(VLOOKUP(A179,Climatologia_TMED!A:U,9+$E$2,FALSE),"")</f>
        <v>17.246762526490102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>
        <v>32.06666666666667</v>
      </c>
      <c r="Q181" s="56">
        <v>32.733333333333327</v>
      </c>
      <c r="R181" s="56">
        <v>32.866666666666667</v>
      </c>
      <c r="S181" s="56">
        <v>32.933333333333337</v>
      </c>
      <c r="T181" s="56">
        <v>34</v>
      </c>
      <c r="U181" s="56">
        <v>33.200000000000003</v>
      </c>
      <c r="V181" s="56">
        <v>33.666666666666657</v>
      </c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12</v>
      </c>
      <c r="AQ181" s="71" t="str">
        <f t="shared" si="7"/>
        <v/>
      </c>
      <c r="AR181" s="71">
        <f>IFERROR(VLOOKUP(A181,Climatologia_TMED!A:U,9+$E$2,FALSE),"")</f>
        <v>29.303127464277281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>
        <v>28.533333333333331</v>
      </c>
      <c r="Q184" s="56">
        <v>28.2</v>
      </c>
      <c r="R184" s="56">
        <v>28.6</v>
      </c>
      <c r="S184" s="56">
        <v>28.333333333333329</v>
      </c>
      <c r="T184" s="56">
        <v>28.733333333333331</v>
      </c>
      <c r="U184" s="56">
        <v>28.533333333333331</v>
      </c>
      <c r="V184" s="56">
        <v>29</v>
      </c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12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/>
      <c r="P185" s="56"/>
      <c r="Q185" s="56">
        <v>31.2</v>
      </c>
      <c r="R185" s="56">
        <v>31.666666666666671</v>
      </c>
      <c r="S185" s="56">
        <v>30.333333333333329</v>
      </c>
      <c r="T185" s="56">
        <v>31.266666666666669</v>
      </c>
      <c r="U185" s="56">
        <v>30.4</v>
      </c>
      <c r="V185" s="56">
        <v>32.266666666666673</v>
      </c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10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>
        <v>18.133333333333329</v>
      </c>
      <c r="Q188" s="56">
        <v>17</v>
      </c>
      <c r="R188" s="56">
        <v>18.8</v>
      </c>
      <c r="S188" s="56">
        <v>19.13333333333334</v>
      </c>
      <c r="T188" s="56"/>
      <c r="U188" s="56">
        <v>17.533333333333331</v>
      </c>
      <c r="V188" s="56">
        <v>18.533333333333331</v>
      </c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11</v>
      </c>
      <c r="AQ188" s="71" t="str">
        <f t="shared" si="7"/>
        <v/>
      </c>
      <c r="AR188" s="71">
        <f>IFERROR(VLOOKUP(A188,Climatologia_TMED!A:U,9+$E$2,FALSE),"")</f>
        <v>16.212706169096929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>
        <v>33.466666666666669</v>
      </c>
      <c r="Q189" s="56"/>
      <c r="R189" s="56">
        <v>34</v>
      </c>
      <c r="S189" s="56">
        <v>33.200000000000003</v>
      </c>
      <c r="T189" s="56"/>
      <c r="U189" s="56">
        <v>32.6</v>
      </c>
      <c r="V189" s="56">
        <v>33.466666666666669</v>
      </c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8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>
        <v>31.666666666666671</v>
      </c>
      <c r="Q190" s="56">
        <v>29.333333333333329</v>
      </c>
      <c r="R190" s="56">
        <v>32</v>
      </c>
      <c r="S190" s="56">
        <v>30.4</v>
      </c>
      <c r="T190" s="56">
        <v>32.133333333333333</v>
      </c>
      <c r="U190" s="56">
        <v>31.13333333333334</v>
      </c>
      <c r="V190" s="56">
        <v>32.6</v>
      </c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12</v>
      </c>
      <c r="AQ190" s="71" t="str">
        <f t="shared" si="7"/>
        <v/>
      </c>
      <c r="AR190" s="71">
        <f>IFERROR(VLOOKUP(A190,Climatologia_TMED!A:U,9+$E$2,FALSE),"")</f>
        <v>29.06825057892295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>
        <v>19.8</v>
      </c>
      <c r="Q191" s="56">
        <v>18</v>
      </c>
      <c r="R191" s="56">
        <v>20.149999999999999</v>
      </c>
      <c r="S191" s="56">
        <v>19.649999999999999</v>
      </c>
      <c r="T191" s="56">
        <v>20.7</v>
      </c>
      <c r="U191" s="56">
        <v>19.45</v>
      </c>
      <c r="V191" s="56">
        <v>20.149999999999999</v>
      </c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12</v>
      </c>
      <c r="AQ191" s="71" t="str">
        <f t="shared" si="7"/>
        <v/>
      </c>
      <c r="AR191" s="71">
        <f>IFERROR(VLOOKUP(A191,Climatologia_TMED!A:U,9+$E$2,FALSE),"")</f>
        <v>17.433905550874321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>
        <v>26.86666666666666</v>
      </c>
      <c r="Q192" s="56">
        <v>26.533333333333331</v>
      </c>
      <c r="R192" s="56">
        <v>26</v>
      </c>
      <c r="S192" s="56">
        <v>26.8</v>
      </c>
      <c r="T192" s="56">
        <v>27.466666666666669</v>
      </c>
      <c r="U192" s="56">
        <v>26.533333333333331</v>
      </c>
      <c r="V192" s="56">
        <v>27.6</v>
      </c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12</v>
      </c>
      <c r="AQ192" s="71" t="str">
        <f t="shared" si="7"/>
        <v/>
      </c>
      <c r="AR192" s="71">
        <f>IFERROR(VLOOKUP(A192,Climatologia_TMED!A:U,9+$E$2,FALSE),"")</f>
        <v>25.502000319284761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>
        <v>30.7</v>
      </c>
      <c r="P193" s="56">
        <v>30.65</v>
      </c>
      <c r="Q193" s="56">
        <v>30.1</v>
      </c>
      <c r="R193" s="56">
        <v>30.6</v>
      </c>
      <c r="S193" s="56">
        <v>30</v>
      </c>
      <c r="T193" s="56">
        <v>30.75</v>
      </c>
      <c r="U193" s="56">
        <v>29.9</v>
      </c>
      <c r="V193" s="56">
        <v>30.05</v>
      </c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12</v>
      </c>
      <c r="AQ193" s="71" t="str">
        <f t="shared" si="7"/>
        <v/>
      </c>
      <c r="AR193" s="71">
        <f>IFERROR(VLOOKUP(A193,Climatologia_TMED!A:U,9+$E$2,FALSE),"")</f>
        <v>26.951923603216709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>
        <v>23</v>
      </c>
      <c r="Q194" s="56">
        <v>21.866666666666671</v>
      </c>
      <c r="R194" s="56">
        <v>22.933333333333341</v>
      </c>
      <c r="S194" s="56">
        <v>24.13333333333334</v>
      </c>
      <c r="T194" s="56">
        <v>23.2</v>
      </c>
      <c r="U194" s="56">
        <v>21.93333333333333</v>
      </c>
      <c r="V194" s="56">
        <v>23.266666666666669</v>
      </c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12</v>
      </c>
      <c r="AQ194" s="71" t="str">
        <f t="shared" si="7"/>
        <v/>
      </c>
      <c r="AR194" s="71">
        <f>IFERROR(VLOOKUP(A194,Climatologia_TMED!A:U,9+$E$2,FALSE),"")</f>
        <v>22.05916615791612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>
        <v>29.86666666666666</v>
      </c>
      <c r="Q195" s="56">
        <v>27.86666666666666</v>
      </c>
      <c r="R195" s="56">
        <v>29.733333333333331</v>
      </c>
      <c r="S195" s="56">
        <v>30.333333333333329</v>
      </c>
      <c r="T195" s="56">
        <v>30.6</v>
      </c>
      <c r="U195" s="56">
        <v>27.533333333333331</v>
      </c>
      <c r="V195" s="56">
        <v>28.466666666666669</v>
      </c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10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>
        <v>24.13333333333334</v>
      </c>
      <c r="Q196" s="56">
        <v>22.2</v>
      </c>
      <c r="R196" s="56">
        <v>24.13333333333334</v>
      </c>
      <c r="S196" s="56">
        <v>24.86666666666666</v>
      </c>
      <c r="T196" s="56">
        <v>23.666666666666671</v>
      </c>
      <c r="U196" s="56">
        <v>23.2</v>
      </c>
      <c r="V196" s="56">
        <v>23.6</v>
      </c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12</v>
      </c>
      <c r="AQ196" s="71" t="str">
        <f t="shared" si="7"/>
        <v/>
      </c>
      <c r="AR196" s="71">
        <f>IFERROR(VLOOKUP(A196,Climatologia_TMED!A:U,9+$E$2,FALSE),"")</f>
        <v>20.06610658768091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>
        <v>27.93333333333333</v>
      </c>
      <c r="Q197" s="56">
        <v>26.4</v>
      </c>
      <c r="R197" s="56">
        <v>28.466666666666669</v>
      </c>
      <c r="S197" s="56">
        <v>28.333333333333329</v>
      </c>
      <c r="T197" s="56">
        <v>29.2</v>
      </c>
      <c r="U197" s="56">
        <v>27.733333333333331</v>
      </c>
      <c r="V197" s="56">
        <v>28.466666666666669</v>
      </c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12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24.80996849865301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>
        <v>22.4</v>
      </c>
      <c r="Q198" s="56">
        <v>21.65</v>
      </c>
      <c r="R198" s="56">
        <v>22.95</v>
      </c>
      <c r="S198" s="56">
        <v>23.4</v>
      </c>
      <c r="T198" s="56">
        <v>23.55</v>
      </c>
      <c r="U198" s="56">
        <v>22.3</v>
      </c>
      <c r="V198" s="56">
        <v>22.25</v>
      </c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12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>
        <v>16.600000000000001</v>
      </c>
      <c r="Q199" s="56">
        <v>16.666666666666671</v>
      </c>
      <c r="R199" s="56">
        <v>16.866666666666671</v>
      </c>
      <c r="S199" s="56">
        <v>17.06666666666667</v>
      </c>
      <c r="T199" s="56">
        <v>16.93333333333333</v>
      </c>
      <c r="U199" s="56">
        <v>16.666666666666671</v>
      </c>
      <c r="V199" s="56">
        <v>17</v>
      </c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12</v>
      </c>
      <c r="AQ199" s="71" t="str">
        <f t="shared" si="10"/>
        <v/>
      </c>
      <c r="AR199" s="71">
        <f>IFERROR(VLOOKUP(A199,Climatologia_TMED!A:U,9+$E$2,FALSE),"")</f>
        <v>16.081175934022749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>
        <v>13.85</v>
      </c>
      <c r="Q200" s="56">
        <v>13.25</v>
      </c>
      <c r="R200" s="56">
        <v>15.55</v>
      </c>
      <c r="S200" s="56">
        <v>14.95</v>
      </c>
      <c r="T200" s="56">
        <v>15.45</v>
      </c>
      <c r="U200" s="56">
        <v>15</v>
      </c>
      <c r="V200" s="56">
        <v>14.2</v>
      </c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11</v>
      </c>
      <c r="AQ200" s="71" t="str">
        <f t="shared" si="10"/>
        <v/>
      </c>
      <c r="AR200" s="71">
        <f>IFERROR(VLOOKUP(A200,Climatologia_TMED!A:U,9+$E$2,FALSE),"")</f>
        <v>13.31035878811257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>
        <v>29.5</v>
      </c>
      <c r="Q201" s="56">
        <v>28.2</v>
      </c>
      <c r="R201" s="56">
        <v>30.45</v>
      </c>
      <c r="S201" s="56">
        <v>29.85</v>
      </c>
      <c r="T201" s="56">
        <v>30.4</v>
      </c>
      <c r="U201" s="56">
        <v>28.8</v>
      </c>
      <c r="V201" s="56">
        <v>29.75</v>
      </c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12</v>
      </c>
      <c r="AQ201" s="71" t="str">
        <f t="shared" si="10"/>
        <v/>
      </c>
      <c r="AR201" s="71">
        <f>IFERROR(VLOOKUP(A201,Climatologia_TMED!A:U,9+$E$2,FALSE),"")</f>
        <v>26.396486689839168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/>
      <c r="N202" s="56">
        <v>13.8</v>
      </c>
      <c r="O202" s="56">
        <v>12.05</v>
      </c>
      <c r="P202" s="56">
        <v>13.05</v>
      </c>
      <c r="Q202" s="56">
        <v>13.1</v>
      </c>
      <c r="R202" s="56">
        <v>13.15</v>
      </c>
      <c r="S202" s="56">
        <v>13.35</v>
      </c>
      <c r="T202" s="56">
        <v>12.95</v>
      </c>
      <c r="U202" s="56">
        <v>13.3</v>
      </c>
      <c r="V202" s="56">
        <v>13.6</v>
      </c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13.08979464177302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>
        <v>13.53333333333333</v>
      </c>
      <c r="P203" s="56">
        <v>14.133333333333329</v>
      </c>
      <c r="Q203" s="56">
        <v>13.133333333333329</v>
      </c>
      <c r="R203" s="56">
        <v>14.33333333333333</v>
      </c>
      <c r="S203" s="56">
        <v>13.866666666666671</v>
      </c>
      <c r="T203" s="56">
        <v>14.46666666666667</v>
      </c>
      <c r="U203" s="56">
        <v>14.4</v>
      </c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11</v>
      </c>
      <c r="AQ203" s="71" t="str">
        <f t="shared" si="10"/>
        <v/>
      </c>
      <c r="AR203" s="71">
        <f>IFERROR(VLOOKUP(A203,Climatologia_TMED!A:U,9+$E$2,FALSE),"")</f>
        <v>12.22132350003263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>
        <v>14.25</v>
      </c>
      <c r="P205" s="56">
        <v>14.6</v>
      </c>
      <c r="Q205" s="56">
        <v>16.05</v>
      </c>
      <c r="R205" s="56">
        <v>15.85</v>
      </c>
      <c r="S205" s="56">
        <v>16.3</v>
      </c>
      <c r="T205" s="56">
        <v>15.75</v>
      </c>
      <c r="U205" s="56">
        <v>15.25</v>
      </c>
      <c r="V205" s="56">
        <v>15.6</v>
      </c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12</v>
      </c>
      <c r="AQ205" s="71" t="str">
        <f t="shared" si="10"/>
        <v/>
      </c>
      <c r="AR205" s="71">
        <f>IFERROR(VLOOKUP(A205,Climatologia_TMED!A:U,9+$E$2,FALSE),"")</f>
        <v>13.66598918422733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>
        <v>14.2</v>
      </c>
      <c r="O206" s="56">
        <v>14</v>
      </c>
      <c r="P206" s="56">
        <v>11.15</v>
      </c>
      <c r="Q206" s="56">
        <v>11.9</v>
      </c>
      <c r="R206" s="56">
        <v>13.2</v>
      </c>
      <c r="S206" s="56">
        <v>15.2</v>
      </c>
      <c r="T206" s="56">
        <v>13.4</v>
      </c>
      <c r="U206" s="56">
        <v>13.5</v>
      </c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11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>
        <v>13.8</v>
      </c>
      <c r="P207" s="56"/>
      <c r="Q207" s="56">
        <v>12.6</v>
      </c>
      <c r="R207" s="56">
        <v>13.8</v>
      </c>
      <c r="S207" s="56">
        <v>13.93333333333333</v>
      </c>
      <c r="T207" s="56">
        <v>14</v>
      </c>
      <c r="U207" s="56">
        <v>13.266666666666669</v>
      </c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10</v>
      </c>
      <c r="AQ207" s="71" t="str">
        <f t="shared" si="10"/>
        <v/>
      </c>
      <c r="AR207" s="71">
        <f>IFERROR(VLOOKUP(A207,Climatologia_TMED!A:U,9+$E$2,FALSE),"")</f>
        <v>13.625609299157309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>
        <v>14.1</v>
      </c>
      <c r="Q208" s="56">
        <v>13.05</v>
      </c>
      <c r="R208" s="56"/>
      <c r="S208" s="56">
        <v>14.55</v>
      </c>
      <c r="T208" s="56">
        <v>14.75</v>
      </c>
      <c r="U208" s="56">
        <v>13.5</v>
      </c>
      <c r="V208" s="56">
        <v>14</v>
      </c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11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>
        <v>11.6</v>
      </c>
      <c r="Q209" s="56">
        <v>11.35</v>
      </c>
      <c r="R209" s="56">
        <v>11.05</v>
      </c>
      <c r="S209" s="56">
        <v>10.55</v>
      </c>
      <c r="T209" s="56">
        <v>10.9</v>
      </c>
      <c r="U209" s="56">
        <v>10.55</v>
      </c>
      <c r="V209" s="56">
        <v>10.8</v>
      </c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12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>
        <v>15.5</v>
      </c>
      <c r="P210" s="56">
        <v>16.05</v>
      </c>
      <c r="Q210" s="56">
        <v>14.8</v>
      </c>
      <c r="R210" s="56"/>
      <c r="S210" s="56">
        <v>16.850000000000001</v>
      </c>
      <c r="T210" s="56">
        <v>17.2</v>
      </c>
      <c r="U210" s="56">
        <v>16.350000000000001</v>
      </c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10</v>
      </c>
      <c r="AQ210" s="71" t="str">
        <f t="shared" si="10"/>
        <v/>
      </c>
      <c r="AR210" s="71">
        <f>IFERROR(VLOOKUP(A210,Climatologia_TMED!A:U,9+$E$2,FALSE),"")</f>
        <v>14.4377601063053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>
        <v>8.6</v>
      </c>
      <c r="Q211" s="56">
        <v>7.8000000000000007</v>
      </c>
      <c r="R211" s="56">
        <v>8.3000000000000007</v>
      </c>
      <c r="S211" s="56">
        <v>8</v>
      </c>
      <c r="T211" s="56">
        <v>7.9</v>
      </c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10</v>
      </c>
      <c r="AQ211" s="71" t="str">
        <f t="shared" si="10"/>
        <v/>
      </c>
      <c r="AR211" s="71">
        <f>IFERROR(VLOOKUP(A211,Climatologia_TMED!A:U,9+$E$2,FALSE),"")</f>
        <v>8.3646954462216279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>
        <v>29.25</v>
      </c>
      <c r="Q212" s="56">
        <v>29.15</v>
      </c>
      <c r="R212" s="56">
        <v>29.3</v>
      </c>
      <c r="S212" s="56">
        <v>29.35</v>
      </c>
      <c r="T212" s="56">
        <v>28.6</v>
      </c>
      <c r="U212" s="56">
        <v>27.95</v>
      </c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11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2026-09-13T15:30:22Z</dcterms:modified>
</cp:coreProperties>
</file>