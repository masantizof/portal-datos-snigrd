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F4BB20F-629D-4E8A-B7AF-0262F8122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Temperatura!$AI$1:$AI$288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W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W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W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S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W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W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W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W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W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W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W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W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W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W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S168" i="1" s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S157" i="1" s="1"/>
  <c r="AP157" i="1"/>
  <c r="AQ157" i="1" s="1"/>
  <c r="AV156" i="1" a="1"/>
  <c r="AV156" i="1" s="1"/>
  <c r="AU156" i="1" a="1"/>
  <c r="AU156" i="1" s="1"/>
  <c r="AT156" i="1"/>
  <c r="AR156" i="1"/>
  <c r="AS156" i="1" s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S149" i="1" s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S144" i="1" s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W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S140" i="1" s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W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Q94" i="1"/>
  <c r="AP94" i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/>
  <c r="AU23" i="1" a="1"/>
  <c r="AU23" i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5" i="1" l="1"/>
  <c r="AS122" i="1"/>
  <c r="AS210" i="1"/>
  <c r="AS226" i="1"/>
  <c r="AS26" i="1"/>
  <c r="AS119" i="1"/>
  <c r="AS223" i="1"/>
  <c r="AS27" i="1"/>
  <c r="AS46" i="1"/>
  <c r="AS50" i="1"/>
  <c r="AS54" i="1"/>
  <c r="AS78" i="1"/>
  <c r="AS51" i="1"/>
  <c r="AS6" i="1"/>
  <c r="AS75" i="1"/>
  <c r="AS102" i="1"/>
  <c r="AS190" i="1"/>
  <c r="AS198" i="1"/>
  <c r="AS206" i="1"/>
  <c r="AS84" i="1"/>
  <c r="AS234" i="1"/>
  <c r="AS238" i="1"/>
  <c r="AS242" i="1"/>
  <c r="AS120" i="1"/>
  <c r="AS200" i="1"/>
  <c r="AS204" i="1"/>
  <c r="AS14" i="1"/>
  <c r="AW204" i="1"/>
  <c r="AS63" i="1"/>
  <c r="AS18" i="1"/>
  <c r="AS44" i="1"/>
  <c r="AS121" i="1"/>
  <c r="AS185" i="1"/>
  <c r="AS189" i="1"/>
  <c r="AS193" i="1"/>
  <c r="AS225" i="1"/>
  <c r="AS114" i="1"/>
  <c r="AW205" i="1"/>
  <c r="AW213" i="1"/>
  <c r="AW217" i="1"/>
  <c r="AW221" i="1"/>
  <c r="AS64" i="1"/>
  <c r="AS116" i="1"/>
  <c r="AS246" i="1"/>
  <c r="AS254" i="1"/>
  <c r="AS32" i="1"/>
  <c r="AS87" i="1"/>
  <c r="AS105" i="1"/>
  <c r="AS124" i="1"/>
  <c r="AS128" i="1"/>
  <c r="AS172" i="1"/>
  <c r="AW207" i="1"/>
  <c r="AW128" i="1"/>
  <c r="AS196" i="1"/>
  <c r="AS239" i="1"/>
  <c r="AW223" i="1"/>
  <c r="AS88" i="1"/>
  <c r="AS106" i="1"/>
  <c r="AS110" i="1"/>
  <c r="AS169" i="1"/>
  <c r="AS173" i="1"/>
  <c r="AS181" i="1"/>
  <c r="AW235" i="1"/>
  <c r="AW239" i="1"/>
  <c r="AS279" i="1"/>
  <c r="AS47" i="1"/>
  <c r="AS58" i="1"/>
  <c r="AW161" i="1"/>
  <c r="AW275" i="1"/>
  <c r="AW84" i="1"/>
  <c r="AW181" i="1"/>
  <c r="AW224" i="1"/>
  <c r="AS232" i="1"/>
  <c r="AS236" i="1"/>
  <c r="AS240" i="1"/>
  <c r="AS252" i="1"/>
  <c r="AW287" i="1"/>
  <c r="AS85" i="1"/>
  <c r="AS107" i="1"/>
  <c r="AS138" i="1"/>
  <c r="AS256" i="1"/>
  <c r="AS272" i="1"/>
  <c r="AS276" i="1"/>
  <c r="AS150" i="1"/>
  <c r="AS154" i="1"/>
  <c r="AS162" i="1"/>
  <c r="AS166" i="1"/>
  <c r="AS174" i="1"/>
  <c r="AW260" i="1"/>
  <c r="AW264" i="1"/>
  <c r="AS45" i="1"/>
  <c r="AS59" i="1"/>
  <c r="AS82" i="1"/>
  <c r="AW126" i="1"/>
  <c r="AW174" i="1"/>
  <c r="AS202" i="1"/>
  <c r="AS5" i="1"/>
  <c r="AW198" i="1"/>
  <c r="AW202" i="1"/>
  <c r="AS20" i="1"/>
  <c r="AS97" i="1"/>
  <c r="AS123" i="1"/>
  <c r="AS127" i="1"/>
  <c r="AS135" i="1"/>
  <c r="AS143" i="1"/>
  <c r="AS159" i="1"/>
  <c r="AS285" i="1"/>
  <c r="AW253" i="1"/>
  <c r="AW147" i="1"/>
  <c r="AS183" i="1"/>
  <c r="AS191" i="1"/>
  <c r="AW261" i="1"/>
  <c r="AW265" i="1"/>
  <c r="AS10" i="1"/>
  <c r="AW152" i="1"/>
  <c r="AW156" i="1"/>
  <c r="AS24" i="1"/>
  <c r="AS31" i="1"/>
  <c r="AS38" i="1"/>
  <c r="AS118" i="1"/>
  <c r="AW259" i="1"/>
  <c r="AS267" i="1"/>
  <c r="AS21" i="1"/>
  <c r="AS69" i="1"/>
  <c r="AS80" i="1"/>
  <c r="AS104" i="1"/>
  <c r="AS115" i="1"/>
  <c r="AW129" i="1"/>
  <c r="AW133" i="1"/>
  <c r="AS141" i="1"/>
  <c r="AW172" i="1"/>
  <c r="AS176" i="1"/>
  <c r="AW187" i="1"/>
  <c r="AW191" i="1"/>
  <c r="AW236" i="1"/>
  <c r="AW240" i="1"/>
  <c r="AS248" i="1"/>
  <c r="AS260" i="1"/>
  <c r="AW263" i="1"/>
  <c r="AS275" i="1"/>
  <c r="AW176" i="1"/>
  <c r="AW195" i="1"/>
  <c r="AW244" i="1"/>
  <c r="AW248" i="1"/>
  <c r="AS42" i="1"/>
  <c r="AS48" i="1"/>
  <c r="AS66" i="1"/>
  <c r="AS108" i="1"/>
  <c r="AS130" i="1"/>
  <c r="AW145" i="1"/>
  <c r="AW165" i="1"/>
  <c r="AS207" i="1"/>
  <c r="AS214" i="1"/>
  <c r="AS268" i="1"/>
  <c r="AS283" i="1"/>
  <c r="AS146" i="1"/>
  <c r="AW218" i="1"/>
  <c r="AW279" i="1"/>
  <c r="AW283" i="1"/>
  <c r="AS12" i="1"/>
  <c r="AS52" i="1"/>
  <c r="AS74" i="1"/>
  <c r="AS109" i="1"/>
  <c r="AW119" i="1"/>
  <c r="AW138" i="1"/>
  <c r="AW122" i="1"/>
  <c r="AS8" i="1"/>
  <c r="AS70" i="1"/>
  <c r="AS170" i="1"/>
  <c r="AW226" i="1"/>
  <c r="AW257" i="1"/>
  <c r="AS265" i="1"/>
  <c r="AS269" i="1"/>
  <c r="AW12" i="1"/>
  <c r="AS19" i="1"/>
  <c r="AS33" i="1"/>
  <c r="AW234" i="1"/>
  <c r="AS250" i="1"/>
  <c r="AW280" i="1"/>
  <c r="AS288" i="1"/>
  <c r="AS40" i="1"/>
  <c r="AW127" i="1"/>
  <c r="AW131" i="1"/>
  <c r="AS163" i="1"/>
  <c r="AS167" i="1"/>
  <c r="AW182" i="1"/>
  <c r="AS201" i="1"/>
  <c r="AS212" i="1"/>
  <c r="AW219" i="1"/>
  <c r="AS227" i="1"/>
  <c r="AS231" i="1"/>
  <c r="AW254" i="1"/>
  <c r="AW269" i="1"/>
  <c r="AW273" i="1"/>
  <c r="AW284" i="1"/>
  <c r="AS96" i="1"/>
  <c r="AS186" i="1"/>
  <c r="AW258" i="1"/>
  <c r="AS281" i="1"/>
  <c r="AS13" i="1"/>
  <c r="AS30" i="1"/>
  <c r="AS132" i="1"/>
  <c r="AW143" i="1"/>
  <c r="AW151" i="1"/>
  <c r="AW155" i="1"/>
  <c r="AW167" i="1"/>
  <c r="AS216" i="1"/>
  <c r="AW227" i="1"/>
  <c r="AS34" i="1"/>
  <c r="AS72" i="1"/>
  <c r="AS79" i="1"/>
  <c r="AS103" i="1"/>
  <c r="AS152" i="1"/>
  <c r="AS160" i="1"/>
  <c r="AW171" i="1"/>
  <c r="AS194" i="1"/>
  <c r="AW209" i="1"/>
  <c r="AS259" i="1"/>
  <c r="AS125" i="1"/>
  <c r="AW194" i="1"/>
  <c r="AS228" i="1"/>
  <c r="AW24" i="1"/>
  <c r="AS11" i="1"/>
  <c r="AS137" i="1"/>
  <c r="AS17" i="1"/>
  <c r="AW23" i="1"/>
  <c r="AS29" i="1"/>
  <c r="AW41" i="1"/>
  <c r="AS93" i="1"/>
  <c r="AW200" i="1"/>
  <c r="AW210" i="1"/>
  <c r="AW246" i="1"/>
  <c r="AS261" i="1"/>
  <c r="AS286" i="1"/>
  <c r="AS15" i="1"/>
  <c r="AW11" i="1"/>
  <c r="AS117" i="1"/>
  <c r="AS155" i="1"/>
  <c r="AS197" i="1"/>
  <c r="AW250" i="1"/>
  <c r="AW268" i="1"/>
  <c r="AW32" i="1"/>
  <c r="AS35" i="1"/>
  <c r="AW35" i="1"/>
  <c r="AW44" i="1"/>
  <c r="AS81" i="1"/>
  <c r="AS148" i="1"/>
  <c r="AW190" i="1"/>
  <c r="AW214" i="1"/>
  <c r="AW232" i="1"/>
  <c r="AW272" i="1"/>
  <c r="AS134" i="1"/>
  <c r="AW169" i="1"/>
  <c r="AS60" i="1"/>
  <c r="AW81" i="1"/>
  <c r="AW87" i="1"/>
  <c r="AW96" i="1"/>
  <c r="AS99" i="1"/>
  <c r="AW120" i="1"/>
  <c r="AS145" i="1"/>
  <c r="AS180" i="1"/>
  <c r="AW183" i="1"/>
  <c r="AS218" i="1"/>
  <c r="AS229" i="1"/>
  <c r="AS251" i="1"/>
  <c r="AW276" i="1"/>
  <c r="AS131" i="1"/>
  <c r="AS280" i="1"/>
  <c r="AS94" i="1"/>
  <c r="AW75" i="1"/>
  <c r="AW201" i="1"/>
  <c r="AS208" i="1"/>
  <c r="AW211" i="1"/>
  <c r="AS222" i="1"/>
  <c r="AS233" i="1"/>
  <c r="AW247" i="1"/>
  <c r="AS273" i="1"/>
  <c r="AS9" i="1"/>
  <c r="AW21" i="1"/>
  <c r="AS39" i="1"/>
  <c r="AW51" i="1"/>
  <c r="AS91" i="1"/>
  <c r="AW159" i="1"/>
  <c r="AS184" i="1"/>
  <c r="AW208" i="1"/>
  <c r="AS215" i="1"/>
  <c r="AS244" i="1"/>
  <c r="AS262" i="1"/>
  <c r="AS277" i="1"/>
  <c r="AW184" i="1"/>
  <c r="AS237" i="1"/>
  <c r="AW262" i="1"/>
  <c r="AS284" i="1"/>
  <c r="AW173" i="1"/>
  <c r="AS177" i="1"/>
  <c r="AW15" i="1"/>
  <c r="AS73" i="1"/>
  <c r="AW124" i="1"/>
  <c r="AS61" i="1"/>
  <c r="AS67" i="1"/>
  <c r="AS76" i="1"/>
  <c r="AS100" i="1"/>
  <c r="AS142" i="1"/>
  <c r="AS241" i="1"/>
  <c r="AW255" i="1"/>
  <c r="AW277" i="1"/>
  <c r="AW121" i="1"/>
  <c r="AW142" i="1"/>
  <c r="AW149" i="1"/>
  <c r="AS153" i="1"/>
  <c r="AW163" i="1"/>
  <c r="AW177" i="1"/>
  <c r="AS188" i="1"/>
  <c r="AS192" i="1"/>
  <c r="AS209" i="1"/>
  <c r="AW212" i="1"/>
  <c r="AS230" i="1"/>
  <c r="AS270" i="1"/>
  <c r="AW61" i="1"/>
  <c r="AW67" i="1"/>
  <c r="AW76" i="1"/>
  <c r="AW135" i="1"/>
  <c r="AS139" i="1"/>
  <c r="AW146" i="1"/>
  <c r="AW160" i="1"/>
  <c r="AW188" i="1"/>
  <c r="AW192" i="1"/>
  <c r="AS199" i="1"/>
  <c r="AS245" i="1"/>
  <c r="AW252" i="1"/>
  <c r="AW270" i="1"/>
  <c r="AS16" i="1"/>
  <c r="AS28" i="1"/>
  <c r="AS37" i="1"/>
  <c r="AW43" i="1"/>
  <c r="AS49" i="1"/>
  <c r="AW132" i="1"/>
  <c r="AW153" i="1"/>
  <c r="AS164" i="1"/>
  <c r="AS178" i="1"/>
  <c r="AS213" i="1"/>
  <c r="AW216" i="1"/>
  <c r="AS220" i="1"/>
  <c r="AS249" i="1"/>
  <c r="AW256" i="1"/>
  <c r="AS278" i="1"/>
  <c r="AS55" i="1"/>
  <c r="AS7" i="1"/>
  <c r="AS71" i="1"/>
  <c r="AS83" i="1"/>
  <c r="AS86" i="1"/>
  <c r="AS89" i="1"/>
  <c r="AS129" i="1"/>
  <c r="AS136" i="1"/>
  <c r="AW139" i="1"/>
  <c r="AS147" i="1"/>
  <c r="AW157" i="1"/>
  <c r="AS161" i="1"/>
  <c r="AS101" i="1"/>
  <c r="AS126" i="1"/>
  <c r="AS133" i="1"/>
  <c r="AW136" i="1"/>
  <c r="AS175" i="1"/>
  <c r="AS182" i="1"/>
  <c r="AS203" i="1"/>
  <c r="AW206" i="1"/>
  <c r="AW220" i="1"/>
  <c r="AS235" i="1"/>
  <c r="AW238" i="1"/>
  <c r="AW71" i="1"/>
  <c r="AS77" i="1"/>
  <c r="AS98" i="1"/>
  <c r="AS111" i="1"/>
  <c r="AW31" i="1"/>
  <c r="AS23" i="1"/>
  <c r="AS41" i="1"/>
  <c r="AS53" i="1"/>
  <c r="AS56" i="1"/>
  <c r="AS65" i="1"/>
  <c r="AW101" i="1"/>
  <c r="AW104" i="1"/>
  <c r="AS151" i="1"/>
  <c r="AS158" i="1"/>
  <c r="AS165" i="1"/>
  <c r="AW189" i="1"/>
  <c r="AW193" i="1"/>
  <c r="AW196" i="1"/>
  <c r="AS217" i="1"/>
  <c r="AS224" i="1"/>
  <c r="AW231" i="1"/>
  <c r="AW242" i="1"/>
  <c r="AS257" i="1"/>
  <c r="AS264" i="1"/>
  <c r="AW271" i="1"/>
  <c r="AW225" i="1"/>
  <c r="AW73" i="1"/>
  <c r="AW93" i="1"/>
  <c r="AW113" i="1"/>
  <c r="AW13" i="1"/>
  <c r="AW33" i="1"/>
  <c r="AW53" i="1"/>
  <c r="AW22" i="1"/>
  <c r="AW42" i="1"/>
  <c r="AW62" i="1"/>
  <c r="AW82" i="1"/>
  <c r="AW102" i="1"/>
  <c r="AW158" i="1"/>
  <c r="AW178" i="1"/>
  <c r="AW55" i="1"/>
  <c r="AW64" i="1"/>
  <c r="AW100" i="1"/>
  <c r="AW130" i="1"/>
  <c r="AW144" i="1"/>
  <c r="AW80" i="1"/>
  <c r="AW9" i="1"/>
  <c r="AW29" i="1"/>
  <c r="AW49" i="1"/>
  <c r="AW69" i="1"/>
  <c r="AW89" i="1"/>
  <c r="AW109" i="1"/>
  <c r="AW91" i="1"/>
  <c r="AW111" i="1"/>
  <c r="AW20" i="1"/>
  <c r="AW40" i="1"/>
  <c r="AW60" i="1"/>
  <c r="AW18" i="1"/>
  <c r="AW38" i="1"/>
  <c r="AW58" i="1"/>
  <c r="AW78" i="1"/>
  <c r="AW98" i="1"/>
  <c r="AW118" i="1"/>
  <c r="AW150" i="1"/>
  <c r="AW164" i="1"/>
  <c r="AS179" i="1"/>
  <c r="AS219" i="1"/>
  <c r="AW249" i="1"/>
  <c r="AS263" i="1"/>
  <c r="AW222" i="1"/>
  <c r="AW228" i="1"/>
  <c r="AS287" i="1"/>
  <c r="AW107" i="1"/>
  <c r="AW16" i="1"/>
  <c r="AW36" i="1"/>
  <c r="AW56" i="1"/>
  <c r="AW116" i="1"/>
  <c r="AW7" i="1"/>
  <c r="AW27" i="1"/>
  <c r="AW47" i="1"/>
  <c r="AW170" i="1"/>
  <c r="AW65" i="1"/>
  <c r="AW85" i="1"/>
  <c r="AW105" i="1"/>
  <c r="AW123" i="1"/>
  <c r="AW14" i="1"/>
  <c r="AW34" i="1"/>
  <c r="AW54" i="1"/>
  <c r="AW74" i="1"/>
  <c r="AW94" i="1"/>
  <c r="AW114" i="1"/>
  <c r="AS243" i="1"/>
  <c r="AW52" i="1"/>
  <c r="AW72" i="1"/>
  <c r="AW92" i="1"/>
  <c r="AW112" i="1"/>
  <c r="AW134" i="1"/>
  <c r="AW148" i="1"/>
  <c r="AW162" i="1"/>
  <c r="AS171" i="1"/>
  <c r="AS195" i="1"/>
  <c r="AS271" i="1"/>
  <c r="AW63" i="1"/>
  <c r="AW83" i="1"/>
  <c r="AW103" i="1"/>
  <c r="AW233" i="1"/>
  <c r="AW30" i="1"/>
  <c r="AW50" i="1"/>
  <c r="AW70" i="1"/>
  <c r="AW90" i="1"/>
  <c r="AW110" i="1"/>
  <c r="AW19" i="1"/>
  <c r="AW39" i="1"/>
  <c r="AW59" i="1"/>
  <c r="AW79" i="1"/>
  <c r="AW99" i="1"/>
  <c r="AW140" i="1"/>
  <c r="AW154" i="1"/>
  <c r="AW168" i="1"/>
  <c r="AS211" i="1"/>
  <c r="AP2" i="1"/>
  <c r="AW10" i="1"/>
  <c r="AW8" i="1"/>
  <c r="AW28" i="1"/>
  <c r="AW48" i="1"/>
  <c r="AW68" i="1"/>
  <c r="AW88" i="1"/>
  <c r="AW108" i="1"/>
  <c r="AW180" i="1"/>
  <c r="AW57" i="1"/>
  <c r="AW77" i="1"/>
  <c r="AW97" i="1"/>
  <c r="AW117" i="1"/>
  <c r="AW186" i="1"/>
  <c r="AS205" i="1"/>
  <c r="AW5" i="1"/>
  <c r="AW25" i="1"/>
  <c r="AW45" i="1"/>
  <c r="AW17" i="1"/>
  <c r="AW37" i="1"/>
  <c r="AW6" i="1"/>
  <c r="AW26" i="1"/>
  <c r="AW46" i="1"/>
  <c r="AW66" i="1"/>
  <c r="AW86" i="1"/>
  <c r="AW106" i="1"/>
  <c r="AW230" i="1"/>
  <c r="AW95" i="1"/>
  <c r="AW115" i="1"/>
  <c r="AS221" i="1"/>
  <c r="AW166" i="1"/>
  <c r="AS187" i="1"/>
  <c r="AW241" i="1"/>
  <c r="AS255" i="1"/>
  <c r="AW266" i="1"/>
  <c r="AW274" i="1"/>
  <c r="AW282" i="1"/>
  <c r="AW288" i="1"/>
  <c r="AW278" i="1"/>
  <c r="AW28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<sst xmlns="http://schemas.openxmlformats.org/spreadsheetml/2006/main" count="3701" uniqueCount="1289">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</sst>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L1" zoomScale="80" zoomScaleNormal="80" workbookViewId="0">
      <selection activeCell="AH158" sqref="AH1:AI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7" width="32.42578125" style="51" customWidth="1"/>
    <col min="178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40.799999999999997</v>
      </c>
      <c r="AD2" s="92">
        <f t="shared" si="0"/>
        <v>40.6</v>
      </c>
      <c r="AE2" s="92">
        <f t="shared" si="0"/>
        <v>40</v>
      </c>
      <c r="AF2" s="92">
        <f t="shared" si="0"/>
        <v>38.4</v>
      </c>
      <c r="AG2" s="92">
        <f t="shared" si="0"/>
        <v>38.4</v>
      </c>
      <c r="AH2" s="92">
        <f t="shared" si="0"/>
        <v>41.2</v>
      </c>
      <c r="AI2" s="92">
        <f t="shared" si="0"/>
        <v>41.4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>
        <v>31.7</v>
      </c>
      <c r="AD5" s="66">
        <v>32.1</v>
      </c>
      <c r="AE5" s="66">
        <v>32.5</v>
      </c>
      <c r="AF5" s="66">
        <v>32.200000000000003</v>
      </c>
      <c r="AG5" s="66">
        <v>31.4</v>
      </c>
      <c r="AH5" s="66">
        <v>30.6</v>
      </c>
      <c r="AI5" s="66">
        <v>31.6</v>
      </c>
      <c r="AJ5" s="66"/>
      <c r="AK5" s="66"/>
      <c r="AL5" s="66"/>
      <c r="AM5" s="66"/>
      <c r="AN5" s="66"/>
      <c r="AO5" s="66"/>
      <c r="AP5" s="67">
        <f t="shared" ref="AP5:AP68" si="1">COUNTIF(K5:AO5,"&gt;0")</f>
        <v>25</v>
      </c>
      <c r="AQ5" s="68">
        <f t="shared" ref="AQ5:AQ68" si="2">IF(AP5&gt;14,AVERAGE(K5:AO5),"")</f>
        <v>31.624000000000006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1.1080565305758157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>
        <v>31.4</v>
      </c>
      <c r="AD6" s="66">
        <v>31.6</v>
      </c>
      <c r="AE6" s="66">
        <v>31.9</v>
      </c>
      <c r="AF6" s="66">
        <v>32.200000000000003</v>
      </c>
      <c r="AG6" s="66">
        <v>32.200000000000003</v>
      </c>
      <c r="AH6" s="66">
        <v>30.6</v>
      </c>
      <c r="AI6" s="66">
        <v>31.7</v>
      </c>
      <c r="AJ6" s="66"/>
      <c r="AK6" s="66"/>
      <c r="AL6" s="66"/>
      <c r="AM6" s="66"/>
      <c r="AN6" s="66"/>
      <c r="AO6" s="66"/>
      <c r="AP6" s="67">
        <f t="shared" si="1"/>
        <v>25</v>
      </c>
      <c r="AQ6" s="68">
        <f t="shared" si="2"/>
        <v>31.724000000000004</v>
      </c>
      <c r="AR6" s="68">
        <f>IFERROR(VLOOKUP(A6,Climatologia_TMAX!A:U,9+$E$2,FALSE),"")</f>
        <v>31.046424304488809</v>
      </c>
      <c r="AS6" s="68">
        <f t="shared" si="3"/>
        <v>0.67757569551119445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>
        <v>35</v>
      </c>
      <c r="AD7" s="66">
        <v>36.4</v>
      </c>
      <c r="AE7" s="117">
        <v>39.6</v>
      </c>
      <c r="AF7" s="66">
        <v>34</v>
      </c>
      <c r="AG7" s="66">
        <v>33.799999999999997</v>
      </c>
      <c r="AH7" s="66">
        <v>33</v>
      </c>
      <c r="AI7" s="66">
        <v>35.200000000000003</v>
      </c>
      <c r="AJ7" s="66"/>
      <c r="AK7" s="66"/>
      <c r="AL7" s="66"/>
      <c r="AM7" s="66"/>
      <c r="AN7" s="66"/>
      <c r="AO7" s="66"/>
      <c r="AP7" s="67">
        <f t="shared" si="1"/>
        <v>25</v>
      </c>
      <c r="AQ7" s="68">
        <f t="shared" si="2"/>
        <v>35.167999999999999</v>
      </c>
      <c r="AR7" s="68">
        <f>IFERROR(VLOOKUP(A7,Climatologia_TMAX!A:U,9+$E$2,FALSE),"")</f>
        <v>33.115285708400279</v>
      </c>
      <c r="AS7" s="68">
        <f t="shared" si="3"/>
        <v>2.0527142915997203</v>
      </c>
      <c r="AT7" s="74">
        <f t="shared" si="4"/>
        <v>39.6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1.2000000000000028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>
        <v>32.9</v>
      </c>
      <c r="AD8" s="66">
        <v>33.299999999999997</v>
      </c>
      <c r="AE8" s="66">
        <v>34.6</v>
      </c>
      <c r="AF8" s="66">
        <v>32.1</v>
      </c>
      <c r="AG8" s="66">
        <v>34.1</v>
      </c>
      <c r="AH8" s="66">
        <v>32.799999999999997</v>
      </c>
      <c r="AI8" s="66">
        <v>33.799999999999997</v>
      </c>
      <c r="AJ8" s="66"/>
      <c r="AK8" s="66"/>
      <c r="AL8" s="66"/>
      <c r="AM8" s="66"/>
      <c r="AN8" s="66"/>
      <c r="AO8" s="66"/>
      <c r="AP8" s="67">
        <f t="shared" si="1"/>
        <v>25</v>
      </c>
      <c r="AQ8" s="68">
        <f t="shared" si="2"/>
        <v>33.499999999999993</v>
      </c>
      <c r="AR8" s="68">
        <f>IFERROR(VLOOKUP(A8,Climatologia_TMAX!A:U,9+$E$2,FALSE),"")</f>
        <v>32.243805889046577</v>
      </c>
      <c r="AS8" s="68">
        <f t="shared" si="3"/>
        <v>1.256194110953416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>
        <v>34.799999999999997</v>
      </c>
      <c r="AD9" s="66">
        <v>37.200000000000003</v>
      </c>
      <c r="AE9" s="66">
        <v>38</v>
      </c>
      <c r="AF9" s="66">
        <v>32.4</v>
      </c>
      <c r="AG9" s="66">
        <v>36.299999999999997</v>
      </c>
      <c r="AH9" s="66">
        <v>35.9</v>
      </c>
      <c r="AI9" s="66">
        <v>34.9</v>
      </c>
      <c r="AJ9" s="66"/>
      <c r="AK9" s="66"/>
      <c r="AL9" s="66"/>
      <c r="AM9" s="66"/>
      <c r="AN9" s="66"/>
      <c r="AO9" s="66"/>
      <c r="AP9" s="67">
        <f t="shared" si="1"/>
        <v>25</v>
      </c>
      <c r="AQ9" s="68">
        <f t="shared" si="2"/>
        <v>34.971999999999994</v>
      </c>
      <c r="AR9" s="68">
        <f>IFERROR(VLOOKUP(A9,Climatologia_TMAX!A:U,9+$E$2,FALSE),"")</f>
        <v>33.507160697070823</v>
      </c>
      <c r="AS9" s="68">
        <f t="shared" si="3"/>
        <v>1.4648393029291711</v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-0.70000000000000284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>
        <v>37.799999999999997</v>
      </c>
      <c r="AD10" s="66">
        <v>38.299999999999997</v>
      </c>
      <c r="AE10" s="66">
        <v>37</v>
      </c>
      <c r="AF10" s="66">
        <v>34.5</v>
      </c>
      <c r="AG10" s="66">
        <v>36.200000000000003</v>
      </c>
      <c r="AH10" s="66">
        <v>37.700000000000003</v>
      </c>
      <c r="AI10" s="66">
        <v>37.4</v>
      </c>
      <c r="AJ10" s="66"/>
      <c r="AK10" s="66"/>
      <c r="AL10" s="66"/>
      <c r="AM10" s="66"/>
      <c r="AN10" s="66"/>
      <c r="AO10" s="66"/>
      <c r="AP10" s="67">
        <f t="shared" si="1"/>
        <v>25</v>
      </c>
      <c r="AQ10" s="68">
        <f t="shared" si="2"/>
        <v>36.840000000000003</v>
      </c>
      <c r="AR10" s="68">
        <f>IFERROR(VLOOKUP(A10,Climatologia_TMAX!A:U,9+$E$2,FALSE),"")</f>
        <v>35.037947033054557</v>
      </c>
      <c r="AS10" s="68">
        <f t="shared" si="3"/>
        <v>1.8020529669454461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>
        <v>38.4</v>
      </c>
      <c r="AD11" s="66">
        <v>39.4</v>
      </c>
      <c r="AE11" s="66">
        <v>39.5</v>
      </c>
      <c r="AF11" s="66">
        <v>38.299999999999997</v>
      </c>
      <c r="AG11" s="66">
        <v>37.799999999999997</v>
      </c>
      <c r="AH11" s="66">
        <v>38.6</v>
      </c>
      <c r="AI11" s="66">
        <v>39.200000000000003</v>
      </c>
      <c r="AJ11" s="66"/>
      <c r="AK11" s="66"/>
      <c r="AL11" s="66"/>
      <c r="AM11" s="66"/>
      <c r="AN11" s="66"/>
      <c r="AO11" s="66"/>
      <c r="AP11" s="67">
        <f t="shared" si="1"/>
        <v>25</v>
      </c>
      <c r="AQ11" s="68">
        <f t="shared" si="2"/>
        <v>39.18</v>
      </c>
      <c r="AR11" s="68">
        <f>IFERROR(VLOOKUP(A11,Climatologia_TMAX!A:U,9+$E$2,FALSE),"")</f>
        <v>35.179462365591398</v>
      </c>
      <c r="AS11" s="68">
        <f t="shared" si="3"/>
        <v>4.0005376344086017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>
        <v>36</v>
      </c>
      <c r="AD12" s="66">
        <v>35.200000000000003</v>
      </c>
      <c r="AE12" s="66">
        <v>36.6</v>
      </c>
      <c r="AF12" s="66">
        <v>31</v>
      </c>
      <c r="AG12" s="66">
        <v>35.700000000000003</v>
      </c>
      <c r="AH12" s="66">
        <v>34.700000000000003</v>
      </c>
      <c r="AI12" s="66">
        <v>36.200000000000003</v>
      </c>
      <c r="AJ12" s="66"/>
      <c r="AK12" s="66"/>
      <c r="AL12" s="66"/>
      <c r="AM12" s="66"/>
      <c r="AN12" s="66"/>
      <c r="AO12" s="66"/>
      <c r="AP12" s="67">
        <f t="shared" si="1"/>
        <v>25</v>
      </c>
      <c r="AQ12" s="68">
        <f t="shared" si="2"/>
        <v>34.600000000000009</v>
      </c>
      <c r="AR12" s="68">
        <f>IFERROR(VLOOKUP(A12,Climatologia_TMAX!A:U,9+$E$2,FALSE),"")</f>
        <v>33.065084280874721</v>
      </c>
      <c r="AS12" s="68">
        <f t="shared" si="3"/>
        <v>1.5349157191252871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>
        <v>34.4</v>
      </c>
      <c r="AD13" s="66">
        <v>36</v>
      </c>
      <c r="AE13" s="66">
        <v>34.6</v>
      </c>
      <c r="AF13" s="66">
        <v>32.9</v>
      </c>
      <c r="AG13" s="66">
        <v>32.6</v>
      </c>
      <c r="AH13" s="66">
        <v>35.200000000000003</v>
      </c>
      <c r="AI13" s="66">
        <v>32.6</v>
      </c>
      <c r="AJ13" s="66"/>
      <c r="AK13" s="66"/>
      <c r="AL13" s="66"/>
      <c r="AM13" s="66"/>
      <c r="AN13" s="66"/>
      <c r="AO13" s="66"/>
      <c r="AP13" s="67">
        <f t="shared" si="1"/>
        <v>25</v>
      </c>
      <c r="AQ13" s="68">
        <f t="shared" si="2"/>
        <v>35.168000000000006</v>
      </c>
      <c r="AR13" s="68">
        <f>IFERROR(VLOOKUP(A13,Climatologia_TMAX!A:U,9+$E$2,FALSE),"")</f>
        <v>32.703385242862417</v>
      </c>
      <c r="AS13" s="68">
        <f t="shared" si="3"/>
        <v>2.4646147571375892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>
        <v>29</v>
      </c>
      <c r="AD14" s="66">
        <v>30.3</v>
      </c>
      <c r="AE14" s="66">
        <v>27.6</v>
      </c>
      <c r="AF14" s="66">
        <v>27.4</v>
      </c>
      <c r="AG14" s="66">
        <v>28.7</v>
      </c>
      <c r="AH14" s="66">
        <v>30.2</v>
      </c>
      <c r="AI14" s="66">
        <v>30.2</v>
      </c>
      <c r="AJ14" s="66"/>
      <c r="AK14" s="66"/>
      <c r="AL14" s="66"/>
      <c r="AM14" s="66"/>
      <c r="AN14" s="66"/>
      <c r="AO14" s="66"/>
      <c r="AP14" s="67">
        <f t="shared" si="1"/>
        <v>25</v>
      </c>
      <c r="AQ14" s="68">
        <f t="shared" si="2"/>
        <v>29.080000000000005</v>
      </c>
      <c r="AR14" s="68">
        <f>IFERROR(VLOOKUP(A14,Climatologia_TMAX!A:U,9+$E$2,FALSE),"")</f>
        <v>26.343645559538029</v>
      </c>
      <c r="AS14" s="68">
        <f t="shared" si="3"/>
        <v>2.7363544404619766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>
        <v>37.200000000000003</v>
      </c>
      <c r="AD15" s="66">
        <v>35.9</v>
      </c>
      <c r="AE15" s="66">
        <v>37.6</v>
      </c>
      <c r="AF15" s="66">
        <v>36.5</v>
      </c>
      <c r="AG15" s="66">
        <v>30.9</v>
      </c>
      <c r="AH15" s="66">
        <v>36.299999999999997</v>
      </c>
      <c r="AI15" s="66">
        <v>36.799999999999997</v>
      </c>
      <c r="AJ15" s="66"/>
      <c r="AK15" s="66"/>
      <c r="AL15" s="66"/>
      <c r="AM15" s="66"/>
      <c r="AN15" s="66"/>
      <c r="AO15" s="66"/>
      <c r="AP15" s="67">
        <f t="shared" si="1"/>
        <v>25</v>
      </c>
      <c r="AQ15" s="68">
        <f t="shared" si="2"/>
        <v>35.652000000000001</v>
      </c>
      <c r="AR15" s="68">
        <f>IFERROR(VLOOKUP(A15,Climatologia_TMAX!A:U,9+$E$2,FALSE),"")</f>
        <v>34.207406451612897</v>
      </c>
      <c r="AS15" s="68">
        <f t="shared" si="3"/>
        <v>1.444593548387104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>
        <v>34.700000000000003</v>
      </c>
      <c r="AD16" s="66">
        <v>33.9</v>
      </c>
      <c r="AE16" s="66">
        <v>34.4</v>
      </c>
      <c r="AF16" s="66">
        <v>28.7</v>
      </c>
      <c r="AG16" s="66">
        <v>33.9</v>
      </c>
      <c r="AH16" s="66">
        <v>33.299999999999997</v>
      </c>
      <c r="AI16" s="66">
        <v>33.6</v>
      </c>
      <c r="AJ16" s="66"/>
      <c r="AK16" s="66"/>
      <c r="AL16" s="66"/>
      <c r="AM16" s="66"/>
      <c r="AN16" s="66"/>
      <c r="AO16" s="66"/>
      <c r="AP16" s="67">
        <f t="shared" si="1"/>
        <v>25</v>
      </c>
      <c r="AQ16" s="68">
        <f t="shared" si="2"/>
        <v>32.199999999999996</v>
      </c>
      <c r="AR16" s="68">
        <f>IFERROR(VLOOKUP(A16,Climatologia_TMAX!A:U,9+$E$2,FALSE),"")</f>
        <v>31.919167946748601</v>
      </c>
      <c r="AS16" s="68">
        <f t="shared" si="3"/>
        <v>0.2808320532513946</v>
      </c>
      <c r="AT16" s="74">
        <f t="shared" si="4"/>
        <v>34.700000000000003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-0.29999999999999716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>
        <v>32.299999999999997</v>
      </c>
      <c r="AD17" s="66">
        <v>31.8</v>
      </c>
      <c r="AE17" s="66">
        <v>31.5</v>
      </c>
      <c r="AF17" s="66">
        <v>30</v>
      </c>
      <c r="AG17" s="66">
        <v>31.6</v>
      </c>
      <c r="AH17" s="66">
        <v>32.299999999999997</v>
      </c>
      <c r="AI17" s="66">
        <v>32.1</v>
      </c>
      <c r="AJ17" s="66"/>
      <c r="AK17" s="66"/>
      <c r="AL17" s="66"/>
      <c r="AM17" s="66"/>
      <c r="AN17" s="66"/>
      <c r="AO17" s="66"/>
      <c r="AP17" s="67">
        <f t="shared" si="1"/>
        <v>25</v>
      </c>
      <c r="AQ17" s="68">
        <f t="shared" si="2"/>
        <v>31.047999999999998</v>
      </c>
      <c r="AR17" s="68">
        <f>IFERROR(VLOOKUP(A17,Climatologia_TMAX!A:U,9+$E$2,FALSE),"")</f>
        <v>28.699699180747569</v>
      </c>
      <c r="AS17" s="68">
        <f t="shared" si="3"/>
        <v>2.3483008192524295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>
        <v>25</v>
      </c>
      <c r="AD18" s="66">
        <v>25.4</v>
      </c>
      <c r="AE18" s="66">
        <v>24.7</v>
      </c>
      <c r="AF18" s="66">
        <v>23.7</v>
      </c>
      <c r="AG18" s="66">
        <v>24.2</v>
      </c>
      <c r="AH18" s="66">
        <v>25.1</v>
      </c>
      <c r="AI18" s="66">
        <v>24.8</v>
      </c>
      <c r="AJ18" s="66"/>
      <c r="AK18" s="66"/>
      <c r="AL18" s="66"/>
      <c r="AM18" s="66"/>
      <c r="AN18" s="66"/>
      <c r="AO18" s="66"/>
      <c r="AP18" s="67">
        <f t="shared" si="1"/>
        <v>25</v>
      </c>
      <c r="AQ18" s="68">
        <f t="shared" si="2"/>
        <v>24.524000000000001</v>
      </c>
      <c r="AR18" s="68">
        <f>IFERROR(VLOOKUP(A18,Climatologia_TMAX!A:U,9+$E$2,FALSE),"")</f>
        <v>22.70234743584826</v>
      </c>
      <c r="AS18" s="68">
        <f t="shared" si="3"/>
        <v>1.8216525641517407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>
        <v>29.4</v>
      </c>
      <c r="AD19" s="66">
        <v>31.2</v>
      </c>
      <c r="AE19" s="66">
        <v>30.4</v>
      </c>
      <c r="AF19" s="66">
        <v>28.4</v>
      </c>
      <c r="AG19" s="66">
        <v>30.2</v>
      </c>
      <c r="AH19" s="66">
        <v>29</v>
      </c>
      <c r="AI19" s="66">
        <v>28.2</v>
      </c>
      <c r="AJ19" s="66"/>
      <c r="AK19" s="66"/>
      <c r="AL19" s="66"/>
      <c r="AM19" s="66"/>
      <c r="AN19" s="66"/>
      <c r="AO19" s="66"/>
      <c r="AP19" s="67">
        <f t="shared" si="1"/>
        <v>25</v>
      </c>
      <c r="AQ19" s="68">
        <f t="shared" si="2"/>
        <v>29.472000000000001</v>
      </c>
      <c r="AR19" s="68">
        <f>IFERROR(VLOOKUP(A19,Climatologia_TMAX!A:U,9+$E$2,FALSE),"")</f>
        <v>27.308103225806452</v>
      </c>
      <c r="AS19" s="68">
        <f t="shared" si="3"/>
        <v>2.1638967741935495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>
        <v>30.7</v>
      </c>
      <c r="AD20" s="66">
        <v>33.5</v>
      </c>
      <c r="AE20" s="66">
        <v>32.1</v>
      </c>
      <c r="AF20" s="66">
        <v>30.1</v>
      </c>
      <c r="AG20" s="66">
        <v>32</v>
      </c>
      <c r="AH20" s="66">
        <v>29.5</v>
      </c>
      <c r="AI20" s="66">
        <v>30.7</v>
      </c>
      <c r="AJ20" s="66"/>
      <c r="AK20" s="66"/>
      <c r="AL20" s="66"/>
      <c r="AM20" s="66"/>
      <c r="AN20" s="66"/>
      <c r="AO20" s="66"/>
      <c r="AP20" s="67">
        <f t="shared" si="1"/>
        <v>25</v>
      </c>
      <c r="AQ20" s="68">
        <f t="shared" si="2"/>
        <v>30.808000000000007</v>
      </c>
      <c r="AR20" s="68">
        <f>IFERROR(VLOOKUP(A20,Climatologia_TMAX!A:U,9+$E$2,FALSE),"")</f>
        <v>28.821983273596171</v>
      </c>
      <c r="AS20" s="68">
        <f t="shared" si="3"/>
        <v>1.986016726403836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>
        <v>34.9</v>
      </c>
      <c r="AD21" s="66">
        <v>35.200000000000003</v>
      </c>
      <c r="AE21" s="66">
        <v>34.4</v>
      </c>
      <c r="AF21" s="66">
        <v>32.299999999999997</v>
      </c>
      <c r="AG21" s="66">
        <v>33.4</v>
      </c>
      <c r="AH21" s="66">
        <v>34.799999999999997</v>
      </c>
      <c r="AI21" s="66">
        <v>36.200000000000003</v>
      </c>
      <c r="AJ21" s="66"/>
      <c r="AK21" s="66"/>
      <c r="AL21" s="66"/>
      <c r="AM21" s="66"/>
      <c r="AN21" s="66"/>
      <c r="AO21" s="66"/>
      <c r="AP21" s="67">
        <f t="shared" si="1"/>
        <v>25</v>
      </c>
      <c r="AQ21" s="68">
        <f t="shared" si="2"/>
        <v>34.183999999999997</v>
      </c>
      <c r="AR21" s="68">
        <f>IFERROR(VLOOKUP(A21,Climatologia_TMAX!A:U,9+$E$2,FALSE),"")</f>
        <v>31.558535251017972</v>
      </c>
      <c r="AS21" s="68">
        <f t="shared" si="3"/>
        <v>2.6254647489820258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>
        <v>21.4</v>
      </c>
      <c r="AD22" s="66">
        <v>20.9</v>
      </c>
      <c r="AE22" s="66">
        <v>20.399999999999999</v>
      </c>
      <c r="AF22" s="66">
        <v>19.3</v>
      </c>
      <c r="AG22" s="66">
        <v>20.100000000000001</v>
      </c>
      <c r="AH22" s="66">
        <v>19.5</v>
      </c>
      <c r="AI22" s="66">
        <v>19.2</v>
      </c>
      <c r="AJ22" s="66"/>
      <c r="AK22" s="66"/>
      <c r="AL22" s="66"/>
      <c r="AM22" s="66"/>
      <c r="AN22" s="66"/>
      <c r="AO22" s="66"/>
      <c r="AP22" s="67">
        <f t="shared" si="1"/>
        <v>25</v>
      </c>
      <c r="AQ22" s="68">
        <f t="shared" si="2"/>
        <v>19.947999999999997</v>
      </c>
      <c r="AR22" s="68">
        <f>IFERROR(VLOOKUP(A22,Climatologia_TMAX!A:U,9+$E$2,FALSE),"")</f>
        <v>18.772940161432931</v>
      </c>
      <c r="AS22" s="68">
        <f t="shared" si="3"/>
        <v>1.1750598385670656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>
        <v>33.1</v>
      </c>
      <c r="AD23" s="66">
        <v>34.700000000000003</v>
      </c>
      <c r="AE23" s="66">
        <v>33.9</v>
      </c>
      <c r="AF23" s="66">
        <v>32.799999999999997</v>
      </c>
      <c r="AG23" s="66">
        <v>32.9</v>
      </c>
      <c r="AH23" s="66">
        <v>33.9</v>
      </c>
      <c r="AI23" s="66">
        <v>33.9</v>
      </c>
      <c r="AJ23" s="66"/>
      <c r="AK23" s="66"/>
      <c r="AL23" s="66"/>
      <c r="AM23" s="66"/>
      <c r="AN23" s="66"/>
      <c r="AO23" s="66"/>
      <c r="AP23" s="67">
        <f t="shared" si="1"/>
        <v>25</v>
      </c>
      <c r="AQ23" s="68">
        <f t="shared" si="2"/>
        <v>32.599999999999994</v>
      </c>
      <c r="AR23" s="68">
        <f>IFERROR(VLOOKUP(A23,Climatologia_TMAX!A:U,9+$E$2,FALSE),"")</f>
        <v>31.11792011972717</v>
      </c>
      <c r="AS23" s="68">
        <f t="shared" si="3"/>
        <v>1.4820798802728241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>
        <v>37.200000000000003</v>
      </c>
      <c r="AD24" s="66">
        <v>36.4</v>
      </c>
      <c r="AE24" s="66">
        <v>36.799999999999997</v>
      </c>
      <c r="AF24" s="66">
        <v>33</v>
      </c>
      <c r="AG24" s="66">
        <v>35.200000000000003</v>
      </c>
      <c r="AH24" s="66">
        <v>36.200000000000003</v>
      </c>
      <c r="AI24" s="66">
        <v>36.200000000000003</v>
      </c>
      <c r="AJ24" s="66"/>
      <c r="AK24" s="66"/>
      <c r="AL24" s="66"/>
      <c r="AM24" s="66"/>
      <c r="AN24" s="66"/>
      <c r="AO24" s="66"/>
      <c r="AP24" s="67">
        <f t="shared" si="1"/>
        <v>25</v>
      </c>
      <c r="AQ24" s="68">
        <f t="shared" si="2"/>
        <v>35.912000000000006</v>
      </c>
      <c r="AR24" s="68">
        <f>IFERROR(VLOOKUP(A24,Climatologia_TMAX!A:U,9+$E$2,FALSE),"")</f>
        <v>34.619032258064507</v>
      </c>
      <c r="AS24" s="68">
        <f t="shared" si="3"/>
        <v>1.2929677419354988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>
        <v>28.6</v>
      </c>
      <c r="AD25" s="66">
        <v>27.5</v>
      </c>
      <c r="AE25" s="66">
        <v>28.3</v>
      </c>
      <c r="AF25" s="66">
        <v>27</v>
      </c>
      <c r="AG25" s="66">
        <v>28.5</v>
      </c>
      <c r="AH25" s="66">
        <v>28.5</v>
      </c>
      <c r="AI25" s="66">
        <v>27.8</v>
      </c>
      <c r="AJ25" s="66"/>
      <c r="AK25" s="66"/>
      <c r="AL25" s="66"/>
      <c r="AM25" s="66"/>
      <c r="AN25" s="66"/>
      <c r="AO25" s="66"/>
      <c r="AP25" s="67">
        <f t="shared" si="1"/>
        <v>25</v>
      </c>
      <c r="AQ25" s="68">
        <f t="shared" si="2"/>
        <v>27.307999999999996</v>
      </c>
      <c r="AR25" s="68">
        <f>IFERROR(VLOOKUP(A25,Climatologia_TMAX!A:U,9+$E$2,FALSE),"")</f>
        <v>26.14732965766952</v>
      </c>
      <c r="AS25" s="68">
        <f t="shared" si="3"/>
        <v>1.1606703423304765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>
        <v>15.6</v>
      </c>
      <c r="AD26" s="66">
        <v>14.2</v>
      </c>
      <c r="AE26" s="66">
        <v>15.4</v>
      </c>
      <c r="AF26" s="66">
        <v>16.600000000000001</v>
      </c>
      <c r="AG26" s="66">
        <v>17.399999999999999</v>
      </c>
      <c r="AH26" s="66">
        <v>17</v>
      </c>
      <c r="AI26" s="66">
        <v>13.8</v>
      </c>
      <c r="AJ26" s="66"/>
      <c r="AK26" s="66"/>
      <c r="AL26" s="66"/>
      <c r="AM26" s="66"/>
      <c r="AN26" s="66"/>
      <c r="AO26" s="66"/>
      <c r="AP26" s="67">
        <f t="shared" si="1"/>
        <v>25</v>
      </c>
      <c r="AQ26" s="68">
        <f t="shared" si="2"/>
        <v>15.543999999999999</v>
      </c>
      <c r="AR26" s="68">
        <f>IFERROR(VLOOKUP(A26,Climatologia_TMAX!A:U,9+$E$2,FALSE),"")</f>
        <v>14.98521690767519</v>
      </c>
      <c r="AS26" s="68">
        <f t="shared" si="3"/>
        <v>0.55878309232480916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>
        <v>33.700000000000003</v>
      </c>
      <c r="AD27" s="66">
        <v>32.799999999999997</v>
      </c>
      <c r="AE27" s="66">
        <v>33.4</v>
      </c>
      <c r="AF27" s="66">
        <v>29.4</v>
      </c>
      <c r="AG27" s="66">
        <v>34</v>
      </c>
      <c r="AH27" s="66">
        <v>32.4</v>
      </c>
      <c r="AI27" s="66">
        <v>32.799999999999997</v>
      </c>
      <c r="AJ27" s="66"/>
      <c r="AK27" s="66"/>
      <c r="AL27" s="66"/>
      <c r="AM27" s="66"/>
      <c r="AN27" s="66"/>
      <c r="AO27" s="66"/>
      <c r="AP27" s="67">
        <f t="shared" si="1"/>
        <v>25</v>
      </c>
      <c r="AQ27" s="68">
        <f t="shared" si="2"/>
        <v>32.247999999999998</v>
      </c>
      <c r="AR27" s="68">
        <f>IFERROR(VLOOKUP(A27,Climatologia_TMAX!A:U,9+$E$2,FALSE),"")</f>
        <v>31.229699666295879</v>
      </c>
      <c r="AS27" s="68">
        <f t="shared" si="3"/>
        <v>1.0183003337041185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>
        <v>33.9</v>
      </c>
      <c r="AD28" s="66">
        <v>33</v>
      </c>
      <c r="AE28" s="66">
        <v>32.299999999999997</v>
      </c>
      <c r="AF28" s="66">
        <v>33.299999999999997</v>
      </c>
      <c r="AG28" s="66">
        <v>28</v>
      </c>
      <c r="AH28" s="66">
        <v>33.200000000000003</v>
      </c>
      <c r="AI28" s="66">
        <v>33.9</v>
      </c>
      <c r="AJ28" s="66"/>
      <c r="AK28" s="66"/>
      <c r="AL28" s="66"/>
      <c r="AM28" s="66"/>
      <c r="AN28" s="66"/>
      <c r="AO28" s="66"/>
      <c r="AP28" s="67">
        <f t="shared" si="1"/>
        <v>25</v>
      </c>
      <c r="AQ28" s="68">
        <f t="shared" si="2"/>
        <v>32.267999999999986</v>
      </c>
      <c r="AR28" s="68">
        <f>IFERROR(VLOOKUP(A28,Climatologia_TMAX!A:U,9+$E$2,FALSE),"")</f>
        <v>30.80035842293907</v>
      </c>
      <c r="AS28" s="68">
        <f t="shared" si="3"/>
        <v>1.4676415770609168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>
        <v>33</v>
      </c>
      <c r="AD29" s="66">
        <v>33.6</v>
      </c>
      <c r="AE29" s="66">
        <v>29.4</v>
      </c>
      <c r="AF29" s="66">
        <v>32.6</v>
      </c>
      <c r="AG29" s="66">
        <v>30</v>
      </c>
      <c r="AH29" s="66">
        <v>31.8</v>
      </c>
      <c r="AI29" s="66">
        <v>33.799999999999997</v>
      </c>
      <c r="AJ29" s="66"/>
      <c r="AK29" s="66"/>
      <c r="AL29" s="66"/>
      <c r="AM29" s="66"/>
      <c r="AN29" s="66"/>
      <c r="AO29" s="66"/>
      <c r="AP29" s="67">
        <f t="shared" si="1"/>
        <v>25</v>
      </c>
      <c r="AQ29" s="68">
        <f t="shared" si="2"/>
        <v>32.036000000000001</v>
      </c>
      <c r="AR29" s="68">
        <f>IFERROR(VLOOKUP(A29,Climatologia_TMAX!A:U,9+$E$2,FALSE),"")</f>
        <v>31.513637374860959</v>
      </c>
      <c r="AS29" s="68">
        <f t="shared" si="3"/>
        <v>0.52236262513904208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>
        <v>32.6</v>
      </c>
      <c r="AD30" s="66">
        <v>32.6</v>
      </c>
      <c r="AE30" s="66">
        <v>30.4</v>
      </c>
      <c r="AF30" s="66">
        <v>30</v>
      </c>
      <c r="AG30" s="66">
        <v>28</v>
      </c>
      <c r="AH30" s="66">
        <v>31.4</v>
      </c>
      <c r="AI30" s="66">
        <v>29.8</v>
      </c>
      <c r="AJ30" s="66"/>
      <c r="AK30" s="66"/>
      <c r="AL30" s="66"/>
      <c r="AM30" s="66"/>
      <c r="AN30" s="66"/>
      <c r="AO30" s="66"/>
      <c r="AP30" s="67">
        <f t="shared" si="1"/>
        <v>25</v>
      </c>
      <c r="AQ30" s="68">
        <f t="shared" si="2"/>
        <v>30.695999999999994</v>
      </c>
      <c r="AR30" s="68">
        <f>IFERROR(VLOOKUP(A30,Climatologia_TMAX!A:U,9+$E$2,FALSE),"")</f>
        <v>29.807563959955498</v>
      </c>
      <c r="AS30" s="68">
        <f t="shared" si="3"/>
        <v>0.88843604004449617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>
        <v>31</v>
      </c>
      <c r="AD31" s="105">
        <v>33.6</v>
      </c>
      <c r="AE31" s="105">
        <v>29.6</v>
      </c>
      <c r="AF31" s="105">
        <v>31.9</v>
      </c>
      <c r="AG31" s="105">
        <v>28.5</v>
      </c>
      <c r="AH31" s="105">
        <v>32.200000000000003</v>
      </c>
      <c r="AI31" s="105">
        <v>33.5</v>
      </c>
      <c r="AJ31" s="105"/>
      <c r="AK31" s="105"/>
      <c r="AL31" s="105"/>
      <c r="AM31" s="105"/>
      <c r="AN31" s="105"/>
      <c r="AO31" s="105"/>
      <c r="AP31" s="67">
        <f t="shared" si="1"/>
        <v>25</v>
      </c>
      <c r="AQ31" s="68">
        <f t="shared" si="2"/>
        <v>31.772000000000002</v>
      </c>
      <c r="AR31" s="68">
        <f>IFERROR(VLOOKUP(A31,Climatologia_TMAX!A:U,9+$E$2,FALSE),"")</f>
        <v>31.390004135649299</v>
      </c>
      <c r="AS31" s="68">
        <f t="shared" si="3"/>
        <v>0.38199586435070287</v>
      </c>
      <c r="AT31" s="74">
        <f t="shared" si="4"/>
        <v>33.6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>
        <v>26</v>
      </c>
      <c r="AD33" s="66">
        <v>25.6</v>
      </c>
      <c r="AE33" s="66">
        <v>26.8</v>
      </c>
      <c r="AF33" s="66">
        <v>24.4</v>
      </c>
      <c r="AG33" s="66">
        <v>26.8</v>
      </c>
      <c r="AH33" s="66">
        <v>25</v>
      </c>
      <c r="AI33" s="66">
        <v>26.8</v>
      </c>
      <c r="AJ33" s="66"/>
      <c r="AK33" s="66"/>
      <c r="AL33" s="66"/>
      <c r="AM33" s="66"/>
      <c r="AN33" s="66"/>
      <c r="AO33" s="66"/>
      <c r="AP33" s="67">
        <f t="shared" si="1"/>
        <v>25</v>
      </c>
      <c r="AQ33" s="68">
        <f t="shared" si="2"/>
        <v>26.11999999999999</v>
      </c>
      <c r="AR33" s="68">
        <f>IFERROR(VLOOKUP(A33,Climatologia_TMAX!A:U,9+$E$2,FALSE),"")</f>
        <v>24.65905872628246</v>
      </c>
      <c r="AS33" s="68">
        <f t="shared" si="3"/>
        <v>1.4609412737175305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>
        <v>38</v>
      </c>
      <c r="AD36" s="66">
        <v>37.799999999999997</v>
      </c>
      <c r="AE36" s="66">
        <v>37.799999999999997</v>
      </c>
      <c r="AF36" s="66">
        <v>37.6</v>
      </c>
      <c r="AG36" s="66">
        <v>36.4</v>
      </c>
      <c r="AH36" s="66">
        <v>36.799999999999997</v>
      </c>
      <c r="AI36" s="66">
        <v>38.200000000000003</v>
      </c>
      <c r="AJ36" s="66"/>
      <c r="AK36" s="66"/>
      <c r="AL36" s="66"/>
      <c r="AM36" s="66"/>
      <c r="AN36" s="66"/>
      <c r="AO36" s="66"/>
      <c r="AP36" s="67">
        <f t="shared" si="1"/>
        <v>25</v>
      </c>
      <c r="AQ36" s="68">
        <f t="shared" si="2"/>
        <v>37.735999999999997</v>
      </c>
      <c r="AR36" s="68">
        <f>IFERROR(VLOOKUP(A36,Climatologia_TMAX!A:U,9+$E$2,FALSE),"")</f>
        <v>34.16273657398132</v>
      </c>
      <c r="AS36" s="68">
        <f t="shared" si="3"/>
        <v>3.5732634260186771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>
        <v>29.6</v>
      </c>
      <c r="AD38" s="66">
        <v>29.4</v>
      </c>
      <c r="AE38" s="66">
        <v>29</v>
      </c>
      <c r="AF38" s="66">
        <v>27.4</v>
      </c>
      <c r="AG38" s="66">
        <v>28.4</v>
      </c>
      <c r="AH38" s="66">
        <v>29.8</v>
      </c>
      <c r="AI38" s="66">
        <v>29</v>
      </c>
      <c r="AJ38" s="66"/>
      <c r="AK38" s="66"/>
      <c r="AL38" s="66"/>
      <c r="AM38" s="66"/>
      <c r="AN38" s="66"/>
      <c r="AO38" s="66"/>
      <c r="AP38" s="67">
        <f t="shared" si="1"/>
        <v>25</v>
      </c>
      <c r="AQ38" s="68">
        <f t="shared" si="2"/>
        <v>28.703999999999997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>
        <v>27.4</v>
      </c>
      <c r="AD39" s="66">
        <v>27.2</v>
      </c>
      <c r="AE39" s="66">
        <v>27.2</v>
      </c>
      <c r="AF39" s="66">
        <v>26.4</v>
      </c>
      <c r="AG39" s="66">
        <v>25.8</v>
      </c>
      <c r="AH39" s="66">
        <v>26.6</v>
      </c>
      <c r="AI39" s="66">
        <v>27.6</v>
      </c>
      <c r="AJ39" s="66"/>
      <c r="AK39" s="66"/>
      <c r="AL39" s="66"/>
      <c r="AM39" s="66"/>
      <c r="AN39" s="66"/>
      <c r="AO39" s="66"/>
      <c r="AP39" s="67">
        <f t="shared" si="1"/>
        <v>25</v>
      </c>
      <c r="AQ39" s="68">
        <f t="shared" si="2"/>
        <v>27.068000000000001</v>
      </c>
      <c r="AR39" s="68">
        <f>IFERROR(VLOOKUP(A39,Climatologia_TMAX!A:U,9+$E$2,FALSE),"")</f>
        <v>23.769828120099859</v>
      </c>
      <c r="AS39" s="68">
        <f t="shared" si="3"/>
        <v>3.298171879900142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>
        <v>22.8</v>
      </c>
      <c r="AD40" s="66">
        <v>21.8</v>
      </c>
      <c r="AE40" s="66">
        <v>22.8</v>
      </c>
      <c r="AF40" s="66">
        <v>21.6</v>
      </c>
      <c r="AG40" s="66">
        <v>22.2</v>
      </c>
      <c r="AH40" s="66">
        <v>22.6</v>
      </c>
      <c r="AI40" s="66">
        <v>22.8</v>
      </c>
      <c r="AJ40" s="66"/>
      <c r="AK40" s="66"/>
      <c r="AL40" s="66"/>
      <c r="AM40" s="66"/>
      <c r="AN40" s="66"/>
      <c r="AO40" s="66"/>
      <c r="AP40" s="67">
        <f t="shared" si="1"/>
        <v>25</v>
      </c>
      <c r="AQ40" s="68">
        <f t="shared" si="2"/>
        <v>22.231999999999999</v>
      </c>
      <c r="AR40" s="68">
        <f>IFERROR(VLOOKUP(A40,Climatologia_TMAX!A:U,9+$E$2,FALSE),"")</f>
        <v>20.644739340007408</v>
      </c>
      <c r="AS40" s="68">
        <f t="shared" si="3"/>
        <v>1.5872606599925909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>
        <v>33</v>
      </c>
      <c r="AD42" s="66">
        <v>31.6</v>
      </c>
      <c r="AE42" s="66">
        <v>33</v>
      </c>
      <c r="AF42" s="66">
        <v>32</v>
      </c>
      <c r="AG42" s="66">
        <v>33.4</v>
      </c>
      <c r="AH42" s="66">
        <v>34.4</v>
      </c>
      <c r="AI42" s="66">
        <v>34</v>
      </c>
      <c r="AJ42" s="66"/>
      <c r="AK42" s="66"/>
      <c r="AL42" s="66"/>
      <c r="AM42" s="66"/>
      <c r="AN42" s="66"/>
      <c r="AO42" s="66"/>
      <c r="AP42" s="67">
        <f t="shared" si="1"/>
        <v>25</v>
      </c>
      <c r="AQ42" s="68">
        <f t="shared" si="2"/>
        <v>32.735999999999997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>
        <v>34.200000000000003</v>
      </c>
      <c r="AD43" s="66">
        <v>35.200000000000003</v>
      </c>
      <c r="AE43" s="66">
        <v>34.200000000000003</v>
      </c>
      <c r="AF43" s="66">
        <v>30.6</v>
      </c>
      <c r="AG43" s="66">
        <v>33.200000000000003</v>
      </c>
      <c r="AH43" s="66">
        <v>32.6</v>
      </c>
      <c r="AI43" s="66">
        <v>33.4</v>
      </c>
      <c r="AJ43" s="66"/>
      <c r="AK43" s="66"/>
      <c r="AL43" s="66"/>
      <c r="AM43" s="66"/>
      <c r="AN43" s="66"/>
      <c r="AO43" s="66"/>
      <c r="AP43" s="67">
        <f t="shared" si="1"/>
        <v>25</v>
      </c>
      <c r="AQ43" s="68">
        <f t="shared" si="2"/>
        <v>32.808000000000014</v>
      </c>
      <c r="AR43" s="68">
        <f>IFERROR(VLOOKUP(A43,Climatologia_TMAX!A:U,9+$E$2,FALSE),"")</f>
        <v>31.773456872106181</v>
      </c>
      <c r="AS43" s="68">
        <f t="shared" si="3"/>
        <v>1.0345431278938335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>
        <v>29</v>
      </c>
      <c r="AD44" s="66">
        <v>28.2</v>
      </c>
      <c r="AE44" s="66">
        <v>27</v>
      </c>
      <c r="AF44" s="66">
        <v>27.8</v>
      </c>
      <c r="AG44" s="66">
        <v>29</v>
      </c>
      <c r="AH44" s="66">
        <v>29.2</v>
      </c>
      <c r="AI44" s="66">
        <v>27.8</v>
      </c>
      <c r="AJ44" s="66"/>
      <c r="AK44" s="66"/>
      <c r="AL44" s="66"/>
      <c r="AM44" s="66"/>
      <c r="AN44" s="66"/>
      <c r="AO44" s="66"/>
      <c r="AP44" s="67">
        <f t="shared" si="1"/>
        <v>24</v>
      </c>
      <c r="AQ44" s="68">
        <f t="shared" si="2"/>
        <v>28.049999999999997</v>
      </c>
      <c r="AR44" s="68">
        <f>IFERROR(VLOOKUP(A44,Climatologia_TMAX!A:U,9+$E$2,FALSE),"")</f>
        <v>23.004822024471629</v>
      </c>
      <c r="AS44" s="68">
        <f t="shared" si="3"/>
        <v>5.0451779755283681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>
        <v>36</v>
      </c>
      <c r="AD45" s="66">
        <v>37</v>
      </c>
      <c r="AE45" s="66">
        <v>36.6</v>
      </c>
      <c r="AF45" s="66">
        <v>33.6</v>
      </c>
      <c r="AG45" s="66">
        <v>35.6</v>
      </c>
      <c r="AH45" s="66">
        <v>35</v>
      </c>
      <c r="AI45" s="66">
        <v>36.4</v>
      </c>
      <c r="AJ45" s="66"/>
      <c r="AK45" s="66"/>
      <c r="AL45" s="66"/>
      <c r="AM45" s="66"/>
      <c r="AN45" s="66"/>
      <c r="AO45" s="66"/>
      <c r="AP45" s="67">
        <f t="shared" si="1"/>
        <v>25</v>
      </c>
      <c r="AQ45" s="68">
        <f t="shared" si="2"/>
        <v>35.368000000000009</v>
      </c>
      <c r="AR45" s="68">
        <f>IFERROR(VLOOKUP(A45,Climatologia_TMAX!A:U,9+$E$2,FALSE),"")</f>
        <v>32.923758320532507</v>
      </c>
      <c r="AS45" s="68">
        <f t="shared" si="3"/>
        <v>2.4442416794675026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>
        <v>31.8</v>
      </c>
      <c r="AD46" s="66">
        <v>32.200000000000003</v>
      </c>
      <c r="AE46" s="66">
        <v>32</v>
      </c>
      <c r="AF46" s="66">
        <v>30.2</v>
      </c>
      <c r="AG46" s="66">
        <v>32.200000000000003</v>
      </c>
      <c r="AH46" s="66">
        <v>31.2</v>
      </c>
      <c r="AI46" s="66">
        <v>32.4</v>
      </c>
      <c r="AJ46" s="66"/>
      <c r="AK46" s="66"/>
      <c r="AL46" s="66"/>
      <c r="AM46" s="66"/>
      <c r="AN46" s="66"/>
      <c r="AO46" s="66"/>
      <c r="AP46" s="67">
        <f t="shared" si="1"/>
        <v>25</v>
      </c>
      <c r="AQ46" s="68">
        <f t="shared" si="2"/>
        <v>31.656000000000002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>
        <v>35.6</v>
      </c>
      <c r="AD49" s="66">
        <v>35.4</v>
      </c>
      <c r="AE49" s="66">
        <v>36.4</v>
      </c>
      <c r="AF49" s="66">
        <v>32</v>
      </c>
      <c r="AG49" s="66">
        <v>34</v>
      </c>
      <c r="AH49" s="66">
        <v>34.799999999999997</v>
      </c>
      <c r="AI49" s="66">
        <v>35.200000000000003</v>
      </c>
      <c r="AJ49" s="66"/>
      <c r="AK49" s="66"/>
      <c r="AL49" s="66"/>
      <c r="AM49" s="66"/>
      <c r="AN49" s="66"/>
      <c r="AO49" s="66"/>
      <c r="AP49" s="67">
        <f t="shared" si="1"/>
        <v>25</v>
      </c>
      <c r="AQ49" s="68">
        <f t="shared" si="2"/>
        <v>34.619999999999997</v>
      </c>
      <c r="AR49" s="68">
        <f>IFERROR(VLOOKUP(A49,Climatologia_TMAX!A:U,9+$E$2,FALSE),"")</f>
        <v>32.535336464610658</v>
      </c>
      <c r="AS49" s="68">
        <f t="shared" si="3"/>
        <v>2.084663535389339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>
        <v>33</v>
      </c>
      <c r="AD52" s="66">
        <v>33.200000000000003</v>
      </c>
      <c r="AE52" s="66">
        <v>33.799999999999997</v>
      </c>
      <c r="AF52" s="66">
        <v>32.200000000000003</v>
      </c>
      <c r="AG52" s="66">
        <v>32.4</v>
      </c>
      <c r="AH52" s="66">
        <v>32</v>
      </c>
      <c r="AI52" s="66">
        <v>33.200000000000003</v>
      </c>
      <c r="AJ52" s="66"/>
      <c r="AK52" s="66"/>
      <c r="AL52" s="66"/>
      <c r="AM52" s="66"/>
      <c r="AN52" s="66"/>
      <c r="AO52" s="66"/>
      <c r="AP52" s="67">
        <f t="shared" si="1"/>
        <v>25</v>
      </c>
      <c r="AQ52" s="68">
        <f t="shared" si="2"/>
        <v>32.455999999999996</v>
      </c>
      <c r="AR52" s="68">
        <f>IFERROR(VLOOKUP(A52,Climatologia_TMAX!A:U,9+$E$2,FALSE),"")</f>
        <v>31.265434885322311</v>
      </c>
      <c r="AS52" s="68">
        <f t="shared" si="3"/>
        <v>1.1905651146776854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>
        <v>35.200000000000003</v>
      </c>
      <c r="AD53" s="66">
        <v>33.200000000000003</v>
      </c>
      <c r="AE53" s="66">
        <v>34</v>
      </c>
      <c r="AF53" s="66">
        <v>29.2</v>
      </c>
      <c r="AG53" s="66">
        <v>34.799999999999997</v>
      </c>
      <c r="AH53" s="66">
        <v>32.799999999999997</v>
      </c>
      <c r="AI53" s="66">
        <v>34.799999999999997</v>
      </c>
      <c r="AJ53" s="66"/>
      <c r="AK53" s="66"/>
      <c r="AL53" s="66"/>
      <c r="AM53" s="66"/>
      <c r="AN53" s="66"/>
      <c r="AO53" s="66"/>
      <c r="AP53" s="67">
        <f t="shared" si="1"/>
        <v>25</v>
      </c>
      <c r="AQ53" s="68">
        <f t="shared" si="2"/>
        <v>33.704000000000008</v>
      </c>
      <c r="AR53" s="68">
        <f>IFERROR(VLOOKUP(A53,Climatologia_TMAX!A:U,9+$E$2,FALSE),"")</f>
        <v>32.397587365591413</v>
      </c>
      <c r="AS53" s="68">
        <f t="shared" si="3"/>
        <v>1.3064126344085949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>
        <v>39</v>
      </c>
      <c r="AD54" s="66">
        <v>39</v>
      </c>
      <c r="AE54" s="66">
        <v>39.200000000000003</v>
      </c>
      <c r="AF54" s="66">
        <v>35.4</v>
      </c>
      <c r="AG54" s="66">
        <v>38.4</v>
      </c>
      <c r="AH54" s="66">
        <v>37</v>
      </c>
      <c r="AI54" s="66">
        <v>36.799999999999997</v>
      </c>
      <c r="AJ54" s="66"/>
      <c r="AK54" s="66"/>
      <c r="AL54" s="66"/>
      <c r="AM54" s="66"/>
      <c r="AN54" s="66"/>
      <c r="AO54" s="66"/>
      <c r="AP54" s="67">
        <f t="shared" si="1"/>
        <v>25</v>
      </c>
      <c r="AQ54" s="68">
        <f t="shared" si="2"/>
        <v>37.519999999999996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>
        <v>37.4</v>
      </c>
      <c r="AD55" s="66">
        <v>36.799999999999997</v>
      </c>
      <c r="AE55" s="66">
        <v>37.6</v>
      </c>
      <c r="AF55" s="66">
        <v>32.4</v>
      </c>
      <c r="AG55" s="66">
        <v>36.4</v>
      </c>
      <c r="AH55" s="66">
        <v>35.799999999999997</v>
      </c>
      <c r="AI55" s="66">
        <v>37</v>
      </c>
      <c r="AJ55" s="66"/>
      <c r="AK55" s="66"/>
      <c r="AL55" s="66"/>
      <c r="AM55" s="66"/>
      <c r="AN55" s="109"/>
      <c r="AO55" s="66"/>
      <c r="AP55" s="67">
        <f t="shared" si="1"/>
        <v>24</v>
      </c>
      <c r="AQ55" s="68">
        <f t="shared" si="2"/>
        <v>35.708333333333329</v>
      </c>
      <c r="AR55" s="68">
        <f>IFERROR(VLOOKUP(A55,Climatologia_TMAX!A:U,9+$E$2,FALSE),"")</f>
        <v>32.916625540651467</v>
      </c>
      <c r="AS55" s="68">
        <f t="shared" si="3"/>
        <v>2.7917077926818621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>
        <v>34.9</v>
      </c>
      <c r="AD67" s="66">
        <v>35</v>
      </c>
      <c r="AE67" s="66">
        <v>35</v>
      </c>
      <c r="AF67" s="66">
        <v>35</v>
      </c>
      <c r="AG67" s="66">
        <v>34.200000000000003</v>
      </c>
      <c r="AH67" s="66">
        <v>33</v>
      </c>
      <c r="AI67" s="66">
        <v>34.200000000000003</v>
      </c>
      <c r="AJ67" s="66"/>
      <c r="AK67" s="66"/>
      <c r="AL67" s="66"/>
      <c r="AM67" s="66"/>
      <c r="AN67" s="66"/>
      <c r="AO67" s="66"/>
      <c r="AP67" s="67">
        <f t="shared" si="1"/>
        <v>25</v>
      </c>
      <c r="AQ67" s="68">
        <f t="shared" si="2"/>
        <v>33.676000000000002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>
        <v>35.200000000000003</v>
      </c>
      <c r="AD76" s="66">
        <v>36.4</v>
      </c>
      <c r="AE76" s="66">
        <v>36</v>
      </c>
      <c r="AF76" s="66">
        <v>32.4</v>
      </c>
      <c r="AG76" s="66">
        <v>35</v>
      </c>
      <c r="AH76" s="66">
        <v>34.4</v>
      </c>
      <c r="AI76" s="66">
        <v>35.6</v>
      </c>
      <c r="AJ76" s="66"/>
      <c r="AK76" s="66"/>
      <c r="AL76" s="66"/>
      <c r="AM76" s="66"/>
      <c r="AN76" s="66"/>
      <c r="AO76" s="66"/>
      <c r="AP76" s="67">
        <f t="shared" si="6"/>
        <v>25</v>
      </c>
      <c r="AQ76" s="68">
        <f t="shared" si="7"/>
        <v>34.648000000000003</v>
      </c>
      <c r="AR76" s="68">
        <f>IFERROR(VLOOKUP(A76,Climatologia_TMAX!A:U,9+$E$2,FALSE),"")</f>
        <v>32.131914371977928</v>
      </c>
      <c r="AS76" s="68">
        <f t="shared" si="8"/>
        <v>2.5160856280220756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>
        <v>33.200000000000003</v>
      </c>
      <c r="AD77" s="66">
        <v>31.6</v>
      </c>
      <c r="AE77" s="66">
        <v>28.4</v>
      </c>
      <c r="AF77" s="66">
        <v>31.8</v>
      </c>
      <c r="AG77" s="66">
        <v>30.6</v>
      </c>
      <c r="AH77" s="66">
        <v>32.6</v>
      </c>
      <c r="AI77" s="66">
        <v>30.6</v>
      </c>
      <c r="AJ77" s="66"/>
      <c r="AK77" s="66"/>
      <c r="AL77" s="66"/>
      <c r="AM77" s="66"/>
      <c r="AN77" s="66"/>
      <c r="AO77" s="66"/>
      <c r="AP77" s="67">
        <f t="shared" si="6"/>
        <v>25</v>
      </c>
      <c r="AQ77" s="68">
        <f t="shared" si="7"/>
        <v>31.328000000000007</v>
      </c>
      <c r="AR77" s="68">
        <f>IFERROR(VLOOKUP(A77,Climatologia_TMAX!A:U,9+$E$2,FALSE),"")</f>
        <v>30.717419354838722</v>
      </c>
      <c r="AS77" s="68">
        <f t="shared" si="8"/>
        <v>0.61058064516128496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>
        <v>31.6</v>
      </c>
      <c r="W79" s="66"/>
      <c r="X79" s="66">
        <v>31.2</v>
      </c>
      <c r="Y79" s="66">
        <v>30.4</v>
      </c>
      <c r="Z79" s="66">
        <v>30.2</v>
      </c>
      <c r="AA79" s="66">
        <v>29.2</v>
      </c>
      <c r="AB79" s="66">
        <v>31.6</v>
      </c>
      <c r="AC79" s="66">
        <v>32.4</v>
      </c>
      <c r="AD79" s="66">
        <v>31.2</v>
      </c>
      <c r="AE79" s="66">
        <v>31.6</v>
      </c>
      <c r="AF79" s="66">
        <v>31.6</v>
      </c>
      <c r="AG79" s="66">
        <v>31.4</v>
      </c>
      <c r="AH79" s="66">
        <v>32.4</v>
      </c>
      <c r="AI79" s="66">
        <v>30.5</v>
      </c>
      <c r="AJ79" s="66"/>
      <c r="AK79" s="66"/>
      <c r="AL79" s="66"/>
      <c r="AM79" s="66"/>
      <c r="AN79" s="66"/>
      <c r="AO79" s="66"/>
      <c r="AP79" s="67">
        <f t="shared" si="6"/>
        <v>24</v>
      </c>
      <c r="AQ79" s="68">
        <f t="shared" si="7"/>
        <v>30.920833333333334</v>
      </c>
      <c r="AR79" s="68">
        <f>IFERROR(VLOOKUP(A79,Climatologia_TMAX!A:U,9+$E$2,FALSE),"")</f>
        <v>30.493981023477001</v>
      </c>
      <c r="AS79" s="68">
        <f t="shared" si="8"/>
        <v>0.42685230985633282</v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>
        <v>33.4</v>
      </c>
      <c r="AD80" s="66">
        <v>32.4</v>
      </c>
      <c r="AE80" s="66">
        <v>30.8</v>
      </c>
      <c r="AF80" s="66">
        <v>30.8</v>
      </c>
      <c r="AG80" s="66">
        <v>30</v>
      </c>
      <c r="AH80" s="66">
        <v>32</v>
      </c>
      <c r="AI80" s="66">
        <v>30</v>
      </c>
      <c r="AJ80" s="66"/>
      <c r="AK80" s="66"/>
      <c r="AL80" s="66"/>
      <c r="AM80" s="66"/>
      <c r="AN80" s="66"/>
      <c r="AO80" s="66"/>
      <c r="AP80" s="67">
        <f t="shared" si="6"/>
        <v>20</v>
      </c>
      <c r="AQ80" s="68">
        <f t="shared" si="7"/>
        <v>31.749999999999993</v>
      </c>
      <c r="AR80" s="68">
        <f>IFERROR(VLOOKUP(A80,Climatologia_TMAX!A:U,9+$E$2,FALSE),"")</f>
        <v>30.68247751700186</v>
      </c>
      <c r="AS80" s="68">
        <f t="shared" si="8"/>
        <v>1.0675224829981325</v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>
        <v>32.6</v>
      </c>
      <c r="AD81" s="66">
        <v>32.4</v>
      </c>
      <c r="AE81" s="66">
        <v>32.4</v>
      </c>
      <c r="AF81" s="66"/>
      <c r="AG81" s="66">
        <v>32.200000000000003</v>
      </c>
      <c r="AH81" s="66">
        <v>32.200000000000003</v>
      </c>
      <c r="AI81" s="66">
        <v>32.200000000000003</v>
      </c>
      <c r="AJ81" s="66"/>
      <c r="AK81" s="66"/>
      <c r="AL81" s="66"/>
      <c r="AM81" s="66"/>
      <c r="AN81" s="66"/>
      <c r="AO81" s="66"/>
      <c r="AP81" s="67">
        <f t="shared" si="6"/>
        <v>24</v>
      </c>
      <c r="AQ81" s="68">
        <f t="shared" si="7"/>
        <v>31.270833333333339</v>
      </c>
      <c r="AR81" s="68">
        <f>IFERROR(VLOOKUP(A81,Climatologia_TMAX!A:U,9+$E$2,FALSE),"")</f>
        <v>30.066096038514271</v>
      </c>
      <c r="AS81" s="68">
        <f t="shared" si="8"/>
        <v>1.2047372948190684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>
        <v>34</v>
      </c>
      <c r="AD83" s="66">
        <v>32.4</v>
      </c>
      <c r="AE83" s="66">
        <v>31</v>
      </c>
      <c r="AF83" s="66">
        <v>31.1</v>
      </c>
      <c r="AG83" s="66">
        <v>29.4</v>
      </c>
      <c r="AH83" s="66">
        <v>32.4</v>
      </c>
      <c r="AI83" s="66">
        <v>32</v>
      </c>
      <c r="AJ83" s="66"/>
      <c r="AK83" s="66"/>
      <c r="AL83" s="66"/>
      <c r="AM83" s="66"/>
      <c r="AN83" s="66"/>
      <c r="AO83" s="66"/>
      <c r="AP83" s="67">
        <f t="shared" si="6"/>
        <v>25</v>
      </c>
      <c r="AQ83" s="68">
        <f t="shared" si="7"/>
        <v>32.164000000000001</v>
      </c>
      <c r="AR83" s="68">
        <f>IFERROR(VLOOKUP(A83,Climatologia_TMAX!A:U,9+$E$2,FALSE),"")</f>
        <v>30.100740998164522</v>
      </c>
      <c r="AS83" s="68">
        <f t="shared" si="8"/>
        <v>2.0632590018354797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>
        <v>31.4</v>
      </c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>
        <v>32.799999999999997</v>
      </c>
      <c r="AD85" s="66">
        <v>32.6</v>
      </c>
      <c r="AE85" s="66">
        <v>30.6</v>
      </c>
      <c r="AF85" s="66">
        <v>29.8</v>
      </c>
      <c r="AG85" s="66">
        <v>28.4</v>
      </c>
      <c r="AH85" s="66">
        <v>31.6</v>
      </c>
      <c r="AI85" s="66">
        <v>30</v>
      </c>
      <c r="AJ85" s="66"/>
      <c r="AK85" s="66"/>
      <c r="AL85" s="66"/>
      <c r="AM85" s="66"/>
      <c r="AN85" s="66"/>
      <c r="AO85" s="66"/>
      <c r="AP85" s="67">
        <f t="shared" si="6"/>
        <v>25</v>
      </c>
      <c r="AQ85" s="68">
        <f t="shared" si="7"/>
        <v>30.92</v>
      </c>
      <c r="AR85" s="68">
        <f>IFERROR(VLOOKUP(A85,Climatologia_TMAX!A:U,9+$E$2,FALSE),"")</f>
        <v>30.126684246732939</v>
      </c>
      <c r="AS85" s="68">
        <f t="shared" si="8"/>
        <v>0.79331575326706272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>
        <v>30.6</v>
      </c>
      <c r="Z86" s="66">
        <v>28.6</v>
      </c>
      <c r="AA86" s="66">
        <v>28.2</v>
      </c>
      <c r="AB86" s="66">
        <v>30.6</v>
      </c>
      <c r="AC86" s="66">
        <v>33</v>
      </c>
      <c r="AD86" s="66">
        <v>31.8</v>
      </c>
      <c r="AE86" s="66">
        <v>31.4</v>
      </c>
      <c r="AF86" s="66">
        <v>31</v>
      </c>
      <c r="AG86" s="66">
        <v>30.8</v>
      </c>
      <c r="AH86" s="66">
        <v>32.6</v>
      </c>
      <c r="AI86" s="66">
        <v>30.8</v>
      </c>
      <c r="AJ86" s="66"/>
      <c r="AK86" s="66"/>
      <c r="AL86" s="66"/>
      <c r="AM86" s="66"/>
      <c r="AN86" s="66"/>
      <c r="AO86" s="66"/>
      <c r="AP86" s="67">
        <f t="shared" si="6"/>
        <v>25</v>
      </c>
      <c r="AQ86" s="68">
        <f t="shared" si="7"/>
        <v>31.319999999999997</v>
      </c>
      <c r="AR86" s="68">
        <f>IFERROR(VLOOKUP(A86,Climatologia_TMAX!A:U,9+$E$2,FALSE),"")</f>
        <v>30.211657926170119</v>
      </c>
      <c r="AS86" s="68">
        <f t="shared" si="8"/>
        <v>1.1083420738298777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>
        <v>32.4</v>
      </c>
      <c r="AD87" s="66">
        <v>33.200000000000003</v>
      </c>
      <c r="AE87" s="66">
        <v>28.2</v>
      </c>
      <c r="AF87" s="66">
        <v>31.6</v>
      </c>
      <c r="AG87" s="66">
        <v>28.6</v>
      </c>
      <c r="AH87" s="66">
        <v>33</v>
      </c>
      <c r="AI87" s="66">
        <v>30.8</v>
      </c>
      <c r="AJ87" s="66"/>
      <c r="AK87" s="66"/>
      <c r="AL87" s="66"/>
      <c r="AM87" s="66"/>
      <c r="AN87" s="66"/>
      <c r="AO87" s="66"/>
      <c r="AP87" s="67">
        <f t="shared" si="6"/>
        <v>25</v>
      </c>
      <c r="AQ87" s="68">
        <f t="shared" si="7"/>
        <v>31.559999999999995</v>
      </c>
      <c r="AR87" s="68">
        <f>IFERROR(VLOOKUP(A87,Climatologia_TMAX!A:U,9+$E$2,FALSE),"")</f>
        <v>30.420577139515899</v>
      </c>
      <c r="AS87" s="68">
        <f t="shared" si="8"/>
        <v>1.1394228604840961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>
        <v>31</v>
      </c>
      <c r="AD90" s="66">
        <v>32.299999999999997</v>
      </c>
      <c r="AE90" s="66">
        <v>31</v>
      </c>
      <c r="AF90" s="109">
        <v>30.3</v>
      </c>
      <c r="AG90" s="66">
        <v>29.3</v>
      </c>
      <c r="AH90" s="66">
        <v>32.200000000000003</v>
      </c>
      <c r="AI90" s="66">
        <v>30.4</v>
      </c>
      <c r="AJ90" s="66"/>
      <c r="AK90" s="66"/>
      <c r="AL90" s="66"/>
      <c r="AM90" s="66"/>
      <c r="AN90" s="66"/>
      <c r="AO90" s="66"/>
      <c r="AP90" s="67">
        <f t="shared" si="6"/>
        <v>25</v>
      </c>
      <c r="AQ90" s="68">
        <f t="shared" si="7"/>
        <v>31.259999999999991</v>
      </c>
      <c r="AR90" s="68">
        <f>IFERROR(VLOOKUP(A90,Climatologia_TMAX!A:U,9+$E$2,FALSE),"")</f>
        <v>30.14398006331821</v>
      </c>
      <c r="AS90" s="68">
        <f t="shared" si="8"/>
        <v>1.1160199366817807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>
        <v>33</v>
      </c>
      <c r="AD91" s="66">
        <v>32.1</v>
      </c>
      <c r="AE91" s="66">
        <v>29.1</v>
      </c>
      <c r="AF91" s="66">
        <v>32.200000000000003</v>
      </c>
      <c r="AG91" s="66">
        <v>26</v>
      </c>
      <c r="AH91" s="66">
        <v>33.200000000000003</v>
      </c>
      <c r="AI91" s="66">
        <v>31.3</v>
      </c>
      <c r="AJ91" s="66"/>
      <c r="AK91" s="66"/>
      <c r="AL91" s="66"/>
      <c r="AM91" s="66"/>
      <c r="AN91" s="66"/>
      <c r="AO91" s="66"/>
      <c r="AP91" s="67">
        <f t="shared" si="6"/>
        <v>25</v>
      </c>
      <c r="AQ91" s="68">
        <f t="shared" si="7"/>
        <v>31.36000000000001</v>
      </c>
      <c r="AR91" s="68">
        <f>IFERROR(VLOOKUP(A91,Climatologia_TMAX!A:U,9+$E$2,FALSE),"")</f>
        <v>30.948480459796951</v>
      </c>
      <c r="AS91" s="68">
        <f t="shared" si="8"/>
        <v>0.41151954020305936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>
        <v>32.200000000000003</v>
      </c>
      <c r="AD94" s="66">
        <v>33</v>
      </c>
      <c r="AE94" s="66">
        <v>30.4</v>
      </c>
      <c r="AF94" s="66">
        <v>31.8</v>
      </c>
      <c r="AG94" s="66">
        <v>31.4</v>
      </c>
      <c r="AH94" s="66">
        <v>33</v>
      </c>
      <c r="AI94" s="66">
        <v>31.6</v>
      </c>
      <c r="AJ94" s="66"/>
      <c r="AK94" s="66"/>
      <c r="AL94" s="66"/>
      <c r="AM94" s="66"/>
      <c r="AN94" s="66"/>
      <c r="AO94" s="66"/>
      <c r="AP94" s="67">
        <f t="shared" si="6"/>
        <v>25</v>
      </c>
      <c r="AQ94" s="68">
        <f t="shared" si="7"/>
        <v>31.815999999999995</v>
      </c>
      <c r="AR94" s="68">
        <f>IFERROR(VLOOKUP(A94,Climatologia_TMAX!A:U,9+$E$2,FALSE),"")</f>
        <v>31.022074370307589</v>
      </c>
      <c r="AS94" s="68">
        <f t="shared" si="8"/>
        <v>0.79392562969240643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>
        <v>28</v>
      </c>
      <c r="AD99" s="66">
        <v>26.4</v>
      </c>
      <c r="AE99" s="66">
        <v>27.4</v>
      </c>
      <c r="AF99" s="66">
        <v>26</v>
      </c>
      <c r="AG99" s="66">
        <v>25</v>
      </c>
      <c r="AH99" s="66">
        <v>28.2</v>
      </c>
      <c r="AI99" s="66">
        <v>26.2</v>
      </c>
      <c r="AJ99" s="66"/>
      <c r="AK99" s="66"/>
      <c r="AL99" s="66"/>
      <c r="AM99" s="66"/>
      <c r="AN99" s="66"/>
      <c r="AO99" s="66"/>
      <c r="AP99" s="67">
        <f t="shared" si="6"/>
        <v>25</v>
      </c>
      <c r="AQ99" s="68">
        <f t="shared" si="7"/>
        <v>26.152000000000001</v>
      </c>
      <c r="AR99" s="68">
        <f>IFERROR(VLOOKUP(A99,Climatologia_TMAX!A:U,9+$E$2,FALSE),"")</f>
        <v>24.718314208501919</v>
      </c>
      <c r="AS99" s="68">
        <f t="shared" si="8"/>
        <v>1.4336857914980818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>
        <v>40.200000000000003</v>
      </c>
      <c r="AD100" s="66">
        <v>39.799999999999997</v>
      </c>
      <c r="AE100" s="66">
        <v>40</v>
      </c>
      <c r="AF100" s="109">
        <v>37.200000000000003</v>
      </c>
      <c r="AG100" s="66">
        <v>37.799999999999997</v>
      </c>
      <c r="AH100" s="66">
        <v>41.2</v>
      </c>
      <c r="AI100" s="66">
        <v>40.4</v>
      </c>
      <c r="AJ100" s="66"/>
      <c r="AK100" s="66"/>
      <c r="AL100" s="66"/>
      <c r="AM100" s="66"/>
      <c r="AN100" s="66"/>
      <c r="AO100" s="66"/>
      <c r="AP100" s="67">
        <f t="shared" si="6"/>
        <v>25</v>
      </c>
      <c r="AQ100" s="68">
        <f t="shared" si="7"/>
        <v>39.039999999999992</v>
      </c>
      <c r="AR100" s="68">
        <f>IFERROR(VLOOKUP(A100,Climatologia_TMAX!A:U,9+$E$2,FALSE),"")</f>
        <v>37.075361698510143</v>
      </c>
      <c r="AS100" s="68">
        <f t="shared" si="8"/>
        <v>1.964638301489849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>
        <v>31.8</v>
      </c>
      <c r="AD102" s="66">
        <v>31.6</v>
      </c>
      <c r="AE102" s="66">
        <v>31</v>
      </c>
      <c r="AF102" s="66">
        <v>28.2</v>
      </c>
      <c r="AG102" s="66">
        <v>30</v>
      </c>
      <c r="AH102" s="66">
        <v>30.6</v>
      </c>
      <c r="AI102" s="66">
        <v>31.2</v>
      </c>
      <c r="AJ102" s="66"/>
      <c r="AK102" s="66"/>
      <c r="AL102" s="66"/>
      <c r="AM102" s="66"/>
      <c r="AN102" s="66"/>
      <c r="AO102" s="66"/>
      <c r="AP102" s="67">
        <f t="shared" si="6"/>
        <v>24</v>
      </c>
      <c r="AQ102" s="68">
        <f t="shared" si="7"/>
        <v>30.029166666666672</v>
      </c>
      <c r="AR102" s="68">
        <f>IFERROR(VLOOKUP(A102,Climatologia_TMAX!A:U,9+$E$2,FALSE),"")</f>
        <v>27.909677419354839</v>
      </c>
      <c r="AS102" s="68">
        <f t="shared" si="8"/>
        <v>2.119489247311833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>
        <v>39.200000000000003</v>
      </c>
      <c r="AD104" s="66">
        <v>39.4</v>
      </c>
      <c r="AE104" s="66">
        <v>39.4</v>
      </c>
      <c r="AF104" s="66">
        <v>36.200000000000003</v>
      </c>
      <c r="AG104" s="66">
        <v>37.200000000000003</v>
      </c>
      <c r="AH104" s="66">
        <v>37.799999999999997</v>
      </c>
      <c r="AI104" s="66">
        <v>38</v>
      </c>
      <c r="AJ104" s="66"/>
      <c r="AK104" s="66"/>
      <c r="AL104" s="66"/>
      <c r="AM104" s="66"/>
      <c r="AN104" s="66"/>
      <c r="AO104" s="66"/>
      <c r="AP104" s="67">
        <f t="shared" si="6"/>
        <v>25</v>
      </c>
      <c r="AQ104" s="68">
        <f t="shared" si="7"/>
        <v>37.455999999999996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>
        <v>30.4</v>
      </c>
      <c r="AD105" s="66">
        <v>29.4</v>
      </c>
      <c r="AE105" s="66">
        <v>31.8</v>
      </c>
      <c r="AF105" s="66">
        <v>31</v>
      </c>
      <c r="AG105" s="66">
        <v>29.6</v>
      </c>
      <c r="AH105" s="66">
        <v>30.6</v>
      </c>
      <c r="AI105" s="66">
        <v>29.2</v>
      </c>
      <c r="AJ105" s="66"/>
      <c r="AK105" s="66"/>
      <c r="AL105" s="66"/>
      <c r="AM105" s="66"/>
      <c r="AN105" s="66"/>
      <c r="AO105" s="66"/>
      <c r="AP105" s="67">
        <f t="shared" si="6"/>
        <v>25</v>
      </c>
      <c r="AQ105" s="68">
        <f t="shared" si="7"/>
        <v>30.048000000000002</v>
      </c>
      <c r="AR105" s="68">
        <f>IFERROR(VLOOKUP(A105,Climatologia_TMAX!A:U,9+$E$2,FALSE),"")</f>
        <v>30.030668369518938</v>
      </c>
      <c r="AS105" s="68">
        <f t="shared" si="8"/>
        <v>1.7331630481063343E-2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>
        <v>27.8</v>
      </c>
      <c r="AD106" s="66">
        <v>27.6</v>
      </c>
      <c r="AE106" s="66">
        <v>25.8</v>
      </c>
      <c r="AF106" s="66">
        <v>26.2</v>
      </c>
      <c r="AG106" s="66">
        <v>27</v>
      </c>
      <c r="AH106" s="66">
        <v>26.2</v>
      </c>
      <c r="AI106" s="66"/>
      <c r="AJ106" s="66"/>
      <c r="AK106" s="66"/>
      <c r="AL106" s="66"/>
      <c r="AM106" s="66"/>
      <c r="AN106" s="66"/>
      <c r="AO106" s="66"/>
      <c r="AP106" s="67">
        <f t="shared" si="6"/>
        <v>24</v>
      </c>
      <c r="AQ106" s="68">
        <f t="shared" si="7"/>
        <v>26.458333333333339</v>
      </c>
      <c r="AR106" s="68">
        <f>IFERROR(VLOOKUP(A106,Climatologia_TMAX!A:U,9+$E$2,FALSE),"")</f>
        <v>25.412337253032469</v>
      </c>
      <c r="AS106" s="68">
        <f t="shared" si="8"/>
        <v>1.0459960803008705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>
        <v>31</v>
      </c>
      <c r="AD108" s="66">
        <v>30.6</v>
      </c>
      <c r="AE108" s="66">
        <v>32</v>
      </c>
      <c r="AF108" s="66">
        <v>31.4</v>
      </c>
      <c r="AG108" s="66">
        <v>29.8</v>
      </c>
      <c r="AH108" s="66">
        <v>32.200000000000003</v>
      </c>
      <c r="AI108" s="66">
        <v>30.8</v>
      </c>
      <c r="AJ108" s="66"/>
      <c r="AK108" s="66"/>
      <c r="AL108" s="66"/>
      <c r="AM108" s="66"/>
      <c r="AN108" s="66"/>
      <c r="AO108" s="66"/>
      <c r="AP108" s="67">
        <f t="shared" si="6"/>
        <v>24</v>
      </c>
      <c r="AQ108" s="68">
        <f t="shared" si="7"/>
        <v>31.041666666666668</v>
      </c>
      <c r="AR108" s="68">
        <f>IFERROR(VLOOKUP(A108,Climatologia_TMAX!A:U,9+$E$2,FALSE),"")</f>
        <v>30.571207119021128</v>
      </c>
      <c r="AS108" s="68">
        <f t="shared" si="8"/>
        <v>0.47045954764553954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>
        <v>28</v>
      </c>
      <c r="AD109" s="66">
        <v>27.2</v>
      </c>
      <c r="AE109" s="66">
        <v>28.8</v>
      </c>
      <c r="AF109" s="66">
        <v>25.8</v>
      </c>
      <c r="AG109" s="66">
        <v>26.4</v>
      </c>
      <c r="AH109" s="66">
        <v>29.8</v>
      </c>
      <c r="AI109" s="66">
        <v>28.2</v>
      </c>
      <c r="AJ109" s="66"/>
      <c r="AK109" s="66"/>
      <c r="AL109" s="66"/>
      <c r="AM109" s="66"/>
      <c r="AN109" s="66"/>
      <c r="AO109" s="66"/>
      <c r="AP109" s="67">
        <f t="shared" si="6"/>
        <v>25</v>
      </c>
      <c r="AQ109" s="68">
        <f t="shared" si="7"/>
        <v>26.863999999999997</v>
      </c>
      <c r="AR109" s="68">
        <f>IFERROR(VLOOKUP(A109,Climatologia_TMAX!A:U,9+$E$2,FALSE),"")</f>
        <v>25.742317801672641</v>
      </c>
      <c r="AS109" s="68">
        <f t="shared" si="8"/>
        <v>1.1216821983273562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>
        <v>38.200000000000003</v>
      </c>
      <c r="AD111" s="66">
        <v>39</v>
      </c>
      <c r="AE111" s="66">
        <v>38.6</v>
      </c>
      <c r="AF111" s="66">
        <v>37.799999999999997</v>
      </c>
      <c r="AG111" s="66">
        <v>37.200000000000003</v>
      </c>
      <c r="AH111" s="66">
        <v>37.4</v>
      </c>
      <c r="AI111" s="66">
        <v>38.4</v>
      </c>
      <c r="AJ111" s="66"/>
      <c r="AK111" s="66"/>
      <c r="AL111" s="66"/>
      <c r="AM111" s="66"/>
      <c r="AN111" s="66"/>
      <c r="AO111" s="66"/>
      <c r="AP111" s="67">
        <f t="shared" si="6"/>
        <v>25</v>
      </c>
      <c r="AQ111" s="68">
        <f t="shared" si="7"/>
        <v>38.904000000000003</v>
      </c>
      <c r="AR111" s="68">
        <f>IFERROR(VLOOKUP(A111,Climatologia_TMAX!A:U,9+$E$2,FALSE),"")</f>
        <v>35.400483796811272</v>
      </c>
      <c r="AS111" s="68">
        <f t="shared" si="8"/>
        <v>3.503516203188731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>
        <v>38.6</v>
      </c>
      <c r="AD112" s="66">
        <v>38.200000000000003</v>
      </c>
      <c r="AE112" s="66">
        <v>34.6</v>
      </c>
      <c r="AF112" s="66">
        <v>35</v>
      </c>
      <c r="AG112" s="66">
        <v>34.799999999999997</v>
      </c>
      <c r="AH112" s="66">
        <v>37.200000000000003</v>
      </c>
      <c r="AI112" s="66">
        <v>37</v>
      </c>
      <c r="AJ112" s="66"/>
      <c r="AK112" s="66"/>
      <c r="AL112" s="66"/>
      <c r="AM112" s="66"/>
      <c r="AN112" s="66"/>
      <c r="AO112" s="66"/>
      <c r="AP112" s="67">
        <f t="shared" si="6"/>
        <v>24</v>
      </c>
      <c r="AQ112" s="68">
        <f t="shared" si="7"/>
        <v>36.699999999999996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-2.1999999999999957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>
        <v>35.4</v>
      </c>
      <c r="AD114" s="66">
        <v>36.6</v>
      </c>
      <c r="AE114" s="66">
        <v>37.200000000000003</v>
      </c>
      <c r="AF114" s="66">
        <v>35.799999999999997</v>
      </c>
      <c r="AG114" s="66"/>
      <c r="AH114" s="66">
        <v>36.799999999999997</v>
      </c>
      <c r="AI114" s="66">
        <v>38.200000000000003</v>
      </c>
      <c r="AJ114" s="66"/>
      <c r="AK114" s="66"/>
      <c r="AL114" s="66"/>
      <c r="AM114" s="66"/>
      <c r="AN114" s="66"/>
      <c r="AO114" s="66"/>
      <c r="AP114" s="67">
        <f t="shared" si="6"/>
        <v>22</v>
      </c>
      <c r="AQ114" s="68">
        <f t="shared" si="7"/>
        <v>37.590909090909093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>
        <v>38.799999999999997</v>
      </c>
      <c r="AD115" s="66">
        <v>39.799999999999997</v>
      </c>
      <c r="AE115" s="66">
        <v>38.4</v>
      </c>
      <c r="AF115" s="66">
        <v>36</v>
      </c>
      <c r="AG115" s="66">
        <v>37.799999999999997</v>
      </c>
      <c r="AH115" s="66">
        <v>37.6</v>
      </c>
      <c r="AI115" s="66">
        <v>38.799999999999997</v>
      </c>
      <c r="AJ115" s="66"/>
      <c r="AK115" s="66"/>
      <c r="AL115" s="66"/>
      <c r="AM115" s="66"/>
      <c r="AN115" s="66"/>
      <c r="AO115" s="66"/>
      <c r="AP115" s="67">
        <f t="shared" si="6"/>
        <v>25</v>
      </c>
      <c r="AQ115" s="68">
        <f t="shared" si="7"/>
        <v>37.923999999999992</v>
      </c>
      <c r="AR115" s="68">
        <f>IFERROR(VLOOKUP(A115,Climatologia_TMAX!A:U,9+$E$2,FALSE),"")</f>
        <v>35.599806409679189</v>
      </c>
      <c r="AS115" s="68">
        <f t="shared" si="8"/>
        <v>2.3241935903208031</v>
      </c>
      <c r="AT115" s="74">
        <f t="shared" si="9"/>
        <v>39.799999999999997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-1.6000000000000014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>
        <v>39.4</v>
      </c>
      <c r="AD118" s="66">
        <v>39.200000000000003</v>
      </c>
      <c r="AE118" s="66">
        <v>39</v>
      </c>
      <c r="AF118" s="66">
        <v>38.4</v>
      </c>
      <c r="AG118" s="66">
        <v>37.799999999999997</v>
      </c>
      <c r="AH118" s="66">
        <v>37.4</v>
      </c>
      <c r="AI118" s="66">
        <v>38.4</v>
      </c>
      <c r="AJ118" s="66"/>
      <c r="AK118" s="66"/>
      <c r="AL118" s="66"/>
      <c r="AM118" s="66"/>
      <c r="AN118" s="66"/>
      <c r="AO118" s="66"/>
      <c r="AP118" s="67">
        <f t="shared" si="6"/>
        <v>25</v>
      </c>
      <c r="AQ118" s="68">
        <f t="shared" si="7"/>
        <v>38.263999999999996</v>
      </c>
      <c r="AR118" s="68">
        <f>IFERROR(VLOOKUP(A118,Climatologia_TMAX!A:U,9+$E$2,FALSE),"")</f>
        <v>34.447006277967013</v>
      </c>
      <c r="AS118" s="68">
        <f t="shared" si="8"/>
        <v>3.8169937220329828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>
        <v>37.799999999999997</v>
      </c>
      <c r="AD119" s="66">
        <v>39</v>
      </c>
      <c r="AE119" s="66">
        <v>39</v>
      </c>
      <c r="AF119" s="66">
        <v>37.6</v>
      </c>
      <c r="AG119" s="66">
        <v>37</v>
      </c>
      <c r="AH119" s="66">
        <v>37.6</v>
      </c>
      <c r="AI119" s="66"/>
      <c r="AJ119" s="66"/>
      <c r="AK119" s="66"/>
      <c r="AL119" s="66"/>
      <c r="AM119" s="66"/>
      <c r="AN119" s="66"/>
      <c r="AO119" s="66"/>
      <c r="AP119" s="67">
        <f t="shared" si="6"/>
        <v>24</v>
      </c>
      <c r="AQ119" s="68">
        <f t="shared" si="7"/>
        <v>38.725000000000001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>
        <v>35</v>
      </c>
      <c r="AD120" s="66">
        <v>37</v>
      </c>
      <c r="AE120" s="66">
        <v>38</v>
      </c>
      <c r="AF120" s="66">
        <v>35</v>
      </c>
      <c r="AG120" s="66">
        <v>35.6</v>
      </c>
      <c r="AH120" s="66">
        <v>36.799999999999997</v>
      </c>
      <c r="AI120" s="66">
        <v>39.799999999999997</v>
      </c>
      <c r="AJ120" s="66"/>
      <c r="AK120" s="66"/>
      <c r="AL120" s="66"/>
      <c r="AM120" s="66"/>
      <c r="AN120" s="66"/>
      <c r="AO120" s="66"/>
      <c r="AP120" s="67">
        <f t="shared" si="6"/>
        <v>24</v>
      </c>
      <c r="AQ120" s="68">
        <f t="shared" si="7"/>
        <v>38.324999999999996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>
        <v>33.4</v>
      </c>
      <c r="AD122" s="66">
        <v>33.200000000000003</v>
      </c>
      <c r="AE122" s="66">
        <v>31.2</v>
      </c>
      <c r="AF122" s="66">
        <v>31</v>
      </c>
      <c r="AG122" s="66">
        <v>30.2</v>
      </c>
      <c r="AH122" s="66">
        <v>33</v>
      </c>
      <c r="AI122" s="66">
        <v>32.200000000000003</v>
      </c>
      <c r="AJ122" s="66"/>
      <c r="AK122" s="66"/>
      <c r="AL122" s="66"/>
      <c r="AM122" s="66"/>
      <c r="AN122" s="66"/>
      <c r="AO122" s="66"/>
      <c r="AP122" s="67">
        <f t="shared" si="6"/>
        <v>25</v>
      </c>
      <c r="AQ122" s="68">
        <f t="shared" si="7"/>
        <v>30.928000000000008</v>
      </c>
      <c r="AR122" s="68">
        <f>IFERROR(VLOOKUP(A122,Climatologia_TMAX!A:U,9+$E$2,FALSE),"")</f>
        <v>28.13354838709677</v>
      </c>
      <c r="AS122" s="68">
        <f t="shared" si="8"/>
        <v>2.794451612903238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>
        <v>32.6</v>
      </c>
      <c r="AC123" s="66">
        <v>33.200000000000003</v>
      </c>
      <c r="AD123" s="66">
        <v>32.799999999999997</v>
      </c>
      <c r="AE123" s="66">
        <v>31.4</v>
      </c>
      <c r="AF123" s="66">
        <v>30.6</v>
      </c>
      <c r="AG123" s="66">
        <v>28.2</v>
      </c>
      <c r="AH123" s="66">
        <v>31.6</v>
      </c>
      <c r="AI123" s="66">
        <v>31.4</v>
      </c>
      <c r="AJ123" s="66"/>
      <c r="AK123" s="66"/>
      <c r="AL123" s="66"/>
      <c r="AM123" s="66"/>
      <c r="AN123" s="66"/>
      <c r="AO123" s="66"/>
      <c r="AP123" s="67">
        <f t="shared" si="6"/>
        <v>25</v>
      </c>
      <c r="AQ123" s="68">
        <f t="shared" si="7"/>
        <v>31.832000000000008</v>
      </c>
      <c r="AR123" s="68">
        <f>IFERROR(VLOOKUP(A123,Climatologia_TMAX!A:U,9+$E$2,FALSE),"")</f>
        <v>29.851373954599769</v>
      </c>
      <c r="AS123" s="68">
        <f t="shared" si="8"/>
        <v>1.9806260454002391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>
        <v>34.200000000000003</v>
      </c>
      <c r="AD124" s="66">
        <v>32.799999999999997</v>
      </c>
      <c r="AE124" s="66">
        <v>32.200000000000003</v>
      </c>
      <c r="AF124" s="66">
        <v>31.4</v>
      </c>
      <c r="AG124" s="66">
        <v>27.2</v>
      </c>
      <c r="AH124" s="66">
        <v>31.4</v>
      </c>
      <c r="AI124" s="66">
        <v>31.4</v>
      </c>
      <c r="AJ124" s="66"/>
      <c r="AK124" s="66"/>
      <c r="AL124" s="66"/>
      <c r="AM124" s="66"/>
      <c r="AN124" s="66"/>
      <c r="AO124" s="66"/>
      <c r="AP124" s="67">
        <f t="shared" si="6"/>
        <v>25</v>
      </c>
      <c r="AQ124" s="68">
        <f t="shared" si="7"/>
        <v>32.127999999999993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>
        <v>28.8</v>
      </c>
      <c r="AD127" s="66">
        <v>27</v>
      </c>
      <c r="AE127" s="66">
        <v>26.6</v>
      </c>
      <c r="AF127" s="66">
        <v>27</v>
      </c>
      <c r="AG127" s="66">
        <v>23</v>
      </c>
      <c r="AH127" s="66">
        <v>26.2</v>
      </c>
      <c r="AI127" s="66">
        <v>27.2</v>
      </c>
      <c r="AJ127" s="66"/>
      <c r="AK127" s="66"/>
      <c r="AL127" s="66"/>
      <c r="AM127" s="66"/>
      <c r="AN127" s="66"/>
      <c r="AO127" s="66"/>
      <c r="AP127" s="67">
        <f t="shared" si="6"/>
        <v>22</v>
      </c>
      <c r="AQ127" s="68">
        <f t="shared" si="7"/>
        <v>26.381818181818186</v>
      </c>
      <c r="AR127" s="68">
        <f>IFERROR(VLOOKUP(A127,Climatologia_TMAX!A:U,9+$E$2,FALSE),"")</f>
        <v>23.873193546154688</v>
      </c>
      <c r="AS127" s="68">
        <f t="shared" si="8"/>
        <v>2.508624635663498</v>
      </c>
      <c r="AT127" s="74">
        <f t="shared" si="9"/>
        <v>28.8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-0.80000000000000071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>
        <v>25</v>
      </c>
      <c r="AD128" s="66">
        <v>24.6</v>
      </c>
      <c r="AE128" s="66">
        <v>22</v>
      </c>
      <c r="AF128" s="66">
        <v>23.2</v>
      </c>
      <c r="AG128" s="66">
        <v>23</v>
      </c>
      <c r="AH128" s="66">
        <v>24.4</v>
      </c>
      <c r="AI128" s="66">
        <v>25</v>
      </c>
      <c r="AJ128" s="66"/>
      <c r="AK128" s="66"/>
      <c r="AL128" s="66"/>
      <c r="AM128" s="66"/>
      <c r="AN128" s="66"/>
      <c r="AO128" s="66"/>
      <c r="AP128" s="67">
        <f t="shared" si="6"/>
        <v>25</v>
      </c>
      <c r="AQ128" s="68">
        <f t="shared" si="7"/>
        <v>23.247999999999998</v>
      </c>
      <c r="AR128" s="68">
        <f>IFERROR(VLOOKUP(A128,Climatologia_TMAX!A:U,9+$E$2,FALSE),"")</f>
        <v>19.945241107257019</v>
      </c>
      <c r="AS128" s="68">
        <f t="shared" si="8"/>
        <v>3.302758892742979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>
        <v>26.6</v>
      </c>
      <c r="AD129" s="66">
        <v>26.4</v>
      </c>
      <c r="AE129" s="66">
        <v>25.2</v>
      </c>
      <c r="AF129" s="66">
        <v>25.6</v>
      </c>
      <c r="AG129" s="66">
        <v>23</v>
      </c>
      <c r="AH129" s="66">
        <v>26.2</v>
      </c>
      <c r="AI129" s="66">
        <v>26.4</v>
      </c>
      <c r="AJ129" s="66"/>
      <c r="AK129" s="66"/>
      <c r="AL129" s="66"/>
      <c r="AM129" s="66"/>
      <c r="AN129" s="66"/>
      <c r="AO129" s="66"/>
      <c r="AP129" s="67">
        <f t="shared" si="6"/>
        <v>25</v>
      </c>
      <c r="AQ129" s="68">
        <f t="shared" si="7"/>
        <v>26.360000000000003</v>
      </c>
      <c r="AR129" s="68">
        <f>IFERROR(VLOOKUP(A129,Climatologia_TMAX!A:U,9+$E$2,FALSE),"")</f>
        <v>24.697992831541221</v>
      </c>
      <c r="AS129" s="68">
        <f t="shared" si="8"/>
        <v>1.662007168458782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>
        <v>21.4</v>
      </c>
      <c r="AD131" s="66">
        <v>19.8</v>
      </c>
      <c r="AE131" s="66">
        <v>20.8</v>
      </c>
      <c r="AF131" s="66"/>
      <c r="AG131" s="66">
        <v>19.2</v>
      </c>
      <c r="AH131" s="66">
        <v>19</v>
      </c>
      <c r="AI131" s="66">
        <v>20.8</v>
      </c>
      <c r="AJ131" s="66"/>
      <c r="AK131" s="66"/>
      <c r="AL131" s="66"/>
      <c r="AM131" s="66"/>
      <c r="AN131" s="66"/>
      <c r="AO131" s="66"/>
      <c r="AP131" s="67">
        <f t="shared" si="6"/>
        <v>20</v>
      </c>
      <c r="AQ131" s="68">
        <f t="shared" si="7"/>
        <v>20.61</v>
      </c>
      <c r="AR131" s="68">
        <f>IFERROR(VLOOKUP(A131,Climatologia_TMAX!A:U,9+$E$2,FALSE),"")</f>
        <v>20.475268817204299</v>
      </c>
      <c r="AS131" s="68">
        <f t="shared" si="8"/>
        <v>0.13473118279570073</v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>
        <v>17.600000000000001</v>
      </c>
      <c r="AD133" s="66">
        <v>18.2</v>
      </c>
      <c r="AE133" s="66">
        <v>18.2</v>
      </c>
      <c r="AF133" s="66">
        <v>18.600000000000001</v>
      </c>
      <c r="AG133" s="66">
        <v>18.600000000000001</v>
      </c>
      <c r="AH133" s="66"/>
      <c r="AI133" s="66">
        <v>19.399999999999999</v>
      </c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22</v>
      </c>
      <c r="AQ133" s="68">
        <f t="shared" ref="AQ133:AQ196" si="12">IF(AP133&gt;14,AVERAGE(K133:AO133),"")</f>
        <v>17.863636363636363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1.6934828170192624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>
        <v>23.4</v>
      </c>
      <c r="AD135" s="66">
        <v>24</v>
      </c>
      <c r="AE135" s="66">
        <v>22.4</v>
      </c>
      <c r="AF135" s="66">
        <v>24.2</v>
      </c>
      <c r="AG135" s="66">
        <v>20.399999999999999</v>
      </c>
      <c r="AH135" s="66">
        <v>24.6</v>
      </c>
      <c r="AI135" s="66">
        <v>23</v>
      </c>
      <c r="AJ135" s="66"/>
      <c r="AK135" s="66"/>
      <c r="AL135" s="66"/>
      <c r="AM135" s="66"/>
      <c r="AN135" s="66"/>
      <c r="AO135" s="66"/>
      <c r="AP135" s="67">
        <f t="shared" si="11"/>
        <v>25</v>
      </c>
      <c r="AQ135" s="68">
        <f t="shared" si="12"/>
        <v>23.495999999999999</v>
      </c>
      <c r="AR135" s="68">
        <f>IFERROR(VLOOKUP(A135,Climatologia_TMAX!A:U,9+$E$2,FALSE),"")</f>
        <v>23.503001430160491</v>
      </c>
      <c r="AS135" s="68">
        <f t="shared" si="13"/>
        <v>-7.0014301604928164E-3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>
        <v>23</v>
      </c>
      <c r="AD138" s="66">
        <v>22.9</v>
      </c>
      <c r="AE138" s="66">
        <v>22</v>
      </c>
      <c r="AF138" s="66">
        <v>21</v>
      </c>
      <c r="AG138" s="66">
        <v>18.600000000000001</v>
      </c>
      <c r="AH138" s="66">
        <v>21.6</v>
      </c>
      <c r="AI138" s="66">
        <v>23</v>
      </c>
      <c r="AJ138" s="66"/>
      <c r="AK138" s="66"/>
      <c r="AL138" s="66"/>
      <c r="AM138" s="66"/>
      <c r="AN138" s="66"/>
      <c r="AO138" s="66"/>
      <c r="AP138" s="67">
        <f t="shared" si="11"/>
        <v>25</v>
      </c>
      <c r="AQ138" s="68">
        <f t="shared" si="12"/>
        <v>21.715999999999998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>
        <v>22.4</v>
      </c>
      <c r="AD139" s="66">
        <v>22</v>
      </c>
      <c r="AE139" s="66">
        <v>21.4</v>
      </c>
      <c r="AF139" s="66">
        <v>21.4</v>
      </c>
      <c r="AG139" s="66">
        <v>18.399999999999999</v>
      </c>
      <c r="AH139" s="66">
        <v>22.2</v>
      </c>
      <c r="AI139" s="66">
        <v>22</v>
      </c>
      <c r="AJ139" s="66"/>
      <c r="AK139" s="66"/>
      <c r="AL139" s="66"/>
      <c r="AM139" s="66"/>
      <c r="AN139" s="66"/>
      <c r="AO139" s="66"/>
      <c r="AP139" s="67">
        <f t="shared" si="11"/>
        <v>25</v>
      </c>
      <c r="AQ139" s="68">
        <f t="shared" si="12"/>
        <v>21.571999999999992</v>
      </c>
      <c r="AR139" s="68">
        <f>IFERROR(VLOOKUP(A139,Climatologia_TMAX!A:U,9+$E$2,FALSE),"")</f>
        <v>20.714326639736161</v>
      </c>
      <c r="AS139" s="68">
        <f t="shared" si="13"/>
        <v>0.85767336026383134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>
        <v>23</v>
      </c>
      <c r="AD140" s="66">
        <v>22.2</v>
      </c>
      <c r="AE140" s="66">
        <v>22</v>
      </c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19</v>
      </c>
      <c r="AQ140" s="68">
        <f t="shared" si="12"/>
        <v>23.452631578947368</v>
      </c>
      <c r="AR140" s="68">
        <f>IFERROR(VLOOKUP(A140,Climatologia_TMAX!A:U,9+$E$2,FALSE),"")</f>
        <v>21.647136438274369</v>
      </c>
      <c r="AS140" s="68">
        <f t="shared" si="13"/>
        <v>1.8054951406729991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>
        <v>19.8</v>
      </c>
      <c r="AD141" s="66">
        <v>19</v>
      </c>
      <c r="AE141" s="66">
        <v>20.2</v>
      </c>
      <c r="AF141" s="66">
        <v>19.8</v>
      </c>
      <c r="AG141" s="66">
        <v>17</v>
      </c>
      <c r="AH141" s="66">
        <v>17.2</v>
      </c>
      <c r="AI141" s="66">
        <v>19.8</v>
      </c>
      <c r="AJ141" s="66"/>
      <c r="AK141" s="66"/>
      <c r="AL141" s="66"/>
      <c r="AM141" s="66"/>
      <c r="AN141" s="66"/>
      <c r="AO141" s="66"/>
      <c r="AP141" s="67">
        <f t="shared" si="11"/>
        <v>25</v>
      </c>
      <c r="AQ141" s="68">
        <f t="shared" si="12"/>
        <v>19.432000000000002</v>
      </c>
      <c r="AR141" s="68">
        <f>IFERROR(VLOOKUP(A141,Climatologia_TMAX!A:U,9+$E$2,FALSE),"")</f>
        <v>18.072580645161288</v>
      </c>
      <c r="AS141" s="68">
        <f t="shared" si="13"/>
        <v>1.3594193548387139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>
        <v>19.600000000000001</v>
      </c>
      <c r="AD142" s="66">
        <v>17</v>
      </c>
      <c r="AE142" s="66">
        <v>17.399999999999999</v>
      </c>
      <c r="AF142" s="66">
        <v>17.2</v>
      </c>
      <c r="AG142" s="66">
        <v>16.8</v>
      </c>
      <c r="AH142" s="66">
        <v>17</v>
      </c>
      <c r="AI142" s="66">
        <v>19</v>
      </c>
      <c r="AJ142" s="66"/>
      <c r="AK142" s="66"/>
      <c r="AL142" s="66"/>
      <c r="AM142" s="66"/>
      <c r="AN142" s="66"/>
      <c r="AO142" s="66"/>
      <c r="AP142" s="67">
        <f t="shared" si="11"/>
        <v>25</v>
      </c>
      <c r="AQ142" s="68">
        <f t="shared" si="12"/>
        <v>18.248000000000001</v>
      </c>
      <c r="AR142" s="68">
        <f>IFERROR(VLOOKUP(A142,Climatologia_TMAX!A:U,9+$E$2,FALSE),"")</f>
        <v>17.502950587315588</v>
      </c>
      <c r="AS142" s="68">
        <f t="shared" si="13"/>
        <v>0.74504941268441272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>
        <v>31.2</v>
      </c>
      <c r="AC143" s="66"/>
      <c r="AD143" s="66">
        <v>31</v>
      </c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32.506666666666668</v>
      </c>
      <c r="AR143" s="68">
        <f>IFERROR(VLOOKUP(A143,Climatologia_TMAX!A:U,9+$E$2,FALSE),"")</f>
        <v>30.587147942157952</v>
      </c>
      <c r="AS143" s="68">
        <f t="shared" si="13"/>
        <v>1.9195187245087162</v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>
        <v>23</v>
      </c>
      <c r="AD145" s="66">
        <v>22</v>
      </c>
      <c r="AE145" s="66">
        <v>18.399999999999999</v>
      </c>
      <c r="AF145" s="66">
        <v>22.4</v>
      </c>
      <c r="AG145" s="66">
        <v>18.399999999999999</v>
      </c>
      <c r="AH145" s="66">
        <v>20</v>
      </c>
      <c r="AI145" s="66">
        <v>22.2</v>
      </c>
      <c r="AJ145" s="66"/>
      <c r="AK145" s="66"/>
      <c r="AL145" s="66"/>
      <c r="AM145" s="66"/>
      <c r="AN145" s="66"/>
      <c r="AO145" s="66"/>
      <c r="AP145" s="67">
        <f t="shared" si="11"/>
        <v>7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>
        <f t="shared" si="14"/>
        <v>23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>
        <v>22.4</v>
      </c>
      <c r="AD146" s="66">
        <v>21.4</v>
      </c>
      <c r="AE146" s="66">
        <v>22.6</v>
      </c>
      <c r="AF146" s="66"/>
      <c r="AG146" s="66">
        <v>21.2</v>
      </c>
      <c r="AH146" s="66">
        <v>21.2</v>
      </c>
      <c r="AI146" s="66">
        <v>21.6</v>
      </c>
      <c r="AJ146" s="66"/>
      <c r="AK146" s="66"/>
      <c r="AL146" s="66"/>
      <c r="AM146" s="66"/>
      <c r="AN146" s="66"/>
      <c r="AO146" s="66"/>
      <c r="AP146" s="67">
        <f t="shared" si="11"/>
        <v>24</v>
      </c>
      <c r="AQ146" s="68">
        <f t="shared" si="12"/>
        <v>21.625</v>
      </c>
      <c r="AR146" s="68">
        <f>IFERROR(VLOOKUP(A146,Climatologia_TMAX!A:U,9+$E$2,FALSE),"")</f>
        <v>21.065636230144019</v>
      </c>
      <c r="AS146" s="68">
        <f t="shared" si="13"/>
        <v>0.55936376985598102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>
        <v>22.6</v>
      </c>
      <c r="AD147" s="66">
        <v>23.2</v>
      </c>
      <c r="AE147" s="66">
        <v>21</v>
      </c>
      <c r="AF147" s="66">
        <v>20.6</v>
      </c>
      <c r="AG147" s="66">
        <v>20</v>
      </c>
      <c r="AH147" s="66">
        <v>21.6</v>
      </c>
      <c r="AI147" s="66">
        <v>21</v>
      </c>
      <c r="AJ147" s="66"/>
      <c r="AK147" s="66"/>
      <c r="AL147" s="66"/>
      <c r="AM147" s="66"/>
      <c r="AN147" s="66"/>
      <c r="AO147" s="66"/>
      <c r="AP147" s="67">
        <f t="shared" si="11"/>
        <v>23</v>
      </c>
      <c r="AQ147" s="68">
        <f t="shared" si="12"/>
        <v>21.608695652173914</v>
      </c>
      <c r="AR147" s="68">
        <f>IFERROR(VLOOKUP(A147,Climatologia_TMAX!A:U,9+$E$2,FALSE),"")</f>
        <v>21.75379211469534</v>
      </c>
      <c r="AS147" s="68">
        <f t="shared" si="13"/>
        <v>-0.14509646252142616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>
        <v>28.4</v>
      </c>
      <c r="AD148" s="66">
        <v>26.4</v>
      </c>
      <c r="AE148" s="66">
        <v>27.2</v>
      </c>
      <c r="AF148" s="66">
        <v>25.4</v>
      </c>
      <c r="AG148" s="66">
        <v>26.2</v>
      </c>
      <c r="AH148" s="66">
        <v>27.2</v>
      </c>
      <c r="AI148" s="66">
        <v>26.2</v>
      </c>
      <c r="AJ148" s="66"/>
      <c r="AK148" s="66"/>
      <c r="AL148" s="66"/>
      <c r="AM148" s="66"/>
      <c r="AN148" s="66"/>
      <c r="AO148" s="66"/>
      <c r="AP148" s="67">
        <f t="shared" si="11"/>
        <v>24</v>
      </c>
      <c r="AQ148" s="68">
        <f t="shared" si="12"/>
        <v>26.5</v>
      </c>
      <c r="AR148" s="68">
        <f>IFERROR(VLOOKUP(A148,Climatologia_TMAX!A:U,9+$E$2,FALSE),"")</f>
        <v>25.418951612903221</v>
      </c>
      <c r="AS148" s="68">
        <f t="shared" si="13"/>
        <v>1.0810483870967786</v>
      </c>
      <c r="AT148" s="74">
        <f t="shared" si="14"/>
        <v>28.4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-2.4000000000000021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>
        <v>35.200000000000003</v>
      </c>
      <c r="AD151" s="66">
        <v>35.4</v>
      </c>
      <c r="AE151" s="66">
        <v>34</v>
      </c>
      <c r="AF151" s="66">
        <v>34</v>
      </c>
      <c r="AG151" s="66">
        <v>29</v>
      </c>
      <c r="AH151" s="66">
        <v>34.4</v>
      </c>
      <c r="AI151" s="66">
        <v>32</v>
      </c>
      <c r="AJ151" s="66"/>
      <c r="AK151" s="66"/>
      <c r="AL151" s="66"/>
      <c r="AM151" s="66"/>
      <c r="AN151" s="66"/>
      <c r="AO151" s="66"/>
      <c r="AP151" s="67">
        <f t="shared" si="11"/>
        <v>24</v>
      </c>
      <c r="AQ151" s="68">
        <f t="shared" si="12"/>
        <v>34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>
        <v>21.6</v>
      </c>
      <c r="AD153" s="66">
        <v>21</v>
      </c>
      <c r="AE153" s="66">
        <v>21.4</v>
      </c>
      <c r="AF153" s="66">
        <v>21</v>
      </c>
      <c r="AG153" s="66">
        <v>18.8</v>
      </c>
      <c r="AH153" s="66">
        <v>20.6</v>
      </c>
      <c r="AI153" s="66">
        <v>21.2</v>
      </c>
      <c r="AJ153" s="66"/>
      <c r="AK153" s="66"/>
      <c r="AL153" s="66"/>
      <c r="AM153" s="66"/>
      <c r="AN153" s="66"/>
      <c r="AO153" s="66"/>
      <c r="AP153" s="67">
        <f t="shared" si="11"/>
        <v>25</v>
      </c>
      <c r="AQ153" s="68">
        <f t="shared" si="12"/>
        <v>20.712000000000003</v>
      </c>
      <c r="AR153" s="68">
        <f>IFERROR(VLOOKUP(A153,Climatologia_TMAX!A:U,9+$E$2,FALSE),"")</f>
        <v>17.087318670151451</v>
      </c>
      <c r="AS153" s="68">
        <f t="shared" si="13"/>
        <v>3.6246813298485527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>
        <v>18.8</v>
      </c>
      <c r="AD154" s="66">
        <v>18.600000000000001</v>
      </c>
      <c r="AE154" s="66">
        <v>18</v>
      </c>
      <c r="AF154" s="66">
        <v>19</v>
      </c>
      <c r="AG154" s="66">
        <v>16.600000000000001</v>
      </c>
      <c r="AH154" s="66">
        <v>18.399999999999999</v>
      </c>
      <c r="AI154" s="66">
        <v>19.2</v>
      </c>
      <c r="AJ154" s="66"/>
      <c r="AK154" s="66"/>
      <c r="AL154" s="66"/>
      <c r="AM154" s="66"/>
      <c r="AN154" s="66"/>
      <c r="AO154" s="66"/>
      <c r="AP154" s="67">
        <f t="shared" si="11"/>
        <v>25</v>
      </c>
      <c r="AQ154" s="68">
        <f t="shared" si="12"/>
        <v>18.847999999999999</v>
      </c>
      <c r="AR154" s="68">
        <f>IFERROR(VLOOKUP(A154,Climatologia_TMAX!A:U,9+$E$2,FALSE),"")</f>
        <v>17.894822708653351</v>
      </c>
      <c r="AS154" s="68">
        <f t="shared" si="13"/>
        <v>0.9531772913466483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>
        <v>21.4</v>
      </c>
      <c r="AD156" s="66">
        <v>22.2</v>
      </c>
      <c r="AE156" s="66">
        <v>21.8</v>
      </c>
      <c r="AF156" s="66">
        <v>21.4</v>
      </c>
      <c r="AG156" s="66">
        <v>18.2</v>
      </c>
      <c r="AH156" s="66">
        <v>20.6</v>
      </c>
      <c r="AI156" s="66">
        <v>22.4</v>
      </c>
      <c r="AJ156" s="66"/>
      <c r="AK156" s="66"/>
      <c r="AL156" s="66"/>
      <c r="AM156" s="66"/>
      <c r="AN156" s="66"/>
      <c r="AO156" s="66"/>
      <c r="AP156" s="67">
        <f t="shared" si="11"/>
        <v>25</v>
      </c>
      <c r="AQ156" s="68">
        <f t="shared" si="12"/>
        <v>21.312000000000001</v>
      </c>
      <c r="AR156" s="68">
        <f>IFERROR(VLOOKUP(A156,Climatologia_TMAX!A:U,9+$E$2,FALSE),"")</f>
        <v>19.9787274899533</v>
      </c>
      <c r="AS156" s="68">
        <f t="shared" si="13"/>
        <v>1.3332725100467009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>
        <v>25</v>
      </c>
      <c r="AD158" s="66">
        <v>24.2</v>
      </c>
      <c r="AE158" s="66">
        <v>22.4</v>
      </c>
      <c r="AF158" s="66">
        <v>22.6</v>
      </c>
      <c r="AG158" s="66">
        <v>22.2</v>
      </c>
      <c r="AH158" s="66">
        <v>22.4</v>
      </c>
      <c r="AI158" s="66">
        <v>24</v>
      </c>
      <c r="AJ158" s="66"/>
      <c r="AK158" s="66"/>
      <c r="AL158" s="66"/>
      <c r="AM158" s="66"/>
      <c r="AN158" s="66"/>
      <c r="AO158" s="66"/>
      <c r="AP158" s="67">
        <f t="shared" si="11"/>
        <v>25</v>
      </c>
      <c r="AQ158" s="68">
        <f t="shared" si="12"/>
        <v>23.6</v>
      </c>
      <c r="AR158" s="68">
        <f>IFERROR(VLOOKUP(A158,Climatologia_TMAX!A:U,9+$E$2,FALSE),"")</f>
        <v>22.279202508960569</v>
      </c>
      <c r="AS158" s="68">
        <f t="shared" si="13"/>
        <v>1.320797491039432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>
        <v>32</v>
      </c>
      <c r="AD160" s="66">
        <v>32</v>
      </c>
      <c r="AE160" s="66">
        <v>32.799999999999997</v>
      </c>
      <c r="AF160" s="66">
        <v>31.2</v>
      </c>
      <c r="AG160" s="66">
        <v>31</v>
      </c>
      <c r="AH160" s="66">
        <v>33.4</v>
      </c>
      <c r="AI160" s="66"/>
      <c r="AJ160" s="66"/>
      <c r="AK160" s="66"/>
      <c r="AL160" s="66"/>
      <c r="AM160" s="66"/>
      <c r="AN160" s="66"/>
      <c r="AO160" s="66"/>
      <c r="AP160" s="67">
        <f t="shared" si="11"/>
        <v>24</v>
      </c>
      <c r="AQ160" s="68">
        <f t="shared" si="12"/>
        <v>31.500000000000004</v>
      </c>
      <c r="AR160" s="68">
        <f>IFERROR(VLOOKUP(A160,Climatologia_TMAX!A:U,9+$E$2,FALSE),"")</f>
        <v>29.899582174638489</v>
      </c>
      <c r="AS160" s="68">
        <f t="shared" si="13"/>
        <v>1.6004178253615144</v>
      </c>
      <c r="AT160" s="74">
        <f t="shared" si="14"/>
        <v>33.4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>
        <v>17.2</v>
      </c>
      <c r="AD164" s="66">
        <v>15</v>
      </c>
      <c r="AE164" s="66">
        <v>18.2</v>
      </c>
      <c r="AF164" s="66">
        <v>18</v>
      </c>
      <c r="AG164" s="66">
        <v>17.600000000000001</v>
      </c>
      <c r="AH164" s="66">
        <v>20</v>
      </c>
      <c r="AI164" s="66">
        <v>17.399999999999999</v>
      </c>
      <c r="AJ164" s="66"/>
      <c r="AK164" s="66"/>
      <c r="AL164" s="66"/>
      <c r="AM164" s="66"/>
      <c r="AN164" s="66"/>
      <c r="AO164" s="66"/>
      <c r="AP164" s="67">
        <f t="shared" si="11"/>
        <v>25</v>
      </c>
      <c r="AQ164" s="68">
        <f t="shared" si="12"/>
        <v>17.167999999999996</v>
      </c>
      <c r="AR164" s="68">
        <f>IFERROR(VLOOKUP(A164,Climatologia_TMAX!A:U,9+$E$2,FALSE),"")</f>
        <v>16.438135408145051</v>
      </c>
      <c r="AS164" s="68">
        <f t="shared" si="13"/>
        <v>0.72986459185494468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>
        <v>10.4</v>
      </c>
      <c r="AE165" s="66">
        <v>13</v>
      </c>
      <c r="AF165" s="66">
        <v>13.6</v>
      </c>
      <c r="AG165" s="66">
        <v>15</v>
      </c>
      <c r="AH165" s="66">
        <v>14.6</v>
      </c>
      <c r="AI165" s="66">
        <v>12</v>
      </c>
      <c r="AJ165" s="66"/>
      <c r="AK165" s="66"/>
      <c r="AL165" s="66"/>
      <c r="AM165" s="66"/>
      <c r="AN165" s="66"/>
      <c r="AO165" s="66"/>
      <c r="AP165" s="67">
        <f t="shared" si="11"/>
        <v>24</v>
      </c>
      <c r="AQ165" s="68">
        <f t="shared" si="12"/>
        <v>13.450000000000001</v>
      </c>
      <c r="AR165" s="68">
        <f>IFERROR(VLOOKUP(A165,Climatologia_TMAX!A:U,9+$E$2,FALSE),"")</f>
        <v>13.11626251390434</v>
      </c>
      <c r="AS165" s="68">
        <f t="shared" si="13"/>
        <v>0.33373748609566078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>
        <v>14.4</v>
      </c>
      <c r="AD166" s="66">
        <v>14</v>
      </c>
      <c r="AE166" s="66">
        <v>15.6</v>
      </c>
      <c r="AF166" s="66">
        <v>15</v>
      </c>
      <c r="AG166" s="66">
        <v>15</v>
      </c>
      <c r="AH166" s="66">
        <v>15.6</v>
      </c>
      <c r="AI166" s="66">
        <v>14</v>
      </c>
      <c r="AJ166" s="66"/>
      <c r="AK166" s="66"/>
      <c r="AL166" s="66"/>
      <c r="AM166" s="66"/>
      <c r="AN166" s="66"/>
      <c r="AO166" s="66"/>
      <c r="AP166" s="67">
        <f t="shared" si="11"/>
        <v>25</v>
      </c>
      <c r="AQ166" s="68">
        <f t="shared" si="12"/>
        <v>14.528000000000002</v>
      </c>
      <c r="AR166" s="68">
        <f>IFERROR(VLOOKUP(A166,Climatologia_TMAX!A:U,9+$E$2,FALSE),"")</f>
        <v>14.28566120241295</v>
      </c>
      <c r="AS166" s="68">
        <f t="shared" si="13"/>
        <v>0.24233879758705257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>
        <v>18.399999999999999</v>
      </c>
      <c r="AD167" s="66">
        <v>14.2</v>
      </c>
      <c r="AE167" s="66">
        <v>17</v>
      </c>
      <c r="AF167" s="66">
        <v>16.399999999999999</v>
      </c>
      <c r="AG167" s="66">
        <v>18</v>
      </c>
      <c r="AH167" s="66">
        <v>18.2</v>
      </c>
      <c r="AI167" s="66">
        <v>16.2</v>
      </c>
      <c r="AJ167" s="66"/>
      <c r="AK167" s="66"/>
      <c r="AL167" s="66"/>
      <c r="AM167" s="66"/>
      <c r="AN167" s="66"/>
      <c r="AO167" s="66"/>
      <c r="AP167" s="67">
        <f t="shared" si="11"/>
        <v>25</v>
      </c>
      <c r="AQ167" s="68">
        <f t="shared" si="12"/>
        <v>16.707999999999995</v>
      </c>
      <c r="AR167" s="68">
        <f>IFERROR(VLOOKUP(A167,Climatologia_TMAX!A:U,9+$E$2,FALSE),"")</f>
        <v>15.33697398819201</v>
      </c>
      <c r="AS167" s="68">
        <f t="shared" si="13"/>
        <v>1.3710260118079844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>
        <v>23.6</v>
      </c>
      <c r="AD168" s="66">
        <v>21</v>
      </c>
      <c r="AE168" s="66"/>
      <c r="AF168" s="66">
        <v>22.6</v>
      </c>
      <c r="AG168" s="66">
        <v>23.4</v>
      </c>
      <c r="AH168" s="66">
        <v>24.2</v>
      </c>
      <c r="AI168" s="66">
        <v>21.6</v>
      </c>
      <c r="AJ168" s="66"/>
      <c r="AK168" s="66"/>
      <c r="AL168" s="66"/>
      <c r="AM168" s="66"/>
      <c r="AN168" s="66"/>
      <c r="AO168" s="66"/>
      <c r="AP168" s="67">
        <f t="shared" si="11"/>
        <v>24</v>
      </c>
      <c r="AQ168" s="68">
        <f t="shared" si="12"/>
        <v>22.325000000000003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>
        <v>25.6</v>
      </c>
      <c r="AD172" s="66">
        <v>23</v>
      </c>
      <c r="AE172" s="66">
        <v>24.2</v>
      </c>
      <c r="AF172" s="66">
        <v>23.6</v>
      </c>
      <c r="AG172" s="66">
        <v>25.8</v>
      </c>
      <c r="AH172" s="66">
        <v>25.6</v>
      </c>
      <c r="AI172" s="66">
        <v>26</v>
      </c>
      <c r="AJ172" s="66"/>
      <c r="AK172" s="66"/>
      <c r="AL172" s="66"/>
      <c r="AM172" s="66"/>
      <c r="AN172" s="66"/>
      <c r="AO172" s="66"/>
      <c r="AP172" s="67">
        <f t="shared" si="11"/>
        <v>25</v>
      </c>
      <c r="AQ172" s="68">
        <f t="shared" si="12"/>
        <v>24.24</v>
      </c>
      <c r="AR172" s="68">
        <f>IFERROR(VLOOKUP(A172,Climatologia_TMAX!A:U,9+$E$2,FALSE),"")</f>
        <v>21.606312954104371</v>
      </c>
      <c r="AS172" s="68">
        <f t="shared" si="13"/>
        <v>2.633687045895627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>
        <v>17.2</v>
      </c>
      <c r="AD173" s="66">
        <v>18.399999999999999</v>
      </c>
      <c r="AE173" s="66">
        <v>18.8</v>
      </c>
      <c r="AF173" s="66">
        <v>18.2</v>
      </c>
      <c r="AG173" s="66">
        <v>19.600000000000001</v>
      </c>
      <c r="AH173" s="66">
        <v>19.2</v>
      </c>
      <c r="AI173" s="66">
        <v>20</v>
      </c>
      <c r="AJ173" s="66"/>
      <c r="AK173" s="66"/>
      <c r="AL173" s="66"/>
      <c r="AM173" s="66"/>
      <c r="AN173" s="66"/>
      <c r="AO173" s="66"/>
      <c r="AP173" s="67">
        <f t="shared" si="11"/>
        <v>24</v>
      </c>
      <c r="AQ173" s="68">
        <f t="shared" si="12"/>
        <v>18.658333333333328</v>
      </c>
      <c r="AR173" s="68">
        <f>IFERROR(VLOOKUP(A173,Climatologia_TMAX!A:U,9+$E$2,FALSE),"")</f>
        <v>19.144848035988591</v>
      </c>
      <c r="AS173" s="68">
        <f t="shared" si="13"/>
        <v>-0.48651470265526342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>
        <v>16.8</v>
      </c>
      <c r="AD175" s="66">
        <v>16.399999999999999</v>
      </c>
      <c r="AE175" s="66">
        <v>17.600000000000001</v>
      </c>
      <c r="AF175" s="66">
        <v>18</v>
      </c>
      <c r="AG175" s="66">
        <v>19.600000000000001</v>
      </c>
      <c r="AH175" s="66">
        <v>19.399999999999999</v>
      </c>
      <c r="AI175" s="66">
        <v>18.600000000000001</v>
      </c>
      <c r="AJ175" s="66"/>
      <c r="AK175" s="66"/>
      <c r="AL175" s="66"/>
      <c r="AM175" s="66"/>
      <c r="AN175" s="66"/>
      <c r="AO175" s="66"/>
      <c r="AP175" s="67">
        <f t="shared" si="11"/>
        <v>25</v>
      </c>
      <c r="AQ175" s="68">
        <f t="shared" si="12"/>
        <v>17.472000000000001</v>
      </c>
      <c r="AR175" s="68">
        <f>IFERROR(VLOOKUP(A175,Climatologia_TMAX!A:U,9+$E$2,FALSE),"")</f>
        <v>16.77337009846331</v>
      </c>
      <c r="AS175" s="68">
        <f t="shared" si="13"/>
        <v>0.69862990153669102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>
        <v>20.6</v>
      </c>
      <c r="AD176" s="66">
        <v>20.3</v>
      </c>
      <c r="AE176" s="66">
        <v>20.7</v>
      </c>
      <c r="AF176" s="66">
        <v>19.3</v>
      </c>
      <c r="AG176" s="66">
        <v>20.399999999999999</v>
      </c>
      <c r="AH176" s="66">
        <v>21.9</v>
      </c>
      <c r="AI176" s="66"/>
      <c r="AJ176" s="66"/>
      <c r="AK176" s="66"/>
      <c r="AL176" s="66"/>
      <c r="AM176" s="66"/>
      <c r="AN176" s="66"/>
      <c r="AO176" s="66"/>
      <c r="AP176" s="67">
        <f t="shared" si="11"/>
        <v>24</v>
      </c>
      <c r="AQ176" s="68">
        <f t="shared" si="12"/>
        <v>19.999999999999996</v>
      </c>
      <c r="AR176" s="68">
        <f>IFERROR(VLOOKUP(A176,Climatologia_TMAX!A:U,9+$E$2,FALSE),"")</f>
        <v>18.929410456062289</v>
      </c>
      <c r="AS176" s="68">
        <f t="shared" si="13"/>
        <v>1.0705895439377073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>
        <v>28.2</v>
      </c>
      <c r="AC180" s="66">
        <v>26.4</v>
      </c>
      <c r="AD180" s="66">
        <v>25.2</v>
      </c>
      <c r="AE180" s="66">
        <v>24.6</v>
      </c>
      <c r="AF180" s="66">
        <v>25</v>
      </c>
      <c r="AG180" s="66">
        <v>24.6</v>
      </c>
      <c r="AH180" s="66">
        <v>26.4</v>
      </c>
      <c r="AI180" s="66">
        <v>26.2</v>
      </c>
      <c r="AJ180" s="66"/>
      <c r="AK180" s="66"/>
      <c r="AL180" s="66"/>
      <c r="AM180" s="66"/>
      <c r="AN180" s="66"/>
      <c r="AO180" s="66"/>
      <c r="AP180" s="67">
        <f t="shared" si="11"/>
        <v>25</v>
      </c>
      <c r="AQ180" s="68">
        <f t="shared" si="12"/>
        <v>24.663999999999998</v>
      </c>
      <c r="AR180" s="68">
        <f>IFERROR(VLOOKUP(A180,Climatologia_TMAX!A:U,9+$E$2,FALSE),"")</f>
        <v>22.045425414753339</v>
      </c>
      <c r="AS180" s="68">
        <f t="shared" si="13"/>
        <v>2.6185745852466589</v>
      </c>
      <c r="AT180" s="74">
        <f t="shared" si="14"/>
        <v>28.2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0.80000000000000071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>
        <v>19.100000000000001</v>
      </c>
      <c r="AD181" s="66">
        <v>17</v>
      </c>
      <c r="AE181" s="66">
        <v>19.8</v>
      </c>
      <c r="AF181" s="66">
        <v>19</v>
      </c>
      <c r="AG181" s="66">
        <v>19.899999999999999</v>
      </c>
      <c r="AH181" s="66">
        <v>20</v>
      </c>
      <c r="AI181" s="66">
        <v>18.8</v>
      </c>
      <c r="AJ181" s="66"/>
      <c r="AK181" s="66"/>
      <c r="AL181" s="66"/>
      <c r="AM181" s="66"/>
      <c r="AN181" s="66"/>
      <c r="AO181" s="66"/>
      <c r="AP181" s="67">
        <f t="shared" si="11"/>
        <v>25</v>
      </c>
      <c r="AQ181" s="68">
        <f t="shared" si="12"/>
        <v>18.544000000000004</v>
      </c>
      <c r="AR181" s="68">
        <f>IFERROR(VLOOKUP(A181,Climatologia_TMAX!A:U,9+$E$2,FALSE),"")</f>
        <v>17.645817781073621</v>
      </c>
      <c r="AS181" s="68">
        <f t="shared" si="13"/>
        <v>0.89818221892638306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>
        <v>28</v>
      </c>
      <c r="AD182" s="66">
        <v>28.8</v>
      </c>
      <c r="AE182" s="66">
        <v>30.4</v>
      </c>
      <c r="AF182" s="66">
        <v>27.8</v>
      </c>
      <c r="AG182" s="66">
        <v>27</v>
      </c>
      <c r="AH182" s="66">
        <v>29.4</v>
      </c>
      <c r="AI182" s="66">
        <v>28.8</v>
      </c>
      <c r="AJ182" s="66"/>
      <c r="AK182" s="66"/>
      <c r="AL182" s="66"/>
      <c r="AM182" s="66"/>
      <c r="AN182" s="66"/>
      <c r="AO182" s="66"/>
      <c r="AP182" s="67">
        <f t="shared" si="11"/>
        <v>24</v>
      </c>
      <c r="AQ182" s="68">
        <f t="shared" si="12"/>
        <v>27.349999999999994</v>
      </c>
      <c r="AR182" s="68">
        <f>IFERROR(VLOOKUP(A182,Climatologia_TMAX!A:U,9+$E$2,FALSE),"")</f>
        <v>25.244773595756431</v>
      </c>
      <c r="AS182" s="68">
        <f t="shared" si="13"/>
        <v>2.1052264042435631</v>
      </c>
      <c r="AT182" s="74">
        <f t="shared" si="14"/>
        <v>30.4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0.59999999999999787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>
        <v>31.4</v>
      </c>
      <c r="AD183" s="66">
        <v>30</v>
      </c>
      <c r="AE183" s="66">
        <v>30.8</v>
      </c>
      <c r="AF183" s="66">
        <v>28.8</v>
      </c>
      <c r="AG183" s="66">
        <v>29.8</v>
      </c>
      <c r="AH183" s="66">
        <v>31.8</v>
      </c>
      <c r="AI183" s="66">
        <v>30.4</v>
      </c>
      <c r="AJ183" s="66"/>
      <c r="AK183" s="66"/>
      <c r="AL183" s="66"/>
      <c r="AM183" s="66"/>
      <c r="AN183" s="66"/>
      <c r="AO183" s="66"/>
      <c r="AP183" s="67">
        <f t="shared" si="11"/>
        <v>25</v>
      </c>
      <c r="AQ183" s="68">
        <f t="shared" si="12"/>
        <v>29.847999999999992</v>
      </c>
      <c r="AR183" s="68">
        <f>IFERROR(VLOOKUP(A183,Climatologia_TMAX!A:U,9+$E$2,FALSE),"")</f>
        <v>27.239077646938501</v>
      </c>
      <c r="AS183" s="68">
        <f t="shared" si="13"/>
        <v>2.6089223530614909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>
        <v>17.2</v>
      </c>
      <c r="AD184" s="66">
        <v>15.2</v>
      </c>
      <c r="AE184" s="66">
        <v>17.600000000000001</v>
      </c>
      <c r="AF184" s="66">
        <v>15.8</v>
      </c>
      <c r="AG184" s="66">
        <v>16.2</v>
      </c>
      <c r="AH184" s="66">
        <v>17.399999999999999</v>
      </c>
      <c r="AI184" s="66">
        <v>16.600000000000001</v>
      </c>
      <c r="AJ184" s="66"/>
      <c r="AK184" s="66"/>
      <c r="AL184" s="66"/>
      <c r="AM184" s="66"/>
      <c r="AN184" s="66"/>
      <c r="AO184" s="66"/>
      <c r="AP184" s="67">
        <f t="shared" si="11"/>
        <v>25</v>
      </c>
      <c r="AQ184" s="68">
        <f t="shared" si="12"/>
        <v>16.52</v>
      </c>
      <c r="AR184" s="68">
        <f>IFERROR(VLOOKUP(A184,Climatologia_TMAX!A:U,9+$E$2,FALSE),"")</f>
        <v>14.56273340748981</v>
      </c>
      <c r="AS184" s="68">
        <f t="shared" si="13"/>
        <v>1.9572665925101891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>
        <v>32</v>
      </c>
      <c r="AB185" s="66">
        <v>29.6</v>
      </c>
      <c r="AC185" s="66">
        <v>31.8</v>
      </c>
      <c r="AD185" s="66">
        <v>32</v>
      </c>
      <c r="AE185" s="66">
        <v>32.799999999999997</v>
      </c>
      <c r="AF185" s="66">
        <v>30.4</v>
      </c>
      <c r="AG185" s="66">
        <v>28.4</v>
      </c>
      <c r="AH185" s="66">
        <v>31.8</v>
      </c>
      <c r="AI185" s="66">
        <v>32.6</v>
      </c>
      <c r="AJ185" s="66"/>
      <c r="AK185" s="66"/>
      <c r="AL185" s="66"/>
      <c r="AM185" s="66"/>
      <c r="AN185" s="66"/>
      <c r="AO185" s="66"/>
      <c r="AP185" s="67">
        <f t="shared" si="11"/>
        <v>23</v>
      </c>
      <c r="AQ185" s="68">
        <f t="shared" si="12"/>
        <v>31.913043478260864</v>
      </c>
      <c r="AR185" s="68">
        <f>IFERROR(VLOOKUP(A185,Climatologia_TMAX!A:U,9+$E$2,FALSE),"")</f>
        <v>28.271515834024871</v>
      </c>
      <c r="AS185" s="68">
        <f t="shared" si="13"/>
        <v>3.6415276442359925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>
        <v>31.4</v>
      </c>
      <c r="AD186" s="66">
        <v>30.4</v>
      </c>
      <c r="AE186" s="66">
        <v>30.2</v>
      </c>
      <c r="AF186" s="66">
        <v>29.2</v>
      </c>
      <c r="AG186" s="66">
        <v>29</v>
      </c>
      <c r="AH186" s="66">
        <v>29.8</v>
      </c>
      <c r="AI186" s="66">
        <v>30.2</v>
      </c>
      <c r="AJ186" s="66"/>
      <c r="AK186" s="66"/>
      <c r="AL186" s="66"/>
      <c r="AM186" s="66"/>
      <c r="AN186" s="66"/>
      <c r="AO186" s="66"/>
      <c r="AP186" s="67">
        <f t="shared" si="11"/>
        <v>25</v>
      </c>
      <c r="AQ186" s="68">
        <f t="shared" si="12"/>
        <v>30.168000000000006</v>
      </c>
      <c r="AR186" s="68">
        <f>IFERROR(VLOOKUP(A186,Climatologia_TMAX!A:U,9+$E$2,FALSE),"")</f>
        <v>28.080800691244239</v>
      </c>
      <c r="AS186" s="68">
        <f t="shared" si="13"/>
        <v>2.0871993087557676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>
        <v>29.8</v>
      </c>
      <c r="AD187" s="66">
        <v>29.4</v>
      </c>
      <c r="AE187" s="66">
        <v>27.6</v>
      </c>
      <c r="AF187" s="66">
        <v>27.2</v>
      </c>
      <c r="AG187" s="66">
        <v>25.6</v>
      </c>
      <c r="AH187" s="66">
        <v>25.6</v>
      </c>
      <c r="AI187" s="66">
        <v>27.4</v>
      </c>
      <c r="AJ187" s="66"/>
      <c r="AK187" s="66"/>
      <c r="AL187" s="66"/>
      <c r="AM187" s="66"/>
      <c r="AN187" s="66"/>
      <c r="AO187" s="66"/>
      <c r="AP187" s="67">
        <f t="shared" si="11"/>
        <v>23</v>
      </c>
      <c r="AQ187" s="68">
        <f t="shared" si="12"/>
        <v>26.913043478260871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0.40000000000000213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>
        <v>14.4</v>
      </c>
      <c r="AD188" s="66">
        <v>14</v>
      </c>
      <c r="AE188" s="66">
        <v>12.2</v>
      </c>
      <c r="AF188" s="66">
        <v>14.8</v>
      </c>
      <c r="AG188" s="66">
        <v>12.2</v>
      </c>
      <c r="AH188" s="66">
        <v>13</v>
      </c>
      <c r="AI188" s="66">
        <v>13.6</v>
      </c>
      <c r="AJ188" s="66"/>
      <c r="AK188" s="66"/>
      <c r="AL188" s="66"/>
      <c r="AM188" s="66"/>
      <c r="AN188" s="66"/>
      <c r="AO188" s="66"/>
      <c r="AP188" s="67">
        <f t="shared" si="11"/>
        <v>25</v>
      </c>
      <c r="AQ188" s="68">
        <f t="shared" si="12"/>
        <v>13.456</v>
      </c>
      <c r="AR188" s="68">
        <f>IFERROR(VLOOKUP(A188,Climatologia_TMAX!A:U,9+$E$2,FALSE),"")</f>
        <v>13.20223385477499</v>
      </c>
      <c r="AS188" s="68">
        <f t="shared" si="13"/>
        <v>0.25376614522500951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>
        <v>38</v>
      </c>
      <c r="AD191" s="66">
        <v>36.200000000000003</v>
      </c>
      <c r="AE191" s="66">
        <v>37.6</v>
      </c>
      <c r="AF191" s="66">
        <v>36.4</v>
      </c>
      <c r="AG191" s="66">
        <v>32.6</v>
      </c>
      <c r="AH191" s="66">
        <v>37</v>
      </c>
      <c r="AI191" s="66"/>
      <c r="AJ191" s="66"/>
      <c r="AK191" s="66"/>
      <c r="AL191" s="66"/>
      <c r="AM191" s="66"/>
      <c r="AN191" s="66"/>
      <c r="AO191" s="66"/>
      <c r="AP191" s="67">
        <f t="shared" si="11"/>
        <v>24</v>
      </c>
      <c r="AQ191" s="68">
        <f t="shared" si="12"/>
        <v>36.56666666666667</v>
      </c>
      <c r="AR191" s="68">
        <f>IFERROR(VLOOKUP(A191,Climatologia_TMAX!A:U,9+$E$2,FALSE),"")</f>
        <v>34.386602574288887</v>
      </c>
      <c r="AS191" s="68">
        <f t="shared" si="13"/>
        <v>2.1800640923777834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>
        <v>30.6</v>
      </c>
      <c r="AD192" s="66">
        <v>32.799999999999997</v>
      </c>
      <c r="AE192" s="66">
        <v>31.6</v>
      </c>
      <c r="AF192" s="66">
        <v>30.8</v>
      </c>
      <c r="AG192" s="66">
        <v>30.2</v>
      </c>
      <c r="AH192" s="66">
        <v>33</v>
      </c>
      <c r="AI192" s="66">
        <v>32.6</v>
      </c>
      <c r="AJ192" s="66"/>
      <c r="AK192" s="66"/>
      <c r="AL192" s="66"/>
      <c r="AM192" s="66"/>
      <c r="AN192" s="66"/>
      <c r="AO192" s="66"/>
      <c r="AP192" s="67">
        <f t="shared" si="11"/>
        <v>25</v>
      </c>
      <c r="AQ192" s="68">
        <f t="shared" si="12"/>
        <v>31.744</v>
      </c>
      <c r="AR192" s="68">
        <f>IFERROR(VLOOKUP(A192,Climatologia_TMAX!A:U,9+$E$2,FALSE),"")</f>
        <v>30.53754007980649</v>
      </c>
      <c r="AS192" s="68">
        <f t="shared" si="13"/>
        <v>1.2064599201935096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>
        <v>34.6</v>
      </c>
      <c r="AD193" s="66">
        <v>35.799999999999997</v>
      </c>
      <c r="AE193" s="66">
        <v>34</v>
      </c>
      <c r="AF193" s="66">
        <v>33.799999999999997</v>
      </c>
      <c r="AG193" s="66">
        <v>31.4</v>
      </c>
      <c r="AH193" s="66">
        <v>34.6</v>
      </c>
      <c r="AI193" s="66">
        <v>35.4</v>
      </c>
      <c r="AJ193" s="66"/>
      <c r="AK193" s="66"/>
      <c r="AL193" s="66"/>
      <c r="AM193" s="66"/>
      <c r="AN193" s="66"/>
      <c r="AO193" s="66"/>
      <c r="AP193" s="67">
        <f t="shared" si="11"/>
        <v>25</v>
      </c>
      <c r="AQ193" s="68">
        <f t="shared" si="12"/>
        <v>34.872</v>
      </c>
      <c r="AR193" s="68">
        <f>IFERROR(VLOOKUP(A193,Climatologia_TMAX!A:U,9+$E$2,FALSE),"")</f>
        <v>32.604882188186302</v>
      </c>
      <c r="AS193" s="68">
        <f t="shared" si="13"/>
        <v>2.2671178118136979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>
        <v>35.200000000000003</v>
      </c>
      <c r="AD194" s="66">
        <v>36.200000000000003</v>
      </c>
      <c r="AE194" s="66">
        <v>35.6</v>
      </c>
      <c r="AF194" s="66">
        <v>34.4</v>
      </c>
      <c r="AG194" s="66">
        <v>34</v>
      </c>
      <c r="AH194" s="66">
        <v>34.799999999999997</v>
      </c>
      <c r="AI194" s="66">
        <v>36</v>
      </c>
      <c r="AJ194" s="66"/>
      <c r="AK194" s="66"/>
      <c r="AL194" s="66"/>
      <c r="AM194" s="66"/>
      <c r="AN194" s="66"/>
      <c r="AO194" s="66"/>
      <c r="AP194" s="67">
        <f t="shared" si="11"/>
        <v>25</v>
      </c>
      <c r="AQ194" s="68">
        <f t="shared" si="12"/>
        <v>36.103999999999999</v>
      </c>
      <c r="AR194" s="68">
        <f>IFERROR(VLOOKUP(A194,Climatologia_TMAX!A:U,9+$E$2,FALSE),"")</f>
        <v>33.982628113224877</v>
      </c>
      <c r="AS194" s="68">
        <f t="shared" si="13"/>
        <v>2.1213718867751226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>
        <v>35.4</v>
      </c>
      <c r="AD197" s="66">
        <v>36.200000000000003</v>
      </c>
      <c r="AE197" s="66">
        <v>35.4</v>
      </c>
      <c r="AF197" s="66">
        <v>34.200000000000003</v>
      </c>
      <c r="AG197" s="66">
        <v>32.6</v>
      </c>
      <c r="AH197" s="66">
        <v>35.799999999999997</v>
      </c>
      <c r="AI197" s="66">
        <v>36.6</v>
      </c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21</v>
      </c>
      <c r="AQ197" s="68">
        <f t="shared" ref="AQ197:AQ260" si="17">IF(AP197&gt;14,AVERAGE(K197:AO197),"")</f>
        <v>35.771428571428579</v>
      </c>
      <c r="AR197" s="68">
        <f>IFERROR(VLOOKUP(A197,Climatologia_TMAX!A:U,9+$E$2,FALSE),"")</f>
        <v>33.32113210309651</v>
      </c>
      <c r="AS197" s="68">
        <f t="shared" ref="AS197:AS260" si="18">IF(OR(AQ197="",AR197=""),"",IFERROR(AQ197-AR197,""))</f>
        <v>2.4502964683320698</v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>
        <v>35</v>
      </c>
      <c r="AD199" s="66">
        <v>36.200000000000003</v>
      </c>
      <c r="AE199" s="66">
        <v>34.4</v>
      </c>
      <c r="AF199" s="66">
        <v>33.799999999999997</v>
      </c>
      <c r="AG199" s="66">
        <v>34.799999999999997</v>
      </c>
      <c r="AH199" s="66">
        <v>35.4</v>
      </c>
      <c r="AI199" s="66">
        <v>35.4</v>
      </c>
      <c r="AJ199" s="66"/>
      <c r="AK199" s="66"/>
      <c r="AL199" s="66"/>
      <c r="AM199" s="66"/>
      <c r="AN199" s="66"/>
      <c r="AO199" s="66"/>
      <c r="AP199" s="67">
        <f t="shared" si="16"/>
        <v>25</v>
      </c>
      <c r="AQ199" s="68">
        <f t="shared" si="17"/>
        <v>35.639999999999993</v>
      </c>
      <c r="AR199" s="68">
        <f>IFERROR(VLOOKUP(A199,Climatologia_TMAX!A:U,9+$E$2,FALSE),"")</f>
        <v>32.492888905936347</v>
      </c>
      <c r="AS199" s="68">
        <f t="shared" si="18"/>
        <v>3.1471110940636464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>
        <v>20</v>
      </c>
      <c r="AD200" s="66">
        <v>19.8</v>
      </c>
      <c r="AE200" s="66">
        <v>20</v>
      </c>
      <c r="AF200" s="66">
        <v>20.2</v>
      </c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22</v>
      </c>
      <c r="AQ200" s="68">
        <f t="shared" si="17"/>
        <v>19.127272727272729</v>
      </c>
      <c r="AR200" s="68">
        <f>IFERROR(VLOOKUP(A200,Climatologia_TMAX!A:U,9+$E$2,FALSE),"")</f>
        <v>17.735029868578259</v>
      </c>
      <c r="AS200" s="68">
        <f t="shared" si="18"/>
        <v>1.3922428586944697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>
        <v>24</v>
      </c>
      <c r="AD201" s="66">
        <v>25.4</v>
      </c>
      <c r="AE201" s="66">
        <v>25</v>
      </c>
      <c r="AF201" s="66">
        <v>24.2</v>
      </c>
      <c r="AG201" s="66">
        <v>26</v>
      </c>
      <c r="AH201" s="66">
        <v>26</v>
      </c>
      <c r="AI201" s="66"/>
      <c r="AJ201" s="66"/>
      <c r="AK201" s="66"/>
      <c r="AL201" s="66"/>
      <c r="AM201" s="66"/>
      <c r="AN201" s="66"/>
      <c r="AO201" s="66"/>
      <c r="AP201" s="67">
        <f t="shared" si="16"/>
        <v>23</v>
      </c>
      <c r="AQ201" s="68">
        <f t="shared" si="17"/>
        <v>25.026086956521741</v>
      </c>
      <c r="AR201" s="68">
        <f>IFERROR(VLOOKUP(A201,Climatologia_TMAX!A:U,9+$E$2,FALSE),"")</f>
        <v>22.75197498391692</v>
      </c>
      <c r="AS201" s="68">
        <f t="shared" si="18"/>
        <v>2.2741119726048211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>
        <v>21.2</v>
      </c>
      <c r="AD203" s="66">
        <v>21.8</v>
      </c>
      <c r="AE203" s="66">
        <v>21.6</v>
      </c>
      <c r="AF203" s="66">
        <v>22</v>
      </c>
      <c r="AG203" s="66">
        <v>18.600000000000001</v>
      </c>
      <c r="AH203" s="66">
        <v>21.4</v>
      </c>
      <c r="AI203" s="66">
        <v>21</v>
      </c>
      <c r="AJ203" s="66"/>
      <c r="AK203" s="66"/>
      <c r="AL203" s="66"/>
      <c r="AM203" s="66"/>
      <c r="AN203" s="66"/>
      <c r="AO203" s="66"/>
      <c r="AP203" s="67">
        <f t="shared" si="16"/>
        <v>25</v>
      </c>
      <c r="AQ203" s="68">
        <f t="shared" si="17"/>
        <v>20.864000000000001</v>
      </c>
      <c r="AR203" s="68">
        <f>IFERROR(VLOOKUP(A203,Climatologia_TMAX!A:U,9+$E$2,FALSE),"")</f>
        <v>19.985882256004611</v>
      </c>
      <c r="AS203" s="68">
        <f t="shared" si="18"/>
        <v>0.87811774399538933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>
        <v>29.2</v>
      </c>
      <c r="AD205" s="66">
        <v>29.2</v>
      </c>
      <c r="AE205" s="66">
        <v>28</v>
      </c>
      <c r="AF205" s="66">
        <v>27.6</v>
      </c>
      <c r="AG205" s="66">
        <v>26</v>
      </c>
      <c r="AH205" s="66">
        <v>30</v>
      </c>
      <c r="AI205" s="66">
        <v>29</v>
      </c>
      <c r="AJ205" s="66"/>
      <c r="AK205" s="66"/>
      <c r="AL205" s="66"/>
      <c r="AM205" s="66"/>
      <c r="AN205" s="66"/>
      <c r="AO205" s="66"/>
      <c r="AP205" s="67">
        <f t="shared" si="16"/>
        <v>25</v>
      </c>
      <c r="AQ205" s="68">
        <f t="shared" si="17"/>
        <v>28.472000000000001</v>
      </c>
      <c r="AR205" s="68">
        <f>IFERROR(VLOOKUP(A205,Climatologia_TMAX!A:U,9+$E$2,FALSE),"")</f>
        <v>26.486742471058381</v>
      </c>
      <c r="AS205" s="68">
        <f t="shared" si="18"/>
        <v>1.9852575289416201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>
        <v>30.4</v>
      </c>
      <c r="AC208" s="66">
        <v>34.4</v>
      </c>
      <c r="AD208" s="66">
        <v>35.4</v>
      </c>
      <c r="AE208" s="66">
        <v>32.799999999999997</v>
      </c>
      <c r="AF208" s="66">
        <v>33.4</v>
      </c>
      <c r="AG208" s="66">
        <v>32.200000000000003</v>
      </c>
      <c r="AH208" s="66">
        <v>35</v>
      </c>
      <c r="AI208" s="66">
        <v>34.200000000000003</v>
      </c>
      <c r="AJ208" s="66"/>
      <c r="AK208" s="66"/>
      <c r="AL208" s="66"/>
      <c r="AM208" s="66"/>
      <c r="AN208" s="66"/>
      <c r="AO208" s="66"/>
      <c r="AP208" s="67">
        <f t="shared" si="16"/>
        <v>24</v>
      </c>
      <c r="AQ208" s="68">
        <f t="shared" si="17"/>
        <v>33.86666666666666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>
        <v>28</v>
      </c>
      <c r="AD209" s="66">
        <v>24.6</v>
      </c>
      <c r="AE209" s="66">
        <v>24</v>
      </c>
      <c r="AF209" s="66">
        <v>24.2</v>
      </c>
      <c r="AG209" s="66">
        <v>21.6</v>
      </c>
      <c r="AH209" s="66">
        <v>24.6</v>
      </c>
      <c r="AI209" s="66">
        <v>26</v>
      </c>
      <c r="AJ209" s="66"/>
      <c r="AK209" s="66"/>
      <c r="AL209" s="66"/>
      <c r="AM209" s="66"/>
      <c r="AN209" s="66"/>
      <c r="AO209" s="66"/>
      <c r="AP209" s="67">
        <f t="shared" si="16"/>
        <v>25</v>
      </c>
      <c r="AQ209" s="68">
        <f t="shared" si="17"/>
        <v>24.744000000000007</v>
      </c>
      <c r="AR209" s="68">
        <f>IFERROR(VLOOKUP(A209,Climatologia_TMAX!A:U,9+$E$2,FALSE),"")</f>
        <v>24.015476455320719</v>
      </c>
      <c r="AS209" s="68">
        <f t="shared" si="18"/>
        <v>0.72852354467928748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>
        <v>33.4</v>
      </c>
      <c r="AD210" s="66">
        <v>30.8</v>
      </c>
      <c r="AE210" s="66">
        <v>31.6</v>
      </c>
      <c r="AF210" s="66">
        <v>31.6</v>
      </c>
      <c r="AG210" s="66">
        <v>27.2</v>
      </c>
      <c r="AH210" s="66">
        <v>32.4</v>
      </c>
      <c r="AI210" s="66">
        <v>32.200000000000003</v>
      </c>
      <c r="AJ210" s="66"/>
      <c r="AK210" s="66"/>
      <c r="AL210" s="66"/>
      <c r="AM210" s="66"/>
      <c r="AN210" s="66"/>
      <c r="AO210" s="66"/>
      <c r="AP210" s="67">
        <f t="shared" si="16"/>
        <v>25</v>
      </c>
      <c r="AQ210" s="68">
        <f t="shared" si="17"/>
        <v>31.440000000000005</v>
      </c>
      <c r="AR210" s="68">
        <f>IFERROR(VLOOKUP(A210,Climatologia_TMAX!A:U,9+$E$2,FALSE),"")</f>
        <v>29.654423963133631</v>
      </c>
      <c r="AS210" s="68">
        <f t="shared" si="18"/>
        <v>1.7855760368663738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>
        <v>32</v>
      </c>
      <c r="AD214" s="66">
        <v>29.2</v>
      </c>
      <c r="AE214" s="66">
        <v>27</v>
      </c>
      <c r="AF214" s="66">
        <v>28</v>
      </c>
      <c r="AG214" s="66">
        <v>28</v>
      </c>
      <c r="AH214" s="66">
        <v>32</v>
      </c>
      <c r="AI214" s="66">
        <v>32.6</v>
      </c>
      <c r="AJ214" s="66"/>
      <c r="AK214" s="66"/>
      <c r="AL214" s="66"/>
      <c r="AM214" s="66"/>
      <c r="AN214" s="66"/>
      <c r="AO214" s="66"/>
      <c r="AP214" s="67">
        <f t="shared" si="16"/>
        <v>25</v>
      </c>
      <c r="AQ214" s="68">
        <f t="shared" si="17"/>
        <v>30.536000000000005</v>
      </c>
      <c r="AR214" s="68">
        <f>IFERROR(VLOOKUP(A214,Climatologia_TMAX!A:U,9+$E$2,FALSE),"")</f>
        <v>29.107319792911181</v>
      </c>
      <c r="AS214" s="68">
        <f t="shared" si="18"/>
        <v>1.4286802070888243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>
        <v>27.4</v>
      </c>
      <c r="AD216" s="66">
        <v>28</v>
      </c>
      <c r="AE216" s="66">
        <v>26.8</v>
      </c>
      <c r="AF216" s="66">
        <v>27.2</v>
      </c>
      <c r="AG216" s="66">
        <v>23.2</v>
      </c>
      <c r="AH216" s="66">
        <v>28.4</v>
      </c>
      <c r="AI216" s="66">
        <v>27.8</v>
      </c>
      <c r="AJ216" s="66"/>
      <c r="AK216" s="66"/>
      <c r="AL216" s="66"/>
      <c r="AM216" s="66"/>
      <c r="AN216" s="66"/>
      <c r="AO216" s="66"/>
      <c r="AP216" s="67">
        <f t="shared" si="16"/>
        <v>25</v>
      </c>
      <c r="AQ216" s="68">
        <f t="shared" si="17"/>
        <v>27.759999999999994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>
        <v>26.6</v>
      </c>
      <c r="AD217" s="66">
        <v>26.8</v>
      </c>
      <c r="AE217" s="66">
        <v>26.4</v>
      </c>
      <c r="AF217" s="66">
        <v>26</v>
      </c>
      <c r="AG217" s="66">
        <v>25.6</v>
      </c>
      <c r="AH217" s="66">
        <v>27.2</v>
      </c>
      <c r="AI217" s="66">
        <v>27.2</v>
      </c>
      <c r="AJ217" s="66"/>
      <c r="AK217" s="66"/>
      <c r="AL217" s="66"/>
      <c r="AM217" s="66"/>
      <c r="AN217" s="66"/>
      <c r="AO217" s="66"/>
      <c r="AP217" s="67">
        <f t="shared" si="16"/>
        <v>25</v>
      </c>
      <c r="AQ217" s="68">
        <f t="shared" si="17"/>
        <v>26.464000000000006</v>
      </c>
      <c r="AR217" s="68">
        <f>IFERROR(VLOOKUP(A217,Climatologia_TMAX!A:U,9+$E$2,FALSE),"")</f>
        <v>23.98799853208218</v>
      </c>
      <c r="AS217" s="68">
        <f t="shared" si="18"/>
        <v>2.4760014679178255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>
        <v>18.600000000000001</v>
      </c>
      <c r="AD221" s="66">
        <v>19</v>
      </c>
      <c r="AE221" s="66">
        <v>18.8</v>
      </c>
      <c r="AF221" s="66">
        <v>17.600000000000001</v>
      </c>
      <c r="AG221" s="66">
        <v>19</v>
      </c>
      <c r="AH221" s="66">
        <v>19</v>
      </c>
      <c r="AI221" s="66">
        <v>16.600000000000001</v>
      </c>
      <c r="AJ221" s="66"/>
      <c r="AK221" s="66"/>
      <c r="AL221" s="66"/>
      <c r="AM221" s="66"/>
      <c r="AN221" s="66"/>
      <c r="AO221" s="66"/>
      <c r="AP221" s="67">
        <f t="shared" si="16"/>
        <v>23</v>
      </c>
      <c r="AQ221" s="68">
        <f t="shared" si="17"/>
        <v>17.895652173913046</v>
      </c>
      <c r="AR221" s="68">
        <f>IFERROR(VLOOKUP(A221,Climatologia_TMAX!A:U,9+$E$2,FALSE),"")</f>
        <v>15.966759634455681</v>
      </c>
      <c r="AS221" s="68">
        <f t="shared" si="18"/>
        <v>1.9288925394573653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>
        <v>26.2</v>
      </c>
      <c r="AD222" s="66">
        <v>26.4</v>
      </c>
      <c r="AE222" s="66">
        <v>25</v>
      </c>
      <c r="AF222" s="66">
        <v>23.8</v>
      </c>
      <c r="AG222" s="66">
        <v>24</v>
      </c>
      <c r="AH222" s="66">
        <v>24</v>
      </c>
      <c r="AI222" s="66">
        <v>24.4</v>
      </c>
      <c r="AJ222" s="66"/>
      <c r="AK222" s="66"/>
      <c r="AL222" s="66"/>
      <c r="AM222" s="66"/>
      <c r="AN222" s="66"/>
      <c r="AO222" s="66"/>
      <c r="AP222" s="67">
        <f t="shared" si="16"/>
        <v>25</v>
      </c>
      <c r="AQ222" s="68">
        <f t="shared" si="17"/>
        <v>24.655999999999995</v>
      </c>
      <c r="AR222" s="68">
        <f>IFERROR(VLOOKUP(A222,Climatologia_TMAX!A:U,9+$E$2,FALSE),"")</f>
        <v>22.71125914315569</v>
      </c>
      <c r="AS222" s="68">
        <f t="shared" si="18"/>
        <v>1.9447408568443052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>
        <v>32.6</v>
      </c>
      <c r="AD224" s="66">
        <v>35.200000000000003</v>
      </c>
      <c r="AE224" s="66">
        <v>33.799999999999997</v>
      </c>
      <c r="AF224" s="66"/>
      <c r="AG224" s="66"/>
      <c r="AH224" s="66">
        <v>33.6</v>
      </c>
      <c r="AI224" s="66"/>
      <c r="AJ224" s="66"/>
      <c r="AK224" s="66"/>
      <c r="AL224" s="66"/>
      <c r="AM224" s="66"/>
      <c r="AN224" s="66"/>
      <c r="AO224" s="66"/>
      <c r="AP224" s="67">
        <f t="shared" si="16"/>
        <v>22</v>
      </c>
      <c r="AQ224" s="68">
        <f t="shared" si="17"/>
        <v>32.836363636363636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>
        <v>32.200000000000003</v>
      </c>
      <c r="AD231" s="66">
        <v>34</v>
      </c>
      <c r="AE231" s="66">
        <v>33.200000000000003</v>
      </c>
      <c r="AF231" s="66">
        <v>31</v>
      </c>
      <c r="AG231" s="66">
        <v>33.6</v>
      </c>
      <c r="AH231" s="66">
        <v>34.4</v>
      </c>
      <c r="AI231" s="66">
        <v>32.200000000000003</v>
      </c>
      <c r="AJ231" s="66"/>
      <c r="AK231" s="66"/>
      <c r="AL231" s="66"/>
      <c r="AM231" s="66"/>
      <c r="AN231" s="66"/>
      <c r="AO231" s="66"/>
      <c r="AP231" s="67">
        <f t="shared" si="16"/>
        <v>25</v>
      </c>
      <c r="AQ231" s="68">
        <f t="shared" si="17"/>
        <v>32.200000000000003</v>
      </c>
      <c r="AR231" s="68">
        <f>IFERROR(VLOOKUP(A231,Climatologia_TMAX!A:U,9+$E$2,FALSE),"")</f>
        <v>30.333152235427281</v>
      </c>
      <c r="AS231" s="68">
        <f t="shared" si="18"/>
        <v>1.8668477645727215</v>
      </c>
      <c r="AT231" s="74">
        <f t="shared" si="19"/>
        <v>34.4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0.60000000000000142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>
        <v>33.200000000000003</v>
      </c>
      <c r="AD235" s="66">
        <v>35</v>
      </c>
      <c r="AE235" s="66">
        <v>33.4</v>
      </c>
      <c r="AF235" s="66">
        <v>33</v>
      </c>
      <c r="AG235" s="66">
        <v>34</v>
      </c>
      <c r="AH235" s="66">
        <v>33.200000000000003</v>
      </c>
      <c r="AI235" s="66">
        <v>34.799999999999997</v>
      </c>
      <c r="AJ235" s="66"/>
      <c r="AK235" s="66"/>
      <c r="AL235" s="66"/>
      <c r="AM235" s="66"/>
      <c r="AN235" s="66"/>
      <c r="AO235" s="66"/>
      <c r="AP235" s="67">
        <f t="shared" si="16"/>
        <v>25</v>
      </c>
      <c r="AQ235" s="68">
        <f t="shared" si="17"/>
        <v>32.615999999999993</v>
      </c>
      <c r="AR235" s="68">
        <f>IFERROR(VLOOKUP(A235,Climatologia_TMAX!A:U,9+$E$2,FALSE),"")</f>
        <v>30.387096774193552</v>
      </c>
      <c r="AS235" s="68">
        <f t="shared" si="18"/>
        <v>2.228903225806441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>
        <v>34</v>
      </c>
      <c r="N238" s="66">
        <v>31</v>
      </c>
      <c r="O238" s="66">
        <v>28.6</v>
      </c>
      <c r="P238" s="66">
        <v>34.200000000000003</v>
      </c>
      <c r="Q238" s="66">
        <v>32</v>
      </c>
      <c r="R238" s="66">
        <v>28.6</v>
      </c>
      <c r="S238" s="66">
        <v>30.2</v>
      </c>
      <c r="T238" s="66">
        <v>31.2</v>
      </c>
      <c r="U238" s="66">
        <v>33.200000000000003</v>
      </c>
      <c r="V238" s="66">
        <v>29</v>
      </c>
      <c r="W238" s="66">
        <v>31.2</v>
      </c>
      <c r="X238" s="66">
        <v>32</v>
      </c>
      <c r="Y238" s="66">
        <v>29</v>
      </c>
      <c r="Z238" s="66">
        <v>30</v>
      </c>
      <c r="AA238" s="66">
        <v>28.2</v>
      </c>
      <c r="AB238" s="66">
        <v>31.2</v>
      </c>
      <c r="AC238" s="66">
        <v>28.4</v>
      </c>
      <c r="AD238" s="66">
        <v>32.4</v>
      </c>
      <c r="AE238" s="66">
        <v>33.200000000000003</v>
      </c>
      <c r="AF238" s="66">
        <v>31</v>
      </c>
      <c r="AG238" s="66">
        <v>33.200000000000003</v>
      </c>
      <c r="AH238" s="66">
        <v>30.4</v>
      </c>
      <c r="AI238" s="66"/>
      <c r="AJ238" s="66"/>
      <c r="AK238" s="66"/>
      <c r="AL238" s="66"/>
      <c r="AM238" s="66"/>
      <c r="AN238" s="66"/>
      <c r="AO238" s="66"/>
      <c r="AP238" s="67">
        <f t="shared" si="16"/>
        <v>24</v>
      </c>
      <c r="AQ238" s="68">
        <f t="shared" si="17"/>
        <v>31.175000000000001</v>
      </c>
      <c r="AR238" s="68">
        <f>IFERROR(VLOOKUP(A238,Climatologia_TMAX!A:U,9+$E$2,FALSE),"")</f>
        <v>30.317402116402121</v>
      </c>
      <c r="AS238" s="68">
        <f t="shared" si="18"/>
        <v>0.85759788359787947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>
        <v>28.2</v>
      </c>
      <c r="AD244" s="66">
        <v>28.6</v>
      </c>
      <c r="AE244" s="66">
        <v>30</v>
      </c>
      <c r="AF244" s="66">
        <v>28</v>
      </c>
      <c r="AG244" s="66"/>
      <c r="AH244" s="66">
        <v>29.6</v>
      </c>
      <c r="AI244" s="66">
        <v>31.2</v>
      </c>
      <c r="AJ244" s="66"/>
      <c r="AK244" s="66"/>
      <c r="AL244" s="66"/>
      <c r="AM244" s="66"/>
      <c r="AN244" s="66"/>
      <c r="AO244" s="66"/>
      <c r="AP244" s="67">
        <f t="shared" si="16"/>
        <v>23</v>
      </c>
      <c r="AQ244" s="68">
        <f t="shared" si="17"/>
        <v>28.130434782608695</v>
      </c>
      <c r="AR244" s="68">
        <f>IFERROR(VLOOKUP(A244,Climatologia_TMAX!A:U,9+$E$2,FALSE),"")</f>
        <v>25.772090800477901</v>
      </c>
      <c r="AS244" s="68">
        <f t="shared" si="18"/>
        <v>2.3583439821307941</v>
      </c>
      <c r="AT244" s="74">
        <f t="shared" si="19"/>
        <v>31.2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0.80000000000000071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>
        <v>36</v>
      </c>
      <c r="AD246" s="66">
        <v>35.4</v>
      </c>
      <c r="AE246" s="66">
        <v>34.200000000000003</v>
      </c>
      <c r="AF246" s="66">
        <v>31.4</v>
      </c>
      <c r="AG246" s="66">
        <v>33.6</v>
      </c>
      <c r="AH246" s="66">
        <v>35.200000000000003</v>
      </c>
      <c r="AI246" s="66">
        <v>35.6</v>
      </c>
      <c r="AJ246" s="66"/>
      <c r="AK246" s="66"/>
      <c r="AL246" s="66"/>
      <c r="AM246" s="66"/>
      <c r="AN246" s="66"/>
      <c r="AO246" s="66"/>
      <c r="AP246" s="67">
        <f t="shared" si="16"/>
        <v>25</v>
      </c>
      <c r="AQ246" s="68">
        <f t="shared" si="17"/>
        <v>33.616000000000007</v>
      </c>
      <c r="AR246" s="68">
        <f>IFERROR(VLOOKUP(A246,Climatologia_TMAX!A:U,9+$E$2,FALSE),"")</f>
        <v>30.365280795815501</v>
      </c>
      <c r="AS246" s="68">
        <f t="shared" si="18"/>
        <v>3.2507192041845059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>
        <v>40.6</v>
      </c>
      <c r="AD247" s="66">
        <v>40.200000000000003</v>
      </c>
      <c r="AE247" s="66">
        <v>39.200000000000003</v>
      </c>
      <c r="AF247" s="66"/>
      <c r="AG247" s="66">
        <v>38.4</v>
      </c>
      <c r="AH247" s="66">
        <v>39.6</v>
      </c>
      <c r="AI247" s="66">
        <v>40.799999999999997</v>
      </c>
      <c r="AJ247" s="66"/>
      <c r="AK247" s="66"/>
      <c r="AL247" s="66"/>
      <c r="AM247" s="66"/>
      <c r="AN247" s="66"/>
      <c r="AO247" s="66"/>
      <c r="AP247" s="67">
        <f t="shared" si="16"/>
        <v>23</v>
      </c>
      <c r="AQ247" s="68">
        <f t="shared" si="17"/>
        <v>38.052173913043482</v>
      </c>
      <c r="AR247" s="68">
        <f>IFERROR(VLOOKUP(A247,Climatologia_TMAX!A:U,9+$E$2,FALSE),"")</f>
        <v>35.840573622107357</v>
      </c>
      <c r="AS247" s="68">
        <f t="shared" si="18"/>
        <v>2.2116002909361256</v>
      </c>
      <c r="AT247" s="74">
        <f t="shared" si="19"/>
        <v>40.799999999999997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-0.40000000000000568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>
        <v>39</v>
      </c>
      <c r="AD248" s="66">
        <v>38.799999999999997</v>
      </c>
      <c r="AE248" s="66">
        <v>37.6</v>
      </c>
      <c r="AF248" s="66">
        <v>35.799999999999997</v>
      </c>
      <c r="AG248" s="66">
        <v>36.6</v>
      </c>
      <c r="AH248" s="66">
        <v>38.200000000000003</v>
      </c>
      <c r="AI248" s="66">
        <v>38.6</v>
      </c>
      <c r="AJ248" s="66"/>
      <c r="AK248" s="66"/>
      <c r="AL248" s="66"/>
      <c r="AM248" s="66"/>
      <c r="AN248" s="66"/>
      <c r="AO248" s="66"/>
      <c r="AP248" s="67">
        <f t="shared" si="16"/>
        <v>25</v>
      </c>
      <c r="AQ248" s="68">
        <f t="shared" si="17"/>
        <v>36.752000000000002</v>
      </c>
      <c r="AR248" s="68">
        <f>IFERROR(VLOOKUP(A248,Climatologia_TMAX!A:U,9+$E$2,FALSE),"")</f>
        <v>34.327826313407613</v>
      </c>
      <c r="AS248" s="68">
        <f t="shared" si="18"/>
        <v>2.4241736865923897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>
        <v>30.4</v>
      </c>
      <c r="AD249" s="66">
        <v>32.6</v>
      </c>
      <c r="AE249" s="66"/>
      <c r="AF249" s="66">
        <v>31.6</v>
      </c>
      <c r="AG249" s="66">
        <v>30</v>
      </c>
      <c r="AH249" s="66">
        <v>31.6</v>
      </c>
      <c r="AI249" s="66">
        <v>32.799999999999997</v>
      </c>
      <c r="AJ249" s="66"/>
      <c r="AK249" s="66"/>
      <c r="AL249" s="66"/>
      <c r="AM249" s="66"/>
      <c r="AN249" s="66"/>
      <c r="AO249" s="66"/>
      <c r="AP249" s="67">
        <f t="shared" si="16"/>
        <v>24</v>
      </c>
      <c r="AQ249" s="68">
        <f t="shared" si="17"/>
        <v>31.650000000000002</v>
      </c>
      <c r="AR249" s="68">
        <f>IFERROR(VLOOKUP(A249,Climatologia_TMAX!A:U,9+$E$2,FALSE),"")</f>
        <v>31.369964157706089</v>
      </c>
      <c r="AS249" s="68">
        <f t="shared" si="18"/>
        <v>0.28003584229391265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>
        <v>40.799999999999997</v>
      </c>
      <c r="AD250" s="66">
        <v>39.799999999999997</v>
      </c>
      <c r="AE250" s="66">
        <v>39.6</v>
      </c>
      <c r="AF250" s="66">
        <v>36.6</v>
      </c>
      <c r="AG250" s="66">
        <v>38.4</v>
      </c>
      <c r="AH250" s="66">
        <v>39.6</v>
      </c>
      <c r="AI250" s="66">
        <v>39.200000000000003</v>
      </c>
      <c r="AJ250" s="66"/>
      <c r="AK250" s="66"/>
      <c r="AL250" s="66"/>
      <c r="AM250" s="66"/>
      <c r="AN250" s="66"/>
      <c r="AO250" s="66"/>
      <c r="AP250" s="67">
        <f t="shared" si="16"/>
        <v>24</v>
      </c>
      <c r="AQ250" s="68">
        <f t="shared" si="17"/>
        <v>38.633333333333333</v>
      </c>
      <c r="AR250" s="68">
        <f>IFERROR(VLOOKUP(A250,Climatologia_TMAX!A:U,9+$E$2,FALSE),"")</f>
        <v>36.452131073091188</v>
      </c>
      <c r="AS250" s="68">
        <f t="shared" si="18"/>
        <v>2.181202260242145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>
        <v>40.799999999999997</v>
      </c>
      <c r="AD252" s="66">
        <v>40.6</v>
      </c>
      <c r="AE252" s="66">
        <v>40</v>
      </c>
      <c r="AF252" s="106">
        <v>38.200000000000003</v>
      </c>
      <c r="AG252" s="66">
        <v>38</v>
      </c>
      <c r="AH252" s="66">
        <v>38.4</v>
      </c>
      <c r="AI252" s="66">
        <v>41.4</v>
      </c>
      <c r="AJ252" s="66"/>
      <c r="AK252" s="66"/>
      <c r="AL252" s="66"/>
      <c r="AM252" s="66"/>
      <c r="AN252" s="66"/>
      <c r="AO252" s="66"/>
      <c r="AP252" s="67">
        <f t="shared" si="16"/>
        <v>25</v>
      </c>
      <c r="AQ252" s="68">
        <f t="shared" si="17"/>
        <v>38.840000000000003</v>
      </c>
      <c r="AR252" s="68">
        <f>IFERROR(VLOOKUP(A252,Climatologia_TMAX!A:U,9+$E$2,FALSE),"")</f>
        <v>35.220558268183389</v>
      </c>
      <c r="AS252" s="68">
        <f t="shared" si="18"/>
        <v>3.6194417318166145</v>
      </c>
      <c r="AT252" s="74">
        <f t="shared" si="19"/>
        <v>41.4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>
        <v>37</v>
      </c>
      <c r="AD255" s="66">
        <v>36.799999999999997</v>
      </c>
      <c r="AE255" s="66">
        <v>38</v>
      </c>
      <c r="AF255" s="66">
        <v>34.4</v>
      </c>
      <c r="AG255" s="66">
        <v>35.6</v>
      </c>
      <c r="AH255" s="66">
        <v>38</v>
      </c>
      <c r="AI255" s="66">
        <v>37.6</v>
      </c>
      <c r="AJ255" s="66"/>
      <c r="AK255" s="66"/>
      <c r="AL255" s="66"/>
      <c r="AM255" s="66"/>
      <c r="AN255" s="66"/>
      <c r="AO255" s="66"/>
      <c r="AP255" s="67">
        <f t="shared" si="16"/>
        <v>25</v>
      </c>
      <c r="AQ255" s="68">
        <f t="shared" si="17"/>
        <v>35.880000000000003</v>
      </c>
      <c r="AR255" s="68">
        <f>IFERROR(VLOOKUP(A255,Climatologia_TMAX!A:U,9+$E$2,FALSE),"")</f>
        <v>33.060314020206199</v>
      </c>
      <c r="AS255" s="68">
        <f t="shared" si="18"/>
        <v>2.8196859797938032</v>
      </c>
      <c r="AT255" s="74">
        <f t="shared" si="19"/>
        <v>38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-0.79999999999999716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>
        <v>27.6</v>
      </c>
      <c r="AD258" s="66">
        <v>27.7</v>
      </c>
      <c r="AE258" s="66">
        <v>27</v>
      </c>
      <c r="AF258" s="66">
        <v>24.2</v>
      </c>
      <c r="AG258" s="66">
        <v>26.2</v>
      </c>
      <c r="AH258" s="66">
        <v>27.4</v>
      </c>
      <c r="AI258" s="66">
        <v>27.6</v>
      </c>
      <c r="AJ258" s="66"/>
      <c r="AK258" s="66"/>
      <c r="AL258" s="66"/>
      <c r="AM258" s="66"/>
      <c r="AN258" s="66"/>
      <c r="AO258" s="66"/>
      <c r="AP258" s="67">
        <f t="shared" si="16"/>
        <v>25</v>
      </c>
      <c r="AQ258" s="68">
        <f t="shared" si="17"/>
        <v>26.124000000000002</v>
      </c>
      <c r="AR258" s="68">
        <f>IFERROR(VLOOKUP(A258,Climatologia_TMAX!A:U,9+$E$2,FALSE),"")</f>
        <v>23.450636822409319</v>
      </c>
      <c r="AS258" s="68">
        <f t="shared" si="18"/>
        <v>2.6733631775906836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>
        <v>26.8</v>
      </c>
      <c r="AD259" s="66">
        <v>28.2</v>
      </c>
      <c r="AE259" s="66">
        <v>29</v>
      </c>
      <c r="AF259" s="66">
        <v>25.6</v>
      </c>
      <c r="AG259" s="66">
        <v>25</v>
      </c>
      <c r="AH259" s="66">
        <v>28</v>
      </c>
      <c r="AI259" s="66">
        <v>28</v>
      </c>
      <c r="AJ259" s="66"/>
      <c r="AK259" s="66"/>
      <c r="AL259" s="66"/>
      <c r="AM259" s="66"/>
      <c r="AN259" s="66"/>
      <c r="AO259" s="66"/>
      <c r="AP259" s="67">
        <f t="shared" si="16"/>
        <v>24</v>
      </c>
      <c r="AQ259" s="68">
        <f t="shared" si="17"/>
        <v>27.170833333333334</v>
      </c>
      <c r="AR259" s="68">
        <f>IFERROR(VLOOKUP(A259,Climatologia_TMAX!A:U,9+$E$2,FALSE),"")</f>
        <v>26.859267723583631</v>
      </c>
      <c r="AS259" s="68">
        <f t="shared" si="18"/>
        <v>0.31156560974970304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>
        <v>23.4</v>
      </c>
      <c r="AD260" s="66">
        <v>23.4</v>
      </c>
      <c r="AE260" s="66">
        <v>22</v>
      </c>
      <c r="AF260" s="66"/>
      <c r="AG260" s="66">
        <v>21</v>
      </c>
      <c r="AH260" s="66">
        <v>23.6</v>
      </c>
      <c r="AI260" s="66">
        <v>23</v>
      </c>
      <c r="AJ260" s="66"/>
      <c r="AK260" s="66"/>
      <c r="AL260" s="66"/>
      <c r="AM260" s="66"/>
      <c r="AN260" s="66"/>
      <c r="AO260" s="66"/>
      <c r="AP260" s="67">
        <f t="shared" si="16"/>
        <v>24</v>
      </c>
      <c r="AQ260" s="68">
        <f t="shared" si="17"/>
        <v>21.849999999999994</v>
      </c>
      <c r="AR260" s="68">
        <f>IFERROR(VLOOKUP(A260,Climatologia_TMAX!A:U,9+$E$2,FALSE),"")</f>
        <v>18.882112739608111</v>
      </c>
      <c r="AS260" s="68">
        <f t="shared" si="18"/>
        <v>2.9678872603918833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>
        <v>36.799999999999997</v>
      </c>
      <c r="AD261" s="66">
        <v>37.4</v>
      </c>
      <c r="AE261" s="66">
        <v>37.200000000000003</v>
      </c>
      <c r="AF261" s="66">
        <v>34.200000000000003</v>
      </c>
      <c r="AG261" s="66">
        <v>36.200000000000003</v>
      </c>
      <c r="AH261" s="66">
        <v>36</v>
      </c>
      <c r="AI261" s="66">
        <v>37.4</v>
      </c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24</v>
      </c>
      <c r="AQ261" s="68">
        <f t="shared" ref="AQ261:AQ288" si="22">IF(AP261&gt;14,AVERAGE(K261:AO261),"")</f>
        <v>35.966666666666669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>
        <v>24.4</v>
      </c>
      <c r="AD262" s="66">
        <v>24.6</v>
      </c>
      <c r="AE262" s="66">
        <v>24.8</v>
      </c>
      <c r="AF262" s="66">
        <v>20</v>
      </c>
      <c r="AG262" s="66">
        <v>22</v>
      </c>
      <c r="AH262" s="66">
        <v>24</v>
      </c>
      <c r="AI262" s="66">
        <v>24</v>
      </c>
      <c r="AJ262" s="66"/>
      <c r="AK262" s="66"/>
      <c r="AL262" s="66"/>
      <c r="AM262" s="66"/>
      <c r="AN262" s="66"/>
      <c r="AO262" s="66"/>
      <c r="AP262" s="67">
        <f t="shared" si="21"/>
        <v>25</v>
      </c>
      <c r="AQ262" s="68">
        <f t="shared" si="22"/>
        <v>23.087999999999997</v>
      </c>
      <c r="AR262" s="68">
        <f>IFERROR(VLOOKUP(A262,Climatologia_TMAX!A:U,9+$E$2,FALSE),"")</f>
        <v>21.05350412968302</v>
      </c>
      <c r="AS262" s="68">
        <f t="shared" si="23"/>
        <v>2.0344958703169773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0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>
        <v>19.600000000000001</v>
      </c>
      <c r="AD266" s="66">
        <v>19.399999999999999</v>
      </c>
      <c r="AE266" s="66">
        <v>19.2</v>
      </c>
      <c r="AF266" s="66"/>
      <c r="AG266" s="66">
        <v>18.600000000000001</v>
      </c>
      <c r="AH266" s="66">
        <v>17.600000000000001</v>
      </c>
      <c r="AI266" s="66">
        <v>19</v>
      </c>
      <c r="AJ266" s="66"/>
      <c r="AK266" s="66"/>
      <c r="AL266" s="66"/>
      <c r="AM266" s="66"/>
      <c r="AN266" s="66"/>
      <c r="AO266" s="66"/>
      <c r="AP266" s="67">
        <f t="shared" si="21"/>
        <v>18</v>
      </c>
      <c r="AQ266" s="68">
        <f t="shared" si="22"/>
        <v>19.044444444444444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>
        <v>15.4</v>
      </c>
      <c r="AD268" s="66">
        <v>15.2</v>
      </c>
      <c r="AE268" s="66">
        <v>15.8</v>
      </c>
      <c r="AF268" s="66">
        <v>16</v>
      </c>
      <c r="AG268" s="66">
        <v>15.2</v>
      </c>
      <c r="AH268" s="66">
        <v>15.8</v>
      </c>
      <c r="AI268" s="66">
        <v>15.2</v>
      </c>
      <c r="AJ268" s="66"/>
      <c r="AK268" s="66"/>
      <c r="AL268" s="66"/>
      <c r="AM268" s="66"/>
      <c r="AN268" s="66"/>
      <c r="AO268" s="66"/>
      <c r="AP268" s="67">
        <f t="shared" si="21"/>
        <v>25</v>
      </c>
      <c r="AQ268" s="68">
        <f t="shared" si="22"/>
        <v>15.383999999999999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>
        <v>21.4</v>
      </c>
      <c r="AD269" s="66">
        <v>21</v>
      </c>
      <c r="AE269" s="66">
        <v>20.8</v>
      </c>
      <c r="AF269" s="66">
        <v>19.600000000000001</v>
      </c>
      <c r="AG269" s="66">
        <v>21</v>
      </c>
      <c r="AH269" s="66">
        <v>19.8</v>
      </c>
      <c r="AI269" s="66">
        <v>19.8</v>
      </c>
      <c r="AJ269" s="66"/>
      <c r="AK269" s="66"/>
      <c r="AL269" s="66"/>
      <c r="AM269" s="66"/>
      <c r="AN269" s="66"/>
      <c r="AO269" s="66"/>
      <c r="AP269" s="67">
        <f t="shared" si="21"/>
        <v>25</v>
      </c>
      <c r="AQ269" s="68">
        <f t="shared" si="22"/>
        <v>20.367999999999999</v>
      </c>
      <c r="AR269" s="68">
        <f>IFERROR(VLOOKUP(A269,Climatologia_TMAX!A:U,9+$E$2,FALSE),"")</f>
        <v>19.143200050320459</v>
      </c>
      <c r="AS269" s="68">
        <f t="shared" si="23"/>
        <v>1.2247999496795394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>
        <v>19.399999999999999</v>
      </c>
      <c r="AD270" s="66">
        <v>18</v>
      </c>
      <c r="AE270" s="66">
        <v>18.399999999999999</v>
      </c>
      <c r="AF270" s="66">
        <v>18</v>
      </c>
      <c r="AG270" s="66">
        <v>17.8</v>
      </c>
      <c r="AH270" s="66">
        <v>19</v>
      </c>
      <c r="AI270" s="66">
        <v>18.8</v>
      </c>
      <c r="AJ270" s="66"/>
      <c r="AK270" s="66"/>
      <c r="AL270" s="66"/>
      <c r="AM270" s="66"/>
      <c r="AN270" s="66"/>
      <c r="AO270" s="66"/>
      <c r="AP270" s="67">
        <f t="shared" si="21"/>
        <v>23</v>
      </c>
      <c r="AQ270" s="68">
        <f t="shared" si="22"/>
        <v>18.495652173913044</v>
      </c>
      <c r="AR270" s="68">
        <f>IFERROR(VLOOKUP(A270,Climatologia_TMAX!A:U,9+$E$2,FALSE),"")</f>
        <v>16.385184798575551</v>
      </c>
      <c r="AS270" s="68">
        <f t="shared" si="23"/>
        <v>2.1104673753374925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>
        <v>18.2</v>
      </c>
      <c r="AD271" s="66">
        <v>16.8</v>
      </c>
      <c r="AE271" s="66">
        <v>19.399999999999999</v>
      </c>
      <c r="AF271" s="66">
        <v>17.600000000000001</v>
      </c>
      <c r="AG271" s="66">
        <v>19.2</v>
      </c>
      <c r="AH271" s="66">
        <v>17.399999999999999</v>
      </c>
      <c r="AI271" s="66">
        <v>16.399999999999999</v>
      </c>
      <c r="AJ271" s="66"/>
      <c r="AK271" s="66"/>
      <c r="AL271" s="66"/>
      <c r="AM271" s="66"/>
      <c r="AN271" s="66"/>
      <c r="AO271" s="66"/>
      <c r="AP271" s="67">
        <f t="shared" si="21"/>
        <v>25</v>
      </c>
      <c r="AQ271" s="68">
        <f t="shared" si="22"/>
        <v>17.239999999999995</v>
      </c>
      <c r="AR271" s="68">
        <f>IFERROR(VLOOKUP(A271,Climatologia_TMAX!A:U,9+$E$2,FALSE),"")</f>
        <v>17.371682824188088</v>
      </c>
      <c r="AS271" s="68">
        <f t="shared" si="23"/>
        <v>-0.13168282418809341</v>
      </c>
      <c r="AT271" s="74">
        <f t="shared" si="24"/>
        <v>19.399999999999999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-3.2000000000000028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>
        <v>22.8</v>
      </c>
      <c r="AD272" s="66">
        <v>23.2</v>
      </c>
      <c r="AE272" s="66">
        <v>23</v>
      </c>
      <c r="AF272" s="66">
        <v>21.8</v>
      </c>
      <c r="AG272" s="66">
        <v>22</v>
      </c>
      <c r="AH272" s="66">
        <v>20.8</v>
      </c>
      <c r="AI272" s="66">
        <v>21.6</v>
      </c>
      <c r="AJ272" s="66"/>
      <c r="AK272" s="66"/>
      <c r="AL272" s="66"/>
      <c r="AM272" s="66"/>
      <c r="AN272" s="66"/>
      <c r="AO272" s="66"/>
      <c r="AP272" s="67">
        <f t="shared" si="21"/>
        <v>25</v>
      </c>
      <c r="AQ272" s="68">
        <f t="shared" si="22"/>
        <v>22.552000000000003</v>
      </c>
      <c r="AR272" s="68">
        <f>IFERROR(VLOOKUP(A272,Climatologia_TMAX!A:U,9+$E$2,FALSE),"")</f>
        <v>20.524700215122909</v>
      </c>
      <c r="AS272" s="68">
        <f t="shared" si="23"/>
        <v>2.0272997848770942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>
        <v>25.6</v>
      </c>
      <c r="AC273" s="66">
        <v>27.8</v>
      </c>
      <c r="AD273" s="66">
        <v>28.4</v>
      </c>
      <c r="AE273" s="66">
        <v>27</v>
      </c>
      <c r="AF273" s="66">
        <v>23.6</v>
      </c>
      <c r="AG273" s="66">
        <v>26.6</v>
      </c>
      <c r="AH273" s="66">
        <v>27.2</v>
      </c>
      <c r="AI273" s="66">
        <v>28.2</v>
      </c>
      <c r="AJ273" s="66"/>
      <c r="AK273" s="66"/>
      <c r="AL273" s="66"/>
      <c r="AM273" s="66"/>
      <c r="AN273" s="66"/>
      <c r="AO273" s="66"/>
      <c r="AP273" s="67">
        <f t="shared" si="21"/>
        <v>25</v>
      </c>
      <c r="AQ273" s="68">
        <f t="shared" si="22"/>
        <v>27.008000000000006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>
        <v>13.2</v>
      </c>
      <c r="AD275" s="66"/>
      <c r="AE275" s="66">
        <v>11.8</v>
      </c>
      <c r="AF275" s="66">
        <v>10</v>
      </c>
      <c r="AG275" s="66">
        <v>10.4</v>
      </c>
      <c r="AH275" s="66">
        <v>11.6</v>
      </c>
      <c r="AI275" s="66">
        <v>9.8000000000000007</v>
      </c>
      <c r="AJ275" s="66"/>
      <c r="AK275" s="66"/>
      <c r="AL275" s="66"/>
      <c r="AM275" s="66"/>
      <c r="AN275" s="66"/>
      <c r="AO275" s="66"/>
      <c r="AP275" s="67">
        <f t="shared" si="21"/>
        <v>24</v>
      </c>
      <c r="AQ275" s="68">
        <f t="shared" si="22"/>
        <v>11.450000000000003</v>
      </c>
      <c r="AR275" s="68">
        <f>IFERROR(VLOOKUP(A275,Climatologia_TMAX!A:U,9+$E$2,FALSE),"")</f>
        <v>11.567283004043301</v>
      </c>
      <c r="AS275" s="68">
        <f t="shared" si="23"/>
        <v>-0.11728300404329772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>
        <v>36</v>
      </c>
      <c r="AD278" s="66">
        <v>35</v>
      </c>
      <c r="AE278" s="66">
        <v>32.799999999999997</v>
      </c>
      <c r="AF278" s="66">
        <v>30.8</v>
      </c>
      <c r="AG278" s="66">
        <v>32.799999999999997</v>
      </c>
      <c r="AH278" s="66">
        <v>33.6</v>
      </c>
      <c r="AI278" s="66">
        <v>34.799999999999997</v>
      </c>
      <c r="AJ278" s="66"/>
      <c r="AK278" s="66"/>
      <c r="AL278" s="66"/>
      <c r="AM278" s="66"/>
      <c r="AN278" s="66"/>
      <c r="AO278" s="66"/>
      <c r="AP278" s="67">
        <f t="shared" si="21"/>
        <v>25</v>
      </c>
      <c r="AQ278" s="68">
        <f t="shared" si="22"/>
        <v>33.511999999999986</v>
      </c>
      <c r="AR278" s="68">
        <f>IFERROR(VLOOKUP(A278,Climatologia_TMAX!A:U,9+$E$2,FALSE),"")</f>
        <v>31.62928722448812</v>
      </c>
      <c r="AS278" s="68">
        <f t="shared" si="23"/>
        <v>1.882712775511866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>
        <v>21.2</v>
      </c>
      <c r="AD279" s="66">
        <v>20.9</v>
      </c>
      <c r="AE279" s="66">
        <v>21.4</v>
      </c>
      <c r="AF279" s="66">
        <v>19.2</v>
      </c>
      <c r="AG279" s="66">
        <v>20.8</v>
      </c>
      <c r="AH279" s="66">
        <v>20.399999999999999</v>
      </c>
      <c r="AI279" s="66">
        <v>19.8</v>
      </c>
      <c r="AJ279" s="66"/>
      <c r="AK279" s="66"/>
      <c r="AL279" s="66"/>
      <c r="AM279" s="66"/>
      <c r="AN279" s="66"/>
      <c r="AO279" s="66"/>
      <c r="AP279" s="67">
        <f t="shared" si="21"/>
        <v>25</v>
      </c>
      <c r="AQ279" s="68">
        <f t="shared" si="22"/>
        <v>20.803999999999995</v>
      </c>
      <c r="AR279" s="68">
        <f>IFERROR(VLOOKUP(A279,Climatologia_TMAX!A:U,9+$E$2,FALSE),"")</f>
        <v>20.492876344086021</v>
      </c>
      <c r="AS279" s="68">
        <f t="shared" si="23"/>
        <v>0.31112365591397406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>
        <v>33.799999999999997</v>
      </c>
      <c r="AD280" s="66">
        <v>34.4</v>
      </c>
      <c r="AE280" s="66">
        <v>33.4</v>
      </c>
      <c r="AF280" s="66">
        <v>27.8</v>
      </c>
      <c r="AG280" s="66">
        <v>29.8</v>
      </c>
      <c r="AH280" s="66">
        <v>33.799999999999997</v>
      </c>
      <c r="AI280" s="66">
        <v>33.6</v>
      </c>
      <c r="AJ280" s="66"/>
      <c r="AK280" s="66"/>
      <c r="AL280" s="66"/>
      <c r="AM280" s="66"/>
      <c r="AN280" s="66"/>
      <c r="AO280" s="66"/>
      <c r="AP280" s="67">
        <f t="shared" si="21"/>
        <v>25</v>
      </c>
      <c r="AQ280" s="68">
        <f t="shared" si="22"/>
        <v>32.503999999999991</v>
      </c>
      <c r="AR280" s="68">
        <f>IFERROR(VLOOKUP(A280,Climatologia_TMAX!A:U,9+$E$2,FALSE),"")</f>
        <v>29.755468215712931</v>
      </c>
      <c r="AS280" s="68">
        <f t="shared" si="23"/>
        <v>2.74853178428706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>
        <v>18.8</v>
      </c>
      <c r="AC281" s="66">
        <v>24.8</v>
      </c>
      <c r="AD281" s="66">
        <v>23</v>
      </c>
      <c r="AE281" s="66">
        <v>22.2</v>
      </c>
      <c r="AF281" s="66">
        <v>19.2</v>
      </c>
      <c r="AG281" s="66">
        <v>20.399999999999999</v>
      </c>
      <c r="AH281" s="66">
        <v>21.8</v>
      </c>
      <c r="AI281" s="66">
        <v>22</v>
      </c>
      <c r="AJ281" s="66"/>
      <c r="AK281" s="66"/>
      <c r="AL281" s="66"/>
      <c r="AM281" s="66"/>
      <c r="AN281" s="66"/>
      <c r="AO281" s="66"/>
      <c r="AP281" s="67">
        <f t="shared" si="21"/>
        <v>25</v>
      </c>
      <c r="AQ281" s="68">
        <f t="shared" si="22"/>
        <v>21.896000000000001</v>
      </c>
      <c r="AR281" s="68">
        <f>IFERROR(VLOOKUP(A281,Climatologia_TMAX!A:U,9+$E$2,FALSE),"")</f>
        <v>19.62978110599078</v>
      </c>
      <c r="AS281" s="68">
        <f t="shared" si="23"/>
        <v>2.2662188940092207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>
        <v>17.600000000000001</v>
      </c>
      <c r="AC283" s="66">
        <v>18.399999999999999</v>
      </c>
      <c r="AD283" s="66">
        <v>19.2</v>
      </c>
      <c r="AE283" s="66">
        <v>18.2</v>
      </c>
      <c r="AF283" s="66">
        <v>17.399999999999999</v>
      </c>
      <c r="AG283" s="66"/>
      <c r="AH283" s="66"/>
      <c r="AI283" s="66">
        <v>19.2</v>
      </c>
      <c r="AJ283" s="66"/>
      <c r="AK283" s="66"/>
      <c r="AL283" s="66"/>
      <c r="AM283" s="66"/>
      <c r="AN283" s="66"/>
      <c r="AO283" s="66"/>
      <c r="AP283" s="67">
        <f t="shared" si="21"/>
        <v>22</v>
      </c>
      <c r="AQ283" s="68">
        <f t="shared" si="22"/>
        <v>18.690909090909088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>
        <v>19.600000000000001</v>
      </c>
      <c r="AD284" s="66">
        <v>19.8</v>
      </c>
      <c r="AE284" s="66">
        <v>19</v>
      </c>
      <c r="AF284" s="66">
        <v>18</v>
      </c>
      <c r="AG284" s="66">
        <v>19.2</v>
      </c>
      <c r="AH284" s="66">
        <v>19</v>
      </c>
      <c r="AI284" s="66">
        <v>18</v>
      </c>
      <c r="AJ284" s="66"/>
      <c r="AK284" s="66"/>
      <c r="AL284" s="66"/>
      <c r="AM284" s="66"/>
      <c r="AN284" s="66"/>
      <c r="AO284" s="66"/>
      <c r="AP284" s="67">
        <f t="shared" si="21"/>
        <v>25</v>
      </c>
      <c r="AQ284" s="68">
        <f t="shared" si="22"/>
        <v>19.064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>
        <v>22</v>
      </c>
      <c r="AD285" s="66">
        <v>21.8</v>
      </c>
      <c r="AE285" s="66">
        <v>22.4</v>
      </c>
      <c r="AF285" s="66">
        <v>21</v>
      </c>
      <c r="AG285" s="66">
        <v>20.6</v>
      </c>
      <c r="AH285" s="66">
        <v>20</v>
      </c>
      <c r="AI285" s="66">
        <v>20</v>
      </c>
      <c r="AJ285" s="66"/>
      <c r="AK285" s="66"/>
      <c r="AL285" s="66"/>
      <c r="AM285" s="66"/>
      <c r="AN285" s="66"/>
      <c r="AO285" s="66"/>
      <c r="AP285" s="67">
        <f t="shared" si="21"/>
        <v>25</v>
      </c>
      <c r="AQ285" s="68">
        <f t="shared" si="22"/>
        <v>20.752000000000002</v>
      </c>
      <c r="AR285" s="68">
        <f>IFERROR(VLOOKUP(A285,Climatologia_TMAX!A:U,9+$E$2,FALSE),"")</f>
        <v>19.309961016360539</v>
      </c>
      <c r="AS285" s="68">
        <f t="shared" si="23"/>
        <v>1.4420389836394634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>
        <v>20.2</v>
      </c>
      <c r="AD287" s="66">
        <v>20</v>
      </c>
      <c r="AE287" s="66">
        <v>18.8</v>
      </c>
      <c r="AF287" s="66">
        <v>16.8</v>
      </c>
      <c r="AG287" s="66">
        <v>19</v>
      </c>
      <c r="AH287" s="66">
        <v>19.399999999999999</v>
      </c>
      <c r="AI287" s="66">
        <v>18.600000000000001</v>
      </c>
      <c r="AJ287" s="66"/>
      <c r="AK287" s="66"/>
      <c r="AL287" s="66"/>
      <c r="AM287" s="66"/>
      <c r="AN287" s="66"/>
      <c r="AO287" s="66"/>
      <c r="AP287" s="67">
        <f t="shared" si="21"/>
        <v>25</v>
      </c>
      <c r="AQ287" s="68">
        <f t="shared" si="22"/>
        <v>19.28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6" t="s">
        <v>869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25" width="11.42578125" style="42" customWidth="1"/>
    <col min="126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2026-08-26T15:05:34Z</dcterms:modified>
</cp:coreProperties>
</file>