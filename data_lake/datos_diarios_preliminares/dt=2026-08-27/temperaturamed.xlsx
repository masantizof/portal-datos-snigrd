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33235FF-3658-4630-B6EC-265B4C0F297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Temperatura!$AI$1:$AI$212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S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S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S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S168" i="1" s="1"/>
  <c r="AR167" i="1"/>
  <c r="AP167" i="1"/>
  <c r="AQ167" i="1" s="1"/>
  <c r="AR166" i="1"/>
  <c r="AP166" i="1"/>
  <c r="AQ166" i="1" s="1"/>
  <c r="AS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S158" i="1" s="1"/>
  <c r="AR157" i="1"/>
  <c r="AP157" i="1"/>
  <c r="AQ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S148" i="1" s="1"/>
  <c r="AR147" i="1"/>
  <c r="AP147" i="1"/>
  <c r="AQ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S138" i="1" s="1"/>
  <c r="AR137" i="1"/>
  <c r="AP137" i="1"/>
  <c r="AQ137" i="1" s="1"/>
  <c r="AR136" i="1"/>
  <c r="AP136" i="1"/>
  <c r="AQ136" i="1" s="1"/>
  <c r="AS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S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R99" i="1"/>
  <c r="AP99" i="1"/>
  <c r="AQ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S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S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S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S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S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S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S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S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S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S23" i="1" s="1"/>
  <c r="AR22" i="1"/>
  <c r="AP22" i="1"/>
  <c r="AQ22" i="1" s="1"/>
  <c r="AR21" i="1"/>
  <c r="AP21" i="1"/>
  <c r="AQ21" i="1" s="1"/>
  <c r="AS21" i="1" s="1"/>
  <c r="AR20" i="1"/>
  <c r="AP20" i="1"/>
  <c r="AQ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S11" i="1" s="1"/>
  <c r="AR10" i="1"/>
  <c r="AP10" i="1"/>
  <c r="AQ10" i="1" s="1"/>
  <c r="AR9" i="1"/>
  <c r="AP9" i="1"/>
  <c r="AQ9" i="1" s="1"/>
  <c r="AR8" i="1"/>
  <c r="AP8" i="1"/>
  <c r="AQ8" i="1" s="1"/>
  <c r="AS8" i="1" s="1"/>
  <c r="AR7" i="1"/>
  <c r="AQ7" i="1"/>
  <c r="AP7" i="1"/>
  <c r="AR6" i="1"/>
  <c r="AP6" i="1"/>
  <c r="AQ6" i="1" s="1"/>
  <c r="AR5" i="1"/>
  <c r="AP5" i="1"/>
  <c r="AQ5" i="1" s="1"/>
  <c r="AS5" i="1" s="1"/>
  <c r="I2" i="1"/>
  <c r="D2" i="1"/>
  <c r="AS204" i="1" l="1"/>
  <c r="AS66" i="1"/>
  <c r="AS76" i="1"/>
  <c r="AS195" i="1"/>
  <c r="AS205" i="1"/>
  <c r="AS176" i="1"/>
  <c r="AS29" i="1"/>
  <c r="AS59" i="1"/>
  <c r="AS69" i="1"/>
  <c r="AS79" i="1"/>
  <c r="AS89" i="1"/>
  <c r="AS50" i="1"/>
  <c r="AS31" i="1"/>
  <c r="AS24" i="1"/>
  <c r="AS113" i="1"/>
  <c r="AS123" i="1"/>
  <c r="AS163" i="1"/>
  <c r="AS38" i="1"/>
  <c r="AS57" i="1"/>
  <c r="AS67" i="1"/>
  <c r="AS175" i="1"/>
  <c r="AS10" i="1"/>
  <c r="AS20" i="1"/>
  <c r="AS49" i="1"/>
  <c r="AS78" i="1"/>
  <c r="AS117" i="1"/>
  <c r="AS127" i="1"/>
  <c r="AS137" i="1"/>
  <c r="AS147" i="1"/>
  <c r="AS157" i="1"/>
  <c r="AS167" i="1"/>
  <c r="AS196" i="1"/>
  <c r="AS206" i="1"/>
  <c r="AS30" i="1"/>
  <c r="AS60" i="1"/>
  <c r="AS70" i="1"/>
  <c r="AS12" i="1"/>
  <c r="AS22" i="1"/>
  <c r="AS51" i="1"/>
  <c r="AS90" i="1"/>
  <c r="AS109" i="1"/>
  <c r="AS119" i="1"/>
  <c r="AS149" i="1"/>
  <c r="AS159" i="1"/>
  <c r="AS169" i="1"/>
  <c r="AS198" i="1"/>
  <c r="AS32" i="1"/>
  <c r="AS42" i="1"/>
  <c r="AS100" i="1"/>
  <c r="AS120" i="1"/>
  <c r="AS130" i="1"/>
  <c r="AS150" i="1"/>
  <c r="AS160" i="1"/>
  <c r="AS170" i="1"/>
  <c r="AS209" i="1"/>
  <c r="AS82" i="1"/>
  <c r="AS111" i="1"/>
  <c r="AS121" i="1"/>
  <c r="AS131" i="1"/>
  <c r="AS151" i="1"/>
  <c r="AS161" i="1"/>
  <c r="AS171" i="1"/>
  <c r="AS200" i="1"/>
  <c r="AS15" i="1"/>
  <c r="AS112" i="1"/>
  <c r="AS122" i="1"/>
  <c r="AS132" i="1"/>
  <c r="AS142" i="1"/>
  <c r="AS152" i="1"/>
  <c r="AS191" i="1"/>
  <c r="AS211" i="1"/>
  <c r="AS64" i="1"/>
  <c r="AS172" i="1"/>
  <c r="AS65" i="1"/>
  <c r="AS104" i="1"/>
  <c r="AS7" i="1"/>
  <c r="AS17" i="1"/>
  <c r="AS85" i="1"/>
  <c r="AS95" i="1"/>
  <c r="AS114" i="1"/>
  <c r="AS164" i="1"/>
  <c r="AS26" i="1"/>
  <c r="AS35" i="1"/>
  <c r="AS45" i="1"/>
  <c r="AS54" i="1"/>
  <c r="AS73" i="1"/>
  <c r="AS92" i="1"/>
  <c r="AS139" i="1"/>
  <c r="AS177" i="1"/>
  <c r="AS36" i="1"/>
  <c r="AS46" i="1"/>
  <c r="AS55" i="1"/>
  <c r="AS74" i="1"/>
  <c r="AS83" i="1"/>
  <c r="AS93" i="1"/>
  <c r="AS140" i="1"/>
  <c r="AS178" i="1"/>
  <c r="AS187" i="1"/>
  <c r="AS37" i="1"/>
  <c r="AS56" i="1"/>
  <c r="AS84" i="1"/>
  <c r="AS94" i="1"/>
  <c r="AS103" i="1"/>
  <c r="AS141" i="1"/>
  <c r="AS47" i="1"/>
  <c r="AS39" i="1"/>
  <c r="AS86" i="1"/>
  <c r="AS96" i="1"/>
  <c r="AS105" i="1"/>
  <c r="AS124" i="1"/>
  <c r="AS133" i="1"/>
  <c r="AS143" i="1"/>
  <c r="AS199" i="1"/>
  <c r="AS208" i="1"/>
  <c r="AS13" i="1"/>
  <c r="AS162" i="1"/>
  <c r="AS181" i="1"/>
  <c r="AS40" i="1"/>
  <c r="AS87" i="1"/>
  <c r="AS106" i="1"/>
  <c r="AS125" i="1"/>
  <c r="AS134" i="1"/>
  <c r="AS144" i="1"/>
  <c r="AS153" i="1"/>
  <c r="AS41" i="1"/>
  <c r="AS88" i="1"/>
  <c r="AS126" i="1"/>
  <c r="AS135" i="1"/>
  <c r="AS145" i="1"/>
  <c r="AS154" i="1"/>
  <c r="AS173" i="1"/>
  <c r="AS201" i="1"/>
  <c r="AS183" i="1"/>
  <c r="AS14" i="1"/>
  <c r="AS61" i="1"/>
  <c r="AS71" i="1"/>
  <c r="AS80" i="1"/>
  <c r="AS99" i="1"/>
  <c r="AS108" i="1"/>
  <c r="AS118" i="1"/>
  <c r="AS165" i="1"/>
  <c r="AS184" i="1"/>
  <c r="AS6" i="1"/>
  <c r="AS25" i="1"/>
  <c r="AS34" i="1"/>
  <c r="AS44" i="1"/>
  <c r="AS53" i="1"/>
  <c r="AS190" i="1"/>
  <c r="AS174" i="1"/>
  <c r="AS28" i="1"/>
  <c r="AS75" i="1"/>
  <c r="AS9" i="1"/>
  <c r="AS185" i="1"/>
  <c r="AS193" i="1"/>
  <c r="AS194" i="1"/>
  <c r="AS210" i="1"/>
  <c r="AS186" i="1"/>
  <c r="AS202" i="1"/>
  <c r="AS129" i="1"/>
  <c r="AS203" i="1"/>
  <c r="AS179" i="1"/>
  <c r="AS180" i="1"/>
  <c r="AS188" i="1"/>
  <c r="AS189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<sst xmlns="http://schemas.openxmlformats.org/spreadsheetml/2006/main" count="3690" uniqueCount="1514">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</sst>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M147" zoomScale="90" zoomScaleNormal="90" workbookViewId="0">
      <selection activeCell="AH1" sqref="AH1:AI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44" width="32.42578125" style="50" customWidth="1"/>
    <col min="14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>
        <v>30.3</v>
      </c>
      <c r="AF5" s="56">
        <v>29.9</v>
      </c>
      <c r="AG5" s="56">
        <v>28.8</v>
      </c>
      <c r="AH5" s="56">
        <v>29.3</v>
      </c>
      <c r="AI5" s="56">
        <v>29.2</v>
      </c>
      <c r="AJ5" s="56"/>
      <c r="AK5" s="56"/>
      <c r="AL5" s="56"/>
      <c r="AM5" s="56"/>
      <c r="AN5" s="56"/>
      <c r="AO5" s="56"/>
      <c r="AP5" s="58">
        <f t="shared" ref="AP5:AP68" si="0">COUNTIF(K5:AO5,"&gt;0")</f>
        <v>25</v>
      </c>
      <c r="AQ5" s="71">
        <f t="shared" ref="AQ5:AQ68" si="1">IF(AP5&gt;14,AVERAGE(K5:AO5),"")</f>
        <v>29.575999999999993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1.2837949475886923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>
        <v>29.9</v>
      </c>
      <c r="AF6" s="56">
        <v>29.8</v>
      </c>
      <c r="AG6" s="56">
        <v>29.9</v>
      </c>
      <c r="AH6" s="56">
        <v>28.3</v>
      </c>
      <c r="AI6" s="56">
        <v>28.9</v>
      </c>
      <c r="AJ6" s="56"/>
      <c r="AK6" s="56"/>
      <c r="AL6" s="56"/>
      <c r="AM6" s="56"/>
      <c r="AN6" s="56"/>
      <c r="AO6" s="56"/>
      <c r="AP6" s="58">
        <f t="shared" si="0"/>
        <v>25</v>
      </c>
      <c r="AQ6" s="71">
        <f t="shared" si="1"/>
        <v>29.407999999999994</v>
      </c>
      <c r="AR6" s="71">
        <f>IFERROR(VLOOKUP(A6,Climatologia_TMED!A:U,9+$E$2,FALSE),"")</f>
        <v>28.542323510282561</v>
      </c>
      <c r="AS6" s="71">
        <f t="shared" si="2"/>
        <v>0.86567648971743338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>
        <v>32.700000000000003</v>
      </c>
      <c r="AF7" s="56">
        <v>30.9</v>
      </c>
      <c r="AG7" s="56">
        <v>28.8</v>
      </c>
      <c r="AH7" s="56">
        <v>30</v>
      </c>
      <c r="AI7" s="56">
        <v>30.2</v>
      </c>
      <c r="AJ7" s="56"/>
      <c r="AK7" s="56"/>
      <c r="AL7" s="56"/>
      <c r="AM7" s="56"/>
      <c r="AN7" s="56"/>
      <c r="AO7" s="56"/>
      <c r="AP7" s="58">
        <f t="shared" si="0"/>
        <v>25</v>
      </c>
      <c r="AQ7" s="71">
        <f t="shared" si="1"/>
        <v>31.012000000000004</v>
      </c>
      <c r="AR7" s="71">
        <f>IFERROR(VLOOKUP(A7,Climatologia_TMED!A:U,9+$E$2,FALSE),"")</f>
        <v>28.878924731182799</v>
      </c>
      <c r="AS7" s="71">
        <f t="shared" si="2"/>
        <v>2.1330752688172048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>
        <v>29</v>
      </c>
      <c r="AF8" s="56">
        <v>29.2</v>
      </c>
      <c r="AG8" s="56">
        <v>28.8</v>
      </c>
      <c r="AH8" s="56">
        <v>29.4</v>
      </c>
      <c r="AI8" s="56">
        <v>30.2</v>
      </c>
      <c r="AJ8" s="56"/>
      <c r="AK8" s="56"/>
      <c r="AL8" s="56"/>
      <c r="AM8" s="56"/>
      <c r="AN8" s="56"/>
      <c r="AO8" s="56"/>
      <c r="AP8" s="58">
        <f t="shared" si="0"/>
        <v>25</v>
      </c>
      <c r="AQ8" s="71">
        <f t="shared" si="1"/>
        <v>29.907999999999998</v>
      </c>
      <c r="AR8" s="71">
        <f>IFERROR(VLOOKUP(A8,Climatologia_TMED!A:U,9+$E$2,FALSE),"")</f>
        <v>28.663204007006499</v>
      </c>
      <c r="AS8" s="71">
        <f t="shared" si="2"/>
        <v>1.2447959929934989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>
        <v>30.1</v>
      </c>
      <c r="AF9" s="56">
        <v>29.3</v>
      </c>
      <c r="AG9" s="56">
        <v>28.1</v>
      </c>
      <c r="AH9" s="56">
        <v>30.6</v>
      </c>
      <c r="AI9" s="56">
        <v>30.2</v>
      </c>
      <c r="AJ9" s="56"/>
      <c r="AK9" s="56"/>
      <c r="AL9" s="56"/>
      <c r="AM9" s="56"/>
      <c r="AN9" s="56"/>
      <c r="AO9" s="56"/>
      <c r="AP9" s="58">
        <f t="shared" si="0"/>
        <v>25</v>
      </c>
      <c r="AQ9" s="71">
        <f t="shared" si="1"/>
        <v>29.976000000000003</v>
      </c>
      <c r="AR9" s="71">
        <f>IFERROR(VLOOKUP(A9,Climatologia_TMED!A:U,9+$E$2,FALSE),"")</f>
        <v>29.925161290322539</v>
      </c>
      <c r="AS9" s="71">
        <f t="shared" si="2"/>
        <v>5.0838709677464067E-2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>
        <v>31.5</v>
      </c>
      <c r="AF10" s="56">
        <v>29.5</v>
      </c>
      <c r="AG10" s="56">
        <v>29.3</v>
      </c>
      <c r="AH10" s="56">
        <v>32.799999999999997</v>
      </c>
      <c r="AI10" s="56">
        <v>32.200000000000003</v>
      </c>
      <c r="AJ10" s="56"/>
      <c r="AK10" s="56"/>
      <c r="AL10" s="56"/>
      <c r="AM10" s="56"/>
      <c r="AN10" s="56"/>
      <c r="AO10" s="56"/>
      <c r="AP10" s="58">
        <f t="shared" si="0"/>
        <v>25</v>
      </c>
      <c r="AQ10" s="71">
        <f t="shared" si="1"/>
        <v>31.847999999999999</v>
      </c>
      <c r="AR10" s="71">
        <f>IFERROR(VLOOKUP(A10,Climatologia_TMED!A:U,9+$E$2,FALSE),"")</f>
        <v>29.55639347861802</v>
      </c>
      <c r="AS10" s="71">
        <f t="shared" si="2"/>
        <v>2.2916065213819792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>
        <v>33.4</v>
      </c>
      <c r="AF11" s="56">
        <v>31.9</v>
      </c>
      <c r="AG11" s="56">
        <v>30.3</v>
      </c>
      <c r="AH11" s="56">
        <v>33</v>
      </c>
      <c r="AI11" s="56">
        <v>31</v>
      </c>
      <c r="AJ11" s="56"/>
      <c r="AK11" s="56"/>
      <c r="AL11" s="56"/>
      <c r="AM11" s="56"/>
      <c r="AN11" s="56"/>
      <c r="AO11" s="56"/>
      <c r="AP11" s="58">
        <f t="shared" si="0"/>
        <v>25</v>
      </c>
      <c r="AQ11" s="71">
        <f t="shared" si="1"/>
        <v>32.895999999999994</v>
      </c>
      <c r="AR11" s="71">
        <f>IFERROR(VLOOKUP(A11,Climatologia_TMED!A:U,9+$E$2,FALSE),"")</f>
        <v>29.275519036173971</v>
      </c>
      <c r="AS11" s="71">
        <f t="shared" si="2"/>
        <v>3.6204809638260222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>
        <v>31.3</v>
      </c>
      <c r="AF12" s="56">
        <v>28</v>
      </c>
      <c r="AG12" s="56">
        <v>30.3</v>
      </c>
      <c r="AH12" s="56">
        <v>29.8</v>
      </c>
      <c r="AI12" s="56">
        <v>30.9</v>
      </c>
      <c r="AJ12" s="56"/>
      <c r="AK12" s="56"/>
      <c r="AL12" s="56"/>
      <c r="AM12" s="56"/>
      <c r="AN12" s="56"/>
      <c r="AO12" s="56"/>
      <c r="AP12" s="58">
        <f t="shared" si="0"/>
        <v>25</v>
      </c>
      <c r="AQ12" s="71">
        <f t="shared" si="1"/>
        <v>30.059999999999988</v>
      </c>
      <c r="AR12" s="71">
        <f>IFERROR(VLOOKUP(A12,Climatologia_TMED!A:U,9+$E$2,FALSE),"")</f>
        <v>28.08210560234475</v>
      </c>
      <c r="AS12" s="71">
        <f t="shared" si="2"/>
        <v>1.9778943976552377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>
        <v>30.5</v>
      </c>
      <c r="AF13" s="56">
        <v>28.7</v>
      </c>
      <c r="AG13" s="56">
        <v>29</v>
      </c>
      <c r="AH13" s="56">
        <v>30.7</v>
      </c>
      <c r="AI13" s="56">
        <v>31</v>
      </c>
      <c r="AJ13" s="56"/>
      <c r="AK13" s="56"/>
      <c r="AL13" s="56"/>
      <c r="AM13" s="56"/>
      <c r="AN13" s="56"/>
      <c r="AO13" s="56"/>
      <c r="AP13" s="58">
        <f t="shared" si="0"/>
        <v>25</v>
      </c>
      <c r="AQ13" s="71">
        <f t="shared" si="1"/>
        <v>30.78</v>
      </c>
      <c r="AR13" s="71">
        <f>IFERROR(VLOOKUP(A13,Climatologia_TMED!A:U,9+$E$2,FALSE),"")</f>
        <v>28.275630329996261</v>
      </c>
      <c r="AS13" s="71">
        <f t="shared" si="2"/>
        <v>2.5043696700037401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>
        <v>24.5</v>
      </c>
      <c r="AF14" s="56">
        <v>23.4</v>
      </c>
      <c r="AG14" s="56">
        <v>23.6</v>
      </c>
      <c r="AH14" s="56">
        <v>25.1</v>
      </c>
      <c r="AI14" s="56">
        <v>24.7</v>
      </c>
      <c r="AJ14" s="56"/>
      <c r="AK14" s="56"/>
      <c r="AL14" s="56"/>
      <c r="AM14" s="56"/>
      <c r="AN14" s="56"/>
      <c r="AO14" s="56"/>
      <c r="AP14" s="58">
        <f t="shared" si="0"/>
        <v>25</v>
      </c>
      <c r="AQ14" s="71">
        <f t="shared" si="1"/>
        <v>24.584</v>
      </c>
      <c r="AR14" s="71">
        <f>IFERROR(VLOOKUP(A14,Climatologia_TMED!A:U,9+$E$2,FALSE),"")</f>
        <v>21.814997932175341</v>
      </c>
      <c r="AS14" s="71">
        <f t="shared" si="2"/>
        <v>2.7690020678246583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>
        <v>31.8</v>
      </c>
      <c r="AF15" s="56">
        <v>30.6</v>
      </c>
      <c r="AG15" s="56">
        <v>28.5</v>
      </c>
      <c r="AH15" s="56">
        <v>31.8</v>
      </c>
      <c r="AI15" s="56">
        <v>32.799999999999997</v>
      </c>
      <c r="AJ15" s="56"/>
      <c r="AK15" s="56"/>
      <c r="AL15" s="56"/>
      <c r="AM15" s="56"/>
      <c r="AN15" s="56"/>
      <c r="AO15" s="56"/>
      <c r="AP15" s="58">
        <f t="shared" si="0"/>
        <v>25</v>
      </c>
      <c r="AQ15" s="71">
        <f t="shared" si="1"/>
        <v>30.935999999999993</v>
      </c>
      <c r="AR15" s="71">
        <f>IFERROR(VLOOKUP(A15,Climatologia_TMED!A:U,9+$E$2,FALSE),"")</f>
        <v>28.742611827956981</v>
      </c>
      <c r="AS15" s="71">
        <f t="shared" si="2"/>
        <v>2.1933881720430115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>
        <v>30.1</v>
      </c>
      <c r="AF16" s="56">
        <v>26.8</v>
      </c>
      <c r="AG16" s="56">
        <v>29.2</v>
      </c>
      <c r="AH16" s="56">
        <v>28.2</v>
      </c>
      <c r="AI16" s="56">
        <v>29.7</v>
      </c>
      <c r="AJ16" s="56"/>
      <c r="AK16" s="56"/>
      <c r="AL16" s="56"/>
      <c r="AM16" s="56"/>
      <c r="AN16" s="56"/>
      <c r="AO16" s="56"/>
      <c r="AP16" s="58">
        <f t="shared" si="0"/>
        <v>25</v>
      </c>
      <c r="AQ16" s="71">
        <f t="shared" si="1"/>
        <v>28.568000000000005</v>
      </c>
      <c r="AR16" s="71">
        <f>IFERROR(VLOOKUP(A16,Climatologia_TMED!A:U,9+$E$2,FALSE),"")</f>
        <v>27.745849035404088</v>
      </c>
      <c r="AS16" s="71">
        <f t="shared" si="2"/>
        <v>0.82215096459591663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>
        <v>26.6</v>
      </c>
      <c r="AF17" s="56">
        <v>24.4</v>
      </c>
      <c r="AG17" s="56">
        <v>23.7</v>
      </c>
      <c r="AH17" s="56">
        <v>26.5</v>
      </c>
      <c r="AI17" s="56">
        <v>26.8</v>
      </c>
      <c r="AJ17" s="56"/>
      <c r="AK17" s="56"/>
      <c r="AL17" s="56"/>
      <c r="AM17" s="56"/>
      <c r="AN17" s="56"/>
      <c r="AO17" s="56"/>
      <c r="AP17" s="58">
        <f t="shared" si="0"/>
        <v>25</v>
      </c>
      <c r="AQ17" s="71">
        <f t="shared" si="1"/>
        <v>25.763999999999996</v>
      </c>
      <c r="AR17" s="71">
        <f>IFERROR(VLOOKUP(A17,Climatologia_TMED!A:U,9+$E$2,FALSE),"")</f>
        <v>23.942684331797231</v>
      </c>
      <c r="AS17" s="71">
        <f t="shared" si="2"/>
        <v>1.8213156682027645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>
        <v>19.5</v>
      </c>
      <c r="AF18" s="56">
        <v>19.3</v>
      </c>
      <c r="AG18" s="56">
        <v>19</v>
      </c>
      <c r="AH18" s="56">
        <v>20</v>
      </c>
      <c r="AI18" s="56">
        <v>19.600000000000001</v>
      </c>
      <c r="AJ18" s="56"/>
      <c r="AK18" s="56"/>
      <c r="AL18" s="56"/>
      <c r="AM18" s="56"/>
      <c r="AN18" s="56"/>
      <c r="AO18" s="56"/>
      <c r="AP18" s="58">
        <f t="shared" si="0"/>
        <v>25</v>
      </c>
      <c r="AQ18" s="71">
        <f t="shared" si="1"/>
        <v>19.268000000000004</v>
      </c>
      <c r="AR18" s="71">
        <f>IFERROR(VLOOKUP(A18,Climatologia_TMED!A:U,9+$E$2,FALSE),"")</f>
        <v>17.429768704357489</v>
      </c>
      <c r="AS18" s="71">
        <f t="shared" si="2"/>
        <v>1.8382312956425153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>
        <v>25.8</v>
      </c>
      <c r="AF19" s="56">
        <v>22.6</v>
      </c>
      <c r="AG19" s="56">
        <v>24.7</v>
      </c>
      <c r="AH19" s="56">
        <v>24.5</v>
      </c>
      <c r="AI19" s="56">
        <v>24.4</v>
      </c>
      <c r="AJ19" s="56"/>
      <c r="AK19" s="56"/>
      <c r="AL19" s="56"/>
      <c r="AM19" s="56"/>
      <c r="AN19" s="56"/>
      <c r="AO19" s="56"/>
      <c r="AP19" s="58">
        <f t="shared" si="0"/>
        <v>25</v>
      </c>
      <c r="AQ19" s="71">
        <f t="shared" si="1"/>
        <v>24.552000000000003</v>
      </c>
      <c r="AR19" s="71">
        <f>IFERROR(VLOOKUP(A19,Climatologia_TMED!A:U,9+$E$2,FALSE),"")</f>
        <v>22.368290322580641</v>
      </c>
      <c r="AS19" s="71">
        <f t="shared" si="2"/>
        <v>2.1837096774193618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>
        <v>25.7</v>
      </c>
      <c r="AF20" s="56">
        <v>24.5</v>
      </c>
      <c r="AG20" s="56">
        <v>24.6</v>
      </c>
      <c r="AH20" s="56">
        <v>25</v>
      </c>
      <c r="AI20" s="56">
        <v>25.1</v>
      </c>
      <c r="AJ20" s="56"/>
      <c r="AK20" s="56"/>
      <c r="AL20" s="56"/>
      <c r="AM20" s="56"/>
      <c r="AN20" s="56"/>
      <c r="AO20" s="56"/>
      <c r="AP20" s="58">
        <f t="shared" si="0"/>
        <v>24</v>
      </c>
      <c r="AQ20" s="71">
        <f t="shared" si="1"/>
        <v>24.733333333333331</v>
      </c>
      <c r="AR20" s="71">
        <f>IFERROR(VLOOKUP(A20,Climatologia_TMED!A:U,9+$E$2,FALSE),"")</f>
        <v>22.807707609594701</v>
      </c>
      <c r="AS20" s="71">
        <f t="shared" si="2"/>
        <v>1.9256257237386301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>
        <v>28.6</v>
      </c>
      <c r="AF21" s="56">
        <v>27.6</v>
      </c>
      <c r="AG21" s="56">
        <v>28.1</v>
      </c>
      <c r="AH21" s="56">
        <v>28.9</v>
      </c>
      <c r="AI21" s="56">
        <v>29.7</v>
      </c>
      <c r="AJ21" s="56"/>
      <c r="AK21" s="56"/>
      <c r="AL21" s="56"/>
      <c r="AM21" s="56"/>
      <c r="AN21" s="56"/>
      <c r="AO21" s="56"/>
      <c r="AP21" s="58">
        <f t="shared" si="0"/>
        <v>25</v>
      </c>
      <c r="AQ21" s="71">
        <f t="shared" si="1"/>
        <v>28.368000000000006</v>
      </c>
      <c r="AR21" s="71">
        <f>IFERROR(VLOOKUP(A21,Climatologia_TMED!A:U,9+$E$2,FALSE),"")</f>
        <v>25.445872233516159</v>
      </c>
      <c r="AS21" s="71">
        <f t="shared" si="2"/>
        <v>2.9221277664838468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>
        <v>15.2</v>
      </c>
      <c r="AF22" s="56">
        <v>14.2</v>
      </c>
      <c r="AG22" s="56">
        <v>15.6</v>
      </c>
      <c r="AH22" s="56">
        <v>15.6</v>
      </c>
      <c r="AI22" s="56">
        <v>15</v>
      </c>
      <c r="AJ22" s="56"/>
      <c r="AK22" s="56"/>
      <c r="AL22" s="56"/>
      <c r="AM22" s="56"/>
      <c r="AN22" s="56"/>
      <c r="AO22" s="56"/>
      <c r="AP22" s="58">
        <f t="shared" si="0"/>
        <v>25</v>
      </c>
      <c r="AQ22" s="71">
        <f t="shared" si="1"/>
        <v>15.648000000000001</v>
      </c>
      <c r="AR22" s="71">
        <f>IFERROR(VLOOKUP(A22,Climatologia_TMED!A:U,9+$E$2,FALSE),"")</f>
        <v>13.827819728473219</v>
      </c>
      <c r="AS22" s="71">
        <f t="shared" si="2"/>
        <v>1.8201802715267821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>
        <v>26.9</v>
      </c>
      <c r="AF23" s="56">
        <v>27.7</v>
      </c>
      <c r="AG23" s="56">
        <v>27.9</v>
      </c>
      <c r="AH23" s="56">
        <v>27.1</v>
      </c>
      <c r="AI23" s="56">
        <v>26.7</v>
      </c>
      <c r="AJ23" s="56"/>
      <c r="AK23" s="56"/>
      <c r="AL23" s="56"/>
      <c r="AM23" s="56"/>
      <c r="AN23" s="56"/>
      <c r="AO23" s="56"/>
      <c r="AP23" s="58">
        <f t="shared" si="0"/>
        <v>24</v>
      </c>
      <c r="AQ23" s="71">
        <f t="shared" si="1"/>
        <v>26.441666666666674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>
        <v>30.9</v>
      </c>
      <c r="AF24" s="56">
        <v>29.3</v>
      </c>
      <c r="AG24" s="56">
        <v>30</v>
      </c>
      <c r="AH24" s="56">
        <v>31.7</v>
      </c>
      <c r="AI24" s="56">
        <v>31.7</v>
      </c>
      <c r="AJ24" s="56"/>
      <c r="AK24" s="56"/>
      <c r="AL24" s="56"/>
      <c r="AM24" s="56"/>
      <c r="AN24" s="56"/>
      <c r="AO24" s="56"/>
      <c r="AP24" s="58">
        <f t="shared" si="0"/>
        <v>25</v>
      </c>
      <c r="AQ24" s="71">
        <f t="shared" si="1"/>
        <v>30.648000000000007</v>
      </c>
      <c r="AR24" s="71">
        <f>IFERROR(VLOOKUP(A24,Climatologia_TMED!A:U,9+$E$2,FALSE),"")</f>
        <v>29.117078853046579</v>
      </c>
      <c r="AS24" s="71">
        <f t="shared" si="2"/>
        <v>1.5309211469534283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>
        <v>23.9</v>
      </c>
      <c r="AF25" s="56">
        <v>22.3</v>
      </c>
      <c r="AG25" s="56">
        <v>23</v>
      </c>
      <c r="AH25" s="56">
        <v>23.6</v>
      </c>
      <c r="AI25" s="56">
        <v>23.7</v>
      </c>
      <c r="AJ25" s="56"/>
      <c r="AK25" s="56"/>
      <c r="AL25" s="56"/>
      <c r="AM25" s="56"/>
      <c r="AN25" s="56"/>
      <c r="AO25" s="56"/>
      <c r="AP25" s="58">
        <f t="shared" si="0"/>
        <v>25</v>
      </c>
      <c r="AQ25" s="71">
        <f t="shared" si="1"/>
        <v>22.644000000000002</v>
      </c>
      <c r="AR25" s="71">
        <f>IFERROR(VLOOKUP(A25,Climatologia_TMED!A:U,9+$E$2,FALSE),"")</f>
        <v>20.318073144829391</v>
      </c>
      <c r="AS25" s="71">
        <f t="shared" si="2"/>
        <v>2.3259268551706107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>
        <v>12.1</v>
      </c>
      <c r="AF26" s="56">
        <v>11.7</v>
      </c>
      <c r="AG26" s="56">
        <v>12.4</v>
      </c>
      <c r="AH26" s="56">
        <v>13</v>
      </c>
      <c r="AI26" s="56">
        <v>11.1</v>
      </c>
      <c r="AJ26" s="56"/>
      <c r="AK26" s="56"/>
      <c r="AL26" s="56"/>
      <c r="AM26" s="56"/>
      <c r="AN26" s="56"/>
      <c r="AO26" s="56"/>
      <c r="AP26" s="58">
        <f t="shared" si="0"/>
        <v>25</v>
      </c>
      <c r="AQ26" s="71">
        <f t="shared" si="1"/>
        <v>11.623999999999999</v>
      </c>
      <c r="AR26" s="71">
        <f>IFERROR(VLOOKUP(A26,Climatologia_TMED!A:U,9+$E$2,FALSE),"")</f>
        <v>10.2499147200593</v>
      </c>
      <c r="AS26" s="71">
        <f t="shared" si="2"/>
        <v>1.3740852799406991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>
        <v>29.1</v>
      </c>
      <c r="AF27" s="56">
        <v>26.2</v>
      </c>
      <c r="AG27" s="56">
        <v>29.7</v>
      </c>
      <c r="AH27" s="56">
        <v>27.9</v>
      </c>
      <c r="AI27" s="56">
        <v>27</v>
      </c>
      <c r="AJ27" s="56"/>
      <c r="AK27" s="56"/>
      <c r="AL27" s="56"/>
      <c r="AM27" s="56"/>
      <c r="AN27" s="56"/>
      <c r="AO27" s="56"/>
      <c r="AP27" s="58">
        <f t="shared" si="0"/>
        <v>25</v>
      </c>
      <c r="AQ27" s="71">
        <f t="shared" si="1"/>
        <v>28.188000000000002</v>
      </c>
      <c r="AR27" s="71">
        <f>IFERROR(VLOOKUP(A27,Climatologia_TMED!A:U,9+$E$2,FALSE),"")</f>
        <v>26.978227598566299</v>
      </c>
      <c r="AS27" s="71">
        <f t="shared" si="2"/>
        <v>1.2097724014337032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>
        <v>28.3</v>
      </c>
      <c r="AF28" s="56">
        <v>27.6</v>
      </c>
      <c r="AG28" s="56">
        <v>25.1</v>
      </c>
      <c r="AH28" s="56">
        <v>27.6</v>
      </c>
      <c r="AI28" s="56">
        <v>29.3</v>
      </c>
      <c r="AJ28" s="56"/>
      <c r="AK28" s="56"/>
      <c r="AL28" s="56"/>
      <c r="AM28" s="56"/>
      <c r="AN28" s="56"/>
      <c r="AO28" s="56"/>
      <c r="AP28" s="58">
        <f t="shared" si="0"/>
        <v>25</v>
      </c>
      <c r="AQ28" s="71">
        <f t="shared" si="1"/>
        <v>27.763999999999996</v>
      </c>
      <c r="AR28" s="71">
        <f>IFERROR(VLOOKUP(A28,Climatologia_TMED!A:U,9+$E$2,FALSE),"")</f>
        <v>26.165451660622249</v>
      </c>
      <c r="AS28" s="71">
        <f t="shared" si="2"/>
        <v>1.5985483393777464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>
        <v>26.9</v>
      </c>
      <c r="AF29" s="56">
        <v>27.8</v>
      </c>
      <c r="AG29" s="56">
        <v>27.1</v>
      </c>
      <c r="AH29" s="56">
        <v>28.5</v>
      </c>
      <c r="AI29" s="56">
        <v>28.9</v>
      </c>
      <c r="AJ29" s="56"/>
      <c r="AK29" s="56"/>
      <c r="AL29" s="56"/>
      <c r="AM29" s="56"/>
      <c r="AN29" s="56"/>
      <c r="AO29" s="56"/>
      <c r="AP29" s="58">
        <f t="shared" si="0"/>
        <v>25</v>
      </c>
      <c r="AQ29" s="71">
        <f t="shared" si="1"/>
        <v>27.788</v>
      </c>
      <c r="AR29" s="71">
        <f>IFERROR(VLOOKUP(A29,Climatologia_TMED!A:U,9+$E$2,FALSE),"")</f>
        <v>27.268435099846361</v>
      </c>
      <c r="AS29" s="71">
        <f t="shared" si="2"/>
        <v>0.51956490015363954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>
        <v>25.4</v>
      </c>
      <c r="AF30" s="56">
        <v>26.4</v>
      </c>
      <c r="AG30" s="56">
        <v>24.4</v>
      </c>
      <c r="AH30" s="56">
        <v>25.8</v>
      </c>
      <c r="AI30" s="56">
        <v>25.1</v>
      </c>
      <c r="AJ30" s="56"/>
      <c r="AK30" s="56"/>
      <c r="AL30" s="56"/>
      <c r="AM30" s="56"/>
      <c r="AN30" s="56"/>
      <c r="AO30" s="56"/>
      <c r="AP30" s="58">
        <f t="shared" si="0"/>
        <v>25</v>
      </c>
      <c r="AQ30" s="71">
        <f t="shared" si="1"/>
        <v>25.984000000000002</v>
      </c>
      <c r="AR30" s="71">
        <f>IFERROR(VLOOKUP(A30,Climatologia_TMED!A:U,9+$E$2,FALSE),"")</f>
        <v>25.205756395995511</v>
      </c>
      <c r="AS30" s="71">
        <f t="shared" si="2"/>
        <v>0.77824360400449066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>
        <v>27</v>
      </c>
      <c r="AF31" s="98">
        <v>27.7</v>
      </c>
      <c r="AG31" s="98">
        <v>25.9</v>
      </c>
      <c r="AH31" s="98">
        <v>27.3</v>
      </c>
      <c r="AI31" s="98">
        <v>28.6</v>
      </c>
      <c r="AJ31" s="98"/>
      <c r="AK31" s="98"/>
      <c r="AL31" s="98"/>
      <c r="AM31" s="98"/>
      <c r="AN31" s="98"/>
      <c r="AO31" s="98"/>
      <c r="AP31" s="58">
        <f t="shared" si="0"/>
        <v>25</v>
      </c>
      <c r="AQ31" s="71">
        <f t="shared" si="1"/>
        <v>27.507999999999996</v>
      </c>
      <c r="AR31" s="71">
        <f>IFERROR(VLOOKUP(A31,Climatologia_TMED!A:U,9+$E$2,FALSE),"")</f>
        <v>25.960296951277201</v>
      </c>
      <c r="AS31" s="71">
        <f t="shared" si="2"/>
        <v>1.547703048722795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>
        <v>20.2</v>
      </c>
      <c r="AF32" s="56">
        <v>19.866666666666671</v>
      </c>
      <c r="AG32" s="56">
        <v>20.6</v>
      </c>
      <c r="AH32" s="56">
        <v>20.666666666666671</v>
      </c>
      <c r="AI32" s="56">
        <v>20.466666666666669</v>
      </c>
      <c r="AJ32" s="56"/>
      <c r="AK32" s="56"/>
      <c r="AL32" s="56"/>
      <c r="AM32" s="56"/>
      <c r="AN32" s="56"/>
      <c r="AO32" s="56"/>
      <c r="AP32" s="58">
        <f t="shared" si="0"/>
        <v>25</v>
      </c>
      <c r="AQ32" s="71">
        <f t="shared" si="1"/>
        <v>20.253333333333334</v>
      </c>
      <c r="AR32" s="71">
        <f>IFERROR(VLOOKUP(A32,Climatologia_TMED!A:U,9+$E$2,FALSE),"")</f>
        <v>17.69892835396929</v>
      </c>
      <c r="AS32" s="71">
        <f t="shared" si="2"/>
        <v>2.554404979364044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>
        <v>29.3</v>
      </c>
      <c r="AF33" s="56">
        <v>26.35</v>
      </c>
      <c r="AG33" s="56">
        <v>28.7</v>
      </c>
      <c r="AH33" s="56">
        <v>28.3</v>
      </c>
      <c r="AI33" s="56">
        <v>29</v>
      </c>
      <c r="AJ33" s="56"/>
      <c r="AK33" s="56"/>
      <c r="AL33" s="56"/>
      <c r="AM33" s="56"/>
      <c r="AN33" s="56"/>
      <c r="AO33" s="56"/>
      <c r="AP33" s="58">
        <f t="shared" si="0"/>
        <v>25</v>
      </c>
      <c r="AQ33" s="71">
        <f t="shared" si="1"/>
        <v>28.14</v>
      </c>
      <c r="AR33" s="71">
        <f>IFERROR(VLOOKUP(A33,Climatologia_TMED!A:U,9+$E$2,FALSE),"")</f>
        <v>26.885476337530289</v>
      </c>
      <c r="AS33" s="71">
        <f t="shared" si="2"/>
        <v>1.2545236624697118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>
        <v>22.06666666666667</v>
      </c>
      <c r="AE34" s="56">
        <v>21.86666666666666</v>
      </c>
      <c r="AF34" s="56">
        <v>21.733333333333331</v>
      </c>
      <c r="AG34" s="56">
        <v>21.666666666666671</v>
      </c>
      <c r="AH34" s="56">
        <v>21.86666666666666</v>
      </c>
      <c r="AI34" s="56">
        <v>21.666666666666671</v>
      </c>
      <c r="AJ34" s="56"/>
      <c r="AK34" s="56"/>
      <c r="AL34" s="56"/>
      <c r="AM34" s="56"/>
      <c r="AN34" s="56"/>
      <c r="AO34" s="56"/>
      <c r="AP34" s="58">
        <f t="shared" si="0"/>
        <v>25</v>
      </c>
      <c r="AQ34" s="71">
        <f t="shared" si="1"/>
        <v>21.669333333333331</v>
      </c>
      <c r="AR34" s="71">
        <f>IFERROR(VLOOKUP(A34,Climatologia_TMED!A:U,9+$E$2,FALSE),"")</f>
        <v>19.861806556333011</v>
      </c>
      <c r="AS34" s="71">
        <f t="shared" si="2"/>
        <v>1.8075267770003194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>
        <v>25.75</v>
      </c>
      <c r="AF35" s="56">
        <v>24.05</v>
      </c>
      <c r="AG35" s="56">
        <v>23.55</v>
      </c>
      <c r="AH35" s="56">
        <v>27.25</v>
      </c>
      <c r="AI35" s="56">
        <v>25.8</v>
      </c>
      <c r="AJ35" s="56"/>
      <c r="AK35" s="56"/>
      <c r="AL35" s="56"/>
      <c r="AM35" s="56"/>
      <c r="AN35" s="56"/>
      <c r="AO35" s="56"/>
      <c r="AP35" s="58">
        <f t="shared" si="0"/>
        <v>25</v>
      </c>
      <c r="AQ35" s="71">
        <f t="shared" si="1"/>
        <v>25.258999999999997</v>
      </c>
      <c r="AR35" s="71">
        <f>IFERROR(VLOOKUP(A35,Climatologia_TMED!A:U,9+$E$2,FALSE),"")</f>
        <v>24.163939937062029</v>
      </c>
      <c r="AS35" s="71">
        <f t="shared" si="2"/>
        <v>1.0950600629379679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>
        <v>20.55</v>
      </c>
      <c r="AF36" s="56">
        <v>19.600000000000001</v>
      </c>
      <c r="AG36" s="56">
        <v>20.7</v>
      </c>
      <c r="AH36" s="56">
        <v>20.100000000000001</v>
      </c>
      <c r="AI36" s="56">
        <v>20.75</v>
      </c>
      <c r="AJ36" s="56"/>
      <c r="AK36" s="56"/>
      <c r="AL36" s="56"/>
      <c r="AM36" s="56"/>
      <c r="AN36" s="56"/>
      <c r="AO36" s="56"/>
      <c r="AP36" s="58">
        <f t="shared" si="0"/>
        <v>25</v>
      </c>
      <c r="AQ36" s="71">
        <f t="shared" si="1"/>
        <v>20.160000000000004</v>
      </c>
      <c r="AR36" s="71">
        <f>IFERROR(VLOOKUP(A36,Climatologia_TMED!A:U,9+$E$2,FALSE),"")</f>
        <v>18.948390779307498</v>
      </c>
      <c r="AS36" s="71">
        <f t="shared" si="2"/>
        <v>1.2116092206925053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>
        <v>28.25</v>
      </c>
      <c r="AF37" s="56">
        <v>28.5</v>
      </c>
      <c r="AG37" s="56">
        <v>27.9</v>
      </c>
      <c r="AH37" s="56">
        <v>28.3</v>
      </c>
      <c r="AI37" s="56">
        <v>28.7</v>
      </c>
      <c r="AJ37" s="56"/>
      <c r="AK37" s="56"/>
      <c r="AL37" s="56"/>
      <c r="AM37" s="56"/>
      <c r="AN37" s="56"/>
      <c r="AO37" s="56"/>
      <c r="AP37" s="58">
        <f t="shared" si="0"/>
        <v>25</v>
      </c>
      <c r="AQ37" s="71">
        <f t="shared" si="1"/>
        <v>28.037999999999997</v>
      </c>
      <c r="AR37" s="71">
        <f>IFERROR(VLOOKUP(A37,Climatologia_TMED!A:U,9+$E$2,FALSE),"")</f>
        <v>26.09341273397051</v>
      </c>
      <c r="AS37" s="71">
        <f t="shared" si="2"/>
        <v>1.9445872660294867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>
        <v>17.25</v>
      </c>
      <c r="AF38" s="56">
        <v>15.45</v>
      </c>
      <c r="AG38" s="56">
        <v>15.3</v>
      </c>
      <c r="AH38" s="56">
        <v>17</v>
      </c>
      <c r="AI38" s="56">
        <v>16.899999999999999</v>
      </c>
      <c r="AJ38" s="56"/>
      <c r="AK38" s="56"/>
      <c r="AL38" s="56"/>
      <c r="AM38" s="56"/>
      <c r="AN38" s="56"/>
      <c r="AO38" s="56"/>
      <c r="AP38" s="58">
        <f t="shared" si="0"/>
        <v>24</v>
      </c>
      <c r="AQ38" s="71">
        <f t="shared" si="1"/>
        <v>16.222916666666666</v>
      </c>
      <c r="AR38" s="71">
        <f>IFERROR(VLOOKUP(A38,Climatologia_TMED!A:U,9+$E$2,FALSE),"")</f>
        <v>15.0852109133605</v>
      </c>
      <c r="AS38" s="71">
        <f t="shared" si="2"/>
        <v>1.1377057533061663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>
        <v>23.2</v>
      </c>
      <c r="AF39" s="56">
        <v>22.533333333333331</v>
      </c>
      <c r="AG39" s="56">
        <v>21.666666666666671</v>
      </c>
      <c r="AH39" s="56">
        <v>22.666666666666671</v>
      </c>
      <c r="AI39" s="56">
        <v>23.86666666666666</v>
      </c>
      <c r="AJ39" s="56"/>
      <c r="AK39" s="56"/>
      <c r="AL39" s="56"/>
      <c r="AM39" s="56"/>
      <c r="AN39" s="56"/>
      <c r="AO39" s="56"/>
      <c r="AP39" s="58">
        <f t="shared" si="0"/>
        <v>25</v>
      </c>
      <c r="AQ39" s="71">
        <f t="shared" si="1"/>
        <v>23.037333333333326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>
        <v>26.2</v>
      </c>
      <c r="AF40" s="56"/>
      <c r="AG40" s="56"/>
      <c r="AH40" s="56">
        <v>24.533333333333331</v>
      </c>
      <c r="AI40" s="56">
        <v>25.86666666666666</v>
      </c>
      <c r="AJ40" s="56"/>
      <c r="AK40" s="56"/>
      <c r="AL40" s="56"/>
      <c r="AM40" s="56"/>
      <c r="AN40" s="56"/>
      <c r="AO40" s="56"/>
      <c r="AP40" s="58">
        <f t="shared" si="0"/>
        <v>18</v>
      </c>
      <c r="AQ40" s="71">
        <f t="shared" si="1"/>
        <v>25.588888888888889</v>
      </c>
      <c r="AR40" s="71">
        <f>IFERROR(VLOOKUP(A40,Climatologia_TMED!A:U,9+$E$2,FALSE),"")</f>
        <v>22.98415856403572</v>
      </c>
      <c r="AS40" s="71">
        <f t="shared" si="2"/>
        <v>2.6047303248531684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>
        <v>20.2</v>
      </c>
      <c r="AE41" s="56">
        <v>19.866666666666671</v>
      </c>
      <c r="AF41" s="56">
        <v>19.8</v>
      </c>
      <c r="AG41" s="56">
        <v>19.666666666666661</v>
      </c>
      <c r="AH41" s="56">
        <v>20.266666666666669</v>
      </c>
      <c r="AI41" s="56">
        <v>20.733333333333331</v>
      </c>
      <c r="AJ41" s="56"/>
      <c r="AK41" s="56"/>
      <c r="AL41" s="56"/>
      <c r="AM41" s="56"/>
      <c r="AN41" s="56"/>
      <c r="AO41" s="56"/>
      <c r="AP41" s="58">
        <f t="shared" si="0"/>
        <v>24</v>
      </c>
      <c r="AQ41" s="71">
        <f t="shared" si="1"/>
        <v>20.448611111111109</v>
      </c>
      <c r="AR41" s="71">
        <f>IFERROR(VLOOKUP(A41,Climatologia_TMED!A:U,9+$E$2,FALSE),"")</f>
        <v>18.50720543555942</v>
      </c>
      <c r="AS41" s="71">
        <f t="shared" si="2"/>
        <v>1.9414056755516889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>
        <v>28.4</v>
      </c>
      <c r="AF42" s="56">
        <v>26.95</v>
      </c>
      <c r="AG42" s="56">
        <v>28.85</v>
      </c>
      <c r="AH42" s="56">
        <v>27.55</v>
      </c>
      <c r="AI42" s="56">
        <v>29.1</v>
      </c>
      <c r="AJ42" s="56"/>
      <c r="AK42" s="56"/>
      <c r="AL42" s="56"/>
      <c r="AM42" s="56"/>
      <c r="AN42" s="56"/>
      <c r="AO42" s="56"/>
      <c r="AP42" s="58">
        <f t="shared" si="0"/>
        <v>25</v>
      </c>
      <c r="AQ42" s="71">
        <f t="shared" si="1"/>
        <v>28.114000000000001</v>
      </c>
      <c r="AR42" s="71">
        <f>IFERROR(VLOOKUP(A42,Climatologia_TMED!A:U,9+$E$2,FALSE),"")</f>
        <v>27.517114695340499</v>
      </c>
      <c r="AS42" s="71">
        <f t="shared" si="2"/>
        <v>0.59688530465950151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>
        <v>30.9</v>
      </c>
      <c r="AF43" s="56">
        <v>28.95</v>
      </c>
      <c r="AG43" s="56">
        <v>29.55</v>
      </c>
      <c r="AH43" s="56">
        <v>28.35</v>
      </c>
      <c r="AI43" s="56">
        <v>30.5</v>
      </c>
      <c r="AJ43" s="56"/>
      <c r="AK43" s="56"/>
      <c r="AL43" s="56"/>
      <c r="AM43" s="56"/>
      <c r="AN43" s="56"/>
      <c r="AO43" s="56"/>
      <c r="AP43" s="58">
        <f t="shared" si="0"/>
        <v>25</v>
      </c>
      <c r="AQ43" s="71">
        <f t="shared" si="1"/>
        <v>29.486000000000004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>
        <v>30.024999999999999</v>
      </c>
      <c r="AF44" s="56">
        <v>26.675000000000001</v>
      </c>
      <c r="AG44" s="56">
        <v>30.725000000000001</v>
      </c>
      <c r="AH44" s="56">
        <v>26.875</v>
      </c>
      <c r="AI44" s="56">
        <v>30.8</v>
      </c>
      <c r="AJ44" s="56"/>
      <c r="AK44" s="56"/>
      <c r="AL44" s="56"/>
      <c r="AM44" s="56"/>
      <c r="AN44" s="56"/>
      <c r="AO44" s="56"/>
      <c r="AP44" s="58">
        <f t="shared" si="0"/>
        <v>25</v>
      </c>
      <c r="AQ44" s="71">
        <f t="shared" si="1"/>
        <v>28.785999999999998</v>
      </c>
      <c r="AR44" s="71">
        <f>IFERROR(VLOOKUP(A44,Climatologia_TMED!A:U,9+$E$2,FALSE),"")</f>
        <v>27.22851750737534</v>
      </c>
      <c r="AS44" s="71">
        <f t="shared" si="2"/>
        <v>1.5574824926246578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>
        <v>28.95</v>
      </c>
      <c r="AF45" s="56">
        <v>27.3</v>
      </c>
      <c r="AG45" s="56">
        <v>26.8</v>
      </c>
      <c r="AH45" s="56">
        <v>28.25</v>
      </c>
      <c r="AI45" s="56">
        <v>29.6</v>
      </c>
      <c r="AJ45" s="56"/>
      <c r="AK45" s="56"/>
      <c r="AL45" s="56"/>
      <c r="AM45" s="56"/>
      <c r="AN45" s="56"/>
      <c r="AO45" s="56"/>
      <c r="AP45" s="58">
        <f t="shared" si="0"/>
        <v>25</v>
      </c>
      <c r="AQ45" s="71">
        <f t="shared" si="1"/>
        <v>29.044</v>
      </c>
      <c r="AR45" s="71">
        <f>IFERROR(VLOOKUP(A45,Climatologia_TMED!A:U,9+$E$2,FALSE),"")</f>
        <v>27.597106102685618</v>
      </c>
      <c r="AS45" s="71">
        <f t="shared" si="2"/>
        <v>1.4468938973143821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>
        <v>29.8</v>
      </c>
      <c r="AF46" s="56">
        <v>28.4</v>
      </c>
      <c r="AG46" s="56">
        <v>28.3</v>
      </c>
      <c r="AH46" s="56">
        <v>28.9</v>
      </c>
      <c r="AI46" s="56">
        <v>29.25</v>
      </c>
      <c r="AJ46" s="56"/>
      <c r="AK46" s="56"/>
      <c r="AL46" s="56"/>
      <c r="AM46" s="56"/>
      <c r="AN46" s="56"/>
      <c r="AO46" s="56"/>
      <c r="AP46" s="58">
        <f t="shared" si="0"/>
        <v>25</v>
      </c>
      <c r="AQ46" s="71">
        <f t="shared" si="1"/>
        <v>28.94499999999999</v>
      </c>
      <c r="AR46" s="71">
        <f>IFERROR(VLOOKUP(A46,Climatologia_TMED!A:U,9+$E$2,FALSE),"")</f>
        <v>27.738976943755159</v>
      </c>
      <c r="AS46" s="71">
        <f t="shared" si="2"/>
        <v>1.2060230562448311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>
        <v>31.933333333333341</v>
      </c>
      <c r="AF47" s="56">
        <v>28.06666666666667</v>
      </c>
      <c r="AG47" s="56">
        <v>30.666666666666671</v>
      </c>
      <c r="AH47" s="56">
        <v>30.466666666666669</v>
      </c>
      <c r="AI47" s="56">
        <v>31.6</v>
      </c>
      <c r="AJ47" s="56"/>
      <c r="AK47" s="56"/>
      <c r="AL47" s="56"/>
      <c r="AM47" s="56"/>
      <c r="AN47" s="56"/>
      <c r="AO47" s="56"/>
      <c r="AP47" s="58">
        <f t="shared" si="0"/>
        <v>23</v>
      </c>
      <c r="AQ47" s="71">
        <f t="shared" si="1"/>
        <v>30.181159420289859</v>
      </c>
      <c r="AR47" s="71">
        <f>IFERROR(VLOOKUP(A47,Climatologia_TMED!A:U,9+$E$2,FALSE),"")</f>
        <v>27.87742247854888</v>
      </c>
      <c r="AS47" s="71">
        <f t="shared" si="2"/>
        <v>2.3037369417409792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>
        <v>29.05</v>
      </c>
      <c r="AF50" s="56">
        <v>26.35</v>
      </c>
      <c r="AG50" s="56">
        <v>28.85</v>
      </c>
      <c r="AH50" s="56">
        <v>27.6</v>
      </c>
      <c r="AI50" s="56">
        <v>29.35</v>
      </c>
      <c r="AJ50" s="56"/>
      <c r="AK50" s="56"/>
      <c r="AL50" s="56"/>
      <c r="AM50" s="56"/>
      <c r="AN50" s="56"/>
      <c r="AO50" s="56"/>
      <c r="AP50" s="58">
        <f t="shared" si="0"/>
        <v>25</v>
      </c>
      <c r="AQ50" s="71">
        <f t="shared" si="1"/>
        <v>28.994000000000007</v>
      </c>
      <c r="AR50" s="71">
        <f>IFERROR(VLOOKUP(A50,Climatologia_TMED!A:U,9+$E$2,FALSE),"")</f>
        <v>27.21920614995987</v>
      </c>
      <c r="AS50" s="71">
        <f t="shared" si="2"/>
        <v>1.7747938500401368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>
        <v>29.9</v>
      </c>
      <c r="AF53" s="56">
        <v>27.15</v>
      </c>
      <c r="AG53" s="56">
        <v>28.1</v>
      </c>
      <c r="AH53" s="56">
        <v>28.3</v>
      </c>
      <c r="AI53" s="56">
        <v>29.95</v>
      </c>
      <c r="AJ53" s="56"/>
      <c r="AK53" s="56"/>
      <c r="AL53" s="56"/>
      <c r="AM53" s="56"/>
      <c r="AN53" s="56"/>
      <c r="AO53" s="56"/>
      <c r="AP53" s="58">
        <f t="shared" si="0"/>
        <v>25</v>
      </c>
      <c r="AQ53" s="71">
        <f t="shared" si="1"/>
        <v>28.857999999999997</v>
      </c>
      <c r="AR53" s="71">
        <f>IFERROR(VLOOKUP(A53,Climatologia_TMED!A:U,9+$E$2,FALSE),"")</f>
        <v>27.2190910764708</v>
      </c>
      <c r="AS53" s="71">
        <f t="shared" si="2"/>
        <v>1.6389089235291969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>
        <v>31.4</v>
      </c>
      <c r="AF54" s="56"/>
      <c r="AG54" s="56">
        <v>28.8</v>
      </c>
      <c r="AH54" s="56">
        <v>30.35</v>
      </c>
      <c r="AI54" s="56">
        <v>31.1</v>
      </c>
      <c r="AJ54" s="56"/>
      <c r="AK54" s="56"/>
      <c r="AL54" s="56"/>
      <c r="AM54" s="56"/>
      <c r="AN54" s="56"/>
      <c r="AO54" s="56"/>
      <c r="AP54" s="58">
        <f t="shared" si="0"/>
        <v>24</v>
      </c>
      <c r="AQ54" s="71">
        <f t="shared" si="1"/>
        <v>30.208333333333332</v>
      </c>
      <c r="AR54" s="71">
        <f>IFERROR(VLOOKUP(A54,Climatologia_TMED!A:U,9+$E$2,FALSE),"")</f>
        <v>28.41139216335926</v>
      </c>
      <c r="AS54" s="71">
        <f t="shared" si="2"/>
        <v>1.7969411699740725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>
        <v>30.05</v>
      </c>
      <c r="AF55" s="56">
        <v>29.85</v>
      </c>
      <c r="AG55" s="56"/>
      <c r="AH55" s="56">
        <v>30.8</v>
      </c>
      <c r="AI55" s="56">
        <v>30.95</v>
      </c>
      <c r="AJ55" s="56"/>
      <c r="AK55" s="56"/>
      <c r="AL55" s="56"/>
      <c r="AM55" s="56"/>
      <c r="AN55" s="56"/>
      <c r="AO55" s="56"/>
      <c r="AP55" s="58">
        <f t="shared" si="0"/>
        <v>23</v>
      </c>
      <c r="AQ55" s="71">
        <f t="shared" si="1"/>
        <v>30.556521739130432</v>
      </c>
      <c r="AR55" s="71">
        <f>IFERROR(VLOOKUP(A55,Climatologia_TMED!A:U,9+$E$2,FALSE),"")</f>
        <v>28.417502124868491</v>
      </c>
      <c r="AS55" s="71">
        <f t="shared" si="2"/>
        <v>2.1390196142619402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>
        <v>28.25</v>
      </c>
      <c r="AF59" s="56">
        <v>28.35</v>
      </c>
      <c r="AG59" s="56">
        <v>27.2</v>
      </c>
      <c r="AH59" s="56">
        <v>28.1</v>
      </c>
      <c r="AI59" s="56">
        <v>30.3</v>
      </c>
      <c r="AJ59" s="56"/>
      <c r="AK59" s="56"/>
      <c r="AL59" s="56"/>
      <c r="AM59" s="56"/>
      <c r="AN59" s="56"/>
      <c r="AO59" s="56"/>
      <c r="AP59" s="58">
        <f t="shared" si="0"/>
        <v>25</v>
      </c>
      <c r="AQ59" s="71">
        <f t="shared" si="1"/>
        <v>28.866000000000003</v>
      </c>
      <c r="AR59" s="71">
        <f>IFERROR(VLOOKUP(A59,Climatologia_TMED!A:U,9+$E$2,FALSE),"")</f>
        <v>27.95576397141701</v>
      </c>
      <c r="AS59" s="71">
        <f t="shared" si="2"/>
        <v>0.91023602858299313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>
        <v>25.65</v>
      </c>
      <c r="Z60" s="56">
        <v>25.1</v>
      </c>
      <c r="AA60" s="56">
        <v>25.65</v>
      </c>
      <c r="AB60" s="56">
        <v>26.4</v>
      </c>
      <c r="AC60" s="56"/>
      <c r="AD60" s="56">
        <v>26.65</v>
      </c>
      <c r="AE60" s="56">
        <v>24.5</v>
      </c>
      <c r="AF60" s="56">
        <v>25.4</v>
      </c>
      <c r="AG60" s="56">
        <v>24.65</v>
      </c>
      <c r="AH60" s="56">
        <v>26.15</v>
      </c>
      <c r="AI60" s="56">
        <v>25.55</v>
      </c>
      <c r="AJ60" s="56"/>
      <c r="AK60" s="56"/>
      <c r="AL60" s="56"/>
      <c r="AM60" s="56"/>
      <c r="AN60" s="56"/>
      <c r="AO60" s="56"/>
      <c r="AP60" s="58">
        <f t="shared" si="0"/>
        <v>17</v>
      </c>
      <c r="AQ60" s="71">
        <f t="shared" si="1"/>
        <v>25.623529411764697</v>
      </c>
      <c r="AR60" s="71">
        <f>IFERROR(VLOOKUP(A60,Climatologia_TMED!A:U,9+$E$2,FALSE),"")</f>
        <v>24.593803323854988</v>
      </c>
      <c r="AS60" s="71">
        <f t="shared" si="2"/>
        <v>1.0297260879097081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>
        <v>25.9</v>
      </c>
      <c r="AF61" s="56">
        <v>26.2</v>
      </c>
      <c r="AG61" s="56">
        <v>26.85</v>
      </c>
      <c r="AH61" s="56">
        <v>27.5</v>
      </c>
      <c r="AI61" s="56">
        <v>26.2</v>
      </c>
      <c r="AJ61" s="56"/>
      <c r="AK61" s="56"/>
      <c r="AL61" s="56"/>
      <c r="AM61" s="56"/>
      <c r="AN61" s="56"/>
      <c r="AO61" s="56"/>
      <c r="AP61" s="58">
        <f t="shared" si="0"/>
        <v>25</v>
      </c>
      <c r="AQ61" s="71">
        <f t="shared" si="1"/>
        <v>27.056000000000008</v>
      </c>
      <c r="AR61" s="71">
        <f>IFERROR(VLOOKUP(A61,Climatologia_TMED!A:U,9+$E$2,FALSE),"")</f>
        <v>26.14540821795481</v>
      </c>
      <c r="AS61" s="71">
        <f t="shared" si="2"/>
        <v>0.91059178204519853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>
        <v>27.2</v>
      </c>
      <c r="AE62" s="56">
        <v>27.8</v>
      </c>
      <c r="AF62" s="56">
        <v>26.93333333333333</v>
      </c>
      <c r="AG62" s="56">
        <v>26.2</v>
      </c>
      <c r="AH62" s="56">
        <v>27.6</v>
      </c>
      <c r="AI62" s="56">
        <v>26.533333333333331</v>
      </c>
      <c r="AJ62" s="56"/>
      <c r="AK62" s="56"/>
      <c r="AL62" s="56"/>
      <c r="AM62" s="56"/>
      <c r="AN62" s="56"/>
      <c r="AO62" s="56"/>
      <c r="AP62" s="58">
        <f t="shared" si="0"/>
        <v>25</v>
      </c>
      <c r="AQ62" s="71">
        <f t="shared" si="1"/>
        <v>26.781333333333329</v>
      </c>
      <c r="AR62" s="71">
        <f>IFERROR(VLOOKUP(A62,Climatologia_TMED!A:U,9+$E$2,FALSE),"")</f>
        <v>25.12904940316772</v>
      </c>
      <c r="AS62" s="71">
        <f t="shared" si="2"/>
        <v>1.6522839301656091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>
        <v>25.05</v>
      </c>
      <c r="AF65" s="56">
        <v>26.75</v>
      </c>
      <c r="AG65" s="56">
        <v>25.35</v>
      </c>
      <c r="AH65" s="56">
        <v>27.3</v>
      </c>
      <c r="AI65" s="56">
        <v>24.65</v>
      </c>
      <c r="AJ65" s="56"/>
      <c r="AK65" s="56"/>
      <c r="AL65" s="56"/>
      <c r="AM65" s="56"/>
      <c r="AN65" s="56"/>
      <c r="AO65" s="56"/>
      <c r="AP65" s="58">
        <f t="shared" si="0"/>
        <v>25</v>
      </c>
      <c r="AQ65" s="71">
        <f t="shared" si="1"/>
        <v>25.973999999999997</v>
      </c>
      <c r="AR65" s="71">
        <f>IFERROR(VLOOKUP(A65,Climatologia_TMED!A:U,9+$E$2,FALSE),"")</f>
        <v>25.359269039673709</v>
      </c>
      <c r="AS65" s="71">
        <f t="shared" si="2"/>
        <v>0.6147309603262876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>
        <v>24.7</v>
      </c>
      <c r="AF66" s="56">
        <v>25.85</v>
      </c>
      <c r="AG66" s="56">
        <v>24.2</v>
      </c>
      <c r="AH66" s="56">
        <v>27.05</v>
      </c>
      <c r="AI66" s="56">
        <v>24.35</v>
      </c>
      <c r="AJ66" s="56"/>
      <c r="AK66" s="56"/>
      <c r="AL66" s="56"/>
      <c r="AM66" s="56"/>
      <c r="AN66" s="56"/>
      <c r="AO66" s="56"/>
      <c r="AP66" s="58">
        <f t="shared" si="0"/>
        <v>25</v>
      </c>
      <c r="AQ66" s="71">
        <f t="shared" si="1"/>
        <v>25.846000000000004</v>
      </c>
      <c r="AR66" s="71">
        <f>IFERROR(VLOOKUP(A66,Climatologia_TMED!A:U,9+$E$2,FALSE),"")</f>
        <v>25.449219842417062</v>
      </c>
      <c r="AS66" s="71">
        <f t="shared" si="2"/>
        <v>0.39678015758294194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>
        <v>25.6</v>
      </c>
      <c r="AF67" s="56">
        <v>25.25</v>
      </c>
      <c r="AG67" s="56">
        <v>25.05</v>
      </c>
      <c r="AH67" s="56">
        <v>27.95</v>
      </c>
      <c r="AI67" s="56">
        <v>24.9</v>
      </c>
      <c r="AJ67" s="56"/>
      <c r="AK67" s="56"/>
      <c r="AL67" s="56"/>
      <c r="AM67" s="56"/>
      <c r="AN67" s="56"/>
      <c r="AO67" s="56"/>
      <c r="AP67" s="58">
        <f t="shared" si="0"/>
        <v>24</v>
      </c>
      <c r="AQ67" s="71">
        <f t="shared" si="1"/>
        <v>26.235416666666666</v>
      </c>
      <c r="AR67" s="71">
        <f>IFERROR(VLOOKUP(A67,Climatologia_TMED!A:U,9+$E$2,FALSE),"")</f>
        <v>25.277101656093599</v>
      </c>
      <c r="AS67" s="71">
        <f t="shared" si="2"/>
        <v>0.95831501057306667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>
        <v>25.45</v>
      </c>
      <c r="AF68" s="56"/>
      <c r="AG68" s="56"/>
      <c r="AH68" s="56">
        <v>25.274999999999999</v>
      </c>
      <c r="AI68" s="56">
        <v>25.3</v>
      </c>
      <c r="AJ68" s="56"/>
      <c r="AK68" s="56"/>
      <c r="AL68" s="56"/>
      <c r="AM68" s="56"/>
      <c r="AN68" s="56"/>
      <c r="AO68" s="56"/>
      <c r="AP68" s="58">
        <f t="shared" si="0"/>
        <v>23</v>
      </c>
      <c r="AQ68" s="71">
        <f t="shared" si="1"/>
        <v>25.703260869565209</v>
      </c>
      <c r="AR68" s="71">
        <f>IFERROR(VLOOKUP(A68,Climatologia_TMED!A:U,9+$E$2,FALSE),"")</f>
        <v>25.105050309426691</v>
      </c>
      <c r="AS68" s="71">
        <f t="shared" si="2"/>
        <v>0.59821056013851859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>
        <v>24.45</v>
      </c>
      <c r="AF69" s="56">
        <v>24.95</v>
      </c>
      <c r="AG69" s="56">
        <v>24</v>
      </c>
      <c r="AH69" s="56">
        <v>25.6</v>
      </c>
      <c r="AI69" s="56">
        <v>25.8</v>
      </c>
      <c r="AJ69" s="56"/>
      <c r="AK69" s="56"/>
      <c r="AL69" s="56"/>
      <c r="AM69" s="56"/>
      <c r="AN69" s="56"/>
      <c r="AO69" s="56"/>
      <c r="AP69" s="58">
        <f t="shared" ref="AP69:AP132" si="3">COUNTIF(K69:AO69,"&gt;0")</f>
        <v>25</v>
      </c>
      <c r="AQ69" s="71">
        <f t="shared" ref="AQ69:AQ132" si="4">IF(AP69&gt;14,AVERAGE(K69:AO69),"")</f>
        <v>25.414000000000001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0.55426586578170145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>
        <v>27.733333333333331</v>
      </c>
      <c r="AF70" s="56">
        <v>27.4</v>
      </c>
      <c r="AG70" s="56">
        <v>25.6</v>
      </c>
      <c r="AH70" s="56">
        <v>26.86666666666666</v>
      </c>
      <c r="AI70" s="56">
        <v>26.666666666666671</v>
      </c>
      <c r="AJ70" s="56"/>
      <c r="AK70" s="56"/>
      <c r="AL70" s="56"/>
      <c r="AM70" s="56"/>
      <c r="AN70" s="56"/>
      <c r="AO70" s="56"/>
      <c r="AP70" s="58">
        <f t="shared" si="3"/>
        <v>21</v>
      </c>
      <c r="AQ70" s="71">
        <f t="shared" si="4"/>
        <v>27.319047619047616</v>
      </c>
      <c r="AR70" s="71">
        <f>IFERROR(VLOOKUP(A70,Climatologia_TMED!A:U,9+$E$2,FALSE),"")</f>
        <v>26.28861277959394</v>
      </c>
      <c r="AS70" s="71">
        <f t="shared" si="5"/>
        <v>1.030434839453676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>
        <v>26.43333333333333</v>
      </c>
      <c r="AF71" s="56">
        <v>26.266666666666669</v>
      </c>
      <c r="AG71" s="56">
        <v>24.466666666666669</v>
      </c>
      <c r="AH71" s="56">
        <v>27.166666666666671</v>
      </c>
      <c r="AI71" s="56">
        <v>26.533333333333331</v>
      </c>
      <c r="AJ71" s="56"/>
      <c r="AK71" s="56"/>
      <c r="AL71" s="56"/>
      <c r="AM71" s="56"/>
      <c r="AN71" s="56"/>
      <c r="AO71" s="56"/>
      <c r="AP71" s="58">
        <f t="shared" si="3"/>
        <v>25</v>
      </c>
      <c r="AQ71" s="71">
        <f t="shared" si="4"/>
        <v>26.438666666666663</v>
      </c>
      <c r="AR71" s="71">
        <f>IFERROR(VLOOKUP(A71,Climatologia_TMED!A:U,9+$E$2,FALSE),"")</f>
        <v>26.117252164977831</v>
      </c>
      <c r="AS71" s="71">
        <f t="shared" si="5"/>
        <v>0.32141450168883168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>
        <v>25.93333333333333</v>
      </c>
      <c r="AF72" s="56">
        <v>23.93333333333333</v>
      </c>
      <c r="AG72" s="56">
        <v>26.166666666666671</v>
      </c>
      <c r="AH72" s="56">
        <v>27.466666666666669</v>
      </c>
      <c r="AI72" s="56">
        <v>24.5</v>
      </c>
      <c r="AJ72" s="56"/>
      <c r="AK72" s="56"/>
      <c r="AL72" s="56"/>
      <c r="AM72" s="56"/>
      <c r="AN72" s="56"/>
      <c r="AO72" s="56"/>
      <c r="AP72" s="58">
        <f t="shared" si="3"/>
        <v>24</v>
      </c>
      <c r="AQ72" s="71">
        <f t="shared" si="4"/>
        <v>25.913888888888888</v>
      </c>
      <c r="AR72" s="71">
        <f>IFERROR(VLOOKUP(A72,Climatologia_TMED!A:U,9+$E$2,FALSE),"")</f>
        <v>25.27783516958878</v>
      </c>
      <c r="AS72" s="71">
        <f t="shared" si="5"/>
        <v>0.6360537193001079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>
        <v>26.2</v>
      </c>
      <c r="AF73" s="56"/>
      <c r="AG73" s="56"/>
      <c r="AH73" s="56"/>
      <c r="AI73" s="56">
        <v>25.45</v>
      </c>
      <c r="AJ73" s="56"/>
      <c r="AK73" s="56"/>
      <c r="AL73" s="56"/>
      <c r="AM73" s="56"/>
      <c r="AN73" s="56"/>
      <c r="AO73" s="56"/>
      <c r="AP73" s="58">
        <f t="shared" si="3"/>
        <v>15</v>
      </c>
      <c r="AQ73" s="71">
        <f t="shared" si="4"/>
        <v>26.141666666666662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>
        <v>21.05</v>
      </c>
      <c r="AC74" s="56">
        <v>23.3</v>
      </c>
      <c r="AD74" s="56">
        <v>21.7</v>
      </c>
      <c r="AE74" s="56">
        <v>21.55</v>
      </c>
      <c r="AF74" s="56">
        <v>21.6</v>
      </c>
      <c r="AG74" s="56">
        <v>21.1</v>
      </c>
      <c r="AH74" s="56">
        <v>23.4</v>
      </c>
      <c r="AI74" s="56">
        <v>20.85</v>
      </c>
      <c r="AJ74" s="56"/>
      <c r="AK74" s="56"/>
      <c r="AL74" s="56"/>
      <c r="AM74" s="56"/>
      <c r="AN74" s="56"/>
      <c r="AO74" s="56"/>
      <c r="AP74" s="58">
        <f t="shared" si="3"/>
        <v>25</v>
      </c>
      <c r="AQ74" s="71">
        <f t="shared" si="4"/>
        <v>21.420000000000005</v>
      </c>
      <c r="AR74" s="71">
        <f>IFERROR(VLOOKUP(A74,Climatologia_TMED!A:U,9+$E$2,FALSE),"")</f>
        <v>20.33780487249993</v>
      </c>
      <c r="AS74" s="71">
        <f t="shared" si="5"/>
        <v>1.082195127500075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>
        <v>16.8</v>
      </c>
      <c r="AF75" s="56">
        <v>15.33333333333333</v>
      </c>
      <c r="AG75" s="56">
        <v>15.266666666666669</v>
      </c>
      <c r="AH75" s="56">
        <v>17.13333333333334</v>
      </c>
      <c r="AI75" s="56">
        <v>16.399999999999999</v>
      </c>
      <c r="AJ75" s="56"/>
      <c r="AK75" s="56"/>
      <c r="AL75" s="56"/>
      <c r="AM75" s="56"/>
      <c r="AN75" s="56"/>
      <c r="AO75" s="56"/>
      <c r="AP75" s="58">
        <f t="shared" si="3"/>
        <v>24</v>
      </c>
      <c r="AQ75" s="71">
        <f t="shared" si="4"/>
        <v>15.924999999999997</v>
      </c>
      <c r="AR75" s="71">
        <f>IFERROR(VLOOKUP(A75,Climatologia_TMED!A:U,9+$E$2,FALSE),"")</f>
        <v>15.196816531610249</v>
      </c>
      <c r="AS75" s="71">
        <f t="shared" si="5"/>
        <v>0.7281834683897479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>
        <v>21.85</v>
      </c>
      <c r="AF76" s="56">
        <v>20.6</v>
      </c>
      <c r="AG76" s="56">
        <v>20.7</v>
      </c>
      <c r="AH76" s="56">
        <v>21.55</v>
      </c>
      <c r="AI76" s="56">
        <v>20.350000000000001</v>
      </c>
      <c r="AJ76" s="56"/>
      <c r="AK76" s="56"/>
      <c r="AL76" s="56"/>
      <c r="AM76" s="56"/>
      <c r="AN76" s="56"/>
      <c r="AO76" s="56"/>
      <c r="AP76" s="58">
        <f t="shared" si="3"/>
        <v>25</v>
      </c>
      <c r="AQ76" s="71">
        <f t="shared" si="4"/>
        <v>20.815999999999999</v>
      </c>
      <c r="AR76" s="71">
        <f>IFERROR(VLOOKUP(A76,Climatologia_TMED!A:U,9+$E$2,FALSE),"")</f>
        <v>19.97314578052206</v>
      </c>
      <c r="AS76" s="71">
        <f t="shared" si="5"/>
        <v>0.84285421947793893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>
        <v>25.733333333333331</v>
      </c>
      <c r="AF77" s="56">
        <v>24.266666666666669</v>
      </c>
      <c r="AG77" s="56">
        <v>24.733333333333331</v>
      </c>
      <c r="AH77" s="56">
        <v>26.333333333333329</v>
      </c>
      <c r="AI77" s="56">
        <v>25.666666666666671</v>
      </c>
      <c r="AJ77" s="56"/>
      <c r="AK77" s="56"/>
      <c r="AL77" s="56"/>
      <c r="AM77" s="56"/>
      <c r="AN77" s="56"/>
      <c r="AO77" s="56"/>
      <c r="AP77" s="58">
        <f t="shared" si="3"/>
        <v>25</v>
      </c>
      <c r="AQ77" s="71">
        <f t="shared" si="4"/>
        <v>24.853333333333332</v>
      </c>
      <c r="AR77" s="71">
        <f>IFERROR(VLOOKUP(A77,Climatologia_TMED!A:U,9+$E$2,FALSE),"")</f>
        <v>23.041557017477079</v>
      </c>
      <c r="AS77" s="71">
        <f t="shared" si="5"/>
        <v>1.8117763158562532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>
        <v>33.700000000000003</v>
      </c>
      <c r="AE78" s="56">
        <v>33.400000000000013</v>
      </c>
      <c r="AF78" s="56">
        <v>31.4</v>
      </c>
      <c r="AG78" s="56">
        <v>31.2</v>
      </c>
      <c r="AH78" s="56">
        <v>33.6</v>
      </c>
      <c r="AI78" s="56">
        <v>33.700000000000003</v>
      </c>
      <c r="AJ78" s="56"/>
      <c r="AK78" s="56"/>
      <c r="AL78" s="56"/>
      <c r="AM78" s="56"/>
      <c r="AN78" s="56"/>
      <c r="AO78" s="56"/>
      <c r="AP78" s="58">
        <f t="shared" si="3"/>
        <v>25</v>
      </c>
      <c r="AQ78" s="71">
        <f t="shared" si="4"/>
        <v>32.275999999999996</v>
      </c>
      <c r="AR78" s="71">
        <f>IFERROR(VLOOKUP(A78,Climatologia_TMED!A:U,9+$E$2,FALSE),"")</f>
        <v>30.200545349460899</v>
      </c>
      <c r="AS78" s="71">
        <f t="shared" si="5"/>
        <v>2.0754546505390969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>
        <v>33.533333333333331</v>
      </c>
      <c r="AF79" s="56">
        <v>31</v>
      </c>
      <c r="AG79" s="56">
        <v>32.266666666666673</v>
      </c>
      <c r="AH79" s="56">
        <v>32.866666666666667</v>
      </c>
      <c r="AI79" s="56">
        <v>32.799999999999997</v>
      </c>
      <c r="AJ79" s="56"/>
      <c r="AK79" s="56"/>
      <c r="AL79" s="56"/>
      <c r="AM79" s="56"/>
      <c r="AN79" s="56"/>
      <c r="AO79" s="56"/>
      <c r="AP79" s="58">
        <f t="shared" si="3"/>
        <v>25</v>
      </c>
      <c r="AQ79" s="71">
        <f t="shared" si="4"/>
        <v>31.898666666666664</v>
      </c>
      <c r="AR79" s="71">
        <f>IFERROR(VLOOKUP(A79,Climatologia_TMED!A:U,9+$E$2,FALSE),"")</f>
        <v>30.2833215669562</v>
      </c>
      <c r="AS79" s="71">
        <f t="shared" si="5"/>
        <v>1.6153450997104635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>
        <v>20.8</v>
      </c>
      <c r="AF80" s="56">
        <v>20.2</v>
      </c>
      <c r="AG80" s="56">
        <v>20.733333333333331</v>
      </c>
      <c r="AH80" s="56">
        <v>22</v>
      </c>
      <c r="AI80" s="56"/>
      <c r="AJ80" s="56"/>
      <c r="AK80" s="56"/>
      <c r="AL80" s="56"/>
      <c r="AM80" s="56"/>
      <c r="AN80" s="56"/>
      <c r="AO80" s="56"/>
      <c r="AP80" s="58">
        <f t="shared" si="3"/>
        <v>24</v>
      </c>
      <c r="AQ80" s="71">
        <f t="shared" si="4"/>
        <v>21.183333333333334</v>
      </c>
      <c r="AR80" s="71">
        <f>IFERROR(VLOOKUP(A80,Climatologia_TMED!A:U,9+$E$2,FALSE),"")</f>
        <v>19.906859619029429</v>
      </c>
      <c r="AS80" s="71">
        <f t="shared" si="5"/>
        <v>1.2764737143039042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>
        <v>26.65</v>
      </c>
      <c r="AF81" s="56">
        <v>25.2</v>
      </c>
      <c r="AG81" s="56">
        <v>24.15</v>
      </c>
      <c r="AH81" s="56">
        <v>25.2</v>
      </c>
      <c r="AI81" s="56">
        <v>24.75</v>
      </c>
      <c r="AJ81" s="56"/>
      <c r="AK81" s="56"/>
      <c r="AL81" s="56"/>
      <c r="AM81" s="56"/>
      <c r="AN81" s="56"/>
      <c r="AO81" s="56"/>
      <c r="AP81" s="58">
        <f t="shared" si="3"/>
        <v>25</v>
      </c>
      <c r="AQ81" s="71">
        <f t="shared" si="4"/>
        <v>25.080000000000005</v>
      </c>
      <c r="AR81" s="71">
        <f>IFERROR(VLOOKUP(A81,Climatologia_TMED!A:U,9+$E$2,FALSE),"")</f>
        <v>24.759854360077661</v>
      </c>
      <c r="AS81" s="71">
        <f t="shared" si="5"/>
        <v>0.32014563992234457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>
        <v>27.13333333333334</v>
      </c>
      <c r="AF82" s="56">
        <v>26.8</v>
      </c>
      <c r="AG82" s="56">
        <v>26</v>
      </c>
      <c r="AH82" s="56">
        <v>27.533333333333331</v>
      </c>
      <c r="AI82" s="56">
        <v>26.333333333333329</v>
      </c>
      <c r="AJ82" s="56"/>
      <c r="AK82" s="56"/>
      <c r="AL82" s="56"/>
      <c r="AM82" s="56"/>
      <c r="AN82" s="56"/>
      <c r="AO82" s="56"/>
      <c r="AP82" s="58">
        <f t="shared" si="3"/>
        <v>24</v>
      </c>
      <c r="AQ82" s="71">
        <f t="shared" si="4"/>
        <v>26.691666666666663</v>
      </c>
      <c r="AR82" s="71">
        <f>IFERROR(VLOOKUP(A82,Climatologia_TMED!A:U,9+$E$2,FALSE),"")</f>
        <v>25.773428481765642</v>
      </c>
      <c r="AS82" s="71">
        <f t="shared" si="5"/>
        <v>0.91823818490102127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>
        <v>32.75</v>
      </c>
      <c r="AF85" s="56">
        <v>30.45</v>
      </c>
      <c r="AG85" s="56">
        <v>31.8</v>
      </c>
      <c r="AH85" s="56">
        <v>31.45</v>
      </c>
      <c r="AI85" s="56">
        <v>33.049999999999997</v>
      </c>
      <c r="AJ85" s="56"/>
      <c r="AK85" s="56"/>
      <c r="AL85" s="56"/>
      <c r="AM85" s="56"/>
      <c r="AN85" s="56"/>
      <c r="AO85" s="56"/>
      <c r="AP85" s="58">
        <f t="shared" si="3"/>
        <v>25</v>
      </c>
      <c r="AQ85" s="71">
        <f t="shared" si="4"/>
        <v>32.024000000000001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>
        <v>29.7</v>
      </c>
      <c r="AF86" s="56">
        <v>29.55</v>
      </c>
      <c r="AG86" s="56">
        <v>29.75</v>
      </c>
      <c r="AH86" s="56">
        <v>30.2</v>
      </c>
      <c r="AI86" s="56">
        <v>30.4</v>
      </c>
      <c r="AJ86" s="56"/>
      <c r="AK86" s="56"/>
      <c r="AL86" s="56"/>
      <c r="AM86" s="56"/>
      <c r="AN86" s="56"/>
      <c r="AO86" s="56"/>
      <c r="AP86" s="58">
        <f t="shared" si="3"/>
        <v>23</v>
      </c>
      <c r="AQ86" s="71">
        <f t="shared" si="4"/>
        <v>30.295652173913041</v>
      </c>
      <c r="AR86" s="71">
        <f>IFERROR(VLOOKUP(A86,Climatologia_TMED!A:U,9+$E$2,FALSE),"")</f>
        <v>28.83382033964488</v>
      </c>
      <c r="AS86" s="71">
        <f t="shared" si="5"/>
        <v>1.4618318342681604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>
        <v>31.65</v>
      </c>
      <c r="AF87" s="56">
        <v>28.1</v>
      </c>
      <c r="AG87" s="56"/>
      <c r="AH87" s="56"/>
      <c r="AI87" s="56">
        <v>32</v>
      </c>
      <c r="AJ87" s="56"/>
      <c r="AK87" s="56"/>
      <c r="AL87" s="56"/>
      <c r="AM87" s="56"/>
      <c r="AN87" s="56"/>
      <c r="AO87" s="56"/>
      <c r="AP87" s="58">
        <f t="shared" si="3"/>
        <v>21</v>
      </c>
      <c r="AQ87" s="71">
        <f t="shared" si="4"/>
        <v>30.879761904761907</v>
      </c>
      <c r="AR87" s="71">
        <f>IFERROR(VLOOKUP(A87,Climatologia_TMED!A:U,9+$E$2,FALSE),"")</f>
        <v>28.894325312819621</v>
      </c>
      <c r="AS87" s="71">
        <f t="shared" si="5"/>
        <v>1.9854365919422854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>
        <v>31.75</v>
      </c>
      <c r="AF88" s="56">
        <v>31.2</v>
      </c>
      <c r="AG88" s="56">
        <v>27.9</v>
      </c>
      <c r="AH88" s="56">
        <v>31</v>
      </c>
      <c r="AI88" s="56">
        <v>29.6</v>
      </c>
      <c r="AJ88" s="56"/>
      <c r="AK88" s="56"/>
      <c r="AL88" s="56"/>
      <c r="AM88" s="56"/>
      <c r="AN88" s="56"/>
      <c r="AO88" s="56"/>
      <c r="AP88" s="58">
        <f t="shared" si="3"/>
        <v>25</v>
      </c>
      <c r="AQ88" s="71">
        <f t="shared" si="4"/>
        <v>30.286000000000005</v>
      </c>
      <c r="AR88" s="71">
        <f>IFERROR(VLOOKUP(A88,Climatologia_TMED!A:U,9+$E$2,FALSE),"")</f>
        <v>28.344159946236552</v>
      </c>
      <c r="AS88" s="71">
        <f t="shared" si="5"/>
        <v>1.9418400537634533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>
        <v>34.299999999999997</v>
      </c>
      <c r="AF89" s="56">
        <v>33.200000000000003</v>
      </c>
      <c r="AG89" s="56"/>
      <c r="AH89" s="56">
        <v>30.4</v>
      </c>
      <c r="AI89" s="56"/>
      <c r="AJ89" s="56"/>
      <c r="AK89" s="56"/>
      <c r="AL89" s="56"/>
      <c r="AM89" s="56"/>
      <c r="AN89" s="56"/>
      <c r="AO89" s="56"/>
      <c r="AP89" s="58">
        <f t="shared" si="3"/>
        <v>20</v>
      </c>
      <c r="AQ89" s="71">
        <f t="shared" si="4"/>
        <v>32.852500000000006</v>
      </c>
      <c r="AR89" s="71">
        <f>IFERROR(VLOOKUP(A89,Climatologia_TMED!A:U,9+$E$2,FALSE),"")</f>
        <v>29.044183635472439</v>
      </c>
      <c r="AS89" s="71">
        <f t="shared" si="5"/>
        <v>3.8083163645275668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>
        <v>32.35</v>
      </c>
      <c r="AF90" s="56">
        <v>31.6</v>
      </c>
      <c r="AG90" s="56">
        <v>30.15</v>
      </c>
      <c r="AH90" s="56">
        <v>31.7</v>
      </c>
      <c r="AI90" s="56">
        <v>30.3</v>
      </c>
      <c r="AJ90" s="56"/>
      <c r="AK90" s="56"/>
      <c r="AL90" s="56"/>
      <c r="AM90" s="56"/>
      <c r="AN90" s="56"/>
      <c r="AO90" s="56"/>
      <c r="AP90" s="58">
        <f t="shared" si="3"/>
        <v>25</v>
      </c>
      <c r="AQ90" s="71">
        <f t="shared" si="4"/>
        <v>32.150999999999996</v>
      </c>
      <c r="AR90" s="71">
        <f>IFERROR(VLOOKUP(A90,Climatologia_TMED!A:U,9+$E$2,FALSE),"")</f>
        <v>28.656630487957131</v>
      </c>
      <c r="AS90" s="71">
        <f t="shared" si="5"/>
        <v>3.4943695120428657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>
        <v>30.55</v>
      </c>
      <c r="AF91" s="56">
        <v>30.5</v>
      </c>
      <c r="AG91" s="56">
        <v>28.7</v>
      </c>
      <c r="AH91" s="56">
        <v>31.8</v>
      </c>
      <c r="AI91" s="56">
        <v>32.900000000000013</v>
      </c>
      <c r="AJ91" s="56"/>
      <c r="AK91" s="56"/>
      <c r="AL91" s="56"/>
      <c r="AM91" s="56"/>
      <c r="AN91" s="56"/>
      <c r="AO91" s="56"/>
      <c r="AP91" s="58">
        <f t="shared" si="3"/>
        <v>22</v>
      </c>
      <c r="AQ91" s="71">
        <f t="shared" si="4"/>
        <v>32.106818181818177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>
        <v>18</v>
      </c>
      <c r="AF92" s="56">
        <v>17.850000000000001</v>
      </c>
      <c r="AG92" s="56">
        <v>17.25</v>
      </c>
      <c r="AH92" s="56">
        <v>19.399999999999999</v>
      </c>
      <c r="AI92" s="56">
        <v>19.5</v>
      </c>
      <c r="AJ92" s="56"/>
      <c r="AK92" s="56"/>
      <c r="AL92" s="56"/>
      <c r="AM92" s="56"/>
      <c r="AN92" s="56"/>
      <c r="AO92" s="56"/>
      <c r="AP92" s="58">
        <f t="shared" si="3"/>
        <v>25</v>
      </c>
      <c r="AQ92" s="71">
        <f t="shared" si="4"/>
        <v>17.979999999999997</v>
      </c>
      <c r="AR92" s="71">
        <f>IFERROR(VLOOKUP(A92,Climatologia_TMED!A:U,9+$E$2,FALSE),"")</f>
        <v>16.21673046594978</v>
      </c>
      <c r="AS92" s="71">
        <f t="shared" si="5"/>
        <v>1.7632695340502167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>
        <v>25.666666666666671</v>
      </c>
      <c r="AF93" s="56">
        <v>25.466666666666669</v>
      </c>
      <c r="AG93" s="56">
        <v>25.06666666666667</v>
      </c>
      <c r="AH93" s="56">
        <v>26.333333333333329</v>
      </c>
      <c r="AI93" s="56">
        <v>26</v>
      </c>
      <c r="AJ93" s="56"/>
      <c r="AK93" s="56"/>
      <c r="AL93" s="56"/>
      <c r="AM93" s="56"/>
      <c r="AN93" s="56"/>
      <c r="AO93" s="56"/>
      <c r="AP93" s="58">
        <f t="shared" si="3"/>
        <v>25</v>
      </c>
      <c r="AQ93" s="71">
        <f t="shared" si="4"/>
        <v>25.020000000000003</v>
      </c>
      <c r="AR93" s="71">
        <f>IFERROR(VLOOKUP(A93,Climatologia_TMED!A:U,9+$E$2,FALSE),"")</f>
        <v>22.373011505376319</v>
      </c>
      <c r="AS93" s="71">
        <f t="shared" si="5"/>
        <v>2.6469884946236846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>
        <v>17.600000000000001</v>
      </c>
      <c r="AF94" s="56">
        <v>16.3</v>
      </c>
      <c r="AG94" s="56">
        <v>15.2</v>
      </c>
      <c r="AH94" s="56">
        <v>15.9</v>
      </c>
      <c r="AI94" s="56">
        <v>17.2</v>
      </c>
      <c r="AJ94" s="56"/>
      <c r="AK94" s="56"/>
      <c r="AL94" s="56"/>
      <c r="AM94" s="56"/>
      <c r="AN94" s="56"/>
      <c r="AO94" s="56"/>
      <c r="AP94" s="58">
        <f t="shared" si="3"/>
        <v>23</v>
      </c>
      <c r="AQ94" s="71">
        <f t="shared" si="4"/>
        <v>17.343478260869563</v>
      </c>
      <c r="AR94" s="71">
        <f>IFERROR(VLOOKUP(A94,Climatologia_TMED!A:U,9+$E$2,FALSE),"")</f>
        <v>16.186325847907689</v>
      </c>
      <c r="AS94" s="71">
        <f t="shared" si="5"/>
        <v>1.1571524129618744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>
        <v>15.65</v>
      </c>
      <c r="AF95" s="56">
        <v>15</v>
      </c>
      <c r="AG95" s="56">
        <v>14.25</v>
      </c>
      <c r="AH95" s="56">
        <v>14.75</v>
      </c>
      <c r="AI95" s="56">
        <v>15</v>
      </c>
      <c r="AJ95" s="56"/>
      <c r="AK95" s="56"/>
      <c r="AL95" s="56"/>
      <c r="AM95" s="56"/>
      <c r="AN95" s="56"/>
      <c r="AO95" s="56"/>
      <c r="AP95" s="58">
        <f t="shared" si="3"/>
        <v>25</v>
      </c>
      <c r="AQ95" s="71">
        <f t="shared" si="4"/>
        <v>15.184000000000001</v>
      </c>
      <c r="AR95" s="71">
        <f>IFERROR(VLOOKUP(A95,Climatologia_TMED!A:U,9+$E$2,FALSE),"")</f>
        <v>13.65433628672837</v>
      </c>
      <c r="AS95" s="71">
        <f t="shared" si="5"/>
        <v>1.5296637132716313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>
        <v>15.25</v>
      </c>
      <c r="AF97" s="56">
        <v>15</v>
      </c>
      <c r="AG97" s="56">
        <v>16.266666666666669</v>
      </c>
      <c r="AH97" s="56">
        <v>15.6</v>
      </c>
      <c r="AI97" s="56"/>
      <c r="AJ97" s="56"/>
      <c r="AK97" s="56"/>
      <c r="AL97" s="56"/>
      <c r="AM97" s="56"/>
      <c r="AN97" s="56"/>
      <c r="AO97" s="56"/>
      <c r="AP97" s="58">
        <f t="shared" si="3"/>
        <v>6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>
        <v>13.65</v>
      </c>
      <c r="AF98" s="56">
        <v>13.35</v>
      </c>
      <c r="AG98" s="56">
        <v>12.75</v>
      </c>
      <c r="AH98" s="56">
        <v>12.8</v>
      </c>
      <c r="AI98" s="56">
        <v>13.85</v>
      </c>
      <c r="AJ98" s="56"/>
      <c r="AK98" s="56"/>
      <c r="AL98" s="56"/>
      <c r="AM98" s="56"/>
      <c r="AN98" s="56"/>
      <c r="AO98" s="56"/>
      <c r="AP98" s="58">
        <f t="shared" si="3"/>
        <v>25</v>
      </c>
      <c r="AQ98" s="71">
        <f t="shared" si="4"/>
        <v>13.148000000000001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>
        <v>14.766666666666669</v>
      </c>
      <c r="AF99" s="56">
        <v>15.06666666666667</v>
      </c>
      <c r="AG99" s="56">
        <v>13.53333333333333</v>
      </c>
      <c r="AH99" s="56">
        <v>14.66666666666667</v>
      </c>
      <c r="AI99" s="56">
        <v>16.333333333333329</v>
      </c>
      <c r="AJ99" s="56"/>
      <c r="AK99" s="56"/>
      <c r="AL99" s="56"/>
      <c r="AM99" s="56"/>
      <c r="AN99" s="56"/>
      <c r="AO99" s="56"/>
      <c r="AP99" s="58">
        <f t="shared" si="3"/>
        <v>25</v>
      </c>
      <c r="AQ99" s="71">
        <f t="shared" si="4"/>
        <v>15.114666666666666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>
        <v>16.466666666666669</v>
      </c>
      <c r="AF100" s="56"/>
      <c r="AG100" s="56"/>
      <c r="AH100" s="56">
        <v>16</v>
      </c>
      <c r="AI100" s="56">
        <v>15.4</v>
      </c>
      <c r="AJ100" s="56"/>
      <c r="AK100" s="56"/>
      <c r="AL100" s="56"/>
      <c r="AM100" s="56"/>
      <c r="AN100" s="56"/>
      <c r="AO100" s="56"/>
      <c r="AP100" s="58">
        <f t="shared" si="3"/>
        <v>22</v>
      </c>
      <c r="AQ100" s="71">
        <f t="shared" si="4"/>
        <v>16.09090909090909</v>
      </c>
      <c r="AR100" s="71">
        <f>IFERROR(VLOOKUP(A100,Climatologia_TMED!A:U,9+$E$2,FALSE),"")</f>
        <v>14.335275908930971</v>
      </c>
      <c r="AS100" s="71">
        <f t="shared" si="5"/>
        <v>1.7556331819781192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>
        <v>13.85</v>
      </c>
      <c r="AF101" s="56">
        <v>13.95</v>
      </c>
      <c r="AG101" s="56">
        <v>12.4</v>
      </c>
      <c r="AH101" s="56">
        <v>13.05</v>
      </c>
      <c r="AI101" s="56">
        <v>13.75</v>
      </c>
      <c r="AJ101" s="56"/>
      <c r="AK101" s="56"/>
      <c r="AL101" s="56"/>
      <c r="AM101" s="56"/>
      <c r="AN101" s="56"/>
      <c r="AO101" s="56"/>
      <c r="AP101" s="58">
        <f t="shared" si="3"/>
        <v>25</v>
      </c>
      <c r="AQ101" s="71">
        <f t="shared" si="4"/>
        <v>13.517999999999997</v>
      </c>
      <c r="AR101" s="71">
        <f>IFERROR(VLOOKUP(A101,Climatologia_TMED!A:U,9+$E$2,FALSE),"")</f>
        <v>12.395793750638649</v>
      </c>
      <c r="AS101" s="71">
        <f t="shared" si="5"/>
        <v>1.1222062493613478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>
        <v>13.266666666666669</v>
      </c>
      <c r="AF102" s="56">
        <v>12.066666666666659</v>
      </c>
      <c r="AG102" s="56">
        <v>12.266666666666669</v>
      </c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20</v>
      </c>
      <c r="AQ102" s="71">
        <f t="shared" si="4"/>
        <v>13.026666666666667</v>
      </c>
      <c r="AR102" s="71">
        <f>IFERROR(VLOOKUP(A102,Climatologia_TMED!A:U,9+$E$2,FALSE),"")</f>
        <v>11.348393880387549</v>
      </c>
      <c r="AS102" s="71">
        <f t="shared" si="5"/>
        <v>1.678272786279118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>
        <v>19.600000000000001</v>
      </c>
      <c r="AF105" s="56">
        <v>19.266666666666669</v>
      </c>
      <c r="AG105" s="56">
        <v>16.866666666666671</v>
      </c>
      <c r="AH105" s="56">
        <v>19.399999999999999</v>
      </c>
      <c r="AI105" s="56">
        <v>20.333333333333329</v>
      </c>
      <c r="AJ105" s="56"/>
      <c r="AK105" s="56"/>
      <c r="AL105" s="56"/>
      <c r="AM105" s="56"/>
      <c r="AN105" s="56"/>
      <c r="AO105" s="56"/>
      <c r="AP105" s="58">
        <f t="shared" si="3"/>
        <v>21</v>
      </c>
      <c r="AQ105" s="71">
        <f t="shared" si="4"/>
        <v>18.901587301587302</v>
      </c>
      <c r="AR105" s="71">
        <f>IFERROR(VLOOKUP(A105,Climatologia_TMED!A:U,9+$E$2,FALSE),"")</f>
        <v>17.222389051882701</v>
      </c>
      <c r="AS105" s="71">
        <f t="shared" si="5"/>
        <v>1.6791982497046014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>
        <v>14.933333333333341</v>
      </c>
      <c r="AF107" s="56"/>
      <c r="AG107" s="56"/>
      <c r="AH107" s="56"/>
      <c r="AI107" s="56">
        <v>14.93333333333333</v>
      </c>
      <c r="AJ107" s="56"/>
      <c r="AK107" s="56"/>
      <c r="AL107" s="56"/>
      <c r="AM107" s="56"/>
      <c r="AN107" s="56"/>
      <c r="AO107" s="56"/>
      <c r="AP107" s="58">
        <f t="shared" si="3"/>
        <v>18</v>
      </c>
      <c r="AQ107" s="71">
        <f t="shared" si="4"/>
        <v>14.153703703703705</v>
      </c>
      <c r="AR107" s="71">
        <f>IFERROR(VLOOKUP(A107,Climatologia_TMED!A:U,9+$E$2,FALSE),"")</f>
        <v>13.6270649143767</v>
      </c>
      <c r="AS107" s="71">
        <f t="shared" si="5"/>
        <v>0.5266387893270057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>
        <v>13.4</v>
      </c>
      <c r="AF108" s="56">
        <v>14.1</v>
      </c>
      <c r="AG108" s="56">
        <v>14.7</v>
      </c>
      <c r="AH108" s="56">
        <v>13</v>
      </c>
      <c r="AI108" s="56">
        <v>14.75</v>
      </c>
      <c r="AJ108" s="56"/>
      <c r="AK108" s="56"/>
      <c r="AL108" s="56"/>
      <c r="AM108" s="56"/>
      <c r="AN108" s="56"/>
      <c r="AO108" s="56"/>
      <c r="AP108" s="58">
        <f t="shared" si="3"/>
        <v>25</v>
      </c>
      <c r="AQ108" s="71">
        <f t="shared" si="4"/>
        <v>14.222000000000001</v>
      </c>
      <c r="AR108" s="71">
        <f>IFERROR(VLOOKUP(A108,Climatologia_TMED!A:U,9+$E$2,FALSE),"")</f>
        <v>14.24758963832916</v>
      </c>
      <c r="AS108" s="71">
        <f t="shared" si="5"/>
        <v>-2.5589638329158504E-2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>
        <v>14.55</v>
      </c>
      <c r="AF109" s="56">
        <v>14.65</v>
      </c>
      <c r="AG109" s="56">
        <v>14.3</v>
      </c>
      <c r="AH109" s="56">
        <v>14.25</v>
      </c>
      <c r="AI109" s="56">
        <v>15.25</v>
      </c>
      <c r="AJ109" s="56"/>
      <c r="AK109" s="56"/>
      <c r="AL109" s="56"/>
      <c r="AM109" s="56"/>
      <c r="AN109" s="56"/>
      <c r="AO109" s="56"/>
      <c r="AP109" s="58">
        <f t="shared" si="3"/>
        <v>25</v>
      </c>
      <c r="AQ109" s="71">
        <f t="shared" si="4"/>
        <v>14.863999999999999</v>
      </c>
      <c r="AR109" s="71">
        <f>IFERROR(VLOOKUP(A109,Climatologia_TMED!A:U,9+$E$2,FALSE),"")</f>
        <v>13.718935791090621</v>
      </c>
      <c r="AS109" s="71">
        <f t="shared" si="5"/>
        <v>1.1450642089093783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>
        <v>17.600000000000001</v>
      </c>
      <c r="AF110" s="56">
        <v>17.266666666666669</v>
      </c>
      <c r="AG110" s="56">
        <v>16.86666666666666</v>
      </c>
      <c r="AH110" s="56">
        <v>17.600000000000001</v>
      </c>
      <c r="AI110" s="56">
        <v>17.06666666666667</v>
      </c>
      <c r="AJ110" s="56"/>
      <c r="AK110" s="56"/>
      <c r="AL110" s="56"/>
      <c r="AM110" s="56"/>
      <c r="AN110" s="56"/>
      <c r="AO110" s="56"/>
      <c r="AP110" s="58">
        <f t="shared" si="3"/>
        <v>21</v>
      </c>
      <c r="AQ110" s="71">
        <f t="shared" si="4"/>
        <v>17.552380952380954</v>
      </c>
      <c r="AR110" s="71">
        <f>IFERROR(VLOOKUP(A110,Climatologia_TMED!A:U,9+$E$2,FALSE),"")</f>
        <v>17.072890642646779</v>
      </c>
      <c r="AS110" s="71">
        <f t="shared" si="5"/>
        <v>0.4794903097341745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>
        <v>16.666666666666671</v>
      </c>
      <c r="AF111" s="56">
        <v>16.466666666666669</v>
      </c>
      <c r="AG111" s="56">
        <v>14.93333333333333</v>
      </c>
      <c r="AH111" s="56">
        <v>15.4</v>
      </c>
      <c r="AI111" s="56">
        <v>16.2</v>
      </c>
      <c r="AJ111" s="56"/>
      <c r="AK111" s="56"/>
      <c r="AL111" s="56"/>
      <c r="AM111" s="56"/>
      <c r="AN111" s="56"/>
      <c r="AO111" s="56"/>
      <c r="AP111" s="58">
        <f t="shared" si="3"/>
        <v>25</v>
      </c>
      <c r="AQ111" s="71">
        <f t="shared" si="4"/>
        <v>16.143999999999995</v>
      </c>
      <c r="AR111" s="71">
        <f>IFERROR(VLOOKUP(A111,Climatologia_TMED!A:U,9+$E$2,FALSE),"")</f>
        <v>15.45884618025514</v>
      </c>
      <c r="AS111" s="71">
        <f t="shared" si="5"/>
        <v>0.68515381974485479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>
        <v>18.466666666666669</v>
      </c>
      <c r="AF112" s="56">
        <v>18.06666666666667</v>
      </c>
      <c r="AG112" s="56">
        <v>16.533333333333331</v>
      </c>
      <c r="AH112" s="56">
        <v>18.8</v>
      </c>
      <c r="AI112" s="56">
        <v>18.600000000000001</v>
      </c>
      <c r="AJ112" s="56"/>
      <c r="AK112" s="56"/>
      <c r="AL112" s="56"/>
      <c r="AM112" s="56"/>
      <c r="AN112" s="56"/>
      <c r="AO112" s="56"/>
      <c r="AP112" s="58">
        <f t="shared" si="3"/>
        <v>25</v>
      </c>
      <c r="AQ112" s="71">
        <f t="shared" si="4"/>
        <v>18.37466666666667</v>
      </c>
      <c r="AR112" s="71">
        <f>IFERROR(VLOOKUP(A112,Climatologia_TMED!A:U,9+$E$2,FALSE),"")</f>
        <v>16.69989368729069</v>
      </c>
      <c r="AS112" s="71">
        <f t="shared" si="5"/>
        <v>1.6747729793759802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>
        <v>18.93333333333333</v>
      </c>
      <c r="AF113" s="56">
        <v>19</v>
      </c>
      <c r="AG113" s="56">
        <v>17.866666666666671</v>
      </c>
      <c r="AH113" s="56">
        <v>18.399999999999999</v>
      </c>
      <c r="AI113" s="56">
        <v>19.93333333333333</v>
      </c>
      <c r="AJ113" s="56"/>
      <c r="AK113" s="56"/>
      <c r="AL113" s="56"/>
      <c r="AM113" s="56"/>
      <c r="AN113" s="56"/>
      <c r="AO113" s="56"/>
      <c r="AP113" s="58">
        <f t="shared" si="3"/>
        <v>23</v>
      </c>
      <c r="AQ113" s="71">
        <f t="shared" si="4"/>
        <v>19.324637681159423</v>
      </c>
      <c r="AR113" s="71">
        <f>IFERROR(VLOOKUP(A113,Climatologia_TMED!A:U,9+$E$2,FALSE),"")</f>
        <v>18.084103151649959</v>
      </c>
      <c r="AS113" s="71">
        <f t="shared" si="5"/>
        <v>1.2405345295094641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>
        <v>21.8</v>
      </c>
      <c r="AF114" s="56">
        <v>22</v>
      </c>
      <c r="AG114" s="56">
        <v>20.133333333333329</v>
      </c>
      <c r="AH114" s="56">
        <v>21.86666666666666</v>
      </c>
      <c r="AI114" s="56">
        <v>22.06666666666667</v>
      </c>
      <c r="AJ114" s="56"/>
      <c r="AK114" s="56"/>
      <c r="AL114" s="56"/>
      <c r="AM114" s="56"/>
      <c r="AN114" s="56"/>
      <c r="AO114" s="56"/>
      <c r="AP114" s="58">
        <f t="shared" si="3"/>
        <v>22</v>
      </c>
      <c r="AQ114" s="71">
        <f t="shared" si="4"/>
        <v>22.290909090909089</v>
      </c>
      <c r="AR114" s="71">
        <f>IFERROR(VLOOKUP(A114,Climatologia_TMED!A:U,9+$E$2,FALSE),"")</f>
        <v>20.406627759107511</v>
      </c>
      <c r="AS114" s="71">
        <f t="shared" si="5"/>
        <v>1.8842813318015779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>
        <v>26.55</v>
      </c>
      <c r="AF115" s="56">
        <v>26.8</v>
      </c>
      <c r="AG115" s="56">
        <v>24.85</v>
      </c>
      <c r="AH115" s="56">
        <v>26.55</v>
      </c>
      <c r="AI115" s="56">
        <v>27.35</v>
      </c>
      <c r="AJ115" s="56"/>
      <c r="AK115" s="56"/>
      <c r="AL115" s="56"/>
      <c r="AM115" s="56"/>
      <c r="AN115" s="56"/>
      <c r="AO115" s="56"/>
      <c r="AP115" s="58">
        <f t="shared" si="3"/>
        <v>25</v>
      </c>
      <c r="AQ115" s="71">
        <f t="shared" si="4"/>
        <v>27.139999999999997</v>
      </c>
      <c r="AR115" s="71">
        <f>IFERROR(VLOOKUP(A115,Climatologia_TMED!A:U,9+$E$2,FALSE),"")</f>
        <v>26.548363201911549</v>
      </c>
      <c r="AS115" s="71">
        <f t="shared" si="5"/>
        <v>0.59163679808844805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>
        <v>18.533333333333331</v>
      </c>
      <c r="AF116" s="56">
        <v>20</v>
      </c>
      <c r="AG116" s="56">
        <v>17.93333333333333</v>
      </c>
      <c r="AH116" s="56">
        <v>20</v>
      </c>
      <c r="AI116" s="56">
        <v>19.399999999999999</v>
      </c>
      <c r="AJ116" s="56"/>
      <c r="AK116" s="56"/>
      <c r="AL116" s="56"/>
      <c r="AM116" s="56"/>
      <c r="AN116" s="56"/>
      <c r="AO116" s="56"/>
      <c r="AP116" s="58">
        <f t="shared" si="3"/>
        <v>25</v>
      </c>
      <c r="AQ116" s="71">
        <f t="shared" si="4"/>
        <v>19.450666666666663</v>
      </c>
      <c r="AR116" s="71">
        <f>IFERROR(VLOOKUP(A116,Climatologia_TMED!A:U,9+$E$2,FALSE),"")</f>
        <v>18.451479726130369</v>
      </c>
      <c r="AS116" s="71">
        <f t="shared" si="5"/>
        <v>0.99918694053629409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>
        <v>26</v>
      </c>
      <c r="AF117" s="56">
        <v>26.8</v>
      </c>
      <c r="AG117" s="56">
        <v>23.86666666666666</v>
      </c>
      <c r="AH117" s="56">
        <v>26.86666666666666</v>
      </c>
      <c r="AI117" s="56">
        <v>27.666666666666671</v>
      </c>
      <c r="AJ117" s="56"/>
      <c r="AK117" s="56"/>
      <c r="AL117" s="56"/>
      <c r="AM117" s="56"/>
      <c r="AN117" s="56"/>
      <c r="AO117" s="56"/>
      <c r="AP117" s="58">
        <f t="shared" si="3"/>
        <v>23</v>
      </c>
      <c r="AQ117" s="71">
        <f t="shared" si="4"/>
        <v>26.962318840579709</v>
      </c>
      <c r="AR117" s="71">
        <f>IFERROR(VLOOKUP(A117,Climatologia_TMED!A:U,9+$E$2,FALSE),"")</f>
        <v>25.726306451612881</v>
      </c>
      <c r="AS117" s="71">
        <f t="shared" si="5"/>
        <v>1.2360123889668273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>
        <v>29.666666666666671</v>
      </c>
      <c r="AF118" s="56">
        <v>29.733333333333331</v>
      </c>
      <c r="AG118" s="56">
        <v>25.733333333333331</v>
      </c>
      <c r="AH118" s="56">
        <v>30.13333333333334</v>
      </c>
      <c r="AI118" s="56">
        <v>28.93333333333333</v>
      </c>
      <c r="AJ118" s="56"/>
      <c r="AK118" s="56"/>
      <c r="AL118" s="56"/>
      <c r="AM118" s="56"/>
      <c r="AN118" s="56"/>
      <c r="AO118" s="56"/>
      <c r="AP118" s="58">
        <f t="shared" si="3"/>
        <v>23</v>
      </c>
      <c r="AQ118" s="71">
        <f t="shared" si="4"/>
        <v>29.872463768115939</v>
      </c>
      <c r="AR118" s="71">
        <f>IFERROR(VLOOKUP(A118,Climatologia_TMED!A:U,9+$E$2,FALSE),"")</f>
        <v>26.064774193548381</v>
      </c>
      <c r="AS118" s="71">
        <f t="shared" si="5"/>
        <v>3.8076895745675579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>
        <v>24.93333333333333</v>
      </c>
      <c r="AF119" s="56">
        <v>22.733333333333331</v>
      </c>
      <c r="AG119" s="56">
        <v>24.6</v>
      </c>
      <c r="AH119" s="56">
        <v>24.666666666666671</v>
      </c>
      <c r="AI119" s="56">
        <v>23.8</v>
      </c>
      <c r="AJ119" s="56"/>
      <c r="AK119" s="56"/>
      <c r="AL119" s="56"/>
      <c r="AM119" s="56"/>
      <c r="AN119" s="56"/>
      <c r="AO119" s="56"/>
      <c r="AP119" s="58">
        <f t="shared" si="3"/>
        <v>22</v>
      </c>
      <c r="AQ119" s="71">
        <f t="shared" si="4"/>
        <v>24.030303030303035</v>
      </c>
      <c r="AR119" s="71">
        <f>IFERROR(VLOOKUP(A119,Climatologia_TMED!A:U,9+$E$2,FALSE),"")</f>
        <v>22.097715053763402</v>
      </c>
      <c r="AS119" s="71">
        <f t="shared" si="5"/>
        <v>1.932587976539633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>
        <v>12.933333333333341</v>
      </c>
      <c r="AF122" s="56">
        <v>11.866666666666671</v>
      </c>
      <c r="AG122" s="56">
        <v>11.866666666666671</v>
      </c>
      <c r="AH122" s="56">
        <v>13.46666666666667</v>
      </c>
      <c r="AI122" s="56">
        <v>12.266666666666669</v>
      </c>
      <c r="AJ122" s="56"/>
      <c r="AK122" s="56"/>
      <c r="AL122" s="56"/>
      <c r="AM122" s="56"/>
      <c r="AN122" s="56"/>
      <c r="AO122" s="56"/>
      <c r="AP122" s="58">
        <f t="shared" si="3"/>
        <v>25</v>
      </c>
      <c r="AQ122" s="71">
        <f t="shared" si="4"/>
        <v>12.592000000000002</v>
      </c>
      <c r="AR122" s="71">
        <f>IFERROR(VLOOKUP(A122,Climatologia_TMED!A:U,9+$E$2,FALSE),"")</f>
        <v>10.160420312062531</v>
      </c>
      <c r="AS122" s="71">
        <f t="shared" si="5"/>
        <v>2.4315796879374716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>
        <v>16.266666666666669</v>
      </c>
      <c r="AF124" s="56">
        <v>15.6</v>
      </c>
      <c r="AG124" s="56">
        <v>16.399999999999999</v>
      </c>
      <c r="AH124" s="56">
        <v>16.533333333333331</v>
      </c>
      <c r="AI124" s="56">
        <v>16.399999999999999</v>
      </c>
      <c r="AJ124" s="56"/>
      <c r="AK124" s="56"/>
      <c r="AL124" s="56"/>
      <c r="AM124" s="56"/>
      <c r="AN124" s="56"/>
      <c r="AO124" s="56"/>
      <c r="AP124" s="58">
        <f t="shared" si="3"/>
        <v>24</v>
      </c>
      <c r="AQ124" s="71">
        <f t="shared" si="4"/>
        <v>15.605555555555554</v>
      </c>
      <c r="AR124" s="71">
        <f>IFERROR(VLOOKUP(A124,Climatologia_TMED!A:U,9+$E$2,FALSE),"")</f>
        <v>15.061040072324371</v>
      </c>
      <c r="AS124" s="71">
        <f t="shared" si="5"/>
        <v>0.54451548323118359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>
        <v>12.4</v>
      </c>
      <c r="AF126" s="56">
        <v>11.66666666666667</v>
      </c>
      <c r="AG126" s="56">
        <v>11.6</v>
      </c>
      <c r="AH126" s="56">
        <v>12.4</v>
      </c>
      <c r="AI126" s="56">
        <v>10.6</v>
      </c>
      <c r="AJ126" s="56"/>
      <c r="AK126" s="56"/>
      <c r="AL126" s="56"/>
      <c r="AM126" s="56"/>
      <c r="AN126" s="56"/>
      <c r="AO126" s="56"/>
      <c r="AP126" s="58">
        <f t="shared" si="3"/>
        <v>19</v>
      </c>
      <c r="AQ126" s="71">
        <f t="shared" si="4"/>
        <v>11.491228070175438</v>
      </c>
      <c r="AR126" s="71">
        <f>IFERROR(VLOOKUP(A126,Climatologia_TMED!A:U,9+$E$2,FALSE),"")</f>
        <v>10.651018477594549</v>
      </c>
      <c r="AS126" s="71">
        <f t="shared" si="5"/>
        <v>0.84020959258088901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>
        <v>17.100000000000001</v>
      </c>
      <c r="AF130" s="56">
        <v>16.43333333333333</v>
      </c>
      <c r="AG130" s="56">
        <v>15.233333333333331</v>
      </c>
      <c r="AH130" s="56">
        <v>17.2</v>
      </c>
      <c r="AI130" s="56"/>
      <c r="AJ130" s="56"/>
      <c r="AK130" s="56"/>
      <c r="AL130" s="56"/>
      <c r="AM130" s="56"/>
      <c r="AN130" s="56"/>
      <c r="AO130" s="56"/>
      <c r="AP130" s="58">
        <f t="shared" si="3"/>
        <v>24</v>
      </c>
      <c r="AQ130" s="71">
        <f t="shared" si="4"/>
        <v>15.769444444444446</v>
      </c>
      <c r="AR130" s="71">
        <f>IFERROR(VLOOKUP(A130,Climatologia_TMED!A:U,9+$E$2,FALSE),"")</f>
        <v>14.37068910561999</v>
      </c>
      <c r="AS130" s="71">
        <f t="shared" si="5"/>
        <v>1.398755338824456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>
        <v>19.649999999999999</v>
      </c>
      <c r="AF131" s="56">
        <v>18.899999999999999</v>
      </c>
      <c r="AG131" s="56">
        <v>17.399999999999999</v>
      </c>
      <c r="AH131" s="56">
        <v>20</v>
      </c>
      <c r="AI131" s="56">
        <v>19</v>
      </c>
      <c r="AJ131" s="56"/>
      <c r="AK131" s="56"/>
      <c r="AL131" s="56"/>
      <c r="AM131" s="56"/>
      <c r="AN131" s="56"/>
      <c r="AO131" s="56"/>
      <c r="AP131" s="58">
        <f t="shared" si="3"/>
        <v>24</v>
      </c>
      <c r="AQ131" s="71">
        <f t="shared" si="4"/>
        <v>18.510416666666661</v>
      </c>
      <c r="AR131" s="71">
        <f>IFERROR(VLOOKUP(A131,Climatologia_TMED!A:U,9+$E$2,FALSE),"")</f>
        <v>17.018039759621502</v>
      </c>
      <c r="AS131" s="71">
        <f t="shared" si="5"/>
        <v>1.4923769070451591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>
        <v>14.06666666666667</v>
      </c>
      <c r="AF133" s="56">
        <v>14.366666666666671</v>
      </c>
      <c r="AG133" s="56">
        <v>14.46666666666667</v>
      </c>
      <c r="AH133" s="56">
        <v>14.33333333333333</v>
      </c>
      <c r="AI133" s="56">
        <v>13.93333333333333</v>
      </c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25</v>
      </c>
      <c r="AQ133" s="71">
        <f t="shared" ref="AQ133:AQ196" si="7">IF(AP133&gt;14,AVERAGE(K133:AO133),"")</f>
        <v>13.752000000000002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1.1199355489597416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>
        <v>17.86666666666666</v>
      </c>
      <c r="AF134" s="56">
        <v>18</v>
      </c>
      <c r="AG134" s="56">
        <v>18.8</v>
      </c>
      <c r="AH134" s="56">
        <v>19.666666666666671</v>
      </c>
      <c r="AI134" s="56">
        <v>18.93333333333333</v>
      </c>
      <c r="AJ134" s="56"/>
      <c r="AK134" s="56"/>
      <c r="AL134" s="56"/>
      <c r="AM134" s="56"/>
      <c r="AN134" s="56"/>
      <c r="AO134" s="56"/>
      <c r="AP134" s="58">
        <f t="shared" si="6"/>
        <v>25</v>
      </c>
      <c r="AQ134" s="71">
        <f t="shared" si="7"/>
        <v>17.981333333333335</v>
      </c>
      <c r="AR134" s="71">
        <f>IFERROR(VLOOKUP(A134,Climatologia_TMED!A:U,9+$E$2,FALSE),"")</f>
        <v>15.77617103004156</v>
      </c>
      <c r="AS134" s="71">
        <f t="shared" si="8"/>
        <v>2.2051623032917753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>
        <v>22.274999999999999</v>
      </c>
      <c r="AF135" s="56">
        <v>21.5</v>
      </c>
      <c r="AG135" s="56">
        <v>21.8</v>
      </c>
      <c r="AH135" s="56">
        <v>21.25</v>
      </c>
      <c r="AI135" s="56">
        <v>22.9</v>
      </c>
      <c r="AJ135" s="56"/>
      <c r="AK135" s="56"/>
      <c r="AL135" s="56"/>
      <c r="AM135" s="56"/>
      <c r="AN135" s="56"/>
      <c r="AO135" s="56"/>
      <c r="AP135" s="58">
        <f t="shared" si="6"/>
        <v>24</v>
      </c>
      <c r="AQ135" s="71">
        <f t="shared" si="7"/>
        <v>21.122916666666665</v>
      </c>
      <c r="AR135" s="71">
        <f>IFERROR(VLOOKUP(A135,Climatologia_TMED!A:U,9+$E$2,FALSE),"")</f>
        <v>19.08404124452408</v>
      </c>
      <c r="AS135" s="71">
        <f t="shared" si="8"/>
        <v>2.0388754221425849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/>
      <c r="AE136" s="56">
        <v>10.866666666666671</v>
      </c>
      <c r="AF136" s="56">
        <v>11.266666666666669</v>
      </c>
      <c r="AG136" s="56">
        <v>11.6</v>
      </c>
      <c r="AH136" s="56">
        <v>11.866666666666671</v>
      </c>
      <c r="AI136" s="56">
        <v>10.4</v>
      </c>
      <c r="AJ136" s="56"/>
      <c r="AK136" s="56"/>
      <c r="AL136" s="56"/>
      <c r="AM136" s="56"/>
      <c r="AN136" s="56"/>
      <c r="AO136" s="56"/>
      <c r="AP136" s="58">
        <f t="shared" si="6"/>
        <v>24</v>
      </c>
      <c r="AQ136" s="71">
        <f t="shared" si="7"/>
        <v>10.997222222222222</v>
      </c>
      <c r="AR136" s="71">
        <f>IFERROR(VLOOKUP(A136,Climatologia_TMED!A:U,9+$E$2,FALSE),"")</f>
        <v>10.862936379928311</v>
      </c>
      <c r="AS136" s="71">
        <f t="shared" si="8"/>
        <v>0.13428584229391127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>
        <v>23.333333333333329</v>
      </c>
      <c r="AF138" s="56">
        <v>22.4</v>
      </c>
      <c r="AG138" s="56">
        <v>22.93333333333333</v>
      </c>
      <c r="AH138" s="56">
        <v>23.06666666666667</v>
      </c>
      <c r="AI138" s="56">
        <v>23.533333333333331</v>
      </c>
      <c r="AJ138" s="56"/>
      <c r="AK138" s="56"/>
      <c r="AL138" s="56"/>
      <c r="AM138" s="56"/>
      <c r="AN138" s="56"/>
      <c r="AO138" s="56"/>
      <c r="AP138" s="58">
        <f t="shared" si="6"/>
        <v>24</v>
      </c>
      <c r="AQ138" s="71">
        <f t="shared" si="7"/>
        <v>22.608333333333331</v>
      </c>
      <c r="AR138" s="71">
        <f>IFERROR(VLOOKUP(A138,Climatologia_TMED!A:U,9+$E$2,FALSE),"")</f>
        <v>20.235550356930549</v>
      </c>
      <c r="AS138" s="71">
        <f t="shared" si="8"/>
        <v>2.3727829764027817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>
        <v>13.95</v>
      </c>
      <c r="AF139" s="56">
        <v>14</v>
      </c>
      <c r="AG139" s="56">
        <v>14.375</v>
      </c>
      <c r="AH139" s="56">
        <v>14.9</v>
      </c>
      <c r="AI139" s="56">
        <v>14.1</v>
      </c>
      <c r="AJ139" s="56"/>
      <c r="AK139" s="56"/>
      <c r="AL139" s="56"/>
      <c r="AM139" s="56"/>
      <c r="AN139" s="56"/>
      <c r="AO139" s="56"/>
      <c r="AP139" s="58">
        <f t="shared" si="6"/>
        <v>25</v>
      </c>
      <c r="AQ139" s="71">
        <f t="shared" si="7"/>
        <v>13.823</v>
      </c>
      <c r="AR139" s="71">
        <f>IFERROR(VLOOKUP(A139,Climatologia_TMED!A:U,9+$E$2,FALSE),"")</f>
        <v>12.97471752858849</v>
      </c>
      <c r="AS139" s="71">
        <f t="shared" si="8"/>
        <v>0.84828247141151003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>
        <v>16.7</v>
      </c>
      <c r="AE140" s="56"/>
      <c r="AF140" s="56"/>
      <c r="AG140" s="56">
        <v>17.05</v>
      </c>
      <c r="AH140" s="56">
        <v>16.95</v>
      </c>
      <c r="AI140" s="56">
        <v>16.350000000000001</v>
      </c>
      <c r="AJ140" s="56"/>
      <c r="AK140" s="56"/>
      <c r="AL140" s="56"/>
      <c r="AM140" s="56"/>
      <c r="AN140" s="56"/>
      <c r="AO140" s="56"/>
      <c r="AP140" s="58">
        <f t="shared" si="6"/>
        <v>23</v>
      </c>
      <c r="AQ140" s="71">
        <f t="shared" si="7"/>
        <v>16.478260869565219</v>
      </c>
      <c r="AR140" s="71">
        <f>IFERROR(VLOOKUP(A140,Climatologia_TMED!A:U,9+$E$2,FALSE),"")</f>
        <v>15.718876344086</v>
      </c>
      <c r="AS140" s="71">
        <f t="shared" si="8"/>
        <v>0.7593845254792182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>
        <v>13.266666666666669</v>
      </c>
      <c r="AF141" s="56">
        <v>14.2</v>
      </c>
      <c r="AG141" s="56">
        <v>13.6</v>
      </c>
      <c r="AH141" s="56">
        <v>14.66666666666667</v>
      </c>
      <c r="AI141" s="56">
        <v>13.2</v>
      </c>
      <c r="AJ141" s="56"/>
      <c r="AK141" s="56"/>
      <c r="AL141" s="56"/>
      <c r="AM141" s="56"/>
      <c r="AN141" s="56"/>
      <c r="AO141" s="56"/>
      <c r="AP141" s="58">
        <f t="shared" si="6"/>
        <v>25</v>
      </c>
      <c r="AQ141" s="71">
        <f t="shared" si="7"/>
        <v>13.282666666666666</v>
      </c>
      <c r="AR141" s="71">
        <f>IFERROR(VLOOKUP(A141,Climatologia_TMED!A:U,9+$E$2,FALSE),"")</f>
        <v>11.969387238873461</v>
      </c>
      <c r="AS141" s="71">
        <f t="shared" si="8"/>
        <v>1.3132794277932049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>
        <v>11.65</v>
      </c>
      <c r="AF142" s="56">
        <v>11.75</v>
      </c>
      <c r="AG142" s="56">
        <v>11.65</v>
      </c>
      <c r="AH142" s="56">
        <v>13.15</v>
      </c>
      <c r="AI142" s="56">
        <v>10.8</v>
      </c>
      <c r="AJ142" s="56"/>
      <c r="AK142" s="56"/>
      <c r="AL142" s="56"/>
      <c r="AM142" s="56"/>
      <c r="AN142" s="56"/>
      <c r="AO142" s="56"/>
      <c r="AP142" s="58">
        <f t="shared" si="6"/>
        <v>24</v>
      </c>
      <c r="AQ142" s="71">
        <f t="shared" si="7"/>
        <v>11.259374999999999</v>
      </c>
      <c r="AR142" s="71">
        <f>IFERROR(VLOOKUP(A142,Climatologia_TMED!A:U,9+$E$2,FALSE),"")</f>
        <v>10.49248004916649</v>
      </c>
      <c r="AS142" s="71">
        <f t="shared" si="8"/>
        <v>0.76689495083350856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>
        <v>29.266666666666669</v>
      </c>
      <c r="AF143" s="56"/>
      <c r="AG143" s="56">
        <v>28.06666666666667</v>
      </c>
      <c r="AH143" s="56">
        <v>28.2</v>
      </c>
      <c r="AI143" s="56"/>
      <c r="AJ143" s="56"/>
      <c r="AK143" s="56"/>
      <c r="AL143" s="56"/>
      <c r="AM143" s="56"/>
      <c r="AN143" s="56"/>
      <c r="AO143" s="56"/>
      <c r="AP143" s="58">
        <f t="shared" si="6"/>
        <v>23</v>
      </c>
      <c r="AQ143" s="71">
        <f t="shared" si="7"/>
        <v>27.953623188405803</v>
      </c>
      <c r="AR143" s="71">
        <f>IFERROR(VLOOKUP(A143,Climatologia_TMED!A:U,9+$E$2,FALSE),"")</f>
        <v>25.992543202764971</v>
      </c>
      <c r="AS143" s="71">
        <f t="shared" si="8"/>
        <v>1.9610799856408327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>
        <v>17.2</v>
      </c>
      <c r="AF144" s="56">
        <v>17.06666666666667</v>
      </c>
      <c r="AG144" s="56">
        <v>16.533333333333331</v>
      </c>
      <c r="AH144" s="56">
        <v>16.866666666666671</v>
      </c>
      <c r="AI144" s="56">
        <v>17.06666666666667</v>
      </c>
      <c r="AJ144" s="56"/>
      <c r="AK144" s="56"/>
      <c r="AL144" s="56"/>
      <c r="AM144" s="56"/>
      <c r="AN144" s="56"/>
      <c r="AO144" s="56"/>
      <c r="AP144" s="58">
        <f t="shared" si="6"/>
        <v>25</v>
      </c>
      <c r="AQ144" s="71">
        <f t="shared" si="7"/>
        <v>16.519999999999996</v>
      </c>
      <c r="AR144" s="71">
        <f>IFERROR(VLOOKUP(A144,Climatologia_TMED!A:U,9+$E$2,FALSE),"")</f>
        <v>15.9826099414474</v>
      </c>
      <c r="AS144" s="71">
        <f t="shared" si="8"/>
        <v>0.53739005855259592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>
        <v>21.2</v>
      </c>
      <c r="AF145" s="56">
        <v>19.733333333333331</v>
      </c>
      <c r="AG145" s="56">
        <v>18.2</v>
      </c>
      <c r="AH145" s="56">
        <v>21.2</v>
      </c>
      <c r="AI145" s="56">
        <v>20.466666666666669</v>
      </c>
      <c r="AJ145" s="56"/>
      <c r="AK145" s="56"/>
      <c r="AL145" s="56"/>
      <c r="AM145" s="56"/>
      <c r="AN145" s="56"/>
      <c r="AO145" s="56"/>
      <c r="AP145" s="58">
        <f t="shared" si="6"/>
        <v>25</v>
      </c>
      <c r="AQ145" s="71">
        <f t="shared" si="7"/>
        <v>20.420000000000002</v>
      </c>
      <c r="AR145" s="71">
        <f>IFERROR(VLOOKUP(A145,Climatologia_TMED!A:U,9+$E$2,FALSE),"")</f>
        <v>19.40683329936412</v>
      </c>
      <c r="AS145" s="71">
        <f t="shared" si="8"/>
        <v>1.0131667006358818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>
        <v>31.4</v>
      </c>
      <c r="AF146" s="56">
        <v>31.4</v>
      </c>
      <c r="AG146" s="56">
        <v>27.86666666666666</v>
      </c>
      <c r="AH146" s="56">
        <v>32.200000000000003</v>
      </c>
      <c r="AI146" s="56"/>
      <c r="AJ146" s="56"/>
      <c r="AK146" s="56"/>
      <c r="AL146" s="56"/>
      <c r="AM146" s="56"/>
      <c r="AN146" s="56"/>
      <c r="AO146" s="56"/>
      <c r="AP146" s="58">
        <f t="shared" si="6"/>
        <v>24</v>
      </c>
      <c r="AQ146" s="71">
        <f t="shared" si="7"/>
        <v>31.069444444444443</v>
      </c>
      <c r="AR146" s="71">
        <f>IFERROR(VLOOKUP(A146,Climatologia_TMED!A:U,9+$E$2,FALSE),"")</f>
        <v>29.306317625921391</v>
      </c>
      <c r="AS146" s="71">
        <f t="shared" si="8"/>
        <v>1.7631268185230518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>
        <v>27.533333333333331</v>
      </c>
      <c r="AF147" s="56">
        <v>26.13333333333334</v>
      </c>
      <c r="AG147" s="56">
        <v>24.466666666666669</v>
      </c>
      <c r="AH147" s="56">
        <v>26.466666666666669</v>
      </c>
      <c r="AI147" s="56">
        <v>27.06666666666667</v>
      </c>
      <c r="AJ147" s="56"/>
      <c r="AK147" s="56"/>
      <c r="AL147" s="56"/>
      <c r="AM147" s="56"/>
      <c r="AN147" s="56"/>
      <c r="AO147" s="56"/>
      <c r="AP147" s="58">
        <f t="shared" si="6"/>
        <v>25</v>
      </c>
      <c r="AQ147" s="71">
        <f t="shared" si="7"/>
        <v>26.424000000000007</v>
      </c>
      <c r="AR147" s="71">
        <f>IFERROR(VLOOKUP(A147,Climatologia_TMED!A:U,9+$E$2,FALSE),"")</f>
        <v>24.061574212155389</v>
      </c>
      <c r="AS147" s="71">
        <f t="shared" si="8"/>
        <v>2.362425787844618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>
        <v>30.4</v>
      </c>
      <c r="AF148" s="56">
        <v>30.066666666666659</v>
      </c>
      <c r="AG148" s="56">
        <v>29.466666666666669</v>
      </c>
      <c r="AH148" s="56">
        <v>29.2</v>
      </c>
      <c r="AI148" s="56">
        <v>31.2</v>
      </c>
      <c r="AJ148" s="56"/>
      <c r="AK148" s="56"/>
      <c r="AL148" s="56"/>
      <c r="AM148" s="56"/>
      <c r="AN148" s="56"/>
      <c r="AO148" s="56"/>
      <c r="AP148" s="58">
        <f t="shared" si="6"/>
        <v>23</v>
      </c>
      <c r="AQ148" s="71">
        <f t="shared" si="7"/>
        <v>30.736231884057975</v>
      </c>
      <c r="AR148" s="71">
        <f>IFERROR(VLOOKUP(A148,Climatologia_TMED!A:U,9+$E$2,FALSE),"")</f>
        <v>29.17936497960693</v>
      </c>
      <c r="AS148" s="71">
        <f t="shared" si="8"/>
        <v>1.556866904451045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>
        <v>24.4</v>
      </c>
      <c r="AF149" s="56">
        <v>24.06666666666667</v>
      </c>
      <c r="AG149" s="56">
        <v>22.2</v>
      </c>
      <c r="AH149" s="56">
        <v>23.4</v>
      </c>
      <c r="AI149" s="56">
        <v>23.6</v>
      </c>
      <c r="AJ149" s="56"/>
      <c r="AK149" s="56"/>
      <c r="AL149" s="56"/>
      <c r="AM149" s="56"/>
      <c r="AN149" s="56"/>
      <c r="AO149" s="56"/>
      <c r="AP149" s="58">
        <f t="shared" si="6"/>
        <v>25</v>
      </c>
      <c r="AQ149" s="71">
        <f t="shared" si="7"/>
        <v>24.138666666666673</v>
      </c>
      <c r="AR149" s="71">
        <f>IFERROR(VLOOKUP(A149,Climatologia_TMED!A:U,9+$E$2,FALSE),"")</f>
        <v>21.98128955804011</v>
      </c>
      <c r="AS149" s="71">
        <f t="shared" si="8"/>
        <v>2.1573771086265623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>
        <v>25.533333333333331</v>
      </c>
      <c r="AF151" s="56">
        <v>24.4</v>
      </c>
      <c r="AG151" s="56">
        <v>22.533333333333331</v>
      </c>
      <c r="AH151" s="56">
        <v>25.066666666666659</v>
      </c>
      <c r="AI151" s="56">
        <v>25.2</v>
      </c>
      <c r="AJ151" s="56"/>
      <c r="AK151" s="56"/>
      <c r="AL151" s="56"/>
      <c r="AM151" s="56"/>
      <c r="AN151" s="56"/>
      <c r="AO151" s="56"/>
      <c r="AP151" s="58">
        <f t="shared" si="6"/>
        <v>22</v>
      </c>
      <c r="AQ151" s="71">
        <f t="shared" si="7"/>
        <v>24.415151515151514</v>
      </c>
      <c r="AR151" s="71">
        <f>IFERROR(VLOOKUP(A151,Climatologia_TMED!A:U,9+$E$2,FALSE),"")</f>
        <v>21.718227316119769</v>
      </c>
      <c r="AS151" s="71">
        <f t="shared" si="8"/>
        <v>2.696924199031745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>
        <v>21.5</v>
      </c>
      <c r="AF154" s="56">
        <v>21.45</v>
      </c>
      <c r="AG154" s="56">
        <v>20.05</v>
      </c>
      <c r="AH154" s="56">
        <v>20.2</v>
      </c>
      <c r="AI154" s="56">
        <v>21.3</v>
      </c>
      <c r="AJ154" s="56"/>
      <c r="AK154" s="56"/>
      <c r="AL154" s="56"/>
      <c r="AM154" s="56"/>
      <c r="AN154" s="56"/>
      <c r="AO154" s="56"/>
      <c r="AP154" s="58">
        <f t="shared" si="6"/>
        <v>25</v>
      </c>
      <c r="AQ154" s="71">
        <f t="shared" si="7"/>
        <v>21.089999999999996</v>
      </c>
      <c r="AR154" s="71">
        <f>IFERROR(VLOOKUP(A154,Climatologia_TMED!A:U,9+$E$2,FALSE),"")</f>
        <v>19.603370199692769</v>
      </c>
      <c r="AS154" s="71">
        <f t="shared" si="8"/>
        <v>1.4866298003072274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>
        <v>28</v>
      </c>
      <c r="AF155" s="56">
        <v>27.13333333333334</v>
      </c>
      <c r="AG155" s="56">
        <v>27.333333333333329</v>
      </c>
      <c r="AH155" s="56">
        <v>28.666666666666671</v>
      </c>
      <c r="AI155" s="56">
        <v>29.4</v>
      </c>
      <c r="AJ155" s="56"/>
      <c r="AK155" s="56"/>
      <c r="AL155" s="56"/>
      <c r="AM155" s="56"/>
      <c r="AN155" s="56"/>
      <c r="AO155" s="56"/>
      <c r="AP155" s="58">
        <f t="shared" si="6"/>
        <v>24</v>
      </c>
      <c r="AQ155" s="71">
        <f t="shared" si="7"/>
        <v>28.880555555555556</v>
      </c>
      <c r="AR155" s="71">
        <f>IFERROR(VLOOKUP(A155,Climatologia_TMED!A:U,9+$E$2,FALSE),"")</f>
        <v>27.798082822950249</v>
      </c>
      <c r="AS155" s="71">
        <f t="shared" si="8"/>
        <v>1.0824727326053072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>
        <v>29.666666666666671</v>
      </c>
      <c r="AF157" s="56">
        <v>28.333333333333329</v>
      </c>
      <c r="AG157" s="56">
        <v>28.466666666666669</v>
      </c>
      <c r="AH157" s="56">
        <v>29.866666666666671</v>
      </c>
      <c r="AI157" s="56">
        <v>30.533333333333331</v>
      </c>
      <c r="AJ157" s="56"/>
      <c r="AK157" s="56"/>
      <c r="AL157" s="56"/>
      <c r="AM157" s="56"/>
      <c r="AN157" s="56"/>
      <c r="AO157" s="56"/>
      <c r="AP157" s="58">
        <f t="shared" si="6"/>
        <v>23</v>
      </c>
      <c r="AQ157" s="71">
        <f t="shared" si="7"/>
        <v>29.98840579710145</v>
      </c>
      <c r="AR157" s="71">
        <f>IFERROR(VLOOKUP(A157,Climatologia_TMED!A:U,9+$E$2,FALSE),"")</f>
        <v>27.586074724019738</v>
      </c>
      <c r="AS157" s="71">
        <f t="shared" si="8"/>
        <v>2.4023310730817116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>
        <v>30.86666666666666</v>
      </c>
      <c r="AF158" s="56"/>
      <c r="AG158" s="56"/>
      <c r="AH158" s="56">
        <v>31.06666666666667</v>
      </c>
      <c r="AI158" s="56">
        <v>31.066666666666659</v>
      </c>
      <c r="AJ158" s="56"/>
      <c r="AK158" s="56"/>
      <c r="AL158" s="56"/>
      <c r="AM158" s="56"/>
      <c r="AN158" s="56"/>
      <c r="AO158" s="56"/>
      <c r="AP158" s="58">
        <f t="shared" si="6"/>
        <v>22</v>
      </c>
      <c r="AQ158" s="71">
        <f t="shared" si="7"/>
        <v>30.760606060606062</v>
      </c>
      <c r="AR158" s="71">
        <f>IFERROR(VLOOKUP(A158,Climatologia_TMED!A:U,9+$E$2,FALSE),"")</f>
        <v>28.018688345149439</v>
      </c>
      <c r="AS158" s="71">
        <f t="shared" si="8"/>
        <v>2.7419177154566228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>
        <v>21.2</v>
      </c>
      <c r="AF159" s="56">
        <v>20.266666666666669</v>
      </c>
      <c r="AG159" s="56">
        <v>20</v>
      </c>
      <c r="AH159" s="56">
        <v>21.4</v>
      </c>
      <c r="AI159" s="56">
        <v>21.06666666666667</v>
      </c>
      <c r="AJ159" s="56"/>
      <c r="AK159" s="56"/>
      <c r="AL159" s="56"/>
      <c r="AM159" s="56"/>
      <c r="AN159" s="56"/>
      <c r="AO159" s="56"/>
      <c r="AP159" s="58">
        <f t="shared" si="6"/>
        <v>25</v>
      </c>
      <c r="AQ159" s="71">
        <f t="shared" si="7"/>
        <v>21.229333333333329</v>
      </c>
      <c r="AR159" s="71">
        <f>IFERROR(VLOOKUP(A159,Climatologia_TMED!A:U,9+$E$2,FALSE),"")</f>
        <v>19.083052786798319</v>
      </c>
      <c r="AS159" s="71">
        <f t="shared" si="8"/>
        <v>2.1462805465350101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>
        <v>26.533333333333331</v>
      </c>
      <c r="AF160" s="56">
        <v>27.933333333333341</v>
      </c>
      <c r="AG160" s="56">
        <v>27.6</v>
      </c>
      <c r="AH160" s="56">
        <v>28.666666666666671</v>
      </c>
      <c r="AI160" s="56">
        <v>29.2</v>
      </c>
      <c r="AJ160" s="56"/>
      <c r="AK160" s="56"/>
      <c r="AL160" s="56"/>
      <c r="AM160" s="56"/>
      <c r="AN160" s="56"/>
      <c r="AO160" s="56"/>
      <c r="AP160" s="58">
        <f t="shared" si="6"/>
        <v>23</v>
      </c>
      <c r="AQ160" s="71">
        <f t="shared" si="7"/>
        <v>27.811594202898554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>
        <v>20.13333333333334</v>
      </c>
      <c r="AF161" s="56">
        <v>19.399999999999999</v>
      </c>
      <c r="AG161" s="56">
        <v>19.733333333333331</v>
      </c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19</v>
      </c>
      <c r="AQ161" s="71">
        <f t="shared" si="7"/>
        <v>20.035087719298243</v>
      </c>
      <c r="AR161" s="71">
        <f>IFERROR(VLOOKUP(A161,Climatologia_TMED!A:U,9+$E$2,FALSE),"")</f>
        <v>17.518211901578969</v>
      </c>
      <c r="AS161" s="71">
        <f t="shared" si="8"/>
        <v>2.5168758177192743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>
        <v>29.4</v>
      </c>
      <c r="AF162" s="56">
        <v>27.733333333333331</v>
      </c>
      <c r="AG162" s="56">
        <v>27.93333333333333</v>
      </c>
      <c r="AH162" s="56">
        <v>29.266666666666669</v>
      </c>
      <c r="AI162" s="56"/>
      <c r="AJ162" s="56"/>
      <c r="AK162" s="56"/>
      <c r="AL162" s="56"/>
      <c r="AM162" s="56"/>
      <c r="AN162" s="56"/>
      <c r="AO162" s="56"/>
      <c r="AP162" s="58">
        <f t="shared" si="6"/>
        <v>24</v>
      </c>
      <c r="AQ162" s="71">
        <f t="shared" si="7"/>
        <v>28.887499999999999</v>
      </c>
      <c r="AR162" s="71">
        <f>IFERROR(VLOOKUP(A162,Climatologia_TMED!A:U,9+$E$2,FALSE),"")</f>
        <v>28.49681537062899</v>
      </c>
      <c r="AS162" s="71">
        <f t="shared" si="8"/>
        <v>0.3906846293710089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>
        <v>22</v>
      </c>
      <c r="AF163" s="56">
        <v>21.333333333333329</v>
      </c>
      <c r="AG163" s="56">
        <v>21.06666666666667</v>
      </c>
      <c r="AH163" s="56">
        <v>22.8</v>
      </c>
      <c r="AI163" s="56">
        <v>22.266666666666669</v>
      </c>
      <c r="AJ163" s="56"/>
      <c r="AK163" s="56"/>
      <c r="AL163" s="56"/>
      <c r="AM163" s="56"/>
      <c r="AN163" s="56"/>
      <c r="AO163" s="56"/>
      <c r="AP163" s="58">
        <f t="shared" si="6"/>
        <v>25</v>
      </c>
      <c r="AQ163" s="71">
        <f t="shared" si="7"/>
        <v>21.866666666666664</v>
      </c>
      <c r="AR163" s="71">
        <f>IFERROR(VLOOKUP(A163,Climatologia_TMED!A:U,9+$E$2,FALSE),"")</f>
        <v>21.304846458288491</v>
      </c>
      <c r="AS163" s="71">
        <f t="shared" si="8"/>
        <v>0.56182020837817248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>
        <v>26.2</v>
      </c>
      <c r="AF164" s="56">
        <v>25.3</v>
      </c>
      <c r="AG164" s="56">
        <v>25.3</v>
      </c>
      <c r="AH164" s="56">
        <v>26.55</v>
      </c>
      <c r="AI164" s="56">
        <v>26.5</v>
      </c>
      <c r="AJ164" s="56"/>
      <c r="AK164" s="56"/>
      <c r="AL164" s="56"/>
      <c r="AM164" s="56"/>
      <c r="AN164" s="56"/>
      <c r="AO164" s="56"/>
      <c r="AP164" s="58">
        <f t="shared" si="6"/>
        <v>25</v>
      </c>
      <c r="AQ164" s="71">
        <f t="shared" si="7"/>
        <v>25.867999999999999</v>
      </c>
      <c r="AR164" s="71">
        <f>IFERROR(VLOOKUP(A164,Climatologia_TMED!A:U,9+$E$2,FALSE),"")</f>
        <v>23.886011584659681</v>
      </c>
      <c r="AS164" s="71">
        <f t="shared" si="8"/>
        <v>1.981988415340318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>
        <v>15.06666666666667</v>
      </c>
      <c r="AF166" s="56">
        <v>14.46666666666667</v>
      </c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22</v>
      </c>
      <c r="AQ166" s="71">
        <f t="shared" si="7"/>
        <v>14.981818181818182</v>
      </c>
      <c r="AR166" s="71">
        <f>IFERROR(VLOOKUP(A166,Climatologia_TMED!A:U,9+$E$2,FALSE),"")</f>
        <v>13.59731182795695</v>
      </c>
      <c r="AS166" s="71">
        <f t="shared" si="8"/>
        <v>1.3845063538612319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>
        <v>21.2</v>
      </c>
      <c r="AF167" s="56">
        <v>20.533333333333331</v>
      </c>
      <c r="AG167" s="56">
        <v>21.2</v>
      </c>
      <c r="AH167" s="56">
        <v>21.533333333333331</v>
      </c>
      <c r="AI167" s="56">
        <v>21.933333333333341</v>
      </c>
      <c r="AJ167" s="56"/>
      <c r="AK167" s="56"/>
      <c r="AL167" s="56"/>
      <c r="AM167" s="56"/>
      <c r="AN167" s="56"/>
      <c r="AO167" s="56"/>
      <c r="AP167" s="58">
        <f t="shared" si="6"/>
        <v>25</v>
      </c>
      <c r="AQ167" s="71">
        <f t="shared" si="7"/>
        <v>21.168000000000003</v>
      </c>
      <c r="AR167" s="71">
        <f>IFERROR(VLOOKUP(A167,Climatologia_TMED!A:U,9+$E$2,FALSE),"")</f>
        <v>19.132762427527378</v>
      </c>
      <c r="AS167" s="71">
        <f t="shared" si="8"/>
        <v>2.0352375724726244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>
        <v>29.45</v>
      </c>
      <c r="AF168" s="56">
        <v>27.35</v>
      </c>
      <c r="AG168" s="56">
        <v>28.15</v>
      </c>
      <c r="AH168" s="56">
        <v>29.55</v>
      </c>
      <c r="AI168" s="56">
        <v>29.6</v>
      </c>
      <c r="AJ168" s="56"/>
      <c r="AK168" s="56"/>
      <c r="AL168" s="56"/>
      <c r="AM168" s="56"/>
      <c r="AN168" s="56"/>
      <c r="AO168" s="56"/>
      <c r="AP168" s="58">
        <f t="shared" si="6"/>
        <v>25</v>
      </c>
      <c r="AQ168" s="71">
        <f t="shared" si="7"/>
        <v>28.634000000000004</v>
      </c>
      <c r="AR168" s="71">
        <f>IFERROR(VLOOKUP(A168,Climatologia_TMED!A:U,9+$E$2,FALSE),"")</f>
        <v>26.11906044753972</v>
      </c>
      <c r="AS168" s="71">
        <f t="shared" si="8"/>
        <v>2.5149395524602838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>
        <v>9.6000000000000014</v>
      </c>
      <c r="AF169" s="56">
        <v>10</v>
      </c>
      <c r="AG169" s="56">
        <v>8.8000000000000007</v>
      </c>
      <c r="AH169" s="56">
        <v>9.5500000000000007</v>
      </c>
      <c r="AI169" s="56">
        <v>10.050000000000001</v>
      </c>
      <c r="AJ169" s="56"/>
      <c r="AK169" s="56"/>
      <c r="AL169" s="56"/>
      <c r="AM169" s="56"/>
      <c r="AN169" s="56"/>
      <c r="AO169" s="56"/>
      <c r="AP169" s="58">
        <f t="shared" si="6"/>
        <v>25</v>
      </c>
      <c r="AQ169" s="71">
        <f t="shared" si="7"/>
        <v>9.5020000000000007</v>
      </c>
      <c r="AR169" s="71">
        <f>IFERROR(VLOOKUP(A169,Climatologia_TMED!A:U,9+$E$2,FALSE),"")</f>
        <v>8.9418110731500597</v>
      </c>
      <c r="AS169" s="71">
        <f t="shared" si="8"/>
        <v>0.56018892684994093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>
        <v>24.4</v>
      </c>
      <c r="AF170" s="56">
        <v>24.533333333333331</v>
      </c>
      <c r="AG170" s="56">
        <v>24.4</v>
      </c>
      <c r="AH170" s="56">
        <v>26.93333333333333</v>
      </c>
      <c r="AI170" s="56">
        <v>28.13333333333334</v>
      </c>
      <c r="AJ170" s="56"/>
      <c r="AK170" s="56"/>
      <c r="AL170" s="56"/>
      <c r="AM170" s="56"/>
      <c r="AN170" s="56"/>
      <c r="AO170" s="56"/>
      <c r="AP170" s="58">
        <f t="shared" si="6"/>
        <v>25</v>
      </c>
      <c r="AQ170" s="71">
        <f t="shared" si="7"/>
        <v>25.842666666666663</v>
      </c>
      <c r="AR170" s="71">
        <f>IFERROR(VLOOKUP(A170,Climatologia_TMED!A:U,9+$E$2,FALSE),"")</f>
        <v>24.395609944791921</v>
      </c>
      <c r="AS170" s="71">
        <f t="shared" si="8"/>
        <v>1.4470567218747412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>
        <v>22.8</v>
      </c>
      <c r="AF171" s="56">
        <v>22.2</v>
      </c>
      <c r="AG171" s="56"/>
      <c r="AH171" s="56">
        <v>21.666666666666671</v>
      </c>
      <c r="AI171" s="56">
        <v>22.933333333333341</v>
      </c>
      <c r="AJ171" s="56"/>
      <c r="AK171" s="56"/>
      <c r="AL171" s="56"/>
      <c r="AM171" s="56"/>
      <c r="AN171" s="56"/>
      <c r="AO171" s="56"/>
      <c r="AP171" s="58">
        <f t="shared" si="6"/>
        <v>22</v>
      </c>
      <c r="AQ171" s="71">
        <f t="shared" si="7"/>
        <v>21.918181818181822</v>
      </c>
      <c r="AR171" s="71">
        <f>IFERROR(VLOOKUP(A171,Climatologia_TMED!A:U,9+$E$2,FALSE),"")</f>
        <v>19.277535015015289</v>
      </c>
      <c r="AS171" s="71">
        <f t="shared" si="8"/>
        <v>2.6406468031665327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>
        <v>26.75</v>
      </c>
      <c r="AF172" s="56">
        <v>25.8</v>
      </c>
      <c r="AG172" s="56">
        <v>26.75</v>
      </c>
      <c r="AH172" s="56">
        <v>27.65</v>
      </c>
      <c r="AI172" s="56">
        <v>26</v>
      </c>
      <c r="AJ172" s="56"/>
      <c r="AK172" s="56"/>
      <c r="AL172" s="56"/>
      <c r="AM172" s="56"/>
      <c r="AN172" s="56"/>
      <c r="AO172" s="56"/>
      <c r="AP172" s="58">
        <f t="shared" si="6"/>
        <v>23</v>
      </c>
      <c r="AQ172" s="71">
        <f t="shared" si="7"/>
        <v>26.051086956521736</v>
      </c>
      <c r="AR172" s="71">
        <f>IFERROR(VLOOKUP(A172,Climatologia_TMED!A:U,9+$E$2,FALSE),"")</f>
        <v>24.578876627051489</v>
      </c>
      <c r="AS172" s="71">
        <f t="shared" si="8"/>
        <v>1.4722103294702471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>
        <v>26.3</v>
      </c>
      <c r="AF173" s="56">
        <v>25.75</v>
      </c>
      <c r="AG173" s="56">
        <v>26.9</v>
      </c>
      <c r="AH173" s="56">
        <v>26.85</v>
      </c>
      <c r="AI173" s="56">
        <v>25.75</v>
      </c>
      <c r="AJ173" s="56"/>
      <c r="AK173" s="56"/>
      <c r="AL173" s="56"/>
      <c r="AM173" s="56"/>
      <c r="AN173" s="56"/>
      <c r="AO173" s="56"/>
      <c r="AP173" s="58">
        <f t="shared" si="6"/>
        <v>25</v>
      </c>
      <c r="AQ173" s="71">
        <f t="shared" si="7"/>
        <v>25.381</v>
      </c>
      <c r="AR173" s="71">
        <f>IFERROR(VLOOKUP(A173,Climatologia_TMED!A:U,9+$E$2,FALSE),"")</f>
        <v>24.24334341397849</v>
      </c>
      <c r="AS173" s="71">
        <f t="shared" si="8"/>
        <v>1.1376565860215102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>
        <v>15</v>
      </c>
      <c r="AF174" s="56">
        <v>12.66666666666667</v>
      </c>
      <c r="AG174" s="56">
        <v>12.33333333333333</v>
      </c>
      <c r="AH174" s="56">
        <v>13.93333333333333</v>
      </c>
      <c r="AI174" s="56">
        <v>12.266666666666669</v>
      </c>
      <c r="AJ174" s="56"/>
      <c r="AK174" s="56"/>
      <c r="AL174" s="56"/>
      <c r="AM174" s="56"/>
      <c r="AN174" s="56"/>
      <c r="AO174" s="56"/>
      <c r="AP174" s="58">
        <f t="shared" si="6"/>
        <v>25</v>
      </c>
      <c r="AQ174" s="71">
        <f t="shared" si="7"/>
        <v>13.293333333333335</v>
      </c>
      <c r="AR174" s="71">
        <f>IFERROR(VLOOKUP(A174,Climatologia_TMED!A:U,9+$E$2,FALSE),"")</f>
        <v>12.130348155415341</v>
      </c>
      <c r="AS174" s="71">
        <f t="shared" si="8"/>
        <v>1.1629851779179941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>
        <v>24.93333333333333</v>
      </c>
      <c r="N175" s="56">
        <v>24.2</v>
      </c>
      <c r="O175" s="56">
        <v>22.533333333333331</v>
      </c>
      <c r="P175" s="56">
        <v>25.86666666666666</v>
      </c>
      <c r="Q175" s="56">
        <v>25.4</v>
      </c>
      <c r="R175" s="56">
        <v>23.666666666666671</v>
      </c>
      <c r="S175" s="56">
        <v>24.733333333333331</v>
      </c>
      <c r="T175" s="56">
        <v>24.666666666666671</v>
      </c>
      <c r="U175" s="56">
        <v>26</v>
      </c>
      <c r="V175" s="56">
        <v>24</v>
      </c>
      <c r="W175" s="56">
        <v>24.6</v>
      </c>
      <c r="X175" s="56">
        <v>25.2</v>
      </c>
      <c r="Y175" s="56">
        <v>23.666666666666671</v>
      </c>
      <c r="Z175" s="56">
        <v>22.8</v>
      </c>
      <c r="AA175" s="56">
        <v>22.733333333333331</v>
      </c>
      <c r="AB175" s="56">
        <v>24.8</v>
      </c>
      <c r="AC175" s="56">
        <v>23.86666666666666</v>
      </c>
      <c r="AD175" s="56">
        <v>25.333333333333329</v>
      </c>
      <c r="AE175" s="56">
        <v>27</v>
      </c>
      <c r="AF175" s="56">
        <v>25.86666666666666</v>
      </c>
      <c r="AG175" s="56"/>
      <c r="AH175" s="56">
        <v>25.13333333333334</v>
      </c>
      <c r="AI175" s="56"/>
      <c r="AJ175" s="56"/>
      <c r="AK175" s="56"/>
      <c r="AL175" s="56"/>
      <c r="AM175" s="56"/>
      <c r="AN175" s="56"/>
      <c r="AO175" s="56"/>
      <c r="AP175" s="58">
        <f t="shared" si="6"/>
        <v>23</v>
      </c>
      <c r="AQ175" s="71">
        <f t="shared" si="7"/>
        <v>24.765217391304351</v>
      </c>
      <c r="AR175" s="71">
        <f>IFERROR(VLOOKUP(A175,Climatologia_TMED!A:U,9+$E$2,FALSE),"")</f>
        <v>23.810002936419639</v>
      </c>
      <c r="AS175" s="71">
        <f t="shared" si="8"/>
        <v>0.95521445488471102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>
        <v>26.733333333333331</v>
      </c>
      <c r="AF178" s="56">
        <v>25.2</v>
      </c>
      <c r="AG178" s="56">
        <v>26.266666666666669</v>
      </c>
      <c r="AH178" s="56">
        <v>24.6</v>
      </c>
      <c r="AI178" s="56">
        <v>25.466666666666669</v>
      </c>
      <c r="AJ178" s="56"/>
      <c r="AK178" s="56"/>
      <c r="AL178" s="56"/>
      <c r="AM178" s="56"/>
      <c r="AN178" s="56"/>
      <c r="AO178" s="56"/>
      <c r="AP178" s="58">
        <f t="shared" si="6"/>
        <v>25</v>
      </c>
      <c r="AQ178" s="71">
        <f t="shared" si="7"/>
        <v>25.605333333333334</v>
      </c>
      <c r="AR178" s="71">
        <f>IFERROR(VLOOKUP(A178,Climatologia_TMED!A:U,9+$E$2,FALSE),"")</f>
        <v>24.764281496732401</v>
      </c>
      <c r="AS178" s="71">
        <f t="shared" si="8"/>
        <v>0.84105183660093275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>
        <v>19.899999999999999</v>
      </c>
      <c r="AF179" s="56">
        <v>18.75</v>
      </c>
      <c r="AG179" s="56">
        <v>19.55</v>
      </c>
      <c r="AH179" s="56">
        <v>18.75</v>
      </c>
      <c r="AI179" s="56">
        <v>19.5</v>
      </c>
      <c r="AJ179" s="56"/>
      <c r="AK179" s="56"/>
      <c r="AL179" s="56"/>
      <c r="AM179" s="56"/>
      <c r="AN179" s="56"/>
      <c r="AO179" s="56"/>
      <c r="AP179" s="58">
        <f t="shared" si="6"/>
        <v>24</v>
      </c>
      <c r="AQ179" s="71">
        <f t="shared" si="7"/>
        <v>19.054166666666667</v>
      </c>
      <c r="AR179" s="71">
        <f>IFERROR(VLOOKUP(A179,Climatologia_TMED!A:U,9+$E$2,FALSE),"")</f>
        <v>17.52263018923631</v>
      </c>
      <c r="AS179" s="71">
        <f t="shared" si="8"/>
        <v>1.5315364774303575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>
        <v>33</v>
      </c>
      <c r="AF181" s="56">
        <v>32.4</v>
      </c>
      <c r="AG181" s="56">
        <v>31.86666666666666</v>
      </c>
      <c r="AH181" s="56">
        <v>33.266666666666673</v>
      </c>
      <c r="AI181" s="56">
        <v>33.466666666666669</v>
      </c>
      <c r="AJ181" s="56"/>
      <c r="AK181" s="56"/>
      <c r="AL181" s="56"/>
      <c r="AM181" s="56"/>
      <c r="AN181" s="56"/>
      <c r="AO181" s="56"/>
      <c r="AP181" s="58">
        <f t="shared" si="6"/>
        <v>25</v>
      </c>
      <c r="AQ181" s="71">
        <f t="shared" si="7"/>
        <v>32.213333333333338</v>
      </c>
      <c r="AR181" s="71">
        <f>IFERROR(VLOOKUP(A181,Climatologia_TMED!A:U,9+$E$2,FALSE),"")</f>
        <v>29.494520657328639</v>
      </c>
      <c r="AS181" s="71">
        <f t="shared" si="8"/>
        <v>2.7188126760046991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>
        <v>31.066666666666659</v>
      </c>
      <c r="AF184" s="56">
        <v>29.066666666666659</v>
      </c>
      <c r="AG184" s="56">
        <v>30.666666666666671</v>
      </c>
      <c r="AH184" s="56">
        <v>30.86666666666666</v>
      </c>
      <c r="AI184" s="56">
        <v>29.066666666666659</v>
      </c>
      <c r="AJ184" s="56"/>
      <c r="AK184" s="56"/>
      <c r="AL184" s="56"/>
      <c r="AM184" s="56"/>
      <c r="AN184" s="56"/>
      <c r="AO184" s="56"/>
      <c r="AP184" s="58">
        <f t="shared" si="6"/>
        <v>16</v>
      </c>
      <c r="AQ184" s="71">
        <f t="shared" si="7"/>
        <v>29.216666666666665</v>
      </c>
      <c r="AR184" s="71">
        <f>IFERROR(VLOOKUP(A184,Climatologia_TMED!A:U,9+$E$2,FALSE),"")</f>
        <v>27.6252438841511</v>
      </c>
      <c r="AS184" s="71">
        <f t="shared" si="8"/>
        <v>1.5914227825155649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>
        <v>32.200000000000003</v>
      </c>
      <c r="AF185" s="56">
        <v>31.666666666666671</v>
      </c>
      <c r="AG185" s="56">
        <v>31.4</v>
      </c>
      <c r="AH185" s="56">
        <v>32.466666666666669</v>
      </c>
      <c r="AI185" s="56">
        <v>31.533333333333331</v>
      </c>
      <c r="AJ185" s="56"/>
      <c r="AK185" s="56"/>
      <c r="AL185" s="56"/>
      <c r="AM185" s="56"/>
      <c r="AN185" s="56"/>
      <c r="AO185" s="56"/>
      <c r="AP185" s="58">
        <f t="shared" si="6"/>
        <v>20</v>
      </c>
      <c r="AQ185" s="71">
        <f t="shared" si="7"/>
        <v>30.663333333333334</v>
      </c>
      <c r="AR185" s="71">
        <f>IFERROR(VLOOKUP(A185,Climatologia_TMED!A:U,9+$E$2,FALSE),"")</f>
        <v>28.426879526214119</v>
      </c>
      <c r="AS185" s="71">
        <f t="shared" si="8"/>
        <v>2.236453807119215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>
        <v>18.133333333333329</v>
      </c>
      <c r="AF188" s="56"/>
      <c r="AG188" s="56"/>
      <c r="AH188" s="56">
        <v>18.733333333333331</v>
      </c>
      <c r="AI188" s="56">
        <v>18.466666666666669</v>
      </c>
      <c r="AJ188" s="56"/>
      <c r="AK188" s="56"/>
      <c r="AL188" s="56"/>
      <c r="AM188" s="56"/>
      <c r="AN188" s="56"/>
      <c r="AO188" s="56"/>
      <c r="AP188" s="58">
        <f t="shared" si="6"/>
        <v>21</v>
      </c>
      <c r="AQ188" s="71">
        <f t="shared" si="7"/>
        <v>17.920634920634921</v>
      </c>
      <c r="AR188" s="71">
        <f>IFERROR(VLOOKUP(A188,Climatologia_TMED!A:U,9+$E$2,FALSE),"")</f>
        <v>16.219992677735171</v>
      </c>
      <c r="AS188" s="71">
        <f t="shared" si="8"/>
        <v>1.7006422428997503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>
        <v>33.866666666666667</v>
      </c>
      <c r="AF189" s="56"/>
      <c r="AG189" s="56">
        <v>33.066666666666663</v>
      </c>
      <c r="AH189" s="56">
        <v>34.266666666666673</v>
      </c>
      <c r="AI189" s="56">
        <v>33</v>
      </c>
      <c r="AJ189" s="56"/>
      <c r="AK189" s="56"/>
      <c r="AL189" s="56"/>
      <c r="AM189" s="56"/>
      <c r="AN189" s="56"/>
      <c r="AO189" s="56"/>
      <c r="AP189" s="58">
        <f t="shared" si="6"/>
        <v>18</v>
      </c>
      <c r="AQ189" s="71">
        <f t="shared" si="7"/>
        <v>33.42962962962963</v>
      </c>
      <c r="AR189" s="71">
        <f>IFERROR(VLOOKUP(A189,Climatologia_TMED!A:U,9+$E$2,FALSE),"")</f>
        <v>30.520337316954809</v>
      </c>
      <c r="AS189" s="71">
        <f t="shared" si="8"/>
        <v>2.9092923126748218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>
        <v>32.133333333333333</v>
      </c>
      <c r="AF190" s="56">
        <v>32.866666666666667</v>
      </c>
      <c r="AG190" s="56">
        <v>31.933333333333341</v>
      </c>
      <c r="AH190" s="56">
        <v>32.93333333333333</v>
      </c>
      <c r="AI190" s="56">
        <v>32.666666666666657</v>
      </c>
      <c r="AJ190" s="56"/>
      <c r="AK190" s="56"/>
      <c r="AL190" s="56"/>
      <c r="AM190" s="56"/>
      <c r="AN190" s="56"/>
      <c r="AO190" s="56"/>
      <c r="AP190" s="58">
        <f t="shared" si="6"/>
        <v>23</v>
      </c>
      <c r="AQ190" s="71">
        <f t="shared" si="7"/>
        <v>31.507246376811594</v>
      </c>
      <c r="AR190" s="71">
        <f>IFERROR(VLOOKUP(A190,Climatologia_TMED!A:U,9+$E$2,FALSE),"")</f>
        <v>29.552042558032198</v>
      </c>
      <c r="AS190" s="71">
        <f t="shared" si="8"/>
        <v>1.9552038187793954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>
        <v>19.7</v>
      </c>
      <c r="AF191" s="56">
        <v>17.399999999999999</v>
      </c>
      <c r="AG191" s="56">
        <v>18.899999999999999</v>
      </c>
      <c r="AH191" s="56">
        <v>19.75</v>
      </c>
      <c r="AI191" s="56">
        <v>19.649999999999999</v>
      </c>
      <c r="AJ191" s="56"/>
      <c r="AK191" s="56"/>
      <c r="AL191" s="56"/>
      <c r="AM191" s="56"/>
      <c r="AN191" s="56"/>
      <c r="AO191" s="56"/>
      <c r="AP191" s="58">
        <f t="shared" si="6"/>
        <v>25</v>
      </c>
      <c r="AQ191" s="71">
        <f t="shared" si="7"/>
        <v>19.256</v>
      </c>
      <c r="AR191" s="71">
        <f>IFERROR(VLOOKUP(A191,Climatologia_TMED!A:U,9+$E$2,FALSE),"")</f>
        <v>17.464112079265011</v>
      </c>
      <c r="AS191" s="71">
        <f t="shared" si="8"/>
        <v>1.7918879207349896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>
        <v>28.86666666666666</v>
      </c>
      <c r="AF192" s="56">
        <v>26.4</v>
      </c>
      <c r="AG192" s="56">
        <v>26</v>
      </c>
      <c r="AH192" s="56">
        <v>26.466666666666669</v>
      </c>
      <c r="AI192" s="56">
        <v>27.06666666666667</v>
      </c>
      <c r="AJ192" s="56"/>
      <c r="AK192" s="56"/>
      <c r="AL192" s="56"/>
      <c r="AM192" s="56"/>
      <c r="AN192" s="56"/>
      <c r="AO192" s="56"/>
      <c r="AP192" s="58">
        <f t="shared" si="6"/>
        <v>25</v>
      </c>
      <c r="AQ192" s="71">
        <f t="shared" si="7"/>
        <v>26.637333333333334</v>
      </c>
      <c r="AR192" s="71">
        <f>IFERROR(VLOOKUP(A192,Climatologia_TMED!A:U,9+$E$2,FALSE),"")</f>
        <v>25.598921067303831</v>
      </c>
      <c r="AS192" s="71">
        <f t="shared" si="8"/>
        <v>1.0384122660295034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>
        <v>30.55</v>
      </c>
      <c r="AF193" s="56">
        <v>28.5</v>
      </c>
      <c r="AG193" s="56">
        <v>28.75</v>
      </c>
      <c r="AH193" s="56">
        <v>29.75</v>
      </c>
      <c r="AI193" s="56">
        <v>28.1</v>
      </c>
      <c r="AJ193" s="56"/>
      <c r="AK193" s="56"/>
      <c r="AL193" s="56"/>
      <c r="AM193" s="56"/>
      <c r="AN193" s="56"/>
      <c r="AO193" s="56"/>
      <c r="AP193" s="58">
        <f t="shared" si="6"/>
        <v>25</v>
      </c>
      <c r="AQ193" s="71">
        <f t="shared" si="7"/>
        <v>28.88</v>
      </c>
      <c r="AR193" s="71">
        <f>IFERROR(VLOOKUP(A193,Climatologia_TMED!A:U,9+$E$2,FALSE),"")</f>
        <v>26.876419518290088</v>
      </c>
      <c r="AS193" s="71">
        <f t="shared" si="8"/>
        <v>2.0035804817099105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>
        <v>23.4</v>
      </c>
      <c r="AF194" s="56">
        <v>21.333333333333329</v>
      </c>
      <c r="AG194" s="56">
        <v>21.4</v>
      </c>
      <c r="AH194" s="56">
        <v>23</v>
      </c>
      <c r="AI194" s="56">
        <v>22.733333333333331</v>
      </c>
      <c r="AJ194" s="56"/>
      <c r="AK194" s="56"/>
      <c r="AL194" s="56"/>
      <c r="AM194" s="56"/>
      <c r="AN194" s="56"/>
      <c r="AO194" s="56"/>
      <c r="AP194" s="58">
        <f t="shared" si="6"/>
        <v>24</v>
      </c>
      <c r="AQ194" s="71">
        <f t="shared" si="7"/>
        <v>21.986111111111111</v>
      </c>
      <c r="AR194" s="71">
        <f>IFERROR(VLOOKUP(A194,Climatologia_TMED!A:U,9+$E$2,FALSE),"")</f>
        <v>21.92453935902186</v>
      </c>
      <c r="AS194" s="71">
        <f t="shared" si="8"/>
        <v>6.1571752089250253E-2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>
        <v>30.13333333333334</v>
      </c>
      <c r="AF195" s="56">
        <v>27.4</v>
      </c>
      <c r="AG195" s="56">
        <v>28.8</v>
      </c>
      <c r="AH195" s="56">
        <v>30.13333333333334</v>
      </c>
      <c r="AI195" s="56">
        <v>29.333333333333329</v>
      </c>
      <c r="AJ195" s="56"/>
      <c r="AK195" s="56"/>
      <c r="AL195" s="56"/>
      <c r="AM195" s="56"/>
      <c r="AN195" s="56"/>
      <c r="AO195" s="56"/>
      <c r="AP195" s="58">
        <f t="shared" si="6"/>
        <v>21</v>
      </c>
      <c r="AQ195" s="71">
        <f t="shared" si="7"/>
        <v>28.94285714285714</v>
      </c>
      <c r="AR195" s="71">
        <f>IFERROR(VLOOKUP(A195,Climatologia_TMED!A:U,9+$E$2,FALSE),"")</f>
        <v>25.93887423035611</v>
      </c>
      <c r="AS195" s="71">
        <f t="shared" si="8"/>
        <v>3.00398291250103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>
        <v>24</v>
      </c>
      <c r="AF196" s="56">
        <v>21.2</v>
      </c>
      <c r="AG196" s="56">
        <v>23.066666666666659</v>
      </c>
      <c r="AH196" s="56">
        <v>23.6</v>
      </c>
      <c r="AI196" s="56">
        <v>23.333333333333329</v>
      </c>
      <c r="AJ196" s="56"/>
      <c r="AK196" s="56"/>
      <c r="AL196" s="56"/>
      <c r="AM196" s="56"/>
      <c r="AN196" s="56"/>
      <c r="AO196" s="56"/>
      <c r="AP196" s="58">
        <f t="shared" si="6"/>
        <v>25</v>
      </c>
      <c r="AQ196" s="71">
        <f t="shared" si="7"/>
        <v>22.92</v>
      </c>
      <c r="AR196" s="71">
        <f>IFERROR(VLOOKUP(A196,Climatologia_TMED!A:U,9+$E$2,FALSE),"")</f>
        <v>20.501275507765811</v>
      </c>
      <c r="AS196" s="71">
        <f t="shared" si="8"/>
        <v>2.4187244922341904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>
        <v>27.666666666666671</v>
      </c>
      <c r="AF197" s="56">
        <v>24.466666666666669</v>
      </c>
      <c r="AG197" s="56">
        <v>26.533333333333331</v>
      </c>
      <c r="AH197" s="56">
        <v>28.13333333333334</v>
      </c>
      <c r="AI197" s="56">
        <v>27.8</v>
      </c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25</v>
      </c>
      <c r="AQ197" s="71">
        <f t="shared" ref="AQ197:AQ260" si="10">IF(AP197&gt;14,AVERAGE(K197:AO197),"")</f>
        <v>27.329333333333331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2.65971317485117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>
        <v>23</v>
      </c>
      <c r="AF198" s="56">
        <v>20.65</v>
      </c>
      <c r="AG198" s="56">
        <v>22.3</v>
      </c>
      <c r="AH198" s="56">
        <v>21.95</v>
      </c>
      <c r="AI198" s="56">
        <v>21.25</v>
      </c>
      <c r="AJ198" s="56"/>
      <c r="AK198" s="56"/>
      <c r="AL198" s="56"/>
      <c r="AM198" s="56"/>
      <c r="AN198" s="56"/>
      <c r="AO198" s="56"/>
      <c r="AP198" s="58">
        <f t="shared" si="9"/>
        <v>25</v>
      </c>
      <c r="AQ198" s="71">
        <f t="shared" si="10"/>
        <v>22.116000000000003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>
        <v>16.533333333333331</v>
      </c>
      <c r="AF199" s="56">
        <v>15.933333333333341</v>
      </c>
      <c r="AG199" s="56">
        <v>16.733333333333331</v>
      </c>
      <c r="AH199" s="56">
        <v>16.333333333333329</v>
      </c>
      <c r="AI199" s="56">
        <v>17.2</v>
      </c>
      <c r="AJ199" s="56"/>
      <c r="AK199" s="56"/>
      <c r="AL199" s="56"/>
      <c r="AM199" s="56"/>
      <c r="AN199" s="56"/>
      <c r="AO199" s="56"/>
      <c r="AP199" s="58">
        <f t="shared" si="9"/>
        <v>23</v>
      </c>
      <c r="AQ199" s="71">
        <f t="shared" si="10"/>
        <v>16.721739130434781</v>
      </c>
      <c r="AR199" s="71">
        <f>IFERROR(VLOOKUP(A199,Climatologia_TMED!A:U,9+$E$2,FALSE),"")</f>
        <v>15.9056050475294</v>
      </c>
      <c r="AS199" s="71">
        <f t="shared" si="11"/>
        <v>0.81613408290538025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>
        <v>15.9</v>
      </c>
      <c r="AF200" s="56">
        <v>14.35</v>
      </c>
      <c r="AG200" s="56">
        <v>14.35</v>
      </c>
      <c r="AH200" s="56">
        <v>15.55</v>
      </c>
      <c r="AI200" s="56">
        <v>14.05</v>
      </c>
      <c r="AJ200" s="56"/>
      <c r="AK200" s="56"/>
      <c r="AL200" s="56"/>
      <c r="AM200" s="56"/>
      <c r="AN200" s="56"/>
      <c r="AO200" s="56"/>
      <c r="AP200" s="58">
        <f t="shared" si="9"/>
        <v>24</v>
      </c>
      <c r="AQ200" s="71">
        <f t="shared" si="10"/>
        <v>14.468750000000002</v>
      </c>
      <c r="AR200" s="71">
        <f>IFERROR(VLOOKUP(A200,Climatologia_TMED!A:U,9+$E$2,FALSE),"")</f>
        <v>13.344977882388941</v>
      </c>
      <c r="AS200" s="71">
        <f t="shared" si="11"/>
        <v>1.1237721176110611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>
        <v>29.4</v>
      </c>
      <c r="AF201" s="56">
        <v>27.65</v>
      </c>
      <c r="AG201" s="56">
        <v>28.4</v>
      </c>
      <c r="AH201" s="56">
        <v>29.05</v>
      </c>
      <c r="AI201" s="56">
        <v>29.4</v>
      </c>
      <c r="AJ201" s="56"/>
      <c r="AK201" s="56"/>
      <c r="AL201" s="56"/>
      <c r="AM201" s="56"/>
      <c r="AN201" s="56"/>
      <c r="AO201" s="56"/>
      <c r="AP201" s="58">
        <f t="shared" si="9"/>
        <v>25</v>
      </c>
      <c r="AQ201" s="71">
        <f t="shared" si="10"/>
        <v>28.531999999999993</v>
      </c>
      <c r="AR201" s="71">
        <f>IFERROR(VLOOKUP(A201,Climatologia_TMED!A:U,9+$E$2,FALSE),"")</f>
        <v>26.42009640850436</v>
      </c>
      <c r="AS201" s="71">
        <f t="shared" si="11"/>
        <v>2.1119035914956328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>
        <v>14.25</v>
      </c>
      <c r="AF202" s="56">
        <v>13.1</v>
      </c>
      <c r="AG202" s="56">
        <v>14.1</v>
      </c>
      <c r="AH202" s="56">
        <v>13.65</v>
      </c>
      <c r="AI202" s="56">
        <v>12.4</v>
      </c>
      <c r="AJ202" s="56"/>
      <c r="AK202" s="56"/>
      <c r="AL202" s="56"/>
      <c r="AM202" s="56"/>
      <c r="AN202" s="56"/>
      <c r="AO202" s="56"/>
      <c r="AP202" s="58">
        <f t="shared" si="9"/>
        <v>25</v>
      </c>
      <c r="AQ202" s="71">
        <f t="shared" si="10"/>
        <v>13.081999999999999</v>
      </c>
      <c r="AR202" s="71">
        <f>IFERROR(VLOOKUP(A202,Climatologia_TMED!A:U,9+$E$2,FALSE),"")</f>
        <v>12.92387825817962</v>
      </c>
      <c r="AS202" s="71">
        <f t="shared" si="11"/>
        <v>0.15812174182037886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>
        <v>13.866666666666671</v>
      </c>
      <c r="AF203" s="56">
        <v>14</v>
      </c>
      <c r="AG203" s="56">
        <v>14</v>
      </c>
      <c r="AH203" s="56">
        <v>13.93333333333333</v>
      </c>
      <c r="AI203" s="56">
        <v>14.8</v>
      </c>
      <c r="AJ203" s="56"/>
      <c r="AK203" s="56"/>
      <c r="AL203" s="56"/>
      <c r="AM203" s="56"/>
      <c r="AN203" s="56"/>
      <c r="AO203" s="56"/>
      <c r="AP203" s="58">
        <f t="shared" si="9"/>
        <v>22</v>
      </c>
      <c r="AQ203" s="71">
        <f t="shared" si="10"/>
        <v>14.163636363636364</v>
      </c>
      <c r="AR203" s="71">
        <f>IFERROR(VLOOKUP(A203,Climatologia_TMED!A:U,9+$E$2,FALSE),"")</f>
        <v>12.086069715466531</v>
      </c>
      <c r="AS203" s="71">
        <f t="shared" si="11"/>
        <v>2.0775666481698334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>
        <v>14.35</v>
      </c>
      <c r="AC205" s="56">
        <v>13.9</v>
      </c>
      <c r="AD205" s="56">
        <v>14.85</v>
      </c>
      <c r="AE205" s="56">
        <v>15</v>
      </c>
      <c r="AF205" s="56">
        <v>14.85</v>
      </c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22</v>
      </c>
      <c r="AQ205" s="71">
        <f t="shared" si="10"/>
        <v>14.300000000000004</v>
      </c>
      <c r="AR205" s="71">
        <f>IFERROR(VLOOKUP(A205,Climatologia_TMED!A:U,9+$E$2,FALSE),"")</f>
        <v>13.43544585253456</v>
      </c>
      <c r="AS205" s="71">
        <f t="shared" si="11"/>
        <v>0.86455414746544434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>
        <v>13.75</v>
      </c>
      <c r="AE206" s="56">
        <v>12.4</v>
      </c>
      <c r="AF206" s="56">
        <v>11.35</v>
      </c>
      <c r="AG206" s="56">
        <v>13.75</v>
      </c>
      <c r="AH206" s="56">
        <v>13.95</v>
      </c>
      <c r="AI206" s="56">
        <v>13.15</v>
      </c>
      <c r="AJ206" s="56"/>
      <c r="AK206" s="56"/>
      <c r="AL206" s="56"/>
      <c r="AM206" s="56"/>
      <c r="AN206" s="56"/>
      <c r="AO206" s="56"/>
      <c r="AP206" s="58">
        <f t="shared" si="9"/>
        <v>25</v>
      </c>
      <c r="AQ206" s="71">
        <f t="shared" si="10"/>
        <v>13.371999999999996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>
        <v>13.93333333333333</v>
      </c>
      <c r="AF207" s="56"/>
      <c r="AG207" s="56"/>
      <c r="AH207" s="56">
        <v>14.46666666666667</v>
      </c>
      <c r="AI207" s="56">
        <v>12.866666666666671</v>
      </c>
      <c r="AJ207" s="56"/>
      <c r="AK207" s="56"/>
      <c r="AL207" s="56"/>
      <c r="AM207" s="56"/>
      <c r="AN207" s="56"/>
      <c r="AO207" s="56"/>
      <c r="AP207" s="58">
        <f t="shared" si="9"/>
        <v>13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>
        <v>11.55</v>
      </c>
      <c r="AF208" s="56">
        <v>13.9</v>
      </c>
      <c r="AG208" s="56">
        <v>14.9</v>
      </c>
      <c r="AH208" s="56">
        <v>14.55</v>
      </c>
      <c r="AI208" s="56">
        <v>12.7</v>
      </c>
      <c r="AJ208" s="56"/>
      <c r="AK208" s="56"/>
      <c r="AL208" s="56"/>
      <c r="AM208" s="56"/>
      <c r="AN208" s="56"/>
      <c r="AO208" s="56"/>
      <c r="AP208" s="58">
        <f t="shared" si="9"/>
        <v>25</v>
      </c>
      <c r="AQ208" s="71">
        <f t="shared" si="10"/>
        <v>13.791999999999998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>
        <v>11.55</v>
      </c>
      <c r="AE209" s="56">
        <v>11.4</v>
      </c>
      <c r="AF209" s="56">
        <v>10.65</v>
      </c>
      <c r="AG209" s="56">
        <v>11</v>
      </c>
      <c r="AH209" s="56">
        <v>10.85</v>
      </c>
      <c r="AI209" s="56">
        <v>11.25</v>
      </c>
      <c r="AJ209" s="56"/>
      <c r="AK209" s="56"/>
      <c r="AL209" s="56"/>
      <c r="AM209" s="56"/>
      <c r="AN209" s="56"/>
      <c r="AO209" s="56"/>
      <c r="AP209" s="58">
        <f t="shared" si="9"/>
        <v>25</v>
      </c>
      <c r="AQ209" s="71">
        <f t="shared" si="10"/>
        <v>11.096000000000002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>
        <v>16.600000000000001</v>
      </c>
      <c r="AF210" s="56">
        <v>16</v>
      </c>
      <c r="AG210" s="56">
        <v>15.55</v>
      </c>
      <c r="AH210" s="56">
        <v>15.25</v>
      </c>
      <c r="AI210" s="56">
        <v>14.75</v>
      </c>
      <c r="AJ210" s="56"/>
      <c r="AK210" s="56"/>
      <c r="AL210" s="56"/>
      <c r="AM210" s="56"/>
      <c r="AN210" s="56"/>
      <c r="AO210" s="56"/>
      <c r="AP210" s="58">
        <f t="shared" si="9"/>
        <v>25</v>
      </c>
      <c r="AQ210" s="71">
        <f t="shared" si="10"/>
        <v>15.735999999999999</v>
      </c>
      <c r="AR210" s="71">
        <f>IFERROR(VLOOKUP(A210,Climatologia_TMED!A:U,9+$E$2,FALSE),"")</f>
        <v>14.343130840767889</v>
      </c>
      <c r="AS210" s="71">
        <f t="shared" si="11"/>
        <v>1.3928691592321094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>
        <v>8.6499999999999986</v>
      </c>
      <c r="AG211" s="56">
        <v>8.3000000000000007</v>
      </c>
      <c r="AH211" s="56">
        <v>8.9499999999999993</v>
      </c>
      <c r="AI211" s="56">
        <v>7.9499999999999993</v>
      </c>
      <c r="AJ211" s="56"/>
      <c r="AK211" s="56"/>
      <c r="AL211" s="56"/>
      <c r="AM211" s="56"/>
      <c r="AN211" s="56"/>
      <c r="AO211" s="56"/>
      <c r="AP211" s="58">
        <f t="shared" si="9"/>
        <v>23</v>
      </c>
      <c r="AQ211" s="71">
        <f t="shared" si="10"/>
        <v>8.426086956521738</v>
      </c>
      <c r="AR211" s="71">
        <f>IFERROR(VLOOKUP(A211,Climatologia_TMED!A:U,9+$E$2,FALSE),"")</f>
        <v>8.1491623782224423</v>
      </c>
      <c r="AS211" s="71">
        <f t="shared" si="11"/>
        <v>0.27692457829929573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>
        <v>26.9</v>
      </c>
      <c r="AF212" s="56">
        <v>27</v>
      </c>
      <c r="AG212" s="56">
        <v>26.55</v>
      </c>
      <c r="AH212" s="56">
        <v>26.3</v>
      </c>
      <c r="AI212" s="56">
        <v>26.45</v>
      </c>
      <c r="AJ212" s="56"/>
      <c r="AK212" s="56"/>
      <c r="AL212" s="56"/>
      <c r="AM212" s="56"/>
      <c r="AN212" s="56"/>
      <c r="AO212" s="56"/>
      <c r="AP212" s="58">
        <f t="shared" si="9"/>
        <v>23</v>
      </c>
      <c r="AQ212" s="71">
        <f t="shared" si="10"/>
        <v>27.443478260869561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2026-08-26T15:07:22Z</dcterms:modified>
</cp:coreProperties>
</file>