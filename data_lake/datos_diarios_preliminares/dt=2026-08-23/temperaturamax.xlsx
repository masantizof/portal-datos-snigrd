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C1CFFC7-0F91-4F0D-870D-F35291A0A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Temperatura!$AE$1:$AF$288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S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W279" i="1" s="1"/>
  <c r="AT279" i="1"/>
  <c r="AR279" i="1"/>
  <c r="AP279" i="1"/>
  <c r="AQ279" i="1" s="1"/>
  <c r="AS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W273" i="1" s="1"/>
  <c r="AT273" i="1"/>
  <c r="AR273" i="1"/>
  <c r="AP273" i="1"/>
  <c r="AQ273" i="1" s="1"/>
  <c r="AS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W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W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W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W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W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W234" i="1" s="1"/>
  <c r="AT234" i="1"/>
  <c r="AR234" i="1"/>
  <c r="AP234" i="1"/>
  <c r="AQ234" i="1" s="1"/>
  <c r="AS234" i="1" s="1"/>
  <c r="AV233" i="1" a="1"/>
  <c r="AV233" i="1" s="1"/>
  <c r="AU233" i="1" a="1"/>
  <c r="AU233" i="1" s="1"/>
  <c r="AW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/>
  <c r="AU231" i="1" a="1"/>
  <c r="AU231" i="1" s="1"/>
  <c r="AT231" i="1"/>
  <c r="AR231" i="1"/>
  <c r="AP231" i="1"/>
  <c r="AQ231" i="1" s="1"/>
  <c r="AV230" i="1" a="1"/>
  <c r="AV230" i="1" s="1"/>
  <c r="AU230" i="1" a="1"/>
  <c r="AU230" i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W226" i="1" s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W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W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/>
  <c r="AT212" i="1"/>
  <c r="AR212" i="1"/>
  <c r="AP212" i="1"/>
  <c r="AQ212" i="1" s="1"/>
  <c r="AV211" i="1" a="1"/>
  <c r="AV211" i="1" s="1"/>
  <c r="AU211" i="1" a="1"/>
  <c r="AU211" i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W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/>
  <c r="AU198" i="1" a="1"/>
  <c r="AU198" i="1" s="1"/>
  <c r="AT198" i="1"/>
  <c r="AR198" i="1"/>
  <c r="AP198" i="1"/>
  <c r="AQ198" i="1" s="1"/>
  <c r="AV197" i="1" a="1"/>
  <c r="AV197" i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W171" i="1" s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W128" i="1" s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W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W105" i="1" s="1"/>
  <c r="AT105" i="1"/>
  <c r="AR105" i="1"/>
  <c r="AP105" i="1"/>
  <c r="AQ105" i="1" s="1"/>
  <c r="AV104" i="1" a="1"/>
  <c r="AV104" i="1" s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Q100" i="1"/>
  <c r="AP100" i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Q80" i="1"/>
  <c r="AS80" i="1" s="1"/>
  <c r="AP80" i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Q68" i="1"/>
  <c r="AS68" i="1" s="1"/>
  <c r="AP68" i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W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98" i="1" l="1"/>
  <c r="AS281" i="1"/>
  <c r="AW74" i="1"/>
  <c r="AS173" i="1"/>
  <c r="AS185" i="1"/>
  <c r="AW270" i="1"/>
  <c r="AS221" i="1"/>
  <c r="AW185" i="1"/>
  <c r="AW49" i="1"/>
  <c r="AW161" i="1"/>
  <c r="AS186" i="1"/>
  <c r="AW112" i="1"/>
  <c r="AW174" i="1"/>
  <c r="AS76" i="1"/>
  <c r="AS113" i="1"/>
  <c r="AW223" i="1"/>
  <c r="AS235" i="1"/>
  <c r="AS260" i="1"/>
  <c r="AS272" i="1"/>
  <c r="AW211" i="1"/>
  <c r="AW235" i="1"/>
  <c r="AW10" i="1"/>
  <c r="AS89" i="1"/>
  <c r="AW199" i="1"/>
  <c r="AW36" i="1"/>
  <c r="AW37" i="1"/>
  <c r="AS126" i="1"/>
  <c r="AS163" i="1"/>
  <c r="AS52" i="1"/>
  <c r="AW126" i="1"/>
  <c r="AS249" i="1"/>
  <c r="AW127" i="1"/>
  <c r="AW139" i="1"/>
  <c r="AS66" i="1"/>
  <c r="AS103" i="1"/>
  <c r="AS213" i="1"/>
  <c r="AS152" i="1"/>
  <c r="AW274" i="1"/>
  <c r="AW115" i="1"/>
  <c r="AS226" i="1"/>
  <c r="AS214" i="1"/>
  <c r="AW41" i="1"/>
  <c r="AS92" i="1"/>
  <c r="AS116" i="1"/>
  <c r="AS153" i="1"/>
  <c r="AW190" i="1"/>
  <c r="AW263" i="1"/>
  <c r="AW116" i="1"/>
  <c r="AW153" i="1"/>
  <c r="AS227" i="1"/>
  <c r="AS17" i="1"/>
  <c r="AS105" i="1"/>
  <c r="AS215" i="1"/>
  <c r="AS276" i="1"/>
  <c r="AS252" i="1"/>
  <c r="AW35" i="1"/>
  <c r="AS142" i="1"/>
  <c r="AS167" i="1"/>
  <c r="AS179" i="1"/>
  <c r="AW68" i="1"/>
  <c r="AW252" i="1"/>
  <c r="AS106" i="1"/>
  <c r="AW130" i="1"/>
  <c r="AS265" i="1"/>
  <c r="AS31" i="1"/>
  <c r="AS69" i="1"/>
  <c r="AS94" i="1"/>
  <c r="AS143" i="1"/>
  <c r="AW69" i="1"/>
  <c r="AW155" i="1"/>
  <c r="AS82" i="1"/>
  <c r="AS217" i="1"/>
  <c r="AS278" i="1"/>
  <c r="AW57" i="1"/>
  <c r="AS70" i="1"/>
  <c r="AW241" i="1"/>
  <c r="AS181" i="1"/>
  <c r="AS38" i="1"/>
  <c r="AW119" i="1"/>
  <c r="AS132" i="1"/>
  <c r="AW156" i="1"/>
  <c r="AS230" i="1"/>
  <c r="AW12" i="1"/>
  <c r="AS120" i="1"/>
  <c r="AW132" i="1"/>
  <c r="AS157" i="1"/>
  <c r="AW169" i="1"/>
  <c r="AS182" i="1"/>
  <c r="AW206" i="1"/>
  <c r="AW108" i="1"/>
  <c r="AW120" i="1"/>
  <c r="AW32" i="1"/>
  <c r="AW170" i="1"/>
  <c r="AW21" i="1"/>
  <c r="AS47" i="1"/>
  <c r="AW84" i="1"/>
  <c r="AS57" i="1"/>
  <c r="AS8" i="1"/>
  <c r="AW24" i="1"/>
  <c r="AW280" i="1"/>
  <c r="AS6" i="1"/>
  <c r="AW20" i="1"/>
  <c r="AS35" i="1"/>
  <c r="AS122" i="1"/>
  <c r="AW183" i="1"/>
  <c r="AS232" i="1"/>
  <c r="AS269" i="1"/>
  <c r="AW51" i="1"/>
  <c r="AS111" i="1"/>
  <c r="AW134" i="1"/>
  <c r="AW146" i="1"/>
  <c r="AS158" i="1"/>
  <c r="AS193" i="1"/>
  <c r="AS239" i="1"/>
  <c r="AS250" i="1"/>
  <c r="AS282" i="1"/>
  <c r="AW158" i="1"/>
  <c r="AS170" i="1"/>
  <c r="AW193" i="1"/>
  <c r="AS216" i="1"/>
  <c r="AW239" i="1"/>
  <c r="AS205" i="1"/>
  <c r="AS228" i="1"/>
  <c r="AW64" i="1"/>
  <c r="AS147" i="1"/>
  <c r="AS159" i="1"/>
  <c r="AS194" i="1"/>
  <c r="AW205" i="1"/>
  <c r="AW216" i="1"/>
  <c r="AW228" i="1"/>
  <c r="AS251" i="1"/>
  <c r="AS262" i="1"/>
  <c r="AW76" i="1"/>
  <c r="AS88" i="1"/>
  <c r="AS100" i="1"/>
  <c r="AS283" i="1"/>
  <c r="AW147" i="1"/>
  <c r="AW159" i="1"/>
  <c r="AW262" i="1"/>
  <c r="AW40" i="1"/>
  <c r="AS65" i="1"/>
  <c r="AW88" i="1"/>
  <c r="AW100" i="1"/>
  <c r="AS171" i="1"/>
  <c r="AW182" i="1"/>
  <c r="AS206" i="1"/>
  <c r="AS229" i="1"/>
  <c r="AW283" i="1"/>
  <c r="AW217" i="1"/>
  <c r="AW229" i="1"/>
  <c r="AS284" i="1"/>
  <c r="AS125" i="1"/>
  <c r="AS183" i="1"/>
  <c r="AW195" i="1"/>
  <c r="AS218" i="1"/>
  <c r="AW75" i="1"/>
  <c r="AW148" i="1"/>
  <c r="AW111" i="1"/>
  <c r="AS78" i="1"/>
  <c r="AW113" i="1"/>
  <c r="AW125" i="1"/>
  <c r="AS137" i="1"/>
  <c r="AW218" i="1"/>
  <c r="AW54" i="1"/>
  <c r="AW78" i="1"/>
  <c r="AS90" i="1"/>
  <c r="AW172" i="1"/>
  <c r="AW230" i="1"/>
  <c r="AW42" i="1"/>
  <c r="AS242" i="1"/>
  <c r="AW253" i="1"/>
  <c r="AS264" i="1"/>
  <c r="AW18" i="1"/>
  <c r="AS79" i="1"/>
  <c r="AW90" i="1"/>
  <c r="AW114" i="1"/>
  <c r="AS138" i="1"/>
  <c r="AW242" i="1"/>
  <c r="AW264" i="1"/>
  <c r="AS29" i="1"/>
  <c r="AS42" i="1"/>
  <c r="AS43" i="1"/>
  <c r="AW79" i="1"/>
  <c r="AS91" i="1"/>
  <c r="AS162" i="1"/>
  <c r="AS231" i="1"/>
  <c r="AW275" i="1"/>
  <c r="AW138" i="1"/>
  <c r="AS286" i="1"/>
  <c r="AW5" i="1"/>
  <c r="AW91" i="1"/>
  <c r="AS127" i="1"/>
  <c r="AW162" i="1"/>
  <c r="AS174" i="1"/>
  <c r="AS197" i="1"/>
  <c r="AS19" i="1"/>
  <c r="AW31" i="1"/>
  <c r="AS115" i="1"/>
  <c r="AW150" i="1"/>
  <c r="AW286" i="1"/>
  <c r="AW197" i="1"/>
  <c r="AS255" i="1"/>
  <c r="AW265" i="1"/>
  <c r="AW87" i="1"/>
  <c r="AW56" i="1"/>
  <c r="AW209" i="1"/>
  <c r="AW243" i="1"/>
  <c r="AW276" i="1"/>
  <c r="AW44" i="1"/>
  <c r="AW80" i="1"/>
  <c r="AS104" i="1"/>
  <c r="AS151" i="1"/>
  <c r="AW163" i="1"/>
  <c r="AS175" i="1"/>
  <c r="AW255" i="1"/>
  <c r="AS266" i="1"/>
  <c r="AS287" i="1"/>
  <c r="AS128" i="1"/>
  <c r="AS198" i="1"/>
  <c r="AW221" i="1"/>
  <c r="AW99" i="1"/>
  <c r="AW29" i="1"/>
  <c r="AW287" i="1"/>
  <c r="AW53" i="1"/>
  <c r="AW151" i="1"/>
  <c r="AW198" i="1"/>
  <c r="AS210" i="1"/>
  <c r="AS244" i="1"/>
  <c r="AS277" i="1"/>
  <c r="AW19" i="1"/>
  <c r="AW8" i="1"/>
  <c r="AS33" i="1"/>
  <c r="AW45" i="1"/>
  <c r="AW81" i="1"/>
  <c r="AW93" i="1"/>
  <c r="AW210" i="1"/>
  <c r="AW244" i="1"/>
  <c r="AW277" i="1"/>
  <c r="AS54" i="1"/>
  <c r="AS129" i="1"/>
  <c r="AW39" i="1"/>
  <c r="AW52" i="1"/>
  <c r="AW7" i="1"/>
  <c r="AS21" i="1"/>
  <c r="AS58" i="1"/>
  <c r="AS117" i="1"/>
  <c r="AS141" i="1"/>
  <c r="AW164" i="1"/>
  <c r="AS199" i="1"/>
  <c r="AW222" i="1"/>
  <c r="AS267" i="1"/>
  <c r="AW176" i="1"/>
  <c r="AW267" i="1"/>
  <c r="AW58" i="1"/>
  <c r="AW82" i="1"/>
  <c r="AS211" i="1"/>
  <c r="AS223" i="1"/>
  <c r="AW94" i="1"/>
  <c r="AS130" i="1"/>
  <c r="AW245" i="1"/>
  <c r="AS257" i="1"/>
  <c r="AS22" i="1"/>
  <c r="AW34" i="1"/>
  <c r="AS59" i="1"/>
  <c r="AW181" i="1"/>
  <c r="AS77" i="1"/>
  <c r="AW106" i="1"/>
  <c r="AS268" i="1"/>
  <c r="AW22" i="1"/>
  <c r="AS71" i="1"/>
  <c r="AS95" i="1"/>
  <c r="AW118" i="1"/>
  <c r="AW177" i="1"/>
  <c r="AS189" i="1"/>
  <c r="AS246" i="1"/>
  <c r="AW71" i="1"/>
  <c r="AW95" i="1"/>
  <c r="AS107" i="1"/>
  <c r="AS131" i="1"/>
  <c r="AS166" i="1"/>
  <c r="AW189" i="1"/>
  <c r="AS212" i="1"/>
  <c r="AS258" i="1"/>
  <c r="AW268" i="1"/>
  <c r="AW83" i="1"/>
  <c r="AW16" i="1"/>
  <c r="AS23" i="1"/>
  <c r="AS48" i="1"/>
  <c r="AW107" i="1"/>
  <c r="AS119" i="1"/>
  <c r="AW131" i="1"/>
  <c r="AW154" i="1"/>
  <c r="AW166" i="1"/>
  <c r="AS178" i="1"/>
  <c r="AS201" i="1"/>
  <c r="AW212" i="1"/>
  <c r="AS224" i="1"/>
  <c r="AW27" i="1"/>
  <c r="AW6" i="1"/>
  <c r="AP2" i="1"/>
  <c r="AW11" i="1"/>
  <c r="AS36" i="1"/>
  <c r="AW48" i="1"/>
  <c r="AW60" i="1"/>
  <c r="AS96" i="1"/>
  <c r="AS155" i="1"/>
  <c r="AW178" i="1"/>
  <c r="AS190" i="1"/>
  <c r="AS236" i="1"/>
  <c r="AS247" i="1"/>
  <c r="AW72" i="1"/>
  <c r="AS84" i="1"/>
  <c r="AS108" i="1"/>
  <c r="AS259" i="1"/>
  <c r="AW236" i="1"/>
  <c r="AW247" i="1"/>
  <c r="AW259" i="1"/>
  <c r="AW61" i="1"/>
  <c r="AS73" i="1"/>
  <c r="AS270" i="1"/>
  <c r="AW67" i="1"/>
  <c r="AW144" i="1"/>
  <c r="AW202" i="1"/>
  <c r="AW179" i="1"/>
  <c r="AW191" i="1"/>
  <c r="AS13" i="1"/>
  <c r="AS25" i="1"/>
  <c r="AS50" i="1"/>
  <c r="AS62" i="1"/>
  <c r="AW85" i="1"/>
  <c r="AW109" i="1"/>
  <c r="AS121" i="1"/>
  <c r="AS133" i="1"/>
  <c r="AS168" i="1"/>
  <c r="AW237" i="1"/>
  <c r="AW248" i="1"/>
  <c r="AS145" i="1"/>
  <c r="AS203" i="1"/>
  <c r="AW214" i="1"/>
  <c r="AS271" i="1"/>
  <c r="AW15" i="1"/>
  <c r="AW260" i="1"/>
  <c r="AS86" i="1"/>
  <c r="AS110" i="1"/>
  <c r="AW145" i="1"/>
  <c r="AS180" i="1"/>
  <c r="AS192" i="1"/>
  <c r="AW203" i="1"/>
  <c r="AS238" i="1"/>
  <c r="AW271" i="1"/>
  <c r="AW17" i="1"/>
  <c r="AS14" i="1"/>
  <c r="AS26" i="1"/>
  <c r="AW38" i="1"/>
  <c r="AS63" i="1"/>
  <c r="AW86" i="1"/>
  <c r="AS169" i="1"/>
  <c r="AW180" i="1"/>
  <c r="AW192" i="1"/>
  <c r="AW238" i="1"/>
  <c r="AW249" i="1"/>
  <c r="AW281" i="1"/>
  <c r="AS134" i="1"/>
  <c r="AS146" i="1"/>
  <c r="AS204" i="1"/>
  <c r="AW227" i="1"/>
  <c r="AW63" i="1"/>
  <c r="AS75" i="1"/>
  <c r="AS99" i="1"/>
  <c r="AS261" i="1"/>
  <c r="AW123" i="1"/>
  <c r="AW135" i="1"/>
  <c r="AW194" i="1"/>
  <c r="AW251" i="1"/>
  <c r="AW136" i="1"/>
  <c r="AW89" i="1"/>
  <c r="AW101" i="1"/>
  <c r="AW160" i="1"/>
  <c r="AW66" i="1"/>
  <c r="AW207" i="1"/>
  <c r="AW30" i="1"/>
  <c r="AW102" i="1"/>
  <c r="AW149" i="1"/>
  <c r="AW196" i="1"/>
  <c r="AW219" i="1"/>
  <c r="AW173" i="1"/>
  <c r="AW231" i="1"/>
  <c r="AW254" i="1"/>
  <c r="AW232" i="1"/>
  <c r="AW175" i="1"/>
  <c r="AW187" i="1"/>
  <c r="AW33" i="1"/>
  <c r="AW129" i="1"/>
  <c r="AW256" i="1"/>
  <c r="AW46" i="1"/>
  <c r="AW288" i="1"/>
  <c r="AW257" i="1"/>
  <c r="AW59" i="1"/>
  <c r="AW142" i="1"/>
  <c r="AW200" i="1"/>
  <c r="AW258" i="1"/>
  <c r="AW143" i="1"/>
  <c r="AW224" i="1"/>
  <c r="AW269" i="1"/>
  <c r="AW167" i="1"/>
  <c r="AW213" i="1"/>
  <c r="AW225" i="1"/>
  <c r="AW13" i="1"/>
  <c r="AW25" i="1"/>
  <c r="AW50" i="1"/>
  <c r="AW62" i="1"/>
  <c r="AW121" i="1"/>
  <c r="AW133" i="1"/>
  <c r="AW168" i="1"/>
  <c r="AW98" i="1"/>
  <c r="AW157" i="1"/>
  <c r="AW23" i="1"/>
  <c r="AW14" i="1"/>
  <c r="AW2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<sst xmlns="http://schemas.openxmlformats.org/spreadsheetml/2006/main" count="3701" uniqueCount="1289">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</sst>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K240" zoomScale="70" zoomScaleNormal="70" workbookViewId="0">
      <selection activeCell="AD1" sqref="AD1:AF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4" width="32.42578125" style="51" customWidth="1"/>
    <col min="17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40</v>
      </c>
      <c r="AF2" s="92">
        <f t="shared" si="0"/>
        <v>38.4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>
        <v>32.5</v>
      </c>
      <c r="AF5" s="66">
        <v>32.200000000000003</v>
      </c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22</v>
      </c>
      <c r="AQ5" s="68">
        <f t="shared" ref="AQ5:AQ68" si="2">IF(AP5&gt;14,AVERAGE(K5:AO5),"")</f>
        <v>31.681818181818187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1.1658747123939968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>
        <v>31.9</v>
      </c>
      <c r="AF6" s="66">
        <v>32.200000000000003</v>
      </c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22</v>
      </c>
      <c r="AQ6" s="68">
        <f t="shared" si="2"/>
        <v>31.754545454545454</v>
      </c>
      <c r="AR6" s="68">
        <f>IFERROR(VLOOKUP(A6,Climatologia_TMAX!A:U,9+$E$2,FALSE),"")</f>
        <v>31.046424304488809</v>
      </c>
      <c r="AS6" s="68">
        <f t="shared" si="3"/>
        <v>0.70812115005664467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117">
        <v>39.6</v>
      </c>
      <c r="AF7" s="66">
        <v>34</v>
      </c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22</v>
      </c>
      <c r="AQ7" s="68">
        <f t="shared" si="2"/>
        <v>35.327272727272728</v>
      </c>
      <c r="AR7" s="68">
        <f>IFERROR(VLOOKUP(A7,Climatologia_TMAX!A:U,9+$E$2,FALSE),"")</f>
        <v>33.115285708400279</v>
      </c>
      <c r="AS7" s="68">
        <f t="shared" si="3"/>
        <v>2.2119870188724491</v>
      </c>
      <c r="AT7" s="74">
        <f t="shared" si="4"/>
        <v>39.6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1.2000000000000028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>
        <v>34.6</v>
      </c>
      <c r="AF8" s="66">
        <v>32.1</v>
      </c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22</v>
      </c>
      <c r="AQ8" s="68">
        <f t="shared" si="2"/>
        <v>33.490909090909092</v>
      </c>
      <c r="AR8" s="68">
        <f>IFERROR(VLOOKUP(A8,Climatologia_TMAX!A:U,9+$E$2,FALSE),"")</f>
        <v>32.243805889046577</v>
      </c>
      <c r="AS8" s="68">
        <f t="shared" si="3"/>
        <v>1.2471032018625152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>
        <v>38</v>
      </c>
      <c r="AF9" s="66">
        <v>32.4</v>
      </c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22</v>
      </c>
      <c r="AQ9" s="68">
        <f t="shared" si="2"/>
        <v>34.872727272727268</v>
      </c>
      <c r="AR9" s="68">
        <f>IFERROR(VLOOKUP(A9,Climatologia_TMAX!A:U,9+$E$2,FALSE),"")</f>
        <v>33.507160697070823</v>
      </c>
      <c r="AS9" s="68">
        <f t="shared" si="3"/>
        <v>1.3655665756564446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-0.70000000000000284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>
        <v>37</v>
      </c>
      <c r="AF10" s="66">
        <v>34.5</v>
      </c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22</v>
      </c>
      <c r="AQ10" s="68">
        <f t="shared" si="2"/>
        <v>36.804545454545455</v>
      </c>
      <c r="AR10" s="68">
        <f>IFERROR(VLOOKUP(A10,Climatologia_TMAX!A:U,9+$E$2,FALSE),"")</f>
        <v>35.037947033054557</v>
      </c>
      <c r="AS10" s="68">
        <f t="shared" si="3"/>
        <v>1.7665984214908974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>
        <v>39.5</v>
      </c>
      <c r="AF11" s="66">
        <v>38.299999999999997</v>
      </c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22</v>
      </c>
      <c r="AQ11" s="68">
        <f t="shared" si="2"/>
        <v>39.268181818181816</v>
      </c>
      <c r="AR11" s="68">
        <f>IFERROR(VLOOKUP(A11,Climatologia_TMAX!A:U,9+$E$2,FALSE),"")</f>
        <v>35.179462365591398</v>
      </c>
      <c r="AS11" s="68">
        <f t="shared" si="3"/>
        <v>4.0887194525904178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>
        <v>36.6</v>
      </c>
      <c r="AF12" s="66">
        <v>31</v>
      </c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22</v>
      </c>
      <c r="AQ12" s="68">
        <f t="shared" si="2"/>
        <v>34.472727272727276</v>
      </c>
      <c r="AR12" s="68">
        <f>IFERROR(VLOOKUP(A12,Climatologia_TMAX!A:U,9+$E$2,FALSE),"")</f>
        <v>33.065084280874721</v>
      </c>
      <c r="AS12" s="68">
        <f t="shared" si="3"/>
        <v>1.4076429918525548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>
        <v>34.6</v>
      </c>
      <c r="AF13" s="66">
        <v>32.9</v>
      </c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22</v>
      </c>
      <c r="AQ13" s="68">
        <f t="shared" si="2"/>
        <v>35.400000000000006</v>
      </c>
      <c r="AR13" s="68">
        <f>IFERROR(VLOOKUP(A13,Climatologia_TMAX!A:U,9+$E$2,FALSE),"")</f>
        <v>32.703385242862417</v>
      </c>
      <c r="AS13" s="68">
        <f t="shared" si="3"/>
        <v>2.6966147571375885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>
        <v>27.6</v>
      </c>
      <c r="AF14" s="66">
        <v>27.4</v>
      </c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22</v>
      </c>
      <c r="AQ14" s="68">
        <f t="shared" si="2"/>
        <v>28.995454545454546</v>
      </c>
      <c r="AR14" s="68">
        <f>IFERROR(VLOOKUP(A14,Climatologia_TMAX!A:U,9+$E$2,FALSE),"")</f>
        <v>26.343645559538029</v>
      </c>
      <c r="AS14" s="68">
        <f t="shared" si="3"/>
        <v>2.6518089859165173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>
        <v>37.6</v>
      </c>
      <c r="AF15" s="66">
        <v>36.5</v>
      </c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22</v>
      </c>
      <c r="AQ15" s="68">
        <f t="shared" si="2"/>
        <v>35.786363636363646</v>
      </c>
      <c r="AR15" s="68">
        <f>IFERROR(VLOOKUP(A15,Climatologia_TMAX!A:U,9+$E$2,FALSE),"")</f>
        <v>34.207406451612897</v>
      </c>
      <c r="AS15" s="68">
        <f t="shared" si="3"/>
        <v>1.5789571847507489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>
        <v>34.4</v>
      </c>
      <c r="AF16" s="66">
        <v>28.7</v>
      </c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22</v>
      </c>
      <c r="AQ16" s="68">
        <f t="shared" si="2"/>
        <v>32.009090909090908</v>
      </c>
      <c r="AR16" s="68">
        <f>IFERROR(VLOOKUP(A16,Climatologia_TMAX!A:U,9+$E$2,FALSE),"")</f>
        <v>31.919167946748601</v>
      </c>
      <c r="AS16" s="68">
        <f t="shared" si="3"/>
        <v>8.9922962342306789E-2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>
        <v>31.5</v>
      </c>
      <c r="AF17" s="66">
        <v>30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22</v>
      </c>
      <c r="AQ17" s="68">
        <f t="shared" si="2"/>
        <v>30.918181818181814</v>
      </c>
      <c r="AR17" s="68">
        <f>IFERROR(VLOOKUP(A17,Climatologia_TMAX!A:U,9+$E$2,FALSE),"")</f>
        <v>28.699699180747569</v>
      </c>
      <c r="AS17" s="68">
        <f t="shared" si="3"/>
        <v>2.2184826374342457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>
        <v>24.7</v>
      </c>
      <c r="AF18" s="66">
        <v>23.7</v>
      </c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22</v>
      </c>
      <c r="AQ18" s="68">
        <f t="shared" si="2"/>
        <v>24.5</v>
      </c>
      <c r="AR18" s="68">
        <f>IFERROR(VLOOKUP(A18,Climatologia_TMAX!A:U,9+$E$2,FALSE),"")</f>
        <v>22.70234743584826</v>
      </c>
      <c r="AS18" s="68">
        <f t="shared" si="3"/>
        <v>1.7976525641517398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>
        <v>30.4</v>
      </c>
      <c r="AF19" s="66">
        <v>28.4</v>
      </c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22</v>
      </c>
      <c r="AQ19" s="68">
        <f t="shared" si="2"/>
        <v>29.518181818181816</v>
      </c>
      <c r="AR19" s="68">
        <f>IFERROR(VLOOKUP(A19,Climatologia_TMAX!A:U,9+$E$2,FALSE),"")</f>
        <v>27.308103225806452</v>
      </c>
      <c r="AS19" s="68">
        <f t="shared" si="3"/>
        <v>2.2100785923753641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>
        <v>32.1</v>
      </c>
      <c r="AF20" s="66">
        <v>30.1</v>
      </c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22</v>
      </c>
      <c r="AQ20" s="68">
        <f t="shared" si="2"/>
        <v>30.818181818181824</v>
      </c>
      <c r="AR20" s="68">
        <f>IFERROR(VLOOKUP(A20,Climatologia_TMAX!A:U,9+$E$2,FALSE),"")</f>
        <v>28.821983273596171</v>
      </c>
      <c r="AS20" s="68">
        <f t="shared" si="3"/>
        <v>1.9961985445856527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>
        <v>34.4</v>
      </c>
      <c r="AF21" s="66">
        <v>32.299999999999997</v>
      </c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22</v>
      </c>
      <c r="AQ21" s="68">
        <f t="shared" si="2"/>
        <v>34.099999999999994</v>
      </c>
      <c r="AR21" s="68">
        <f>IFERROR(VLOOKUP(A21,Climatologia_TMAX!A:U,9+$E$2,FALSE),"")</f>
        <v>31.558535251017972</v>
      </c>
      <c r="AS21" s="68">
        <f t="shared" si="3"/>
        <v>2.5414647489820226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>
        <v>20.399999999999999</v>
      </c>
      <c r="AF22" s="66">
        <v>19.3</v>
      </c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22</v>
      </c>
      <c r="AQ22" s="68">
        <f t="shared" si="2"/>
        <v>19.995454545454542</v>
      </c>
      <c r="AR22" s="68">
        <f>IFERROR(VLOOKUP(A22,Climatologia_TMAX!A:U,9+$E$2,FALSE),"")</f>
        <v>18.772940161432931</v>
      </c>
      <c r="AS22" s="68">
        <f t="shared" si="3"/>
        <v>1.2225143840216113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>
        <v>33.9</v>
      </c>
      <c r="AF23" s="66">
        <v>32.799999999999997</v>
      </c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22</v>
      </c>
      <c r="AQ23" s="68">
        <f t="shared" si="2"/>
        <v>32.468181818181819</v>
      </c>
      <c r="AR23" s="68">
        <f>IFERROR(VLOOKUP(A23,Climatologia_TMAX!A:U,9+$E$2,FALSE),"")</f>
        <v>31.11792011972717</v>
      </c>
      <c r="AS23" s="68">
        <f t="shared" si="3"/>
        <v>1.3502616984546485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>
        <v>36.799999999999997</v>
      </c>
      <c r="AF24" s="66">
        <v>33</v>
      </c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22</v>
      </c>
      <c r="AQ24" s="68">
        <f t="shared" si="2"/>
        <v>35.918181818181814</v>
      </c>
      <c r="AR24" s="68">
        <f>IFERROR(VLOOKUP(A24,Climatologia_TMAX!A:U,9+$E$2,FALSE),"")</f>
        <v>34.619032258064507</v>
      </c>
      <c r="AS24" s="68">
        <f t="shared" si="3"/>
        <v>1.2991495601173071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>
        <v>28.3</v>
      </c>
      <c r="AF25" s="66">
        <v>27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22</v>
      </c>
      <c r="AQ25" s="68">
        <f t="shared" si="2"/>
        <v>27.177272727272726</v>
      </c>
      <c r="AR25" s="68">
        <f>IFERROR(VLOOKUP(A25,Climatologia_TMAX!A:U,9+$E$2,FALSE),"")</f>
        <v>26.14732965766952</v>
      </c>
      <c r="AS25" s="68">
        <f t="shared" si="3"/>
        <v>1.0299430696032061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>
        <v>15.4</v>
      </c>
      <c r="AF26" s="66">
        <v>16.600000000000001</v>
      </c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22</v>
      </c>
      <c r="AQ26" s="68">
        <f t="shared" si="2"/>
        <v>15.472727272727271</v>
      </c>
      <c r="AR26" s="68">
        <f>IFERROR(VLOOKUP(A26,Climatologia_TMAX!A:U,9+$E$2,FALSE),"")</f>
        <v>14.98521690767519</v>
      </c>
      <c r="AS26" s="68">
        <f t="shared" si="3"/>
        <v>0.48751036505208134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>
        <v>33.4</v>
      </c>
      <c r="AF27" s="66">
        <v>29.4</v>
      </c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22</v>
      </c>
      <c r="AQ27" s="68">
        <f t="shared" si="2"/>
        <v>32.136363636363633</v>
      </c>
      <c r="AR27" s="68">
        <f>IFERROR(VLOOKUP(A27,Climatologia_TMAX!A:U,9+$E$2,FALSE),"")</f>
        <v>31.229699666295879</v>
      </c>
      <c r="AS27" s="68">
        <f t="shared" si="3"/>
        <v>0.90666397006775412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>
        <v>32.299999999999997</v>
      </c>
      <c r="AF28" s="66">
        <v>33.299999999999997</v>
      </c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22</v>
      </c>
      <c r="AQ28" s="68">
        <f t="shared" si="2"/>
        <v>32.34545454545453</v>
      </c>
      <c r="AR28" s="68">
        <f>IFERROR(VLOOKUP(A28,Climatologia_TMAX!A:U,9+$E$2,FALSE),"")</f>
        <v>30.80035842293907</v>
      </c>
      <c r="AS28" s="68">
        <f t="shared" si="3"/>
        <v>1.54509612251546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>
        <v>29.4</v>
      </c>
      <c r="AF29" s="66">
        <v>32.6</v>
      </c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22</v>
      </c>
      <c r="AQ29" s="68">
        <f t="shared" si="2"/>
        <v>32.059090909090912</v>
      </c>
      <c r="AR29" s="68">
        <f>IFERROR(VLOOKUP(A29,Climatologia_TMAX!A:U,9+$E$2,FALSE),"")</f>
        <v>31.513637374860959</v>
      </c>
      <c r="AS29" s="68">
        <f t="shared" si="3"/>
        <v>0.54545353422995291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>
        <v>30.4</v>
      </c>
      <c r="AF30" s="66">
        <v>30</v>
      </c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22</v>
      </c>
      <c r="AQ30" s="68">
        <f t="shared" si="2"/>
        <v>30.827272727272724</v>
      </c>
      <c r="AR30" s="68">
        <f>IFERROR(VLOOKUP(A30,Climatologia_TMAX!A:U,9+$E$2,FALSE),"")</f>
        <v>29.807563959955498</v>
      </c>
      <c r="AS30" s="68">
        <f t="shared" si="3"/>
        <v>1.0197087673172263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>
        <v>29.6</v>
      </c>
      <c r="AF31" s="105">
        <v>31.9</v>
      </c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22</v>
      </c>
      <c r="AQ31" s="68">
        <f t="shared" si="2"/>
        <v>31.822727272727274</v>
      </c>
      <c r="AR31" s="68">
        <f>IFERROR(VLOOKUP(A31,Climatologia_TMAX!A:U,9+$E$2,FALSE),"")</f>
        <v>31.390004135649299</v>
      </c>
      <c r="AS31" s="68">
        <f t="shared" si="3"/>
        <v>0.43272313707797494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>
        <v>26.8</v>
      </c>
      <c r="AF33" s="66">
        <v>24.4</v>
      </c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22</v>
      </c>
      <c r="AQ33" s="68">
        <f t="shared" si="2"/>
        <v>26.109090909090902</v>
      </c>
      <c r="AR33" s="68">
        <f>IFERROR(VLOOKUP(A33,Climatologia_TMAX!A:U,9+$E$2,FALSE),"")</f>
        <v>24.65905872628246</v>
      </c>
      <c r="AS33" s="68">
        <f t="shared" si="3"/>
        <v>1.4500321828084424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>
        <v>37.799999999999997</v>
      </c>
      <c r="AF36" s="66">
        <v>37.6</v>
      </c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22</v>
      </c>
      <c r="AQ36" s="68">
        <f t="shared" si="2"/>
        <v>37.81818181818182</v>
      </c>
      <c r="AR36" s="68">
        <f>IFERROR(VLOOKUP(A36,Climatologia_TMAX!A:U,9+$E$2,FALSE),"")</f>
        <v>34.16273657398132</v>
      </c>
      <c r="AS36" s="68">
        <f t="shared" si="3"/>
        <v>3.6554452442005001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>
        <v>29</v>
      </c>
      <c r="AF38" s="66">
        <v>27.4</v>
      </c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22</v>
      </c>
      <c r="AQ38" s="68">
        <f t="shared" si="2"/>
        <v>28.654545454545453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>
        <v>27.2</v>
      </c>
      <c r="AE39" s="66">
        <v>27.2</v>
      </c>
      <c r="AF39" s="66">
        <v>26.4</v>
      </c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22</v>
      </c>
      <c r="AQ39" s="68">
        <f t="shared" si="2"/>
        <v>27.122727272727275</v>
      </c>
      <c r="AR39" s="68">
        <f>IFERROR(VLOOKUP(A39,Climatologia_TMAX!A:U,9+$E$2,FALSE),"")</f>
        <v>23.769828120099859</v>
      </c>
      <c r="AS39" s="68">
        <f t="shared" si="3"/>
        <v>3.3528991526274154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>
        <v>22.8</v>
      </c>
      <c r="AF40" s="66">
        <v>21.6</v>
      </c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22</v>
      </c>
      <c r="AQ40" s="68">
        <f t="shared" si="2"/>
        <v>22.190909090909091</v>
      </c>
      <c r="AR40" s="68">
        <f>IFERROR(VLOOKUP(A40,Climatologia_TMAX!A:U,9+$E$2,FALSE),"")</f>
        <v>20.644739340007408</v>
      </c>
      <c r="AS40" s="68">
        <f t="shared" si="3"/>
        <v>1.546169750901683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>
        <v>33</v>
      </c>
      <c r="AF42" s="66">
        <v>32</v>
      </c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22</v>
      </c>
      <c r="AQ42" s="68">
        <f t="shared" si="2"/>
        <v>32.572727272727271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>
        <v>34.200000000000003</v>
      </c>
      <c r="AF43" s="66">
        <v>30.6</v>
      </c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22</v>
      </c>
      <c r="AQ43" s="68">
        <f t="shared" si="2"/>
        <v>32.77272727272728</v>
      </c>
      <c r="AR43" s="68">
        <f>IFERROR(VLOOKUP(A43,Climatologia_TMAX!A:U,9+$E$2,FALSE),"")</f>
        <v>31.773456872106181</v>
      </c>
      <c r="AS43" s="68">
        <f t="shared" si="3"/>
        <v>0.99927040062109995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>
        <v>27</v>
      </c>
      <c r="AF44" s="66">
        <v>27.8</v>
      </c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21</v>
      </c>
      <c r="AQ44" s="68">
        <f t="shared" si="2"/>
        <v>27.961904761904758</v>
      </c>
      <c r="AR44" s="68">
        <f>IFERROR(VLOOKUP(A44,Climatologia_TMAX!A:U,9+$E$2,FALSE),"")</f>
        <v>23.004822024471629</v>
      </c>
      <c r="AS44" s="68">
        <f t="shared" si="3"/>
        <v>4.9570827374331294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>
        <v>36.6</v>
      </c>
      <c r="AF45" s="66">
        <v>33.6</v>
      </c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22</v>
      </c>
      <c r="AQ45" s="68">
        <f t="shared" si="2"/>
        <v>35.327272727272735</v>
      </c>
      <c r="AR45" s="68">
        <f>IFERROR(VLOOKUP(A45,Climatologia_TMAX!A:U,9+$E$2,FALSE),"")</f>
        <v>32.923758320532507</v>
      </c>
      <c r="AS45" s="68">
        <f t="shared" si="3"/>
        <v>2.4035144067402285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>
        <v>32</v>
      </c>
      <c r="AF46" s="66">
        <v>30.2</v>
      </c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22</v>
      </c>
      <c r="AQ46" s="68">
        <f t="shared" si="2"/>
        <v>31.618181818181821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>
        <v>36.4</v>
      </c>
      <c r="AF49" s="66">
        <v>32</v>
      </c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22</v>
      </c>
      <c r="AQ49" s="68">
        <f t="shared" si="2"/>
        <v>34.613636363636367</v>
      </c>
      <c r="AR49" s="68">
        <f>IFERROR(VLOOKUP(A49,Climatologia_TMAX!A:U,9+$E$2,FALSE),"")</f>
        <v>32.535336464610658</v>
      </c>
      <c r="AS49" s="68">
        <f t="shared" si="3"/>
        <v>2.0782998990257084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>
        <v>33.799999999999997</v>
      </c>
      <c r="AF52" s="66">
        <v>32.200000000000003</v>
      </c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22</v>
      </c>
      <c r="AQ52" s="68">
        <f t="shared" si="2"/>
        <v>32.445454545454545</v>
      </c>
      <c r="AR52" s="68">
        <f>IFERROR(VLOOKUP(A52,Climatologia_TMAX!A:U,9+$E$2,FALSE),"")</f>
        <v>31.265434885322311</v>
      </c>
      <c r="AS52" s="68">
        <f t="shared" si="3"/>
        <v>1.1800196601322348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>
        <v>34</v>
      </c>
      <c r="AF53" s="66">
        <v>29.2</v>
      </c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22</v>
      </c>
      <c r="AQ53" s="68">
        <f t="shared" si="2"/>
        <v>33.645454545454555</v>
      </c>
      <c r="AR53" s="68">
        <f>IFERROR(VLOOKUP(A53,Climatologia_TMAX!A:U,9+$E$2,FALSE),"")</f>
        <v>32.397587365591413</v>
      </c>
      <c r="AS53" s="68">
        <f t="shared" si="3"/>
        <v>1.2478671798631424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>
        <v>39.200000000000003</v>
      </c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21</v>
      </c>
      <c r="AQ54" s="68">
        <f t="shared" si="2"/>
        <v>37.638095238095239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>
        <v>37.6</v>
      </c>
      <c r="AF55" s="66">
        <v>32.4</v>
      </c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21</v>
      </c>
      <c r="AQ55" s="68">
        <f t="shared" si="2"/>
        <v>35.609523809523807</v>
      </c>
      <c r="AR55" s="68">
        <f>IFERROR(VLOOKUP(A55,Climatologia_TMAX!A:U,9+$E$2,FALSE),"")</f>
        <v>32.916625540651467</v>
      </c>
      <c r="AS55" s="68">
        <f t="shared" si="3"/>
        <v>2.6928982688723409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>
        <v>35</v>
      </c>
      <c r="AF67" s="66">
        <v>35</v>
      </c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22</v>
      </c>
      <c r="AQ67" s="68">
        <f t="shared" si="2"/>
        <v>33.659090909090907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>
        <v>36</v>
      </c>
      <c r="AF76" s="66">
        <v>32.4</v>
      </c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22</v>
      </c>
      <c r="AQ76" s="68">
        <f t="shared" si="7"/>
        <v>34.600000000000009</v>
      </c>
      <c r="AR76" s="68">
        <f>IFERROR(VLOOKUP(A76,Climatologia_TMAX!A:U,9+$E$2,FALSE),"")</f>
        <v>32.131914371977928</v>
      </c>
      <c r="AS76" s="68">
        <f t="shared" si="8"/>
        <v>2.4680856280220809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>
        <v>28.4</v>
      </c>
      <c r="AF77" s="66">
        <v>31.8</v>
      </c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22</v>
      </c>
      <c r="AQ77" s="68">
        <f t="shared" si="7"/>
        <v>31.33636363636364</v>
      </c>
      <c r="AR77" s="68">
        <f>IFERROR(VLOOKUP(A77,Climatologia_TMAX!A:U,9+$E$2,FALSE),"")</f>
        <v>30.717419354838722</v>
      </c>
      <c r="AS77" s="68">
        <f t="shared" si="8"/>
        <v>0.61894428152491798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12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>
        <v>30.8</v>
      </c>
      <c r="AF80" s="66">
        <v>30.8</v>
      </c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17</v>
      </c>
      <c r="AQ80" s="68">
        <f t="shared" si="7"/>
        <v>31.941176470588228</v>
      </c>
      <c r="AR80" s="68">
        <f>IFERROR(VLOOKUP(A80,Climatologia_TMAX!A:U,9+$E$2,FALSE),"")</f>
        <v>30.68247751700186</v>
      </c>
      <c r="AS80" s="68">
        <f t="shared" si="8"/>
        <v>1.258698953586368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>
        <v>32.4</v>
      </c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21</v>
      </c>
      <c r="AQ81" s="68">
        <f t="shared" si="7"/>
        <v>31.138095238095236</v>
      </c>
      <c r="AR81" s="68">
        <f>IFERROR(VLOOKUP(A81,Climatologia_TMAX!A:U,9+$E$2,FALSE),"")</f>
        <v>30.066096038514271</v>
      </c>
      <c r="AS81" s="68">
        <f t="shared" si="8"/>
        <v>1.071999199580965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>
        <v>31</v>
      </c>
      <c r="AF83" s="66">
        <v>31.1</v>
      </c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22</v>
      </c>
      <c r="AQ83" s="68">
        <f t="shared" si="7"/>
        <v>32.286363636363639</v>
      </c>
      <c r="AR83" s="68">
        <f>IFERROR(VLOOKUP(A83,Climatologia_TMAX!A:U,9+$E$2,FALSE),"")</f>
        <v>30.100740998164522</v>
      </c>
      <c r="AS83" s="68">
        <f t="shared" si="8"/>
        <v>2.1856226381991171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>
        <v>30.6</v>
      </c>
      <c r="AF85" s="66">
        <v>29.8</v>
      </c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22</v>
      </c>
      <c r="AQ85" s="68">
        <f t="shared" si="7"/>
        <v>31.045454545454547</v>
      </c>
      <c r="AR85" s="68">
        <f>IFERROR(VLOOKUP(A85,Climatologia_TMAX!A:U,9+$E$2,FALSE),"")</f>
        <v>30.126684246732939</v>
      </c>
      <c r="AS85" s="68">
        <f t="shared" si="8"/>
        <v>0.91877029872160776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>
        <v>31.8</v>
      </c>
      <c r="AE86" s="66">
        <v>31.4</v>
      </c>
      <c r="AF86" s="66">
        <v>31</v>
      </c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22</v>
      </c>
      <c r="AQ86" s="68">
        <f t="shared" si="7"/>
        <v>31.309090909090909</v>
      </c>
      <c r="AR86" s="68">
        <f>IFERROR(VLOOKUP(A86,Climatologia_TMAX!A:U,9+$E$2,FALSE),"")</f>
        <v>30.211657926170119</v>
      </c>
      <c r="AS86" s="68">
        <f t="shared" si="8"/>
        <v>1.0974329829207896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>
        <v>28.2</v>
      </c>
      <c r="AF87" s="66">
        <v>31.6</v>
      </c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22</v>
      </c>
      <c r="AQ87" s="68">
        <f t="shared" si="7"/>
        <v>31.66363636363636</v>
      </c>
      <c r="AR87" s="68">
        <f>IFERROR(VLOOKUP(A87,Climatologia_TMAX!A:U,9+$E$2,FALSE),"")</f>
        <v>30.420577139515899</v>
      </c>
      <c r="AS87" s="68">
        <f t="shared" si="8"/>
        <v>1.2430592241204614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>
        <v>31</v>
      </c>
      <c r="AF90" s="109">
        <v>30.3</v>
      </c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22</v>
      </c>
      <c r="AQ90" s="68">
        <f t="shared" si="7"/>
        <v>31.345454545454537</v>
      </c>
      <c r="AR90" s="68">
        <f>IFERROR(VLOOKUP(A90,Climatologia_TMAX!A:U,9+$E$2,FALSE),"")</f>
        <v>30.14398006331821</v>
      </c>
      <c r="AS90" s="68">
        <f t="shared" si="8"/>
        <v>1.2014744821363266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>
        <v>29.1</v>
      </c>
      <c r="AF91" s="66">
        <v>32.200000000000003</v>
      </c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22</v>
      </c>
      <c r="AQ91" s="68">
        <f t="shared" si="7"/>
        <v>31.522727272727284</v>
      </c>
      <c r="AR91" s="68">
        <f>IFERROR(VLOOKUP(A91,Climatologia_TMAX!A:U,9+$E$2,FALSE),"")</f>
        <v>30.948480459796951</v>
      </c>
      <c r="AS91" s="68">
        <f t="shared" si="8"/>
        <v>0.57424681293033331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>
        <v>30.4</v>
      </c>
      <c r="AF94" s="66">
        <v>31.8</v>
      </c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22</v>
      </c>
      <c r="AQ94" s="68">
        <f t="shared" si="7"/>
        <v>31.790909090909086</v>
      </c>
      <c r="AR94" s="68">
        <f>IFERROR(VLOOKUP(A94,Climatologia_TMAX!A:U,9+$E$2,FALSE),"")</f>
        <v>31.022074370307589</v>
      </c>
      <c r="AS94" s="68">
        <f t="shared" si="8"/>
        <v>0.76883472060149671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>
        <v>27.4</v>
      </c>
      <c r="AF99" s="66">
        <v>26</v>
      </c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22</v>
      </c>
      <c r="AQ99" s="68">
        <f t="shared" si="7"/>
        <v>26.109090909090909</v>
      </c>
      <c r="AR99" s="68">
        <f>IFERROR(VLOOKUP(A99,Climatologia_TMAX!A:U,9+$E$2,FALSE),"")</f>
        <v>24.718314208501919</v>
      </c>
      <c r="AS99" s="68">
        <f t="shared" si="8"/>
        <v>1.3907767005889902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>
        <v>39.799999999999997</v>
      </c>
      <c r="AE100" s="66">
        <v>40</v>
      </c>
      <c r="AF100" s="109">
        <v>37.200000000000003</v>
      </c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22</v>
      </c>
      <c r="AQ100" s="68">
        <f t="shared" si="7"/>
        <v>38.93636363636363</v>
      </c>
      <c r="AR100" s="68">
        <f>IFERROR(VLOOKUP(A100,Climatologia_TMAX!A:U,9+$E$2,FALSE),"")</f>
        <v>37.075361698510143</v>
      </c>
      <c r="AS100" s="68">
        <f t="shared" si="8"/>
        <v>1.8610019378534872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>
        <v>31</v>
      </c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20</v>
      </c>
      <c r="AQ102" s="68">
        <f t="shared" si="7"/>
        <v>30.035000000000004</v>
      </c>
      <c r="AR102" s="68">
        <f>IFERROR(VLOOKUP(A102,Climatologia_TMAX!A:U,9+$E$2,FALSE),"")</f>
        <v>27.909677419354839</v>
      </c>
      <c r="AS102" s="68">
        <f t="shared" si="8"/>
        <v>2.1253225806451645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>
        <v>39.4</v>
      </c>
      <c r="AF104" s="66">
        <v>36.200000000000003</v>
      </c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22</v>
      </c>
      <c r="AQ104" s="68">
        <f t="shared" si="7"/>
        <v>37.427272727272729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>
        <v>31.8</v>
      </c>
      <c r="AF105" s="66">
        <v>31</v>
      </c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22</v>
      </c>
      <c r="AQ105" s="68">
        <f t="shared" si="7"/>
        <v>30.081818181818178</v>
      </c>
      <c r="AR105" s="68">
        <f>IFERROR(VLOOKUP(A105,Climatologia_TMAX!A:U,9+$E$2,FALSE),"")</f>
        <v>30.030668369518938</v>
      </c>
      <c r="AS105" s="68">
        <f t="shared" si="8"/>
        <v>5.1149812299239983E-2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>
        <v>25.8</v>
      </c>
      <c r="AF106" s="66">
        <v>26.2</v>
      </c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22</v>
      </c>
      <c r="AQ106" s="68">
        <f t="shared" si="7"/>
        <v>26.445454545454549</v>
      </c>
      <c r="AR106" s="68">
        <f>IFERROR(VLOOKUP(A106,Climatologia_TMAX!A:U,9+$E$2,FALSE),"")</f>
        <v>25.412337253032469</v>
      </c>
      <c r="AS106" s="68">
        <f t="shared" si="8"/>
        <v>1.0331172924220802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>
        <v>32</v>
      </c>
      <c r="AF108" s="66">
        <v>31.4</v>
      </c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21</v>
      </c>
      <c r="AQ108" s="68">
        <f t="shared" si="7"/>
        <v>31.05714285714286</v>
      </c>
      <c r="AR108" s="68">
        <f>IFERROR(VLOOKUP(A108,Climatologia_TMAX!A:U,9+$E$2,FALSE),"")</f>
        <v>30.571207119021128</v>
      </c>
      <c r="AS108" s="68">
        <f t="shared" si="8"/>
        <v>0.48593573812173219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>
        <v>28.8</v>
      </c>
      <c r="AF109" s="66">
        <v>25.8</v>
      </c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22</v>
      </c>
      <c r="AQ109" s="68">
        <f t="shared" si="7"/>
        <v>26.690909090909088</v>
      </c>
      <c r="AR109" s="68">
        <f>IFERROR(VLOOKUP(A109,Climatologia_TMAX!A:U,9+$E$2,FALSE),"")</f>
        <v>25.742317801672641</v>
      </c>
      <c r="AS109" s="68">
        <f t="shared" si="8"/>
        <v>0.94859128923644676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>
        <v>38.6</v>
      </c>
      <c r="AF111" s="66">
        <v>37.799999999999997</v>
      </c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22</v>
      </c>
      <c r="AQ111" s="68">
        <f t="shared" si="7"/>
        <v>39.072727272727271</v>
      </c>
      <c r="AR111" s="68">
        <f>IFERROR(VLOOKUP(A111,Climatologia_TMAX!A:U,9+$E$2,FALSE),"")</f>
        <v>35.400483796811272</v>
      </c>
      <c r="AS111" s="68">
        <f t="shared" si="8"/>
        <v>3.6722434759159981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>
        <v>34.6</v>
      </c>
      <c r="AF112" s="66">
        <v>35</v>
      </c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21</v>
      </c>
      <c r="AQ112" s="68">
        <f t="shared" si="7"/>
        <v>36.752380952380953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>
        <v>37.200000000000003</v>
      </c>
      <c r="AF114" s="66">
        <v>35.799999999999997</v>
      </c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20</v>
      </c>
      <c r="AQ114" s="68">
        <f t="shared" si="7"/>
        <v>37.6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>
        <v>38.4</v>
      </c>
      <c r="AF115" s="66">
        <v>36</v>
      </c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22</v>
      </c>
      <c r="AQ115" s="68">
        <f t="shared" si="7"/>
        <v>37.904545454545449</v>
      </c>
      <c r="AR115" s="68">
        <f>IFERROR(VLOOKUP(A115,Climatologia_TMAX!A:U,9+$E$2,FALSE),"")</f>
        <v>35.599806409679189</v>
      </c>
      <c r="AS115" s="68">
        <f t="shared" si="8"/>
        <v>2.3047390448662597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>
        <v>39</v>
      </c>
      <c r="AF118" s="66">
        <v>38.4</v>
      </c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22</v>
      </c>
      <c r="AQ118" s="68">
        <f t="shared" si="7"/>
        <v>38.31818181818182</v>
      </c>
      <c r="AR118" s="68">
        <f>IFERROR(VLOOKUP(A118,Climatologia_TMAX!A:U,9+$E$2,FALSE),"")</f>
        <v>34.447006277967013</v>
      </c>
      <c r="AS118" s="68">
        <f t="shared" si="8"/>
        <v>3.8711755402148071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>
        <v>39</v>
      </c>
      <c r="AF119" s="66">
        <v>37.6</v>
      </c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22</v>
      </c>
      <c r="AQ119" s="68">
        <f t="shared" si="7"/>
        <v>38.854545454545452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>
        <v>38</v>
      </c>
      <c r="AF120" s="66">
        <v>35</v>
      </c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21</v>
      </c>
      <c r="AQ120" s="68">
        <f t="shared" si="7"/>
        <v>38.457142857142856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>
        <v>31.2</v>
      </c>
      <c r="AF122" s="66">
        <v>31</v>
      </c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22</v>
      </c>
      <c r="AQ122" s="68">
        <f t="shared" si="7"/>
        <v>30.809090909090912</v>
      </c>
      <c r="AR122" s="68">
        <f>IFERROR(VLOOKUP(A122,Climatologia_TMAX!A:U,9+$E$2,FALSE),"")</f>
        <v>28.13354838709677</v>
      </c>
      <c r="AS122" s="68">
        <f t="shared" si="8"/>
        <v>2.6755425219941422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>
        <v>31.4</v>
      </c>
      <c r="AF123" s="66">
        <v>30.6</v>
      </c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22</v>
      </c>
      <c r="AQ123" s="68">
        <f t="shared" si="7"/>
        <v>32.027272727272731</v>
      </c>
      <c r="AR123" s="68">
        <f>IFERROR(VLOOKUP(A123,Climatologia_TMAX!A:U,9+$E$2,FALSE),"")</f>
        <v>29.851373954599769</v>
      </c>
      <c r="AS123" s="68">
        <f t="shared" si="8"/>
        <v>2.1758987726729622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>
        <v>32.200000000000003</v>
      </c>
      <c r="AF124" s="66">
        <v>31.4</v>
      </c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22</v>
      </c>
      <c r="AQ124" s="68">
        <f t="shared" si="7"/>
        <v>32.418181818181807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>
        <v>26.6</v>
      </c>
      <c r="AF127" s="66">
        <v>27</v>
      </c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19</v>
      </c>
      <c r="AQ127" s="68">
        <f t="shared" si="7"/>
        <v>26.526315789473685</v>
      </c>
      <c r="AR127" s="68">
        <f>IFERROR(VLOOKUP(A127,Climatologia_TMAX!A:U,9+$E$2,FALSE),"")</f>
        <v>23.873193546154688</v>
      </c>
      <c r="AS127" s="68">
        <f t="shared" si="8"/>
        <v>2.6531222433189967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>
        <v>22</v>
      </c>
      <c r="AF128" s="66">
        <v>23.2</v>
      </c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22</v>
      </c>
      <c r="AQ128" s="68">
        <f t="shared" si="7"/>
        <v>23.127272727272725</v>
      </c>
      <c r="AR128" s="68">
        <f>IFERROR(VLOOKUP(A128,Climatologia_TMAX!A:U,9+$E$2,FALSE),"")</f>
        <v>19.945241107257019</v>
      </c>
      <c r="AS128" s="68">
        <f t="shared" si="8"/>
        <v>3.1820316200157066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>
        <v>25.2</v>
      </c>
      <c r="AF129" s="66">
        <v>25.6</v>
      </c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22</v>
      </c>
      <c r="AQ129" s="68">
        <f t="shared" si="7"/>
        <v>26.518181818181823</v>
      </c>
      <c r="AR129" s="68">
        <f>IFERROR(VLOOKUP(A129,Climatologia_TMAX!A:U,9+$E$2,FALSE),"")</f>
        <v>24.697992831541221</v>
      </c>
      <c r="AS129" s="68">
        <f t="shared" si="8"/>
        <v>1.820188986640602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>
        <v>20.8</v>
      </c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17</v>
      </c>
      <c r="AQ131" s="68">
        <f t="shared" si="7"/>
        <v>20.776470588235295</v>
      </c>
      <c r="AR131" s="68">
        <f>IFERROR(VLOOKUP(A131,Climatologia_TMAX!A:U,9+$E$2,FALSE),"")</f>
        <v>20.475268817204299</v>
      </c>
      <c r="AS131" s="68">
        <f t="shared" si="8"/>
        <v>0.30120177103099621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>
        <v>18.2</v>
      </c>
      <c r="AF133" s="66">
        <v>18.600000000000001</v>
      </c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20</v>
      </c>
      <c r="AQ133" s="68">
        <f t="shared" ref="AQ133:AQ196" si="12">IF(AP133&gt;14,AVERAGE(K133:AO133),"")</f>
        <v>17.75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1.5798464533828991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>
        <v>22.4</v>
      </c>
      <c r="AF135" s="66">
        <v>24.2</v>
      </c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22</v>
      </c>
      <c r="AQ135" s="68">
        <f t="shared" si="12"/>
        <v>23.609090909090909</v>
      </c>
      <c r="AR135" s="68">
        <f>IFERROR(VLOOKUP(A135,Climatologia_TMAX!A:U,9+$E$2,FALSE),"")</f>
        <v>23.503001430160491</v>
      </c>
      <c r="AS135" s="68">
        <f t="shared" si="13"/>
        <v>0.10608947893041787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>
        <v>22</v>
      </c>
      <c r="AF138" s="66">
        <v>21</v>
      </c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22</v>
      </c>
      <c r="AQ138" s="68">
        <f t="shared" si="12"/>
        <v>21.804545454545455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>
        <v>21.4</v>
      </c>
      <c r="AF139" s="66">
        <v>21.4</v>
      </c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22</v>
      </c>
      <c r="AQ139" s="68">
        <f t="shared" si="12"/>
        <v>21.668181818181811</v>
      </c>
      <c r="AR139" s="68">
        <f>IFERROR(VLOOKUP(A139,Climatologia_TMAX!A:U,9+$E$2,FALSE),"")</f>
        <v>20.714326639736161</v>
      </c>
      <c r="AS139" s="68">
        <f t="shared" si="13"/>
        <v>0.95385517844565015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>
        <v>22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23.452631578947368</v>
      </c>
      <c r="AR140" s="68">
        <f>IFERROR(VLOOKUP(A140,Climatologia_TMAX!A:U,9+$E$2,FALSE),"")</f>
        <v>21.647136438274369</v>
      </c>
      <c r="AS140" s="68">
        <f t="shared" si="13"/>
        <v>1.8054951406729991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>
        <v>20.2</v>
      </c>
      <c r="AF141" s="66">
        <v>19.8</v>
      </c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22</v>
      </c>
      <c r="AQ141" s="68">
        <f t="shared" si="12"/>
        <v>19.627272727272729</v>
      </c>
      <c r="AR141" s="68">
        <f>IFERROR(VLOOKUP(A141,Climatologia_TMAX!A:U,9+$E$2,FALSE),"")</f>
        <v>18.072580645161288</v>
      </c>
      <c r="AS141" s="68">
        <f t="shared" si="13"/>
        <v>1.5546920821114405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>
        <v>17.399999999999999</v>
      </c>
      <c r="AF142" s="66">
        <v>17.2</v>
      </c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22</v>
      </c>
      <c r="AQ142" s="68">
        <f t="shared" si="12"/>
        <v>18.33636363636364</v>
      </c>
      <c r="AR142" s="68">
        <f>IFERROR(VLOOKUP(A142,Climatologia_TMAX!A:U,9+$E$2,FALSE),"")</f>
        <v>17.502950587315588</v>
      </c>
      <c r="AS142" s="68">
        <f t="shared" si="13"/>
        <v>0.83341304904805114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>
        <v>18.399999999999999</v>
      </c>
      <c r="AF145" s="66">
        <v>22.4</v>
      </c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4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>
        <v>22.6</v>
      </c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21</v>
      </c>
      <c r="AQ146" s="68">
        <f t="shared" si="12"/>
        <v>21.666666666666668</v>
      </c>
      <c r="AR146" s="68">
        <f>IFERROR(VLOOKUP(A146,Climatologia_TMAX!A:U,9+$E$2,FALSE),"")</f>
        <v>21.065636230144019</v>
      </c>
      <c r="AS146" s="68">
        <f t="shared" si="13"/>
        <v>0.60103043652264887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>
        <v>21</v>
      </c>
      <c r="AF147" s="66">
        <v>20.6</v>
      </c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20</v>
      </c>
      <c r="AQ147" s="68">
        <f t="shared" si="12"/>
        <v>21.720000000000002</v>
      </c>
      <c r="AR147" s="68">
        <f>IFERROR(VLOOKUP(A147,Climatologia_TMAX!A:U,9+$E$2,FALSE),"")</f>
        <v>21.75379211469534</v>
      </c>
      <c r="AS147" s="68">
        <f t="shared" si="13"/>
        <v>-3.3792114695337716E-2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>
        <v>27.2</v>
      </c>
      <c r="AF148" s="66">
        <v>25.4</v>
      </c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21</v>
      </c>
      <c r="AQ148" s="68">
        <f t="shared" si="12"/>
        <v>26.49523809523809</v>
      </c>
      <c r="AR148" s="68">
        <f>IFERROR(VLOOKUP(A148,Climatologia_TMAX!A:U,9+$E$2,FALSE),"")</f>
        <v>25.418951612903221</v>
      </c>
      <c r="AS148" s="68">
        <f t="shared" si="13"/>
        <v>1.0762864823348686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>
        <v>34</v>
      </c>
      <c r="AF151" s="66">
        <v>34</v>
      </c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21</v>
      </c>
      <c r="AQ151" s="68">
        <f t="shared" si="12"/>
        <v>34.314285714285717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>
        <v>21.4</v>
      </c>
      <c r="AF153" s="66">
        <v>21</v>
      </c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22</v>
      </c>
      <c r="AQ153" s="68">
        <f t="shared" si="12"/>
        <v>20.781818181818181</v>
      </c>
      <c r="AR153" s="68">
        <f>IFERROR(VLOOKUP(A153,Climatologia_TMAX!A:U,9+$E$2,FALSE),"")</f>
        <v>17.087318670151451</v>
      </c>
      <c r="AS153" s="68">
        <f t="shared" si="13"/>
        <v>3.6944995116667307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>
        <v>18</v>
      </c>
      <c r="AF154" s="66">
        <v>19</v>
      </c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22</v>
      </c>
      <c r="AQ154" s="68">
        <f t="shared" si="12"/>
        <v>18.954545454545453</v>
      </c>
      <c r="AR154" s="68">
        <f>IFERROR(VLOOKUP(A154,Climatologia_TMAX!A:U,9+$E$2,FALSE),"")</f>
        <v>17.894822708653351</v>
      </c>
      <c r="AS154" s="68">
        <f t="shared" si="13"/>
        <v>1.0597227458921026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>
        <v>21.8</v>
      </c>
      <c r="AF156" s="66">
        <v>21.4</v>
      </c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22</v>
      </c>
      <c r="AQ156" s="68">
        <f t="shared" si="12"/>
        <v>21.436363636363637</v>
      </c>
      <c r="AR156" s="68">
        <f>IFERROR(VLOOKUP(A156,Climatologia_TMAX!A:U,9+$E$2,FALSE),"")</f>
        <v>19.9787274899533</v>
      </c>
      <c r="AS156" s="68">
        <f t="shared" si="13"/>
        <v>1.4576361464103371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>
        <v>22.4</v>
      </c>
      <c r="AF158" s="66">
        <v>22.6</v>
      </c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22</v>
      </c>
      <c r="AQ158" s="68">
        <f t="shared" si="12"/>
        <v>23.7</v>
      </c>
      <c r="AR158" s="68">
        <f>IFERROR(VLOOKUP(A158,Climatologia_TMAX!A:U,9+$E$2,FALSE),"")</f>
        <v>22.279202508960569</v>
      </c>
      <c r="AS158" s="68">
        <f t="shared" si="13"/>
        <v>1.4207974910394299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>
        <v>32.799999999999997</v>
      </c>
      <c r="AF160" s="66">
        <v>31.2</v>
      </c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22</v>
      </c>
      <c r="AQ160" s="68">
        <f t="shared" si="12"/>
        <v>31.436363636363641</v>
      </c>
      <c r="AR160" s="68">
        <f>IFERROR(VLOOKUP(A160,Climatologia_TMAX!A:U,9+$E$2,FALSE),"")</f>
        <v>29.899582174638489</v>
      </c>
      <c r="AS160" s="68">
        <f t="shared" si="13"/>
        <v>1.5367814617251518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>
        <v>18.2</v>
      </c>
      <c r="AF164" s="66">
        <v>18</v>
      </c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22</v>
      </c>
      <c r="AQ164" s="68">
        <f t="shared" si="12"/>
        <v>17.009090909090904</v>
      </c>
      <c r="AR164" s="68">
        <f>IFERROR(VLOOKUP(A164,Climatologia_TMAX!A:U,9+$E$2,FALSE),"")</f>
        <v>16.438135408145051</v>
      </c>
      <c r="AS164" s="68">
        <f t="shared" si="13"/>
        <v>0.57095550094585334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>
        <v>13</v>
      </c>
      <c r="AF165" s="66">
        <v>13.6</v>
      </c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21</v>
      </c>
      <c r="AQ165" s="68">
        <f t="shared" si="12"/>
        <v>13.390476190476189</v>
      </c>
      <c r="AR165" s="68">
        <f>IFERROR(VLOOKUP(A165,Climatologia_TMAX!A:U,9+$E$2,FALSE),"")</f>
        <v>13.11626251390434</v>
      </c>
      <c r="AS165" s="68">
        <f t="shared" si="13"/>
        <v>0.27421367657184881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>
        <v>15.6</v>
      </c>
      <c r="AF166" s="66">
        <v>15</v>
      </c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22</v>
      </c>
      <c r="AQ166" s="68">
        <f t="shared" si="12"/>
        <v>14.481818181818182</v>
      </c>
      <c r="AR166" s="68">
        <f>IFERROR(VLOOKUP(A166,Climatologia_TMAX!A:U,9+$E$2,FALSE),"")</f>
        <v>14.28566120241295</v>
      </c>
      <c r="AS166" s="68">
        <f t="shared" si="13"/>
        <v>0.19615697940523269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>
        <v>17</v>
      </c>
      <c r="AF167" s="66">
        <v>16.399999999999999</v>
      </c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22</v>
      </c>
      <c r="AQ167" s="68">
        <f t="shared" si="12"/>
        <v>16.604545454545448</v>
      </c>
      <c r="AR167" s="68">
        <f>IFERROR(VLOOKUP(A167,Climatologia_TMAX!A:U,9+$E$2,FALSE),"")</f>
        <v>15.33697398819201</v>
      </c>
      <c r="AS167" s="68">
        <f t="shared" si="13"/>
        <v>1.2675714663534379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>
        <v>21</v>
      </c>
      <c r="AE168" s="66"/>
      <c r="AF168" s="66">
        <v>22.6</v>
      </c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21</v>
      </c>
      <c r="AQ168" s="68">
        <f t="shared" si="12"/>
        <v>22.219047619047622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>
        <v>24.2</v>
      </c>
      <c r="AF172" s="66">
        <v>23.6</v>
      </c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22</v>
      </c>
      <c r="AQ172" s="68">
        <f t="shared" si="12"/>
        <v>24.027272727272727</v>
      </c>
      <c r="AR172" s="68">
        <f>IFERROR(VLOOKUP(A172,Climatologia_TMAX!A:U,9+$E$2,FALSE),"")</f>
        <v>21.606312954104371</v>
      </c>
      <c r="AS172" s="68">
        <f t="shared" si="13"/>
        <v>2.4209597731683559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>
        <v>18.8</v>
      </c>
      <c r="AF173" s="66">
        <v>18.2</v>
      </c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21</v>
      </c>
      <c r="AQ173" s="68">
        <f t="shared" si="12"/>
        <v>18.523809523809518</v>
      </c>
      <c r="AR173" s="68">
        <f>IFERROR(VLOOKUP(A173,Climatologia_TMAX!A:U,9+$E$2,FALSE),"")</f>
        <v>19.144848035988591</v>
      </c>
      <c r="AS173" s="68">
        <f t="shared" si="13"/>
        <v>-0.62103851217907291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>
        <v>17.600000000000001</v>
      </c>
      <c r="AF175" s="66">
        <v>18</v>
      </c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22</v>
      </c>
      <c r="AQ175" s="68">
        <f t="shared" si="12"/>
        <v>17.236363636363635</v>
      </c>
      <c r="AR175" s="68">
        <f>IFERROR(VLOOKUP(A175,Climatologia_TMAX!A:U,9+$E$2,FALSE),"")</f>
        <v>16.77337009846331</v>
      </c>
      <c r="AS175" s="68">
        <f t="shared" si="13"/>
        <v>0.46299353790032427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>
        <v>20.7</v>
      </c>
      <c r="AF176" s="66">
        <v>19.3</v>
      </c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22</v>
      </c>
      <c r="AQ176" s="68">
        <f t="shared" si="12"/>
        <v>19.895454545454545</v>
      </c>
      <c r="AR176" s="68">
        <f>IFERROR(VLOOKUP(A176,Climatologia_TMAX!A:U,9+$E$2,FALSE),"")</f>
        <v>18.929410456062289</v>
      </c>
      <c r="AS176" s="68">
        <f t="shared" si="13"/>
        <v>0.9660440893922555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>
        <v>24.6</v>
      </c>
      <c r="AF180" s="66">
        <v>25</v>
      </c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22</v>
      </c>
      <c r="AQ180" s="68">
        <f t="shared" si="12"/>
        <v>24.518181818181812</v>
      </c>
      <c r="AR180" s="68">
        <f>IFERROR(VLOOKUP(A180,Climatologia_TMAX!A:U,9+$E$2,FALSE),"")</f>
        <v>22.045425414753339</v>
      </c>
      <c r="AS180" s="68">
        <f t="shared" si="13"/>
        <v>2.4727564034284732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>
        <v>19.8</v>
      </c>
      <c r="AF181" s="66">
        <v>19</v>
      </c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22</v>
      </c>
      <c r="AQ181" s="68">
        <f t="shared" si="12"/>
        <v>18.40454545454546</v>
      </c>
      <c r="AR181" s="68">
        <f>IFERROR(VLOOKUP(A181,Climatologia_TMAX!A:U,9+$E$2,FALSE),"")</f>
        <v>17.645817781073621</v>
      </c>
      <c r="AS181" s="68">
        <f t="shared" si="13"/>
        <v>0.75872767347183867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>
        <v>30.4</v>
      </c>
      <c r="AF182" s="66">
        <v>27.8</v>
      </c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21</v>
      </c>
      <c r="AQ182" s="68">
        <f t="shared" si="12"/>
        <v>27.199999999999996</v>
      </c>
      <c r="AR182" s="68">
        <f>IFERROR(VLOOKUP(A182,Climatologia_TMAX!A:U,9+$E$2,FALSE),"")</f>
        <v>25.244773595756431</v>
      </c>
      <c r="AS182" s="68">
        <f t="shared" si="13"/>
        <v>1.9552264042435645</v>
      </c>
      <c r="AT182" s="74">
        <f t="shared" si="14"/>
        <v>30.4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0.59999999999999787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>
        <v>30.8</v>
      </c>
      <c r="AF183" s="66">
        <v>28.8</v>
      </c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22</v>
      </c>
      <c r="AQ183" s="68">
        <f t="shared" si="12"/>
        <v>29.736363636363635</v>
      </c>
      <c r="AR183" s="68">
        <f>IFERROR(VLOOKUP(A183,Climatologia_TMAX!A:U,9+$E$2,FALSE),"")</f>
        <v>27.239077646938501</v>
      </c>
      <c r="AS183" s="68">
        <f t="shared" si="13"/>
        <v>2.4972859894251336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>
        <v>17.600000000000001</v>
      </c>
      <c r="AF184" s="66">
        <v>15.8</v>
      </c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22</v>
      </c>
      <c r="AQ184" s="68">
        <f t="shared" si="12"/>
        <v>16.490909090909092</v>
      </c>
      <c r="AR184" s="68">
        <f>IFERROR(VLOOKUP(A184,Climatologia_TMAX!A:U,9+$E$2,FALSE),"")</f>
        <v>14.56273340748981</v>
      </c>
      <c r="AS184" s="68">
        <f t="shared" si="13"/>
        <v>1.9281756834192816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>
        <v>32</v>
      </c>
      <c r="AB185" s="66">
        <v>29.6</v>
      </c>
      <c r="AC185" s="66">
        <v>31.8</v>
      </c>
      <c r="AD185" s="66">
        <v>32</v>
      </c>
      <c r="AE185" s="66">
        <v>32.799999999999997</v>
      </c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19</v>
      </c>
      <c r="AQ185" s="68">
        <f t="shared" si="12"/>
        <v>32.147368421052626</v>
      </c>
      <c r="AR185" s="68">
        <f>IFERROR(VLOOKUP(A185,Climatologia_TMAX!A:U,9+$E$2,FALSE),"")</f>
        <v>28.271515834024871</v>
      </c>
      <c r="AS185" s="68">
        <f t="shared" si="13"/>
        <v>3.8758525870277545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>
        <v>30.2</v>
      </c>
      <c r="AF186" s="66">
        <v>29.2</v>
      </c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22</v>
      </c>
      <c r="AQ186" s="68">
        <f t="shared" si="12"/>
        <v>30.236363636363645</v>
      </c>
      <c r="AR186" s="68">
        <f>IFERROR(VLOOKUP(A186,Climatologia_TMAX!A:U,9+$E$2,FALSE),"")</f>
        <v>28.080800691244239</v>
      </c>
      <c r="AS186" s="68">
        <f t="shared" si="13"/>
        <v>2.1555629451194065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>
        <v>27.6</v>
      </c>
      <c r="AF187" s="66">
        <v>27.2</v>
      </c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20</v>
      </c>
      <c r="AQ187" s="68">
        <f t="shared" si="12"/>
        <v>27.02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>
        <v>12.2</v>
      </c>
      <c r="AF188" s="66">
        <v>14.8</v>
      </c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22</v>
      </c>
      <c r="AQ188" s="68">
        <f t="shared" si="12"/>
        <v>13.527272727272726</v>
      </c>
      <c r="AR188" s="68">
        <f>IFERROR(VLOOKUP(A188,Climatologia_TMAX!A:U,9+$E$2,FALSE),"")</f>
        <v>13.20223385477499</v>
      </c>
      <c r="AS188" s="68">
        <f t="shared" si="13"/>
        <v>0.32503887249773555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>
        <v>37.6</v>
      </c>
      <c r="AF191" s="66">
        <v>36.4</v>
      </c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22</v>
      </c>
      <c r="AQ191" s="68">
        <f t="shared" si="12"/>
        <v>36.727272727272734</v>
      </c>
      <c r="AR191" s="68">
        <f>IFERROR(VLOOKUP(A191,Climatologia_TMAX!A:U,9+$E$2,FALSE),"")</f>
        <v>34.386602574288887</v>
      </c>
      <c r="AS191" s="68">
        <f t="shared" si="13"/>
        <v>2.3406701529838472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>
        <v>31.6</v>
      </c>
      <c r="AF192" s="66">
        <v>30.8</v>
      </c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22</v>
      </c>
      <c r="AQ192" s="68">
        <f t="shared" si="12"/>
        <v>31.718181818181815</v>
      </c>
      <c r="AR192" s="68">
        <f>IFERROR(VLOOKUP(A192,Climatologia_TMAX!A:U,9+$E$2,FALSE),"")</f>
        <v>30.53754007980649</v>
      </c>
      <c r="AS192" s="68">
        <f t="shared" si="13"/>
        <v>1.1806417383753249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>
        <v>34</v>
      </c>
      <c r="AF193" s="66">
        <v>33.799999999999997</v>
      </c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22</v>
      </c>
      <c r="AQ193" s="68">
        <f t="shared" si="12"/>
        <v>35.018181818181816</v>
      </c>
      <c r="AR193" s="68">
        <f>IFERROR(VLOOKUP(A193,Climatologia_TMAX!A:U,9+$E$2,FALSE),"")</f>
        <v>32.604882188186302</v>
      </c>
      <c r="AS193" s="68">
        <f t="shared" si="13"/>
        <v>2.4132996299955138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>
        <v>35.6</v>
      </c>
      <c r="AF194" s="66">
        <v>34.4</v>
      </c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22</v>
      </c>
      <c r="AQ194" s="68">
        <f t="shared" si="12"/>
        <v>36.263636363636358</v>
      </c>
      <c r="AR194" s="68">
        <f>IFERROR(VLOOKUP(A194,Climatologia_TMAX!A:U,9+$E$2,FALSE),"")</f>
        <v>33.982628113224877</v>
      </c>
      <c r="AS194" s="68">
        <f t="shared" si="13"/>
        <v>2.2810082504114817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>
        <v>35.4</v>
      </c>
      <c r="AF197" s="66">
        <v>34.200000000000003</v>
      </c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18</v>
      </c>
      <c r="AQ197" s="68">
        <f t="shared" ref="AQ197:AQ260" si="17">IF(AP197&gt;14,AVERAGE(K197:AO197),"")</f>
        <v>35.900000000000006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2.5788678969034962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>
        <v>34.4</v>
      </c>
      <c r="AF199" s="66">
        <v>33.799999999999997</v>
      </c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22</v>
      </c>
      <c r="AQ199" s="68">
        <f t="shared" si="17"/>
        <v>35.699999999999996</v>
      </c>
      <c r="AR199" s="68">
        <f>IFERROR(VLOOKUP(A199,Climatologia_TMAX!A:U,9+$E$2,FALSE),"")</f>
        <v>32.492888905936347</v>
      </c>
      <c r="AS199" s="68">
        <f t="shared" si="18"/>
        <v>3.2071110940636487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>
        <v>20</v>
      </c>
      <c r="AF200" s="66">
        <v>20.2</v>
      </c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22</v>
      </c>
      <c r="AQ200" s="68">
        <f t="shared" si="17"/>
        <v>19.127272727272729</v>
      </c>
      <c r="AR200" s="68">
        <f>IFERROR(VLOOKUP(A200,Climatologia_TMAX!A:U,9+$E$2,FALSE),"")</f>
        <v>17.735029868578259</v>
      </c>
      <c r="AS200" s="68">
        <f t="shared" si="18"/>
        <v>1.3922428586944697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>
        <v>25.4</v>
      </c>
      <c r="AE201" s="66">
        <v>25</v>
      </c>
      <c r="AF201" s="66">
        <v>24.2</v>
      </c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21</v>
      </c>
      <c r="AQ201" s="68">
        <f t="shared" si="17"/>
        <v>24.933333333333334</v>
      </c>
      <c r="AR201" s="68">
        <f>IFERROR(VLOOKUP(A201,Climatologia_TMAX!A:U,9+$E$2,FALSE),"")</f>
        <v>22.75197498391692</v>
      </c>
      <c r="AS201" s="68">
        <f t="shared" si="18"/>
        <v>2.1813583494164135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>
        <v>21.6</v>
      </c>
      <c r="AF203" s="66">
        <v>22</v>
      </c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22</v>
      </c>
      <c r="AQ203" s="68">
        <f t="shared" si="17"/>
        <v>20.936363636363637</v>
      </c>
      <c r="AR203" s="68">
        <f>IFERROR(VLOOKUP(A203,Climatologia_TMAX!A:U,9+$E$2,FALSE),"")</f>
        <v>19.985882256004611</v>
      </c>
      <c r="AS203" s="68">
        <f t="shared" si="18"/>
        <v>0.95048138035902596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>
        <v>28</v>
      </c>
      <c r="AF205" s="66">
        <v>27.6</v>
      </c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22</v>
      </c>
      <c r="AQ205" s="68">
        <f t="shared" si="17"/>
        <v>28.490909090909096</v>
      </c>
      <c r="AR205" s="68">
        <f>IFERROR(VLOOKUP(A205,Climatologia_TMAX!A:U,9+$E$2,FALSE),"")</f>
        <v>26.486742471058381</v>
      </c>
      <c r="AS205" s="68">
        <f t="shared" si="18"/>
        <v>2.0041666198507144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>
        <v>32.799999999999997</v>
      </c>
      <c r="AF208" s="66">
        <v>33.4</v>
      </c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21</v>
      </c>
      <c r="AQ208" s="68">
        <f t="shared" si="17"/>
        <v>33.876190476190466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>
        <v>24</v>
      </c>
      <c r="AF209" s="66">
        <v>24.2</v>
      </c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22</v>
      </c>
      <c r="AQ209" s="68">
        <f t="shared" si="17"/>
        <v>24.83636363636364</v>
      </c>
      <c r="AR209" s="68">
        <f>IFERROR(VLOOKUP(A209,Climatologia_TMAX!A:U,9+$E$2,FALSE),"")</f>
        <v>24.015476455320719</v>
      </c>
      <c r="AS209" s="68">
        <f t="shared" si="18"/>
        <v>0.82088718104292013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>
        <v>31.6</v>
      </c>
      <c r="AF210" s="66">
        <v>31.6</v>
      </c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22</v>
      </c>
      <c r="AQ210" s="68">
        <f t="shared" si="17"/>
        <v>31.554545454545458</v>
      </c>
      <c r="AR210" s="68">
        <f>IFERROR(VLOOKUP(A210,Climatologia_TMAX!A:U,9+$E$2,FALSE),"")</f>
        <v>29.654423963133631</v>
      </c>
      <c r="AS210" s="68">
        <f t="shared" si="18"/>
        <v>1.9001214914118272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>
        <v>27</v>
      </c>
      <c r="AF214" s="66">
        <v>28</v>
      </c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22</v>
      </c>
      <c r="AQ214" s="68">
        <f t="shared" si="17"/>
        <v>30.490909090909096</v>
      </c>
      <c r="AR214" s="68">
        <f>IFERROR(VLOOKUP(A214,Climatologia_TMAX!A:U,9+$E$2,FALSE),"")</f>
        <v>29.107319792911181</v>
      </c>
      <c r="AS214" s="68">
        <f t="shared" si="18"/>
        <v>1.383589297997915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>
        <v>26.8</v>
      </c>
      <c r="AF216" s="66">
        <v>27.2</v>
      </c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22</v>
      </c>
      <c r="AQ216" s="68">
        <f t="shared" si="17"/>
        <v>27.936363636363634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>
        <v>26.4</v>
      </c>
      <c r="AF217" s="66">
        <v>26</v>
      </c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22</v>
      </c>
      <c r="AQ217" s="68">
        <f t="shared" si="17"/>
        <v>26.436363636363637</v>
      </c>
      <c r="AR217" s="68">
        <f>IFERROR(VLOOKUP(A217,Climatologia_TMAX!A:U,9+$E$2,FALSE),"")</f>
        <v>23.98799853208218</v>
      </c>
      <c r="AS217" s="68">
        <f t="shared" si="18"/>
        <v>2.4483651042814571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>
        <v>18.8</v>
      </c>
      <c r="AF221" s="66">
        <v>17.600000000000001</v>
      </c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20</v>
      </c>
      <c r="AQ221" s="68">
        <f t="shared" si="17"/>
        <v>17.850000000000001</v>
      </c>
      <c r="AR221" s="68">
        <f>IFERROR(VLOOKUP(A221,Climatologia_TMAX!A:U,9+$E$2,FALSE),"")</f>
        <v>15.966759634455681</v>
      </c>
      <c r="AS221" s="68">
        <f t="shared" si="18"/>
        <v>1.8832403655443208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>
        <v>25</v>
      </c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21</v>
      </c>
      <c r="AQ222" s="68">
        <f t="shared" si="17"/>
        <v>24.771428571428569</v>
      </c>
      <c r="AR222" s="68">
        <f>IFERROR(VLOOKUP(A222,Climatologia_TMAX!A:U,9+$E$2,FALSE),"")</f>
        <v>22.71125914315569</v>
      </c>
      <c r="AS222" s="68">
        <f t="shared" si="18"/>
        <v>2.0601694282728786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>
        <v>33.799999999999997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21</v>
      </c>
      <c r="AQ224" s="68">
        <f t="shared" si="17"/>
        <v>32.799999999999997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>
        <v>33.200000000000003</v>
      </c>
      <c r="AF231" s="66">
        <v>31</v>
      </c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22</v>
      </c>
      <c r="AQ231" s="68">
        <f t="shared" si="17"/>
        <v>32.036363636363639</v>
      </c>
      <c r="AR231" s="68">
        <f>IFERROR(VLOOKUP(A231,Climatologia_TMAX!A:U,9+$E$2,FALSE),"")</f>
        <v>30.333152235427281</v>
      </c>
      <c r="AS231" s="68">
        <f t="shared" si="18"/>
        <v>1.7032114009363575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>
        <v>33.4</v>
      </c>
      <c r="AF235" s="66">
        <v>33</v>
      </c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22</v>
      </c>
      <c r="AQ235" s="68">
        <f t="shared" si="17"/>
        <v>32.427272727272722</v>
      </c>
      <c r="AR235" s="68">
        <f>IFERROR(VLOOKUP(A235,Climatologia_TMAX!A:U,9+$E$2,FALSE),"")</f>
        <v>30.387096774193552</v>
      </c>
      <c r="AS235" s="68">
        <f t="shared" si="18"/>
        <v>2.0401759530791708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>
        <v>34</v>
      </c>
      <c r="N238" s="66">
        <v>31</v>
      </c>
      <c r="O238" s="66">
        <v>28.6</v>
      </c>
      <c r="P238" s="66">
        <v>34.200000000000003</v>
      </c>
      <c r="Q238" s="66">
        <v>32</v>
      </c>
      <c r="R238" s="66">
        <v>28.6</v>
      </c>
      <c r="S238" s="66">
        <v>30.2</v>
      </c>
      <c r="T238" s="66">
        <v>31.2</v>
      </c>
      <c r="U238" s="66">
        <v>33.200000000000003</v>
      </c>
      <c r="V238" s="66">
        <v>29</v>
      </c>
      <c r="W238" s="66">
        <v>31.2</v>
      </c>
      <c r="X238" s="66">
        <v>32</v>
      </c>
      <c r="Y238" s="66">
        <v>29</v>
      </c>
      <c r="Z238" s="66">
        <v>30</v>
      </c>
      <c r="AA238" s="66">
        <v>28.2</v>
      </c>
      <c r="AB238" s="66">
        <v>31.2</v>
      </c>
      <c r="AC238" s="66">
        <v>28.4</v>
      </c>
      <c r="AD238" s="66">
        <v>32.4</v>
      </c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20</v>
      </c>
      <c r="AQ238" s="68">
        <f t="shared" si="17"/>
        <v>31.02</v>
      </c>
      <c r="AR238" s="68">
        <f>IFERROR(VLOOKUP(A238,Climatologia_TMAX!A:U,9+$E$2,FALSE),"")</f>
        <v>30.317402116402121</v>
      </c>
      <c r="AS238" s="68">
        <f t="shared" si="18"/>
        <v>0.70259788359787834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>
        <v>30</v>
      </c>
      <c r="AF244" s="66">
        <v>28</v>
      </c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21</v>
      </c>
      <c r="AQ244" s="68">
        <f t="shared" si="17"/>
        <v>27.914285714285711</v>
      </c>
      <c r="AR244" s="68">
        <f>IFERROR(VLOOKUP(A244,Climatologia_TMAX!A:U,9+$E$2,FALSE),"")</f>
        <v>25.772090800477901</v>
      </c>
      <c r="AS244" s="68">
        <f t="shared" si="18"/>
        <v>2.1421949138078098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>
        <v>34.200000000000003</v>
      </c>
      <c r="AF246" s="66">
        <v>31.4</v>
      </c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22</v>
      </c>
      <c r="AQ246" s="68">
        <f t="shared" si="17"/>
        <v>33.454545454545453</v>
      </c>
      <c r="AR246" s="68">
        <f>IFERROR(VLOOKUP(A246,Climatologia_TMAX!A:U,9+$E$2,FALSE),"")</f>
        <v>30.365280795815501</v>
      </c>
      <c r="AS246" s="68">
        <f t="shared" si="18"/>
        <v>3.0892646587299524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>
        <v>39.200000000000003</v>
      </c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20</v>
      </c>
      <c r="AQ247" s="68">
        <f t="shared" si="17"/>
        <v>37.820000000000007</v>
      </c>
      <c r="AR247" s="68">
        <f>IFERROR(VLOOKUP(A247,Climatologia_TMAX!A:U,9+$E$2,FALSE),"")</f>
        <v>35.840573622107357</v>
      </c>
      <c r="AS247" s="68">
        <f t="shared" si="18"/>
        <v>1.9794263778926506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>
        <v>38.799999999999997</v>
      </c>
      <c r="AE248" s="66">
        <v>37.6</v>
      </c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21</v>
      </c>
      <c r="AQ248" s="68">
        <f t="shared" si="17"/>
        <v>36.647619047619045</v>
      </c>
      <c r="AR248" s="68">
        <f>IFERROR(VLOOKUP(A248,Climatologia_TMAX!A:U,9+$E$2,FALSE),"")</f>
        <v>34.327826313407613</v>
      </c>
      <c r="AS248" s="68">
        <f t="shared" si="18"/>
        <v>2.3197927342114326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20</v>
      </c>
      <c r="AQ249" s="68">
        <f t="shared" si="17"/>
        <v>31.68</v>
      </c>
      <c r="AR249" s="68">
        <f>IFERROR(VLOOKUP(A249,Climatologia_TMAX!A:U,9+$E$2,FALSE),"")</f>
        <v>31.369964157706089</v>
      </c>
      <c r="AS249" s="68">
        <f t="shared" si="18"/>
        <v>0.31003584229391024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>
        <v>39.6</v>
      </c>
      <c r="AF250" s="66">
        <v>36.6</v>
      </c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21</v>
      </c>
      <c r="AQ250" s="68">
        <f t="shared" si="17"/>
        <v>38.571428571428569</v>
      </c>
      <c r="AR250" s="68">
        <f>IFERROR(VLOOKUP(A250,Climatologia_TMAX!A:U,9+$E$2,FALSE),"")</f>
        <v>36.452131073091188</v>
      </c>
      <c r="AS250" s="68">
        <f t="shared" si="18"/>
        <v>2.1192974983373816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>
        <v>40</v>
      </c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21</v>
      </c>
      <c r="AQ252" s="68">
        <f t="shared" si="17"/>
        <v>38.80952380952381</v>
      </c>
      <c r="AR252" s="68">
        <f>IFERROR(VLOOKUP(A252,Climatologia_TMAX!A:U,9+$E$2,FALSE),"")</f>
        <v>35.220558268183389</v>
      </c>
      <c r="AS252" s="68">
        <f t="shared" si="18"/>
        <v>3.5889655413404213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>
        <v>38</v>
      </c>
      <c r="AF255" s="66">
        <v>34.4</v>
      </c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22</v>
      </c>
      <c r="AQ255" s="68">
        <f t="shared" si="17"/>
        <v>35.718181818181819</v>
      </c>
      <c r="AR255" s="68">
        <f>IFERROR(VLOOKUP(A255,Climatologia_TMAX!A:U,9+$E$2,FALSE),"")</f>
        <v>33.060314020206199</v>
      </c>
      <c r="AS255" s="68">
        <f t="shared" si="18"/>
        <v>2.6578677979756193</v>
      </c>
      <c r="AT255" s="74">
        <f t="shared" si="19"/>
        <v>38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-0.79999999999999716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>
        <v>27</v>
      </c>
      <c r="AF258" s="66">
        <v>24.2</v>
      </c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22</v>
      </c>
      <c r="AQ258" s="68">
        <f t="shared" si="17"/>
        <v>25.995454545454546</v>
      </c>
      <c r="AR258" s="68">
        <f>IFERROR(VLOOKUP(A258,Climatologia_TMAX!A:U,9+$E$2,FALSE),"")</f>
        <v>23.450636822409319</v>
      </c>
      <c r="AS258" s="68">
        <f t="shared" si="18"/>
        <v>2.5448177230452274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>
        <v>29</v>
      </c>
      <c r="AF259" s="66">
        <v>25.6</v>
      </c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21</v>
      </c>
      <c r="AQ259" s="68">
        <f t="shared" si="17"/>
        <v>27.195238095238096</v>
      </c>
      <c r="AR259" s="68">
        <f>IFERROR(VLOOKUP(A259,Climatologia_TMAX!A:U,9+$E$2,FALSE),"")</f>
        <v>26.859267723583631</v>
      </c>
      <c r="AS259" s="68">
        <f t="shared" si="18"/>
        <v>0.33597037165446508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>
        <v>22</v>
      </c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21</v>
      </c>
      <c r="AQ260" s="68">
        <f t="shared" si="17"/>
        <v>21.752380952380946</v>
      </c>
      <c r="AR260" s="68">
        <f>IFERROR(VLOOKUP(A260,Climatologia_TMAX!A:U,9+$E$2,FALSE),"")</f>
        <v>18.882112739608111</v>
      </c>
      <c r="AS260" s="68">
        <f t="shared" si="18"/>
        <v>2.8702682127728352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>
        <v>37.200000000000003</v>
      </c>
      <c r="AF261" s="66">
        <v>34.200000000000003</v>
      </c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21</v>
      </c>
      <c r="AQ261" s="68">
        <f t="shared" ref="AQ261:AQ324" si="22">IF(AP261&gt;14,AVERAGE(K261:AO261),"")</f>
        <v>35.885714285714286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>
        <v>24.8</v>
      </c>
      <c r="AF262" s="66">
        <v>20</v>
      </c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22</v>
      </c>
      <c r="AQ262" s="68">
        <f t="shared" si="22"/>
        <v>23.054545454545451</v>
      </c>
      <c r="AR262" s="68">
        <f>IFERROR(VLOOKUP(A262,Climatologia_TMAX!A:U,9+$E$2,FALSE),"")</f>
        <v>21.05350412968302</v>
      </c>
      <c r="AS262" s="68">
        <f t="shared" si="23"/>
        <v>2.001041324862431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0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>
        <v>19.2</v>
      </c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15</v>
      </c>
      <c r="AQ266" s="68">
        <f t="shared" si="22"/>
        <v>19.173333333333332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>
        <v>15.2</v>
      </c>
      <c r="AE268" s="66">
        <v>15.8</v>
      </c>
      <c r="AF268" s="66">
        <v>16</v>
      </c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22</v>
      </c>
      <c r="AQ268" s="68">
        <f t="shared" si="22"/>
        <v>15.381818181818181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>
        <v>20.8</v>
      </c>
      <c r="AF269" s="66">
        <v>19.600000000000001</v>
      </c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22</v>
      </c>
      <c r="AQ269" s="68">
        <f t="shared" si="22"/>
        <v>20.390909090909091</v>
      </c>
      <c r="AR269" s="68">
        <f>IFERROR(VLOOKUP(A269,Climatologia_TMAX!A:U,9+$E$2,FALSE),"")</f>
        <v>19.143200050320459</v>
      </c>
      <c r="AS269" s="68">
        <f t="shared" si="23"/>
        <v>1.2477090405886315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>
        <v>18.399999999999999</v>
      </c>
      <c r="AF270" s="66">
        <v>18</v>
      </c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20</v>
      </c>
      <c r="AQ270" s="68">
        <f t="shared" si="22"/>
        <v>18.490000000000002</v>
      </c>
      <c r="AR270" s="68">
        <f>IFERROR(VLOOKUP(A270,Climatologia_TMAX!A:U,9+$E$2,FALSE),"")</f>
        <v>16.385184798575551</v>
      </c>
      <c r="AS270" s="68">
        <f t="shared" si="23"/>
        <v>2.1048152014244508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>
        <v>19.399999999999999</v>
      </c>
      <c r="AF271" s="66">
        <v>17.600000000000001</v>
      </c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22</v>
      </c>
      <c r="AQ271" s="68">
        <f t="shared" si="22"/>
        <v>17.18181818181818</v>
      </c>
      <c r="AR271" s="68">
        <f>IFERROR(VLOOKUP(A271,Climatologia_TMAX!A:U,9+$E$2,FALSE),"")</f>
        <v>17.371682824188088</v>
      </c>
      <c r="AS271" s="68">
        <f t="shared" si="23"/>
        <v>-0.18986464236990841</v>
      </c>
      <c r="AT271" s="74">
        <f t="shared" si="24"/>
        <v>19.399999999999999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-3.2000000000000028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>
        <v>23</v>
      </c>
      <c r="AF272" s="66">
        <v>21.8</v>
      </c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22</v>
      </c>
      <c r="AQ272" s="68">
        <f t="shared" si="22"/>
        <v>22.700000000000003</v>
      </c>
      <c r="AR272" s="68">
        <f>IFERROR(VLOOKUP(A272,Climatologia_TMAX!A:U,9+$E$2,FALSE),"")</f>
        <v>20.524700215122909</v>
      </c>
      <c r="AS272" s="68">
        <f t="shared" si="23"/>
        <v>2.1752997848770939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>
        <v>27</v>
      </c>
      <c r="AF273" s="66">
        <v>23.6</v>
      </c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22</v>
      </c>
      <c r="AQ273" s="68">
        <f t="shared" si="22"/>
        <v>26.963636363636365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>
        <v>11.8</v>
      </c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20</v>
      </c>
      <c r="AQ275" s="68">
        <f t="shared" si="22"/>
        <v>11.650000000000002</v>
      </c>
      <c r="AR275" s="68">
        <f>IFERROR(VLOOKUP(A275,Climatologia_TMAX!A:U,9+$E$2,FALSE),"")</f>
        <v>11.567283004043301</v>
      </c>
      <c r="AS275" s="68">
        <f t="shared" si="23"/>
        <v>8.2716995956701567E-2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>
        <v>32.799999999999997</v>
      </c>
      <c r="AF278" s="66">
        <v>30.8</v>
      </c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22</v>
      </c>
      <c r="AQ278" s="68">
        <f t="shared" si="22"/>
        <v>33.48181818181817</v>
      </c>
      <c r="AR278" s="68">
        <f>IFERROR(VLOOKUP(A278,Climatologia_TMAX!A:U,9+$E$2,FALSE),"")</f>
        <v>31.62928722448812</v>
      </c>
      <c r="AS278" s="68">
        <f t="shared" si="23"/>
        <v>1.8525309573300497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>
        <v>21.4</v>
      </c>
      <c r="AF279" s="66">
        <v>19.2</v>
      </c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22</v>
      </c>
      <c r="AQ279" s="68">
        <f t="shared" si="22"/>
        <v>20.868181818181814</v>
      </c>
      <c r="AR279" s="68">
        <f>IFERROR(VLOOKUP(A279,Climatologia_TMAX!A:U,9+$E$2,FALSE),"")</f>
        <v>20.492876344086021</v>
      </c>
      <c r="AS279" s="68">
        <f t="shared" si="23"/>
        <v>0.37530547409579285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>
        <v>33.4</v>
      </c>
      <c r="AF280" s="66">
        <v>27.8</v>
      </c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22</v>
      </c>
      <c r="AQ280" s="68">
        <f t="shared" si="22"/>
        <v>32.518181818181809</v>
      </c>
      <c r="AR280" s="68">
        <f>IFERROR(VLOOKUP(A280,Climatologia_TMAX!A:U,9+$E$2,FALSE),"")</f>
        <v>29.755468215712931</v>
      </c>
      <c r="AS280" s="68">
        <f t="shared" si="23"/>
        <v>2.7627136024688781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>
        <v>22.2</v>
      </c>
      <c r="AF281" s="66">
        <v>19.2</v>
      </c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22</v>
      </c>
      <c r="AQ281" s="68">
        <f t="shared" si="22"/>
        <v>21.963636363636365</v>
      </c>
      <c r="AR281" s="68">
        <f>IFERROR(VLOOKUP(A281,Climatologia_TMAX!A:U,9+$E$2,FALSE),"")</f>
        <v>19.62978110599078</v>
      </c>
      <c r="AS281" s="68">
        <f t="shared" si="23"/>
        <v>2.3338552576455847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>
        <v>19.8</v>
      </c>
      <c r="AE284" s="66">
        <v>19</v>
      </c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21</v>
      </c>
      <c r="AQ284" s="68">
        <f t="shared" si="22"/>
        <v>19.161904761904761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>
        <v>22.4</v>
      </c>
      <c r="AF285" s="66">
        <v>21</v>
      </c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22</v>
      </c>
      <c r="AQ285" s="68">
        <f t="shared" si="22"/>
        <v>20.827272727272728</v>
      </c>
      <c r="AR285" s="68">
        <f>IFERROR(VLOOKUP(A285,Climatologia_TMAX!A:U,9+$E$2,FALSE),"")</f>
        <v>19.309961016360539</v>
      </c>
      <c r="AS285" s="68">
        <f t="shared" si="23"/>
        <v>1.517311710912189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>
        <v>20</v>
      </c>
      <c r="AE287" s="66">
        <v>18.8</v>
      </c>
      <c r="AF287" s="66">
        <v>16.8</v>
      </c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19.318181818181817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2" width="11.42578125" style="42" customWidth="1"/>
    <col min="12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2026-08-23T15:20:03Z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2026-08-23T15:20:03Z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3d614f87-ac84-467c-b325-cfe27563e991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