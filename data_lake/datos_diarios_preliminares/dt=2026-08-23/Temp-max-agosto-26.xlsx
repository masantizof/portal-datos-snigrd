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3555032-1509-4861-A5D6-28C696C7606E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<sst xmlns="http://schemas.openxmlformats.org/spreadsheetml/2006/main" count="603" uniqueCount="272">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</sst>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M37" activePane="bottomRight" state="frozen"/>
      <selection pane="topRight" activeCell="E1" sqref="E1"/>
      <selection pane="bottomLeft" activeCell="A4" sqref="A4"/>
      <selection pane="bottomRight" activeCell="AG47" sqref="AG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>
        <v>32.5</v>
      </c>
      <c r="Z5" s="63">
        <v>32.200000000000003</v>
      </c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32.200000000000003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31.681818181818187</v>
      </c>
      <c r="AP5" s="23">
        <f>IF(AN5&gt;0,IFERROR(AO5-AN5,""),"")</f>
        <v>1.1658747123939968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>
        <v>31.9</v>
      </c>
      <c r="Z6" s="63">
        <v>32.200000000000003</v>
      </c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32.200000000000003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31.754545454545454</v>
      </c>
      <c r="AP6" s="23">
        <f t="shared" ref="AP6:AP48" si="4">IF(AN6&gt;0,IFERROR(AO6-AN6,""),"")</f>
        <v>0.70812115005664467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79">
        <v>39.6</v>
      </c>
      <c r="Z7" s="63">
        <v>34</v>
      </c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</v>
      </c>
      <c r="AK7" s="21">
        <f t="shared" si="1"/>
        <v>39.6</v>
      </c>
      <c r="AL7" s="22">
        <v>38.4</v>
      </c>
      <c r="AM7" s="23">
        <f t="shared" si="2"/>
        <v>1.2000000000000028</v>
      </c>
      <c r="AN7" s="23">
        <v>33.115285708400279</v>
      </c>
      <c r="AO7" s="23">
        <f t="shared" si="3"/>
        <v>35.327272727272728</v>
      </c>
      <c r="AP7" s="23">
        <f t="shared" si="4"/>
        <v>2.2119870188724491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>
        <v>34.6</v>
      </c>
      <c r="Z8" s="63">
        <v>32.1</v>
      </c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32.1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33.490909090909092</v>
      </c>
      <c r="AP8" s="23">
        <f t="shared" si="4"/>
        <v>1.2471032018625152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>
        <v>38</v>
      </c>
      <c r="Z9" s="63">
        <v>32.4</v>
      </c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32.4</v>
      </c>
      <c r="AK9" s="21">
        <f t="shared" si="1"/>
        <v>38</v>
      </c>
      <c r="AL9" s="22">
        <v>38.700000000000003</v>
      </c>
      <c r="AM9" s="23">
        <f t="shared" si="2"/>
        <v>-0.70000000000000284</v>
      </c>
      <c r="AN9" s="23">
        <v>33.507160697070823</v>
      </c>
      <c r="AO9" s="23">
        <f t="shared" si="3"/>
        <v>34.872727272727268</v>
      </c>
      <c r="AP9" s="23">
        <f t="shared" si="4"/>
        <v>1.3655665756564446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>
        <v>37</v>
      </c>
      <c r="Z10" s="63">
        <v>34.5</v>
      </c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34.5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36.804545454545455</v>
      </c>
      <c r="AP10" s="23">
        <f t="shared" si="4"/>
        <v>1.7665984214908974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>
        <v>39.5</v>
      </c>
      <c r="Z11" s="63">
        <v>38.299999999999997</v>
      </c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38.299999999999997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39.268181818181816</v>
      </c>
      <c r="AP11" s="23">
        <f t="shared" si="4"/>
        <v>4.0887194525904178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>
        <v>36</v>
      </c>
      <c r="Z12" s="63">
        <v>32.4</v>
      </c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32.4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34.600000000000009</v>
      </c>
      <c r="AP12" s="23">
        <f t="shared" si="4"/>
        <v>2.4680856280220809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>
        <v>36.6</v>
      </c>
      <c r="Z13" s="63">
        <v>33.6</v>
      </c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33.6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35.327272727272735</v>
      </c>
      <c r="AP13" s="23">
        <f t="shared" si="4"/>
        <v>2.4035144067402285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>
        <v>36.6</v>
      </c>
      <c r="Z14" s="63">
        <v>31</v>
      </c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31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34.472727272727276</v>
      </c>
      <c r="AP14" s="23">
        <f t="shared" si="4"/>
        <v>1.4076429918525548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>
        <v>34.4</v>
      </c>
      <c r="Z15" s="63">
        <v>28.7</v>
      </c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28.7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32.009090909090908</v>
      </c>
      <c r="AP15" s="23">
        <f t="shared" si="4"/>
        <v>8.9922962342306789E-2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>
        <v>34.6</v>
      </c>
      <c r="Z17" s="63">
        <v>32.9</v>
      </c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32.9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35.400000000000006</v>
      </c>
      <c r="AP17" s="23">
        <f>IF(AN17&gt;0,IFERROR(AO17-AN17,""),"")</f>
        <v>2.6966147571375885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>
        <v>27.6</v>
      </c>
      <c r="Z18" s="63">
        <v>27.4</v>
      </c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27.4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28.995454545454546</v>
      </c>
      <c r="AP18" s="23">
        <f t="shared" si="4"/>
        <v>2.6518089859165173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>
        <v>37.6</v>
      </c>
      <c r="Z19" s="63">
        <v>36.5</v>
      </c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36.5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35.786363636363646</v>
      </c>
      <c r="AP19" s="23">
        <f t="shared" si="4"/>
        <v>1.5789571847507489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>
        <v>31.5</v>
      </c>
      <c r="Z20" s="63">
        <v>30</v>
      </c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30.918181818181814</v>
      </c>
      <c r="AP20" s="23">
        <f t="shared" si="4"/>
        <v>2.2184826374342457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>
        <v>24.7</v>
      </c>
      <c r="Z21" s="63">
        <v>23.7</v>
      </c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23.7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</v>
      </c>
      <c r="AP21" s="23">
        <f t="shared" si="4"/>
        <v>1.7976525641517398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>
        <v>30.4</v>
      </c>
      <c r="Z23" s="63">
        <v>28.4</v>
      </c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28.4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29.518181818181816</v>
      </c>
      <c r="AP23" s="23">
        <f t="shared" si="4"/>
        <v>2.2100785923753641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>
        <v>32.1</v>
      </c>
      <c r="Z24" s="63">
        <v>30.1</v>
      </c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30.1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30.818181818181824</v>
      </c>
      <c r="AP24" s="23">
        <f t="shared" si="4"/>
        <v>1.9961985445856527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>
        <v>34.4</v>
      </c>
      <c r="Z25" s="63">
        <v>32.299999999999997</v>
      </c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32.299999999999997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34.099999999999994</v>
      </c>
      <c r="AP25" s="23">
        <f t="shared" si="4"/>
        <v>2.5414647489820226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>
        <v>20.399999999999999</v>
      </c>
      <c r="Z26" s="63">
        <v>19.3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19.3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19.995454545454542</v>
      </c>
      <c r="AP26" s="23">
        <f t="shared" si="4"/>
        <v>1.2225143840216113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>
        <v>21.4</v>
      </c>
      <c r="Z27" s="63">
        <v>21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20.777272727272727</v>
      </c>
      <c r="AP27" s="23">
        <f t="shared" si="4"/>
        <v>3.6899540571212768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>
        <v>33.9</v>
      </c>
      <c r="Z28" s="63">
        <v>32.799999999999997</v>
      </c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32.799999999999997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32.468181818181819</v>
      </c>
      <c r="AP28" s="23">
        <f t="shared" si="4"/>
        <v>1.3502616984546485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>
        <v>36.799999999999997</v>
      </c>
      <c r="Z30" s="63">
        <v>33</v>
      </c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35.918181818181814</v>
      </c>
      <c r="AP30" s="23">
        <f t="shared" si="4"/>
        <v>1.2991495601173071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>
        <v>28.3</v>
      </c>
      <c r="Z31" s="63">
        <v>27</v>
      </c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27.177272727272726</v>
      </c>
      <c r="AP31" s="23">
        <f t="shared" si="4"/>
        <v>1.0299430696032061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>
        <v>18.2</v>
      </c>
      <c r="Z32" s="63">
        <v>18</v>
      </c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17.009090909090904</v>
      </c>
      <c r="AP32" s="23">
        <f t="shared" si="4"/>
        <v>0.57095550094585334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>
        <v>15.4</v>
      </c>
      <c r="Z33" s="63">
        <v>16.600000000000001</v>
      </c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16.600000000000001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15.472727272727271</v>
      </c>
      <c r="AP33" s="23">
        <f t="shared" si="4"/>
        <v>0.48751036505208134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>
        <v>33.4</v>
      </c>
      <c r="Z35" s="63">
        <v>29.4</v>
      </c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29.4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32.136363636363633</v>
      </c>
      <c r="AP35" s="23">
        <f t="shared" si="4"/>
        <v>0.90666397006775412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>
        <v>32.299999999999997</v>
      </c>
      <c r="Z38" s="63">
        <v>33.299999999999997</v>
      </c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33.299999999999997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32.34545454545453</v>
      </c>
      <c r="AP38" s="23">
        <f t="shared" si="4"/>
        <v>1.54509612251546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>
        <v>29.4</v>
      </c>
      <c r="Z39" s="63">
        <v>32.6</v>
      </c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32.6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32.059090909090912</v>
      </c>
      <c r="AP39" s="23">
        <f t="shared" si="4"/>
        <v>0.54545353422995291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>
        <v>30.4</v>
      </c>
      <c r="Z40" s="63">
        <v>30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30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30.827272727272724</v>
      </c>
      <c r="AP40" s="23">
        <f t="shared" si="4"/>
        <v>1.0197087673172263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>
        <v>31.4</v>
      </c>
      <c r="Z41" s="63">
        <v>30.6</v>
      </c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30.6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32.000000000000007</v>
      </c>
      <c r="AP41" s="23">
        <f t="shared" si="4"/>
        <v>2.1486260454002384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>
        <v>30.4</v>
      </c>
      <c r="Z43" s="63">
        <v>31.8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31.8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31.790909090909086</v>
      </c>
      <c r="AP43" s="23">
        <f t="shared" si="4"/>
        <v>0.76883472060149671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>
        <v>31</v>
      </c>
      <c r="Z44" s="29">
        <v>30.3</v>
      </c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30.3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31.345454545454537</v>
      </c>
      <c r="AP44" s="23">
        <f t="shared" si="4"/>
        <v>1.2014744821363266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>
        <v>28.2</v>
      </c>
      <c r="Z45" s="63">
        <v>31.6</v>
      </c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31.6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31.66363636363636</v>
      </c>
      <c r="AP45" s="23">
        <f t="shared" si="4"/>
        <v>1.2430592241204614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>
        <v>29.6</v>
      </c>
      <c r="Z48" s="63">
        <v>31.9</v>
      </c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31.9</v>
      </c>
      <c r="AK48" s="21">
        <f t="shared" si="1"/>
        <v>33.6</v>
      </c>
      <c r="AL48" s="22">
        <v>35.700000000000003</v>
      </c>
      <c r="AM48" s="23">
        <f t="shared" si="2"/>
        <v>-2.1000000000000014</v>
      </c>
      <c r="AN48" s="23">
        <v>31.390004135649299</v>
      </c>
      <c r="AO48" s="23">
        <f t="shared" si="7"/>
        <v>31.822727272727274</v>
      </c>
      <c r="AP48" s="23">
        <f t="shared" si="4"/>
        <v>0.43272313707797494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2026-08-23T13:50:53Z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