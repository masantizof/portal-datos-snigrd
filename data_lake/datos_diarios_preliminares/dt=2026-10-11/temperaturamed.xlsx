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A8CA026-A59C-4A76-9DE9-C2DF59DECC5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S208" i="1" s="1"/>
  <c r="AQ208" i="1"/>
  <c r="AP208" i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<sst xmlns="http://schemas.openxmlformats.org/spreadsheetml/2006/main" count="3690" uniqueCount="1514">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</sst>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A188" zoomScale="87" zoomScaleNormal="87" workbookViewId="0">
      <selection activeCell="U13" sqref="U13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89" width="32.42578125" style="50" customWidth="1"/>
    <col min="19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9</v>
      </c>
      <c r="AQ5" s="71" t="str">
        <f t="shared" ref="AQ5:AQ68" si="1">IF(AP5&gt;14,AVERAGE(K5:AO5),"")</f>
        <v/>
      </c>
      <c r="AR5" s="71">
        <f>IFERROR(VLOOKUP(A5,Climatologia_TMED!A:U,9+$E$2,FALSE),"")</f>
        <v>27.881000630194169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9</v>
      </c>
      <c r="AQ6" s="71" t="str">
        <f t="shared" si="1"/>
        <v/>
      </c>
      <c r="AR6" s="71">
        <f>IFERROR(VLOOKUP(A6,Climatologia_TMED!A:U,9+$E$2,FALSE),"")</f>
        <v>27.729629390681001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9</v>
      </c>
      <c r="AQ7" s="71" t="str">
        <f t="shared" si="1"/>
        <v/>
      </c>
      <c r="AR7" s="71">
        <f>IFERROR(VLOOKUP(A7,Climatologia_TMED!A:U,9+$E$2,FALSE),"")</f>
        <v>28.179117106951619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9</v>
      </c>
      <c r="AQ8" s="71" t="str">
        <f t="shared" si="1"/>
        <v/>
      </c>
      <c r="AR8" s="71">
        <f>IFERROR(VLOOKUP(A8,Climatologia_TMED!A:U,9+$E$2,FALSE),"")</f>
        <v>28.286533664480331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9</v>
      </c>
      <c r="AQ9" s="71" t="str">
        <f t="shared" si="1"/>
        <v/>
      </c>
      <c r="AR9" s="71">
        <f>IFERROR(VLOOKUP(A9,Climatologia_TMED!A:U,9+$E$2,FALSE),"")</f>
        <v>29.103848566308201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9</v>
      </c>
      <c r="AQ10" s="71" t="str">
        <f t="shared" si="1"/>
        <v/>
      </c>
      <c r="AR10" s="71">
        <f>IFERROR(VLOOKUP(A10,Climatologia_TMED!A:U,9+$E$2,FALSE),"")</f>
        <v>28.122698839392388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9</v>
      </c>
      <c r="AQ11" s="71" t="str">
        <f t="shared" si="1"/>
        <v/>
      </c>
      <c r="AR11" s="71">
        <f>IFERROR(VLOOKUP(A11,Climatologia_TMED!A:U,9+$E$2,FALSE),"")</f>
        <v>27.709736758537161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8</v>
      </c>
      <c r="AQ12" s="71" t="str">
        <f t="shared" si="1"/>
        <v/>
      </c>
      <c r="AR12" s="71">
        <f>IFERROR(VLOOKUP(A12,Climatologia_TMED!A:U,9+$E$2,FALSE),"")</f>
        <v>27.557996852311359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9</v>
      </c>
      <c r="AQ13" s="71" t="str">
        <f t="shared" si="1"/>
        <v/>
      </c>
      <c r="AR13" s="71">
        <f>IFERROR(VLOOKUP(A13,Climatologia_TMED!A:U,9+$E$2,FALSE),"")</f>
        <v>27.382634408602119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9</v>
      </c>
      <c r="AQ14" s="71" t="str">
        <f t="shared" si="1"/>
        <v/>
      </c>
      <c r="AR14" s="71">
        <f>IFERROR(VLOOKUP(A14,Climatologia_TMED!A:U,9+$E$2,FALSE),"")</f>
        <v>21.259047860741401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9</v>
      </c>
      <c r="AQ15" s="71" t="str">
        <f t="shared" si="1"/>
        <v/>
      </c>
      <c r="AR15" s="71">
        <f>IFERROR(VLOOKUP(A15,Climatologia_TMED!A:U,9+$E$2,FALSE),"")</f>
        <v>27.673047235023031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9</v>
      </c>
      <c r="AQ16" s="71" t="str">
        <f t="shared" si="1"/>
        <v/>
      </c>
      <c r="AR16" s="71">
        <f>IFERROR(VLOOKUP(A16,Climatologia_TMED!A:U,9+$E$2,FALSE),"")</f>
        <v>27.20826867240342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9</v>
      </c>
      <c r="AQ17" s="71" t="str">
        <f t="shared" si="1"/>
        <v/>
      </c>
      <c r="AR17" s="71">
        <f>IFERROR(VLOOKUP(A17,Climatologia_TMED!A:U,9+$E$2,FALSE),"")</f>
        <v>22.205912124582859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9</v>
      </c>
      <c r="AQ18" s="71" t="str">
        <f t="shared" si="1"/>
        <v/>
      </c>
      <c r="AR18" s="71">
        <f>IFERROR(VLOOKUP(A18,Climatologia_TMED!A:U,9+$E$2,FALSE),"")</f>
        <v>16.702332904784161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9</v>
      </c>
      <c r="AQ19" s="71" t="str">
        <f t="shared" si="1"/>
        <v/>
      </c>
      <c r="AR19" s="71">
        <f>IFERROR(VLOOKUP(A19,Climatologia_TMED!A:U,9+$E$2,FALSE),"")</f>
        <v>21.27792338709677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9</v>
      </c>
      <c r="AQ20" s="71" t="str">
        <f t="shared" si="1"/>
        <v/>
      </c>
      <c r="AR20" s="71">
        <f>IFERROR(VLOOKUP(A20,Climatologia_TMED!A:U,9+$E$2,FALSE),"")</f>
        <v>21.607575757575749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9</v>
      </c>
      <c r="AQ21" s="71" t="str">
        <f t="shared" si="1"/>
        <v/>
      </c>
      <c r="AR21" s="71">
        <f>IFERROR(VLOOKUP(A21,Climatologia_TMED!A:U,9+$E$2,FALSE),"")</f>
        <v>23.654690396737109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9</v>
      </c>
      <c r="AQ22" s="71" t="str">
        <f t="shared" si="1"/>
        <v/>
      </c>
      <c r="AR22" s="71">
        <f>IFERROR(VLOOKUP(A22,Climatologia_TMED!A:U,9+$E$2,FALSE),"")</f>
        <v>13.74946812596005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9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9</v>
      </c>
      <c r="AQ24" s="71" t="str">
        <f t="shared" si="1"/>
        <v/>
      </c>
      <c r="AR24" s="71">
        <f>IFERROR(VLOOKUP(A24,Climatologia_TMED!A:U,9+$E$2,FALSE),"")</f>
        <v>28.253813918757459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9</v>
      </c>
      <c r="AQ25" s="71" t="str">
        <f t="shared" si="1"/>
        <v/>
      </c>
      <c r="AR25" s="71">
        <f>IFERROR(VLOOKUP(A25,Climatologia_TMED!A:U,9+$E$2,FALSE),"")</f>
        <v>18.986103909450769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9</v>
      </c>
      <c r="AQ26" s="71" t="str">
        <f t="shared" si="1"/>
        <v/>
      </c>
      <c r="AR26" s="71">
        <f>IFERROR(VLOOKUP(A26,Climatologia_TMED!A:U,9+$E$2,FALSE),"")</f>
        <v>11.362154377880151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9</v>
      </c>
      <c r="AQ27" s="71" t="str">
        <f t="shared" si="1"/>
        <v/>
      </c>
      <c r="AR27" s="71">
        <f>IFERROR(VLOOKUP(A27,Climatologia_TMED!A:U,9+$E$2,FALSE),"")</f>
        <v>26.428489988876521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99"/>
      <c r="AI28" s="56"/>
      <c r="AJ28" s="56"/>
      <c r="AK28" s="56"/>
      <c r="AL28" s="56"/>
      <c r="AM28" s="56"/>
      <c r="AN28" s="56"/>
      <c r="AO28" s="56"/>
      <c r="AP28" s="58">
        <f t="shared" si="0"/>
        <v>9</v>
      </c>
      <c r="AQ28" s="71" t="str">
        <f t="shared" si="1"/>
        <v/>
      </c>
      <c r="AR28" s="71">
        <f>IFERROR(VLOOKUP(A28,Climatologia_TMED!A:U,9+$E$2,FALSE),"")</f>
        <v>26.85779444357868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9</v>
      </c>
      <c r="AQ29" s="71" t="str">
        <f t="shared" si="1"/>
        <v/>
      </c>
      <c r="AR29" s="71">
        <f>IFERROR(VLOOKUP(A29,Climatologia_TMED!A:U,9+$E$2,FALSE),"")</f>
        <v>28.371190211345901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9</v>
      </c>
      <c r="AQ30" s="71" t="str">
        <f t="shared" si="1"/>
        <v/>
      </c>
      <c r="AR30" s="71">
        <f>IFERROR(VLOOKUP(A30,Climatologia_TMED!A:U,9+$E$2,FALSE),"")</f>
        <v>25.87283273596173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9</v>
      </c>
      <c r="AQ31" s="71" t="str">
        <f t="shared" si="1"/>
        <v/>
      </c>
      <c r="AR31" s="71">
        <f>IFERROR(VLOOKUP(A31,Climatologia_TMED!A:U,9+$E$2,FALSE),"")</f>
        <v>26.594523775388289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9</v>
      </c>
      <c r="AQ32" s="71" t="str">
        <f t="shared" si="1"/>
        <v/>
      </c>
      <c r="AR32" s="71">
        <f>IFERROR(VLOOKUP(A32,Climatologia_TMED!A:U,9+$E$2,FALSE),"")</f>
        <v>17.254437895100601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9</v>
      </c>
      <c r="AQ33" s="71" t="str">
        <f t="shared" si="1"/>
        <v/>
      </c>
      <c r="AR33" s="71">
        <f>IFERROR(VLOOKUP(A33,Climatologia_TMED!A:U,9+$E$2,FALSE),"")</f>
        <v>26.480026163250781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9</v>
      </c>
      <c r="AQ34" s="71" t="str">
        <f t="shared" si="1"/>
        <v/>
      </c>
      <c r="AR34" s="71">
        <f>IFERROR(VLOOKUP(A34,Climatologia_TMED!A:U,9+$E$2,FALSE),"")</f>
        <v>19.457461376838431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9</v>
      </c>
      <c r="AQ35" s="71" t="str">
        <f t="shared" si="1"/>
        <v/>
      </c>
      <c r="AR35" s="71">
        <f>IFERROR(VLOOKUP(A35,Climatologia_TMED!A:U,9+$E$2,FALSE),"")</f>
        <v>23.52490973164798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9</v>
      </c>
      <c r="AQ36" s="71" t="str">
        <f t="shared" si="1"/>
        <v/>
      </c>
      <c r="AR36" s="71">
        <f>IFERROR(VLOOKUP(A36,Climatologia_TMED!A:U,9+$E$2,FALSE),"")</f>
        <v>17.966849004562881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9</v>
      </c>
      <c r="AQ37" s="71" t="str">
        <f t="shared" si="1"/>
        <v/>
      </c>
      <c r="AR37" s="71">
        <f>IFERROR(VLOOKUP(A37,Climatologia_TMED!A:U,9+$E$2,FALSE),"")</f>
        <v>25.484403091811242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9</v>
      </c>
      <c r="AQ38" s="71" t="str">
        <f t="shared" si="1"/>
        <v/>
      </c>
      <c r="AR38" s="71">
        <f>IFERROR(VLOOKUP(A38,Climatologia_TMED!A:U,9+$E$2,FALSE),"")</f>
        <v>14.761222698942371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9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4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9</v>
      </c>
      <c r="AQ41" s="71" t="str">
        <f t="shared" si="1"/>
        <v/>
      </c>
      <c r="AR41" s="71">
        <f>IFERROR(VLOOKUP(A41,Climatologia_TMED!A:U,9+$E$2,FALSE),"")</f>
        <v>17.809525933717701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8</v>
      </c>
      <c r="AQ42" s="71" t="str">
        <f t="shared" si="1"/>
        <v/>
      </c>
      <c r="AR42" s="71">
        <f>IFERROR(VLOOKUP(A42,Climatologia_TMED!A:U,9+$E$2,FALSE),"")</f>
        <v>27.174029271206681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8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9</v>
      </c>
      <c r="AQ44" s="71" t="str">
        <f t="shared" si="1"/>
        <v/>
      </c>
      <c r="AR44" s="71">
        <f>IFERROR(VLOOKUP(A44,Climatologia_TMED!A:U,9+$E$2,FALSE),"")</f>
        <v>27.22822487949573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9</v>
      </c>
      <c r="AQ45" s="71" t="str">
        <f t="shared" si="1"/>
        <v/>
      </c>
      <c r="AR45" s="71">
        <f>IFERROR(VLOOKUP(A45,Climatologia_TMED!A:U,9+$E$2,FALSE),"")</f>
        <v>26.888831730658229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8</v>
      </c>
      <c r="AQ50" s="71" t="str">
        <f t="shared" si="1"/>
        <v/>
      </c>
      <c r="AR50" s="71">
        <f>IFERROR(VLOOKUP(A50,Climatologia_TMED!A:U,9+$E$2,FALSE),"")</f>
        <v>27.189899602702589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9</v>
      </c>
      <c r="AQ53" s="71" t="str">
        <f t="shared" si="1"/>
        <v/>
      </c>
      <c r="AR53" s="71">
        <f>IFERROR(VLOOKUP(A53,Climatologia_TMED!A:U,9+$E$2,FALSE),"")</f>
        <v>26.49867881858615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9</v>
      </c>
      <c r="AQ54" s="71" t="str">
        <f t="shared" si="1"/>
        <v/>
      </c>
      <c r="AR54" s="71">
        <f>IFERROR(VLOOKUP(A54,Climatologia_TMED!A:U,9+$E$2,FALSE),"")</f>
        <v>27.989273285300179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6</v>
      </c>
      <c r="AQ55" s="71" t="str">
        <f t="shared" si="1"/>
        <v/>
      </c>
      <c r="AR55" s="71">
        <f>IFERROR(VLOOKUP(A55,Climatologia_TMED!A:U,9+$E$2,FALSE),"")</f>
        <v>27.517592431191851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9</v>
      </c>
      <c r="AQ59" s="71" t="str">
        <f t="shared" si="1"/>
        <v/>
      </c>
      <c r="AR59" s="71">
        <f>IFERROR(VLOOKUP(A59,Climatologia_TMED!A:U,9+$E$2,FALSE),"")</f>
        <v>27.213190091590139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6</v>
      </c>
      <c r="AQ60" s="71" t="str">
        <f t="shared" si="1"/>
        <v/>
      </c>
      <c r="AR60" s="71">
        <f>IFERROR(VLOOKUP(A60,Climatologia_TMED!A:U,9+$E$2,FALSE),"")</f>
        <v>25.40553026864524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9</v>
      </c>
      <c r="AQ61" s="71" t="str">
        <f t="shared" si="1"/>
        <v/>
      </c>
      <c r="AR61" s="71">
        <f>IFERROR(VLOOKUP(A61,Climatologia_TMED!A:U,9+$E$2,FALSE),"")</f>
        <v>26.804794338924129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9</v>
      </c>
      <c r="AQ62" s="71" t="str">
        <f t="shared" si="1"/>
        <v/>
      </c>
      <c r="AR62" s="71">
        <f>IFERROR(VLOOKUP(A62,Climatologia_TMED!A:U,9+$E$2,FALSE),"")</f>
        <v>25.86650485081659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9</v>
      </c>
      <c r="AQ65" s="71" t="str">
        <f t="shared" si="1"/>
        <v/>
      </c>
      <c r="AR65" s="71">
        <f>IFERROR(VLOOKUP(A65,Climatologia_TMED!A:U,9+$E$2,FALSE),"")</f>
        <v>26.097584247861882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9</v>
      </c>
      <c r="AQ66" s="71" t="str">
        <f t="shared" si="1"/>
        <v/>
      </c>
      <c r="AR66" s="71">
        <f>IFERROR(VLOOKUP(A66,Climatologia_TMED!A:U,9+$E$2,FALSE),"")</f>
        <v>26.18643292457655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8</v>
      </c>
      <c r="AQ67" s="71" t="str">
        <f t="shared" si="1"/>
        <v/>
      </c>
      <c r="AR67" s="71">
        <f>IFERROR(VLOOKUP(A67,Climatologia_TMED!A:U,9+$E$2,FALSE),"")</f>
        <v>26.111106729021561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9</v>
      </c>
      <c r="AQ68" s="71" t="str">
        <f t="shared" si="1"/>
        <v/>
      </c>
      <c r="AR68" s="71">
        <f>IFERROR(VLOOKUP(A68,Climatologia_TMED!A:U,9+$E$2,FALSE),"")</f>
        <v>25.781046108207619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9</v>
      </c>
      <c r="AQ69" s="71" t="str">
        <f t="shared" ref="AQ69:AQ132" si="4">IF(AP69&gt;14,AVERAGE(K69:AO69),"")</f>
        <v/>
      </c>
      <c r="AR69" s="71">
        <f>IFERROR(VLOOKUP(A69,Climatologia_TMED!A:U,9+$E$2,FALSE),"")</f>
        <v>25.72848061100953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9</v>
      </c>
      <c r="AQ70" s="71" t="str">
        <f t="shared" si="4"/>
        <v/>
      </c>
      <c r="AR70" s="71">
        <f>IFERROR(VLOOKUP(A70,Climatologia_TMED!A:U,9+$E$2,FALSE),"")</f>
        <v>27.054430505774569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9</v>
      </c>
      <c r="AQ71" s="71" t="str">
        <f t="shared" si="4"/>
        <v/>
      </c>
      <c r="AR71" s="71">
        <f>IFERROR(VLOOKUP(A71,Climatologia_TMED!A:U,9+$E$2,FALSE),"")</f>
        <v>26.934526828589131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9</v>
      </c>
      <c r="AQ72" s="71" t="str">
        <f t="shared" si="4"/>
        <v/>
      </c>
      <c r="AR72" s="71">
        <f>IFERROR(VLOOKUP(A72,Climatologia_TMED!A:U,9+$E$2,FALSE),"")</f>
        <v>25.84451128626969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9</v>
      </c>
      <c r="AQ74" s="71" t="str">
        <f t="shared" si="4"/>
        <v/>
      </c>
      <c r="AR74" s="71">
        <f>IFERROR(VLOOKUP(A74,Climatologia_TMED!A:U,9+$E$2,FALSE),"")</f>
        <v>21.226017584604101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9</v>
      </c>
      <c r="AQ75" s="71" t="str">
        <f t="shared" si="4"/>
        <v/>
      </c>
      <c r="AR75" s="71">
        <f>IFERROR(VLOOKUP(A75,Climatologia_TMED!A:U,9+$E$2,FALSE),"")</f>
        <v>15.837189539923889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9</v>
      </c>
      <c r="AQ76" s="71" t="str">
        <f t="shared" si="4"/>
        <v/>
      </c>
      <c r="AR76" s="71">
        <f>IFERROR(VLOOKUP(A76,Climatologia_TMED!A:U,9+$E$2,FALSE),"")</f>
        <v>20.58024705695469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9</v>
      </c>
      <c r="AQ77" s="71" t="str">
        <f t="shared" si="4"/>
        <v/>
      </c>
      <c r="AR77" s="71">
        <f>IFERROR(VLOOKUP(A77,Climatologia_TMED!A:U,9+$E$2,FALSE),"")</f>
        <v>22.700195843288881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/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8</v>
      </c>
      <c r="AQ78" s="71" t="str">
        <f t="shared" si="4"/>
        <v/>
      </c>
      <c r="AR78" s="71">
        <f>IFERROR(VLOOKUP(A78,Climatologia_TMED!A:U,9+$E$2,FALSE),"")</f>
        <v>28.36125399000905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9</v>
      </c>
      <c r="AQ79" s="71" t="str">
        <f t="shared" si="4"/>
        <v/>
      </c>
      <c r="AR79" s="71">
        <f>IFERROR(VLOOKUP(A79,Climatologia_TMED!A:U,9+$E$2,FALSE),"")</f>
        <v>29.03471256683039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9</v>
      </c>
      <c r="AQ80" s="71" t="str">
        <f t="shared" si="4"/>
        <v/>
      </c>
      <c r="AR80" s="71">
        <f>IFERROR(VLOOKUP(A80,Climatologia_TMED!A:U,9+$E$2,FALSE),"")</f>
        <v>20.3636890694053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31.55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7</v>
      </c>
      <c r="AQ81" s="71" t="str">
        <f t="shared" si="4"/>
        <v/>
      </c>
      <c r="AR81" s="71">
        <f>IFERROR(VLOOKUP(A81,Climatologia_TMED!A:U,9+$E$2,FALSE),"")</f>
        <v>25.649001100346791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8</v>
      </c>
      <c r="AQ82" s="71" t="str">
        <f t="shared" si="4"/>
        <v/>
      </c>
      <c r="AR82" s="71">
        <f>IFERROR(VLOOKUP(A82,Climatologia_TMED!A:U,9+$E$2,FALSE),"")</f>
        <v>26.62117511996097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5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9</v>
      </c>
      <c r="AQ86" s="71" t="str">
        <f t="shared" si="4"/>
        <v/>
      </c>
      <c r="AR86" s="71">
        <f>IFERROR(VLOOKUP(A86,Climatologia_TMED!A:U,9+$E$2,FALSE),"")</f>
        <v>27.379728091279489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5</v>
      </c>
      <c r="AQ87" s="71" t="str">
        <f t="shared" si="4"/>
        <v/>
      </c>
      <c r="AR87" s="71">
        <f>IFERROR(VLOOKUP(A87,Climatologia_TMED!A:U,9+$E$2,FALSE),"")</f>
        <v>27.720582732365109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9</v>
      </c>
      <c r="AQ88" s="71" t="str">
        <f t="shared" si="4"/>
        <v/>
      </c>
      <c r="AR88" s="71">
        <f>IFERROR(VLOOKUP(A88,Climatologia_TMED!A:U,9+$E$2,FALSE),"")</f>
        <v>27.069778972520901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9</v>
      </c>
      <c r="AQ89" s="71" t="str">
        <f t="shared" si="4"/>
        <v/>
      </c>
      <c r="AR89" s="71">
        <f>IFERROR(VLOOKUP(A89,Climatologia_TMED!A:U,9+$E$2,FALSE),"")</f>
        <v>27.705209307495291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6</v>
      </c>
      <c r="AQ90" s="71" t="str">
        <f t="shared" si="4"/>
        <v/>
      </c>
      <c r="AR90" s="71">
        <f>IFERROR(VLOOKUP(A90,Climatologia_TMED!A:U,9+$E$2,FALSE),"")</f>
        <v>27.329609392143951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9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9</v>
      </c>
      <c r="AQ92" s="71" t="str">
        <f t="shared" si="4"/>
        <v/>
      </c>
      <c r="AR92" s="71">
        <f>IFERROR(VLOOKUP(A92,Climatologia_TMED!A:U,9+$E$2,FALSE),"")</f>
        <v>15.8775587415372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9</v>
      </c>
      <c r="AQ93" s="71" t="str">
        <f t="shared" si="4"/>
        <v/>
      </c>
      <c r="AR93" s="71">
        <f>IFERROR(VLOOKUP(A93,Climatologia_TMED!A:U,9+$E$2,FALSE),"")</f>
        <v>21.989857397107869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9</v>
      </c>
      <c r="AQ94" s="71" t="str">
        <f t="shared" si="4"/>
        <v/>
      </c>
      <c r="AR94" s="71">
        <f>IFERROR(VLOOKUP(A94,Climatologia_TMED!A:U,9+$E$2,FALSE),"")</f>
        <v>16.039847019800661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9</v>
      </c>
      <c r="AQ95" s="71" t="str">
        <f t="shared" si="4"/>
        <v/>
      </c>
      <c r="AR95" s="71">
        <f>IFERROR(VLOOKUP(A95,Climatologia_TMED!A:U,9+$E$2,FALSE),"")</f>
        <v>14.123251533978079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9</v>
      </c>
      <c r="AQ97" s="71" t="str">
        <f t="shared" si="4"/>
        <v/>
      </c>
      <c r="AR97" s="71">
        <f>IFERROR(VLOOKUP(A97,Climatologia_TMED!A:U,9+$E$2,FALSE),"")</f>
        <v>14.44460019878052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9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9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14.509560422870511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9</v>
      </c>
      <c r="AQ101" s="71" t="str">
        <f t="shared" si="4"/>
        <v/>
      </c>
      <c r="AR101" s="71">
        <f>IFERROR(VLOOKUP(A101,Climatologia_TMED!A:U,9+$E$2,FALSE),"")</f>
        <v>13.247962835098431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7</v>
      </c>
      <c r="AQ102" s="71" t="str">
        <f t="shared" si="4"/>
        <v/>
      </c>
      <c r="AR102" s="71">
        <f>IFERROR(VLOOKUP(A102,Climatologia_TMED!A:U,9+$E$2,FALSE),"")</f>
        <v>11.74846290543551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9</v>
      </c>
      <c r="AQ105" s="71" t="str">
        <f t="shared" si="4"/>
        <v/>
      </c>
      <c r="AR105" s="71">
        <f>IFERROR(VLOOKUP(A105,Climatologia_TMED!A:U,9+$E$2,FALSE),"")</f>
        <v>17.093359138055629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8</v>
      </c>
      <c r="AQ106" s="71" t="str">
        <f t="shared" si="4"/>
        <v/>
      </c>
      <c r="AR106" s="71">
        <f>IFERROR(VLOOKUP(A106,Climatologia_TMED!A:U,9+$E$2,FALSE),"")</f>
        <v>14.06904829587253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9</v>
      </c>
      <c r="AQ108" s="71" t="str">
        <f t="shared" si="4"/>
        <v/>
      </c>
      <c r="AR108" s="71">
        <f>IFERROR(VLOOKUP(A108,Climatologia_TMED!A:U,9+$E$2,FALSE),"")</f>
        <v>14.682222659169771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9</v>
      </c>
      <c r="AQ109" s="71" t="str">
        <f t="shared" si="4"/>
        <v/>
      </c>
      <c r="AR109" s="71">
        <f>IFERROR(VLOOKUP(A109,Climatologia_TMED!A:U,9+$E$2,FALSE),"")</f>
        <v>14.58204881504656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9</v>
      </c>
      <c r="AQ110" s="71" t="str">
        <f t="shared" si="4"/>
        <v/>
      </c>
      <c r="AR110" s="71">
        <f>IFERROR(VLOOKUP(A110,Climatologia_TMED!A:U,9+$E$2,FALSE),"")</f>
        <v>18.046652477429902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9</v>
      </c>
      <c r="AQ111" s="71" t="str">
        <f t="shared" si="4"/>
        <v/>
      </c>
      <c r="AR111" s="71">
        <f>IFERROR(VLOOKUP(A111,Climatologia_TMED!A:U,9+$E$2,FALSE),"")</f>
        <v>16.360524994967189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9</v>
      </c>
      <c r="AQ112" s="71" t="str">
        <f t="shared" si="4"/>
        <v/>
      </c>
      <c r="AR112" s="71">
        <f>IFERROR(VLOOKUP(A112,Climatologia_TMED!A:U,9+$E$2,FALSE),"")</f>
        <v>17.634442842433899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8</v>
      </c>
      <c r="AQ113" s="71" t="str">
        <f t="shared" si="4"/>
        <v/>
      </c>
      <c r="AR113" s="71">
        <f>IFERROR(VLOOKUP(A113,Climatologia_TMED!A:U,9+$E$2,FALSE),"")</f>
        <v>18.982990988223222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5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29.8</v>
      </c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9</v>
      </c>
      <c r="AQ115" s="71" t="str">
        <f t="shared" si="4"/>
        <v/>
      </c>
      <c r="AR115" s="71">
        <f>IFERROR(VLOOKUP(A115,Climatologia_TMED!A:U,9+$E$2,FALSE),"")</f>
        <v>27.484475806451581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9</v>
      </c>
      <c r="AQ116" s="71" t="str">
        <f t="shared" si="4"/>
        <v/>
      </c>
      <c r="AR116" s="71">
        <f>IFERROR(VLOOKUP(A116,Climatologia_TMED!A:U,9+$E$2,FALSE),"")</f>
        <v>19.131439248100389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9</v>
      </c>
      <c r="AQ117" s="71" t="str">
        <f t="shared" si="4"/>
        <v/>
      </c>
      <c r="AR117" s="71">
        <f>IFERROR(VLOOKUP(A117,Climatologia_TMED!A:U,9+$E$2,FALSE),"")</f>
        <v>26.59831004118276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7</v>
      </c>
      <c r="AQ118" s="71" t="str">
        <f t="shared" si="4"/>
        <v/>
      </c>
      <c r="AR118" s="71">
        <f>IFERROR(VLOOKUP(A118,Climatologia_TMED!A:U,9+$E$2,FALSE),"")</f>
        <v>26.967688172043001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8</v>
      </c>
      <c r="AQ119" s="71" t="str">
        <f t="shared" si="4"/>
        <v/>
      </c>
      <c r="AR119" s="71">
        <f>IFERROR(VLOOKUP(A119,Climatologia_TMED!A:U,9+$E$2,FALSE),"")</f>
        <v>22.61409796893664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5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9</v>
      </c>
      <c r="AQ122" s="71" t="str">
        <f t="shared" si="4"/>
        <v/>
      </c>
      <c r="AR122" s="71">
        <f>IFERROR(VLOOKUP(A122,Climatologia_TMED!A:U,9+$E$2,FALSE),"")</f>
        <v>10.85633242813253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9</v>
      </c>
      <c r="AQ124" s="71" t="str">
        <f t="shared" si="4"/>
        <v/>
      </c>
      <c r="AR124" s="71">
        <f>IFERROR(VLOOKUP(A124,Climatologia_TMED!A:U,9+$E$2,FALSE),"")</f>
        <v>16.229132820044239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7</v>
      </c>
      <c r="AQ126" s="71" t="str">
        <f t="shared" si="4"/>
        <v/>
      </c>
      <c r="AR126" s="71">
        <f>IFERROR(VLOOKUP(A126,Climatologia_TMED!A:U,9+$E$2,FALSE),"")</f>
        <v>11.806048918509131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13.846390041845421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9</v>
      </c>
      <c r="AQ131" s="71" t="str">
        <f t="shared" si="4"/>
        <v/>
      </c>
      <c r="AR131" s="71">
        <f>IFERROR(VLOOKUP(A131,Climatologia_TMED!A:U,9+$E$2,FALSE),"")</f>
        <v>16.55177959187796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9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13.13826330396255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9</v>
      </c>
      <c r="AQ134" s="71" t="str">
        <f t="shared" si="7"/>
        <v/>
      </c>
      <c r="AR134" s="71">
        <f>IFERROR(VLOOKUP(A134,Climatologia_TMED!A:U,9+$E$2,FALSE),"")</f>
        <v>16.123804262864379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8</v>
      </c>
      <c r="AQ135" s="71" t="str">
        <f t="shared" si="7"/>
        <v/>
      </c>
      <c r="AR135" s="71">
        <f>IFERROR(VLOOKUP(A135,Climatologia_TMED!A:U,9+$E$2,FALSE),"")</f>
        <v>17.803425611943009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6</v>
      </c>
      <c r="AQ136" s="71" t="str">
        <f t="shared" si="7"/>
        <v/>
      </c>
      <c r="AR136" s="71">
        <f>IFERROR(VLOOKUP(A136,Climatologia_TMED!A:U,9+$E$2,FALSE),"")</f>
        <v>12.221172043010739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9</v>
      </c>
      <c r="AQ138" s="71" t="str">
        <f t="shared" si="7"/>
        <v/>
      </c>
      <c r="AR138" s="71">
        <f>IFERROR(VLOOKUP(A138,Climatologia_TMED!A:U,9+$E$2,FALSE),"")</f>
        <v>19.995544690623731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9</v>
      </c>
      <c r="AQ139" s="71" t="str">
        <f t="shared" si="7"/>
        <v/>
      </c>
      <c r="AR139" s="71">
        <f>IFERROR(VLOOKUP(A139,Climatologia_TMED!A:U,9+$E$2,FALSE),"")</f>
        <v>13.25229822156893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9</v>
      </c>
      <c r="AQ140" s="71" t="str">
        <f t="shared" si="7"/>
        <v/>
      </c>
      <c r="AR140" s="71">
        <f>IFERROR(VLOOKUP(A140,Climatologia_TMED!A:U,9+$E$2,FALSE),"")</f>
        <v>15.717934093437149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9</v>
      </c>
      <c r="AQ141" s="71" t="str">
        <f t="shared" si="7"/>
        <v/>
      </c>
      <c r="AR141" s="71">
        <f>IFERROR(VLOOKUP(A141,Climatologia_TMED!A:U,9+$E$2,FALSE),"")</f>
        <v>12.760684905622311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9</v>
      </c>
      <c r="AQ142" s="71" t="str">
        <f t="shared" si="7"/>
        <v/>
      </c>
      <c r="AR142" s="71">
        <f>IFERROR(VLOOKUP(A142,Climatologia_TMED!A:U,9+$E$2,FALSE),"")</f>
        <v>11.19315959344102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9</v>
      </c>
      <c r="AQ143" s="71" t="str">
        <f t="shared" si="7"/>
        <v/>
      </c>
      <c r="AR143" s="71">
        <f>IFERROR(VLOOKUP(A143,Climatologia_TMED!A:U,9+$E$2,FALSE),"")</f>
        <v>25.817599555061172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9</v>
      </c>
      <c r="AQ144" s="71" t="str">
        <f t="shared" si="7"/>
        <v/>
      </c>
      <c r="AR144" s="71">
        <f>IFERROR(VLOOKUP(A144,Climatologia_TMED!A:U,9+$E$2,FALSE),"")</f>
        <v>15.68907352555914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9</v>
      </c>
      <c r="AQ145" s="71" t="str">
        <f t="shared" si="7"/>
        <v/>
      </c>
      <c r="AR145" s="71">
        <f>IFERROR(VLOOKUP(A145,Climatologia_TMED!A:U,9+$E$2,FALSE),"")</f>
        <v>19.419995767669139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8</v>
      </c>
      <c r="AQ146" s="71" t="str">
        <f t="shared" si="7"/>
        <v/>
      </c>
      <c r="AR146" s="71">
        <f>IFERROR(VLOOKUP(A146,Climatologia_TMED!A:U,9+$E$2,FALSE),"")</f>
        <v>28.23129393152885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9</v>
      </c>
      <c r="AQ147" s="71" t="str">
        <f t="shared" si="7"/>
        <v/>
      </c>
      <c r="AR147" s="71">
        <f>IFERROR(VLOOKUP(A147,Climatologia_TMED!A:U,9+$E$2,FALSE),"")</f>
        <v>23.435879058931128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9</v>
      </c>
      <c r="AQ148" s="71" t="str">
        <f t="shared" si="7"/>
        <v/>
      </c>
      <c r="AR148" s="71">
        <f>IFERROR(VLOOKUP(A148,Climatologia_TMED!A:U,9+$E$2,FALSE),"")</f>
        <v>28.269792366916029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9</v>
      </c>
      <c r="AQ151" s="71" t="str">
        <f t="shared" si="7"/>
        <v/>
      </c>
      <c r="AR151" s="71">
        <f>IFERROR(VLOOKUP(A151,Climatologia_TMED!A:U,9+$E$2,FALSE),"")</f>
        <v>21.245281015509999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9</v>
      </c>
      <c r="AQ154" s="71" t="str">
        <f t="shared" si="7"/>
        <v/>
      </c>
      <c r="AR154" s="71">
        <f>IFERROR(VLOOKUP(A154,Climatologia_TMED!A:U,9+$E$2,FALSE),"")</f>
        <v>19.26545544432085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9</v>
      </c>
      <c r="AQ155" s="71" t="str">
        <f t="shared" si="7"/>
        <v/>
      </c>
      <c r="AR155" s="71">
        <f>IFERROR(VLOOKUP(A155,Climatologia_TMED!A:U,9+$E$2,FALSE),"")</f>
        <v>27.327364142600121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4</v>
      </c>
      <c r="AQ157" s="71" t="str">
        <f t="shared" si="7"/>
        <v/>
      </c>
      <c r="AR157" s="71">
        <f>IFERROR(VLOOKUP(A157,Climatologia_TMED!A:U,9+$E$2,FALSE),"")</f>
        <v>26.98420492870563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7</v>
      </c>
      <c r="AQ158" s="71" t="str">
        <f t="shared" si="7"/>
        <v/>
      </c>
      <c r="AR158" s="71">
        <f>IFERROR(VLOOKUP(A158,Climatologia_TMED!A:U,9+$E$2,FALSE),"")</f>
        <v>27.282952445666279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9</v>
      </c>
      <c r="AQ159" s="71" t="str">
        <f t="shared" si="7"/>
        <v/>
      </c>
      <c r="AR159" s="71">
        <f>IFERROR(VLOOKUP(A159,Climatologia_TMED!A:U,9+$E$2,FALSE),"")</f>
        <v>18.50720835851228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9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9</v>
      </c>
      <c r="AQ162" s="71" t="str">
        <f t="shared" si="7"/>
        <v/>
      </c>
      <c r="AR162" s="71">
        <f>IFERROR(VLOOKUP(A162,Climatologia_TMED!A:U,9+$E$2,FALSE),"")</f>
        <v>27.840201618906349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9</v>
      </c>
      <c r="AQ163" s="71" t="str">
        <f t="shared" si="7"/>
        <v/>
      </c>
      <c r="AR163" s="71">
        <f>IFERROR(VLOOKUP(A163,Climatologia_TMED!A:U,9+$E$2,FALSE),"")</f>
        <v>21.150314253896148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9</v>
      </c>
      <c r="AQ164" s="71" t="str">
        <f t="shared" si="7"/>
        <v/>
      </c>
      <c r="AR164" s="71">
        <f>IFERROR(VLOOKUP(A164,Climatologia_TMED!A:U,9+$E$2,FALSE),"")</f>
        <v>23.812330659664671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9</v>
      </c>
      <c r="AQ166" s="71" t="str">
        <f t="shared" si="7"/>
        <v/>
      </c>
      <c r="AR166" s="71">
        <f>IFERROR(VLOOKUP(A166,Climatologia_TMED!A:U,9+$E$2,FALSE),"")</f>
        <v>13.44716277345195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9</v>
      </c>
      <c r="AQ167" s="71" t="str">
        <f t="shared" si="7"/>
        <v/>
      </c>
      <c r="AR167" s="71">
        <f>IFERROR(VLOOKUP(A167,Climatologia_TMED!A:U,9+$E$2,FALSE),"")</f>
        <v>18.685052168105109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9</v>
      </c>
      <c r="AQ168" s="71" t="str">
        <f t="shared" si="7"/>
        <v/>
      </c>
      <c r="AR168" s="71">
        <f>IFERROR(VLOOKUP(A168,Climatologia_TMED!A:U,9+$E$2,FALSE),"")</f>
        <v>25.68526828154393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9</v>
      </c>
      <c r="AQ169" s="71" t="str">
        <f t="shared" si="7"/>
        <v/>
      </c>
      <c r="AR169" s="71">
        <f>IFERROR(VLOOKUP(A169,Climatologia_TMED!A:U,9+$E$2,FALSE),"")</f>
        <v>9.1783728479351918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8</v>
      </c>
      <c r="AQ170" s="71" t="str">
        <f t="shared" si="7"/>
        <v/>
      </c>
      <c r="AR170" s="71">
        <f>IFERROR(VLOOKUP(A170,Climatologia_TMED!A:U,9+$E$2,FALSE),"")</f>
        <v>25.172318057027329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18.15503279216766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9</v>
      </c>
      <c r="AQ172" s="71" t="str">
        <f t="shared" si="7"/>
        <v/>
      </c>
      <c r="AR172" s="71">
        <f>IFERROR(VLOOKUP(A172,Climatologia_TMED!A:U,9+$E$2,FALSE),"")</f>
        <v>24.050262637051691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9</v>
      </c>
      <c r="AQ173" s="71" t="str">
        <f t="shared" si="7"/>
        <v/>
      </c>
      <c r="AR173" s="71">
        <f>IFERROR(VLOOKUP(A173,Climatologia_TMED!A:U,9+$E$2,FALSE),"")</f>
        <v>23.497853229879439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9</v>
      </c>
      <c r="AQ175" s="71" t="str">
        <f t="shared" si="7"/>
        <v/>
      </c>
      <c r="AR175" s="71">
        <f>IFERROR(VLOOKUP(A175,Climatologia_TMED!A:U,9+$E$2,FALSE),"")</f>
        <v>23.1422602484216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9</v>
      </c>
      <c r="AQ178" s="71" t="str">
        <f t="shared" si="7"/>
        <v/>
      </c>
      <c r="AR178" s="71">
        <f>IFERROR(VLOOKUP(A178,Climatologia_TMED!A:U,9+$E$2,FALSE),"")</f>
        <v>23.856486653552508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8</v>
      </c>
      <c r="AQ179" s="71" t="str">
        <f t="shared" si="7"/>
        <v/>
      </c>
      <c r="AR179" s="71">
        <f>IFERROR(VLOOKUP(A179,Climatologia_TMED!A:U,9+$E$2,FALSE),"")</f>
        <v>16.764946858821169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9</v>
      </c>
      <c r="AQ181" s="71" t="str">
        <f t="shared" si="7"/>
        <v/>
      </c>
      <c r="AR181" s="71">
        <f>IFERROR(VLOOKUP(A181,Climatologia_TMED!A:U,9+$E$2,FALSE),"")</f>
        <v>28.166902300402729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9</v>
      </c>
      <c r="AQ184" s="71" t="str">
        <f t="shared" si="7"/>
        <v/>
      </c>
      <c r="AR184" s="71">
        <f>IFERROR(VLOOKUP(A184,Climatologia_TMED!A:U,9+$E$2,FALSE),"")</f>
        <v>26.16601419906257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8</v>
      </c>
      <c r="AQ185" s="71" t="str">
        <f t="shared" si="7"/>
        <v/>
      </c>
      <c r="AR185" s="71">
        <f>IFERROR(VLOOKUP(A185,Climatologia_TMED!A:U,9+$E$2,FALSE),"")</f>
        <v>27.314008040702969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9</v>
      </c>
      <c r="AQ188" s="71" t="str">
        <f t="shared" si="7"/>
        <v/>
      </c>
      <c r="AR188" s="71">
        <f>IFERROR(VLOOKUP(A188,Climatologia_TMED!A:U,9+$E$2,FALSE),"")</f>
        <v>15.632681192521719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6</v>
      </c>
      <c r="AQ189" s="71" t="str">
        <f t="shared" si="7"/>
        <v/>
      </c>
      <c r="AR189" s="71">
        <f>IFERROR(VLOOKUP(A189,Climatologia_TMED!A:U,9+$E$2,FALSE),"")</f>
        <v>28.14153599027232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9</v>
      </c>
      <c r="AQ190" s="71" t="str">
        <f t="shared" si="7"/>
        <v/>
      </c>
      <c r="AR190" s="71">
        <f>IFERROR(VLOOKUP(A190,Climatologia_TMED!A:U,9+$E$2,FALSE),"")</f>
        <v>28.021983889303101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9</v>
      </c>
      <c r="AQ191" s="71" t="str">
        <f t="shared" si="7"/>
        <v/>
      </c>
      <c r="AR191" s="71">
        <f>IFERROR(VLOOKUP(A191,Climatologia_TMED!A:U,9+$E$2,FALSE),"")</f>
        <v>17.031723004984951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9</v>
      </c>
      <c r="AQ192" s="71" t="str">
        <f t="shared" si="7"/>
        <v/>
      </c>
      <c r="AR192" s="71">
        <f>IFERROR(VLOOKUP(A192,Climatologia_TMED!A:U,9+$E$2,FALSE),"")</f>
        <v>24.47218981595962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26.85</v>
      </c>
      <c r="L193" s="56">
        <v>24.6</v>
      </c>
      <c r="M193" s="56"/>
      <c r="N193" s="56"/>
      <c r="O193" s="56"/>
      <c r="P193" s="56">
        <v>28.05</v>
      </c>
      <c r="Q193" s="56">
        <v>24.65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25.911317793433021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9</v>
      </c>
      <c r="AQ194" s="71" t="str">
        <f t="shared" si="7"/>
        <v/>
      </c>
      <c r="AR194" s="71">
        <f>IFERROR(VLOOKUP(A194,Climatologia_TMED!A:U,9+$E$2,FALSE),"")</f>
        <v>21.212110372187279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9</v>
      </c>
      <c r="AQ195" s="71" t="str">
        <f t="shared" si="7"/>
        <v/>
      </c>
      <c r="AR195" s="71">
        <f>IFERROR(VLOOKUP(A195,Climatologia_TMED!A:U,9+$E$2,FALSE),"")</f>
        <v>24.663820600570912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9</v>
      </c>
      <c r="AQ196" s="71" t="str">
        <f t="shared" si="7"/>
        <v/>
      </c>
      <c r="AR196" s="71">
        <f>IFERROR(VLOOKUP(A196,Climatologia_TMED!A:U,9+$E$2,FALSE),"")</f>
        <v>19.30020530053967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9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24.067391244533901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9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9</v>
      </c>
      <c r="AQ199" s="71" t="str">
        <f t="shared" si="10"/>
        <v/>
      </c>
      <c r="AR199" s="71">
        <f>IFERROR(VLOOKUP(A199,Climatologia_TMED!A:U,9+$E$2,FALSE),"")</f>
        <v>15.991572822061141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8</v>
      </c>
      <c r="AQ200" s="71" t="str">
        <f t="shared" si="10"/>
        <v/>
      </c>
      <c r="AR200" s="71">
        <f>IFERROR(VLOOKUP(A200,Climatologia_TMED!A:U,9+$E$2,FALSE),"")</f>
        <v>13.379643694033749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8</v>
      </c>
      <c r="AQ201" s="71" t="str">
        <f t="shared" si="10"/>
        <v/>
      </c>
      <c r="AR201" s="71">
        <f>IFERROR(VLOOKUP(A201,Climatologia_TMED!A:U,9+$E$2,FALSE),"")</f>
        <v>25.410236323068471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8</v>
      </c>
      <c r="AQ202" s="71" t="str">
        <f t="shared" si="10"/>
        <v/>
      </c>
      <c r="AR202" s="71">
        <f>IFERROR(VLOOKUP(A202,Climatologia_TMED!A:U,9+$E$2,FALSE),"")</f>
        <v>13.321685479663159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9</v>
      </c>
      <c r="AQ203" s="71" t="str">
        <f t="shared" si="10"/>
        <v/>
      </c>
      <c r="AR203" s="71">
        <f>IFERROR(VLOOKUP(A203,Climatologia_TMED!A:U,9+$E$2,FALSE),"")</f>
        <v>12.34760616022419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7</v>
      </c>
      <c r="AQ205" s="71" t="str">
        <f t="shared" si="10"/>
        <v/>
      </c>
      <c r="AR205" s="71">
        <f>IFERROR(VLOOKUP(A205,Climatologia_TMED!A:U,9+$E$2,FALSE),"")</f>
        <v>14.246549125350921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/>
      <c r="P206" s="56">
        <v>13.9</v>
      </c>
      <c r="Q206" s="56">
        <v>15.15</v>
      </c>
      <c r="R206" s="56">
        <v>13.95</v>
      </c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7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6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/>
      <c r="S208" s="56">
        <v>15.4</v>
      </c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8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9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/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>
        <f>IFERROR(VLOOKUP(A210,Climatologia_TMED!A:U,9+$E$2,FALSE),"")</f>
        <v>14.424177791772021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9</v>
      </c>
      <c r="AQ211" s="71" t="str">
        <f t="shared" si="10"/>
        <v/>
      </c>
      <c r="AR211" s="71">
        <f>IFERROR(VLOOKUP(A211,Climatologia_TMED!A:U,9+$E$2,FALSE),"")</f>
        <v>8.5279378065139184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7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2026-10-10T15:22:06Z</dcterms:modified>
</cp:coreProperties>
</file>