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BA4321B-7BFC-4A94-BFE8-2C13428958D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Temperatura!$T$1:$T$208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/>
  <c r="AT204" i="1"/>
  <c r="AW204" i="1" s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W185" i="1" s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Q148" i="1"/>
  <c r="AP148" i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W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W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Q129" i="1"/>
  <c r="AS129" i="1" s="1"/>
  <c r="AP129" i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W122" i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W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Q108" i="1"/>
  <c r="AP108" i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S94" i="1" s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Q78" i="1"/>
  <c r="AP78" i="1"/>
  <c r="AV77" i="1" a="1"/>
  <c r="AV77" i="1" s="1"/>
  <c r="AU77" i="1" a="1"/>
  <c r="AU77" i="1" s="1"/>
  <c r="AT77" i="1"/>
  <c r="AR77" i="1"/>
  <c r="AQ77" i="1"/>
  <c r="AS77" i="1" s="1"/>
  <c r="AP77" i="1"/>
  <c r="AV76" i="1" a="1"/>
  <c r="AV76" i="1" s="1"/>
  <c r="AU76" i="1" a="1"/>
  <c r="AU76" i="1" s="1"/>
  <c r="AT76" i="1"/>
  <c r="AR76" i="1"/>
  <c r="AQ76" i="1"/>
  <c r="AP76" i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W72" i="1" s="1"/>
  <c r="AT72" i="1"/>
  <c r="AR72" i="1"/>
  <c r="AQ72" i="1"/>
  <c r="AP72" i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/>
  <c r="AT60" i="1"/>
  <c r="AR60" i="1"/>
  <c r="AQ60" i="1"/>
  <c r="AS60" i="1" s="1"/>
  <c r="AP60" i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W56" i="1" s="1"/>
  <c r="AT56" i="1"/>
  <c r="AR56" i="1"/>
  <c r="AQ56" i="1"/>
  <c r="AS56" i="1" s="1"/>
  <c r="AP56" i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Q48" i="1"/>
  <c r="AS48" i="1" s="1"/>
  <c r="AP48" i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S41" i="1" s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/>
  <c r="AT35" i="1"/>
  <c r="AW35" i="1" s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/>
  <c r="AT31" i="1"/>
  <c r="AR31" i="1"/>
  <c r="AP31" i="1"/>
  <c r="AQ31" i="1" s="1"/>
  <c r="AV30" i="1" a="1"/>
  <c r="AV30" i="1"/>
  <c r="AU30" i="1" a="1"/>
  <c r="AU30" i="1" s="1"/>
  <c r="AT30" i="1"/>
  <c r="AW30" i="1" s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/>
  <c r="AW25" i="1" s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/>
  <c r="AU22" i="1" a="1"/>
  <c r="AU22" i="1" s="1"/>
  <c r="AT22" i="1"/>
  <c r="AW22" i="1" s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Q18" i="1"/>
  <c r="AS18" i="1" s="1"/>
  <c r="AP18" i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R13" i="1"/>
  <c r="AP13" i="1"/>
  <c r="AQ13" i="1" s="1"/>
  <c r="AV12" i="1" a="1"/>
  <c r="AV12" i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69" i="1" l="1"/>
  <c r="AS76" i="1"/>
  <c r="AW95" i="1"/>
  <c r="AW150" i="1"/>
  <c r="AS158" i="1"/>
  <c r="AS189" i="1"/>
  <c r="AW19" i="1"/>
  <c r="AS30" i="1"/>
  <c r="AW76" i="1"/>
  <c r="AS104" i="1"/>
  <c r="AS197" i="1"/>
  <c r="AS52" i="1"/>
  <c r="AW96" i="1"/>
  <c r="AW162" i="1"/>
  <c r="AW174" i="1"/>
  <c r="AW15" i="1"/>
  <c r="AW5" i="1"/>
  <c r="AS10" i="1"/>
  <c r="AW41" i="1"/>
  <c r="AS63" i="1"/>
  <c r="AS81" i="1"/>
  <c r="AS85" i="1"/>
  <c r="AS132" i="1"/>
  <c r="AS136" i="1"/>
  <c r="AS144" i="1"/>
  <c r="AS194" i="1"/>
  <c r="AW13" i="1"/>
  <c r="AS45" i="1"/>
  <c r="AS97" i="1"/>
  <c r="AW124" i="1"/>
  <c r="AW63" i="1"/>
  <c r="AS148" i="1"/>
  <c r="AS175" i="1"/>
  <c r="AS202" i="1"/>
  <c r="AW31" i="1"/>
  <c r="AS42" i="1"/>
  <c r="AW67" i="1"/>
  <c r="AS125" i="1"/>
  <c r="AS53" i="1"/>
  <c r="AS98" i="1"/>
  <c r="AW160" i="1"/>
  <c r="AS168" i="1"/>
  <c r="AS46" i="1"/>
  <c r="AW82" i="1"/>
  <c r="AS114" i="1"/>
  <c r="AS118" i="1"/>
  <c r="AS122" i="1"/>
  <c r="AS153" i="1"/>
  <c r="AW50" i="1"/>
  <c r="AW18" i="1"/>
  <c r="AS22" i="1"/>
  <c r="AS29" i="1"/>
  <c r="AW32" i="1"/>
  <c r="AS61" i="1"/>
  <c r="AS87" i="1"/>
  <c r="AW118" i="1"/>
  <c r="AS142" i="1"/>
  <c r="AS161" i="1"/>
  <c r="AW172" i="1"/>
  <c r="AS58" i="1"/>
  <c r="AW146" i="1"/>
  <c r="AW165" i="1"/>
  <c r="AW192" i="1"/>
  <c r="AS204" i="1"/>
  <c r="AW40" i="1"/>
  <c r="AW64" i="1"/>
  <c r="AW16" i="1"/>
  <c r="AW29" i="1"/>
  <c r="AW48" i="1"/>
  <c r="AW92" i="1"/>
  <c r="AW71" i="1"/>
  <c r="AW100" i="1"/>
  <c r="AS123" i="1"/>
  <c r="AS127" i="1"/>
  <c r="AS146" i="1"/>
  <c r="AS157" i="1"/>
  <c r="AW175" i="1"/>
  <c r="AW182" i="1"/>
  <c r="AW85" i="1"/>
  <c r="AS89" i="1"/>
  <c r="AS93" i="1"/>
  <c r="AW104" i="1"/>
  <c r="AS108" i="1"/>
  <c r="AW138" i="1"/>
  <c r="AW190" i="1"/>
  <c r="AS165" i="1"/>
  <c r="AS176" i="1"/>
  <c r="AW179" i="1"/>
  <c r="AS183" i="1"/>
  <c r="AW6" i="1"/>
  <c r="AS13" i="1"/>
  <c r="AW7" i="1"/>
  <c r="AS27" i="1"/>
  <c r="AS59" i="1"/>
  <c r="AS72" i="1"/>
  <c r="AS78" i="1"/>
  <c r="AS101" i="1"/>
  <c r="AS105" i="1"/>
  <c r="AS120" i="1"/>
  <c r="AW135" i="1"/>
  <c r="AS139" i="1"/>
  <c r="AS143" i="1"/>
  <c r="AS187" i="1"/>
  <c r="AW194" i="1"/>
  <c r="AS198" i="1"/>
  <c r="AW205" i="1"/>
  <c r="AW52" i="1"/>
  <c r="AW17" i="1"/>
  <c r="AW33" i="1"/>
  <c r="AS14" i="1"/>
  <c r="AW27" i="1"/>
  <c r="AS43" i="1"/>
  <c r="AW46" i="1"/>
  <c r="AW59" i="1"/>
  <c r="AW62" i="1"/>
  <c r="AW78" i="1"/>
  <c r="AW86" i="1"/>
  <c r="AW105" i="1"/>
  <c r="AS109" i="1"/>
  <c r="AS147" i="1"/>
  <c r="AW154" i="1"/>
  <c r="AW176" i="1"/>
  <c r="AS191" i="1"/>
  <c r="AW42" i="1"/>
  <c r="AW43" i="1"/>
  <c r="AW128" i="1"/>
  <c r="AS151" i="1"/>
  <c r="AS166" i="1"/>
  <c r="AS173" i="1"/>
  <c r="AW180" i="1"/>
  <c r="AS184" i="1"/>
  <c r="AS195" i="1"/>
  <c r="AS6" i="1"/>
  <c r="AW24" i="1"/>
  <c r="AS31" i="1"/>
  <c r="AS34" i="1"/>
  <c r="AW37" i="1"/>
  <c r="AS79" i="1"/>
  <c r="AS83" i="1"/>
  <c r="AW94" i="1"/>
  <c r="AS121" i="1"/>
  <c r="AW136" i="1"/>
  <c r="AS155" i="1"/>
  <c r="AS177" i="1"/>
  <c r="AS199" i="1"/>
  <c r="AW206" i="1"/>
  <c r="AW166" i="1"/>
  <c r="AW184" i="1"/>
  <c r="AS188" i="1"/>
  <c r="AW195" i="1"/>
  <c r="AS47" i="1"/>
  <c r="AW66" i="1"/>
  <c r="AS91" i="1"/>
  <c r="AW155" i="1"/>
  <c r="AS159" i="1"/>
  <c r="AS192" i="1"/>
  <c r="AW199" i="1"/>
  <c r="AS203" i="1"/>
  <c r="AW23" i="1"/>
  <c r="AW14" i="1"/>
  <c r="AW11" i="1"/>
  <c r="AW21" i="1"/>
  <c r="AS12" i="1"/>
  <c r="AS25" i="1"/>
  <c r="AW28" i="1"/>
  <c r="AS38" i="1"/>
  <c r="AS73" i="1"/>
  <c r="AS99" i="1"/>
  <c r="AW110" i="1"/>
  <c r="AS137" i="1"/>
  <c r="AS152" i="1"/>
  <c r="AS163" i="1"/>
  <c r="AW170" i="1"/>
  <c r="AS174" i="1"/>
  <c r="AS196" i="1"/>
  <c r="AS207" i="1"/>
  <c r="AS35" i="1"/>
  <c r="AS64" i="1"/>
  <c r="AS67" i="1"/>
  <c r="AW152" i="1"/>
  <c r="AW196" i="1"/>
  <c r="AW200" i="1"/>
  <c r="AS74" i="1"/>
  <c r="AS96" i="1"/>
  <c r="AS111" i="1"/>
  <c r="AS115" i="1"/>
  <c r="AS130" i="1"/>
  <c r="AS134" i="1"/>
  <c r="AW145" i="1"/>
  <c r="AS149" i="1"/>
  <c r="AS171" i="1"/>
  <c r="AS182" i="1"/>
  <c r="AW189" i="1"/>
  <c r="AS193" i="1"/>
  <c r="AS100" i="1"/>
  <c r="AS150" i="1"/>
  <c r="AW164" i="1"/>
  <c r="AS190" i="1"/>
  <c r="AW38" i="1"/>
  <c r="AW55" i="1"/>
  <c r="AS70" i="1"/>
  <c r="AS86" i="1"/>
  <c r="AW114" i="1"/>
  <c r="AW125" i="1"/>
  <c r="AW168" i="1"/>
  <c r="AS82" i="1"/>
  <c r="AW58" i="1"/>
  <c r="AS90" i="1"/>
  <c r="AS140" i="1"/>
  <c r="AW61" i="1"/>
  <c r="AW90" i="1"/>
  <c r="AW115" i="1"/>
  <c r="AW140" i="1"/>
  <c r="AS180" i="1"/>
  <c r="AW198" i="1"/>
  <c r="AW36" i="1"/>
  <c r="AW108" i="1"/>
  <c r="AS112" i="1"/>
  <c r="AS119" i="1"/>
  <c r="AW126" i="1"/>
  <c r="AW158" i="1"/>
  <c r="AW10" i="1"/>
  <c r="AW20" i="1"/>
  <c r="AS28" i="1"/>
  <c r="AW39" i="1"/>
  <c r="AS62" i="1"/>
  <c r="AS80" i="1"/>
  <c r="AS116" i="1"/>
  <c r="AW144" i="1"/>
  <c r="AW130" i="1"/>
  <c r="AW68" i="1"/>
  <c r="AW74" i="1"/>
  <c r="AW98" i="1"/>
  <c r="AS102" i="1"/>
  <c r="AW116" i="1"/>
  <c r="AW148" i="1"/>
  <c r="AS170" i="1"/>
  <c r="AW80" i="1"/>
  <c r="AP2" i="1"/>
  <c r="AW34" i="1"/>
  <c r="AS54" i="1"/>
  <c r="AW84" i="1"/>
  <c r="AS88" i="1"/>
  <c r="AS106" i="1"/>
  <c r="AW134" i="1"/>
  <c r="AS138" i="1"/>
  <c r="AW120" i="1"/>
  <c r="AS200" i="1"/>
  <c r="AW26" i="1"/>
  <c r="AW54" i="1"/>
  <c r="AS75" i="1"/>
  <c r="AW88" i="1"/>
  <c r="AS92" i="1"/>
  <c r="AW106" i="1"/>
  <c r="AW156" i="1"/>
  <c r="AW60" i="1"/>
  <c r="AS110" i="1"/>
  <c r="AS160" i="1"/>
  <c r="AW178" i="1"/>
  <c r="AW49" i="1"/>
  <c r="AW75" i="1"/>
  <c r="AW73" i="1"/>
  <c r="AW45" i="1"/>
  <c r="AW83" i="1"/>
  <c r="AW93" i="1"/>
  <c r="AW103" i="1"/>
  <c r="AW113" i="1"/>
  <c r="AW123" i="1"/>
  <c r="AW133" i="1"/>
  <c r="AW143" i="1"/>
  <c r="AW153" i="1"/>
  <c r="AW163" i="1"/>
  <c r="AW173" i="1"/>
  <c r="AW183" i="1"/>
  <c r="AW193" i="1"/>
  <c r="AW203" i="1"/>
  <c r="AW57" i="1"/>
  <c r="AW69" i="1"/>
  <c r="AW81" i="1"/>
  <c r="AW91" i="1"/>
  <c r="AW101" i="1"/>
  <c r="AW111" i="1"/>
  <c r="AW121" i="1"/>
  <c r="AW131" i="1"/>
  <c r="AW141" i="1"/>
  <c r="AW151" i="1"/>
  <c r="AW161" i="1"/>
  <c r="AW171" i="1"/>
  <c r="AW181" i="1"/>
  <c r="AW191" i="1"/>
  <c r="AW201" i="1"/>
  <c r="AW53" i="1"/>
  <c r="AW79" i="1"/>
  <c r="AW89" i="1"/>
  <c r="AW99" i="1"/>
  <c r="AW109" i="1"/>
  <c r="AW119" i="1"/>
  <c r="AW129" i="1"/>
  <c r="AW139" i="1"/>
  <c r="AW149" i="1"/>
  <c r="AW159" i="1"/>
  <c r="AW169" i="1"/>
  <c r="AW65" i="1"/>
  <c r="AW207" i="1"/>
  <c r="AW77" i="1"/>
  <c r="AW87" i="1"/>
  <c r="AW97" i="1"/>
  <c r="AW107" i="1"/>
  <c r="AW117" i="1"/>
  <c r="AW127" i="1"/>
  <c r="AW137" i="1"/>
  <c r="AW147" i="1"/>
  <c r="AW157" i="1"/>
  <c r="AW167" i="1"/>
  <c r="AW177" i="1"/>
  <c r="AW187" i="1"/>
  <c r="AW197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<sst xmlns="http://schemas.openxmlformats.org/spreadsheetml/2006/main" count="3539" uniqueCount="1271">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</sst>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9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66" fontId="42" fillId="32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C7" zoomScale="90" zoomScaleNormal="90" workbookViewId="0">
      <selection activeCell="T159" sqref="T159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209" width="32.42578125" style="74" customWidth="1"/>
    <col min="21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OCTUBRE</v>
      </c>
      <c r="E2" s="82">
        <v>10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MIN(K5:K207)</f>
        <v>4.5999999999999996</v>
      </c>
      <c r="L2" s="89">
        <f t="shared" si="0"/>
        <v>4.5999999999999996</v>
      </c>
      <c r="M2" s="89">
        <f t="shared" si="0"/>
        <v>4.2</v>
      </c>
      <c r="N2" s="89">
        <f t="shared" si="0"/>
        <v>0</v>
      </c>
      <c r="O2" s="89">
        <f t="shared" si="0"/>
        <v>3.2</v>
      </c>
      <c r="P2" s="89">
        <f t="shared" si="0"/>
        <v>4</v>
      </c>
      <c r="Q2" s="89">
        <f t="shared" si="0"/>
        <v>3.4</v>
      </c>
      <c r="R2" s="89">
        <f t="shared" si="0"/>
        <v>4.4000000000000004</v>
      </c>
      <c r="S2" s="89">
        <f t="shared" si="0"/>
        <v>5</v>
      </c>
      <c r="T2" s="89">
        <f t="shared" si="0"/>
        <v>5.6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24.8</v>
      </c>
      <c r="L5" s="51">
        <v>26.9</v>
      </c>
      <c r="M5" s="51">
        <v>24.7</v>
      </c>
      <c r="N5" s="51">
        <v>25.3</v>
      </c>
      <c r="O5" s="51">
        <v>28.1</v>
      </c>
      <c r="P5" s="51">
        <v>26.7</v>
      </c>
      <c r="Q5" s="51">
        <v>24.7</v>
      </c>
      <c r="R5" s="51">
        <v>25.5</v>
      </c>
      <c r="S5" s="51">
        <v>27.2</v>
      </c>
      <c r="T5" s="51">
        <v>27.8</v>
      </c>
      <c r="U5" s="51"/>
      <c r="V5" s="51"/>
      <c r="W5" s="51"/>
      <c r="X5" s="51"/>
      <c r="Y5" s="51"/>
      <c r="Z5" s="111"/>
      <c r="AA5" s="11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10</v>
      </c>
      <c r="AQ5" s="89" t="str">
        <f t="shared" ref="AQ5:AQ68" si="2">IF(AP5&gt;14,AVERAGE(K5:AO5),"")</f>
        <v/>
      </c>
      <c r="AR5" s="89">
        <f>IFERROR(VLOOKUP(A5,Climatologia!A:U,9+$E$2,FALSE),"")</f>
        <v>25.757900536615789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24.7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33898</v>
      </c>
      <c r="AW5" s="92">
        <f t="shared" ref="AW5:AW68" si="5">IF(OR(AT5="",AU5=""),"NA",IFERROR(AT5-AU5,"NA"))</f>
        <v>3.5999999999999979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24.2</v>
      </c>
      <c r="L6" s="51">
        <v>25.4</v>
      </c>
      <c r="M6" s="51">
        <v>25.9</v>
      </c>
      <c r="N6" s="51">
        <v>25</v>
      </c>
      <c r="O6" s="51">
        <v>27.7</v>
      </c>
      <c r="P6" s="51">
        <v>25.2</v>
      </c>
      <c r="Q6" s="51">
        <v>24.5</v>
      </c>
      <c r="R6" s="51">
        <v>25.1</v>
      </c>
      <c r="S6" s="51">
        <v>24.9</v>
      </c>
      <c r="T6" s="51">
        <v>25.6</v>
      </c>
      <c r="U6" s="51"/>
      <c r="V6" s="51"/>
      <c r="W6" s="51"/>
      <c r="X6" s="51"/>
      <c r="Y6" s="51"/>
      <c r="Z6" s="111"/>
      <c r="AA6" s="11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10</v>
      </c>
      <c r="AQ6" s="89" t="str">
        <f t="shared" si="2"/>
        <v/>
      </c>
      <c r="AR6" s="89">
        <f>IFERROR(VLOOKUP(A6,Climatologia!A:U,9+$E$2,FALSE),"")</f>
        <v>25.133142381863181</v>
      </c>
      <c r="AS6" s="89" t="str">
        <f t="shared" si="3"/>
        <v/>
      </c>
      <c r="AT6" s="90">
        <f t="shared" si="4"/>
        <v>24.2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21.6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39735</v>
      </c>
      <c r="AW6" s="92">
        <f t="shared" si="5"/>
        <v>2.5999999999999979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26</v>
      </c>
      <c r="L7" s="51">
        <v>25.8</v>
      </c>
      <c r="M7" s="51">
        <v>26.4</v>
      </c>
      <c r="N7" s="51">
        <v>25</v>
      </c>
      <c r="O7" s="51">
        <v>26.2</v>
      </c>
      <c r="P7" s="51">
        <v>25.8</v>
      </c>
      <c r="Q7" s="51">
        <v>26.3</v>
      </c>
      <c r="R7" s="51">
        <v>24.2</v>
      </c>
      <c r="S7" s="51">
        <v>26</v>
      </c>
      <c r="T7" s="51">
        <v>26.4</v>
      </c>
      <c r="U7" s="51"/>
      <c r="V7" s="51"/>
      <c r="W7" s="51"/>
      <c r="X7" s="51"/>
      <c r="Y7" s="51"/>
      <c r="Z7" s="111"/>
      <c r="AA7" s="11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10</v>
      </c>
      <c r="AQ7" s="89" t="str">
        <f t="shared" si="2"/>
        <v/>
      </c>
      <c r="AR7" s="89">
        <f>IFERROR(VLOOKUP(A7,Climatologia!A:U,9+$E$2,FALSE),"")</f>
        <v>24.42178319826262</v>
      </c>
      <c r="AS7" s="89" t="str">
        <f t="shared" si="3"/>
        <v/>
      </c>
      <c r="AT7" s="90">
        <f t="shared" si="4"/>
        <v>24.2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20.8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7" s="92">
        <f t="shared" si="5"/>
        <v>3.3999999999999986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25.7</v>
      </c>
      <c r="L8" s="51">
        <v>27.1</v>
      </c>
      <c r="M8" s="51">
        <v>26.4</v>
      </c>
      <c r="N8" s="51">
        <v>25.1</v>
      </c>
      <c r="O8" s="51">
        <v>25.8</v>
      </c>
      <c r="P8" s="51">
        <v>27.1</v>
      </c>
      <c r="Q8" s="51">
        <v>27.1</v>
      </c>
      <c r="R8" s="51">
        <v>25.5</v>
      </c>
      <c r="S8" s="51">
        <v>26.3</v>
      </c>
      <c r="T8" s="51">
        <v>28</v>
      </c>
      <c r="U8" s="51"/>
      <c r="V8" s="51"/>
      <c r="W8" s="51"/>
      <c r="X8" s="51"/>
      <c r="Y8" s="51"/>
      <c r="Z8" s="111"/>
      <c r="AA8" s="11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10</v>
      </c>
      <c r="AQ8" s="89" t="str">
        <f t="shared" si="2"/>
        <v/>
      </c>
      <c r="AR8" s="89">
        <f>IFERROR(VLOOKUP(A8,Climatologia!A:U,9+$E$2,FALSE),"")</f>
        <v>25.551483083943129</v>
      </c>
      <c r="AS8" s="89" t="str">
        <f t="shared" si="3"/>
        <v/>
      </c>
      <c r="AT8" s="90">
        <f t="shared" si="4"/>
        <v>25.1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31342</v>
      </c>
      <c r="AW8" s="92">
        <f t="shared" si="5"/>
        <v>4.1000000000000014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23.6</v>
      </c>
      <c r="L9" s="51">
        <v>25.6</v>
      </c>
      <c r="M9" s="51">
        <v>24.8</v>
      </c>
      <c r="N9" s="51">
        <v>24.9</v>
      </c>
      <c r="O9" s="51">
        <v>26.3</v>
      </c>
      <c r="P9" s="51">
        <v>26.3</v>
      </c>
      <c r="Q9" s="51">
        <v>26.4</v>
      </c>
      <c r="R9" s="51">
        <v>24.5</v>
      </c>
      <c r="S9" s="51">
        <v>25.3</v>
      </c>
      <c r="T9" s="51">
        <v>26.5</v>
      </c>
      <c r="U9" s="51"/>
      <c r="V9" s="51"/>
      <c r="W9" s="51"/>
      <c r="X9" s="51"/>
      <c r="Y9" s="51"/>
      <c r="Z9" s="111"/>
      <c r="AA9" s="11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10</v>
      </c>
      <c r="AQ9" s="89" t="str">
        <f t="shared" si="2"/>
        <v/>
      </c>
      <c r="AR9" s="89">
        <f>IFERROR(VLOOKUP(A9,Climatologia!A:U,9+$E$2,FALSE),"")</f>
        <v>24.136239361108551</v>
      </c>
      <c r="AS9" s="89" t="str">
        <f t="shared" si="3"/>
        <v/>
      </c>
      <c r="AT9" s="90">
        <f t="shared" si="4"/>
        <v>23.6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20.2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9" s="92">
        <f t="shared" si="5"/>
        <v>3.4000000000000021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27.7</v>
      </c>
      <c r="L10" s="51">
        <v>27.2</v>
      </c>
      <c r="M10" s="51">
        <v>25.9</v>
      </c>
      <c r="N10" s="51">
        <v>24.3</v>
      </c>
      <c r="O10" s="51">
        <v>28.3</v>
      </c>
      <c r="P10" s="51">
        <v>28</v>
      </c>
      <c r="Q10" s="51">
        <v>23.3</v>
      </c>
      <c r="R10" s="51">
        <v>25.1</v>
      </c>
      <c r="S10" s="51">
        <v>26.3</v>
      </c>
      <c r="T10" s="51">
        <v>26.3</v>
      </c>
      <c r="U10" s="51"/>
      <c r="V10" s="51"/>
      <c r="W10" s="51"/>
      <c r="X10" s="51"/>
      <c r="Y10" s="51"/>
      <c r="Z10" s="111"/>
      <c r="AA10" s="11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10</v>
      </c>
      <c r="AQ10" s="89" t="str">
        <f t="shared" si="2"/>
        <v/>
      </c>
      <c r="AR10" s="89">
        <f>IFERROR(VLOOKUP(A10,Climatologia!A:U,9+$E$2,FALSE),"")</f>
        <v>24.24301609371965</v>
      </c>
      <c r="AS10" s="89" t="str">
        <f t="shared" si="3"/>
        <v/>
      </c>
      <c r="AT10" s="90">
        <f t="shared" si="4"/>
        <v>23.3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32061</v>
      </c>
      <c r="AW10" s="92">
        <f t="shared" si="5"/>
        <v>3.3000000000000007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24.4</v>
      </c>
      <c r="L11" s="51">
        <v>25.9</v>
      </c>
      <c r="M11" s="51">
        <v>25.8</v>
      </c>
      <c r="N11" s="51">
        <v>24.3</v>
      </c>
      <c r="O11" s="51">
        <v>25.4</v>
      </c>
      <c r="P11" s="51">
        <v>25.4</v>
      </c>
      <c r="Q11" s="51">
        <v>24.6</v>
      </c>
      <c r="R11" s="51">
        <v>23.6</v>
      </c>
      <c r="S11" s="51">
        <v>24.4</v>
      </c>
      <c r="T11" s="51">
        <v>26.2</v>
      </c>
      <c r="U11" s="51"/>
      <c r="V11" s="51"/>
      <c r="W11" s="51"/>
      <c r="X11" s="51"/>
      <c r="Y11" s="51"/>
      <c r="Z11" s="111"/>
      <c r="AA11" s="11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10</v>
      </c>
      <c r="AQ11" s="89" t="str">
        <f t="shared" si="2"/>
        <v/>
      </c>
      <c r="AR11" s="89">
        <f>IFERROR(VLOOKUP(A11,Climatologia!A:U,9+$E$2,FALSE),"")</f>
        <v>23.553692295015981</v>
      </c>
      <c r="AS11" s="89" t="str">
        <f t="shared" si="3"/>
        <v/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18.399999999999999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39020</v>
      </c>
      <c r="AW11" s="92">
        <f t="shared" si="5"/>
        <v>5.2000000000000028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26.4</v>
      </c>
      <c r="L12" s="51">
        <v>26.2</v>
      </c>
      <c r="M12" s="51">
        <v>26.2</v>
      </c>
      <c r="N12" s="51">
        <v>23.4</v>
      </c>
      <c r="O12" s="51">
        <v>25.4</v>
      </c>
      <c r="P12" s="51">
        <v>24.5</v>
      </c>
      <c r="Q12" s="51">
        <v>25.7</v>
      </c>
      <c r="R12" s="51">
        <v>24.6</v>
      </c>
      <c r="S12" s="51">
        <v>25.3</v>
      </c>
      <c r="T12" s="51">
        <v>25.5</v>
      </c>
      <c r="U12" s="51"/>
      <c r="V12" s="51"/>
      <c r="W12" s="51"/>
      <c r="X12" s="51"/>
      <c r="Y12" s="51"/>
      <c r="Z12" s="111"/>
      <c r="AA12" s="11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10</v>
      </c>
      <c r="AQ12" s="89" t="str">
        <f t="shared" si="2"/>
        <v/>
      </c>
      <c r="AR12" s="89">
        <f>IFERROR(VLOOKUP(A12,Climatologia!A:U,9+$E$2,FALSE),"")</f>
        <v>23.215266882127882</v>
      </c>
      <c r="AS12" s="89" t="str">
        <f t="shared" si="3"/>
        <v/>
      </c>
      <c r="AT12" s="90">
        <f t="shared" si="4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19.600000000000001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2" s="92">
        <f t="shared" si="5"/>
        <v>3.7999999999999972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</v>
      </c>
      <c r="L13" s="51">
        <v>24.4</v>
      </c>
      <c r="M13" s="51">
        <v>24.2</v>
      </c>
      <c r="N13" s="51">
        <v>24.2</v>
      </c>
      <c r="O13" s="51">
        <v>25.8</v>
      </c>
      <c r="P13" s="51">
        <v>22.6</v>
      </c>
      <c r="Q13" s="51">
        <v>22.6</v>
      </c>
      <c r="R13" s="51">
        <v>24.4</v>
      </c>
      <c r="S13" s="51">
        <v>23.6</v>
      </c>
      <c r="T13" s="51">
        <v>23.8</v>
      </c>
      <c r="U13" s="51"/>
      <c r="V13" s="51"/>
      <c r="W13" s="51"/>
      <c r="X13" s="51"/>
      <c r="Y13" s="51"/>
      <c r="Z13" s="111"/>
      <c r="AA13" s="11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10</v>
      </c>
      <c r="AQ13" s="89" t="str">
        <f t="shared" si="2"/>
        <v/>
      </c>
      <c r="AR13" s="89">
        <f>IFERROR(VLOOKUP(A13,Climatologia!A:U,9+$E$2,FALSE),"")</f>
        <v>23.105314900153608</v>
      </c>
      <c r="AS13" s="89" t="str">
        <f t="shared" si="3"/>
        <v/>
      </c>
      <c r="AT13" s="90">
        <f t="shared" si="4"/>
        <v>22.6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44847</v>
      </c>
      <c r="AW13" s="92">
        <f t="shared" si="5"/>
        <v>1.7000000000000028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19.3</v>
      </c>
      <c r="L14" s="51">
        <v>19.8</v>
      </c>
      <c r="M14" s="51">
        <v>19.2</v>
      </c>
      <c r="N14" s="51">
        <v>19.399999999999999</v>
      </c>
      <c r="O14" s="51">
        <v>21.1</v>
      </c>
      <c r="P14" s="51">
        <v>18.5</v>
      </c>
      <c r="Q14" s="51">
        <v>20</v>
      </c>
      <c r="R14" s="51">
        <v>18.3</v>
      </c>
      <c r="S14" s="51">
        <v>19</v>
      </c>
      <c r="T14" s="51">
        <v>19.399999999999999</v>
      </c>
      <c r="U14" s="51"/>
      <c r="V14" s="51"/>
      <c r="W14" s="51"/>
      <c r="X14" s="51"/>
      <c r="Y14" s="51"/>
      <c r="Z14" s="111"/>
      <c r="AA14" s="11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10</v>
      </c>
      <c r="AQ14" s="89" t="str">
        <f t="shared" si="2"/>
        <v/>
      </c>
      <c r="AR14" s="89">
        <f>IFERROR(VLOOKUP(A14,Climatologia!A:U,9+$E$2,FALSE),"")</f>
        <v>18.35928061981825</v>
      </c>
      <c r="AS14" s="89" t="str">
        <f t="shared" si="3"/>
        <v/>
      </c>
      <c r="AT14" s="90">
        <f t="shared" si="4"/>
        <v>18.3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30233</v>
      </c>
      <c r="AW14" s="92">
        <f t="shared" si="5"/>
        <v>3.3000000000000007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</v>
      </c>
      <c r="L15" s="51">
        <v>24.4</v>
      </c>
      <c r="M15" s="51">
        <v>24.5</v>
      </c>
      <c r="N15" s="51">
        <v>23</v>
      </c>
      <c r="O15" s="51">
        <v>26.3</v>
      </c>
      <c r="P15" s="51">
        <v>23.8</v>
      </c>
      <c r="Q15" s="51">
        <v>22.7</v>
      </c>
      <c r="R15" s="51">
        <v>23.7</v>
      </c>
      <c r="S15" s="51">
        <v>23.8</v>
      </c>
      <c r="T15" s="51">
        <v>23.9</v>
      </c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10</v>
      </c>
      <c r="AQ15" s="89" t="str">
        <f t="shared" si="2"/>
        <v/>
      </c>
      <c r="AR15" s="89">
        <f>IFERROR(VLOOKUP(A15,Climatologia!A:U,9+$E$2,FALSE),"")</f>
        <v>22.93138888888889</v>
      </c>
      <c r="AS15" s="89" t="str">
        <f t="shared" si="3"/>
        <v/>
      </c>
      <c r="AT15" s="90">
        <f t="shared" si="4"/>
        <v>22.7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31691</v>
      </c>
      <c r="AW15" s="92">
        <f t="shared" si="5"/>
        <v>3.8999999999999986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</v>
      </c>
      <c r="L16" s="51">
        <v>25.1</v>
      </c>
      <c r="M16" s="51">
        <v>22.6</v>
      </c>
      <c r="N16" s="51">
        <v>22.6</v>
      </c>
      <c r="O16" s="51">
        <v>24.2</v>
      </c>
      <c r="P16" s="51">
        <v>23.1</v>
      </c>
      <c r="Q16" s="51">
        <v>23.7</v>
      </c>
      <c r="R16" s="51">
        <v>24.9</v>
      </c>
      <c r="S16" s="51">
        <v>24.5</v>
      </c>
      <c r="T16" s="51">
        <v>25</v>
      </c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10</v>
      </c>
      <c r="AQ16" s="89" t="str">
        <f t="shared" si="2"/>
        <v/>
      </c>
      <c r="AR16" s="89">
        <f>IFERROR(VLOOKUP(A16,Climatologia!A:U,9+$E$2,FALSE),"")</f>
        <v>23.20756656273802</v>
      </c>
      <c r="AS16" s="89" t="str">
        <f t="shared" si="3"/>
        <v/>
      </c>
      <c r="AT16" s="90">
        <f t="shared" si="4"/>
        <v>22.6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36804</v>
      </c>
      <c r="AW16" s="92">
        <f t="shared" si="5"/>
        <v>3.6000000000000014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18.8</v>
      </c>
      <c r="L17" s="51">
        <v>19.7</v>
      </c>
      <c r="M17" s="51">
        <v>20.2</v>
      </c>
      <c r="N17" s="51">
        <v>18.8</v>
      </c>
      <c r="O17" s="51">
        <v>19.7</v>
      </c>
      <c r="P17" s="51">
        <v>18.3</v>
      </c>
      <c r="Q17" s="51">
        <v>18.3</v>
      </c>
      <c r="R17" s="51">
        <v>17.2</v>
      </c>
      <c r="S17" s="51">
        <v>18.3</v>
      </c>
      <c r="T17" s="51">
        <v>17.5</v>
      </c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10</v>
      </c>
      <c r="AQ17" s="89" t="str">
        <f t="shared" si="2"/>
        <v/>
      </c>
      <c r="AR17" s="89">
        <f>IFERROR(VLOOKUP(A17,Climatologia!A:U,9+$E$2,FALSE),"")</f>
        <v>17.420270031836139</v>
      </c>
      <c r="AS17" s="89" t="str">
        <f t="shared" si="3"/>
        <v/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31687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14.2</v>
      </c>
      <c r="L18" s="51">
        <v>13.6</v>
      </c>
      <c r="M18" s="51">
        <v>14.3</v>
      </c>
      <c r="N18" s="51">
        <v>13.3</v>
      </c>
      <c r="O18" s="51">
        <v>13.1</v>
      </c>
      <c r="P18" s="51">
        <v>13.5</v>
      </c>
      <c r="Q18" s="51">
        <v>13.4</v>
      </c>
      <c r="R18" s="51">
        <v>12.6</v>
      </c>
      <c r="S18" s="51">
        <v>13.6</v>
      </c>
      <c r="T18" s="51">
        <v>14.6</v>
      </c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10</v>
      </c>
      <c r="AQ18" s="89" t="str">
        <f t="shared" si="2"/>
        <v/>
      </c>
      <c r="AR18" s="89">
        <f>IFERROR(VLOOKUP(A18,Climatologia!A:U,9+$E$2,FALSE),"")</f>
        <v>12.681788530465949</v>
      </c>
      <c r="AS18" s="89" t="str">
        <f t="shared" si="3"/>
        <v/>
      </c>
      <c r="AT18" s="90">
        <f t="shared" si="4"/>
        <v>12.6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30253</v>
      </c>
      <c r="AW18" s="92">
        <f t="shared" si="5"/>
        <v>5.6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18.3</v>
      </c>
      <c r="L19" s="51">
        <v>18.2</v>
      </c>
      <c r="M19" s="51">
        <v>18.399999999999999</v>
      </c>
      <c r="N19" s="51">
        <v>18</v>
      </c>
      <c r="O19" s="51">
        <v>18.2</v>
      </c>
      <c r="P19" s="51">
        <v>17.899999999999999</v>
      </c>
      <c r="Q19" s="51">
        <v>17.899999999999999</v>
      </c>
      <c r="R19" s="51">
        <v>19.100000000000001</v>
      </c>
      <c r="S19" s="51">
        <v>18.2</v>
      </c>
      <c r="T19" s="51">
        <v>17.8</v>
      </c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10</v>
      </c>
      <c r="AQ19" s="89" t="str">
        <f t="shared" si="2"/>
        <v/>
      </c>
      <c r="AR19" s="89">
        <f>IFERROR(VLOOKUP(A19,Climatologia!A:U,9+$E$2,FALSE),"")</f>
        <v>17.368349875930519</v>
      </c>
      <c r="AS19" s="89" t="str">
        <f t="shared" si="3"/>
        <v/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9" s="92">
        <f t="shared" si="5"/>
        <v>3.8000000000000007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18.600000000000001</v>
      </c>
      <c r="L20" s="51">
        <v>19</v>
      </c>
      <c r="M20" s="51">
        <v>18.600000000000001</v>
      </c>
      <c r="N20" s="51">
        <v>16.600000000000001</v>
      </c>
      <c r="O20" s="51">
        <v>18</v>
      </c>
      <c r="P20" s="51">
        <v>18.7</v>
      </c>
      <c r="Q20" s="51">
        <v>18.399999999999999</v>
      </c>
      <c r="R20" s="51">
        <v>18.399999999999999</v>
      </c>
      <c r="S20" s="51">
        <v>18.899999999999999</v>
      </c>
      <c r="T20" s="51">
        <v>18.8</v>
      </c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10</v>
      </c>
      <c r="AQ20" s="89" t="str">
        <f t="shared" si="2"/>
        <v/>
      </c>
      <c r="AR20" s="89">
        <f>IFERROR(VLOOKUP(A20,Climatologia!A:U,9+$E$2,FALSE),"")</f>
        <v>16.985610863922879</v>
      </c>
      <c r="AS20" s="89" t="str">
        <f t="shared" si="3"/>
        <v/>
      </c>
      <c r="AT20" s="90">
        <f t="shared" si="4"/>
        <v>16.600000000000001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13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32785</v>
      </c>
      <c r="AW20" s="92">
        <f t="shared" si="5"/>
        <v>3.6000000000000014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19.3</v>
      </c>
      <c r="L21" s="51">
        <v>20.8</v>
      </c>
      <c r="M21" s="51">
        <v>19</v>
      </c>
      <c r="N21" s="51">
        <v>18.600000000000001</v>
      </c>
      <c r="O21" s="51">
        <v>19.100000000000001</v>
      </c>
      <c r="P21" s="51">
        <v>21</v>
      </c>
      <c r="Q21" s="51">
        <v>18.8</v>
      </c>
      <c r="R21" s="51">
        <v>19.7</v>
      </c>
      <c r="S21" s="51">
        <v>19.600000000000001</v>
      </c>
      <c r="T21" s="51">
        <v>19.2</v>
      </c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10</v>
      </c>
      <c r="AQ21" s="89" t="str">
        <f t="shared" si="2"/>
        <v/>
      </c>
      <c r="AR21" s="89">
        <f>IFERROR(VLOOKUP(A21,Climatologia!A:U,9+$E$2,FALSE),"")</f>
        <v>19.10423923406961</v>
      </c>
      <c r="AS21" s="89" t="str">
        <f t="shared" si="3"/>
        <v/>
      </c>
      <c r="AT21" s="90">
        <f t="shared" si="4"/>
        <v>18.600000000000001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16.2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40476</v>
      </c>
      <c r="AW21" s="92">
        <f t="shared" si="5"/>
        <v>2.4000000000000021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11.6</v>
      </c>
      <c r="L22" s="51">
        <v>12.2</v>
      </c>
      <c r="M22" s="51">
        <v>10.8</v>
      </c>
      <c r="N22" s="51">
        <v>6.4</v>
      </c>
      <c r="O22" s="51">
        <v>7.2</v>
      </c>
      <c r="P22" s="51">
        <v>11</v>
      </c>
      <c r="Q22" s="51">
        <v>11.4</v>
      </c>
      <c r="R22" s="51">
        <v>12.3</v>
      </c>
      <c r="S22" s="51">
        <v>10.6</v>
      </c>
      <c r="T22" s="51">
        <v>11.6</v>
      </c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10</v>
      </c>
      <c r="AQ22" s="89" t="str">
        <f t="shared" si="2"/>
        <v/>
      </c>
      <c r="AR22" s="89">
        <f>IFERROR(VLOOKUP(A22,Climatologia!A:U,9+$E$2,FALSE),"")</f>
        <v>8.2983447859006159</v>
      </c>
      <c r="AS22" s="89" t="str">
        <f t="shared" si="3"/>
        <v/>
      </c>
      <c r="AT22" s="90">
        <f t="shared" si="4"/>
        <v>6.4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0.5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22" s="92">
        <f t="shared" si="5"/>
        <v>5.9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20.100000000000001</v>
      </c>
      <c r="L23" s="51">
        <v>19.600000000000001</v>
      </c>
      <c r="M23" s="51">
        <v>20.100000000000001</v>
      </c>
      <c r="N23" s="51">
        <v>18.8</v>
      </c>
      <c r="O23" s="51">
        <v>19.600000000000001</v>
      </c>
      <c r="P23" s="51">
        <v>19.2</v>
      </c>
      <c r="Q23" s="51">
        <v>20.399999999999999</v>
      </c>
      <c r="R23" s="51">
        <v>20.399999999999999</v>
      </c>
      <c r="S23" s="51">
        <v>18.2</v>
      </c>
      <c r="T23" s="51">
        <v>19.5</v>
      </c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10</v>
      </c>
      <c r="AQ23" s="89" t="str">
        <f t="shared" si="2"/>
        <v/>
      </c>
      <c r="AR23" s="89">
        <f>IFERROR(VLOOKUP(A23,Climatologia!A:U,9+$E$2,FALSE),"")</f>
        <v>18.736530737721061</v>
      </c>
      <c r="AS23" s="89" t="str">
        <f t="shared" si="3"/>
        <v/>
      </c>
      <c r="AT23" s="90">
        <f t="shared" si="4"/>
        <v>18.2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28043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23.4</v>
      </c>
      <c r="L24" s="51">
        <v>23.6</v>
      </c>
      <c r="M24" s="51">
        <v>23.7</v>
      </c>
      <c r="N24" s="51">
        <v>24</v>
      </c>
      <c r="O24" s="51">
        <v>24.2</v>
      </c>
      <c r="P24" s="51">
        <v>24.8</v>
      </c>
      <c r="Q24" s="51">
        <v>26.1</v>
      </c>
      <c r="R24" s="51">
        <v>26</v>
      </c>
      <c r="S24" s="51">
        <v>24</v>
      </c>
      <c r="T24" s="51">
        <v>22.5</v>
      </c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10</v>
      </c>
      <c r="AQ24" s="89" t="str">
        <f t="shared" si="2"/>
        <v/>
      </c>
      <c r="AR24" s="89">
        <f>IFERROR(VLOOKUP(A24,Climatologia!A:U,9+$E$2,FALSE),"")</f>
        <v>22.82391397849462</v>
      </c>
      <c r="AS24" s="89" t="str">
        <f t="shared" si="3"/>
        <v/>
      </c>
      <c r="AT24" s="90">
        <f t="shared" si="4"/>
        <v>22.5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19.600000000000001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33156</v>
      </c>
      <c r="AW24" s="92">
        <f t="shared" si="5"/>
        <v>2.8999999999999986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</v>
      </c>
      <c r="L25" s="51">
        <v>16.399999999999999</v>
      </c>
      <c r="M25" s="51">
        <v>15.2</v>
      </c>
      <c r="N25" s="51">
        <v>15.2</v>
      </c>
      <c r="O25" s="51">
        <v>14.6</v>
      </c>
      <c r="P25" s="51">
        <v>16.2</v>
      </c>
      <c r="Q25" s="51">
        <v>16.2</v>
      </c>
      <c r="R25" s="51">
        <v>15</v>
      </c>
      <c r="S25" s="51">
        <v>14.6</v>
      </c>
      <c r="T25" s="51">
        <v>16.2</v>
      </c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10</v>
      </c>
      <c r="AQ25" s="89" t="str">
        <f t="shared" si="2"/>
        <v/>
      </c>
      <c r="AR25" s="89">
        <f>IFERROR(VLOOKUP(A25,Climatologia!A:U,9+$E$2,FALSE),"")</f>
        <v>14.48602050485254</v>
      </c>
      <c r="AS25" s="89" t="str">
        <f t="shared" si="3"/>
        <v/>
      </c>
      <c r="AT25" s="90">
        <f t="shared" si="4"/>
        <v>14.6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29129</v>
      </c>
      <c r="AW25" s="92">
        <f t="shared" si="5"/>
        <v>3.5999999999999996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5.4</v>
      </c>
      <c r="L26" s="51">
        <v>10</v>
      </c>
      <c r="M26" s="51">
        <v>8.8000000000000007</v>
      </c>
      <c r="N26" s="51">
        <v>7</v>
      </c>
      <c r="O26" s="51">
        <v>3.8</v>
      </c>
      <c r="P26" s="51">
        <v>5.8</v>
      </c>
      <c r="Q26" s="51">
        <v>5.6</v>
      </c>
      <c r="R26" s="51">
        <v>7.2</v>
      </c>
      <c r="S26" s="51">
        <v>5.4</v>
      </c>
      <c r="T26" s="51">
        <v>7.4</v>
      </c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10</v>
      </c>
      <c r="AQ26" s="89" t="str">
        <f t="shared" si="2"/>
        <v/>
      </c>
      <c r="AR26" s="89">
        <f>IFERROR(VLOOKUP(A26,Climatologia!A:U,9+$E$2,FALSE),"")</f>
        <v>5.5372974910394257</v>
      </c>
      <c r="AS26" s="89" t="str">
        <f t="shared" si="3"/>
        <v/>
      </c>
      <c r="AT26" s="90">
        <f t="shared" si="4"/>
        <v>3.8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39008</v>
      </c>
      <c r="AW26" s="92">
        <f t="shared" si="5"/>
        <v>4.5999999999999996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23.9</v>
      </c>
      <c r="L27" s="51">
        <v>23.6</v>
      </c>
      <c r="M27" s="51">
        <v>23.6</v>
      </c>
      <c r="N27" s="51">
        <v>23.4</v>
      </c>
      <c r="O27" s="51">
        <v>25.4</v>
      </c>
      <c r="P27" s="51">
        <v>25.2</v>
      </c>
      <c r="Q27" s="51">
        <v>22.8</v>
      </c>
      <c r="R27" s="51">
        <v>23.4</v>
      </c>
      <c r="S27" s="51">
        <v>23.8</v>
      </c>
      <c r="T27" s="51">
        <v>24.4</v>
      </c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10</v>
      </c>
      <c r="AQ27" s="89" t="str">
        <f t="shared" si="2"/>
        <v/>
      </c>
      <c r="AR27" s="89">
        <f>IFERROR(VLOOKUP(A27,Climatologia!A:U,9+$E$2,FALSE),"")</f>
        <v>23.19207267334075</v>
      </c>
      <c r="AS27" s="89" t="str">
        <f t="shared" si="3"/>
        <v/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31710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25.4</v>
      </c>
      <c r="L28" s="51">
        <v>25.3</v>
      </c>
      <c r="M28" s="51">
        <v>22.5</v>
      </c>
      <c r="N28" s="51">
        <v>24.5</v>
      </c>
      <c r="O28" s="51">
        <v>25.1</v>
      </c>
      <c r="P28" s="51">
        <v>26.4</v>
      </c>
      <c r="Q28" s="51">
        <v>22.9</v>
      </c>
      <c r="R28" s="51">
        <v>23</v>
      </c>
      <c r="S28" s="51">
        <v>23.5</v>
      </c>
      <c r="T28" s="51">
        <v>24.4</v>
      </c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10</v>
      </c>
      <c r="AQ28" s="89" t="str">
        <f t="shared" si="2"/>
        <v/>
      </c>
      <c r="AR28" s="89">
        <f>IFERROR(VLOOKUP(A28,Climatologia!A:U,9+$E$2,FALSE),"")</f>
        <v>23.06253726362625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18.2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29869</v>
      </c>
      <c r="AW28" s="92">
        <f t="shared" si="5"/>
        <v>4.3000000000000007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23.6</v>
      </c>
      <c r="L29" s="51">
        <v>26.4</v>
      </c>
      <c r="M29" s="51">
        <v>25</v>
      </c>
      <c r="N29" s="51">
        <v>26.2</v>
      </c>
      <c r="O29" s="51">
        <v>26.4</v>
      </c>
      <c r="P29" s="51">
        <v>26.2</v>
      </c>
      <c r="Q29" s="51">
        <v>26.2</v>
      </c>
      <c r="R29" s="51">
        <v>24.8</v>
      </c>
      <c r="S29" s="51">
        <v>25.6</v>
      </c>
      <c r="T29" s="51">
        <v>25.8</v>
      </c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10</v>
      </c>
      <c r="AQ29" s="89" t="str">
        <f t="shared" si="2"/>
        <v/>
      </c>
      <c r="AR29" s="89">
        <f>IFERROR(VLOOKUP(A29,Climatologia!A:U,9+$E$2,FALSE),"")</f>
        <v>24.089849462365589</v>
      </c>
      <c r="AS29" s="89" t="str">
        <f t="shared" si="3"/>
        <v/>
      </c>
      <c r="AT29" s="90">
        <f t="shared" si="4"/>
        <v>23.6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33170</v>
      </c>
      <c r="AW29" s="92">
        <f t="shared" si="5"/>
        <v>3.4000000000000021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</v>
      </c>
      <c r="L30" s="51">
        <v>22.8</v>
      </c>
      <c r="M30" s="51">
        <v>21.2</v>
      </c>
      <c r="N30" s="51">
        <v>22.1</v>
      </c>
      <c r="O30" s="51">
        <v>21.4</v>
      </c>
      <c r="P30" s="51">
        <v>22.3</v>
      </c>
      <c r="Q30" s="51">
        <v>22.3</v>
      </c>
      <c r="R30" s="51">
        <v>22.1</v>
      </c>
      <c r="S30" s="51">
        <v>22.8</v>
      </c>
      <c r="T30" s="51">
        <v>21.7</v>
      </c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10</v>
      </c>
      <c r="AQ30" s="89" t="str">
        <f t="shared" si="2"/>
        <v/>
      </c>
      <c r="AR30" s="89">
        <f>IFERROR(VLOOKUP(A30,Climatologia!A:U,9+$E$2,FALSE),"")</f>
        <v>20.982655913978491</v>
      </c>
      <c r="AS30" s="89" t="str">
        <f t="shared" si="3"/>
        <v/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17.5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34246</v>
      </c>
      <c r="AW30" s="92">
        <f t="shared" si="5"/>
        <v>3.6999999999999993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22.7</v>
      </c>
      <c r="L31" s="108">
        <v>24</v>
      </c>
      <c r="M31" s="108">
        <v>23.8</v>
      </c>
      <c r="N31" s="108">
        <v>24.3</v>
      </c>
      <c r="O31" s="108">
        <v>23.5</v>
      </c>
      <c r="P31" s="121">
        <v>24.2</v>
      </c>
      <c r="Q31" s="121">
        <v>24.2</v>
      </c>
      <c r="R31" s="121">
        <v>24.2</v>
      </c>
      <c r="S31" s="108">
        <v>23.5</v>
      </c>
      <c r="T31" s="108">
        <v>23.2</v>
      </c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10</v>
      </c>
      <c r="AQ31" s="89" t="str">
        <f t="shared" si="2"/>
        <v/>
      </c>
      <c r="AR31" s="89">
        <f>IFERROR(VLOOKUP(A31,Climatologia!A:U,9+$E$2,FALSE),"")</f>
        <v>22.908834408602139</v>
      </c>
      <c r="AS31" s="89" t="str">
        <f t="shared" si="3"/>
        <v/>
      </c>
      <c r="AT31" s="90">
        <f t="shared" si="4"/>
        <v>22.7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18.3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31" s="92">
        <f t="shared" si="5"/>
        <v>4.3999999999999986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13.2</v>
      </c>
      <c r="L32" s="51">
        <v>15</v>
      </c>
      <c r="M32" s="51">
        <v>16.2</v>
      </c>
      <c r="N32" s="51">
        <v>14</v>
      </c>
      <c r="O32" s="51">
        <v>13.8</v>
      </c>
      <c r="P32" s="51">
        <v>14.4</v>
      </c>
      <c r="Q32" s="51">
        <v>13</v>
      </c>
      <c r="R32" s="51">
        <v>13.8</v>
      </c>
      <c r="S32" s="51">
        <v>13.4</v>
      </c>
      <c r="T32" s="51">
        <v>13.6</v>
      </c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10</v>
      </c>
      <c r="AQ32" s="89" t="str">
        <f t="shared" si="2"/>
        <v/>
      </c>
      <c r="AR32" s="89">
        <f>IFERROR(VLOOKUP(A32,Climatologia!A:U,9+$E$2,FALSE),"")</f>
        <v>13.297276412357061</v>
      </c>
      <c r="AS32" s="89" t="str">
        <f t="shared" si="3"/>
        <v/>
      </c>
      <c r="AT32" s="90">
        <f t="shared" si="4"/>
        <v>13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7.4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34984</v>
      </c>
      <c r="AW32" s="92">
        <f t="shared" si="5"/>
        <v>5.6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23.197178156046359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19.8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41187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16.8</v>
      </c>
      <c r="M34" s="51">
        <v>16.600000000000001</v>
      </c>
      <c r="N34" s="51">
        <v>15.4</v>
      </c>
      <c r="O34" s="51">
        <v>16.399999999999999</v>
      </c>
      <c r="P34" s="51">
        <v>16.2</v>
      </c>
      <c r="Q34" s="51">
        <v>17.600000000000001</v>
      </c>
      <c r="R34" s="51">
        <v>15.6</v>
      </c>
      <c r="S34" s="51">
        <v>17</v>
      </c>
      <c r="T34" s="51">
        <v>16.600000000000001</v>
      </c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10</v>
      </c>
      <c r="AQ34" s="89" t="str">
        <f t="shared" si="2"/>
        <v/>
      </c>
      <c r="AR34" s="89">
        <f>IFERROR(VLOOKUP(A34,Climatologia!A:U,9+$E$2,FALSE),"")</f>
        <v>15.19415680704239</v>
      </c>
      <c r="AS34" s="89" t="str">
        <f t="shared" si="3"/>
        <v/>
      </c>
      <c r="AT34" s="90">
        <f t="shared" si="4"/>
        <v>15.4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11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37900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15.2</v>
      </c>
      <c r="L35" s="51">
        <v>15.8</v>
      </c>
      <c r="M35" s="51">
        <v>15.4</v>
      </c>
      <c r="N35" s="51">
        <v>15.4</v>
      </c>
      <c r="O35" s="51">
        <v>14.8</v>
      </c>
      <c r="P35" s="51">
        <v>15</v>
      </c>
      <c r="Q35" s="51">
        <v>15.2</v>
      </c>
      <c r="R35" s="51">
        <v>15</v>
      </c>
      <c r="S35" s="51">
        <v>15.4</v>
      </c>
      <c r="T35" s="51">
        <v>15.8</v>
      </c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10</v>
      </c>
      <c r="AQ35" s="89" t="str">
        <f t="shared" si="2"/>
        <v/>
      </c>
      <c r="AR35" s="89">
        <f>IFERROR(VLOOKUP(A35,Climatologia!A:U,9+$E$2,FALSE),"")</f>
        <v>13.09084501214612</v>
      </c>
      <c r="AS35" s="89" t="str">
        <f t="shared" si="3"/>
        <v/>
      </c>
      <c r="AT35" s="90">
        <f t="shared" si="4"/>
        <v>14.8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36800</v>
      </c>
      <c r="AW35" s="92">
        <f t="shared" si="5"/>
        <v>5.6000000000000014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</v>
      </c>
      <c r="L36" s="51">
        <v>19.8</v>
      </c>
      <c r="M36" s="51">
        <v>20</v>
      </c>
      <c r="N36" s="51">
        <v>19.8</v>
      </c>
      <c r="O36" s="51">
        <v>19</v>
      </c>
      <c r="P36" s="51">
        <v>18.8</v>
      </c>
      <c r="Q36" s="51">
        <v>19</v>
      </c>
      <c r="R36" s="120">
        <v>18.8</v>
      </c>
      <c r="S36" s="51">
        <v>19</v>
      </c>
      <c r="T36" s="51">
        <v>19.2</v>
      </c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10</v>
      </c>
      <c r="AQ36" s="89" t="str">
        <f t="shared" si="2"/>
        <v/>
      </c>
      <c r="AR36" s="89">
        <f>IFERROR(VLOOKUP(A36,Climatologia!A:U,9+$E$2,FALSE),"")</f>
        <v>19.808075083426029</v>
      </c>
      <c r="AS36" s="89" t="str">
        <f t="shared" si="3"/>
        <v/>
      </c>
      <c r="AT36" s="90">
        <f t="shared" si="4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36" s="92">
        <f t="shared" si="5"/>
        <v>2.6000000000000014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8.4</v>
      </c>
      <c r="L37" s="51">
        <v>7.2</v>
      </c>
      <c r="M37" s="51">
        <v>7.4</v>
      </c>
      <c r="N37" s="51">
        <v>8.4</v>
      </c>
      <c r="O37" s="51">
        <v>5.8</v>
      </c>
      <c r="P37" s="51">
        <v>8</v>
      </c>
      <c r="Q37" s="51">
        <v>6.6</v>
      </c>
      <c r="R37" s="51">
        <v>7.8</v>
      </c>
      <c r="S37" s="51">
        <v>8.1999999999999993</v>
      </c>
      <c r="T37" s="51">
        <v>8.8000000000000007</v>
      </c>
      <c r="U37" s="51"/>
      <c r="V37" s="51"/>
      <c r="W37" s="51"/>
      <c r="X37" s="51"/>
      <c r="Y37" s="51"/>
      <c r="Z37" s="111"/>
      <c r="AA37" s="51"/>
      <c r="AB37" s="109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10</v>
      </c>
      <c r="AQ37" s="89" t="str">
        <f t="shared" si="2"/>
        <v/>
      </c>
      <c r="AR37" s="89">
        <f>IFERROR(VLOOKUP(A37,Climatologia!A:U,9+$E$2,FALSE),"")</f>
        <v>9.9480459770114962</v>
      </c>
      <c r="AS37" s="89" t="str">
        <f t="shared" si="3"/>
        <v/>
      </c>
      <c r="AT37" s="90">
        <f t="shared" si="4"/>
        <v>5.8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16.8</v>
      </c>
      <c r="L38" s="51">
        <v>17.8</v>
      </c>
      <c r="M38" s="51">
        <v>17.399999999999999</v>
      </c>
      <c r="N38" s="51">
        <v>16.2</v>
      </c>
      <c r="O38" s="51">
        <v>16.600000000000001</v>
      </c>
      <c r="P38" s="51">
        <v>16.2</v>
      </c>
      <c r="Q38" s="51">
        <v>17</v>
      </c>
      <c r="R38" s="51">
        <v>14</v>
      </c>
      <c r="S38" s="51">
        <v>17</v>
      </c>
      <c r="T38" s="51">
        <v>15.4</v>
      </c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10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14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45228</v>
      </c>
      <c r="AW38" s="92">
        <f t="shared" si="5"/>
        <v>0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20</v>
      </c>
      <c r="L39" s="51"/>
      <c r="M39" s="51">
        <v>20.399999999999999</v>
      </c>
      <c r="N39" s="51">
        <v>18.8</v>
      </c>
      <c r="O39" s="51">
        <v>19.399999999999999</v>
      </c>
      <c r="P39" s="51">
        <v>18.600000000000001</v>
      </c>
      <c r="Q39" s="51">
        <v>19</v>
      </c>
      <c r="R39" s="51"/>
      <c r="S39" s="51"/>
      <c r="T39" s="51">
        <v>18.399999999999999</v>
      </c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7</v>
      </c>
      <c r="AQ39" s="89" t="str">
        <f t="shared" si="2"/>
        <v/>
      </c>
      <c r="AR39" s="89">
        <f>IFERROR(VLOOKUP(A39,Climatologia!A:U,9+$E$2,FALSE),"")</f>
        <v>17.338956590999601</v>
      </c>
      <c r="AS39" s="89" t="str">
        <f t="shared" si="3"/>
        <v/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34251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11.2</v>
      </c>
      <c r="L40" s="51">
        <v>16.2</v>
      </c>
      <c r="M40" s="51">
        <v>15.2</v>
      </c>
      <c r="N40" s="51">
        <v>14.2</v>
      </c>
      <c r="O40" s="51">
        <v>13.8</v>
      </c>
      <c r="P40" s="51">
        <v>14</v>
      </c>
      <c r="Q40" s="51">
        <v>14.2</v>
      </c>
      <c r="R40" s="51">
        <v>10.7</v>
      </c>
      <c r="S40" s="51">
        <v>14.6</v>
      </c>
      <c r="T40" s="51">
        <v>15</v>
      </c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10</v>
      </c>
      <c r="AQ40" s="89" t="str">
        <f t="shared" si="2"/>
        <v/>
      </c>
      <c r="AR40" s="89">
        <f>IFERROR(VLOOKUP(A40,Climatologia!A:U,9+$E$2,FALSE),"")</f>
        <v>13.21942693527788</v>
      </c>
      <c r="AS40" s="89" t="str">
        <f t="shared" si="3"/>
        <v/>
      </c>
      <c r="AT40" s="90">
        <f t="shared" si="4"/>
        <v>10.7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36440</v>
      </c>
      <c r="AW40" s="92">
        <f t="shared" si="5"/>
        <v>0.89999999999999858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24.6</v>
      </c>
      <c r="L41" s="51">
        <v>26.4</v>
      </c>
      <c r="M41" s="51">
        <v>24.6</v>
      </c>
      <c r="N41" s="51">
        <v>21.8</v>
      </c>
      <c r="O41" s="51">
        <v>24.4</v>
      </c>
      <c r="P41" s="51">
        <v>24</v>
      </c>
      <c r="Q41" s="51">
        <v>25</v>
      </c>
      <c r="R41" s="51">
        <v>25.2</v>
      </c>
      <c r="S41" s="51">
        <v>25.8</v>
      </c>
      <c r="T41" s="51">
        <v>25.8</v>
      </c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10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21.8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37533</v>
      </c>
      <c r="AW41" s="92">
        <f t="shared" si="5"/>
        <v>4.1999999999999993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25.8</v>
      </c>
      <c r="L42" s="51">
        <v>26.8</v>
      </c>
      <c r="M42" s="51">
        <v>24.6</v>
      </c>
      <c r="N42" s="51">
        <v>22.8</v>
      </c>
      <c r="O42" s="51">
        <v>25.4</v>
      </c>
      <c r="P42" s="51">
        <v>24.4</v>
      </c>
      <c r="Q42" s="51">
        <v>25.2</v>
      </c>
      <c r="R42" s="51">
        <v>26.2</v>
      </c>
      <c r="S42" s="51">
        <v>25.2</v>
      </c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9</v>
      </c>
      <c r="AQ42" s="89" t="str">
        <f t="shared" si="2"/>
        <v/>
      </c>
      <c r="AR42" s="89">
        <f>IFERROR(VLOOKUP(A42,Climatologia!A:U,9+$E$2,FALSE),"")</f>
        <v>24.022828175927401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24.6</v>
      </c>
      <c r="L43" s="51">
        <v>25.2</v>
      </c>
      <c r="M43" s="51">
        <v>23.8</v>
      </c>
      <c r="N43" s="51">
        <v>23.2</v>
      </c>
      <c r="O43" s="51">
        <v>23.2</v>
      </c>
      <c r="P43" s="51">
        <v>23</v>
      </c>
      <c r="Q43" s="51">
        <v>24.4</v>
      </c>
      <c r="R43" s="51">
        <v>23.8</v>
      </c>
      <c r="S43" s="51">
        <v>24</v>
      </c>
      <c r="T43" s="51">
        <v>24.2</v>
      </c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10</v>
      </c>
      <c r="AQ43" s="89" t="str">
        <f t="shared" si="2"/>
        <v/>
      </c>
      <c r="AR43" s="89">
        <f>IFERROR(VLOOKUP(A43,Climatologia!A:U,9+$E$2,FALSE),"")</f>
        <v>23.71034092848609</v>
      </c>
      <c r="AS43" s="89" t="str">
        <f t="shared" si="3"/>
        <v/>
      </c>
      <c r="AT43" s="90">
        <f t="shared" si="4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19.2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39732</v>
      </c>
      <c r="AW43" s="92">
        <f t="shared" si="5"/>
        <v>3.8000000000000007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24.2</v>
      </c>
      <c r="L44" s="51">
        <v>25.4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</v>
      </c>
      <c r="AQ44" s="89" t="str">
        <f t="shared" si="2"/>
        <v/>
      </c>
      <c r="AR44" s="89">
        <f>IFERROR(VLOOKUP(A44,Climatologia!A:U,9+$E$2,FALSE),"")</f>
        <v>23.095211611097891</v>
      </c>
      <c r="AS44" s="89" t="str">
        <f t="shared" si="3"/>
        <v/>
      </c>
      <c r="AT44" s="90">
        <f t="shared" si="4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33147</v>
      </c>
      <c r="AW44" s="92">
        <f t="shared" si="5"/>
        <v>8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23.491991397849461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45947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22.097697453825369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17.600000000000001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37167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25.4</v>
      </c>
      <c r="L47" s="51">
        <v>25.2</v>
      </c>
      <c r="M47" s="51">
        <v>23</v>
      </c>
      <c r="N47" s="51">
        <v>22.6</v>
      </c>
      <c r="O47" s="51">
        <v>24.4</v>
      </c>
      <c r="P47" s="51">
        <v>24.4</v>
      </c>
      <c r="Q47" s="51">
        <v>24.2</v>
      </c>
      <c r="R47" s="51">
        <v>24.8</v>
      </c>
      <c r="S47" s="51">
        <v>24</v>
      </c>
      <c r="T47" s="51">
        <v>24.2</v>
      </c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10</v>
      </c>
      <c r="AQ47" s="89" t="str">
        <f t="shared" si="2"/>
        <v/>
      </c>
      <c r="AR47" s="89">
        <f>IFERROR(VLOOKUP(A47,Climatologia!A:U,9+$E$2,FALSE),"")</f>
        <v>22.723827956989251</v>
      </c>
      <c r="AS47" s="89" t="str">
        <f t="shared" si="3"/>
        <v/>
      </c>
      <c r="AT47" s="90">
        <f t="shared" si="4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37914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22.959836362577601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19.5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33534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23.385134996557031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33150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19.100000000000001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43752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24.4</v>
      </c>
      <c r="L51" s="51">
        <v>25.6</v>
      </c>
      <c r="M51" s="51">
        <v>22.4</v>
      </c>
      <c r="N51" s="51">
        <v>22.2</v>
      </c>
      <c r="O51" s="51">
        <v>23</v>
      </c>
      <c r="P51" s="51">
        <v>24.6</v>
      </c>
      <c r="Q51" s="51">
        <v>24.4</v>
      </c>
      <c r="R51" s="51">
        <v>24.2</v>
      </c>
      <c r="S51" s="51">
        <v>24.4</v>
      </c>
      <c r="T51" s="51">
        <v>24.2</v>
      </c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10</v>
      </c>
      <c r="AQ51" s="89" t="str">
        <f t="shared" si="2"/>
        <v/>
      </c>
      <c r="AR51" s="89">
        <f>IFERROR(VLOOKUP(A51,Climatologia!A:U,9+$E$2,FALSE),"")</f>
        <v>23.115766791463461</v>
      </c>
      <c r="AS51" s="89" t="str">
        <f t="shared" si="3"/>
        <v/>
      </c>
      <c r="AT51" s="90">
        <f t="shared" si="4"/>
        <v>22.2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32800</v>
      </c>
      <c r="AW51" s="92">
        <f t="shared" si="5"/>
        <v>4.1999999999999993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25.2</v>
      </c>
      <c r="L52" s="51">
        <v>25.6</v>
      </c>
      <c r="M52" s="51">
        <v>22.4</v>
      </c>
      <c r="N52" s="51">
        <v>22.8</v>
      </c>
      <c r="O52" s="51">
        <v>23.6</v>
      </c>
      <c r="P52" s="51">
        <v>23.8</v>
      </c>
      <c r="Q52" s="51">
        <v>23</v>
      </c>
      <c r="R52" s="51">
        <v>23.2</v>
      </c>
      <c r="S52" s="51">
        <v>23.6</v>
      </c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9</v>
      </c>
      <c r="AQ52" s="89" t="str">
        <f t="shared" si="2"/>
        <v/>
      </c>
      <c r="AR52" s="89">
        <f>IFERROR(VLOOKUP(A52,Climatologia!A:U,9+$E$2,FALSE),"")</f>
        <v>22.856683489199249</v>
      </c>
      <c r="AS52" s="89" t="str">
        <f t="shared" si="3"/>
        <v/>
      </c>
      <c r="AT52" s="90">
        <f t="shared" si="4"/>
        <v>22.4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40090</v>
      </c>
      <c r="AW52" s="92">
        <f t="shared" si="5"/>
        <v>4.3999999999999986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/>
      <c r="L53" s="51">
        <v>26</v>
      </c>
      <c r="M53" s="51">
        <v>21.8</v>
      </c>
      <c r="N53" s="51">
        <v>24.2</v>
      </c>
      <c r="O53" s="51">
        <v>24.8</v>
      </c>
      <c r="P53" s="51"/>
      <c r="Q53" s="51">
        <v>22.8</v>
      </c>
      <c r="R53" s="51">
        <v>23.6</v>
      </c>
      <c r="S53" s="51">
        <v>24.4</v>
      </c>
      <c r="T53" s="51">
        <v>25.6</v>
      </c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8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21.8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18.600000000000001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35358</v>
      </c>
      <c r="AW53" s="92">
        <f t="shared" si="5"/>
        <v>3.1999999999999993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18.8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31331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30970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23.899133654767109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19.2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37185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24</v>
      </c>
      <c r="L57" s="51">
        <v>25.8</v>
      </c>
      <c r="M57" s="51">
        <v>25.8</v>
      </c>
      <c r="N57" s="51">
        <v>23.8</v>
      </c>
      <c r="O57" s="51">
        <v>24.6</v>
      </c>
      <c r="P57" s="51">
        <v>23</v>
      </c>
      <c r="Q57" s="51">
        <v>25.2</v>
      </c>
      <c r="R57" s="51">
        <v>24</v>
      </c>
      <c r="S57" s="51">
        <v>24.2</v>
      </c>
      <c r="T57" s="51">
        <v>25</v>
      </c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10</v>
      </c>
      <c r="AQ57" s="89" t="str">
        <f t="shared" si="2"/>
        <v/>
      </c>
      <c r="AR57" s="89">
        <f>IFERROR(VLOOKUP(A57,Climatologia!A:U,9+$E$2,FALSE),"")</f>
        <v>23.60171118101983</v>
      </c>
      <c r="AS57" s="89" t="str">
        <f t="shared" si="3"/>
        <v/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30606</v>
      </c>
      <c r="AW57" s="92">
        <f t="shared" si="5"/>
        <v>4.6000000000000014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/>
      <c r="L58" s="51">
        <v>23.2</v>
      </c>
      <c r="M58" s="51">
        <v>22.8</v>
      </c>
      <c r="N58" s="51">
        <v>23.8</v>
      </c>
      <c r="O58" s="51">
        <v>22</v>
      </c>
      <c r="P58" s="51"/>
      <c r="Q58" s="51">
        <v>23.4</v>
      </c>
      <c r="R58" s="51">
        <v>24.6</v>
      </c>
      <c r="S58" s="51">
        <v>24</v>
      </c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7</v>
      </c>
      <c r="AQ58" s="89" t="str">
        <f t="shared" si="2"/>
        <v/>
      </c>
      <c r="AR58" s="89">
        <f>IFERROR(VLOOKUP(A58,Climatologia!A:U,9+$E$2,FALSE),"")</f>
        <v>21.780571762049181</v>
      </c>
      <c r="AS58" s="89" t="str">
        <f t="shared" si="3"/>
        <v/>
      </c>
      <c r="AT58" s="90">
        <f t="shared" si="4"/>
        <v>22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16.5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30986</v>
      </c>
      <c r="AW58" s="92">
        <f t="shared" si="5"/>
        <v>5.5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22.615609788654069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18.600000000000001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29880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23.4</v>
      </c>
      <c r="L60" s="51">
        <v>23.2</v>
      </c>
      <c r="M60" s="51">
        <v>21.8</v>
      </c>
      <c r="N60" s="51">
        <v>22.8</v>
      </c>
      <c r="O60" s="51">
        <v>23.2</v>
      </c>
      <c r="P60" s="51">
        <v>22.2</v>
      </c>
      <c r="Q60" s="51">
        <v>22</v>
      </c>
      <c r="R60" s="51">
        <v>21.2</v>
      </c>
      <c r="S60" s="51">
        <v>22.2</v>
      </c>
      <c r="T60" s="51">
        <v>23.2</v>
      </c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10</v>
      </c>
      <c r="AQ60" s="89" t="str">
        <f t="shared" si="2"/>
        <v/>
      </c>
      <c r="AR60" s="89">
        <f>IFERROR(VLOOKUP(A60,Climatologia!A:U,9+$E$2,FALSE),"")</f>
        <v>22.020020603223369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16.5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30615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19.630868590898469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22.248488298545219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18.100000000000001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</v>
      </c>
      <c r="L63" s="51">
        <v>22.8</v>
      </c>
      <c r="M63" s="51">
        <v>23.4</v>
      </c>
      <c r="N63" s="51">
        <v>23.8</v>
      </c>
      <c r="O63" s="51">
        <v>23.6</v>
      </c>
      <c r="P63" s="51">
        <v>23.8</v>
      </c>
      <c r="Q63" s="51">
        <v>23.4</v>
      </c>
      <c r="R63" s="51">
        <v>23.6</v>
      </c>
      <c r="S63" s="51">
        <v>24</v>
      </c>
      <c r="T63" s="51">
        <v>23.2</v>
      </c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10</v>
      </c>
      <c r="AQ63" s="89" t="str">
        <f t="shared" si="2"/>
        <v/>
      </c>
      <c r="AR63" s="89">
        <f>IFERROR(VLOOKUP(A63,Climatologia!A:U,9+$E$2,FALSE),"")</f>
        <v>22.52058403517136</v>
      </c>
      <c r="AS63" s="89" t="str">
        <f t="shared" si="3"/>
        <v/>
      </c>
      <c r="AT63" s="90">
        <f t="shared" si="4"/>
        <v>22.8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19.100000000000001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39376</v>
      </c>
      <c r="AW63" s="92">
        <f t="shared" si="5"/>
        <v>3.6999999999999993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23.4</v>
      </c>
      <c r="L64" s="51">
        <v>23.2</v>
      </c>
      <c r="M64" s="51">
        <v>22.6</v>
      </c>
      <c r="N64" s="51">
        <v>23</v>
      </c>
      <c r="O64" s="51">
        <v>24</v>
      </c>
      <c r="P64" s="51">
        <v>24.2</v>
      </c>
      <c r="Q64" s="51">
        <v>22.8</v>
      </c>
      <c r="R64" s="51">
        <v>23</v>
      </c>
      <c r="S64" s="51">
        <v>24.4</v>
      </c>
      <c r="T64" s="51">
        <v>23</v>
      </c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10</v>
      </c>
      <c r="AQ64" s="89" t="str">
        <f t="shared" si="2"/>
        <v/>
      </c>
      <c r="AR64" s="89">
        <f>IFERROR(VLOOKUP(A64,Climatologia!A:U,9+$E$2,FALSE),"")</f>
        <v>22.21844275065709</v>
      </c>
      <c r="AS64" s="89" t="str">
        <f t="shared" si="3"/>
        <v/>
      </c>
      <c r="AT64" s="90">
        <f t="shared" si="4"/>
        <v>22.6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41561</v>
      </c>
      <c r="AW64" s="92">
        <f t="shared" si="5"/>
        <v>4.6000000000000014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23.6</v>
      </c>
      <c r="L65" s="51">
        <v>23.4</v>
      </c>
      <c r="M65" s="51">
        <v>22.6</v>
      </c>
      <c r="N65" s="51">
        <v>23.2</v>
      </c>
      <c r="O65" s="51">
        <v>23</v>
      </c>
      <c r="P65" s="51">
        <v>24.6</v>
      </c>
      <c r="Q65" s="51">
        <v>22.4</v>
      </c>
      <c r="R65" s="51">
        <v>23.6</v>
      </c>
      <c r="S65" s="51">
        <v>22.6</v>
      </c>
      <c r="T65" s="51">
        <v>22.4</v>
      </c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10</v>
      </c>
      <c r="AQ65" s="89" t="str">
        <f t="shared" si="2"/>
        <v/>
      </c>
      <c r="AR65" s="89">
        <f>IFERROR(VLOOKUP(A65,Climatologia!A:U,9+$E$2,FALSE),"")</f>
        <v>21.954907209339911</v>
      </c>
      <c r="AS65" s="89" t="str">
        <f t="shared" si="3"/>
        <v/>
      </c>
      <c r="AT65" s="90">
        <f t="shared" si="4"/>
        <v>22.4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38635</v>
      </c>
      <c r="AW65" s="92">
        <f t="shared" si="5"/>
        <v>4.3999999999999986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20.399999999999999</v>
      </c>
      <c r="L66" s="51">
        <v>20</v>
      </c>
      <c r="M66" s="51">
        <v>20.399999999999999</v>
      </c>
      <c r="N66" s="51">
        <v>21.2</v>
      </c>
      <c r="O66" s="51">
        <v>20</v>
      </c>
      <c r="P66" s="51">
        <v>21.6</v>
      </c>
      <c r="Q66" s="51">
        <v>19.8</v>
      </c>
      <c r="R66" s="51">
        <v>21</v>
      </c>
      <c r="S66" s="51">
        <v>20.8</v>
      </c>
      <c r="T66" s="51">
        <v>21</v>
      </c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10</v>
      </c>
      <c r="AQ66" s="89" t="str">
        <f t="shared" si="2"/>
        <v/>
      </c>
      <c r="AR66" s="89">
        <f>IFERROR(VLOOKUP(A66,Climatologia!A:U,9+$E$2,FALSE),"")</f>
        <v>21.542525027808679</v>
      </c>
      <c r="AS66" s="89" t="str">
        <f t="shared" si="3"/>
        <v/>
      </c>
      <c r="AT66" s="90">
        <f t="shared" si="4"/>
        <v>19.8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15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30252</v>
      </c>
      <c r="AW66" s="92">
        <f t="shared" si="5"/>
        <v>4.8000000000000007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24.2</v>
      </c>
      <c r="L67" s="51">
        <v>22.1</v>
      </c>
      <c r="M67" s="51">
        <v>21.4</v>
      </c>
      <c r="N67" s="51">
        <v>22</v>
      </c>
      <c r="O67" s="51">
        <v>21.8</v>
      </c>
      <c r="P67" s="51">
        <v>23</v>
      </c>
      <c r="Q67" s="51">
        <v>21.4</v>
      </c>
      <c r="R67" s="51">
        <v>21.4</v>
      </c>
      <c r="S67" s="51">
        <v>21</v>
      </c>
      <c r="T67" s="51">
        <v>20.8</v>
      </c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10</v>
      </c>
      <c r="AQ67" s="89" t="str">
        <f t="shared" si="2"/>
        <v/>
      </c>
      <c r="AR67" s="89">
        <f>IFERROR(VLOOKUP(A67,Climatologia!A:U,9+$E$2,FALSE),"")</f>
        <v>21.616830208575259</v>
      </c>
      <c r="AS67" s="89" t="str">
        <f t="shared" si="3"/>
        <v/>
      </c>
      <c r="AT67" s="90">
        <f t="shared" si="4"/>
        <v>20.8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/>
      <c r="L68" s="51">
        <v>23.8</v>
      </c>
      <c r="M68" s="51">
        <v>22.8</v>
      </c>
      <c r="N68" s="51"/>
      <c r="O68" s="51">
        <v>23.5</v>
      </c>
      <c r="P68" s="51">
        <v>24</v>
      </c>
      <c r="Q68" s="51">
        <v>22.8</v>
      </c>
      <c r="R68" s="51">
        <v>22.8</v>
      </c>
      <c r="S68" s="51">
        <v>22.8</v>
      </c>
      <c r="T68" s="51">
        <v>22.2</v>
      </c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8</v>
      </c>
      <c r="AQ68" s="89" t="str">
        <f t="shared" si="2"/>
        <v/>
      </c>
      <c r="AR68" s="89">
        <f>IFERROR(VLOOKUP(A68,Climatologia!A:U,9+$E$2,FALSE),"")</f>
        <v>21.45017676250643</v>
      </c>
      <c r="AS68" s="89" t="str">
        <f t="shared" si="3"/>
        <v/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44107</v>
      </c>
      <c r="AW68" s="92">
        <f t="shared" si="5"/>
        <v>4.1999999999999993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25</v>
      </c>
      <c r="L69" s="51">
        <v>24.3</v>
      </c>
      <c r="M69" s="51">
        <v>24.1</v>
      </c>
      <c r="N69" s="51">
        <v>25</v>
      </c>
      <c r="O69" s="51">
        <v>24.2</v>
      </c>
      <c r="P69" s="51">
        <v>25.1</v>
      </c>
      <c r="Q69" s="51">
        <v>22.3</v>
      </c>
      <c r="R69" s="51">
        <v>23.1</v>
      </c>
      <c r="S69" s="51">
        <v>24.2</v>
      </c>
      <c r="T69" s="51">
        <v>24.2</v>
      </c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10</v>
      </c>
      <c r="AQ69" s="89" t="str">
        <f t="shared" ref="AQ69:AQ132" si="7">IF(AP69&gt;14,AVERAGE(K69:AO69),"")</f>
        <v/>
      </c>
      <c r="AR69" s="89">
        <f>IFERROR(VLOOKUP(A69,Climatologia!A:U,9+$E$2,FALSE),"")</f>
        <v>22.754587245087141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15.2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32429</v>
      </c>
      <c r="AW69" s="92">
        <f t="shared" ref="AW69:AW132" si="10">IF(OR(AT69="",AU69=""),"NA",IFERROR(AT69-AU69,"NA"))</f>
        <v>7.1000000000000014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23.4</v>
      </c>
      <c r="L70" s="51">
        <v>23</v>
      </c>
      <c r="M70" s="51">
        <v>23.2</v>
      </c>
      <c r="N70" s="51">
        <v>22.2</v>
      </c>
      <c r="O70" s="51">
        <v>22.1</v>
      </c>
      <c r="P70" s="51">
        <v>22.4</v>
      </c>
      <c r="Q70" s="51">
        <v>23.2</v>
      </c>
      <c r="R70" s="51">
        <v>23.2</v>
      </c>
      <c r="S70" s="51">
        <v>23.3</v>
      </c>
      <c r="T70" s="51">
        <v>21.4</v>
      </c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10</v>
      </c>
      <c r="AQ70" s="89" t="str">
        <f t="shared" si="7"/>
        <v/>
      </c>
      <c r="AR70" s="89">
        <f>IFERROR(VLOOKUP(A70,Climatologia!A:U,9+$E$2,FALSE),"")</f>
        <v>21.770503225806451</v>
      </c>
      <c r="AS70" s="89" t="str">
        <f t="shared" si="8"/>
        <v/>
      </c>
      <c r="AT70" s="90">
        <f t="shared" si="9"/>
        <v>21.4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70" s="92">
        <f t="shared" si="10"/>
        <v>3.5999999999999979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24</v>
      </c>
      <c r="L71" s="51">
        <v>22.2</v>
      </c>
      <c r="M71" s="51">
        <v>21</v>
      </c>
      <c r="N71" s="51"/>
      <c r="O71" s="51">
        <v>21.8</v>
      </c>
      <c r="P71" s="51">
        <v>22</v>
      </c>
      <c r="Q71" s="51">
        <v>21.6</v>
      </c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6</v>
      </c>
      <c r="AQ71" s="89" t="str">
        <f t="shared" si="7"/>
        <v/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18.600000000000001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44864</v>
      </c>
      <c r="AW71" s="92">
        <f t="shared" si="10"/>
        <v>2.3999999999999986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20</v>
      </c>
      <c r="L72" s="51">
        <v>19</v>
      </c>
      <c r="M72" s="51">
        <v>18</v>
      </c>
      <c r="N72" s="51">
        <v>19.2</v>
      </c>
      <c r="O72" s="51">
        <v>18.2</v>
      </c>
      <c r="P72" s="51">
        <v>19.399999999999999</v>
      </c>
      <c r="Q72" s="51">
        <v>20</v>
      </c>
      <c r="R72" s="51">
        <v>19.2</v>
      </c>
      <c r="S72" s="51">
        <v>18.2</v>
      </c>
      <c r="T72" s="51">
        <v>18.2</v>
      </c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10</v>
      </c>
      <c r="AQ72" s="89" t="str">
        <f t="shared" si="7"/>
        <v/>
      </c>
      <c r="AR72" s="89">
        <f>IFERROR(VLOOKUP(A72,Climatologia!A:U,9+$E$2,FALSE),"")</f>
        <v>17.29926947890819</v>
      </c>
      <c r="AS72" s="89" t="str">
        <f t="shared" si="8"/>
        <v/>
      </c>
      <c r="AT72" s="90">
        <f t="shared" si="9"/>
        <v>18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15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40100</v>
      </c>
      <c r="AW72" s="92">
        <f t="shared" si="10"/>
        <v>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14.2</v>
      </c>
      <c r="L73" s="51">
        <v>13.3</v>
      </c>
      <c r="M73" s="51">
        <v>11.4</v>
      </c>
      <c r="N73" s="51">
        <v>12</v>
      </c>
      <c r="O73" s="51">
        <v>11.8</v>
      </c>
      <c r="P73" s="51">
        <v>13</v>
      </c>
      <c r="Q73" s="51"/>
      <c r="R73" s="51"/>
      <c r="S73" s="51">
        <v>12.2</v>
      </c>
      <c r="T73" s="51">
        <v>12</v>
      </c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8</v>
      </c>
      <c r="AQ73" s="89" t="str">
        <f t="shared" si="7"/>
        <v/>
      </c>
      <c r="AR73" s="89">
        <f>IFERROR(VLOOKUP(A73,Climatologia!A:U,9+$E$2,FALSE),"")</f>
        <v>11.853828043554991</v>
      </c>
      <c r="AS73" s="89" t="str">
        <f t="shared" si="8"/>
        <v/>
      </c>
      <c r="AT73" s="90">
        <f t="shared" si="9"/>
        <v>11.4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7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34271</v>
      </c>
      <c r="AW73" s="92">
        <f t="shared" si="10"/>
        <v>4.4000000000000004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16.8</v>
      </c>
      <c r="L74" s="51">
        <v>17.8</v>
      </c>
      <c r="M74" s="51">
        <v>16.2</v>
      </c>
      <c r="N74" s="51">
        <v>16.8</v>
      </c>
      <c r="O74" s="51">
        <v>14.2</v>
      </c>
      <c r="P74" s="51">
        <v>16.2</v>
      </c>
      <c r="Q74" s="51">
        <v>17</v>
      </c>
      <c r="R74" s="51">
        <v>17</v>
      </c>
      <c r="S74" s="51">
        <v>14.2</v>
      </c>
      <c r="T74" s="51">
        <v>15</v>
      </c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10</v>
      </c>
      <c r="AQ74" s="89" t="str">
        <f t="shared" si="7"/>
        <v/>
      </c>
      <c r="AR74" s="89">
        <f>IFERROR(VLOOKUP(A74,Climatologia!A:U,9+$E$2,FALSE),"")</f>
        <v>16.083376302838008</v>
      </c>
      <c r="AS74" s="89" t="str">
        <f t="shared" si="8"/>
        <v/>
      </c>
      <c r="AT74" s="90">
        <f t="shared" si="9"/>
        <v>14.2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30984</v>
      </c>
      <c r="AW74" s="92">
        <f t="shared" si="10"/>
        <v>3.1999999999999993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/>
      <c r="L75" s="51"/>
      <c r="M75" s="51"/>
      <c r="N75" s="51"/>
      <c r="O75" s="51"/>
      <c r="P75" s="51"/>
      <c r="Q75" s="51">
        <v>19.8</v>
      </c>
      <c r="R75" s="51">
        <v>19</v>
      </c>
      <c r="S75" s="51">
        <v>19.399999999999999</v>
      </c>
      <c r="T75" s="51">
        <v>19.600000000000001</v>
      </c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4</v>
      </c>
      <c r="AQ75" s="89" t="str">
        <f t="shared" si="7"/>
        <v/>
      </c>
      <c r="AR75" s="89">
        <f>IFERROR(VLOOKUP(A75,Climatologia!A:U,9+$E$2,FALSE),"")</f>
        <v>18.473899131646231</v>
      </c>
      <c r="AS75" s="89" t="str">
        <f t="shared" si="8"/>
        <v/>
      </c>
      <c r="AT75" s="90">
        <f t="shared" si="9"/>
        <v>19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36464</v>
      </c>
      <c r="AW75" s="92">
        <f t="shared" si="10"/>
        <v>4.4000000000000004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23.6</v>
      </c>
      <c r="L76" s="51">
        <v>25.2</v>
      </c>
      <c r="M76" s="51">
        <v>24</v>
      </c>
      <c r="N76" s="51">
        <v>26.4</v>
      </c>
      <c r="O76" s="51">
        <v>24.8</v>
      </c>
      <c r="P76" s="51">
        <v>26.4</v>
      </c>
      <c r="Q76" s="51">
        <v>25.2</v>
      </c>
      <c r="R76" s="51">
        <v>26</v>
      </c>
      <c r="S76" s="51">
        <v>26.4</v>
      </c>
      <c r="T76" s="51">
        <v>23.6</v>
      </c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10</v>
      </c>
      <c r="AQ76" s="89" t="str">
        <f t="shared" si="7"/>
        <v/>
      </c>
      <c r="AR76" s="89">
        <f>IFERROR(VLOOKUP(A76,Climatologia!A:U,9+$E$2,FALSE),"")</f>
        <v>23.619788852153011</v>
      </c>
      <c r="AS76" s="89" t="str">
        <f t="shared" si="8"/>
        <v/>
      </c>
      <c r="AT76" s="90">
        <f t="shared" si="9"/>
        <v>23.6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17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29503</v>
      </c>
      <c r="AW76" s="92">
        <f t="shared" si="10"/>
        <v>6.6000000000000014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22.8</v>
      </c>
      <c r="L77" s="51">
        <v>23.2</v>
      </c>
      <c r="M77" s="51">
        <v>23.6</v>
      </c>
      <c r="N77" s="51"/>
      <c r="O77" s="51">
        <v>24.6</v>
      </c>
      <c r="P77" s="51">
        <v>25.4</v>
      </c>
      <c r="Q77" s="51">
        <v>26</v>
      </c>
      <c r="R77" s="51">
        <v>25</v>
      </c>
      <c r="S77" s="51">
        <v>26</v>
      </c>
      <c r="T77" s="51">
        <v>24.2</v>
      </c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9</v>
      </c>
      <c r="AQ77" s="89" t="str">
        <f t="shared" si="7"/>
        <v/>
      </c>
      <c r="AR77" s="89">
        <f>IFERROR(VLOOKUP(A77,Climatologia!A:U,9+$E$2,FALSE),"")</f>
        <v>23.008941552526402</v>
      </c>
      <c r="AS77" s="89" t="str">
        <f t="shared" si="8"/>
        <v/>
      </c>
      <c r="AT77" s="90">
        <f t="shared" si="9"/>
        <v>22.8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30250</v>
      </c>
      <c r="AW77" s="92">
        <f t="shared" si="10"/>
        <v>5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16.399999999999999</v>
      </c>
      <c r="L78" s="51">
        <v>15.8</v>
      </c>
      <c r="M78" s="51">
        <v>14.4</v>
      </c>
      <c r="N78" s="51">
        <v>16.2</v>
      </c>
      <c r="O78" s="51">
        <v>15</v>
      </c>
      <c r="P78" s="51">
        <v>15.8</v>
      </c>
      <c r="Q78" s="51">
        <v>15.6</v>
      </c>
      <c r="R78" s="51">
        <v>16.2</v>
      </c>
      <c r="S78" s="51">
        <v>15.2</v>
      </c>
      <c r="T78" s="51">
        <v>16</v>
      </c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10</v>
      </c>
      <c r="AQ78" s="89" t="str">
        <f t="shared" si="7"/>
        <v/>
      </c>
      <c r="AR78" s="89">
        <f>IFERROR(VLOOKUP(A78,Climatologia!A:U,9+$E$2,FALSE),"")</f>
        <v>16.094530495829719</v>
      </c>
      <c r="AS78" s="89" t="str">
        <f t="shared" si="8"/>
        <v/>
      </c>
      <c r="AT78" s="90">
        <f t="shared" si="9"/>
        <v>14.4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>
        <v>23.2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</v>
      </c>
      <c r="AQ79" s="89" t="str">
        <f t="shared" si="7"/>
        <v/>
      </c>
      <c r="AR79" s="89">
        <f>IFERROR(VLOOKUP(A79,Climatologia!A:U,9+$E$2,FALSE),"")</f>
        <v>21.19008648005746</v>
      </c>
      <c r="AS79" s="89" t="str">
        <f t="shared" si="8"/>
        <v/>
      </c>
      <c r="AT79" s="90">
        <f t="shared" si="9"/>
        <v>23.2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17.399999999999999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29145</v>
      </c>
      <c r="AW79" s="92">
        <f t="shared" si="10"/>
        <v>5.8000000000000007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25</v>
      </c>
      <c r="L80" s="51">
        <v>23.4</v>
      </c>
      <c r="M80" s="51">
        <v>21.2</v>
      </c>
      <c r="N80" s="51">
        <v>22.4</v>
      </c>
      <c r="O80" s="51">
        <v>24</v>
      </c>
      <c r="P80" s="51">
        <v>24</v>
      </c>
      <c r="Q80" s="51">
        <v>23.4</v>
      </c>
      <c r="R80" s="51">
        <v>23.4</v>
      </c>
      <c r="S80" s="51">
        <v>22.2</v>
      </c>
      <c r="T80" s="51">
        <v>23.4</v>
      </c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10</v>
      </c>
      <c r="AQ80" s="89" t="str">
        <f t="shared" si="7"/>
        <v/>
      </c>
      <c r="AR80" s="89">
        <f>IFERROR(VLOOKUP(A80,Climatologia!A:U,9+$E$2,FALSE),"")</f>
        <v>22.375162422136839</v>
      </c>
      <c r="AS80" s="89" t="str">
        <f t="shared" si="8"/>
        <v/>
      </c>
      <c r="AT80" s="90">
        <f t="shared" si="9"/>
        <v>21.2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19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30614</v>
      </c>
      <c r="AW80" s="92">
        <f t="shared" si="10"/>
        <v>2.1999999999999993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19.2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31347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28.4</v>
      </c>
      <c r="L82" s="51"/>
      <c r="M82" s="51">
        <v>28.4</v>
      </c>
      <c r="N82" s="51">
        <v>27</v>
      </c>
      <c r="O82" s="51">
        <v>28.6</v>
      </c>
      <c r="P82" s="51">
        <v>28.8</v>
      </c>
      <c r="Q82" s="51">
        <v>28.6</v>
      </c>
      <c r="R82" s="51">
        <v>27.6</v>
      </c>
      <c r="S82" s="51"/>
      <c r="T82" s="51">
        <v>28.2</v>
      </c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8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27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31700</v>
      </c>
      <c r="AW82" s="92">
        <f t="shared" si="10"/>
        <v>9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27.2</v>
      </c>
      <c r="L83" s="51">
        <v>27</v>
      </c>
      <c r="M83" s="51">
        <v>25</v>
      </c>
      <c r="N83" s="51">
        <v>22.8</v>
      </c>
      <c r="O83" s="51">
        <v>27</v>
      </c>
      <c r="P83" s="51">
        <v>27.2</v>
      </c>
      <c r="Q83" s="51">
        <v>26.4</v>
      </c>
      <c r="R83" s="51">
        <v>24.8</v>
      </c>
      <c r="S83" s="51">
        <v>25.8</v>
      </c>
      <c r="T83" s="51">
        <v>25.6</v>
      </c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10</v>
      </c>
      <c r="AQ83" s="89" t="str">
        <f t="shared" si="7"/>
        <v/>
      </c>
      <c r="AR83" s="89">
        <f>IFERROR(VLOOKUP(A83,Climatologia!A:U,9+$E$2,FALSE),"")</f>
        <v>22.435866459028549</v>
      </c>
      <c r="AS83" s="89" t="str">
        <f t="shared" si="8"/>
        <v/>
      </c>
      <c r="AT83" s="90">
        <f t="shared" si="9"/>
        <v>22.8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33518</v>
      </c>
      <c r="AW83" s="92">
        <f t="shared" si="10"/>
        <v>7.6000000000000014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/>
      <c r="L84" s="51"/>
      <c r="M84" s="51"/>
      <c r="N84" s="51"/>
      <c r="O84" s="51"/>
      <c r="P84" s="51"/>
      <c r="Q84" s="51"/>
      <c r="R84" s="51"/>
      <c r="S84" s="51">
        <v>25.8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</v>
      </c>
      <c r="AQ84" s="89" t="str">
        <f t="shared" si="7"/>
        <v/>
      </c>
      <c r="AR84" s="89">
        <f>IFERROR(VLOOKUP(A84,Climatologia!A:U,9+$E$2,FALSE),"")</f>
        <v>23.090862724164712</v>
      </c>
      <c r="AS84" s="89" t="str">
        <f t="shared" si="8"/>
        <v/>
      </c>
      <c r="AT84" s="90">
        <f t="shared" si="9"/>
        <v>25.8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19.399999999999999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40839</v>
      </c>
      <c r="AW84" s="92">
        <f t="shared" si="10"/>
        <v>6.4000000000000021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20.8</v>
      </c>
      <c r="L85" s="51">
        <v>22</v>
      </c>
      <c r="M85" s="51">
        <v>21.6</v>
      </c>
      <c r="N85" s="51">
        <v>20.6</v>
      </c>
      <c r="O85" s="51">
        <v>21.4</v>
      </c>
      <c r="P85" s="51">
        <v>20.8</v>
      </c>
      <c r="Q85" s="51">
        <v>21</v>
      </c>
      <c r="R85" s="51">
        <v>19.8</v>
      </c>
      <c r="S85" s="51">
        <v>20</v>
      </c>
      <c r="T85" s="51">
        <v>22.2</v>
      </c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10</v>
      </c>
      <c r="AQ85" s="89" t="str">
        <f t="shared" si="7"/>
        <v/>
      </c>
      <c r="AR85" s="89">
        <f>IFERROR(VLOOKUP(A85,Climatologia!A:U,9+$E$2,FALSE),"")</f>
        <v>22.13913594470046</v>
      </c>
      <c r="AS85" s="89" t="str">
        <f t="shared" si="8"/>
        <v/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16.399999999999999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33171</v>
      </c>
      <c r="AW85" s="92">
        <f t="shared" si="10"/>
        <v>3.4000000000000021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24.2</v>
      </c>
      <c r="L86" s="51">
        <v>25.4</v>
      </c>
      <c r="M86" s="51">
        <v>25.6</v>
      </c>
      <c r="N86" s="51">
        <v>25.4</v>
      </c>
      <c r="O86" s="51">
        <v>25.6</v>
      </c>
      <c r="P86" s="51">
        <v>24.8</v>
      </c>
      <c r="Q86" s="51">
        <v>23.6</v>
      </c>
      <c r="R86" s="51">
        <v>23.8</v>
      </c>
      <c r="S86" s="51">
        <v>25</v>
      </c>
      <c r="T86" s="51">
        <v>25.6</v>
      </c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10</v>
      </c>
      <c r="AQ86" s="89" t="str">
        <f t="shared" si="7"/>
        <v/>
      </c>
      <c r="AR86" s="89">
        <f>IFERROR(VLOOKUP(A86,Climatologia!A:U,9+$E$2,FALSE),"")</f>
        <v>23.145101562582759</v>
      </c>
      <c r="AS86" s="89" t="str">
        <f t="shared" si="8"/>
        <v/>
      </c>
      <c r="AT86" s="90">
        <f t="shared" si="9"/>
        <v>23.6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19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42650</v>
      </c>
      <c r="AW86" s="92">
        <f t="shared" si="10"/>
        <v>4.6000000000000014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23.6</v>
      </c>
      <c r="L87" s="51">
        <v>25.4</v>
      </c>
      <c r="M87" s="51"/>
      <c r="N87" s="51"/>
      <c r="O87" s="51">
        <v>26</v>
      </c>
      <c r="P87" s="51">
        <v>24.4</v>
      </c>
      <c r="Q87" s="51">
        <v>24.2</v>
      </c>
      <c r="R87" s="51">
        <v>23.4</v>
      </c>
      <c r="S87" s="51">
        <v>24.4</v>
      </c>
      <c r="T87" s="51">
        <v>26</v>
      </c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8</v>
      </c>
      <c r="AQ87" s="89" t="str">
        <f t="shared" si="7"/>
        <v/>
      </c>
      <c r="AR87" s="89">
        <f>IFERROR(VLOOKUP(A87,Climatologia!A:U,9+$E$2,FALSE),"")</f>
        <v>22.600227318102728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29513</v>
      </c>
      <c r="AW87" s="92">
        <f t="shared" si="10"/>
        <v>6.1999999999999993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24.4</v>
      </c>
      <c r="L88" s="116">
        <v>26.2</v>
      </c>
      <c r="M88" s="116">
        <v>25.6</v>
      </c>
      <c r="N88" s="116">
        <v>24.2</v>
      </c>
      <c r="O88" s="116">
        <v>26</v>
      </c>
      <c r="P88" s="116">
        <v>25</v>
      </c>
      <c r="Q88" s="116">
        <v>23.6</v>
      </c>
      <c r="R88" s="116">
        <v>25</v>
      </c>
      <c r="S88" s="116">
        <v>25.8</v>
      </c>
      <c r="T88" s="116">
        <v>22.2</v>
      </c>
      <c r="U88" s="116"/>
      <c r="V88" s="116"/>
      <c r="W88" s="116"/>
      <c r="X88" s="116"/>
      <c r="Y88" s="116"/>
      <c r="Z88" s="117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10</v>
      </c>
      <c r="AQ88" s="89" t="str">
        <f t="shared" si="7"/>
        <v/>
      </c>
      <c r="AR88" s="89">
        <f>IFERROR(VLOOKUP(A88,Climatologia!A:U,9+$E$2,FALSE),"")</f>
        <v>22.571747311827949</v>
      </c>
      <c r="AS88" s="89" t="str">
        <f t="shared" si="8"/>
        <v/>
      </c>
      <c r="AT88" s="90">
        <f t="shared" si="9"/>
        <v>22.2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16.600000000000001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88" s="92">
        <f t="shared" si="10"/>
        <v>5.5999999999999979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13.6</v>
      </c>
      <c r="L89" s="51">
        <v>12.2</v>
      </c>
      <c r="M89" s="51">
        <v>13.4</v>
      </c>
      <c r="N89" s="51">
        <v>13</v>
      </c>
      <c r="O89" s="51">
        <v>12.8</v>
      </c>
      <c r="P89" s="51">
        <v>14</v>
      </c>
      <c r="Q89" s="51">
        <v>13</v>
      </c>
      <c r="R89" s="51">
        <v>13.2</v>
      </c>
      <c r="S89" s="51">
        <v>12.8</v>
      </c>
      <c r="T89" s="51">
        <v>12.4</v>
      </c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10</v>
      </c>
      <c r="AQ89" s="89" t="str">
        <f t="shared" si="7"/>
        <v/>
      </c>
      <c r="AR89" s="89">
        <f>IFERROR(VLOOKUP(A89,Climatologia!A:U,9+$E$2,FALSE),"")</f>
        <v>11.23677419354839</v>
      </c>
      <c r="AS89" s="89" t="str">
        <f t="shared" si="8"/>
        <v/>
      </c>
      <c r="AT89" s="90">
        <f t="shared" si="9"/>
        <v>12.2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5.2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35723</v>
      </c>
      <c r="AW89" s="92">
        <f t="shared" si="10"/>
        <v>6.9999999999999991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18</v>
      </c>
      <c r="L90" s="51">
        <v>18.399999999999999</v>
      </c>
      <c r="M90" s="51">
        <v>18.2</v>
      </c>
      <c r="N90" s="51">
        <v>17.600000000000001</v>
      </c>
      <c r="O90" s="51">
        <v>18.399999999999999</v>
      </c>
      <c r="P90" s="51">
        <v>17.600000000000001</v>
      </c>
      <c r="Q90" s="51">
        <v>17.399999999999999</v>
      </c>
      <c r="R90" s="51">
        <v>18</v>
      </c>
      <c r="S90" s="51">
        <v>17.2</v>
      </c>
      <c r="T90" s="51">
        <v>18</v>
      </c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10</v>
      </c>
      <c r="AQ90" s="89" t="str">
        <f t="shared" si="7"/>
        <v/>
      </c>
      <c r="AR90" s="89">
        <f>IFERROR(VLOOKUP(A90,Climatologia!A:U,9+$E$2,FALSE),"")</f>
        <v>17.698283520980588</v>
      </c>
      <c r="AS90" s="89" t="str">
        <f t="shared" si="8"/>
        <v/>
      </c>
      <c r="AT90" s="90">
        <f t="shared" si="9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13.2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37557</v>
      </c>
      <c r="AW90" s="92">
        <f t="shared" si="10"/>
        <v>4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9.8000000000000007</v>
      </c>
      <c r="L91" s="51">
        <v>10.199999999999999</v>
      </c>
      <c r="M91" s="51">
        <v>12.6</v>
      </c>
      <c r="N91" s="51">
        <v>7.8</v>
      </c>
      <c r="O91" s="51">
        <v>13</v>
      </c>
      <c r="P91" s="51">
        <v>13</v>
      </c>
      <c r="Q91" s="51">
        <v>7.8</v>
      </c>
      <c r="R91" s="51">
        <v>7.8</v>
      </c>
      <c r="S91" s="51">
        <v>11</v>
      </c>
      <c r="T91" s="51">
        <v>10.6</v>
      </c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10</v>
      </c>
      <c r="AQ91" s="89" t="str">
        <f t="shared" si="7"/>
        <v/>
      </c>
      <c r="AR91" s="89">
        <f>IFERROR(VLOOKUP(A91,Climatologia!A:U,9+$E$2,FALSE),"")</f>
        <v>11.050713443887011</v>
      </c>
      <c r="AS91" s="89" t="str">
        <f t="shared" si="8"/>
        <v/>
      </c>
      <c r="AT91" s="90">
        <f t="shared" si="9"/>
        <v>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6.8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36829</v>
      </c>
      <c r="AW91" s="92">
        <f t="shared" si="10"/>
        <v>1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10.8</v>
      </c>
      <c r="L92" s="51">
        <v>11.8</v>
      </c>
      <c r="M92" s="51">
        <v>11</v>
      </c>
      <c r="N92" s="51">
        <v>5.6</v>
      </c>
      <c r="O92" s="51">
        <v>8</v>
      </c>
      <c r="P92" s="51">
        <v>10</v>
      </c>
      <c r="Q92" s="51">
        <v>11.6</v>
      </c>
      <c r="R92" s="51">
        <v>10.6</v>
      </c>
      <c r="S92" s="51">
        <v>11.2</v>
      </c>
      <c r="T92" s="51">
        <v>11.2</v>
      </c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10</v>
      </c>
      <c r="AQ92" s="89" t="str">
        <f t="shared" si="7"/>
        <v/>
      </c>
      <c r="AR92" s="89">
        <f>IFERROR(VLOOKUP(A92,Climatologia!A:U,9+$E$2,FALSE),"")</f>
        <v>8.498079612267599</v>
      </c>
      <c r="AS92" s="89" t="str">
        <f t="shared" si="8"/>
        <v/>
      </c>
      <c r="AT92" s="90">
        <f t="shared" si="9"/>
        <v>5.6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32440</v>
      </c>
      <c r="AW92" s="92">
        <f t="shared" si="10"/>
        <v>4.3999999999999995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10.878605566541699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10.4</v>
      </c>
      <c r="L94" s="51">
        <v>8.4</v>
      </c>
      <c r="M94" s="51">
        <v>10.199999999999999</v>
      </c>
      <c r="N94" s="51">
        <v>7.4</v>
      </c>
      <c r="O94" s="51">
        <v>8</v>
      </c>
      <c r="P94" s="51">
        <v>7.2</v>
      </c>
      <c r="Q94" s="51">
        <v>9</v>
      </c>
      <c r="R94" s="51">
        <v>5</v>
      </c>
      <c r="S94" s="51">
        <v>10</v>
      </c>
      <c r="T94" s="51">
        <v>8.1999999999999993</v>
      </c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5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0.2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41556</v>
      </c>
      <c r="AW94" s="92">
        <f t="shared" si="10"/>
        <v>4.8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9.4</v>
      </c>
      <c r="L95" s="51">
        <v>9.8000000000000007</v>
      </c>
      <c r="M95" s="51">
        <v>7.8</v>
      </c>
      <c r="N95" s="51">
        <v>5</v>
      </c>
      <c r="O95" s="51">
        <v>4.8</v>
      </c>
      <c r="P95" s="51">
        <v>9.6</v>
      </c>
      <c r="Q95" s="51">
        <v>10</v>
      </c>
      <c r="R95" s="51">
        <v>6.8</v>
      </c>
      <c r="S95" s="51">
        <v>10.6</v>
      </c>
      <c r="T95" s="51">
        <v>10.4</v>
      </c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10</v>
      </c>
      <c r="AQ95" s="89" t="str">
        <f t="shared" si="7"/>
        <v/>
      </c>
      <c r="AR95" s="89">
        <f>IFERROR(VLOOKUP(A95,Climatologia!A:U,9+$E$2,FALSE),"")</f>
        <v>7.471608983874277</v>
      </c>
      <c r="AS95" s="89" t="str">
        <f t="shared" si="8"/>
        <v/>
      </c>
      <c r="AT95" s="90">
        <f t="shared" si="9"/>
        <v>4.8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39745</v>
      </c>
      <c r="AW95" s="92">
        <f t="shared" si="10"/>
        <v>3.5999999999999996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9</v>
      </c>
      <c r="L96" s="51">
        <v>8.5</v>
      </c>
      <c r="M96" s="51">
        <v>9.1999999999999993</v>
      </c>
      <c r="N96" s="51">
        <v>8</v>
      </c>
      <c r="O96" s="51">
        <v>10</v>
      </c>
      <c r="P96" s="51">
        <v>9</v>
      </c>
      <c r="Q96" s="51">
        <v>9.1999999999999993</v>
      </c>
      <c r="R96" s="51">
        <v>9.6999999999999993</v>
      </c>
      <c r="S96" s="51">
        <v>8</v>
      </c>
      <c r="T96" s="51">
        <v>10</v>
      </c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10</v>
      </c>
      <c r="AQ96" s="89" t="str">
        <f t="shared" si="7"/>
        <v/>
      </c>
      <c r="AR96" s="89">
        <f>IFERROR(VLOOKUP(A96,Climatologia!A:U,9+$E$2,FALSE),"")</f>
        <v>8.3676112899131585</v>
      </c>
      <c r="AS96" s="89" t="str">
        <f t="shared" si="8"/>
        <v/>
      </c>
      <c r="AT96" s="90">
        <f t="shared" si="9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39734</v>
      </c>
      <c r="AW96" s="92">
        <f t="shared" si="10"/>
        <v>4.4000000000000004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10.4</v>
      </c>
      <c r="L97" s="51">
        <v>10.4</v>
      </c>
      <c r="M97" s="51">
        <v>9.6</v>
      </c>
      <c r="N97" s="51"/>
      <c r="O97" s="51">
        <v>5.6</v>
      </c>
      <c r="P97" s="51">
        <v>11.2</v>
      </c>
      <c r="Q97" s="51">
        <v>11.8</v>
      </c>
      <c r="R97" s="51">
        <v>7</v>
      </c>
      <c r="S97" s="51">
        <v>11.8</v>
      </c>
      <c r="T97" s="51">
        <v>12</v>
      </c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9</v>
      </c>
      <c r="AQ97" s="89" t="str">
        <f t="shared" si="7"/>
        <v/>
      </c>
      <c r="AR97" s="89">
        <f>IFERROR(VLOOKUP(A97,Climatologia!A:U,9+$E$2,FALSE),"")</f>
        <v>7.1979586897027676</v>
      </c>
      <c r="AS97" s="89" t="str">
        <f t="shared" si="8"/>
        <v/>
      </c>
      <c r="AT97" s="90">
        <f t="shared" si="9"/>
        <v>5.6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97" s="92">
        <f t="shared" si="10"/>
        <v>6.8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11</v>
      </c>
      <c r="L98" s="51">
        <v>12.2</v>
      </c>
      <c r="M98" s="51">
        <v>10.6</v>
      </c>
      <c r="N98" s="51">
        <v>6.6</v>
      </c>
      <c r="O98" s="51">
        <v>8.6</v>
      </c>
      <c r="P98" s="51">
        <v>12.9</v>
      </c>
      <c r="Q98" s="51">
        <v>12</v>
      </c>
      <c r="R98" s="51">
        <v>9.1999999999999993</v>
      </c>
      <c r="S98" s="51">
        <v>11.4</v>
      </c>
      <c r="T98" s="51">
        <v>11.4</v>
      </c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10</v>
      </c>
      <c r="AQ98" s="89" t="str">
        <f t="shared" si="7"/>
        <v/>
      </c>
      <c r="AR98" s="89">
        <f>IFERROR(VLOOKUP(A98,Climatologia!A:U,9+$E$2,FALSE),"")</f>
        <v>8.6909754224270355</v>
      </c>
      <c r="AS98" s="89" t="str">
        <f t="shared" si="8"/>
        <v/>
      </c>
      <c r="AT98" s="90">
        <f t="shared" si="9"/>
        <v>6.6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3.2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32426</v>
      </c>
      <c r="AW98" s="92">
        <f t="shared" si="10"/>
        <v>3.3999999999999995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7.4</v>
      </c>
      <c r="L99" s="51">
        <v>7.2</v>
      </c>
      <c r="M99" s="51">
        <v>4.2</v>
      </c>
      <c r="N99" s="51">
        <v>6.6</v>
      </c>
      <c r="O99" s="51">
        <v>6.2</v>
      </c>
      <c r="P99" s="51">
        <v>6.4</v>
      </c>
      <c r="Q99" s="51"/>
      <c r="R99" s="51">
        <v>7</v>
      </c>
      <c r="S99" s="51">
        <v>7</v>
      </c>
      <c r="T99" s="51">
        <v>6.4</v>
      </c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9</v>
      </c>
      <c r="AQ99" s="89" t="str">
        <f t="shared" si="7"/>
        <v/>
      </c>
      <c r="AR99" s="89">
        <f>IFERROR(VLOOKUP(A99,Climatologia!A:U,9+$E$2,FALSE),"")</f>
        <v>6.7688585607940448</v>
      </c>
      <c r="AS99" s="89" t="str">
        <f t="shared" si="8"/>
        <v/>
      </c>
      <c r="AT99" s="90">
        <f t="shared" si="9"/>
        <v>4.2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18.055204056135199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10.494208480953899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4.5999999999999996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38631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12</v>
      </c>
      <c r="M102" s="51">
        <v>13.4</v>
      </c>
      <c r="N102" s="51">
        <v>11.8</v>
      </c>
      <c r="O102" s="51">
        <v>13.6</v>
      </c>
      <c r="P102" s="51">
        <v>15.4</v>
      </c>
      <c r="Q102" s="51">
        <v>13.8</v>
      </c>
      <c r="R102" s="51">
        <v>12.2</v>
      </c>
      <c r="S102" s="51">
        <v>12</v>
      </c>
      <c r="T102" s="51">
        <v>13</v>
      </c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10</v>
      </c>
      <c r="AQ102" s="89" t="str">
        <f t="shared" si="7"/>
        <v/>
      </c>
      <c r="AR102" s="89">
        <f>IFERROR(VLOOKUP(A102,Climatologia!A:U,9+$E$2,FALSE),"")</f>
        <v>11.715023289568339</v>
      </c>
      <c r="AS102" s="89" t="str">
        <f t="shared" si="8"/>
        <v/>
      </c>
      <c r="AT102" s="90">
        <f t="shared" si="9"/>
        <v>11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7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33513</v>
      </c>
      <c r="AW102" s="92">
        <f t="shared" si="10"/>
        <v>4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</v>
      </c>
      <c r="AQ103" s="89" t="str">
        <f t="shared" si="7"/>
        <v/>
      </c>
      <c r="AR103" s="89">
        <f>IFERROR(VLOOKUP(A103,Climatologia!A:U,9+$E$2,FALSE),"")</f>
        <v>6.5143145161290317</v>
      </c>
      <c r="AS103" s="89" t="str">
        <f t="shared" si="8"/>
        <v/>
      </c>
      <c r="AT103" s="90">
        <f t="shared" si="9"/>
        <v>7.8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40097</v>
      </c>
      <c r="AW103" s="92">
        <f t="shared" si="10"/>
        <v>7.6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10.6</v>
      </c>
      <c r="L104" s="51">
        <v>10.6</v>
      </c>
      <c r="M104" s="51">
        <v>10</v>
      </c>
      <c r="N104" s="51">
        <v>5.2</v>
      </c>
      <c r="O104" s="51">
        <v>5</v>
      </c>
      <c r="P104" s="51">
        <v>4</v>
      </c>
      <c r="Q104" s="51">
        <v>9</v>
      </c>
      <c r="R104" s="51">
        <v>7.6</v>
      </c>
      <c r="S104" s="51">
        <v>9.1999999999999993</v>
      </c>
      <c r="T104" s="51">
        <v>12.2</v>
      </c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10</v>
      </c>
      <c r="AQ104" s="89" t="str">
        <f t="shared" si="7"/>
        <v/>
      </c>
      <c r="AR104" s="89">
        <f>IFERROR(VLOOKUP(A104,Climatologia!A:U,9+$E$2,FALSE),"")</f>
        <v>7.5536967000370803</v>
      </c>
      <c r="AS104" s="89" t="str">
        <f t="shared" si="8"/>
        <v/>
      </c>
      <c r="AT104" s="90">
        <f t="shared" si="9"/>
        <v>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4" s="92">
        <f t="shared" si="10"/>
        <v>5.4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12</v>
      </c>
      <c r="L105" s="51">
        <v>13.2</v>
      </c>
      <c r="M105" s="51">
        <v>12</v>
      </c>
      <c r="N105" s="51">
        <v>9.4</v>
      </c>
      <c r="O105" s="51">
        <v>9.1999999999999993</v>
      </c>
      <c r="P105" s="51">
        <v>12.4</v>
      </c>
      <c r="Q105" s="51">
        <v>12.4</v>
      </c>
      <c r="R105" s="51">
        <v>12</v>
      </c>
      <c r="S105" s="51">
        <v>12.4</v>
      </c>
      <c r="T105" s="51">
        <v>12.4</v>
      </c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10</v>
      </c>
      <c r="AQ105" s="89" t="str">
        <f t="shared" si="7"/>
        <v/>
      </c>
      <c r="AR105" s="89">
        <f>IFERROR(VLOOKUP(A105,Climatologia!A:U,9+$E$2,FALSE),"")</f>
        <v>9.9926318635871958</v>
      </c>
      <c r="AS105" s="89" t="str">
        <f t="shared" si="8"/>
        <v/>
      </c>
      <c r="AT105" s="90">
        <f t="shared" si="9"/>
        <v>9.1999999999999993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0.6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43383</v>
      </c>
      <c r="AW105" s="92">
        <f t="shared" si="10"/>
        <v>8.6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>
        <v>15</v>
      </c>
      <c r="L106" s="51">
        <v>14.8</v>
      </c>
      <c r="M106" s="51">
        <v>14.6</v>
      </c>
      <c r="N106" s="51">
        <v>14</v>
      </c>
      <c r="O106" s="51">
        <v>14</v>
      </c>
      <c r="P106" s="51">
        <v>15.8</v>
      </c>
      <c r="Q106" s="51">
        <v>14.4</v>
      </c>
      <c r="R106" s="51">
        <v>15.6</v>
      </c>
      <c r="S106" s="51">
        <v>15.6</v>
      </c>
      <c r="T106" s="51">
        <v>15</v>
      </c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10</v>
      </c>
      <c r="AQ106" s="89" t="str">
        <f t="shared" si="7"/>
        <v/>
      </c>
      <c r="AR106" s="89">
        <f>IFERROR(VLOOKUP(A106,Climatologia!A:U,9+$E$2,FALSE),"")</f>
        <v>13.92075025890837</v>
      </c>
      <c r="AS106" s="89" t="str">
        <f t="shared" si="8"/>
        <v/>
      </c>
      <c r="AT106" s="90">
        <f t="shared" si="9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9.4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31334</v>
      </c>
      <c r="AW106" s="92">
        <f t="shared" si="10"/>
        <v>4.5999999999999996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13.2</v>
      </c>
      <c r="L107" s="51">
        <v>14.2</v>
      </c>
      <c r="M107" s="51">
        <v>13.4</v>
      </c>
      <c r="N107" s="51">
        <v>10</v>
      </c>
      <c r="O107" s="51">
        <v>9.8000000000000007</v>
      </c>
      <c r="P107" s="51">
        <v>13.2</v>
      </c>
      <c r="Q107" s="51">
        <v>13.8</v>
      </c>
      <c r="R107" s="51">
        <v>12</v>
      </c>
      <c r="S107" s="51">
        <v>14</v>
      </c>
      <c r="T107" s="51">
        <v>14.2</v>
      </c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10</v>
      </c>
      <c r="AQ107" s="89" t="str">
        <f t="shared" si="7"/>
        <v/>
      </c>
      <c r="AR107" s="89">
        <f>IFERROR(VLOOKUP(A107,Climatologia!A:U,9+$E$2,FALSE),"")</f>
        <v>11.517299361072149</v>
      </c>
      <c r="AS107" s="89" t="str">
        <f t="shared" si="8"/>
        <v/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5.8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42664</v>
      </c>
      <c r="AW107" s="92">
        <f t="shared" si="10"/>
        <v>4.0000000000000009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15.8</v>
      </c>
      <c r="L108" s="51">
        <v>16.600000000000001</v>
      </c>
      <c r="M108" s="51">
        <v>14.8</v>
      </c>
      <c r="N108" s="51">
        <v>14</v>
      </c>
      <c r="O108" s="51">
        <v>13.8</v>
      </c>
      <c r="P108" s="51">
        <v>16.399999999999999</v>
      </c>
      <c r="Q108" s="51">
        <v>14.6</v>
      </c>
      <c r="R108" s="51">
        <v>15.8</v>
      </c>
      <c r="S108" s="51">
        <v>16.399999999999999</v>
      </c>
      <c r="T108" s="51">
        <v>15</v>
      </c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10</v>
      </c>
      <c r="AQ108" s="89" t="str">
        <f t="shared" si="7"/>
        <v/>
      </c>
      <c r="AR108" s="89">
        <f>IFERROR(VLOOKUP(A108,Climatologia!A:U,9+$E$2,FALSE),"")</f>
        <v>13.78207885304659</v>
      </c>
      <c r="AS108" s="89" t="str">
        <f t="shared" si="8"/>
        <v/>
      </c>
      <c r="AT108" s="90">
        <f t="shared" si="9"/>
        <v>13.8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9.6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30595</v>
      </c>
      <c r="AW108" s="92">
        <f t="shared" si="10"/>
        <v>4.2000000000000011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16.2</v>
      </c>
      <c r="L109" s="51">
        <v>17.2</v>
      </c>
      <c r="M109" s="51">
        <v>16.399999999999999</v>
      </c>
      <c r="N109" s="51">
        <v>15.2</v>
      </c>
      <c r="O109" s="51">
        <v>15.4</v>
      </c>
      <c r="P109" s="51">
        <v>17.8</v>
      </c>
      <c r="Q109" s="51">
        <v>16.2</v>
      </c>
      <c r="R109" s="51">
        <v>17</v>
      </c>
      <c r="S109" s="51">
        <v>16.8</v>
      </c>
      <c r="T109" s="51">
        <v>15.6</v>
      </c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10</v>
      </c>
      <c r="AQ109" s="89" t="str">
        <f t="shared" si="7"/>
        <v/>
      </c>
      <c r="AR109" s="89">
        <f>IFERROR(VLOOKUP(A109,Climatologia!A:U,9+$E$2,FALSE),"")</f>
        <v>13.919677419354841</v>
      </c>
      <c r="AS109" s="89" t="str">
        <f t="shared" si="8"/>
        <v/>
      </c>
      <c r="AT109" s="90">
        <f t="shared" si="9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38627</v>
      </c>
      <c r="AW109" s="92">
        <f t="shared" si="10"/>
        <v>6.6999999999999993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19.600000000000001</v>
      </c>
      <c r="L110" s="51">
        <v>19.8</v>
      </c>
      <c r="M110" s="51">
        <v>18.8</v>
      </c>
      <c r="N110" s="51">
        <v>18</v>
      </c>
      <c r="O110" s="51">
        <v>17.600000000000001</v>
      </c>
      <c r="P110" s="51">
        <v>20.2</v>
      </c>
      <c r="Q110" s="51">
        <v>19.399999999999999</v>
      </c>
      <c r="R110" s="51">
        <v>19.8</v>
      </c>
      <c r="S110" s="51">
        <v>19.600000000000001</v>
      </c>
      <c r="T110" s="51">
        <v>18.399999999999999</v>
      </c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10</v>
      </c>
      <c r="AQ110" s="89" t="str">
        <f t="shared" si="7"/>
        <v/>
      </c>
      <c r="AR110" s="89">
        <f>IFERROR(VLOOKUP(A110,Climatologia!A:U,9+$E$2,FALSE),"")</f>
        <v>17.274538789776361</v>
      </c>
      <c r="AS110" s="89" t="str">
        <f t="shared" si="8"/>
        <v/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14.2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10" s="92">
        <f t="shared" si="10"/>
        <v>3.4000000000000021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26</v>
      </c>
      <c r="L111" s="51">
        <v>23.6</v>
      </c>
      <c r="M111" s="51">
        <v>23.4</v>
      </c>
      <c r="N111" s="51">
        <v>24.2</v>
      </c>
      <c r="O111" s="51">
        <v>24.2</v>
      </c>
      <c r="P111" s="51">
        <v>25.2</v>
      </c>
      <c r="Q111" s="51">
        <v>23</v>
      </c>
      <c r="R111" s="51">
        <v>23.2</v>
      </c>
      <c r="S111" s="51">
        <v>25</v>
      </c>
      <c r="T111" s="51">
        <v>23.4</v>
      </c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10</v>
      </c>
      <c r="AQ111" s="89" t="str">
        <f t="shared" si="7"/>
        <v/>
      </c>
      <c r="AR111" s="89">
        <f>IFERROR(VLOOKUP(A111,Climatologia!A:U,9+$E$2,FALSE),"")</f>
        <v>23.10008713385243</v>
      </c>
      <c r="AS111" s="89" t="str">
        <f t="shared" si="8"/>
        <v/>
      </c>
      <c r="AT111" s="90">
        <f t="shared" si="9"/>
        <v>23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15.2</v>
      </c>
      <c r="L112" s="51">
        <v>15</v>
      </c>
      <c r="M112" s="51">
        <v>16.5</v>
      </c>
      <c r="N112" s="51">
        <v>15</v>
      </c>
      <c r="O112" s="51">
        <v>16.5</v>
      </c>
      <c r="P112" s="51">
        <v>14.4</v>
      </c>
      <c r="Q112" s="51">
        <v>14.2</v>
      </c>
      <c r="R112" s="51">
        <v>15</v>
      </c>
      <c r="S112" s="51">
        <v>16.5</v>
      </c>
      <c r="T112" s="51">
        <v>15</v>
      </c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10</v>
      </c>
      <c r="AQ112" s="89" t="str">
        <f t="shared" si="7"/>
        <v/>
      </c>
      <c r="AR112" s="89">
        <f>IFERROR(VLOOKUP(A112,Climatologia!A:U,9+$E$2,FALSE),"")</f>
        <v>15.316224611708479</v>
      </c>
      <c r="AS112" s="89" t="str">
        <f t="shared" si="8"/>
        <v/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34614</v>
      </c>
      <c r="AW112" s="92">
        <f t="shared" si="10"/>
        <v>4.1999999999999993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21.8</v>
      </c>
      <c r="L113" s="51">
        <v>19.8</v>
      </c>
      <c r="M113" s="51">
        <v>19.399999999999999</v>
      </c>
      <c r="N113" s="51">
        <v>20.399999999999999</v>
      </c>
      <c r="O113" s="51">
        <v>20.6</v>
      </c>
      <c r="P113" s="51">
        <v>21.2</v>
      </c>
      <c r="Q113" s="51">
        <v>19</v>
      </c>
      <c r="R113" s="51">
        <v>19.600000000000001</v>
      </c>
      <c r="S113" s="51">
        <v>21</v>
      </c>
      <c r="T113" s="51">
        <v>19.600000000000001</v>
      </c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10</v>
      </c>
      <c r="AQ113" s="89" t="str">
        <f t="shared" si="7"/>
        <v/>
      </c>
      <c r="AR113" s="89">
        <f>IFERROR(VLOOKUP(A113,Climatologia!A:U,9+$E$2,FALSE),"")</f>
        <v>22.73194743130227</v>
      </c>
      <c r="AS113" s="89" t="str">
        <f t="shared" si="8"/>
        <v/>
      </c>
      <c r="AT113" s="90">
        <f t="shared" si="9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30957</v>
      </c>
      <c r="AW113" s="92">
        <f t="shared" si="10"/>
        <v>1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>
        <v>23.6</v>
      </c>
      <c r="L114" s="51">
        <v>24</v>
      </c>
      <c r="M114" s="51">
        <v>24</v>
      </c>
      <c r="N114" s="51">
        <v>22.8</v>
      </c>
      <c r="O114" s="51">
        <v>23</v>
      </c>
      <c r="P114" s="51">
        <v>23.2</v>
      </c>
      <c r="Q114" s="51">
        <v>23</v>
      </c>
      <c r="R114" s="51">
        <v>22.6</v>
      </c>
      <c r="S114" s="51">
        <v>23.2</v>
      </c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9</v>
      </c>
      <c r="AQ114" s="89" t="str">
        <f t="shared" si="7"/>
        <v/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/>
      <c r="L115" s="51">
        <v>20.2</v>
      </c>
      <c r="M115" s="51">
        <v>21.2</v>
      </c>
      <c r="N115" s="51">
        <v>20.2</v>
      </c>
      <c r="O115" s="51">
        <v>20.399999999999999</v>
      </c>
      <c r="P115" s="51">
        <v>21.2</v>
      </c>
      <c r="Q115" s="51">
        <v>20.399999999999999</v>
      </c>
      <c r="R115" s="51">
        <v>24.2</v>
      </c>
      <c r="S115" s="51">
        <v>20.2</v>
      </c>
      <c r="T115" s="51">
        <v>21.2</v>
      </c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9</v>
      </c>
      <c r="AQ115" s="89" t="str">
        <f t="shared" si="7"/>
        <v/>
      </c>
      <c r="AR115" s="89">
        <f>IFERROR(VLOOKUP(A115,Climatologia!A:U,9+$E$2,FALSE),"")</f>
        <v>18.75583446627941</v>
      </c>
      <c r="AS115" s="89" t="str">
        <f t="shared" si="8"/>
        <v/>
      </c>
      <c r="AT115" s="90">
        <f t="shared" si="9"/>
        <v>20.2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115" s="92">
        <f t="shared" si="10"/>
        <v>4.1999999999999993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25.4</v>
      </c>
      <c r="L116" s="51"/>
      <c r="M116" s="51">
        <v>21.8</v>
      </c>
      <c r="N116" s="51">
        <v>24.4</v>
      </c>
      <c r="O116" s="51">
        <v>24.4</v>
      </c>
      <c r="P116" s="51">
        <v>23</v>
      </c>
      <c r="Q116" s="51">
        <v>22</v>
      </c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6</v>
      </c>
      <c r="AQ116" s="89" t="str">
        <f t="shared" si="7"/>
        <v/>
      </c>
      <c r="AR116" s="89">
        <f>IFERROR(VLOOKUP(A116,Climatologia!A:U,9+$E$2,FALSE),"")</f>
        <v>22.6328308967636</v>
      </c>
      <c r="AS116" s="89" t="str">
        <f t="shared" si="8"/>
        <v/>
      </c>
      <c r="AT116" s="90">
        <f t="shared" si="9"/>
        <v>21.8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18.600000000000001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39750</v>
      </c>
      <c r="AW116" s="92">
        <f t="shared" si="10"/>
        <v>3.1999999999999993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22.07055118821722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16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9.1999999999999993</v>
      </c>
      <c r="L118" s="51">
        <v>8.8000000000000007</v>
      </c>
      <c r="M118" s="51">
        <v>8</v>
      </c>
      <c r="N118" s="51">
        <v>8.1999999999999993</v>
      </c>
      <c r="O118" s="51">
        <v>5</v>
      </c>
      <c r="P118" s="51">
        <v>6.4</v>
      </c>
      <c r="Q118" s="51">
        <v>3.4</v>
      </c>
      <c r="R118" s="51">
        <v>4.4000000000000004</v>
      </c>
      <c r="S118" s="51">
        <v>5.8</v>
      </c>
      <c r="T118" s="51">
        <v>7.6</v>
      </c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10</v>
      </c>
      <c r="AQ118" s="89" t="str">
        <f t="shared" si="7"/>
        <v/>
      </c>
      <c r="AR118" s="89">
        <f>IFERROR(VLOOKUP(A118,Climatologia!A:U,9+$E$2,FALSE),"")</f>
        <v>5.5130888465137637</v>
      </c>
      <c r="AS118" s="89" t="str">
        <f t="shared" si="8"/>
        <v/>
      </c>
      <c r="AT118" s="90">
        <f t="shared" si="9"/>
        <v>3.4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-2.6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18" s="92">
        <f t="shared" si="10"/>
        <v>6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20.253505992413221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39726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12.7</v>
      </c>
      <c r="L120" s="51">
        <v>13.3</v>
      </c>
      <c r="M120" s="51">
        <v>11.7</v>
      </c>
      <c r="N120" s="51">
        <v>12.4</v>
      </c>
      <c r="O120" s="51">
        <v>8.3000000000000007</v>
      </c>
      <c r="P120" s="51">
        <v>10.1</v>
      </c>
      <c r="Q120" s="51">
        <v>11.9</v>
      </c>
      <c r="R120" s="51">
        <v>12.4</v>
      </c>
      <c r="S120" s="51">
        <v>12.4</v>
      </c>
      <c r="T120" s="51">
        <v>13.1</v>
      </c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10</v>
      </c>
      <c r="AQ120" s="89" t="str">
        <f t="shared" si="7"/>
        <v/>
      </c>
      <c r="AR120" s="89">
        <f>IFERROR(VLOOKUP(A120,Climatologia!A:U,9+$E$2,FALSE),"")</f>
        <v>11.26360659992584</v>
      </c>
      <c r="AS120" s="89" t="str">
        <f t="shared" si="8"/>
        <v/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4.5999999999999996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29159</v>
      </c>
      <c r="AW120" s="92">
        <f t="shared" si="10"/>
        <v>3.7000000000000011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13.470779214163249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10.199999999999999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32059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9.4</v>
      </c>
      <c r="L122" s="51">
        <v>10</v>
      </c>
      <c r="M122" s="51">
        <v>9.6</v>
      </c>
      <c r="N122" s="51">
        <v>8.8000000000000007</v>
      </c>
      <c r="O122" s="51">
        <v>4.5999999999999996</v>
      </c>
      <c r="P122" s="51">
        <v>8</v>
      </c>
      <c r="Q122" s="51">
        <v>8.4</v>
      </c>
      <c r="R122" s="51">
        <v>8.8000000000000007</v>
      </c>
      <c r="S122" s="51">
        <v>9.1999999999999993</v>
      </c>
      <c r="T122" s="51">
        <v>8.8000000000000007</v>
      </c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10</v>
      </c>
      <c r="AQ122" s="89" t="str">
        <f t="shared" si="7"/>
        <v/>
      </c>
      <c r="AR122" s="89">
        <f>IFERROR(VLOOKUP(A122,Climatologia!A:U,9+$E$2,FALSE),"")</f>
        <v>7.9500742094390597</v>
      </c>
      <c r="AS122" s="89" t="str">
        <f t="shared" si="8"/>
        <v/>
      </c>
      <c r="AT122" s="90">
        <f t="shared" si="9"/>
        <v>4.5999999999999996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22" s="92">
        <f t="shared" si="10"/>
        <v>2.6999999999999997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>
        <v>23.8</v>
      </c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</v>
      </c>
      <c r="AQ123" s="89" t="str">
        <f t="shared" si="7"/>
        <v/>
      </c>
      <c r="AR123" s="89">
        <f>IFERROR(VLOOKUP(A123,Climatologia!A:U,9+$E$2,FALSE),"")</f>
        <v>21.187243056659071</v>
      </c>
      <c r="AS123" s="89" t="str">
        <f t="shared" si="8"/>
        <v/>
      </c>
      <c r="AT123" s="90">
        <f t="shared" si="9"/>
        <v>23.8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34623</v>
      </c>
      <c r="AW123" s="92">
        <f t="shared" si="10"/>
        <v>6.3000000000000007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22.904573697270472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12.9</v>
      </c>
      <c r="L125" s="51">
        <v>12.6</v>
      </c>
      <c r="M125" s="51">
        <v>11.5</v>
      </c>
      <c r="N125" s="51">
        <v>12.4</v>
      </c>
      <c r="O125" s="51">
        <v>11.5</v>
      </c>
      <c r="P125" s="51">
        <v>12.6</v>
      </c>
      <c r="Q125" s="51">
        <v>12.2</v>
      </c>
      <c r="R125" s="51">
        <v>11.7</v>
      </c>
      <c r="S125" s="51">
        <v>11.5</v>
      </c>
      <c r="T125" s="51">
        <v>11.6</v>
      </c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10</v>
      </c>
      <c r="AQ125" s="89" t="str">
        <f t="shared" si="7"/>
        <v/>
      </c>
      <c r="AR125" s="89">
        <f>IFERROR(VLOOKUP(A125,Climatologia!A:U,9+$E$2,FALSE),"")</f>
        <v>11.11451612903226</v>
      </c>
      <c r="AS125" s="89" t="str">
        <f t="shared" si="8"/>
        <v/>
      </c>
      <c r="AT125" s="90">
        <f t="shared" si="9"/>
        <v>11.5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35704</v>
      </c>
      <c r="AW125" s="92">
        <f t="shared" si="10"/>
        <v>6.5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</v>
      </c>
      <c r="L126" s="51">
        <v>13.4</v>
      </c>
      <c r="M126" s="51">
        <v>14.2</v>
      </c>
      <c r="N126" s="51">
        <v>13.6</v>
      </c>
      <c r="O126" s="51">
        <v>13.2</v>
      </c>
      <c r="P126" s="51">
        <v>13.4</v>
      </c>
      <c r="Q126" s="51">
        <v>15.2</v>
      </c>
      <c r="R126" s="51">
        <v>12.4</v>
      </c>
      <c r="S126" s="51">
        <v>13.2</v>
      </c>
      <c r="T126" s="51">
        <v>14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10</v>
      </c>
      <c r="AQ126" s="89" t="str">
        <f t="shared" si="7"/>
        <v/>
      </c>
      <c r="AR126" s="89">
        <f>IFERROR(VLOOKUP(A126,Climatologia!A:U,9+$E$2,FALSE),"")</f>
        <v>12.9298129284317</v>
      </c>
      <c r="AS126" s="89" t="str">
        <f t="shared" si="8"/>
        <v/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28768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14.690978535821699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30240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10.4</v>
      </c>
      <c r="L128" s="51">
        <v>11.6</v>
      </c>
      <c r="M128" s="51">
        <v>11</v>
      </c>
      <c r="N128" s="51">
        <v>8.4</v>
      </c>
      <c r="O128" s="51">
        <v>8</v>
      </c>
      <c r="P128" s="51">
        <v>7.6</v>
      </c>
      <c r="Q128" s="51">
        <v>9.6</v>
      </c>
      <c r="R128" s="51">
        <v>8.6</v>
      </c>
      <c r="S128" s="51">
        <v>9.9</v>
      </c>
      <c r="T128" s="51">
        <v>10.4</v>
      </c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10</v>
      </c>
      <c r="AQ128" s="89" t="str">
        <f t="shared" si="7"/>
        <v/>
      </c>
      <c r="AR128" s="89">
        <f>IFERROR(VLOOKUP(A128,Climatologia!A:U,9+$E$2,FALSE),"")</f>
        <v>9.2558272611498413</v>
      </c>
      <c r="AS128" s="89" t="str">
        <f t="shared" si="8"/>
        <v/>
      </c>
      <c r="AT128" s="90">
        <f t="shared" si="9"/>
        <v>7.6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37897</v>
      </c>
      <c r="AW128" s="92">
        <f t="shared" si="10"/>
        <v>3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12</v>
      </c>
      <c r="L129" s="51">
        <v>13.6</v>
      </c>
      <c r="M129" s="51">
        <v>13.2</v>
      </c>
      <c r="N129" s="51">
        <v>12.2</v>
      </c>
      <c r="O129" s="51">
        <v>11.6</v>
      </c>
      <c r="P129" s="51">
        <v>11</v>
      </c>
      <c r="Q129" s="51">
        <v>12</v>
      </c>
      <c r="R129" s="51">
        <v>11.4</v>
      </c>
      <c r="S129" s="51">
        <v>12.2</v>
      </c>
      <c r="T129" s="51">
        <v>13.6</v>
      </c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10</v>
      </c>
      <c r="AQ129" s="89" t="str">
        <f t="shared" si="7"/>
        <v/>
      </c>
      <c r="AR129" s="89">
        <f>IFERROR(VLOOKUP(A129,Climatologia!A:U,9+$E$2,FALSE),"")</f>
        <v>11.24803033794163</v>
      </c>
      <c r="AS129" s="89" t="str">
        <f t="shared" si="8"/>
        <v/>
      </c>
      <c r="AT129" s="90">
        <f t="shared" si="9"/>
        <v>11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129" s="92">
        <f t="shared" si="10"/>
        <v>3.8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15.2</v>
      </c>
      <c r="L130" s="51">
        <v>15.6</v>
      </c>
      <c r="M130" s="51">
        <v>15.6</v>
      </c>
      <c r="N130" s="51">
        <v>15.8</v>
      </c>
      <c r="O130" s="51">
        <v>15.6</v>
      </c>
      <c r="P130" s="51">
        <v>16.2</v>
      </c>
      <c r="Q130" s="51">
        <v>15.8</v>
      </c>
      <c r="R130" s="51">
        <v>15.6</v>
      </c>
      <c r="S130" s="51">
        <v>15.4</v>
      </c>
      <c r="T130" s="51">
        <v>15.8</v>
      </c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10</v>
      </c>
      <c r="AQ130" s="89" t="str">
        <f t="shared" si="7"/>
        <v/>
      </c>
      <c r="AR130" s="89">
        <f>IFERROR(VLOOKUP(A130,Climatologia!A:U,9+$E$2,FALSE),"")</f>
        <v>14.52971408070499</v>
      </c>
      <c r="AS130" s="89" t="str">
        <f t="shared" si="8"/>
        <v/>
      </c>
      <c r="AT130" s="90">
        <f t="shared" si="9"/>
        <v>15.2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30961</v>
      </c>
      <c r="AW130" s="92">
        <f t="shared" si="10"/>
        <v>5.1999999999999993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4.8</v>
      </c>
      <c r="L131" s="51">
        <v>4.8</v>
      </c>
      <c r="M131" s="51">
        <v>5</v>
      </c>
      <c r="N131" s="51">
        <v>6</v>
      </c>
      <c r="O131" s="51">
        <v>3.2</v>
      </c>
      <c r="P131" s="51">
        <v>4.5999999999999996</v>
      </c>
      <c r="Q131" s="51">
        <v>5.2</v>
      </c>
      <c r="R131" s="51">
        <v>6</v>
      </c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8</v>
      </c>
      <c r="AQ131" s="89" t="str">
        <f t="shared" si="7"/>
        <v/>
      </c>
      <c r="AR131" s="89">
        <f>IFERROR(VLOOKUP(A131,Climatologia!A:U,9+$E$2,FALSE),"")</f>
        <v>6.3434940056853293</v>
      </c>
      <c r="AS131" s="89" t="str">
        <f t="shared" si="8"/>
        <v/>
      </c>
      <c r="AT131" s="90">
        <f t="shared" si="9"/>
        <v>3.2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39382</v>
      </c>
      <c r="AW131" s="92">
        <f t="shared" si="10"/>
        <v>2.2000000000000002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15.50207778758007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28779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16.8</v>
      </c>
      <c r="L133" s="51">
        <v>18.8</v>
      </c>
      <c r="M133" s="51">
        <v>16.2</v>
      </c>
      <c r="N133" s="51">
        <v>16.600000000000001</v>
      </c>
      <c r="O133" s="51">
        <v>15.4</v>
      </c>
      <c r="P133" s="51">
        <v>17</v>
      </c>
      <c r="Q133" s="51">
        <v>16.399999999999999</v>
      </c>
      <c r="R133" s="51">
        <v>16</v>
      </c>
      <c r="S133" s="51">
        <v>14.8</v>
      </c>
      <c r="T133" s="51">
        <v>18.2</v>
      </c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10</v>
      </c>
      <c r="AQ133" s="89" t="str">
        <f t="shared" ref="AQ133:AQ196" si="12">IF(AP133&gt;14,AVERAGE(K133:AO133),"")</f>
        <v/>
      </c>
      <c r="AR133" s="89">
        <f>IFERROR(VLOOKUP(A133,Climatologia!A:U,9+$E$2,FALSE),"")</f>
        <v>14.56684579289888</v>
      </c>
      <c r="AS133" s="89" t="str">
        <f t="shared" ref="AS133:AS196" si="13">IF(OR(AQ133="",AR133=""),"",IFERROR(AQ133-AR133,""))</f>
        <v/>
      </c>
      <c r="AT133" s="90">
        <f t="shared" ref="AT133:AT196" si="14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28765</v>
      </c>
      <c r="AW133" s="92">
        <f t="shared" ref="AW133:AW196" si="15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10.199999999999999</v>
      </c>
      <c r="L134" s="51">
        <v>11.8</v>
      </c>
      <c r="M134" s="51">
        <v>11</v>
      </c>
      <c r="N134" s="51">
        <v>10.4</v>
      </c>
      <c r="O134" s="51">
        <v>9</v>
      </c>
      <c r="P134" s="51">
        <v>9</v>
      </c>
      <c r="Q134" s="51">
        <v>10.4</v>
      </c>
      <c r="R134" s="51">
        <v>10.1</v>
      </c>
      <c r="S134" s="51">
        <v>11.1</v>
      </c>
      <c r="T134" s="51">
        <v>9.1</v>
      </c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10</v>
      </c>
      <c r="AQ134" s="89" t="str">
        <f t="shared" si="12"/>
        <v/>
      </c>
      <c r="AR134" s="89">
        <f>IFERROR(VLOOKUP(A134,Climatologia!A:U,9+$E$2,FALSE),"")</f>
        <v>9.466164462571582</v>
      </c>
      <c r="AS134" s="89" t="str">
        <f t="shared" si="13"/>
        <v/>
      </c>
      <c r="AT134" s="90">
        <f t="shared" si="14"/>
        <v>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5.2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36450</v>
      </c>
      <c r="AW134" s="92">
        <f t="shared" si="15"/>
        <v>3.8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13.4</v>
      </c>
      <c r="L135" s="51">
        <v>14.8</v>
      </c>
      <c r="M135" s="51">
        <v>13.2</v>
      </c>
      <c r="N135" s="51">
        <v>12.8</v>
      </c>
      <c r="O135" s="51">
        <v>11</v>
      </c>
      <c r="P135" s="51">
        <v>11.8</v>
      </c>
      <c r="Q135" s="51">
        <v>12</v>
      </c>
      <c r="R135" s="51">
        <v>12.4</v>
      </c>
      <c r="S135" s="51">
        <v>12.4</v>
      </c>
      <c r="T135" s="51">
        <v>13.2</v>
      </c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10</v>
      </c>
      <c r="AQ135" s="89" t="str">
        <f t="shared" si="12"/>
        <v/>
      </c>
      <c r="AR135" s="89">
        <f>IFERROR(VLOOKUP(A135,Climatologia!A:U,9+$E$2,FALSE),"")</f>
        <v>12.27814052651094</v>
      </c>
      <c r="AS135" s="89" t="str">
        <f t="shared" si="13"/>
        <v/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40454</v>
      </c>
      <c r="AW135" s="92">
        <f t="shared" si="15"/>
        <v>2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10.4</v>
      </c>
      <c r="L136" s="51">
        <v>11.4</v>
      </c>
      <c r="M136" s="51">
        <v>10</v>
      </c>
      <c r="N136" s="51">
        <v>8.1999999999999993</v>
      </c>
      <c r="O136" s="51">
        <v>7.6</v>
      </c>
      <c r="P136" s="51">
        <v>7.2</v>
      </c>
      <c r="Q136" s="51">
        <v>9.8000000000000007</v>
      </c>
      <c r="R136" s="51">
        <v>7</v>
      </c>
      <c r="S136" s="51">
        <v>10.4</v>
      </c>
      <c r="T136" s="51">
        <v>9.6</v>
      </c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10</v>
      </c>
      <c r="AQ136" s="89" t="str">
        <f t="shared" si="12"/>
        <v/>
      </c>
      <c r="AR136" s="89">
        <f>IFERROR(VLOOKUP(A136,Climatologia!A:U,9+$E$2,FALSE),"")</f>
        <v>8.6618439174147142</v>
      </c>
      <c r="AS136" s="89" t="str">
        <f t="shared" si="13"/>
        <v/>
      </c>
      <c r="AT136" s="90">
        <f t="shared" si="14"/>
        <v>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43386</v>
      </c>
      <c r="AW136" s="92">
        <f t="shared" si="15"/>
        <v>3.8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9.1999999999999993</v>
      </c>
      <c r="L137" s="51">
        <v>9.6</v>
      </c>
      <c r="M137" s="51">
        <v>8.4</v>
      </c>
      <c r="N137" s="51">
        <v>8</v>
      </c>
      <c r="O137" s="51">
        <v>7.4</v>
      </c>
      <c r="P137" s="51">
        <v>6.6</v>
      </c>
      <c r="Q137" s="51">
        <v>7.2</v>
      </c>
      <c r="R137" s="51">
        <v>6.6</v>
      </c>
      <c r="S137" s="51">
        <v>8.1999999999999993</v>
      </c>
      <c r="T137" s="51">
        <v>8.8000000000000007</v>
      </c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10</v>
      </c>
      <c r="AQ137" s="89" t="str">
        <f t="shared" si="12"/>
        <v/>
      </c>
      <c r="AR137" s="89">
        <f>IFERROR(VLOOKUP(A137,Climatologia!A:U,9+$E$2,FALSE),"")</f>
        <v>7.0970860215053753</v>
      </c>
      <c r="AS137" s="89" t="str">
        <f t="shared" si="13"/>
        <v/>
      </c>
      <c r="AT137" s="90">
        <f t="shared" si="14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37" s="92">
        <f t="shared" si="15"/>
        <v>4.5999999999999996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24.4</v>
      </c>
      <c r="L138" s="51">
        <v>24</v>
      </c>
      <c r="M138" s="51">
        <v>23.6</v>
      </c>
      <c r="N138" s="51">
        <v>23</v>
      </c>
      <c r="O138" s="51">
        <v>24.2</v>
      </c>
      <c r="P138" s="51">
        <v>25</v>
      </c>
      <c r="Q138" s="51">
        <v>24.8</v>
      </c>
      <c r="R138" s="51">
        <v>24.6</v>
      </c>
      <c r="S138" s="51">
        <v>24.2</v>
      </c>
      <c r="T138" s="51">
        <v>24.2</v>
      </c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10</v>
      </c>
      <c r="AQ138" s="89" t="str">
        <f t="shared" si="12"/>
        <v/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10.6</v>
      </c>
      <c r="L139" s="51">
        <v>11.6</v>
      </c>
      <c r="M139" s="51">
        <v>12.4</v>
      </c>
      <c r="N139" s="51">
        <v>10.199999999999999</v>
      </c>
      <c r="O139" s="51">
        <v>12</v>
      </c>
      <c r="P139" s="51">
        <v>13</v>
      </c>
      <c r="Q139" s="51">
        <v>12.2</v>
      </c>
      <c r="R139" s="51">
        <v>13</v>
      </c>
      <c r="S139" s="51">
        <v>12</v>
      </c>
      <c r="T139" s="51">
        <v>12.2</v>
      </c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10</v>
      </c>
      <c r="AQ139" s="89" t="str">
        <f t="shared" si="12"/>
        <v/>
      </c>
      <c r="AR139" s="89">
        <f>IFERROR(VLOOKUP(A139,Climatologia!A:U,9+$E$2,FALSE),"")</f>
        <v>10.525168743244009</v>
      </c>
      <c r="AS139" s="89" t="str">
        <f t="shared" si="13"/>
        <v/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33890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</v>
      </c>
      <c r="L140" s="51">
        <v>14.8</v>
      </c>
      <c r="M140" s="51">
        <v>15.6</v>
      </c>
      <c r="N140" s="51">
        <v>14.6</v>
      </c>
      <c r="O140" s="51">
        <v>14.6</v>
      </c>
      <c r="P140" s="51">
        <v>16.600000000000001</v>
      </c>
      <c r="Q140" s="51">
        <v>16</v>
      </c>
      <c r="R140" s="51">
        <v>15.2</v>
      </c>
      <c r="S140" s="51">
        <v>15.8</v>
      </c>
      <c r="T140" s="51">
        <v>15.8</v>
      </c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10</v>
      </c>
      <c r="AQ140" s="89" t="str">
        <f t="shared" si="12"/>
        <v/>
      </c>
      <c r="AR140" s="89">
        <f>IFERROR(VLOOKUP(A140,Climatologia!A:U,9+$E$2,FALSE),"")</f>
        <v>14.800063060877999</v>
      </c>
      <c r="AS140" s="89" t="str">
        <f t="shared" si="13"/>
        <v/>
      </c>
      <c r="AT140" s="90">
        <f t="shared" si="14"/>
        <v>14.6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12.2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40" s="92">
        <f t="shared" si="15"/>
        <v>2.4000000000000004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</v>
      </c>
      <c r="L141" s="51">
        <v>25</v>
      </c>
      <c r="M141" s="51">
        <v>25.2</v>
      </c>
      <c r="N141" s="51">
        <v>23.4</v>
      </c>
      <c r="O141" s="51">
        <v>24.6</v>
      </c>
      <c r="P141" s="51">
        <v>24.6</v>
      </c>
      <c r="Q141" s="51">
        <v>23</v>
      </c>
      <c r="R141" s="51">
        <v>23.8</v>
      </c>
      <c r="S141" s="51">
        <v>23.8</v>
      </c>
      <c r="T141" s="51">
        <v>24.8</v>
      </c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10</v>
      </c>
      <c r="AQ141" s="89" t="str">
        <f t="shared" si="12"/>
        <v/>
      </c>
      <c r="AR141" s="89">
        <f>IFERROR(VLOOKUP(A141,Climatologia!A:U,9+$E$2,FALSE),"")</f>
        <v>22.12848759157685</v>
      </c>
      <c r="AS141" s="89" t="str">
        <f t="shared" si="13"/>
        <v/>
      </c>
      <c r="AT141" s="90">
        <f t="shared" si="14"/>
        <v>23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41" s="92">
        <f t="shared" si="15"/>
        <v>5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21.4</v>
      </c>
      <c r="L142" s="51">
        <v>21</v>
      </c>
      <c r="M142" s="51">
        <v>21.2</v>
      </c>
      <c r="N142" s="51">
        <v>21</v>
      </c>
      <c r="O142" s="51">
        <v>21.6</v>
      </c>
      <c r="P142" s="51">
        <v>20.8</v>
      </c>
      <c r="Q142" s="51">
        <v>19.2</v>
      </c>
      <c r="R142" s="51">
        <v>19.8</v>
      </c>
      <c r="S142" s="51">
        <v>21.2</v>
      </c>
      <c r="T142" s="51">
        <v>21.6</v>
      </c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10</v>
      </c>
      <c r="AQ142" s="89" t="str">
        <f t="shared" si="12"/>
        <v/>
      </c>
      <c r="AR142" s="89">
        <f>IFERROR(VLOOKUP(A142,Climatologia!A:U,9+$E$2,FALSE),"")</f>
        <v>19.11373954599761</v>
      </c>
      <c r="AS142" s="89" t="str">
        <f t="shared" si="13"/>
        <v/>
      </c>
      <c r="AT142" s="90">
        <f t="shared" si="14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16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33174</v>
      </c>
      <c r="AW142" s="92">
        <f t="shared" si="15"/>
        <v>3.1999999999999993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24</v>
      </c>
      <c r="L143" s="51">
        <v>25</v>
      </c>
      <c r="M143" s="51">
        <v>25.4</v>
      </c>
      <c r="N143" s="51">
        <v>24.2</v>
      </c>
      <c r="O143" s="51">
        <v>23.4</v>
      </c>
      <c r="P143" s="51">
        <v>23.6</v>
      </c>
      <c r="Q143" s="51">
        <v>23.8</v>
      </c>
      <c r="R143" s="51">
        <v>24.4</v>
      </c>
      <c r="S143" s="51">
        <v>24.6</v>
      </c>
      <c r="T143" s="51">
        <v>24</v>
      </c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10</v>
      </c>
      <c r="AQ143" s="89" t="str">
        <f t="shared" si="12"/>
        <v/>
      </c>
      <c r="AR143" s="89">
        <f>IFERROR(VLOOKUP(A143,Climatologia!A:U,9+$E$2,FALSE),"")</f>
        <v>22.94815099178793</v>
      </c>
      <c r="AS143" s="89" t="str">
        <f t="shared" si="13"/>
        <v/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30242</v>
      </c>
      <c r="AW143" s="92">
        <f t="shared" si="15"/>
        <v>7.3999999999999986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0</v>
      </c>
      <c r="AQ144" s="89" t="str">
        <f t="shared" si="12"/>
        <v/>
      </c>
      <c r="AR144" s="89">
        <f>IFERROR(VLOOKUP(A144,Climatologia!A:U,9+$E$2,FALSE),"")</f>
        <v>16.459806451612899</v>
      </c>
      <c r="AS144" s="89" t="str">
        <f t="shared" si="13"/>
        <v/>
      </c>
      <c r="AT144" s="90" t="str">
        <f t="shared" si="14"/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10.7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35720</v>
      </c>
      <c r="AW144" s="92" t="str">
        <f t="shared" si="15"/>
        <v>NA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15.4</v>
      </c>
      <c r="L145" s="51">
        <v>18.8</v>
      </c>
      <c r="M145" s="51">
        <v>16</v>
      </c>
      <c r="N145" s="51">
        <v>15.4</v>
      </c>
      <c r="O145" s="51">
        <v>14.2</v>
      </c>
      <c r="P145" s="51">
        <v>16</v>
      </c>
      <c r="Q145" s="51">
        <v>14</v>
      </c>
      <c r="R145" s="51">
        <v>15</v>
      </c>
      <c r="S145" s="51">
        <v>14.4</v>
      </c>
      <c r="T145" s="51">
        <v>16.2</v>
      </c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10</v>
      </c>
      <c r="AQ145" s="89" t="str">
        <f t="shared" si="12"/>
        <v/>
      </c>
      <c r="AR145" s="89">
        <f>IFERROR(VLOOKUP(A145,Climatologia!A:U,9+$E$2,FALSE),"")</f>
        <v>14.63204108553664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145" s="92">
        <f t="shared" si="15"/>
        <v>5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16.2</v>
      </c>
      <c r="L146" s="51">
        <v>17</v>
      </c>
      <c r="M146" s="51">
        <v>16.8</v>
      </c>
      <c r="N146" s="51">
        <v>15.4</v>
      </c>
      <c r="O146" s="51">
        <v>17</v>
      </c>
      <c r="P146" s="51">
        <v>17.8</v>
      </c>
      <c r="Q146" s="51">
        <v>17.2</v>
      </c>
      <c r="R146" s="51">
        <v>14.4</v>
      </c>
      <c r="S146" s="51">
        <v>16.2</v>
      </c>
      <c r="T146" s="51">
        <v>16.600000000000001</v>
      </c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10</v>
      </c>
      <c r="AQ146" s="89" t="str">
        <f t="shared" si="12"/>
        <v/>
      </c>
      <c r="AR146" s="89">
        <f>IFERROR(VLOOKUP(A146,Climatologia!A:U,9+$E$2,FALSE),"")</f>
        <v>14.80509666173506</v>
      </c>
      <c r="AS146" s="89" t="str">
        <f t="shared" si="13"/>
        <v/>
      </c>
      <c r="AT146" s="90">
        <f t="shared" si="14"/>
        <v>14.4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33531</v>
      </c>
      <c r="AW146" s="92">
        <f t="shared" si="15"/>
        <v>2.4000000000000004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22.196229357405659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37920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19.69826762246117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23.8</v>
      </c>
      <c r="L149" s="51">
        <v>24.4</v>
      </c>
      <c r="M149" s="51">
        <v>24.6</v>
      </c>
      <c r="N149" s="51"/>
      <c r="O149" s="51">
        <v>24.2</v>
      </c>
      <c r="P149" s="51">
        <v>24</v>
      </c>
      <c r="Q149" s="51">
        <v>24.2</v>
      </c>
      <c r="R149" s="51"/>
      <c r="S149" s="51">
        <v>23.2</v>
      </c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7</v>
      </c>
      <c r="AQ149" s="89" t="str">
        <f t="shared" si="12"/>
        <v/>
      </c>
      <c r="AR149" s="89">
        <f>IFERROR(VLOOKUP(A149,Climatologia!A:U,9+$E$2,FALSE),"")</f>
        <v>22.312207891190091</v>
      </c>
      <c r="AS149" s="89" t="str">
        <f t="shared" si="13"/>
        <v/>
      </c>
      <c r="AT149" s="90">
        <f t="shared" si="14"/>
        <v>23.2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30225</v>
      </c>
      <c r="AW149" s="92">
        <f t="shared" si="15"/>
        <v>3.5999999999999979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25</v>
      </c>
      <c r="L150" s="51">
        <v>23.8</v>
      </c>
      <c r="M150" s="51">
        <v>23.6</v>
      </c>
      <c r="N150" s="51">
        <v>23</v>
      </c>
      <c r="O150" s="51">
        <v>24</v>
      </c>
      <c r="P150" s="51">
        <v>23.4</v>
      </c>
      <c r="Q150" s="51">
        <v>23.6</v>
      </c>
      <c r="R150" s="51">
        <v>24.4</v>
      </c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8</v>
      </c>
      <c r="AQ150" s="89" t="str">
        <f t="shared" si="12"/>
        <v/>
      </c>
      <c r="AR150" s="89">
        <f>IFERROR(VLOOKUP(A150,Climatologia!A:U,9+$E$2,FALSE),"")</f>
        <v>23.339207300546029</v>
      </c>
      <c r="AS150" s="89" t="str">
        <f t="shared" si="13"/>
        <v/>
      </c>
      <c r="AT150" s="90">
        <f t="shared" si="14"/>
        <v>23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30591</v>
      </c>
      <c r="AW150" s="92">
        <f t="shared" si="15"/>
        <v>5.6000000000000014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15.8</v>
      </c>
      <c r="L151" s="51">
        <v>16.2</v>
      </c>
      <c r="M151" s="51">
        <v>15.8</v>
      </c>
      <c r="N151" s="51">
        <v>15</v>
      </c>
      <c r="O151" s="51">
        <v>14.8</v>
      </c>
      <c r="P151" s="51">
        <v>16.8</v>
      </c>
      <c r="Q151" s="51">
        <v>15.6</v>
      </c>
      <c r="R151" s="51">
        <v>15.2</v>
      </c>
      <c r="S151" s="51">
        <v>15.2</v>
      </c>
      <c r="T151" s="51">
        <v>15.2</v>
      </c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10</v>
      </c>
      <c r="AQ151" s="89" t="str">
        <f t="shared" si="12"/>
        <v/>
      </c>
      <c r="AR151" s="89">
        <f>IFERROR(VLOOKUP(A151,Climatologia!A:U,9+$E$2,FALSE),"")</f>
        <v>14.24439000870591</v>
      </c>
      <c r="AS151" s="89" t="str">
        <f t="shared" si="13"/>
        <v/>
      </c>
      <c r="AT151" s="90">
        <f t="shared" si="14"/>
        <v>14.8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28783</v>
      </c>
      <c r="AW151" s="92">
        <f t="shared" si="15"/>
        <v>5.4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18.399999999999999</v>
      </c>
      <c r="L152" s="51">
        <v>17.2</v>
      </c>
      <c r="M152" s="51">
        <v>22</v>
      </c>
      <c r="N152" s="51">
        <v>20.399999999999999</v>
      </c>
      <c r="O152" s="51">
        <v>21.6</v>
      </c>
      <c r="P152" s="51">
        <v>21.2</v>
      </c>
      <c r="Q152" s="51">
        <v>22</v>
      </c>
      <c r="R152" s="51">
        <v>21.4</v>
      </c>
      <c r="S152" s="51">
        <v>22.2</v>
      </c>
      <c r="T152" s="51">
        <v>21.2</v>
      </c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10</v>
      </c>
      <c r="AQ152" s="89" t="str">
        <f t="shared" si="12"/>
        <v/>
      </c>
      <c r="AR152" s="89">
        <f>IFERROR(VLOOKUP(A152,Climatologia!A:U,9+$E$2,FALSE),"")</f>
        <v>19.542778238672231</v>
      </c>
      <c r="AS152" s="89" t="str">
        <f t="shared" si="13"/>
        <v/>
      </c>
      <c r="AT152" s="90">
        <f t="shared" si="14"/>
        <v>17.2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16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52" s="92">
        <f t="shared" si="15"/>
        <v>1.1999999999999993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17.2</v>
      </c>
      <c r="N153" s="51">
        <v>18.399999999999999</v>
      </c>
      <c r="O153" s="51">
        <v>18</v>
      </c>
      <c r="P153" s="51">
        <v>17.2</v>
      </c>
      <c r="Q153" s="51">
        <v>17</v>
      </c>
      <c r="R153" s="51">
        <v>16.2</v>
      </c>
      <c r="S153" s="51">
        <v>17</v>
      </c>
      <c r="T153" s="51">
        <v>16</v>
      </c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10</v>
      </c>
      <c r="AQ153" s="89" t="str">
        <f t="shared" si="12"/>
        <v/>
      </c>
      <c r="AR153" s="89">
        <f>IFERROR(VLOOKUP(A153,Climatologia!A:U,9+$E$2,FALSE),"")</f>
        <v>15.728565284178179</v>
      </c>
      <c r="AS153" s="89" t="str">
        <f t="shared" si="13"/>
        <v/>
      </c>
      <c r="AT153" s="90">
        <f t="shared" si="14"/>
        <v>16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32783</v>
      </c>
      <c r="AW153" s="92">
        <f t="shared" si="15"/>
        <v>4.8000000000000007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18</v>
      </c>
      <c r="L154" s="51">
        <v>18.600000000000001</v>
      </c>
      <c r="M154" s="51">
        <v>19</v>
      </c>
      <c r="N154" s="51">
        <v>18.8</v>
      </c>
      <c r="O154" s="51">
        <v>19.2</v>
      </c>
      <c r="P154" s="51">
        <v>19.2</v>
      </c>
      <c r="Q154" s="51">
        <v>18.399999999999999</v>
      </c>
      <c r="R154" s="51">
        <v>19.600000000000001</v>
      </c>
      <c r="S154" s="51">
        <v>18.8</v>
      </c>
      <c r="T154" s="51">
        <v>19</v>
      </c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10</v>
      </c>
      <c r="AQ154" s="89" t="str">
        <f t="shared" si="12"/>
        <v/>
      </c>
      <c r="AR154" s="89">
        <f>IFERROR(VLOOKUP(A154,Climatologia!A:U,9+$E$2,FALSE),"")</f>
        <v>18.26652751734732</v>
      </c>
      <c r="AS154" s="89" t="str">
        <f t="shared" si="13"/>
        <v/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14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29496</v>
      </c>
      <c r="AW154" s="92">
        <f t="shared" si="15"/>
        <v>4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13.837768817204299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8.6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9.8000000000000007</v>
      </c>
      <c r="L156" s="51">
        <v>10</v>
      </c>
      <c r="M156" s="51">
        <v>9.8000000000000007</v>
      </c>
      <c r="N156" s="51">
        <v>9.6</v>
      </c>
      <c r="O156" s="51">
        <v>11</v>
      </c>
      <c r="P156" s="51">
        <v>10.199999999999999</v>
      </c>
      <c r="Q156" s="51">
        <v>9</v>
      </c>
      <c r="R156" s="51">
        <v>9.6</v>
      </c>
      <c r="S156" s="51">
        <v>10</v>
      </c>
      <c r="T156" s="51">
        <v>10.199999999999999</v>
      </c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10</v>
      </c>
      <c r="AQ156" s="89" t="str">
        <f t="shared" si="12"/>
        <v/>
      </c>
      <c r="AR156" s="89">
        <f>IFERROR(VLOOKUP(A156,Climatologia!A:U,9+$E$2,FALSE),"")</f>
        <v>8.804193548387099</v>
      </c>
      <c r="AS156" s="89" t="str">
        <f t="shared" si="13"/>
        <v/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44865</v>
      </c>
      <c r="AW156" s="92">
        <f t="shared" si="15"/>
        <v>4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14.2</v>
      </c>
      <c r="L157" s="51">
        <v>15.4</v>
      </c>
      <c r="M157" s="51">
        <v>15.8</v>
      </c>
      <c r="N157" s="51">
        <v>15</v>
      </c>
      <c r="O157" s="51">
        <v>16.399999999999999</v>
      </c>
      <c r="P157" s="51">
        <v>15.8</v>
      </c>
      <c r="Q157" s="51">
        <v>16</v>
      </c>
      <c r="R157" s="51">
        <v>15.2</v>
      </c>
      <c r="S157" s="51">
        <v>16.2</v>
      </c>
      <c r="T157" s="51">
        <v>16</v>
      </c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10</v>
      </c>
      <c r="AQ157" s="89" t="str">
        <f t="shared" si="12"/>
        <v/>
      </c>
      <c r="AR157" s="89">
        <f>IFERROR(VLOOKUP(A157,Climatologia!A:U,9+$E$2,FALSE),"")</f>
        <v>14.13311294030404</v>
      </c>
      <c r="AS157" s="89" t="str">
        <f t="shared" si="13"/>
        <v/>
      </c>
      <c r="AT157" s="90">
        <f t="shared" si="14"/>
        <v>14.2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10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57" s="92">
        <f t="shared" si="15"/>
        <v>4.1999999999999993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20.6</v>
      </c>
      <c r="L158" s="51">
        <v>21.4</v>
      </c>
      <c r="M158" s="51">
        <v>22</v>
      </c>
      <c r="N158" s="51">
        <v>22.4</v>
      </c>
      <c r="O158" s="51">
        <v>21.8</v>
      </c>
      <c r="P158" s="51">
        <v>21</v>
      </c>
      <c r="Q158" s="51">
        <v>21.2</v>
      </c>
      <c r="R158" s="51">
        <v>20.8</v>
      </c>
      <c r="S158" s="51">
        <v>21</v>
      </c>
      <c r="T158" s="51">
        <v>21.2</v>
      </c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10</v>
      </c>
      <c r="AQ158" s="89" t="str">
        <f t="shared" si="12"/>
        <v/>
      </c>
      <c r="AR158" s="89">
        <f>IFERROR(VLOOKUP(A158,Climatologia!A:U,9+$E$2,FALSE),"")</f>
        <v>19.916117241095179</v>
      </c>
      <c r="AS158" s="89" t="str">
        <f t="shared" si="13"/>
        <v/>
      </c>
      <c r="AT158" s="90">
        <f t="shared" si="14"/>
        <v>20.6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16.600000000000001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40087</v>
      </c>
      <c r="AW158" s="92">
        <f t="shared" si="15"/>
        <v>4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</v>
      </c>
      <c r="L159" s="51">
        <v>4.5999999999999996</v>
      </c>
      <c r="M159" s="51">
        <v>7</v>
      </c>
      <c r="N159" s="51">
        <v>4.8</v>
      </c>
      <c r="O159" s="51">
        <v>6.2</v>
      </c>
      <c r="P159" s="51">
        <v>7</v>
      </c>
      <c r="Q159" s="51">
        <v>8</v>
      </c>
      <c r="R159" s="51">
        <v>7.4</v>
      </c>
      <c r="S159" s="51">
        <v>5.8</v>
      </c>
      <c r="T159" s="51">
        <v>7.2</v>
      </c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10</v>
      </c>
      <c r="AQ159" s="89" t="str">
        <f t="shared" si="12"/>
        <v/>
      </c>
      <c r="AR159" s="89">
        <f>IFERROR(VLOOKUP(A159,Climatologia!A:U,9+$E$2,FALSE),"")</f>
        <v>5.3538730472619971</v>
      </c>
      <c r="AS159" s="89" t="str">
        <f t="shared" si="13"/>
        <v/>
      </c>
      <c r="AT159" s="90">
        <f t="shared" si="14"/>
        <v>4.5999999999999996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30607</v>
      </c>
      <c r="AW159" s="92">
        <f t="shared" si="15"/>
        <v>6.6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22.8</v>
      </c>
      <c r="L160" s="51">
        <v>21</v>
      </c>
      <c r="M160" s="51">
        <v>21.4</v>
      </c>
      <c r="N160" s="51">
        <v>21.4</v>
      </c>
      <c r="O160" s="51">
        <v>21.8</v>
      </c>
      <c r="P160" s="51">
        <v>23</v>
      </c>
      <c r="Q160" s="51">
        <v>21.6</v>
      </c>
      <c r="R160" s="51">
        <v>21.4</v>
      </c>
      <c r="S160" s="51">
        <v>22</v>
      </c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9</v>
      </c>
      <c r="AQ160" s="89" t="str">
        <f t="shared" si="12"/>
        <v/>
      </c>
      <c r="AR160" s="89">
        <f>IFERROR(VLOOKUP(A160,Climatologia!A:U,9+$E$2,FALSE),"")</f>
        <v>20.796531676004431</v>
      </c>
      <c r="AS160" s="89" t="str">
        <f t="shared" si="13"/>
        <v/>
      </c>
      <c r="AT160" s="90">
        <f t="shared" si="14"/>
        <v>21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15.8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32075</v>
      </c>
      <c r="AW160" s="92">
        <f t="shared" si="15"/>
        <v>5.1999999999999993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15.2</v>
      </c>
      <c r="L161" s="51">
        <v>16</v>
      </c>
      <c r="M161" s="51">
        <v>15.4</v>
      </c>
      <c r="N161" s="51">
        <v>15</v>
      </c>
      <c r="O161" s="51">
        <v>15</v>
      </c>
      <c r="P161" s="51">
        <v>15.2</v>
      </c>
      <c r="Q161" s="51">
        <v>15</v>
      </c>
      <c r="R161" s="51">
        <v>14.8</v>
      </c>
      <c r="S161" s="51">
        <v>13.4</v>
      </c>
      <c r="T161" s="51">
        <v>16</v>
      </c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10</v>
      </c>
      <c r="AQ161" s="89" t="str">
        <f t="shared" si="12"/>
        <v/>
      </c>
      <c r="AR161" s="89">
        <f>IFERROR(VLOOKUP(A161,Climatologia!A:U,9+$E$2,FALSE),"")</f>
        <v>13.775271381572029</v>
      </c>
      <c r="AS161" s="89" t="str">
        <f t="shared" si="13"/>
        <v/>
      </c>
      <c r="AT161" s="90">
        <f t="shared" si="14"/>
        <v>13.4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31349</v>
      </c>
      <c r="AW161" s="92">
        <f t="shared" si="15"/>
        <v>3.4000000000000004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17</v>
      </c>
      <c r="L162" s="51">
        <v>18.600000000000001</v>
      </c>
      <c r="M162" s="51">
        <v>18</v>
      </c>
      <c r="N162" s="51">
        <v>19</v>
      </c>
      <c r="O162" s="51">
        <v>18.600000000000001</v>
      </c>
      <c r="P162" s="51">
        <v>17.600000000000001</v>
      </c>
      <c r="Q162" s="51">
        <v>18</v>
      </c>
      <c r="R162" s="51">
        <v>18.600000000000001</v>
      </c>
      <c r="S162" s="51">
        <v>18</v>
      </c>
      <c r="T162" s="51">
        <v>17.600000000000001</v>
      </c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10</v>
      </c>
      <c r="AQ162" s="89" t="str">
        <f t="shared" si="12"/>
        <v/>
      </c>
      <c r="AR162" s="89">
        <f>IFERROR(VLOOKUP(A162,Climatologia!A:U,9+$E$2,FALSE),"")</f>
        <v>18.138279569892479</v>
      </c>
      <c r="AS162" s="89" t="str">
        <f t="shared" si="13"/>
        <v/>
      </c>
      <c r="AT162" s="90">
        <f t="shared" si="14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38270</v>
      </c>
      <c r="AW162" s="92">
        <f t="shared" si="15"/>
        <v>2.8000000000000007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19.8</v>
      </c>
      <c r="L163" s="51">
        <v>19.600000000000001</v>
      </c>
      <c r="M163" s="51">
        <v>19.399999999999999</v>
      </c>
      <c r="N163" s="51">
        <v>18.600000000000001</v>
      </c>
      <c r="O163" s="51">
        <v>20.399999999999999</v>
      </c>
      <c r="P163" s="51">
        <v>19.600000000000001</v>
      </c>
      <c r="Q163" s="51">
        <v>21</v>
      </c>
      <c r="R163" s="51">
        <v>20.399999999999999</v>
      </c>
      <c r="S163" s="51">
        <v>17.399999999999999</v>
      </c>
      <c r="T163" s="51">
        <v>19.2</v>
      </c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10</v>
      </c>
      <c r="AQ163" s="89" t="str">
        <f t="shared" si="12"/>
        <v/>
      </c>
      <c r="AR163" s="89">
        <f>IFERROR(VLOOKUP(A163,Climatologia!A:U,9+$E$2,FALSE),"")</f>
        <v>19.20511663753377</v>
      </c>
      <c r="AS163" s="89" t="str">
        <f t="shared" si="13"/>
        <v/>
      </c>
      <c r="AT163" s="90">
        <f t="shared" si="14"/>
        <v>17.399999999999999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28429</v>
      </c>
      <c r="AW163" s="92">
        <f t="shared" si="15"/>
        <v>1.9999999999999982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0</v>
      </c>
      <c r="AQ164" s="89" t="str">
        <f t="shared" si="12"/>
        <v/>
      </c>
      <c r="AR164" s="89">
        <f>IFERROR(VLOOKUP(A164,Climatologia!A:U,9+$E$2,FALSE),"")</f>
        <v>7.9710857199900573</v>
      </c>
      <c r="AS164" s="89" t="str">
        <f t="shared" si="13"/>
        <v/>
      </c>
      <c r="AT164" s="90" t="str">
        <f t="shared" si="14"/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2.4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33881</v>
      </c>
      <c r="AW164" s="92" t="str">
        <f t="shared" si="15"/>
        <v>NA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</v>
      </c>
      <c r="L165" s="51">
        <v>20</v>
      </c>
      <c r="M165" s="51">
        <v>18.399999999999999</v>
      </c>
      <c r="N165" s="51">
        <v>18</v>
      </c>
      <c r="O165" s="51">
        <v>19</v>
      </c>
      <c r="P165" s="51">
        <v>18</v>
      </c>
      <c r="Q165" s="51">
        <v>18.2</v>
      </c>
      <c r="R165" s="51">
        <v>18</v>
      </c>
      <c r="S165" s="51">
        <v>18.2</v>
      </c>
      <c r="T165" s="51">
        <v>19</v>
      </c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10</v>
      </c>
      <c r="AQ165" s="89" t="str">
        <f t="shared" si="12"/>
        <v/>
      </c>
      <c r="AR165" s="89">
        <f>IFERROR(VLOOKUP(A165,Climatologia!A:U,9+$E$2,FALSE),"")</f>
        <v>17.76960295060843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30971</v>
      </c>
      <c r="AW165" s="92">
        <f t="shared" si="15"/>
        <v>5.1999999999999993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17.404141951993271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30981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15.397281915237979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30226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19.600000000000001</v>
      </c>
      <c r="L168" s="51">
        <v>19.8</v>
      </c>
      <c r="M168" s="51">
        <v>19.399999999999999</v>
      </c>
      <c r="N168" s="51">
        <v>18.600000000000001</v>
      </c>
      <c r="O168" s="51">
        <v>19.2</v>
      </c>
      <c r="P168" s="51">
        <v>19.399999999999999</v>
      </c>
      <c r="Q168" s="51">
        <v>19.600000000000001</v>
      </c>
      <c r="R168" s="51">
        <v>19.8</v>
      </c>
      <c r="S168" s="51">
        <v>19.600000000000001</v>
      </c>
      <c r="T168" s="51">
        <v>19.2</v>
      </c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10</v>
      </c>
      <c r="AQ168" s="89" t="str">
        <f t="shared" si="12"/>
        <v/>
      </c>
      <c r="AR168" s="89">
        <f>IFERROR(VLOOKUP(A168,Climatologia!A:U,9+$E$2,FALSE),"")</f>
        <v>19.143790433205009</v>
      </c>
      <c r="AS168" s="89" t="str">
        <f t="shared" si="13"/>
        <v/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15.4</v>
      </c>
      <c r="L169" s="51">
        <v>15.6</v>
      </c>
      <c r="M169" s="51">
        <v>14</v>
      </c>
      <c r="N169" s="51">
        <v>14.4</v>
      </c>
      <c r="O169" s="51">
        <v>13.4</v>
      </c>
      <c r="P169" s="51">
        <v>13.8</v>
      </c>
      <c r="Q169" s="51">
        <v>15</v>
      </c>
      <c r="R169" s="51">
        <v>16</v>
      </c>
      <c r="S169" s="51">
        <v>15.2</v>
      </c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9</v>
      </c>
      <c r="AQ169" s="89" t="str">
        <f t="shared" si="12"/>
        <v/>
      </c>
      <c r="AR169" s="89">
        <f>IFERROR(VLOOKUP(A169,Climatologia!A:U,9+$E$2,FALSE),"")</f>
        <v>13.77605041757155</v>
      </c>
      <c r="AS169" s="89" t="str">
        <f t="shared" si="13"/>
        <v/>
      </c>
      <c r="AT169" s="90">
        <f t="shared" si="14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10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34625</v>
      </c>
      <c r="AW169" s="92">
        <f t="shared" si="15"/>
        <v>3.4000000000000004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11.63741521918941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39010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23</v>
      </c>
      <c r="L171" s="51">
        <v>23.6</v>
      </c>
      <c r="M171" s="51">
        <v>23</v>
      </c>
      <c r="N171" s="51">
        <v>23.6</v>
      </c>
      <c r="O171" s="51">
        <v>23.6</v>
      </c>
      <c r="P171" s="51">
        <v>23.8</v>
      </c>
      <c r="Q171" s="51">
        <v>23</v>
      </c>
      <c r="R171" s="51">
        <v>23.4</v>
      </c>
      <c r="S171" s="51">
        <v>24</v>
      </c>
      <c r="T171" s="51">
        <v>22.2</v>
      </c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10</v>
      </c>
      <c r="AQ171" s="89" t="str">
        <f t="shared" si="12"/>
        <v/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22.2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34620</v>
      </c>
      <c r="AW171" s="92">
        <f t="shared" si="15"/>
        <v>4.1999999999999993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22.47109010011124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40452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22.685475462493262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38639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20.6</v>
      </c>
      <c r="L174" s="51">
        <v>22.6</v>
      </c>
      <c r="M174" s="51">
        <v>19.8</v>
      </c>
      <c r="N174" s="51">
        <v>22.2</v>
      </c>
      <c r="O174" s="51">
        <v>21.2</v>
      </c>
      <c r="P174" s="51">
        <v>21.4</v>
      </c>
      <c r="Q174" s="51">
        <v>19.8</v>
      </c>
      <c r="R174" s="51">
        <v>21</v>
      </c>
      <c r="S174" s="51">
        <v>21.2</v>
      </c>
      <c r="T174" s="51">
        <v>20</v>
      </c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10</v>
      </c>
      <c r="AQ174" s="89" t="str">
        <f t="shared" si="12"/>
        <v/>
      </c>
      <c r="AR174" s="89">
        <f>IFERROR(VLOOKUP(A174,Climatologia!A:U,9+$E$2,FALSE),"")</f>
        <v>20.974954671150471</v>
      </c>
      <c r="AS174" s="89" t="str">
        <f t="shared" si="13"/>
        <v/>
      </c>
      <c r="AT174" s="90">
        <f t="shared" si="14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33878</v>
      </c>
      <c r="AW174" s="92">
        <f t="shared" si="15"/>
        <v>3.8000000000000007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22.6</v>
      </c>
      <c r="L175" s="51">
        <v>23.3</v>
      </c>
      <c r="M175" s="51">
        <v>22</v>
      </c>
      <c r="N175" s="51">
        <v>23.4</v>
      </c>
      <c r="O175" s="51">
        <v>22.8</v>
      </c>
      <c r="P175" s="51">
        <v>23.2</v>
      </c>
      <c r="Q175" s="51">
        <v>21.4</v>
      </c>
      <c r="R175" s="51">
        <v>21.4</v>
      </c>
      <c r="S175" s="51">
        <v>22.8</v>
      </c>
      <c r="T175" s="51">
        <v>22.4</v>
      </c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10</v>
      </c>
      <c r="AQ175" s="89" t="str">
        <f t="shared" si="12"/>
        <v/>
      </c>
      <c r="AR175" s="89">
        <f>IFERROR(VLOOKUP(A175,Climatologia!A:U,9+$E$2,FALSE),"")</f>
        <v>21.443565454855779</v>
      </c>
      <c r="AS175" s="89" t="str">
        <f t="shared" si="13"/>
        <v/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16.8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36089</v>
      </c>
      <c r="AW175" s="92">
        <f t="shared" si="15"/>
        <v>4.5999999999999979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33159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12.4</v>
      </c>
      <c r="L178" s="51">
        <v>14</v>
      </c>
      <c r="M178" s="51">
        <v>13.4</v>
      </c>
      <c r="N178" s="51">
        <v>13.6</v>
      </c>
      <c r="O178" s="51">
        <v>14.4</v>
      </c>
      <c r="P178" s="51">
        <v>13.6</v>
      </c>
      <c r="Q178" s="51">
        <v>13.4</v>
      </c>
      <c r="R178" s="51">
        <v>13.6</v>
      </c>
      <c r="S178" s="51">
        <v>13.8</v>
      </c>
      <c r="T178" s="51">
        <v>14</v>
      </c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38628</v>
      </c>
      <c r="AW178" s="92">
        <f t="shared" si="15"/>
        <v>2.4000000000000004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23.4</v>
      </c>
      <c r="L179" s="51">
        <v>23.4</v>
      </c>
      <c r="M179" s="51">
        <v>23.8</v>
      </c>
      <c r="N179" s="51">
        <v>24.8</v>
      </c>
      <c r="O179" s="51">
        <v>24</v>
      </c>
      <c r="P179" s="51">
        <v>24</v>
      </c>
      <c r="Q179" s="51">
        <v>21.8</v>
      </c>
      <c r="R179" s="51">
        <v>22.4</v>
      </c>
      <c r="S179" s="51">
        <v>21.2</v>
      </c>
      <c r="T179" s="51">
        <v>22.4</v>
      </c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10</v>
      </c>
      <c r="AQ179" s="89" t="str">
        <f t="shared" si="12"/>
        <v/>
      </c>
      <c r="AR179" s="89">
        <f>IFERROR(VLOOKUP(A179,Climatologia!A:U,9+$E$2,FALSE),"")</f>
        <v>22.710286109345489</v>
      </c>
      <c r="AS179" s="89" t="str">
        <f t="shared" si="13"/>
        <v/>
      </c>
      <c r="AT179" s="90">
        <f t="shared" si="14"/>
        <v>21.2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36819</v>
      </c>
      <c r="AW179" s="92">
        <f t="shared" si="15"/>
        <v>2.1999999999999993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23.4</v>
      </c>
      <c r="M180" s="51">
        <v>22.6</v>
      </c>
      <c r="N180" s="51">
        <v>23.4</v>
      </c>
      <c r="O180" s="51">
        <v>22</v>
      </c>
      <c r="P180" s="51">
        <v>22.4</v>
      </c>
      <c r="Q180" s="51">
        <v>21.6</v>
      </c>
      <c r="R180" s="51">
        <v>22</v>
      </c>
      <c r="S180" s="51">
        <v>21</v>
      </c>
      <c r="T180" s="51">
        <v>24.8</v>
      </c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10</v>
      </c>
      <c r="AQ180" s="89" t="str">
        <f t="shared" si="12"/>
        <v/>
      </c>
      <c r="AR180" s="89">
        <f>IFERROR(VLOOKUP(A180,Climatologia!A:U,9+$E$2,FALSE),"")</f>
        <v>21.63285896979399</v>
      </c>
      <c r="AS180" s="89" t="str">
        <f t="shared" si="13"/>
        <v/>
      </c>
      <c r="AT180" s="90">
        <f t="shared" si="14"/>
        <v>21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16.600000000000001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36449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13.2</v>
      </c>
      <c r="L181" s="51">
        <v>13.6</v>
      </c>
      <c r="M181" s="51">
        <v>14</v>
      </c>
      <c r="N181" s="51">
        <v>13</v>
      </c>
      <c r="O181" s="51">
        <v>12.8</v>
      </c>
      <c r="P181" s="51">
        <v>13.2</v>
      </c>
      <c r="Q181" s="51">
        <v>13.6</v>
      </c>
      <c r="R181" s="51">
        <v>13.4</v>
      </c>
      <c r="S181" s="51">
        <v>13.2</v>
      </c>
      <c r="T181" s="51">
        <v>14</v>
      </c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10</v>
      </c>
      <c r="AQ181" s="89" t="str">
        <f t="shared" si="12"/>
        <v/>
      </c>
      <c r="AR181" s="89">
        <f>IFERROR(VLOOKUP(A181,Climatologia!A:U,9+$E$2,FALSE),"")</f>
        <v>14.304930663700411</v>
      </c>
      <c r="AS181" s="89" t="str">
        <f t="shared" si="13"/>
        <v/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17.8</v>
      </c>
      <c r="L182" s="51">
        <v>17.2</v>
      </c>
      <c r="M182" s="51">
        <v>18.2</v>
      </c>
      <c r="N182" s="51">
        <v>18.2</v>
      </c>
      <c r="O182" s="51">
        <v>18.600000000000001</v>
      </c>
      <c r="P182" s="51">
        <v>18.2</v>
      </c>
      <c r="Q182" s="51">
        <v>19.8</v>
      </c>
      <c r="R182" s="51">
        <v>17.8</v>
      </c>
      <c r="S182" s="51">
        <v>19.2</v>
      </c>
      <c r="T182" s="51">
        <v>18.2</v>
      </c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10</v>
      </c>
      <c r="AQ182" s="89" t="str">
        <f t="shared" si="12"/>
        <v/>
      </c>
      <c r="AR182" s="89">
        <f>IFERROR(VLOOKUP(A182,Climatologia!A:U,9+$E$2,FALSE),"")</f>
        <v>19.549499730100031</v>
      </c>
      <c r="AS182" s="89" t="str">
        <f t="shared" si="13"/>
        <v/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17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28786</v>
      </c>
      <c r="AW182" s="92">
        <f t="shared" si="15"/>
        <v>0.19999999999999929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21.6</v>
      </c>
      <c r="L183" s="51">
        <v>21.6</v>
      </c>
      <c r="M183" s="51">
        <v>21.6</v>
      </c>
      <c r="N183" s="51"/>
      <c r="O183" s="51"/>
      <c r="P183" s="51">
        <v>20.8</v>
      </c>
      <c r="Q183" s="51">
        <v>20.8</v>
      </c>
      <c r="R183" s="51">
        <v>21.6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6</v>
      </c>
      <c r="AQ183" s="89" t="str">
        <f t="shared" si="12"/>
        <v/>
      </c>
      <c r="AR183" s="89">
        <f>IFERROR(VLOOKUP(A183,Climatologia!A:U,9+$E$2,FALSE),"")</f>
        <v>20.178595388173811</v>
      </c>
      <c r="AS183" s="89" t="str">
        <f t="shared" si="13"/>
        <v/>
      </c>
      <c r="AT183" s="90">
        <f t="shared" si="14"/>
        <v>20.8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31333</v>
      </c>
      <c r="AW183" s="92">
        <f t="shared" si="15"/>
        <v>3.4000000000000021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</v>
      </c>
      <c r="L184" s="51">
        <v>17.2</v>
      </c>
      <c r="M184" s="51">
        <v>15.8</v>
      </c>
      <c r="N184" s="51">
        <v>15.8</v>
      </c>
      <c r="O184" s="51">
        <v>17</v>
      </c>
      <c r="P184" s="51">
        <v>17</v>
      </c>
      <c r="Q184" s="51">
        <v>16</v>
      </c>
      <c r="R184" s="51">
        <v>17</v>
      </c>
      <c r="S184" s="51">
        <v>17.399999999999999</v>
      </c>
      <c r="T184" s="51">
        <v>16.8</v>
      </c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10</v>
      </c>
      <c r="AQ184" s="89" t="str">
        <f t="shared" si="12"/>
        <v/>
      </c>
      <c r="AR184" s="89">
        <f>IFERROR(VLOOKUP(A184,Climatologia!A:U,9+$E$2,FALSE),"")</f>
        <v>16.70182893940402</v>
      </c>
      <c r="AS184" s="89" t="str">
        <f t="shared" si="13"/>
        <v/>
      </c>
      <c r="AT184" s="90">
        <f t="shared" si="14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31690</v>
      </c>
      <c r="AW184" s="92">
        <f t="shared" si="15"/>
        <v>3.8000000000000007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</v>
      </c>
      <c r="L185" s="51">
        <v>21.2</v>
      </c>
      <c r="M185" s="51">
        <v>21.6</v>
      </c>
      <c r="N185" s="51">
        <v>22</v>
      </c>
      <c r="O185" s="51">
        <v>21.2</v>
      </c>
      <c r="P185" s="51">
        <v>21.4</v>
      </c>
      <c r="Q185" s="51">
        <v>21.2</v>
      </c>
      <c r="R185" s="51">
        <v>21</v>
      </c>
      <c r="S185" s="51">
        <v>21</v>
      </c>
      <c r="T185" s="51">
        <v>21.6</v>
      </c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10</v>
      </c>
      <c r="AQ185" s="89" t="str">
        <f t="shared" si="12"/>
        <v/>
      </c>
      <c r="AR185" s="89">
        <f>IFERROR(VLOOKUP(A185,Climatologia!A:U,9+$E$2,FALSE),"")</f>
        <v>20.093982864558509</v>
      </c>
      <c r="AS185" s="89" t="str">
        <f t="shared" si="13"/>
        <v/>
      </c>
      <c r="AT185" s="90">
        <f t="shared" si="14"/>
        <v>21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16.8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37556</v>
      </c>
      <c r="AW185" s="92">
        <f t="shared" si="15"/>
        <v>4.1999999999999993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16.600000000000001</v>
      </c>
      <c r="L186" s="51">
        <v>18</v>
      </c>
      <c r="M186" s="51">
        <v>17.2</v>
      </c>
      <c r="N186" s="51">
        <v>17.2</v>
      </c>
      <c r="O186" s="51">
        <v>17</v>
      </c>
      <c r="P186" s="51">
        <v>17.600000000000001</v>
      </c>
      <c r="Q186" s="51">
        <v>16.8</v>
      </c>
      <c r="R186" s="51">
        <v>17.2</v>
      </c>
      <c r="S186" s="51">
        <v>17.399999999999999</v>
      </c>
      <c r="T186" s="51">
        <v>17.2</v>
      </c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10</v>
      </c>
      <c r="AQ186" s="89" t="str">
        <f t="shared" si="12"/>
        <v/>
      </c>
      <c r="AR186" s="89">
        <f>IFERROR(VLOOKUP(A186,Climatologia!A:U,9+$E$2,FALSE),"")</f>
        <v>16.635234657718009</v>
      </c>
      <c r="AS186" s="89" t="str">
        <f t="shared" si="13"/>
        <v/>
      </c>
      <c r="AT186" s="90">
        <f t="shared" si="14"/>
        <v>16.600000000000001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32424</v>
      </c>
      <c r="AW186" s="92">
        <f t="shared" si="15"/>
        <v>2.6000000000000014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20.8</v>
      </c>
      <c r="L187" s="51">
        <v>21.2</v>
      </c>
      <c r="M187" s="51">
        <v>21.4</v>
      </c>
      <c r="N187" s="51">
        <v>21.6</v>
      </c>
      <c r="O187" s="51">
        <v>22.2</v>
      </c>
      <c r="P187" s="51">
        <v>22.8</v>
      </c>
      <c r="Q187" s="51">
        <v>19.8</v>
      </c>
      <c r="R187" s="51">
        <v>19.399999999999999</v>
      </c>
      <c r="S187" s="51">
        <v>21.2</v>
      </c>
      <c r="T187" s="51">
        <v>20.2</v>
      </c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10</v>
      </c>
      <c r="AQ187" s="89" t="str">
        <f t="shared" si="12"/>
        <v/>
      </c>
      <c r="AR187" s="89">
        <f>IFERROR(VLOOKUP(A187,Climatologia!A:U,9+$E$2,FALSE),"")</f>
        <v>19.946410713663219</v>
      </c>
      <c r="AS187" s="89" t="str">
        <f t="shared" si="13"/>
        <v/>
      </c>
      <c r="AT187" s="90">
        <f t="shared" si="14"/>
        <v>19.399999999999999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16.399999999999999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29866</v>
      </c>
      <c r="AW187" s="92">
        <f t="shared" si="15"/>
        <v>3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18.600000000000001</v>
      </c>
      <c r="L188" s="51">
        <v>19.399999999999999</v>
      </c>
      <c r="M188" s="51">
        <v>18.2</v>
      </c>
      <c r="N188" s="51">
        <v>18</v>
      </c>
      <c r="O188" s="51">
        <v>19.2</v>
      </c>
      <c r="P188" s="51">
        <v>20</v>
      </c>
      <c r="Q188" s="51">
        <v>17.8</v>
      </c>
      <c r="R188" s="51">
        <v>18</v>
      </c>
      <c r="S188" s="51">
        <v>18.2</v>
      </c>
      <c r="T188" s="51">
        <v>18.600000000000001</v>
      </c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10</v>
      </c>
      <c r="AQ188" s="89" t="str">
        <f t="shared" si="12"/>
        <v/>
      </c>
      <c r="AR188" s="89">
        <f>IFERROR(VLOOKUP(A188,Climatologia!A:U,9+$E$2,FALSE),"")</f>
        <v>15.62534760845384</v>
      </c>
      <c r="AS188" s="89" t="str">
        <f t="shared" si="13"/>
        <v/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39014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14.6</v>
      </c>
      <c r="L189" s="51">
        <v>15</v>
      </c>
      <c r="M189" s="51">
        <v>14</v>
      </c>
      <c r="N189" s="51">
        <v>11.8</v>
      </c>
      <c r="O189" s="51">
        <v>13.4</v>
      </c>
      <c r="P189" s="51">
        <v>14.4</v>
      </c>
      <c r="Q189" s="51">
        <v>13.4</v>
      </c>
      <c r="R189" s="51">
        <v>14.2</v>
      </c>
      <c r="S189" s="51">
        <v>15</v>
      </c>
      <c r="T189" s="51">
        <v>14.2</v>
      </c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10</v>
      </c>
      <c r="AQ189" s="89" t="str">
        <f t="shared" si="12"/>
        <v/>
      </c>
      <c r="AR189" s="89">
        <f>IFERROR(VLOOKUP(A189,Climatologia!A:U,9+$E$2,FALSE),"")</f>
        <v>11.118537209889681</v>
      </c>
      <c r="AS189" s="89" t="str">
        <f t="shared" si="13"/>
        <v/>
      </c>
      <c r="AT189" s="90">
        <f t="shared" si="14"/>
        <v>11.8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11.6</v>
      </c>
      <c r="L190" s="51">
        <v>12</v>
      </c>
      <c r="M190" s="51">
        <v>9</v>
      </c>
      <c r="N190" s="51">
        <v>6.8</v>
      </c>
      <c r="O190" s="51">
        <v>8</v>
      </c>
      <c r="P190" s="51">
        <v>11.2</v>
      </c>
      <c r="Q190" s="51">
        <v>11.6</v>
      </c>
      <c r="R190" s="51">
        <v>11.2</v>
      </c>
      <c r="S190" s="51">
        <v>11</v>
      </c>
      <c r="T190" s="51">
        <v>12</v>
      </c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10</v>
      </c>
      <c r="AQ190" s="89" t="str">
        <f t="shared" si="12"/>
        <v/>
      </c>
      <c r="AR190" s="89">
        <f>IFERROR(VLOOKUP(A190,Climatologia!A:U,9+$E$2,FALSE),"")</f>
        <v>7.1266058845780744</v>
      </c>
      <c r="AS190" s="89" t="str">
        <f t="shared" si="13"/>
        <v/>
      </c>
      <c r="AT190" s="90">
        <f t="shared" si="14"/>
        <v>6.8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-0.7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90" s="92">
        <f t="shared" si="15"/>
        <v>7.5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20.6</v>
      </c>
      <c r="L191" s="51">
        <v>21</v>
      </c>
      <c r="M191" s="51">
        <v>21.2</v>
      </c>
      <c r="N191" s="51">
        <v>21.4</v>
      </c>
      <c r="O191" s="51">
        <v>22.2</v>
      </c>
      <c r="P191" s="51">
        <v>22.8</v>
      </c>
      <c r="Q191" s="51">
        <v>20</v>
      </c>
      <c r="R191" s="51">
        <v>20.2</v>
      </c>
      <c r="S191" s="51">
        <v>20</v>
      </c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9</v>
      </c>
      <c r="AQ191" s="89" t="str">
        <f t="shared" si="12"/>
        <v/>
      </c>
      <c r="AR191" s="89">
        <f>IFERROR(VLOOKUP(A191,Climatologia!A:U,9+$E$2,FALSE),"")</f>
        <v>19.90889044807621</v>
      </c>
      <c r="AS191" s="89" t="str">
        <f t="shared" si="13"/>
        <v/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10.4</v>
      </c>
      <c r="L192" s="51">
        <v>11.2</v>
      </c>
      <c r="M192" s="51">
        <v>10.6</v>
      </c>
      <c r="N192" s="51">
        <v>8.1999999999999993</v>
      </c>
      <c r="O192" s="51">
        <v>8.1999999999999993</v>
      </c>
      <c r="P192" s="51">
        <v>10</v>
      </c>
      <c r="Q192" s="51">
        <v>10.4</v>
      </c>
      <c r="R192" s="51">
        <v>9.1999999999999993</v>
      </c>
      <c r="S192" s="51">
        <v>11.2</v>
      </c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9</v>
      </c>
      <c r="AQ192" s="89" t="str">
        <f t="shared" si="12"/>
        <v/>
      </c>
      <c r="AR192" s="89">
        <f>IFERROR(VLOOKUP(A192,Climatologia!A:U,9+$E$2,FALSE),"")</f>
        <v>7.4093001151404936</v>
      </c>
      <c r="AS192" s="89" t="str">
        <f t="shared" si="13"/>
        <v/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1.5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2" s="92">
        <f t="shared" si="15"/>
        <v>6.6999999999999993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10.199999999999999</v>
      </c>
      <c r="L193" s="51">
        <v>11</v>
      </c>
      <c r="M193" s="51">
        <v>11</v>
      </c>
      <c r="N193" s="51">
        <v>7</v>
      </c>
      <c r="O193" s="51">
        <v>6.6</v>
      </c>
      <c r="P193" s="51">
        <v>10</v>
      </c>
      <c r="Q193" s="51">
        <v>9.6</v>
      </c>
      <c r="R193" s="51">
        <v>10</v>
      </c>
      <c r="S193" s="51"/>
      <c r="T193" s="51">
        <v>10.4</v>
      </c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9</v>
      </c>
      <c r="AQ193" s="89" t="str">
        <f t="shared" si="12"/>
        <v/>
      </c>
      <c r="AR193" s="89">
        <f>IFERROR(VLOOKUP(A193,Climatologia!A:U,9+$E$2,FALSE),"")</f>
        <v>7.4165936534420949</v>
      </c>
      <c r="AS193" s="89" t="str">
        <f t="shared" si="13"/>
        <v/>
      </c>
      <c r="AT193" s="90">
        <f t="shared" si="14"/>
        <v>6.6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29871</v>
      </c>
      <c r="AW193" s="92">
        <f t="shared" si="15"/>
        <v>5.3999999999999995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7.8770602663928564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4.5999999999999996</v>
      </c>
      <c r="L195" s="51">
        <v>6.2</v>
      </c>
      <c r="M195" s="51">
        <v>6.6</v>
      </c>
      <c r="N195" s="51">
        <v>5.8</v>
      </c>
      <c r="O195" s="51">
        <v>6.2</v>
      </c>
      <c r="P195" s="51">
        <v>5.6</v>
      </c>
      <c r="Q195" s="51">
        <v>6.2</v>
      </c>
      <c r="R195" s="51">
        <v>6.2</v>
      </c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8</v>
      </c>
      <c r="AQ195" s="89" t="str">
        <f t="shared" si="12"/>
        <v/>
      </c>
      <c r="AR195" s="89">
        <f>IFERROR(VLOOKUP(A195,Climatologia!A:U,9+$E$2,FALSE),"")</f>
        <v>7.2134675716782812</v>
      </c>
      <c r="AS195" s="89" t="str">
        <f t="shared" si="13"/>
        <v/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-0.6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5" s="92">
        <f t="shared" si="15"/>
        <v>5.1999999999999993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11.4</v>
      </c>
      <c r="L196" s="51">
        <v>10.4</v>
      </c>
      <c r="M196" s="51">
        <v>11</v>
      </c>
      <c r="N196" s="51">
        <v>5.2</v>
      </c>
      <c r="O196" s="51">
        <v>8.4</v>
      </c>
      <c r="P196" s="51">
        <v>11</v>
      </c>
      <c r="Q196" s="51">
        <v>11.2</v>
      </c>
      <c r="R196" s="51">
        <v>11.4</v>
      </c>
      <c r="S196" s="51">
        <v>11.2</v>
      </c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9</v>
      </c>
      <c r="AQ196" s="89" t="str">
        <f t="shared" si="12"/>
        <v/>
      </c>
      <c r="AR196" s="89">
        <f>IFERROR(VLOOKUP(A196,Climatologia!A:U,9+$E$2,FALSE),"")</f>
        <v>6.929651069775745</v>
      </c>
      <c r="AS196" s="89" t="str">
        <f t="shared" si="13"/>
        <v/>
      </c>
      <c r="AT196" s="90">
        <f t="shared" si="14"/>
        <v>5.2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33516</v>
      </c>
      <c r="AW196" s="92">
        <f t="shared" si="15"/>
        <v>5.2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9.4</v>
      </c>
      <c r="L197" s="51">
        <v>10.199999999999999</v>
      </c>
      <c r="M197" s="51">
        <v>11.4</v>
      </c>
      <c r="N197" s="51">
        <v>5.2</v>
      </c>
      <c r="O197" s="51">
        <v>9</v>
      </c>
      <c r="P197" s="51">
        <v>8.8000000000000007</v>
      </c>
      <c r="Q197" s="51">
        <v>9.6</v>
      </c>
      <c r="R197" s="51">
        <v>10.4</v>
      </c>
      <c r="S197" s="116">
        <v>10</v>
      </c>
      <c r="T197" s="51">
        <v>10.6</v>
      </c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10</v>
      </c>
      <c r="AQ197" s="89" t="str">
        <f t="shared" ref="AQ197:AQ260" si="17">IF(AP197&gt;14,AVERAGE(K197:AO197),"")</f>
        <v/>
      </c>
      <c r="AR197" s="89">
        <f>IFERROR(VLOOKUP(A197,Climatologia!A:U,9+$E$2,FALSE),"")</f>
        <v>6.916340586625946</v>
      </c>
      <c r="AS197" s="89" t="str">
        <f t="shared" ref="AS197:AS260" si="18">IF(OR(AQ197="",AR197=""),"",IFERROR(AQ197-AR197,""))</f>
        <v/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33176</v>
      </c>
      <c r="AW197" s="92">
        <f t="shared" ref="AW197:AW207" si="20">IF(OR(AT197="",AU197=""),"NA",IFERROR(AT197-AU197,"NA"))</f>
        <v>4.8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12</v>
      </c>
      <c r="L198" s="51">
        <v>12.4</v>
      </c>
      <c r="M198" s="51">
        <v>11.6</v>
      </c>
      <c r="N198" s="51">
        <v>7</v>
      </c>
      <c r="O198" s="51">
        <v>10</v>
      </c>
      <c r="P198" s="51">
        <v>12</v>
      </c>
      <c r="Q198" s="51">
        <v>11.8</v>
      </c>
      <c r="R198" s="51">
        <v>12.2</v>
      </c>
      <c r="S198" s="51">
        <v>11</v>
      </c>
      <c r="T198" s="51">
        <v>12</v>
      </c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10</v>
      </c>
      <c r="AQ198" s="89" t="str">
        <f t="shared" si="17"/>
        <v/>
      </c>
      <c r="AR198" s="89">
        <f>IFERROR(VLOOKUP(A198,Climatologia!A:U,9+$E$2,FALSE),"")</f>
        <v>7.5461399546429204</v>
      </c>
      <c r="AS198" s="89" t="str">
        <f t="shared" si="18"/>
        <v/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-2.6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8" s="92">
        <f t="shared" si="20"/>
        <v>9.6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11.6</v>
      </c>
      <c r="L199" s="51">
        <v>12.2</v>
      </c>
      <c r="M199" s="51">
        <v>11</v>
      </c>
      <c r="N199" s="51">
        <v>10.8</v>
      </c>
      <c r="O199" s="51">
        <v>8</v>
      </c>
      <c r="P199" s="51">
        <v>10</v>
      </c>
      <c r="Q199" s="51">
        <v>11</v>
      </c>
      <c r="R199" s="51">
        <v>12.2</v>
      </c>
      <c r="S199" s="51">
        <v>11.2</v>
      </c>
      <c r="T199" s="51">
        <v>11.8</v>
      </c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10</v>
      </c>
      <c r="AQ199" s="89" t="str">
        <f t="shared" si="17"/>
        <v/>
      </c>
      <c r="AR199" s="89">
        <f>IFERROR(VLOOKUP(A199,Climatologia!A:U,9+$E$2,FALSE),"")</f>
        <v>7.2154494623655934</v>
      </c>
      <c r="AS199" s="89" t="str">
        <f t="shared" si="18"/>
        <v/>
      </c>
      <c r="AT199" s="90">
        <f t="shared" si="19"/>
        <v>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44135</v>
      </c>
      <c r="AW199" s="92">
        <f t="shared" si="20"/>
        <v>8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11.8</v>
      </c>
      <c r="L200" s="51">
        <v>11.4</v>
      </c>
      <c r="M200" s="51">
        <v>9.4</v>
      </c>
      <c r="N200" s="51">
        <v>0</v>
      </c>
      <c r="O200" s="51">
        <v>8.1999999999999993</v>
      </c>
      <c r="P200" s="51">
        <v>12</v>
      </c>
      <c r="Q200" s="51">
        <v>11.8</v>
      </c>
      <c r="R200" s="51">
        <v>12</v>
      </c>
      <c r="S200" s="51">
        <v>10.4</v>
      </c>
      <c r="T200" s="51">
        <v>11.4</v>
      </c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9</v>
      </c>
      <c r="AQ200" s="89" t="str">
        <f t="shared" si="17"/>
        <v/>
      </c>
      <c r="AR200" s="89">
        <f>IFERROR(VLOOKUP(A200,Climatologia!A:U,9+$E$2,FALSE),"")</f>
        <v>7.0053853956985552</v>
      </c>
      <c r="AS200" s="89" t="str">
        <f t="shared" si="18"/>
        <v/>
      </c>
      <c r="AT200" s="90">
        <f t="shared" si="19"/>
        <v>0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41553</v>
      </c>
      <c r="AW200" s="92">
        <f t="shared" si="20"/>
        <v>0.6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11.8</v>
      </c>
      <c r="L201" s="51">
        <v>12.2</v>
      </c>
      <c r="M201" s="51"/>
      <c r="N201" s="51"/>
      <c r="O201" s="51">
        <v>7</v>
      </c>
      <c r="P201" s="51">
        <v>11.8</v>
      </c>
      <c r="Q201" s="51">
        <v>11</v>
      </c>
      <c r="R201" s="51">
        <v>12.2</v>
      </c>
      <c r="S201" s="51">
        <v>11.8</v>
      </c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7</v>
      </c>
      <c r="AQ201" s="89" t="str">
        <f t="shared" si="17"/>
        <v/>
      </c>
      <c r="AR201" s="89">
        <f>IFERROR(VLOOKUP(A201,Climatologia!A:U,9+$E$2,FALSE),"")</f>
        <v>7.3926764348381218</v>
      </c>
      <c r="AS201" s="89" t="str">
        <f t="shared" si="18"/>
        <v/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37542</v>
      </c>
      <c r="AW201" s="92">
        <f t="shared" si="20"/>
        <v>7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11.2</v>
      </c>
      <c r="L202" s="51">
        <v>12</v>
      </c>
      <c r="M202" s="51">
        <v>10.4</v>
      </c>
      <c r="N202" s="51">
        <v>7.6</v>
      </c>
      <c r="O202" s="51">
        <v>8</v>
      </c>
      <c r="P202" s="51">
        <v>10.6</v>
      </c>
      <c r="Q202" s="51">
        <v>11.4</v>
      </c>
      <c r="R202" s="51">
        <v>11.6</v>
      </c>
      <c r="S202" s="51">
        <v>11.6</v>
      </c>
      <c r="T202" s="51">
        <v>11.8</v>
      </c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10</v>
      </c>
      <c r="AQ202" s="89" t="str">
        <f t="shared" si="17"/>
        <v/>
      </c>
      <c r="AR202" s="89">
        <f>IFERROR(VLOOKUP(A202,Climatologia!A:U,9+$E$2,FALSE),"")</f>
        <v>8.0602777159807211</v>
      </c>
      <c r="AS202" s="89" t="str">
        <f t="shared" si="18"/>
        <v/>
      </c>
      <c r="AT202" s="90">
        <f t="shared" si="19"/>
        <v>7.6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37558</v>
      </c>
      <c r="AW202" s="92">
        <f t="shared" si="20"/>
        <v>6.6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5.8</v>
      </c>
      <c r="L203" s="51">
        <v>5.4</v>
      </c>
      <c r="M203" s="51">
        <v>5</v>
      </c>
      <c r="N203" s="51">
        <v>5.6</v>
      </c>
      <c r="O203" s="51">
        <v>6</v>
      </c>
      <c r="P203" s="51">
        <v>6.4</v>
      </c>
      <c r="Q203" s="51">
        <v>5.8</v>
      </c>
      <c r="R203" s="51">
        <v>5.4</v>
      </c>
      <c r="S203" s="51">
        <v>5</v>
      </c>
      <c r="T203" s="51">
        <v>5.6</v>
      </c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10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38266</v>
      </c>
      <c r="AW203" s="92">
        <f t="shared" si="20"/>
        <v>4.8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17.55553869614879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12.2</v>
      </c>
      <c r="L205" s="51">
        <v>12.8</v>
      </c>
      <c r="M205" s="51">
        <v>11.8</v>
      </c>
      <c r="N205" s="51"/>
      <c r="O205" s="51">
        <v>10.4</v>
      </c>
      <c r="P205" s="51">
        <v>13</v>
      </c>
      <c r="Q205" s="51">
        <v>12.4</v>
      </c>
      <c r="R205" s="51">
        <v>11.4</v>
      </c>
      <c r="S205" s="51">
        <v>11.6</v>
      </c>
      <c r="T205" s="51">
        <v>11.8</v>
      </c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9</v>
      </c>
      <c r="AQ205" s="89" t="str">
        <f t="shared" si="17"/>
        <v/>
      </c>
      <c r="AR205" s="89">
        <f>IFERROR(VLOOKUP(A205,Climatologia!A:U,9+$E$2,FALSE),"")</f>
        <v>9.3555941074127951</v>
      </c>
      <c r="AS205" s="89" t="str">
        <f t="shared" si="18"/>
        <v/>
      </c>
      <c r="AT205" s="90">
        <f t="shared" si="19"/>
        <v>10.4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33175</v>
      </c>
      <c r="AW205" s="92">
        <f t="shared" si="20"/>
        <v>9.2000000000000011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6.4</v>
      </c>
      <c r="L206" s="51">
        <v>6.8</v>
      </c>
      <c r="M206" s="51">
        <v>6.6</v>
      </c>
      <c r="N206" s="51">
        <v>4</v>
      </c>
      <c r="O206" s="51">
        <v>5.4</v>
      </c>
      <c r="P206" s="51">
        <v>7.4</v>
      </c>
      <c r="Q206" s="51">
        <v>7</v>
      </c>
      <c r="R206" s="51">
        <v>6.2</v>
      </c>
      <c r="S206" s="51">
        <v>8</v>
      </c>
      <c r="T206" s="51">
        <v>7.4</v>
      </c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10</v>
      </c>
      <c r="AQ206" s="89" t="str">
        <f t="shared" si="17"/>
        <v/>
      </c>
      <c r="AR206" s="89">
        <f>IFERROR(VLOOKUP(A206,Climatologia!A:U,9+$E$2,FALSE),"")</f>
        <v>5.0376216372100684</v>
      </c>
      <c r="AS206" s="89" t="str">
        <f t="shared" si="18"/>
        <v/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37531</v>
      </c>
      <c r="AW206" s="92">
        <f t="shared" si="20"/>
        <v>3.9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24</v>
      </c>
      <c r="L207" s="51">
        <v>24.2</v>
      </c>
      <c r="M207" s="51">
        <v>23.6</v>
      </c>
      <c r="N207" s="51">
        <v>23.8</v>
      </c>
      <c r="O207" s="51"/>
      <c r="P207" s="51">
        <v>24</v>
      </c>
      <c r="Q207" s="51">
        <v>24.2</v>
      </c>
      <c r="R207" s="51">
        <v>23</v>
      </c>
      <c r="S207" s="51">
        <v>23.4</v>
      </c>
      <c r="T207" s="51">
        <v>23.2</v>
      </c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9</v>
      </c>
      <c r="AQ207" s="89" t="str">
        <f t="shared" si="17"/>
        <v/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23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17.399999999999999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36801</v>
      </c>
      <c r="AW207" s="92">
        <f t="shared" si="20"/>
        <v>5.6000000000000014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2" t="s">
        <v>421</v>
      </c>
      <c r="X1" s="123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7" t="s">
        <v>847</v>
      </c>
      <c r="B1" s="127" t="s">
        <v>7</v>
      </c>
      <c r="C1" s="127" t="s">
        <v>10</v>
      </c>
      <c r="D1" s="127" t="s">
        <v>9</v>
      </c>
      <c r="E1" s="127" t="s">
        <v>11</v>
      </c>
      <c r="F1" s="127" t="s">
        <v>15</v>
      </c>
      <c r="G1" s="127" t="s">
        <v>848</v>
      </c>
      <c r="H1" s="124" t="s">
        <v>849</v>
      </c>
      <c r="I1" s="125"/>
      <c r="J1" s="126"/>
      <c r="K1" s="124" t="s">
        <v>850</v>
      </c>
      <c r="L1" s="125"/>
      <c r="M1" s="126"/>
      <c r="N1" s="124" t="s">
        <v>851</v>
      </c>
      <c r="O1" s="125"/>
      <c r="P1" s="126"/>
      <c r="Q1" s="124" t="s">
        <v>852</v>
      </c>
      <c r="R1" s="125"/>
      <c r="S1" s="126"/>
      <c r="T1" s="124" t="s">
        <v>853</v>
      </c>
      <c r="U1" s="125"/>
      <c r="V1" s="126"/>
      <c r="W1" s="124" t="s">
        <v>854</v>
      </c>
      <c r="X1" s="125"/>
      <c r="Y1" s="126"/>
      <c r="Z1" s="124" t="s">
        <v>855</v>
      </c>
      <c r="AA1" s="125"/>
      <c r="AB1" s="126"/>
      <c r="AC1" s="124" t="s">
        <v>856</v>
      </c>
      <c r="AD1" s="125"/>
      <c r="AE1" s="126"/>
      <c r="AF1" s="124" t="s">
        <v>857</v>
      </c>
      <c r="AG1" s="125"/>
      <c r="AH1" s="126"/>
      <c r="AI1" s="124" t="s">
        <v>858</v>
      </c>
      <c r="AJ1" s="125"/>
      <c r="AK1" s="126"/>
      <c r="AL1" s="124" t="s">
        <v>859</v>
      </c>
      <c r="AM1" s="125"/>
      <c r="AN1" s="126"/>
      <c r="AO1" s="124" t="s">
        <v>860</v>
      </c>
      <c r="AP1" s="125"/>
      <c r="AQ1" s="126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8"/>
      <c r="B2" s="128"/>
      <c r="C2" s="128"/>
      <c r="D2" s="128"/>
      <c r="E2" s="128"/>
      <c r="F2" s="128"/>
      <c r="G2" s="128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2026-10-10T15:23:07Z</dcterms:modified>
</cp:coreProperties>
</file>