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E884F386-DEF3-4E38-A774-F89CD1ED84FE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K8" i="1"/>
  <c r="AM8" i="1" s="1"/>
  <c r="AO12" i="1"/>
  <c r="AK10" i="1"/>
  <c r="AM10" i="1" s="1"/>
  <c r="AK6" i="1"/>
  <c r="AM6" i="1" s="1"/>
  <c r="AO7" i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<sst xmlns="http://schemas.openxmlformats.org/spreadsheetml/2006/main" count="603" uniqueCount="272">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</sst>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47" sqref="P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32.5</v>
      </c>
      <c r="AL5" s="22">
        <v>33.700000000000003</v>
      </c>
      <c r="AM5" s="23">
        <f>IF(AK5&gt;0,$AK5-$AL5,"")</f>
        <v>-1.2000000000000028</v>
      </c>
      <c r="AN5" s="23">
        <v>30.443359430706479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32.200000000000003</v>
      </c>
      <c r="AK6" s="21">
        <f t="shared" ref="AK6:AK48" si="1">+MAX($E6:$AI6)</f>
        <v>32.6</v>
      </c>
      <c r="AL6" s="22">
        <v>32.799999999999997</v>
      </c>
      <c r="AM6" s="23">
        <f t="shared" ref="AM6:AM48" si="2">IF(AK6&gt;0,$AK6-$AL6,"")</f>
        <v>-0.19999999999999574</v>
      </c>
      <c r="AN6" s="23">
        <v>30.717848543332419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34.299999999999997</v>
      </c>
      <c r="AK7" s="21">
        <f t="shared" si="1"/>
        <v>34.9</v>
      </c>
      <c r="AL7" s="22">
        <v>36.200000000000003</v>
      </c>
      <c r="AM7" s="23">
        <f t="shared" si="2"/>
        <v>-1.3000000000000043</v>
      </c>
      <c r="AN7" s="23">
        <v>32.441611386675547</v>
      </c>
      <c r="AO7" s="23" t="str">
        <f t="shared" si="3"/>
        <v/>
      </c>
      <c r="AP7" s="23" t="str">
        <f t="shared" si="4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33.200000000000003</v>
      </c>
      <c r="AK8" s="21">
        <f t="shared" si="1"/>
        <v>34.4</v>
      </c>
      <c r="AL8" s="22">
        <v>36.299999999999997</v>
      </c>
      <c r="AM8" s="23">
        <f t="shared" si="2"/>
        <v>-1.8999999999999986</v>
      </c>
      <c r="AN8" s="23">
        <v>31.669577308120129</v>
      </c>
      <c r="AO8" s="23" t="str">
        <f t="shared" si="3"/>
        <v/>
      </c>
      <c r="AP8" s="23" t="str">
        <f t="shared" si="4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37.1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 t="str">
        <f t="shared" si="3"/>
        <v/>
      </c>
      <c r="AP9" s="23" t="str">
        <f t="shared" si="4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34.299999999999997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 t="str">
        <f t="shared" si="3"/>
        <v/>
      </c>
      <c r="AP10" s="23" t="str">
        <f t="shared" si="4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35.9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 t="str">
        <f t="shared" si="3"/>
        <v/>
      </c>
      <c r="AP11" s="23" t="str">
        <f t="shared" si="4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34.200000000000003</v>
      </c>
      <c r="AK12" s="21">
        <f t="shared" si="1"/>
        <v>34.200000000000003</v>
      </c>
      <c r="AL12" s="22">
        <v>35.4</v>
      </c>
      <c r="AM12" s="23">
        <f t="shared" si="2"/>
        <v>-1.1999999999999957</v>
      </c>
      <c r="AN12" s="23">
        <v>31.112293906810031</v>
      </c>
      <c r="AO12" s="23" t="str">
        <f t="shared" si="3"/>
        <v/>
      </c>
      <c r="AP12" s="23" t="str">
        <f t="shared" si="4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34.799999999999997</v>
      </c>
      <c r="AK13" s="21">
        <f t="shared" si="1"/>
        <v>34.799999999999997</v>
      </c>
      <c r="AL13" s="22">
        <v>35.799999999999997</v>
      </c>
      <c r="AM13" s="23">
        <f t="shared" si="2"/>
        <v>-1</v>
      </c>
      <c r="AN13" s="23">
        <v>31.684333333333331</v>
      </c>
      <c r="AO13" s="23" t="str">
        <f t="shared" si="3"/>
        <v/>
      </c>
      <c r="AP13" s="23" t="str">
        <f t="shared" si="4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34.299999999999997</v>
      </c>
      <c r="AK14" s="21">
        <f t="shared" si="1"/>
        <v>35.200000000000003</v>
      </c>
      <c r="AL14" s="22">
        <v>36.5</v>
      </c>
      <c r="AM14" s="23">
        <f t="shared" si="2"/>
        <v>-1.2999999999999972</v>
      </c>
      <c r="AN14" s="23">
        <v>32.443225831073327</v>
      </c>
      <c r="AO14" s="23" t="str">
        <f t="shared" si="3"/>
        <v/>
      </c>
      <c r="AP14" s="23" t="str">
        <f t="shared" si="4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33.799999999999997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 t="str">
        <f t="shared" si="3"/>
        <v/>
      </c>
      <c r="AP15" s="23" t="str">
        <f t="shared" si="4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31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27.6</v>
      </c>
      <c r="AK18" s="21">
        <f t="shared" si="1"/>
        <v>30</v>
      </c>
      <c r="AL18" s="22">
        <v>32.4</v>
      </c>
      <c r="AM18" s="23">
        <f t="shared" si="2"/>
        <v>-2.3999999999999986</v>
      </c>
      <c r="AN18" s="23">
        <v>25.64850703060381</v>
      </c>
      <c r="AO18" s="23" t="str">
        <f t="shared" ref="AO18:AO33" si="5">IF(COUNTIF(E18:AI18,"&gt;0")&gt;=15,AVERAGE(E18:AI18),"")</f>
        <v/>
      </c>
      <c r="AP18" s="23" t="str">
        <f t="shared" si="4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36.4</v>
      </c>
      <c r="AK19" s="21">
        <f t="shared" si="1"/>
        <v>36.9</v>
      </c>
      <c r="AL19" s="22">
        <v>38.200000000000003</v>
      </c>
      <c r="AM19" s="23">
        <f t="shared" si="2"/>
        <v>-1.3000000000000043</v>
      </c>
      <c r="AN19" s="23">
        <v>33.015015853322303</v>
      </c>
      <c r="AO19" s="23" t="str">
        <f t="shared" si="5"/>
        <v/>
      </c>
      <c r="AP19" s="23" t="str">
        <f t="shared" si="4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31.7</v>
      </c>
      <c r="AK20" s="21">
        <f t="shared" si="1"/>
        <v>32.5</v>
      </c>
      <c r="AL20" s="22">
        <v>31.9</v>
      </c>
      <c r="AM20" s="23">
        <f t="shared" si="2"/>
        <v>0.60000000000000142</v>
      </c>
      <c r="AN20" s="23">
        <v>27.292235561863119</v>
      </c>
      <c r="AO20" s="23" t="str">
        <f t="shared" si="5"/>
        <v/>
      </c>
      <c r="AP20" s="23" t="str">
        <f t="shared" si="4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25.6</v>
      </c>
      <c r="AK21" s="21">
        <f t="shared" si="1"/>
        <v>26</v>
      </c>
      <c r="AL21" s="22">
        <v>25.6</v>
      </c>
      <c r="AM21" s="23">
        <f t="shared" si="2"/>
        <v>0.39999999999999858</v>
      </c>
      <c r="AN21" s="23">
        <v>21.943225806451611</v>
      </c>
      <c r="AO21" s="23" t="str">
        <f t="shared" si="5"/>
        <v/>
      </c>
      <c r="AP21" s="23" t="str">
        <f t="shared" si="4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30.1</v>
      </c>
      <c r="AK23" s="21">
        <f t="shared" si="1"/>
        <v>30.1</v>
      </c>
      <c r="AL23" s="22">
        <v>31.3</v>
      </c>
      <c r="AM23" s="23">
        <f t="shared" si="2"/>
        <v>-1.1999999999999993</v>
      </c>
      <c r="AN23" s="23">
        <v>26.187468982630271</v>
      </c>
      <c r="AO23" s="23" t="str">
        <f t="shared" si="5"/>
        <v/>
      </c>
      <c r="AP23" s="23" t="str">
        <f t="shared" si="4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30.1</v>
      </c>
      <c r="AK24" s="21">
        <f t="shared" si="1"/>
        <v>30.1</v>
      </c>
      <c r="AL24" s="22">
        <v>32.799999999999997</v>
      </c>
      <c r="AM24" s="23">
        <f t="shared" si="2"/>
        <v>-2.6999999999999957</v>
      </c>
      <c r="AN24" s="23">
        <v>27.362560803891451</v>
      </c>
      <c r="AO24" s="23" t="str">
        <f t="shared" si="5"/>
        <v/>
      </c>
      <c r="AP24" s="23" t="str">
        <f t="shared" si="4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29.8</v>
      </c>
      <c r="AK25" s="21">
        <f t="shared" si="1"/>
        <v>31.8</v>
      </c>
      <c r="AL25" s="22">
        <v>36.5</v>
      </c>
      <c r="AM25" s="23">
        <f t="shared" si="2"/>
        <v>-4.6999999999999993</v>
      </c>
      <c r="AN25" s="23">
        <v>28.863902868824429</v>
      </c>
      <c r="AO25" s="23" t="str">
        <f t="shared" si="5"/>
        <v/>
      </c>
      <c r="AP25" s="23" t="str">
        <f t="shared" si="4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21.4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 t="str">
        <f t="shared" si="5"/>
        <v/>
      </c>
      <c r="AP26" s="23" t="str">
        <f t="shared" si="4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22.4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 t="str">
        <f t="shared" si="5"/>
        <v/>
      </c>
      <c r="AP27" s="23" t="str">
        <f t="shared" si="4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31.7</v>
      </c>
      <c r="AK28" s="21">
        <f t="shared" si="1"/>
        <v>33.4</v>
      </c>
      <c r="AL28" s="22">
        <v>33.200000000000003</v>
      </c>
      <c r="AM28" s="23">
        <f t="shared" si="2"/>
        <v>0.19999999999999574</v>
      </c>
      <c r="AN28" s="23">
        <v>29.62065677977936</v>
      </c>
      <c r="AO28" s="23" t="str">
        <f t="shared" si="5"/>
        <v/>
      </c>
      <c r="AP28" s="23" t="str">
        <f t="shared" si="4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37.6</v>
      </c>
      <c r="AK30" s="21">
        <f t="shared" si="1"/>
        <v>38.4</v>
      </c>
      <c r="AL30" s="22">
        <v>40</v>
      </c>
      <c r="AM30" s="23">
        <f t="shared" si="2"/>
        <v>-1.6000000000000014</v>
      </c>
      <c r="AN30" s="23">
        <v>33.398279569892473</v>
      </c>
      <c r="AO30" s="23" t="str">
        <f t="shared" si="5"/>
        <v/>
      </c>
      <c r="AP30" s="23" t="str">
        <f t="shared" si="4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28.6</v>
      </c>
      <c r="AK31" s="21">
        <f t="shared" si="1"/>
        <v>28.6</v>
      </c>
      <c r="AL31" s="22">
        <v>31.3</v>
      </c>
      <c r="AM31" s="23">
        <f t="shared" si="2"/>
        <v>-2.6999999999999993</v>
      </c>
      <c r="AN31" s="23">
        <v>24.31999307872945</v>
      </c>
      <c r="AO31" s="23" t="str">
        <f t="shared" si="5"/>
        <v/>
      </c>
      <c r="AP31" s="23" t="str">
        <f t="shared" si="4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18.8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 t="str">
        <f t="shared" si="5"/>
        <v/>
      </c>
      <c r="AP32" s="23" t="str">
        <f t="shared" si="4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18.8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 t="str">
        <f t="shared" si="5"/>
        <v/>
      </c>
      <c r="AP33" s="23" t="str">
        <f t="shared" si="4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35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 t="str">
        <f>IF(COUNTIF(E35:AI35,"&gt;0")&gt;=15,AVERAGE(E35:AI35),"")</f>
        <v/>
      </c>
      <c r="AP35" s="23" t="str">
        <f t="shared" si="4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34.799999999999997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 t="str">
        <f>IF(COUNTIF(E38:AI38,"&gt;0")&gt;=15,AVERAGE(E38:AI38),"")</f>
        <v/>
      </c>
      <c r="AP38" s="23" t="str">
        <f t="shared" si="4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35.4</v>
      </c>
      <c r="AK39" s="21">
        <f t="shared" si="1"/>
        <v>35.799999999999997</v>
      </c>
      <c r="AL39" s="22">
        <v>36.6</v>
      </c>
      <c r="AM39" s="23">
        <f t="shared" si="2"/>
        <v>-0.80000000000000426</v>
      </c>
      <c r="AN39" s="23">
        <v>33.422727598566297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33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 t="str">
        <f t="shared" si="7"/>
        <v/>
      </c>
      <c r="AP40" s="23" t="str">
        <f t="shared" si="4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33.4</v>
      </c>
      <c r="AK41" s="21">
        <f t="shared" si="1"/>
        <v>33.6</v>
      </c>
      <c r="AL41" s="22">
        <v>35.4</v>
      </c>
      <c r="AM41" s="23">
        <f t="shared" si="2"/>
        <v>-1.7999999999999972</v>
      </c>
      <c r="AN41" s="23">
        <v>31.008190582128289</v>
      </c>
      <c r="AO41" s="23" t="str">
        <f t="shared" si="7"/>
        <v/>
      </c>
      <c r="AP41" s="23" t="str">
        <f t="shared" si="4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31.2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 t="str">
        <f t="shared" si="7"/>
        <v/>
      </c>
      <c r="AP43" s="23" t="str">
        <f t="shared" si="4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</v>
      </c>
      <c r="AK44" s="21">
        <f t="shared" si="1"/>
        <v>34</v>
      </c>
      <c r="AL44" s="22">
        <v>34.6</v>
      </c>
      <c r="AM44" s="23">
        <f t="shared" si="2"/>
        <v>-0.60000000000000142</v>
      </c>
      <c r="AN44" s="23">
        <v>31.086687000841621</v>
      </c>
      <c r="AO44" s="23" t="str">
        <f t="shared" si="7"/>
        <v/>
      </c>
      <c r="AP44" s="23" t="str">
        <f t="shared" si="4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33.4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 t="str">
        <f t="shared" si="7"/>
        <v/>
      </c>
      <c r="AP45" s="23" t="str">
        <f t="shared" si="4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34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 t="str">
        <f t="shared" si="7"/>
        <v/>
      </c>
      <c r="AP48" s="23" t="str">
        <f t="shared" si="4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2026-10-10T14:00:43Z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