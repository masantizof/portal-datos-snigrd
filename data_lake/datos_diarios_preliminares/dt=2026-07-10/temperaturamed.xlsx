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771A90A-D2FF-4FA6-A825-D7E2D0E2BE5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Q206" i="1"/>
  <c r="AS206" i="1" s="1"/>
  <c r="AP206" i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Q201" i="1"/>
  <c r="AS201" i="1" s="1"/>
  <c r="AP201" i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Q196" i="1"/>
  <c r="AS196" i="1" s="1"/>
  <c r="AP196" i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Q191" i="1"/>
  <c r="AS191" i="1" s="1"/>
  <c r="AP191" i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Q186" i="1"/>
  <c r="AS186" i="1" s="1"/>
  <c r="AP186" i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Q176" i="1"/>
  <c r="AS176" i="1" s="1"/>
  <c r="AP176" i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Q171" i="1"/>
  <c r="AS171" i="1" s="1"/>
  <c r="AP171" i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Q166" i="1"/>
  <c r="AS166" i="1" s="1"/>
  <c r="AP166" i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Q161" i="1"/>
  <c r="AS161" i="1" s="1"/>
  <c r="AP161" i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Q156" i="1"/>
  <c r="AS156" i="1" s="1"/>
  <c r="AP156" i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Q151" i="1"/>
  <c r="AS151" i="1" s="1"/>
  <c r="AP151" i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Q146" i="1"/>
  <c r="AS146" i="1" s="1"/>
  <c r="AP146" i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Q141" i="1"/>
  <c r="AS141" i="1" s="1"/>
  <c r="AP141" i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Q136" i="1"/>
  <c r="AS136" i="1" s="1"/>
  <c r="AP136" i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Q131" i="1"/>
  <c r="AS131" i="1" s="1"/>
  <c r="AP131" i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Q121" i="1"/>
  <c r="AS121" i="1" s="1"/>
  <c r="AP121" i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Q116" i="1"/>
  <c r="AS116" i="1" s="1"/>
  <c r="AP116" i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Q111" i="1"/>
  <c r="AS111" i="1" s="1"/>
  <c r="AP111" i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Q106" i="1"/>
  <c r="AS106" i="1" s="1"/>
  <c r="AP106" i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Q96" i="1"/>
  <c r="AS96" i="1" s="1"/>
  <c r="AP96" i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Q91" i="1"/>
  <c r="AS91" i="1" s="1"/>
  <c r="AP91" i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Q86" i="1"/>
  <c r="AS86" i="1" s="1"/>
  <c r="AP86" i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Q81" i="1"/>
  <c r="AS81" i="1" s="1"/>
  <c r="AP81" i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Q61" i="1"/>
  <c r="AS61" i="1" s="1"/>
  <c r="AP61" i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Q56" i="1"/>
  <c r="AS56" i="1" s="1"/>
  <c r="AP56" i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Q51" i="1"/>
  <c r="AS51" i="1" s="1"/>
  <c r="AP51" i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Q36" i="1"/>
  <c r="AS36" i="1" s="1"/>
  <c r="AP36" i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Q6" i="1"/>
  <c r="AS6" i="1" s="1"/>
  <c r="AP6" i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<sst xmlns="http://schemas.openxmlformats.org/spreadsheetml/2006/main" count="3682" uniqueCount="1512">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</sst>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D3" zoomScale="80" zoomScaleNormal="80" workbookViewId="0">
      <selection activeCell="R5" sqref="R5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95" width="32.42578125" style="50" customWidth="1"/>
    <col min="96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8</v>
      </c>
      <c r="AQ5" s="71" t="str">
        <f t="shared" ref="AQ5:AQ68" si="1">IF(AP5&gt;14,AVERAGE(K5:AO5),"")</f>
        <v/>
      </c>
      <c r="AR5" s="71">
        <f>IFERROR(VLOOKUP(A5,Climatologia_TMED!A:U,9+$E$2,FALSE),"")</f>
        <v>28.15321488897127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8</v>
      </c>
      <c r="AQ6" s="71" t="str">
        <f t="shared" si="1"/>
        <v/>
      </c>
      <c r="AR6" s="71">
        <f>IFERROR(VLOOKUP(A6,Climatologia_TMED!A:U,9+$E$2,FALSE),"")</f>
        <v>28.39523388894882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8</v>
      </c>
      <c r="AQ7" s="71" t="str">
        <f t="shared" si="1"/>
        <v/>
      </c>
      <c r="AR7" s="71">
        <f>IFERROR(VLOOKUP(A7,Climatologia_TMED!A:U,9+$E$2,FALSE),"")</f>
        <v>29.20018049155146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8</v>
      </c>
      <c r="AQ8" s="71" t="str">
        <f t="shared" si="1"/>
        <v/>
      </c>
      <c r="AR8" s="71">
        <f>IFERROR(VLOOKUP(A8,Climatologia_TMED!A:U,9+$E$2,FALSE),"")</f>
        <v>28.578539316171401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8</v>
      </c>
      <c r="AQ9" s="71" t="str">
        <f t="shared" si="1"/>
        <v/>
      </c>
      <c r="AR9" s="71">
        <f>IFERROR(VLOOKUP(A9,Climatologia_TMED!A:U,9+$E$2,FALSE),"")</f>
        <v>29.78746898263023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8</v>
      </c>
      <c r="AQ10" s="71" t="str">
        <f t="shared" si="1"/>
        <v/>
      </c>
      <c r="AR10" s="71">
        <f>IFERROR(VLOOKUP(A10,Climatologia_TMED!A:U,9+$E$2,FALSE),"")</f>
        <v>30.079422034405059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8</v>
      </c>
      <c r="AQ11" s="71" t="str">
        <f t="shared" si="1"/>
        <v/>
      </c>
      <c r="AR11" s="71">
        <f>IFERROR(VLOOKUP(A11,Climatologia_TMED!A:U,9+$E$2,FALSE),"")</f>
        <v>30.003914077227851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8</v>
      </c>
      <c r="AQ12" s="71" t="str">
        <f t="shared" si="1"/>
        <v/>
      </c>
      <c r="AR12" s="71">
        <f>IFERROR(VLOOKUP(A12,Climatologia_TMED!A:U,9+$E$2,FALSE),"")</f>
        <v>28.26566638931558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8</v>
      </c>
      <c r="AQ13" s="71" t="str">
        <f t="shared" si="1"/>
        <v/>
      </c>
      <c r="AR13" s="71">
        <f>IFERROR(VLOOKUP(A13,Climatologia_TMED!A:U,9+$E$2,FALSE),"")</f>
        <v>28.329394697812361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8</v>
      </c>
      <c r="AQ14" s="71" t="str">
        <f t="shared" si="1"/>
        <v/>
      </c>
      <c r="AR14" s="71">
        <f>IFERROR(VLOOKUP(A14,Climatologia_TMED!A:U,9+$E$2,FALSE),"")</f>
        <v>21.72154002389485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8</v>
      </c>
      <c r="AQ15" s="71" t="str">
        <f t="shared" si="1"/>
        <v/>
      </c>
      <c r="AR15" s="71">
        <f>IFERROR(VLOOKUP(A15,Climatologia_TMED!A:U,9+$E$2,FALSE),"")</f>
        <v>28.235505376344079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8</v>
      </c>
      <c r="AQ16" s="71" t="str">
        <f t="shared" si="1"/>
        <v/>
      </c>
      <c r="AR16" s="71">
        <f>IFERROR(VLOOKUP(A16,Climatologia_TMED!A:U,9+$E$2,FALSE),"")</f>
        <v>27.637652848402979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8</v>
      </c>
      <c r="AQ17" s="71" t="str">
        <f t="shared" si="1"/>
        <v/>
      </c>
      <c r="AR17" s="71">
        <f>IFERROR(VLOOKUP(A17,Climatologia_TMED!A:U,9+$E$2,FALSE),"")</f>
        <v>23.983623669156199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8</v>
      </c>
      <c r="AQ18" s="71" t="str">
        <f t="shared" si="1"/>
        <v/>
      </c>
      <c r="AR18" s="71">
        <f>IFERROR(VLOOKUP(A18,Climatologia_TMED!A:U,9+$E$2,FALSE),"")</f>
        <v>17.418351254480282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8</v>
      </c>
      <c r="AQ19" s="71" t="str">
        <f t="shared" si="1"/>
        <v/>
      </c>
      <c r="AR19" s="71">
        <f>IFERROR(VLOOKUP(A19,Climatologia_TMED!A:U,9+$E$2,FALSE),"")</f>
        <v>22.133534946236551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8</v>
      </c>
      <c r="AQ20" s="71" t="str">
        <f t="shared" si="1"/>
        <v/>
      </c>
      <c r="AR20" s="71">
        <f>IFERROR(VLOOKUP(A20,Climatologia_TMED!A:U,9+$E$2,FALSE),"")</f>
        <v>22.60766542597187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8</v>
      </c>
      <c r="AQ21" s="71" t="str">
        <f t="shared" si="1"/>
        <v/>
      </c>
      <c r="AR21" s="71">
        <f>IFERROR(VLOOKUP(A21,Climatologia_TMED!A:U,9+$E$2,FALSE),"")</f>
        <v>24.690081891757131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8</v>
      </c>
      <c r="AQ22" s="71" t="str">
        <f t="shared" si="1"/>
        <v/>
      </c>
      <c r="AR22" s="71">
        <f>IFERROR(VLOOKUP(A22,Climatologia_TMED!A:U,9+$E$2,FALSE),"")</f>
        <v>13.7803329197684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8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8</v>
      </c>
      <c r="AQ24" s="71" t="str">
        <f t="shared" si="1"/>
        <v/>
      </c>
      <c r="AR24" s="71">
        <f>IFERROR(VLOOKUP(A24,Climatologia_TMED!A:U,9+$E$2,FALSE),"")</f>
        <v>28.36235848473612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8</v>
      </c>
      <c r="AQ25" s="71" t="str">
        <f t="shared" si="1"/>
        <v/>
      </c>
      <c r="AR25" s="71">
        <f>IFERROR(VLOOKUP(A25,Climatologia_TMED!A:U,9+$E$2,FALSE),"")</f>
        <v>19.9334244562022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8</v>
      </c>
      <c r="AQ26" s="71" t="str">
        <f t="shared" si="1"/>
        <v/>
      </c>
      <c r="AR26" s="71">
        <f>IFERROR(VLOOKUP(A26,Climatologia_TMED!A:U,9+$E$2,FALSE),"")</f>
        <v>10.370314900153589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8</v>
      </c>
      <c r="AQ27" s="71" t="str">
        <f t="shared" si="1"/>
        <v/>
      </c>
      <c r="AR27" s="71">
        <f>IFERROR(VLOOKUP(A27,Climatologia_TMED!A:U,9+$E$2,FALSE),"")</f>
        <v>26.988705969595848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8</v>
      </c>
      <c r="AQ28" s="71" t="str">
        <f t="shared" si="1"/>
        <v/>
      </c>
      <c r="AR28" s="71">
        <f>IFERROR(VLOOKUP(A28,Climatologia_TMED!A:U,9+$E$2,FALSE),"")</f>
        <v>25.751418551476942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8</v>
      </c>
      <c r="AQ29" s="71" t="str">
        <f t="shared" si="1"/>
        <v/>
      </c>
      <c r="AR29" s="71">
        <f>IFERROR(VLOOKUP(A29,Climatologia_TMED!A:U,9+$E$2,FALSE),"")</f>
        <v>26.954042214257239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8</v>
      </c>
      <c r="AQ30" s="71" t="str">
        <f t="shared" si="1"/>
        <v/>
      </c>
      <c r="AR30" s="71">
        <f>IFERROR(VLOOKUP(A30,Climatologia_TMED!A:U,9+$E$2,FALSE),"")</f>
        <v>24.518001483129371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8</v>
      </c>
      <c r="AQ31" s="71" t="str">
        <f t="shared" si="1"/>
        <v/>
      </c>
      <c r="AR31" s="71">
        <f>IFERROR(VLOOKUP(A31,Climatologia_TMED!A:U,9+$E$2,FALSE),"")</f>
        <v>25.368948626045398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8</v>
      </c>
      <c r="AQ32" s="71" t="str">
        <f t="shared" si="1"/>
        <v/>
      </c>
      <c r="AR32" s="71">
        <f>IFERROR(VLOOKUP(A32,Climatologia_TMED!A:U,9+$E$2,FALSE),"")</f>
        <v>17.656856052108839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8</v>
      </c>
      <c r="AQ33" s="71" t="str">
        <f t="shared" si="1"/>
        <v/>
      </c>
      <c r="AR33" s="71">
        <f>IFERROR(VLOOKUP(A33,Climatologia_TMED!A:U,9+$E$2,FALSE),"")</f>
        <v>26.827472081212552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8</v>
      </c>
      <c r="AQ34" s="71" t="str">
        <f t="shared" si="1"/>
        <v/>
      </c>
      <c r="AR34" s="71">
        <f>IFERROR(VLOOKUP(A34,Climatologia_TMED!A:U,9+$E$2,FALSE),"")</f>
        <v>19.787197591680322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8</v>
      </c>
      <c r="AQ35" s="71" t="str">
        <f t="shared" si="1"/>
        <v/>
      </c>
      <c r="AR35" s="71">
        <f>IFERROR(VLOOKUP(A35,Climatologia_TMED!A:U,9+$E$2,FALSE),"")</f>
        <v>24.038247899717401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8</v>
      </c>
      <c r="AQ36" s="71" t="str">
        <f t="shared" si="1"/>
        <v/>
      </c>
      <c r="AR36" s="71">
        <f>IFERROR(VLOOKUP(A36,Climatologia_TMED!A:U,9+$E$2,FALSE),"")</f>
        <v>18.99881106321839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8</v>
      </c>
      <c r="AQ37" s="71" t="str">
        <f t="shared" si="1"/>
        <v/>
      </c>
      <c r="AR37" s="71">
        <f>IFERROR(VLOOKUP(A37,Climatologia_TMED!A:U,9+$E$2,FALSE),"")</f>
        <v>25.886229873937381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8</v>
      </c>
      <c r="AQ38" s="71" t="str">
        <f t="shared" si="1"/>
        <v/>
      </c>
      <c r="AR38" s="71">
        <f>IFERROR(VLOOKUP(A38,Climatologia_TMED!A:U,9+$E$2,FALSE),"")</f>
        <v>15.017929006950681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8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7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8</v>
      </c>
      <c r="AQ41" s="71" t="str">
        <f t="shared" si="1"/>
        <v/>
      </c>
      <c r="AR41" s="71">
        <f>IFERROR(VLOOKUP(A41,Climatologia_TMED!A:U,9+$E$2,FALSE),"")</f>
        <v>18.492109191327739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8</v>
      </c>
      <c r="AQ42" s="71" t="str">
        <f t="shared" si="1"/>
        <v/>
      </c>
      <c r="AR42" s="71">
        <f>IFERROR(VLOOKUP(A42,Climatologia_TMED!A:U,9+$E$2,FALSE),"")</f>
        <v>27.752685517058271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6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8</v>
      </c>
      <c r="AQ44" s="71" t="str">
        <f t="shared" si="1"/>
        <v/>
      </c>
      <c r="AR44" s="71">
        <f>IFERROR(VLOOKUP(A44,Climatologia_TMED!A:U,9+$E$2,FALSE),"")</f>
        <v>27.342343444282822</v>
      </c>
      <c r="AS44" s="71" t="str">
        <f t="shared" si="2"/>
        <v/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8</v>
      </c>
      <c r="AQ45" s="71" t="str">
        <f t="shared" si="1"/>
        <v/>
      </c>
      <c r="AR45" s="71">
        <f>IFERROR(VLOOKUP(A45,Climatologia_TMED!A:U,9+$E$2,FALSE),"")</f>
        <v>27.906197631897481</v>
      </c>
      <c r="AS45" s="71" t="str">
        <f t="shared" si="2"/>
        <v/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8</v>
      </c>
      <c r="AQ46" s="71" t="str">
        <f t="shared" si="1"/>
        <v/>
      </c>
      <c r="AR46" s="71">
        <f>IFERROR(VLOOKUP(A46,Climatologia_TMED!A:U,9+$E$2,FALSE),"")</f>
        <v>27.968875859317389</v>
      </c>
      <c r="AS46" s="71" t="str">
        <f t="shared" si="2"/>
        <v/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8</v>
      </c>
      <c r="AQ49" s="71" t="str">
        <f t="shared" si="1"/>
        <v/>
      </c>
      <c r="AR49" s="71">
        <f>IFERROR(VLOOKUP(A49,Climatologia_TMED!A:U,9+$E$2,FALSE),"")</f>
        <v>27.288690346031821</v>
      </c>
      <c r="AS49" s="71" t="str">
        <f t="shared" si="2"/>
        <v/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8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8</v>
      </c>
      <c r="AQ52" s="71" t="str">
        <f t="shared" si="1"/>
        <v/>
      </c>
      <c r="AR52" s="71">
        <f>IFERROR(VLOOKUP(A52,Climatologia_TMED!A:U,9+$E$2,FALSE),"")</f>
        <v>27.359246296590548</v>
      </c>
      <c r="AS52" s="71" t="str">
        <f t="shared" si="2"/>
        <v/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8</v>
      </c>
      <c r="AQ53" s="71" t="str">
        <f t="shared" si="1"/>
        <v/>
      </c>
      <c r="AR53" s="71">
        <f>IFERROR(VLOOKUP(A53,Climatologia_TMED!A:U,9+$E$2,FALSE),"")</f>
        <v>28.498226025066419</v>
      </c>
      <c r="AS53" s="71" t="str">
        <f t="shared" si="2"/>
        <v/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2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8</v>
      </c>
      <c r="AQ55" s="71" t="str">
        <f t="shared" si="1"/>
        <v/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8</v>
      </c>
      <c r="AQ58" s="71" t="str">
        <f t="shared" si="1"/>
        <v/>
      </c>
      <c r="AR58" s="71">
        <f>IFERROR(VLOOKUP(A58,Climatologia_TMED!A:U,9+$E$2,FALSE),"")</f>
        <v>28.11421982908216</v>
      </c>
      <c r="AS58" s="71" t="str">
        <f t="shared" si="2"/>
        <v/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6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8</v>
      </c>
      <c r="AQ60" s="71" t="str">
        <f t="shared" si="1"/>
        <v/>
      </c>
      <c r="AR60" s="71">
        <f>IFERROR(VLOOKUP(A60,Climatologia_TMED!A:U,9+$E$2,FALSE),"")</f>
        <v>25.706671681725961</v>
      </c>
      <c r="AS60" s="71" t="str">
        <f t="shared" si="2"/>
        <v/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8</v>
      </c>
      <c r="AQ61" s="71" t="str">
        <f t="shared" si="1"/>
        <v/>
      </c>
      <c r="AR61" s="71">
        <f>IFERROR(VLOOKUP(A61,Climatologia_TMED!A:U,9+$E$2,FALSE),"")</f>
        <v>24.539003939963891</v>
      </c>
      <c r="AS61" s="71" t="str">
        <f t="shared" si="2"/>
        <v/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1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8</v>
      </c>
      <c r="AQ65" s="71" t="str">
        <f t="shared" si="1"/>
        <v/>
      </c>
      <c r="AR65" s="71">
        <f>IFERROR(VLOOKUP(A65,Climatologia_TMED!A:U,9+$E$2,FALSE),"")</f>
        <v>24.909114830278991</v>
      </c>
      <c r="AS65" s="71" t="str">
        <f t="shared" si="2"/>
        <v/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6</v>
      </c>
      <c r="AQ66" s="71" t="str">
        <f t="shared" si="1"/>
        <v/>
      </c>
      <c r="AR66" s="71">
        <f>IFERROR(VLOOKUP(A66,Climatologia_TMED!A:U,9+$E$2,FALSE),"")</f>
        <v>24.65120691183121</v>
      </c>
      <c r="AS66" s="71" t="str">
        <f t="shared" si="2"/>
        <v/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8</v>
      </c>
      <c r="AQ67" s="71" t="str">
        <f t="shared" si="1"/>
        <v/>
      </c>
      <c r="AR67" s="71">
        <f>IFERROR(VLOOKUP(A67,Climatologia_TMED!A:U,9+$E$2,FALSE),"")</f>
        <v>24.52508750274302</v>
      </c>
      <c r="AS67" s="71" t="str">
        <f t="shared" si="2"/>
        <v/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24.266666666666669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8</v>
      </c>
      <c r="AQ68" s="71" t="str">
        <f t="shared" si="1"/>
        <v/>
      </c>
      <c r="AR68" s="71">
        <f>IFERROR(VLOOKUP(A68,Climatologia_TMED!A:U,9+$E$2,FALSE),"")</f>
        <v>24.322397686632009</v>
      </c>
      <c r="AS68" s="71" t="str">
        <f t="shared" si="2"/>
        <v/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6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8</v>
      </c>
      <c r="AQ70" s="71" t="str">
        <f t="shared" si="4"/>
        <v/>
      </c>
      <c r="AR70" s="71">
        <f>IFERROR(VLOOKUP(A70,Climatologia_TMED!A:U,9+$E$2,FALSE),"")</f>
        <v>25.662442913653528</v>
      </c>
      <c r="AS70" s="71" t="str">
        <f t="shared" si="5"/>
        <v/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8</v>
      </c>
      <c r="AQ71" s="71" t="str">
        <f t="shared" si="4"/>
        <v/>
      </c>
      <c r="AR71" s="71">
        <f>IFERROR(VLOOKUP(A71,Climatologia_TMED!A:U,9+$E$2,FALSE),"")</f>
        <v>24.973208742959539</v>
      </c>
      <c r="AS71" s="71" t="str">
        <f t="shared" si="5"/>
        <v/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/>
      <c r="Q72" s="56">
        <v>26.55</v>
      </c>
      <c r="R72" s="56">
        <v>26.55</v>
      </c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5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8</v>
      </c>
      <c r="AQ73" s="71" t="str">
        <f t="shared" si="4"/>
        <v/>
      </c>
      <c r="AR73" s="71">
        <f>IFERROR(VLOOKUP(A73,Climatologia_TMED!A:U,9+$E$2,FALSE),"")</f>
        <v>19.99849874936011</v>
      </c>
      <c r="AS73" s="71" t="str">
        <f t="shared" si="5"/>
        <v/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8</v>
      </c>
      <c r="AQ74" s="71" t="str">
        <f t="shared" si="4"/>
        <v/>
      </c>
      <c r="AR74" s="71">
        <f>IFERROR(VLOOKUP(A74,Climatologia_TMED!A:U,9+$E$2,FALSE),"")</f>
        <v>15.18104369196679</v>
      </c>
      <c r="AS74" s="71" t="str">
        <f t="shared" si="5"/>
        <v/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8</v>
      </c>
      <c r="AQ75" s="71" t="str">
        <f t="shared" si="4"/>
        <v/>
      </c>
      <c r="AR75" s="71">
        <f>IFERROR(VLOOKUP(A75,Climatologia_TMED!A:U,9+$E$2,FALSE),"")</f>
        <v>19.799966611526219</v>
      </c>
      <c r="AS75" s="71" t="str">
        <f t="shared" si="5"/>
        <v/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8</v>
      </c>
      <c r="AQ76" s="71" t="str">
        <f t="shared" si="4"/>
        <v/>
      </c>
      <c r="AR76" s="71">
        <f>IFERROR(VLOOKUP(A76,Climatologia_TMED!A:U,9+$E$2,FALSE),"")</f>
        <v>22.683240855978919</v>
      </c>
      <c r="AS76" s="71" t="str">
        <f t="shared" si="5"/>
        <v/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7</v>
      </c>
      <c r="AQ77" s="71" t="str">
        <f t="shared" si="4"/>
        <v/>
      </c>
      <c r="AR77" s="71">
        <f>IFERROR(VLOOKUP(A77,Climatologia_TMED!A:U,9+$E$2,FALSE),"")</f>
        <v>29.183929810522649</v>
      </c>
      <c r="AS77" s="71" t="str">
        <f t="shared" si="5"/>
        <v/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8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6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7</v>
      </c>
      <c r="AQ80" s="71" t="str">
        <f t="shared" si="4"/>
        <v/>
      </c>
      <c r="AR80" s="71">
        <f>IFERROR(VLOOKUP(A80,Climatologia_TMED!A:U,9+$E$2,FALSE),"")</f>
        <v>24.17462990609177</v>
      </c>
      <c r="AS80" s="71" t="str">
        <f t="shared" si="5"/>
        <v/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8</v>
      </c>
      <c r="AQ81" s="71" t="str">
        <f t="shared" si="4"/>
        <v/>
      </c>
      <c r="AR81" s="71">
        <f>IFERROR(VLOOKUP(A81,Climatologia_TMED!A:U,9+$E$2,FALSE),"")</f>
        <v>25.173722457421579</v>
      </c>
      <c r="AS81" s="71" t="str">
        <f t="shared" si="5"/>
        <v/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7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8</v>
      </c>
      <c r="AQ85" s="71" t="str">
        <f t="shared" si="4"/>
        <v/>
      </c>
      <c r="AR85" s="71">
        <f>IFERROR(VLOOKUP(A85,Climatologia_TMED!A:U,9+$E$2,FALSE),"")</f>
        <v>28.612083161554789</v>
      </c>
      <c r="AS85" s="71" t="str">
        <f t="shared" si="5"/>
        <v/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8</v>
      </c>
      <c r="AQ86" s="71" t="str">
        <f t="shared" si="4"/>
        <v/>
      </c>
      <c r="AR86" s="71">
        <f>IFERROR(VLOOKUP(A86,Climatologia_TMED!A:U,9+$E$2,FALSE),"")</f>
        <v>29.006189972462391</v>
      </c>
      <c r="AS86" s="71" t="str">
        <f t="shared" si="5"/>
        <v/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8</v>
      </c>
      <c r="AQ87" s="71" t="str">
        <f t="shared" si="4"/>
        <v/>
      </c>
      <c r="AR87" s="71">
        <f>IFERROR(VLOOKUP(A87,Climatologia_TMED!A:U,9+$E$2,FALSE),"")</f>
        <v>28.69087461597541</v>
      </c>
      <c r="AS87" s="71" t="str">
        <f t="shared" si="5"/>
        <v/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7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8</v>
      </c>
      <c r="AQ89" s="71" t="str">
        <f t="shared" si="4"/>
        <v/>
      </c>
      <c r="AR89" s="71">
        <f>IFERROR(VLOOKUP(A89,Climatologia_TMED!A:U,9+$E$2,FALSE),"")</f>
        <v>29.035060057912659</v>
      </c>
      <c r="AS89" s="71" t="str">
        <f t="shared" si="5"/>
        <v/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8</v>
      </c>
      <c r="AQ90" s="71" t="str">
        <f t="shared" si="4"/>
        <v/>
      </c>
      <c r="AR90" s="71">
        <f>IFERROR(VLOOKUP(A90,Climatologia_TMED!A:U,9+$E$2,FALSE),"")</f>
        <v>16.163344086021471</v>
      </c>
      <c r="AS90" s="71" t="str">
        <f t="shared" si="5"/>
        <v/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8</v>
      </c>
      <c r="AQ91" s="71" t="str">
        <f t="shared" si="4"/>
        <v/>
      </c>
      <c r="AR91" s="71">
        <f>IFERROR(VLOOKUP(A91,Climatologia_TMED!A:U,9+$E$2,FALSE),"")</f>
        <v>22.109487865869621</v>
      </c>
      <c r="AS91" s="71" t="str">
        <f t="shared" si="5"/>
        <v/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8</v>
      </c>
      <c r="AQ92" s="71" t="str">
        <f t="shared" si="4"/>
        <v/>
      </c>
      <c r="AR92" s="71">
        <f>IFERROR(VLOOKUP(A92,Climatologia_TMED!A:U,9+$E$2,FALSE),"")</f>
        <v>16.095227145934569</v>
      </c>
      <c r="AS92" s="71" t="str">
        <f t="shared" si="5"/>
        <v/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8</v>
      </c>
      <c r="AQ93" s="71" t="str">
        <f t="shared" si="4"/>
        <v/>
      </c>
      <c r="AR93" s="71">
        <f>IFERROR(VLOOKUP(A93,Climatologia_TMED!A:U,9+$E$2,FALSE),"")</f>
        <v>13.63280813615186</v>
      </c>
      <c r="AS93" s="71" t="str">
        <f t="shared" si="5"/>
        <v/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8</v>
      </c>
      <c r="AQ96" s="71" t="str">
        <f t="shared" si="4"/>
        <v/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7</v>
      </c>
      <c r="AQ97" s="71" t="str">
        <f t="shared" si="4"/>
        <v/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5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7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6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5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4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8</v>
      </c>
      <c r="AQ106" s="71" t="str">
        <f t="shared" si="4"/>
        <v/>
      </c>
      <c r="AR106" s="71">
        <f>IFERROR(VLOOKUP(A106,Climatologia_TMED!A:U,9+$E$2,FALSE),"")</f>
        <v>14.22903291473181</v>
      </c>
      <c r="AS106" s="71" t="str">
        <f t="shared" si="5"/>
        <v/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8</v>
      </c>
      <c r="AQ107" s="71" t="str">
        <f t="shared" si="4"/>
        <v/>
      </c>
      <c r="AR107" s="71">
        <f>IFERROR(VLOOKUP(A107,Climatologia_TMED!A:U,9+$E$2,FALSE),"")</f>
        <v>13.71376308750779</v>
      </c>
      <c r="AS107" s="71" t="str">
        <f t="shared" si="5"/>
        <v/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8</v>
      </c>
      <c r="AQ108" s="71" t="str">
        <f t="shared" si="4"/>
        <v/>
      </c>
      <c r="AR108" s="71">
        <f>IFERROR(VLOOKUP(A108,Climatologia_TMED!A:U,9+$E$2,FALSE),"")</f>
        <v>16.934962038466889</v>
      </c>
      <c r="AS108" s="71" t="str">
        <f t="shared" si="5"/>
        <v/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8</v>
      </c>
      <c r="AQ109" s="71" t="str">
        <f t="shared" si="4"/>
        <v/>
      </c>
      <c r="AR109" s="71">
        <f>IFERROR(VLOOKUP(A109,Climatologia_TMED!A:U,9+$E$2,FALSE),"")</f>
        <v>15.502363523573189</v>
      </c>
      <c r="AS109" s="71" t="str">
        <f t="shared" si="5"/>
        <v/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8</v>
      </c>
      <c r="AQ110" s="71" t="str">
        <f t="shared" si="4"/>
        <v/>
      </c>
      <c r="AR110" s="71">
        <f>IFERROR(VLOOKUP(A110,Climatologia_TMED!A:U,9+$E$2,FALSE),"")</f>
        <v>16.37969626110208</v>
      </c>
      <c r="AS110" s="71" t="str">
        <f t="shared" si="5"/>
        <v/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8</v>
      </c>
      <c r="AQ111" s="71" t="str">
        <f t="shared" si="4"/>
        <v/>
      </c>
      <c r="AR111" s="71">
        <f>IFERROR(VLOOKUP(A111,Climatologia_TMED!A:U,9+$E$2,FALSE),"")</f>
        <v>18.124387467556531</v>
      </c>
      <c r="AS111" s="71" t="str">
        <f t="shared" si="5"/>
        <v/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4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8</v>
      </c>
      <c r="AQ113" s="71" t="str">
        <f t="shared" si="4"/>
        <v/>
      </c>
      <c r="AR113" s="71">
        <f>IFERROR(VLOOKUP(A113,Climatologia_TMED!A:U,9+$E$2,FALSE),"")</f>
        <v>25.844479977753021</v>
      </c>
      <c r="AS113" s="71" t="str">
        <f t="shared" si="5"/>
        <v/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8</v>
      </c>
      <c r="AQ114" s="71" t="str">
        <f t="shared" si="4"/>
        <v/>
      </c>
      <c r="AR114" s="71">
        <f>IFERROR(VLOOKUP(A114,Climatologia_TMED!A:U,9+$E$2,FALSE),"")</f>
        <v>18.39650516634082</v>
      </c>
      <c r="AS114" s="71" t="str">
        <f t="shared" si="5"/>
        <v/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8</v>
      </c>
      <c r="AQ115" s="71" t="str">
        <f t="shared" si="4"/>
        <v/>
      </c>
      <c r="AR115" s="71">
        <f>IFERROR(VLOOKUP(A115,Climatologia_TMED!A:U,9+$E$2,FALSE),"")</f>
        <v>25.368839605734749</v>
      </c>
      <c r="AS115" s="71" t="str">
        <f t="shared" si="5"/>
        <v/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7</v>
      </c>
      <c r="AQ116" s="71" t="str">
        <f t="shared" si="4"/>
        <v/>
      </c>
      <c r="AR116" s="71">
        <f>IFERROR(VLOOKUP(A116,Climatologia_TMED!A:U,9+$E$2,FALSE),"")</f>
        <v>25.753279569892459</v>
      </c>
      <c r="AS116" s="71" t="str">
        <f t="shared" si="5"/>
        <v/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8</v>
      </c>
      <c r="AQ117" s="71" t="str">
        <f t="shared" si="4"/>
        <v/>
      </c>
      <c r="AR117" s="71">
        <f>IFERROR(VLOOKUP(A117,Climatologia_TMED!A:U,9+$E$2,FALSE),"")</f>
        <v>21.728440860215009</v>
      </c>
      <c r="AS117" s="71" t="str">
        <f t="shared" si="5"/>
        <v/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4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8</v>
      </c>
      <c r="AQ120" s="71" t="str">
        <f t="shared" si="4"/>
        <v/>
      </c>
      <c r="AR120" s="71">
        <f>IFERROR(VLOOKUP(A120,Climatologia_TMED!A:U,9+$E$2,FALSE),"")</f>
        <v>10.302756995970279</v>
      </c>
      <c r="AS120" s="71" t="str">
        <f t="shared" si="5"/>
        <v/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8</v>
      </c>
      <c r="AQ122" s="71" t="str">
        <f t="shared" si="4"/>
        <v/>
      </c>
      <c r="AR122" s="71">
        <f>IFERROR(VLOOKUP(A122,Climatologia_TMED!A:U,9+$E$2,FALSE),"")</f>
        <v>15.04905895954351</v>
      </c>
      <c r="AS122" s="71" t="str">
        <f t="shared" si="5"/>
        <v/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5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8</v>
      </c>
      <c r="AQ128" s="71" t="str">
        <f t="shared" si="4"/>
        <v/>
      </c>
      <c r="AR128" s="71">
        <f>IFERROR(VLOOKUP(A128,Climatologia_TMED!A:U,9+$E$2,FALSE),"")</f>
        <v>14.253242374467449</v>
      </c>
      <c r="AS128" s="71" t="str">
        <f t="shared" si="5"/>
        <v/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8</v>
      </c>
      <c r="AQ129" s="71" t="str">
        <f t="shared" si="4"/>
        <v/>
      </c>
      <c r="AR129" s="71">
        <f>IFERROR(VLOOKUP(A129,Climatologia_TMED!A:U,9+$E$2,FALSE),"")</f>
        <v>16.792896998903949</v>
      </c>
      <c r="AS129" s="71" t="str">
        <f t="shared" si="5"/>
        <v/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8</v>
      </c>
      <c r="AQ131" s="71" t="str">
        <f t="shared" si="4"/>
        <v/>
      </c>
      <c r="AR131" s="71">
        <f>IFERROR(VLOOKUP(A131,Climatologia_TMED!A:U,9+$E$2,FALSE),"")</f>
        <v>12.63533977465384</v>
      </c>
      <c r="AS131" s="71" t="str">
        <f t="shared" si="5"/>
        <v/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8</v>
      </c>
      <c r="AQ132" s="71" t="str">
        <f t="shared" si="4"/>
        <v/>
      </c>
      <c r="AR132" s="71">
        <f>IFERROR(VLOOKUP(A132,Climatologia_TMED!A:U,9+$E$2,FALSE),"")</f>
        <v>15.582178842383669</v>
      </c>
      <c r="AS132" s="71" t="str">
        <f t="shared" si="5"/>
        <v/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8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18.681880637405129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8</v>
      </c>
      <c r="AQ134" s="71" t="str">
        <f t="shared" si="7"/>
        <v/>
      </c>
      <c r="AR134" s="71">
        <f>IFERROR(VLOOKUP(A134,Climatologia_TMED!A:U,9+$E$2,FALSE),"")</f>
        <v>10.85765007415646</v>
      </c>
      <c r="AS134" s="71" t="str">
        <f t="shared" si="8"/>
        <v/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8</v>
      </c>
      <c r="AQ136" s="71" t="str">
        <f t="shared" si="7"/>
        <v/>
      </c>
      <c r="AR136" s="71">
        <f>IFERROR(VLOOKUP(A136,Climatologia_TMED!A:U,9+$E$2,FALSE),"")</f>
        <v>20.010221097348399</v>
      </c>
      <c r="AS136" s="71" t="str">
        <f t="shared" si="8"/>
        <v/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8</v>
      </c>
      <c r="AQ137" s="71" t="str">
        <f t="shared" si="7"/>
        <v/>
      </c>
      <c r="AR137" s="71">
        <f>IFERROR(VLOOKUP(A137,Climatologia_TMED!A:U,9+$E$2,FALSE),"")</f>
        <v>12.904217772834009</v>
      </c>
      <c r="AS137" s="71" t="str">
        <f t="shared" si="8"/>
        <v/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8</v>
      </c>
      <c r="AQ138" s="71" t="str">
        <f t="shared" si="7"/>
        <v/>
      </c>
      <c r="AR138" s="71">
        <f>IFERROR(VLOOKUP(A138,Climatologia_TMED!A:U,9+$E$2,FALSE),"")</f>
        <v>15.594350571769921</v>
      </c>
      <c r="AS138" s="71" t="str">
        <f t="shared" si="8"/>
        <v/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8</v>
      </c>
      <c r="AQ139" s="71" t="str">
        <f t="shared" si="7"/>
        <v/>
      </c>
      <c r="AR139" s="71">
        <f>IFERROR(VLOOKUP(A139,Climatologia_TMED!A:U,9+$E$2,FALSE),"")</f>
        <v>12.014029396838049</v>
      </c>
      <c r="AS139" s="71" t="str">
        <f t="shared" si="8"/>
        <v/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6</v>
      </c>
      <c r="AQ140" s="71" t="str">
        <f t="shared" si="7"/>
        <v/>
      </c>
      <c r="AR140" s="71">
        <f>IFERROR(VLOOKUP(A140,Climatologia_TMED!A:U,9+$E$2,FALSE),"")</f>
        <v>10.528985976481801</v>
      </c>
      <c r="AS140" s="71" t="str">
        <f t="shared" si="8"/>
        <v/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8</v>
      </c>
      <c r="AQ141" s="71" t="str">
        <f t="shared" si="7"/>
        <v/>
      </c>
      <c r="AR141" s="71">
        <f>IFERROR(VLOOKUP(A141,Climatologia_TMED!A:U,9+$E$2,FALSE),"")</f>
        <v>25.861940092165881</v>
      </c>
      <c r="AS141" s="71" t="str">
        <f t="shared" si="8"/>
        <v/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8</v>
      </c>
      <c r="AQ142" s="71" t="str">
        <f t="shared" si="7"/>
        <v/>
      </c>
      <c r="AR142" s="71">
        <f>IFERROR(VLOOKUP(A142,Climatologia_TMED!A:U,9+$E$2,FALSE),"")</f>
        <v>15.712885753914289</v>
      </c>
      <c r="AS142" s="71" t="str">
        <f t="shared" si="8"/>
        <v/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8</v>
      </c>
      <c r="AQ143" s="71" t="str">
        <f t="shared" si="7"/>
        <v/>
      </c>
      <c r="AR143" s="71">
        <f>IFERROR(VLOOKUP(A143,Climatologia_TMED!A:U,9+$E$2,FALSE),"")</f>
        <v>19.042016534498121</v>
      </c>
      <c r="AS143" s="71" t="str">
        <f t="shared" si="8"/>
        <v/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7</v>
      </c>
      <c r="AQ144" s="71" t="str">
        <f t="shared" si="7"/>
        <v/>
      </c>
      <c r="AR144" s="71">
        <f>IFERROR(VLOOKUP(A144,Climatologia_TMED!A:U,9+$E$2,FALSE),"")</f>
        <v>28.757199537797231</v>
      </c>
      <c r="AS144" s="71" t="str">
        <f t="shared" si="8"/>
        <v/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8</v>
      </c>
      <c r="AQ145" s="71" t="str">
        <f t="shared" si="7"/>
        <v/>
      </c>
      <c r="AR145" s="71">
        <f>IFERROR(VLOOKUP(A145,Climatologia_TMED!A:U,9+$E$2,FALSE),"")</f>
        <v>23.50405749186336</v>
      </c>
      <c r="AS145" s="71" t="str">
        <f t="shared" si="8"/>
        <v/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7</v>
      </c>
      <c r="AQ146" s="71" t="str">
        <f t="shared" si="7"/>
        <v/>
      </c>
      <c r="AR146" s="71">
        <f>IFERROR(VLOOKUP(A146,Climatologia_TMED!A:U,9+$E$2,FALSE),"")</f>
        <v>28.641531230854781</v>
      </c>
      <c r="AS146" s="71" t="str">
        <f t="shared" si="8"/>
        <v/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8</v>
      </c>
      <c r="AQ147" s="71" t="str">
        <f t="shared" si="7"/>
        <v/>
      </c>
      <c r="AR147" s="71">
        <f>IFERROR(VLOOKUP(A147,Climatologia_TMED!A:U,9+$E$2,FALSE),"")</f>
        <v>21.876067772952851</v>
      </c>
      <c r="AS147" s="71" t="str">
        <f t="shared" si="8"/>
        <v/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8</v>
      </c>
      <c r="AQ149" s="71" t="str">
        <f t="shared" si="7"/>
        <v/>
      </c>
      <c r="AR149" s="71">
        <f>IFERROR(VLOOKUP(A149,Climatologia_TMED!A:U,9+$E$2,FALSE),"")</f>
        <v>21.81258727862064</v>
      </c>
      <c r="AS149" s="71" t="str">
        <f t="shared" si="8"/>
        <v/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8</v>
      </c>
      <c r="AQ152" s="71" t="str">
        <f t="shared" si="7"/>
        <v/>
      </c>
      <c r="AR152" s="71">
        <f>IFERROR(VLOOKUP(A152,Climatologia_TMED!A:U,9+$E$2,FALSE),"")</f>
        <v>19.513620754394939</v>
      </c>
      <c r="AS152" s="71" t="str">
        <f t="shared" si="8"/>
        <v/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7</v>
      </c>
      <c r="AQ153" s="71" t="str">
        <f t="shared" si="7"/>
        <v/>
      </c>
      <c r="AR153" s="71">
        <f>IFERROR(VLOOKUP(A153,Climatologia_TMED!A:U,9+$E$2,FALSE),"")</f>
        <v>27.722786560855798</v>
      </c>
      <c r="AS153" s="71" t="str">
        <f t="shared" si="8"/>
        <v/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7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7</v>
      </c>
      <c r="AQ156" s="71" t="str">
        <f t="shared" si="7"/>
        <v/>
      </c>
      <c r="AR156" s="71">
        <f>IFERROR(VLOOKUP(A156,Climatologia_TMED!A:U,9+$E$2,FALSE),"")</f>
        <v>28.0184121670802</v>
      </c>
      <c r="AS156" s="71" t="str">
        <f t="shared" si="8"/>
        <v/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6</v>
      </c>
      <c r="AQ157" s="71" t="str">
        <f t="shared" si="7"/>
        <v/>
      </c>
      <c r="AR157" s="71">
        <f>IFERROR(VLOOKUP(A157,Climatologia_TMED!A:U,9+$E$2,FALSE),"")</f>
        <v>18.9909371146904</v>
      </c>
      <c r="AS157" s="71" t="str">
        <f t="shared" si="8"/>
        <v/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8</v>
      </c>
      <c r="AQ158" s="71" t="str">
        <f t="shared" si="7"/>
        <v/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3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8</v>
      </c>
      <c r="AQ160" s="71" t="str">
        <f t="shared" si="7"/>
        <v/>
      </c>
      <c r="AR160" s="71">
        <f>IFERROR(VLOOKUP(A160,Climatologia_TMED!A:U,9+$E$2,FALSE),"")</f>
        <v>28.573537387874278</v>
      </c>
      <c r="AS160" s="71" t="str">
        <f t="shared" si="8"/>
        <v/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8</v>
      </c>
      <c r="AQ161" s="71" t="str">
        <f t="shared" si="7"/>
        <v/>
      </c>
      <c r="AR161" s="71">
        <f>IFERROR(VLOOKUP(A161,Climatologia_TMED!A:U,9+$E$2,FALSE),"")</f>
        <v>21.249423815600579</v>
      </c>
      <c r="AS161" s="71" t="str">
        <f t="shared" si="8"/>
        <v/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8</v>
      </c>
      <c r="AQ162" s="71" t="str">
        <f t="shared" si="7"/>
        <v/>
      </c>
      <c r="AR162" s="71">
        <f>IFERROR(VLOOKUP(A162,Climatologia_TMED!A:U,9+$E$2,FALSE),"")</f>
        <v>23.79792760916008</v>
      </c>
      <c r="AS162" s="71" t="str">
        <f t="shared" si="8"/>
        <v/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8</v>
      </c>
      <c r="AQ164" s="71" t="str">
        <f t="shared" si="7"/>
        <v/>
      </c>
      <c r="AR164" s="71">
        <f>IFERROR(VLOOKUP(A164,Climatologia_TMED!A:U,9+$E$2,FALSE),"")</f>
        <v>13.598469534050141</v>
      </c>
      <c r="AS164" s="71" t="str">
        <f t="shared" si="8"/>
        <v/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7</v>
      </c>
      <c r="AQ165" s="71" t="str">
        <f t="shared" si="7"/>
        <v/>
      </c>
      <c r="AR165" s="71">
        <f>IFERROR(VLOOKUP(A165,Climatologia_TMED!A:U,9+$E$2,FALSE),"")</f>
        <v>19.03556780961064</v>
      </c>
      <c r="AS165" s="71" t="str">
        <f t="shared" si="8"/>
        <v/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8</v>
      </c>
      <c r="AQ166" s="71" t="str">
        <f t="shared" si="7"/>
        <v/>
      </c>
      <c r="AR166" s="71">
        <f>IFERROR(VLOOKUP(A166,Climatologia_TMED!A:U,9+$E$2,FALSE),"")</f>
        <v>26.065864466066579</v>
      </c>
      <c r="AS166" s="71" t="str">
        <f t="shared" si="8"/>
        <v/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8</v>
      </c>
      <c r="AQ167" s="71" t="str">
        <f t="shared" si="7"/>
        <v/>
      </c>
      <c r="AR167" s="71">
        <f>IFERROR(VLOOKUP(A167,Climatologia_TMED!A:U,9+$E$2,FALSE),"")</f>
        <v>8.5421242813545373</v>
      </c>
      <c r="AS167" s="71" t="str">
        <f t="shared" si="8"/>
        <v/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5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8</v>
      </c>
      <c r="AQ169" s="71" t="str">
        <f t="shared" si="7"/>
        <v/>
      </c>
      <c r="AR169" s="71">
        <f>IFERROR(VLOOKUP(A169,Climatologia_TMED!A:U,9+$E$2,FALSE),"")</f>
        <v>18.928926022251918</v>
      </c>
      <c r="AS169" s="71" t="str">
        <f t="shared" si="8"/>
        <v/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7</v>
      </c>
      <c r="AQ170" s="71" t="str">
        <f t="shared" si="7"/>
        <v/>
      </c>
      <c r="AR170" s="71">
        <f>IFERROR(VLOOKUP(A170,Climatologia_TMED!A:U,9+$E$2,FALSE),"")</f>
        <v>24.438628368511878</v>
      </c>
      <c r="AS170" s="71" t="str">
        <f t="shared" si="8"/>
        <v/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8</v>
      </c>
      <c r="AQ171" s="71" t="str">
        <f t="shared" si="7"/>
        <v/>
      </c>
      <c r="AR171" s="71">
        <f>IFERROR(VLOOKUP(A171,Climatologia_TMED!A:U,9+$E$2,FALSE),"")</f>
        <v>24.054408602150531</v>
      </c>
      <c r="AS171" s="71" t="str">
        <f t="shared" si="8"/>
        <v/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7</v>
      </c>
      <c r="AQ172" s="71" t="str">
        <f t="shared" si="7"/>
        <v/>
      </c>
      <c r="AR172" s="71">
        <f>IFERROR(VLOOKUP(A172,Climatologia_TMED!A:U,9+$E$2,FALSE),"")</f>
        <v>12.06075185767186</v>
      </c>
      <c r="AS172" s="71" t="str">
        <f t="shared" si="8"/>
        <v/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6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7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6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8</v>
      </c>
      <c r="AQ179" s="71" t="str">
        <f t="shared" si="7"/>
        <v/>
      </c>
      <c r="AR179" s="71">
        <f>IFERROR(VLOOKUP(A179,Climatologia_TMED!A:U,9+$E$2,FALSE),"")</f>
        <v>28.533236387569811</v>
      </c>
      <c r="AS179" s="71" t="str">
        <f t="shared" si="8"/>
        <v/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8</v>
      </c>
      <c r="AQ182" s="71" t="str">
        <f t="shared" si="7"/>
        <v/>
      </c>
      <c r="AR182" s="71">
        <f>IFERROR(VLOOKUP(A182,Climatologia_TMED!A:U,9+$E$2,FALSE),"")</f>
        <v>26.638371217616989</v>
      </c>
      <c r="AS182" s="71" t="str">
        <f t="shared" si="8"/>
        <v/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8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8</v>
      </c>
      <c r="AQ186" s="71" t="str">
        <f t="shared" si="7"/>
        <v/>
      </c>
      <c r="AR186" s="71">
        <f>IFERROR(VLOOKUP(A186,Climatologia_TMED!A:U,9+$E$2,FALSE),"")</f>
        <v>15.99559198953173</v>
      </c>
      <c r="AS186" s="71" t="str">
        <f t="shared" si="8"/>
        <v/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6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8</v>
      </c>
      <c r="AQ188" s="71" t="str">
        <f t="shared" si="7"/>
        <v/>
      </c>
      <c r="AR188" s="71">
        <f>IFERROR(VLOOKUP(A188,Climatologia_TMED!A:U,9+$E$2,FALSE),"")</f>
        <v>28.916523661482469</v>
      </c>
      <c r="AS188" s="71" t="str">
        <f t="shared" si="8"/>
        <v/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8</v>
      </c>
      <c r="AQ189" s="71" t="str">
        <f t="shared" si="7"/>
        <v/>
      </c>
      <c r="AR189" s="71">
        <f>IFERROR(VLOOKUP(A189,Climatologia_TMED!A:U,9+$E$2,FALSE),"")</f>
        <v>17.387219014660609</v>
      </c>
      <c r="AS189" s="71" t="str">
        <f t="shared" si="8"/>
        <v/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8</v>
      </c>
      <c r="AQ190" s="71" t="str">
        <f t="shared" si="7"/>
        <v/>
      </c>
      <c r="AR190" s="71">
        <f>IFERROR(VLOOKUP(A190,Climatologia_TMED!A:U,9+$E$2,FALSE),"")</f>
        <v>25.244507180818172</v>
      </c>
      <c r="AS190" s="71" t="str">
        <f t="shared" si="8"/>
        <v/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6</v>
      </c>
      <c r="AQ191" s="71" t="str">
        <f t="shared" si="7"/>
        <v/>
      </c>
      <c r="AR191" s="71">
        <f>IFERROR(VLOOKUP(A191,Climatologia_TMED!A:U,9+$E$2,FALSE),"")</f>
        <v>26.35276954000917</v>
      </c>
      <c r="AS191" s="71" t="str">
        <f t="shared" si="8"/>
        <v/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8</v>
      </c>
      <c r="AQ192" s="71" t="str">
        <f t="shared" si="7"/>
        <v/>
      </c>
      <c r="AR192" s="71">
        <f>IFERROR(VLOOKUP(A192,Climatologia_TMED!A:U,9+$E$2,FALSE),"")</f>
        <v>21.60766179705843</v>
      </c>
      <c r="AS192" s="71" t="str">
        <f t="shared" si="8"/>
        <v/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8</v>
      </c>
      <c r="AQ193" s="71" t="str">
        <f t="shared" si="7"/>
        <v/>
      </c>
      <c r="AR193" s="71">
        <f>IFERROR(VLOOKUP(A193,Climatologia_TMED!A:U,9+$E$2,FALSE),"")</f>
        <v>25.687488209709759</v>
      </c>
      <c r="AS193" s="71" t="str">
        <f t="shared" si="8"/>
        <v/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8</v>
      </c>
      <c r="AQ194" s="71" t="str">
        <f t="shared" si="7"/>
        <v/>
      </c>
      <c r="AR194" s="71">
        <f>IFERROR(VLOOKUP(A194,Climatologia_TMED!A:U,9+$E$2,FALSE),"")</f>
        <v>20.22375647152527</v>
      </c>
      <c r="AS194" s="71" t="str">
        <f t="shared" si="8"/>
        <v/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8</v>
      </c>
      <c r="AQ195" s="71" t="str">
        <f t="shared" si="7"/>
        <v/>
      </c>
      <c r="AR195" s="71">
        <f>IFERROR(VLOOKUP(A195,Climatologia_TMED!A:U,9+$E$2,FALSE),"")</f>
        <v>24.127383001170529</v>
      </c>
      <c r="AS195" s="71" t="str">
        <f t="shared" si="8"/>
        <v/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8</v>
      </c>
      <c r="AQ196" s="71" t="str">
        <f t="shared" si="7"/>
        <v/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8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15.78766040619119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8</v>
      </c>
      <c r="AQ198" s="71" t="str">
        <f t="shared" si="10"/>
        <v/>
      </c>
      <c r="AR198" s="71">
        <f>IFERROR(VLOOKUP(A198,Climatologia_TMED!A:U,9+$E$2,FALSE),"")</f>
        <v>13.36561246778364</v>
      </c>
      <c r="AS198" s="71" t="str">
        <f t="shared" si="11"/>
        <v/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8</v>
      </c>
      <c r="AQ199" s="71" t="str">
        <f t="shared" si="10"/>
        <v/>
      </c>
      <c r="AR199" s="71">
        <f>IFERROR(VLOOKUP(A199,Climatologia_TMED!A:U,9+$E$2,FALSE),"")</f>
        <v>25.53752926833085</v>
      </c>
      <c r="AS199" s="71" t="str">
        <f t="shared" si="11"/>
        <v/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8</v>
      </c>
      <c r="AQ200" s="71" t="str">
        <f t="shared" si="10"/>
        <v/>
      </c>
      <c r="AR200" s="71">
        <f>IFERROR(VLOOKUP(A200,Climatologia_TMED!A:U,9+$E$2,FALSE),"")</f>
        <v>12.80356395850392</v>
      </c>
      <c r="AS200" s="71" t="str">
        <f t="shared" si="11"/>
        <v/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8</v>
      </c>
      <c r="AQ201" s="71" t="str">
        <f t="shared" si="10"/>
        <v/>
      </c>
      <c r="AR201" s="71">
        <f>IFERROR(VLOOKUP(A201,Climatologia_TMED!A:U,9+$E$2,FALSE),"")</f>
        <v>11.97087485048104</v>
      </c>
      <c r="AS201" s="71" t="str">
        <f t="shared" si="11"/>
        <v/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7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8</v>
      </c>
      <c r="AQ203" s="71" t="str">
        <f t="shared" si="10"/>
        <v/>
      </c>
      <c r="AR203" s="71">
        <f>IFERROR(VLOOKUP(A203,Climatologia_TMED!A:U,9+$E$2,FALSE),"")</f>
        <v>13.414894116817671</v>
      </c>
      <c r="AS203" s="71" t="str">
        <f t="shared" si="11"/>
        <v/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8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6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7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8</v>
      </c>
      <c r="AQ207" s="71" t="str">
        <f t="shared" si="10"/>
        <v/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7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8</v>
      </c>
      <c r="AQ209" s="71" t="str">
        <f t="shared" si="10"/>
        <v/>
      </c>
      <c r="AR209" s="71">
        <f>IFERROR(VLOOKUP(A209,Climatologia_TMED!A:U,9+$E$2,FALSE),"")</f>
        <v>8.0801328816903997</v>
      </c>
      <c r="AS209" s="71" t="str">
        <f t="shared" si="11"/>
        <v/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8</v>
      </c>
      <c r="AQ210" s="71" t="str">
        <f t="shared" si="10"/>
        <v/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2026-07-09T15:12:04Z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2026-07-09T15:12:04Z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7d4dfd83-295e-4702-9014-5f382499e489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