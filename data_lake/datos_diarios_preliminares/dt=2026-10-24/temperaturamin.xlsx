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28E9695-11B4-4572-AC3D-779522E000AE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Temperatura!$AH$1:$AH$208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/>
  <c r="AU207" i="1" a="1"/>
  <c r="AU207" i="1"/>
  <c r="AT207" i="1"/>
  <c r="AW207" i="1" s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W196" i="1" s="1"/>
  <c r="AT196" i="1"/>
  <c r="AR196" i="1"/>
  <c r="AP196" i="1"/>
  <c r="AQ196" i="1" s="1"/>
  <c r="AV195" i="1" a="1"/>
  <c r="AV195" i="1" s="1"/>
  <c r="AU195" i="1" a="1"/>
  <c r="AU195" i="1" s="1"/>
  <c r="AW195" i="1" s="1"/>
  <c r="AT195" i="1"/>
  <c r="AR195" i="1"/>
  <c r="AP195" i="1"/>
  <c r="AQ195" i="1" s="1"/>
  <c r="AS195" i="1" s="1"/>
  <c r="AV194" i="1" a="1"/>
  <c r="AV194" i="1"/>
  <c r="AU194" i="1" a="1"/>
  <c r="AU194" i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W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P184" i="1"/>
  <c r="AQ184" i="1" s="1"/>
  <c r="AV183" i="1" a="1"/>
  <c r="AV183" i="1" s="1"/>
  <c r="AU183" i="1" a="1"/>
  <c r="AU183" i="1" s="1"/>
  <c r="AW183" i="1" s="1"/>
  <c r="AT183" i="1"/>
  <c r="AR183" i="1"/>
  <c r="AP183" i="1"/>
  <c r="AQ183" i="1" s="1"/>
  <c r="AS183" i="1" s="1"/>
  <c r="AV182" i="1" a="1"/>
  <c r="AV182" i="1"/>
  <c r="AU182" i="1" a="1"/>
  <c r="AU182" i="1" s="1"/>
  <c r="AT182" i="1"/>
  <c r="AW182" i="1" s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W173" i="1" s="1"/>
  <c r="AT173" i="1"/>
  <c r="AR173" i="1"/>
  <c r="AP173" i="1"/>
  <c r="AQ173" i="1" s="1"/>
  <c r="AV172" i="1" a="1"/>
  <c r="AV172" i="1" s="1"/>
  <c r="AU172" i="1" a="1"/>
  <c r="AU172" i="1" s="1"/>
  <c r="AW172" i="1" s="1"/>
  <c r="AT172" i="1"/>
  <c r="AR172" i="1"/>
  <c r="AP172" i="1"/>
  <c r="AQ172" i="1" s="1"/>
  <c r="AV171" i="1" a="1"/>
  <c r="AV171" i="1" s="1"/>
  <c r="AU171" i="1" a="1"/>
  <c r="AU171" i="1" s="1"/>
  <c r="AW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W162" i="1" s="1"/>
  <c r="AT162" i="1"/>
  <c r="AR162" i="1"/>
  <c r="AP162" i="1"/>
  <c r="AQ162" i="1" s="1"/>
  <c r="AV161" i="1" a="1"/>
  <c r="AV161" i="1" s="1"/>
  <c r="AU161" i="1" a="1"/>
  <c r="AU161" i="1" s="1"/>
  <c r="AW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W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W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W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W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W126" i="1" s="1"/>
  <c r="AT126" i="1"/>
  <c r="AR126" i="1"/>
  <c r="AP126" i="1"/>
  <c r="AQ126" i="1" s="1"/>
  <c r="AV125" i="1" a="1"/>
  <c r="AV125" i="1" s="1"/>
  <c r="AU125" i="1" a="1"/>
  <c r="AU125" i="1" s="1"/>
  <c r="AW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/>
  <c r="AU119" i="1" a="1"/>
  <c r="AU119" i="1"/>
  <c r="AT119" i="1"/>
  <c r="AW119" i="1" s="1"/>
  <c r="AR119" i="1"/>
  <c r="AP119" i="1"/>
  <c r="AQ119" i="1" s="1"/>
  <c r="AS119" i="1" s="1"/>
  <c r="AV118" i="1" a="1"/>
  <c r="AV118" i="1"/>
  <c r="AU118" i="1" a="1"/>
  <c r="AU118" i="1"/>
  <c r="AT118" i="1"/>
  <c r="AW118" i="1" s="1"/>
  <c r="AR118" i="1"/>
  <c r="AP118" i="1"/>
  <c r="AQ118" i="1" s="1"/>
  <c r="AS118" i="1" s="1"/>
  <c r="AV117" i="1" a="1"/>
  <c r="AV117" i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S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W108" i="1" s="1"/>
  <c r="AT108" i="1"/>
  <c r="AR108" i="1"/>
  <c r="AP108" i="1"/>
  <c r="AQ108" i="1" s="1"/>
  <c r="AS108" i="1" s="1"/>
  <c r="AV107" i="1" a="1"/>
  <c r="AV107" i="1"/>
  <c r="AU107" i="1" a="1"/>
  <c r="AU107" i="1"/>
  <c r="AT107" i="1"/>
  <c r="AW107" i="1" s="1"/>
  <c r="AR107" i="1"/>
  <c r="AP107" i="1"/>
  <c r="AQ107" i="1" s="1"/>
  <c r="AS107" i="1" s="1"/>
  <c r="AV106" i="1" a="1"/>
  <c r="AV106" i="1"/>
  <c r="AU106" i="1" a="1"/>
  <c r="AU106" i="1"/>
  <c r="AT106" i="1"/>
  <c r="AW106" i="1" s="1"/>
  <c r="AR106" i="1"/>
  <c r="AP106" i="1"/>
  <c r="AQ106" i="1" s="1"/>
  <c r="AS106" i="1" s="1"/>
  <c r="AV105" i="1" a="1"/>
  <c r="AV105" i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S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W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W97" i="1" s="1"/>
  <c r="AT97" i="1"/>
  <c r="AR97" i="1"/>
  <c r="AP97" i="1"/>
  <c r="AQ97" i="1" s="1"/>
  <c r="AS97" i="1" s="1"/>
  <c r="AV96" i="1" a="1"/>
  <c r="AV96" i="1"/>
  <c r="AU96" i="1" a="1"/>
  <c r="AU96" i="1"/>
  <c r="AT96" i="1"/>
  <c r="AW96" i="1" s="1"/>
  <c r="AR96" i="1"/>
  <c r="AP96" i="1"/>
  <c r="AQ96" i="1" s="1"/>
  <c r="AS96" i="1" s="1"/>
  <c r="AV95" i="1" a="1"/>
  <c r="AV95" i="1"/>
  <c r="AU95" i="1" a="1"/>
  <c r="AU95" i="1"/>
  <c r="AT95" i="1"/>
  <c r="AW95" i="1" s="1"/>
  <c r="AR95" i="1"/>
  <c r="AP95" i="1"/>
  <c r="AQ95" i="1" s="1"/>
  <c r="AS95" i="1" s="1"/>
  <c r="AV94" i="1" a="1"/>
  <c r="AV94" i="1"/>
  <c r="AU94" i="1" a="1"/>
  <c r="AU94" i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/>
  <c r="AU85" i="1" a="1"/>
  <c r="AU85" i="1"/>
  <c r="AT85" i="1"/>
  <c r="AW85" i="1" s="1"/>
  <c r="AR85" i="1"/>
  <c r="AP85" i="1"/>
  <c r="AQ85" i="1" s="1"/>
  <c r="AS85" i="1" s="1"/>
  <c r="AV84" i="1" a="1"/>
  <c r="AV84" i="1"/>
  <c r="AU84" i="1" a="1"/>
  <c r="AU84" i="1"/>
  <c r="AT84" i="1"/>
  <c r="AW84" i="1" s="1"/>
  <c r="AR84" i="1"/>
  <c r="AP84" i="1"/>
  <c r="AQ84" i="1" s="1"/>
  <c r="AS84" i="1" s="1"/>
  <c r="AV83" i="1" a="1"/>
  <c r="AV83" i="1"/>
  <c r="AU83" i="1" a="1"/>
  <c r="AU83" i="1"/>
  <c r="AT83" i="1"/>
  <c r="AW83" i="1" s="1"/>
  <c r="AR83" i="1"/>
  <c r="AP83" i="1"/>
  <c r="AQ83" i="1" s="1"/>
  <c r="AS83" i="1" s="1"/>
  <c r="AV82" i="1" a="1"/>
  <c r="AV82" i="1"/>
  <c r="AU82" i="1" a="1"/>
  <c r="AU82" i="1"/>
  <c r="AT82" i="1"/>
  <c r="AW82" i="1" s="1"/>
  <c r="AR82" i="1"/>
  <c r="AP82" i="1"/>
  <c r="AQ82" i="1" s="1"/>
  <c r="AS82" i="1" s="1"/>
  <c r="AV81" i="1" a="1"/>
  <c r="AV81" i="1"/>
  <c r="AU81" i="1" a="1"/>
  <c r="AU81" i="1"/>
  <c r="AT81" i="1"/>
  <c r="AW81" i="1" s="1"/>
  <c r="AR81" i="1"/>
  <c r="AP81" i="1"/>
  <c r="AQ81" i="1" s="1"/>
  <c r="AS81" i="1" s="1"/>
  <c r="AV80" i="1" a="1"/>
  <c r="AV80" i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W74" i="1" s="1"/>
  <c r="AT74" i="1"/>
  <c r="AR74" i="1"/>
  <c r="AP74" i="1"/>
  <c r="AQ74" i="1" s="1"/>
  <c r="AS74" i="1" s="1"/>
  <c r="AV73" i="1" a="1"/>
  <c r="AV73" i="1"/>
  <c r="AU73" i="1" a="1"/>
  <c r="AU73" i="1"/>
  <c r="AT73" i="1"/>
  <c r="AW73" i="1" s="1"/>
  <c r="AR73" i="1"/>
  <c r="AP73" i="1"/>
  <c r="AQ73" i="1" s="1"/>
  <c r="AS73" i="1" s="1"/>
  <c r="AV72" i="1" a="1"/>
  <c r="AV72" i="1"/>
  <c r="AU72" i="1" a="1"/>
  <c r="AU72" i="1"/>
  <c r="AT72" i="1"/>
  <c r="AW72" i="1" s="1"/>
  <c r="AR72" i="1"/>
  <c r="AP72" i="1"/>
  <c r="AQ72" i="1" s="1"/>
  <c r="AS72" i="1" s="1"/>
  <c r="AV71" i="1" a="1"/>
  <c r="AV71" i="1"/>
  <c r="AU71" i="1" a="1"/>
  <c r="AU71" i="1"/>
  <c r="AT71" i="1"/>
  <c r="AW71" i="1" s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 s="1"/>
  <c r="AU69" i="1" a="1"/>
  <c r="AU69" i="1" s="1"/>
  <c r="AT69" i="1"/>
  <c r="AW69" i="1" s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S63" i="1" s="1"/>
  <c r="AV62" i="1" a="1"/>
  <c r="AV62" i="1"/>
  <c r="AU62" i="1" a="1"/>
  <c r="AU62" i="1"/>
  <c r="AT62" i="1"/>
  <c r="AW62" i="1" s="1"/>
  <c r="AR62" i="1"/>
  <c r="AP62" i="1"/>
  <c r="AQ62" i="1" s="1"/>
  <c r="AS62" i="1" s="1"/>
  <c r="AV61" i="1" a="1"/>
  <c r="AV61" i="1"/>
  <c r="AU61" i="1" a="1"/>
  <c r="AU61" i="1"/>
  <c r="AT61" i="1"/>
  <c r="AW61" i="1" s="1"/>
  <c r="AR61" i="1"/>
  <c r="AP61" i="1"/>
  <c r="AQ61" i="1" s="1"/>
  <c r="AS61" i="1" s="1"/>
  <c r="AV60" i="1" a="1"/>
  <c r="AV60" i="1"/>
  <c r="AU60" i="1" a="1"/>
  <c r="AU60" i="1"/>
  <c r="AT60" i="1"/>
  <c r="AW60" i="1" s="1"/>
  <c r="AR60" i="1"/>
  <c r="AP60" i="1"/>
  <c r="AQ60" i="1" s="1"/>
  <c r="AS60" i="1" s="1"/>
  <c r="AV59" i="1" a="1"/>
  <c r="AV59" i="1" s="1"/>
  <c r="AU59" i="1" a="1"/>
  <c r="AU59" i="1" s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W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W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W30" i="1" s="1"/>
  <c r="AT30" i="1"/>
  <c r="AR30" i="1"/>
  <c r="AP30" i="1"/>
  <c r="AQ30" i="1" s="1"/>
  <c r="AV29" i="1" a="1"/>
  <c r="AV29" i="1" s="1"/>
  <c r="AU29" i="1" a="1"/>
  <c r="AU29" i="1" s="1"/>
  <c r="AW29" i="1" s="1"/>
  <c r="AT29" i="1"/>
  <c r="AR29" i="1"/>
  <c r="AP29" i="1"/>
  <c r="AQ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/>
  <c r="AU6" i="1" a="1"/>
  <c r="AU6" i="1"/>
  <c r="AT6" i="1"/>
  <c r="AW6" i="1" s="1"/>
  <c r="AR6" i="1"/>
  <c r="AP6" i="1"/>
  <c r="AQ6" i="1" s="1"/>
  <c r="AS6" i="1" s="1"/>
  <c r="AV5" i="1" a="1"/>
  <c r="AV5" i="1"/>
  <c r="AU5" i="1" a="1"/>
  <c r="AU5" i="1"/>
  <c r="AT5" i="1"/>
  <c r="AW5" i="1" s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41" i="1" l="1"/>
  <c r="AS100" i="1"/>
  <c r="AS86" i="1"/>
  <c r="AW141" i="1"/>
  <c r="AW52" i="1"/>
  <c r="AW130" i="1"/>
  <c r="AW129" i="1"/>
  <c r="AS41" i="1"/>
  <c r="AS30" i="1"/>
  <c r="AW117" i="1"/>
  <c r="AW116" i="1"/>
  <c r="AW104" i="1"/>
  <c r="AW103" i="1"/>
  <c r="AS64" i="1"/>
  <c r="AW79" i="1"/>
  <c r="AW20" i="1"/>
  <c r="AW9" i="1"/>
  <c r="AW8" i="1"/>
  <c r="AW7" i="1"/>
  <c r="AP2" i="1"/>
  <c r="AW17" i="1"/>
  <c r="AS120" i="1"/>
  <c r="AW64" i="1"/>
  <c r="AW202" i="1"/>
  <c r="AS113" i="1"/>
  <c r="AS189" i="1"/>
  <c r="AW75" i="1"/>
  <c r="AS171" i="1"/>
  <c r="AW86" i="1"/>
  <c r="AS31" i="1"/>
  <c r="AS110" i="1"/>
  <c r="AS53" i="1"/>
  <c r="AS52" i="1"/>
  <c r="AS88" i="1"/>
  <c r="AS99" i="1"/>
  <c r="AS67" i="1"/>
  <c r="AW18" i="1"/>
  <c r="AS75" i="1"/>
  <c r="AS42" i="1"/>
  <c r="AS29" i="1"/>
  <c r="AS87" i="1"/>
  <c r="AW174" i="1"/>
  <c r="AW105" i="1"/>
  <c r="AW150" i="1"/>
  <c r="AW80" i="1"/>
  <c r="AS20" i="1"/>
  <c r="AS141" i="1"/>
  <c r="AS19" i="1"/>
  <c r="AW58" i="1"/>
  <c r="AW93" i="1"/>
  <c r="AW51" i="1"/>
  <c r="AW50" i="1"/>
  <c r="AW48" i="1"/>
  <c r="AW42" i="1"/>
  <c r="AW38" i="1"/>
  <c r="AW26" i="1"/>
  <c r="AW25" i="1"/>
  <c r="AW15" i="1"/>
  <c r="AW200" i="1"/>
  <c r="AS173" i="1"/>
  <c r="AW139" i="1"/>
  <c r="AS58" i="1"/>
  <c r="AW115" i="1"/>
  <c r="AS79" i="1"/>
  <c r="AW163" i="1"/>
  <c r="AW19" i="1"/>
  <c r="AS140" i="1"/>
  <c r="AS150" i="1"/>
  <c r="AS184" i="1"/>
  <c r="AS162" i="1"/>
  <c r="AW160" i="1"/>
  <c r="AS151" i="1"/>
  <c r="AW31" i="1"/>
  <c r="AS128" i="1"/>
  <c r="AS198" i="1"/>
  <c r="AS196" i="1"/>
  <c r="AS111" i="1"/>
  <c r="AS149" i="1"/>
  <c r="AS163" i="1"/>
  <c r="AS185" i="1"/>
  <c r="AW151" i="1"/>
  <c r="AS174" i="1"/>
  <c r="AS172" i="1"/>
  <c r="AS138" i="1"/>
  <c r="AS160" i="1"/>
  <c r="AS152" i="1"/>
  <c r="AS129" i="1"/>
  <c r="AS7" i="1"/>
  <c r="AW92" i="1"/>
  <c r="AW206" i="1"/>
  <c r="AW193" i="1"/>
  <c r="AW98" i="1"/>
  <c r="AW87" i="1"/>
  <c r="AS68" i="1"/>
  <c r="AS66" i="1"/>
  <c r="AS36" i="1"/>
  <c r="AS186" i="1"/>
  <c r="AW181" i="1"/>
  <c r="AS177" i="1"/>
  <c r="AS175" i="1"/>
  <c r="AS153" i="1"/>
  <c r="AS146" i="1"/>
  <c r="AW136" i="1"/>
  <c r="AS181" i="1"/>
  <c r="AS157" i="1"/>
  <c r="AW154" i="1"/>
  <c r="AS125" i="1"/>
  <c r="AW100" i="1"/>
  <c r="AS56" i="1"/>
  <c r="AW156" i="1"/>
  <c r="AW144" i="1"/>
  <c r="AW39" i="1"/>
  <c r="AW27" i="1"/>
  <c r="AW147" i="1"/>
  <c r="AS135" i="1"/>
  <c r="AS131" i="1"/>
  <c r="AW36" i="1"/>
  <c r="AW23" i="1"/>
  <c r="AS137" i="1"/>
  <c r="AS134" i="1"/>
  <c r="AW123" i="1"/>
  <c r="AS122" i="1"/>
  <c r="AS78" i="1"/>
  <c r="AW33" i="1"/>
  <c r="AS13" i="1"/>
  <c r="AW10" i="1"/>
  <c r="AW109" i="1"/>
  <c r="AW102" i="1"/>
  <c r="AW114" i="1"/>
  <c r="AW14" i="1"/>
  <c r="AW47" i="1"/>
  <c r="AS65" i="1"/>
  <c r="AS46" i="1"/>
  <c r="AW35" i="1"/>
  <c r="AS11" i="1"/>
  <c r="AS54" i="1"/>
  <c r="AS43" i="1"/>
  <c r="AS32" i="1"/>
  <c r="AS21" i="1"/>
  <c r="AS10" i="1"/>
  <c r="AW138" i="1"/>
  <c r="AW43" i="1"/>
  <c r="AS25" i="1"/>
  <c r="AW142" i="1"/>
  <c r="AS147" i="1"/>
  <c r="AW54" i="1"/>
  <c r="AS23" i="1"/>
  <c r="AW131" i="1"/>
  <c r="AW189" i="1"/>
  <c r="AW24" i="1"/>
  <c r="AW22" i="1"/>
  <c r="AW203" i="1"/>
  <c r="AS203" i="1"/>
  <c r="AW198" i="1"/>
  <c r="AW177" i="1"/>
  <c r="AS176" i="1"/>
  <c r="AW170" i="1"/>
  <c r="AS164" i="1"/>
  <c r="AW148" i="1"/>
  <c r="AW146" i="1"/>
  <c r="AW99" i="1"/>
  <c r="AW44" i="1"/>
  <c r="AS40" i="1"/>
  <c r="AW32" i="1"/>
  <c r="AW204" i="1"/>
  <c r="AS200" i="1"/>
  <c r="AS166" i="1"/>
  <c r="AS154" i="1"/>
  <c r="AS55" i="1"/>
  <c r="AS33" i="1"/>
  <c r="AS12" i="1"/>
  <c r="AS187" i="1"/>
  <c r="AW186" i="1"/>
  <c r="AW167" i="1"/>
  <c r="AS145" i="1"/>
  <c r="AS142" i="1"/>
  <c r="AW37" i="1"/>
  <c r="AW205" i="1"/>
  <c r="AW192" i="1"/>
  <c r="AS188" i="1"/>
  <c r="AW169" i="1"/>
  <c r="AW145" i="1"/>
  <c r="AW132" i="1"/>
  <c r="AW65" i="1"/>
  <c r="AW34" i="1"/>
  <c r="AW12" i="1"/>
  <c r="AW190" i="1"/>
  <c r="AS180" i="1"/>
  <c r="AS136" i="1"/>
  <c r="AS133" i="1"/>
  <c r="AS127" i="1"/>
  <c r="AS24" i="1"/>
  <c r="AS201" i="1"/>
  <c r="AW179" i="1"/>
  <c r="AW178" i="1"/>
  <c r="AS178" i="1"/>
  <c r="AS165" i="1"/>
  <c r="AS158" i="1"/>
  <c r="AS124" i="1"/>
  <c r="AW112" i="1"/>
  <c r="AW21" i="1"/>
  <c r="AS204" i="1"/>
  <c r="AW180" i="1"/>
  <c r="AS179" i="1"/>
  <c r="AS143" i="1"/>
  <c r="AS121" i="1"/>
  <c r="AW77" i="1"/>
  <c r="AW66" i="1"/>
  <c r="AS199" i="1"/>
  <c r="AS197" i="1"/>
  <c r="AS193" i="1"/>
  <c r="AS167" i="1"/>
  <c r="AW164" i="1"/>
  <c r="AW158" i="1"/>
  <c r="AW110" i="1"/>
  <c r="AW57" i="1"/>
  <c r="AW127" i="1"/>
  <c r="AW201" i="1"/>
  <c r="AW199" i="1"/>
  <c r="AS192" i="1"/>
  <c r="AS190" i="1"/>
  <c r="AW165" i="1"/>
  <c r="AS159" i="1"/>
  <c r="AS139" i="1"/>
  <c r="AW137" i="1"/>
  <c r="AW133" i="1"/>
  <c r="AS126" i="1"/>
  <c r="AW166" i="1"/>
  <c r="AW159" i="1"/>
  <c r="AW157" i="1"/>
  <c r="AW155" i="1"/>
  <c r="AW153" i="1"/>
  <c r="AW88" i="1"/>
  <c r="AS76" i="1"/>
  <c r="AW16" i="1"/>
  <c r="AW197" i="1"/>
  <c r="AW191" i="1"/>
  <c r="AS191" i="1"/>
  <c r="AW188" i="1"/>
  <c r="AW187" i="1"/>
  <c r="AS168" i="1"/>
  <c r="AW111" i="1"/>
  <c r="AW90" i="1"/>
  <c r="AW55" i="1"/>
  <c r="AW168" i="1"/>
  <c r="AS156" i="1"/>
  <c r="AS148" i="1"/>
  <c r="AS144" i="1"/>
  <c r="AS123" i="1"/>
  <c r="AW121" i="1"/>
  <c r="AS98" i="1"/>
  <c r="AW176" i="1"/>
  <c r="AW124" i="1"/>
  <c r="AS114" i="1"/>
  <c r="AW91" i="1"/>
  <c r="AW49" i="1"/>
  <c r="AW89" i="1"/>
  <c r="AS101" i="1"/>
  <c r="AW78" i="1"/>
  <c r="AS155" i="1"/>
  <c r="AW122" i="1"/>
  <c r="AW68" i="1"/>
  <c r="AS50" i="1"/>
  <c r="AW11" i="1"/>
  <c r="AW175" i="1"/>
  <c r="AW56" i="1"/>
  <c r="AS47" i="1"/>
  <c r="AS22" i="1"/>
  <c r="AS38" i="1"/>
  <c r="AW143" i="1"/>
  <c r="AW76" i="1"/>
  <c r="AS44" i="1"/>
  <c r="AS77" i="1"/>
  <c r="AW120" i="1"/>
  <c r="AW67" i="1"/>
  <c r="AW135" i="1"/>
  <c r="AW45" i="1"/>
  <c r="AW46" i="1"/>
  <c r="AS45" i="1"/>
  <c r="AS15" i="1"/>
  <c r="AW13" i="1"/>
  <c r="AW134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<sst xmlns="http://schemas.openxmlformats.org/spreadsheetml/2006/main" count="3539" uniqueCount="1271">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</sst>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9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166" fontId="42" fillId="30" borderId="12" xfId="94" applyNumberFormat="1" applyFont="1" applyFill="1" applyBorder="1" applyAlignment="1">
      <alignment horizontal="right" vertical="center"/>
    </xf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P1" zoomScale="90" zoomScaleNormal="90" workbookViewId="0">
      <selection activeCell="AG1" sqref="AG1:AH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223" width="32.42578125" style="74" customWidth="1"/>
    <col min="224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OCTUBRE</v>
      </c>
      <c r="E2" s="82">
        <v>10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MIN(K5:K207)</f>
        <v>4.5999999999999996</v>
      </c>
      <c r="L2" s="89">
        <f t="shared" si="0"/>
        <v>4.5999999999999996</v>
      </c>
      <c r="M2" s="89">
        <f t="shared" si="0"/>
        <v>4.2</v>
      </c>
      <c r="N2" s="89">
        <f t="shared" si="0"/>
        <v>4</v>
      </c>
      <c r="O2" s="89">
        <f t="shared" si="0"/>
        <v>3.2</v>
      </c>
      <c r="P2" s="89">
        <f t="shared" si="0"/>
        <v>4</v>
      </c>
      <c r="Q2" s="89">
        <f t="shared" si="0"/>
        <v>3.4</v>
      </c>
      <c r="R2" s="89">
        <f t="shared" si="0"/>
        <v>4.4000000000000004</v>
      </c>
      <c r="S2" s="89">
        <f t="shared" si="0"/>
        <v>5</v>
      </c>
      <c r="T2" s="89">
        <f t="shared" si="0"/>
        <v>2.4</v>
      </c>
      <c r="U2" s="89">
        <f t="shared" si="0"/>
        <v>4.5999999999999996</v>
      </c>
      <c r="V2" s="89">
        <f t="shared" si="0"/>
        <v>5.2</v>
      </c>
      <c r="W2" s="89">
        <f t="shared" si="0"/>
        <v>4</v>
      </c>
      <c r="X2" s="89">
        <f t="shared" si="0"/>
        <v>5.2</v>
      </c>
      <c r="Y2" s="89">
        <f t="shared" si="0"/>
        <v>4.8</v>
      </c>
      <c r="Z2" s="89">
        <f t="shared" si="0"/>
        <v>4.8</v>
      </c>
      <c r="AA2" s="89">
        <f t="shared" si="0"/>
        <v>3.6</v>
      </c>
      <c r="AB2" s="89">
        <f t="shared" si="0"/>
        <v>4</v>
      </c>
      <c r="AC2" s="89">
        <f t="shared" si="0"/>
        <v>3.6</v>
      </c>
      <c r="AD2" s="89">
        <f t="shared" si="0"/>
        <v>4</v>
      </c>
      <c r="AE2" s="89">
        <f t="shared" si="0"/>
        <v>5</v>
      </c>
      <c r="AF2" s="89">
        <f t="shared" si="0"/>
        <v>5.6</v>
      </c>
      <c r="AG2" s="89">
        <f t="shared" si="0"/>
        <v>5.4</v>
      </c>
      <c r="AH2" s="89">
        <f t="shared" si="0"/>
        <v>4.4000000000000004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24.8</v>
      </c>
      <c r="L5" s="51">
        <v>26.9</v>
      </c>
      <c r="M5" s="51">
        <v>24.7</v>
      </c>
      <c r="N5" s="51">
        <v>25.3</v>
      </c>
      <c r="O5" s="51">
        <v>28.1</v>
      </c>
      <c r="P5" s="51">
        <v>26.7</v>
      </c>
      <c r="Q5" s="51">
        <v>24.7</v>
      </c>
      <c r="R5" s="51">
        <v>25.5</v>
      </c>
      <c r="S5" s="51">
        <v>27.2</v>
      </c>
      <c r="T5" s="51">
        <v>27.8</v>
      </c>
      <c r="U5" s="51">
        <v>26.1</v>
      </c>
      <c r="V5" s="51">
        <v>27.8</v>
      </c>
      <c r="W5" s="51">
        <v>24.9</v>
      </c>
      <c r="X5" s="51">
        <v>25.2</v>
      </c>
      <c r="Y5" s="51">
        <v>26.1</v>
      </c>
      <c r="Z5" s="111">
        <v>28.4</v>
      </c>
      <c r="AA5" s="111">
        <v>27.7</v>
      </c>
      <c r="AB5" s="51">
        <v>22.6</v>
      </c>
      <c r="AC5" s="51">
        <v>23.8</v>
      </c>
      <c r="AD5" s="51">
        <v>23.2</v>
      </c>
      <c r="AE5" s="51">
        <v>24</v>
      </c>
      <c r="AF5" s="51">
        <v>24.8</v>
      </c>
      <c r="AG5" s="51">
        <v>23.2</v>
      </c>
      <c r="AH5" s="51">
        <v>24.2</v>
      </c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24</v>
      </c>
      <c r="AQ5" s="89">
        <f t="shared" ref="AQ5:AQ68" si="2">IF(AP5&gt;14,AVERAGE(K5:AO5),"")</f>
        <v>25.570833333333336</v>
      </c>
      <c r="AR5" s="89">
        <f>IFERROR(VLOOKUP(A5,Climatologia!A:U,9+$E$2,FALSE),"")</f>
        <v>25.757900536615789</v>
      </c>
      <c r="AS5" s="89">
        <f t="shared" ref="AS5:AS68" si="3">IF(OR(AQ5="",AR5=""),"",IFERROR(AQ5-AR5,""))</f>
        <v>-0.18706720328245297</v>
      </c>
      <c r="AT5" s="90">
        <f t="shared" ref="AT5:AT68" si="4">IF(COUNT(K5:AO5)=0,"",MIN(K5:AO5))</f>
        <v>22.6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33898</v>
      </c>
      <c r="AW5" s="92">
        <f t="shared" ref="AW5:AW68" si="5">IF(OR(AT5="",AU5=""),"NA",IFERROR(AT5-AU5,"NA"))</f>
        <v>1.5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24.2</v>
      </c>
      <c r="L6" s="51">
        <v>25.4</v>
      </c>
      <c r="M6" s="51">
        <v>25.9</v>
      </c>
      <c r="N6" s="51">
        <v>25</v>
      </c>
      <c r="O6" s="51">
        <v>27.7</v>
      </c>
      <c r="P6" s="51">
        <v>25.2</v>
      </c>
      <c r="Q6" s="51">
        <v>24.5</v>
      </c>
      <c r="R6" s="51">
        <v>25.1</v>
      </c>
      <c r="S6" s="51">
        <v>24.9</v>
      </c>
      <c r="T6" s="51">
        <v>25.6</v>
      </c>
      <c r="U6" s="51">
        <v>26.2</v>
      </c>
      <c r="V6" s="51">
        <v>27.4</v>
      </c>
      <c r="W6" s="51">
        <v>25.7</v>
      </c>
      <c r="X6" s="51">
        <v>25.9</v>
      </c>
      <c r="Y6" s="51">
        <v>26.4</v>
      </c>
      <c r="Z6" s="111">
        <v>26.7</v>
      </c>
      <c r="AA6" s="111">
        <v>27.7</v>
      </c>
      <c r="AB6" s="51">
        <v>24.2</v>
      </c>
      <c r="AC6" s="51">
        <v>24.4</v>
      </c>
      <c r="AD6" s="51">
        <v>24.1</v>
      </c>
      <c r="AE6" s="51">
        <v>27.4</v>
      </c>
      <c r="AF6" s="51">
        <v>27.1</v>
      </c>
      <c r="AG6" s="51">
        <v>25.2</v>
      </c>
      <c r="AH6" s="51">
        <v>25.5</v>
      </c>
      <c r="AI6" s="51"/>
      <c r="AJ6" s="51"/>
      <c r="AK6" s="51"/>
      <c r="AL6" s="51"/>
      <c r="AM6" s="51"/>
      <c r="AN6" s="51"/>
      <c r="AO6" s="51"/>
      <c r="AP6" s="88">
        <f t="shared" si="1"/>
        <v>24</v>
      </c>
      <c r="AQ6" s="89">
        <f t="shared" si="2"/>
        <v>25.724999999999994</v>
      </c>
      <c r="AR6" s="89">
        <f>IFERROR(VLOOKUP(A6,Climatologia!A:U,9+$E$2,FALSE),"")</f>
        <v>25.133142381863181</v>
      </c>
      <c r="AS6" s="89">
        <f t="shared" si="3"/>
        <v>0.59185761813681381</v>
      </c>
      <c r="AT6" s="90">
        <f t="shared" si="4"/>
        <v>24.1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21.6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39735</v>
      </c>
      <c r="AW6" s="92">
        <f t="shared" si="5"/>
        <v>2.5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26</v>
      </c>
      <c r="L7" s="51">
        <v>25.8</v>
      </c>
      <c r="M7" s="51">
        <v>26.4</v>
      </c>
      <c r="N7" s="51">
        <v>25</v>
      </c>
      <c r="O7" s="51">
        <v>26.2</v>
      </c>
      <c r="P7" s="51">
        <v>25.8</v>
      </c>
      <c r="Q7" s="51">
        <v>26.3</v>
      </c>
      <c r="R7" s="51">
        <v>24.2</v>
      </c>
      <c r="S7" s="51">
        <v>26</v>
      </c>
      <c r="T7" s="51">
        <v>26.4</v>
      </c>
      <c r="U7" s="51">
        <v>26.6</v>
      </c>
      <c r="V7" s="51">
        <v>26.2</v>
      </c>
      <c r="W7" s="51">
        <v>23.6</v>
      </c>
      <c r="X7" s="51">
        <v>24.2</v>
      </c>
      <c r="Y7" s="51">
        <v>24.2</v>
      </c>
      <c r="Z7" s="111">
        <v>26.2</v>
      </c>
      <c r="AA7" s="111">
        <v>27.6</v>
      </c>
      <c r="AB7" s="51">
        <v>26</v>
      </c>
      <c r="AC7" s="51">
        <v>24.2</v>
      </c>
      <c r="AD7" s="51">
        <v>25.4</v>
      </c>
      <c r="AE7" s="51">
        <v>27</v>
      </c>
      <c r="AF7" s="51">
        <v>25.8</v>
      </c>
      <c r="AG7" s="51">
        <v>25.1</v>
      </c>
      <c r="AH7" s="51">
        <v>26.8</v>
      </c>
      <c r="AI7" s="51"/>
      <c r="AJ7" s="51"/>
      <c r="AK7" s="51"/>
      <c r="AL7" s="51"/>
      <c r="AM7" s="51"/>
      <c r="AN7" s="51"/>
      <c r="AO7" s="51"/>
      <c r="AP7" s="88">
        <f t="shared" si="1"/>
        <v>24</v>
      </c>
      <c r="AQ7" s="89">
        <f t="shared" si="2"/>
        <v>25.708333333333329</v>
      </c>
      <c r="AR7" s="89">
        <f>IFERROR(VLOOKUP(A7,Climatologia!A:U,9+$E$2,FALSE),"")</f>
        <v>24.42178319826262</v>
      </c>
      <c r="AS7" s="89">
        <f t="shared" si="3"/>
        <v>1.2865501350707085</v>
      </c>
      <c r="AT7" s="90">
        <f t="shared" si="4"/>
        <v>23.6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20.8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7" s="92">
        <f t="shared" si="5"/>
        <v>2.8000000000000007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25.7</v>
      </c>
      <c r="L8" s="51">
        <v>27.1</v>
      </c>
      <c r="M8" s="51">
        <v>26.4</v>
      </c>
      <c r="N8" s="51">
        <v>25.1</v>
      </c>
      <c r="O8" s="51">
        <v>25.8</v>
      </c>
      <c r="P8" s="51">
        <v>27.1</v>
      </c>
      <c r="Q8" s="51">
        <v>27.1</v>
      </c>
      <c r="R8" s="51">
        <v>25.5</v>
      </c>
      <c r="S8" s="51">
        <v>26.3</v>
      </c>
      <c r="T8" s="51">
        <v>28</v>
      </c>
      <c r="U8" s="51">
        <v>27.2</v>
      </c>
      <c r="V8" s="51">
        <v>27.4</v>
      </c>
      <c r="W8" s="51">
        <v>25</v>
      </c>
      <c r="X8" s="51">
        <v>24.3</v>
      </c>
      <c r="Y8" s="51">
        <v>25.1</v>
      </c>
      <c r="Z8" s="111">
        <v>26.9</v>
      </c>
      <c r="AA8" s="111">
        <v>26.6</v>
      </c>
      <c r="AB8" s="51">
        <v>26.5</v>
      </c>
      <c r="AC8" s="51">
        <v>25</v>
      </c>
      <c r="AD8" s="51">
        <v>25.7</v>
      </c>
      <c r="AE8" s="51">
        <v>26.4</v>
      </c>
      <c r="AF8" s="51">
        <v>25.7</v>
      </c>
      <c r="AG8" s="51">
        <v>28.1</v>
      </c>
      <c r="AH8" s="51">
        <v>27.5</v>
      </c>
      <c r="AI8" s="51"/>
      <c r="AJ8" s="51"/>
      <c r="AK8" s="51"/>
      <c r="AL8" s="51"/>
      <c r="AM8" s="51"/>
      <c r="AN8" s="51"/>
      <c r="AO8" s="51"/>
      <c r="AP8" s="88">
        <f t="shared" si="1"/>
        <v>24</v>
      </c>
      <c r="AQ8" s="89">
        <f t="shared" si="2"/>
        <v>26.312500000000004</v>
      </c>
      <c r="AR8" s="89">
        <f>IFERROR(VLOOKUP(A8,Climatologia!A:U,9+$E$2,FALSE),"")</f>
        <v>25.551483083943129</v>
      </c>
      <c r="AS8" s="89">
        <f t="shared" si="3"/>
        <v>0.76101691605687449</v>
      </c>
      <c r="AT8" s="90">
        <f t="shared" si="4"/>
        <v>24.3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31342</v>
      </c>
      <c r="AW8" s="92">
        <f t="shared" si="5"/>
        <v>3.3000000000000007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23.6</v>
      </c>
      <c r="L9" s="51">
        <v>25.6</v>
      </c>
      <c r="M9" s="51">
        <v>24.8</v>
      </c>
      <c r="N9" s="51">
        <v>24.9</v>
      </c>
      <c r="O9" s="51">
        <v>26.3</v>
      </c>
      <c r="P9" s="51">
        <v>26.3</v>
      </c>
      <c r="Q9" s="51">
        <v>26.4</v>
      </c>
      <c r="R9" s="51">
        <v>24.5</v>
      </c>
      <c r="S9" s="51">
        <v>25.3</v>
      </c>
      <c r="T9" s="51">
        <v>26.5</v>
      </c>
      <c r="U9" s="51">
        <v>26.1</v>
      </c>
      <c r="V9" s="51">
        <v>25.6</v>
      </c>
      <c r="W9" s="51">
        <v>22.3</v>
      </c>
      <c r="X9" s="51">
        <v>25.4</v>
      </c>
      <c r="Y9" s="51">
        <v>25</v>
      </c>
      <c r="Z9" s="111">
        <v>27</v>
      </c>
      <c r="AA9" s="111">
        <v>24.8</v>
      </c>
      <c r="AB9" s="51">
        <v>23.2</v>
      </c>
      <c r="AC9" s="51">
        <v>25</v>
      </c>
      <c r="AD9" s="51">
        <v>26.1</v>
      </c>
      <c r="AE9" s="51">
        <v>25.4</v>
      </c>
      <c r="AF9" s="51">
        <v>24.6</v>
      </c>
      <c r="AG9" s="51">
        <v>25.6</v>
      </c>
      <c r="AH9" s="51">
        <v>26.9</v>
      </c>
      <c r="AI9" s="51"/>
      <c r="AJ9" s="51"/>
      <c r="AK9" s="51"/>
      <c r="AL9" s="51"/>
      <c r="AM9" s="51"/>
      <c r="AN9" s="51"/>
      <c r="AO9" s="51"/>
      <c r="AP9" s="88">
        <f t="shared" si="1"/>
        <v>24</v>
      </c>
      <c r="AQ9" s="89">
        <f t="shared" si="2"/>
        <v>25.3</v>
      </c>
      <c r="AR9" s="89">
        <f>IFERROR(VLOOKUP(A9,Climatologia!A:U,9+$E$2,FALSE),"")</f>
        <v>24.136239361108551</v>
      </c>
      <c r="AS9" s="89">
        <f t="shared" si="3"/>
        <v>1.1637606388914499</v>
      </c>
      <c r="AT9" s="90">
        <f t="shared" si="4"/>
        <v>22.3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20.2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9" s="92">
        <f t="shared" si="5"/>
        <v>2.1000000000000014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27.7</v>
      </c>
      <c r="L10" s="51">
        <v>27.2</v>
      </c>
      <c r="M10" s="51">
        <v>25.9</v>
      </c>
      <c r="N10" s="51">
        <v>24.3</v>
      </c>
      <c r="O10" s="51">
        <v>28.3</v>
      </c>
      <c r="P10" s="51">
        <v>28</v>
      </c>
      <c r="Q10" s="51">
        <v>23.3</v>
      </c>
      <c r="R10" s="51">
        <v>25.1</v>
      </c>
      <c r="S10" s="51">
        <v>26.3</v>
      </c>
      <c r="T10" s="51">
        <v>26.3</v>
      </c>
      <c r="U10" s="51">
        <v>27</v>
      </c>
      <c r="V10" s="51">
        <v>27.5</v>
      </c>
      <c r="W10" s="51">
        <v>25.5</v>
      </c>
      <c r="X10" s="51">
        <v>23.5</v>
      </c>
      <c r="Y10" s="51">
        <v>26.5</v>
      </c>
      <c r="Z10" s="111">
        <v>27.8</v>
      </c>
      <c r="AA10" s="111">
        <v>28.1</v>
      </c>
      <c r="AB10" s="51">
        <v>25.9</v>
      </c>
      <c r="AC10" s="51">
        <v>24.4</v>
      </c>
      <c r="AD10" s="51">
        <v>26.9</v>
      </c>
      <c r="AE10" s="51">
        <v>25.4</v>
      </c>
      <c r="AF10" s="51">
        <v>25.6</v>
      </c>
      <c r="AG10" s="51">
        <v>25.9</v>
      </c>
      <c r="AH10" s="51">
        <v>26.5</v>
      </c>
      <c r="AI10" s="51"/>
      <c r="AJ10" s="51"/>
      <c r="AK10" s="51"/>
      <c r="AL10" s="51"/>
      <c r="AM10" s="51"/>
      <c r="AN10" s="51"/>
      <c r="AO10" s="51"/>
      <c r="AP10" s="88">
        <f t="shared" si="1"/>
        <v>24</v>
      </c>
      <c r="AQ10" s="89">
        <f t="shared" si="2"/>
        <v>26.204166666666666</v>
      </c>
      <c r="AR10" s="89">
        <f>IFERROR(VLOOKUP(A10,Climatologia!A:U,9+$E$2,FALSE),"")</f>
        <v>24.24301609371965</v>
      </c>
      <c r="AS10" s="89">
        <f t="shared" si="3"/>
        <v>1.961150572947016</v>
      </c>
      <c r="AT10" s="90">
        <f t="shared" si="4"/>
        <v>23.3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32061</v>
      </c>
      <c r="AW10" s="92">
        <f t="shared" si="5"/>
        <v>3.3000000000000007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24.4</v>
      </c>
      <c r="L11" s="51">
        <v>25.9</v>
      </c>
      <c r="M11" s="51">
        <v>25.8</v>
      </c>
      <c r="N11" s="51">
        <v>24.3</v>
      </c>
      <c r="O11" s="51">
        <v>25.4</v>
      </c>
      <c r="P11" s="51">
        <v>25.4</v>
      </c>
      <c r="Q11" s="51">
        <v>24.6</v>
      </c>
      <c r="R11" s="51">
        <v>23.6</v>
      </c>
      <c r="S11" s="51">
        <v>24.4</v>
      </c>
      <c r="T11" s="51">
        <v>26.2</v>
      </c>
      <c r="U11" s="51">
        <v>25.8</v>
      </c>
      <c r="V11" s="51">
        <v>25.7</v>
      </c>
      <c r="W11" s="51">
        <v>22</v>
      </c>
      <c r="X11" s="51">
        <v>23.2</v>
      </c>
      <c r="Y11" s="51">
        <v>24.1</v>
      </c>
      <c r="Z11" s="111">
        <v>26.3</v>
      </c>
      <c r="AA11" s="111">
        <v>24.3</v>
      </c>
      <c r="AB11" s="51">
        <v>23.3</v>
      </c>
      <c r="AC11" s="51">
        <v>24</v>
      </c>
      <c r="AD11" s="51">
        <v>24.4</v>
      </c>
      <c r="AE11" s="51">
        <v>23.2</v>
      </c>
      <c r="AF11" s="51">
        <v>23.6</v>
      </c>
      <c r="AG11" s="51">
        <v>24.2</v>
      </c>
      <c r="AH11" s="51">
        <v>25.2</v>
      </c>
      <c r="AI11" s="51"/>
      <c r="AJ11" s="51"/>
      <c r="AK11" s="51"/>
      <c r="AL11" s="51"/>
      <c r="AM11" s="51"/>
      <c r="AN11" s="51"/>
      <c r="AO11" s="51"/>
      <c r="AP11" s="88">
        <f t="shared" si="1"/>
        <v>24</v>
      </c>
      <c r="AQ11" s="89">
        <f t="shared" si="2"/>
        <v>24.554166666666671</v>
      </c>
      <c r="AR11" s="89">
        <f>IFERROR(VLOOKUP(A11,Climatologia!A:U,9+$E$2,FALSE),"")</f>
        <v>23.553692295015981</v>
      </c>
      <c r="AS11" s="89">
        <f t="shared" si="3"/>
        <v>1.0004743716506894</v>
      </c>
      <c r="AT11" s="90">
        <f t="shared" si="4"/>
        <v>22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18.399999999999999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39020</v>
      </c>
      <c r="AW11" s="92">
        <f t="shared" si="5"/>
        <v>3.6000000000000014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26.4</v>
      </c>
      <c r="L12" s="51">
        <v>26.2</v>
      </c>
      <c r="M12" s="51">
        <v>26.2</v>
      </c>
      <c r="N12" s="51">
        <v>23.4</v>
      </c>
      <c r="O12" s="51">
        <v>25.4</v>
      </c>
      <c r="P12" s="51">
        <v>24.5</v>
      </c>
      <c r="Q12" s="51">
        <v>25.7</v>
      </c>
      <c r="R12" s="51">
        <v>24.6</v>
      </c>
      <c r="S12" s="51">
        <v>25.3</v>
      </c>
      <c r="T12" s="51">
        <v>25.5</v>
      </c>
      <c r="U12" s="51">
        <v>26.1</v>
      </c>
      <c r="V12" s="51">
        <v>25.9</v>
      </c>
      <c r="W12" s="51">
        <v>24.5</v>
      </c>
      <c r="X12" s="51">
        <v>23</v>
      </c>
      <c r="Y12" s="51">
        <v>25.8</v>
      </c>
      <c r="Z12" s="111">
        <v>25</v>
      </c>
      <c r="AA12" s="111">
        <v>25</v>
      </c>
      <c r="AB12" s="51">
        <v>23.6</v>
      </c>
      <c r="AC12" s="51">
        <v>23.7</v>
      </c>
      <c r="AD12" s="51">
        <v>26</v>
      </c>
      <c r="AE12" s="51">
        <v>25.8</v>
      </c>
      <c r="AF12" s="51">
        <v>24</v>
      </c>
      <c r="AG12" s="51">
        <v>26.2</v>
      </c>
      <c r="AH12" s="51">
        <v>24.8</v>
      </c>
      <c r="AI12" s="51"/>
      <c r="AJ12" s="51"/>
      <c r="AK12" s="51"/>
      <c r="AL12" s="51"/>
      <c r="AM12" s="51"/>
      <c r="AN12" s="51"/>
      <c r="AO12" s="51"/>
      <c r="AP12" s="88">
        <f t="shared" si="1"/>
        <v>24</v>
      </c>
      <c r="AQ12" s="89">
        <f t="shared" si="2"/>
        <v>25.108333333333334</v>
      </c>
      <c r="AR12" s="89">
        <f>IFERROR(VLOOKUP(A12,Climatologia!A:U,9+$E$2,FALSE),"")</f>
        <v>23.215266882127882</v>
      </c>
      <c r="AS12" s="89">
        <f t="shared" si="3"/>
        <v>1.8930664512054527</v>
      </c>
      <c r="AT12" s="90">
        <f t="shared" si="4"/>
        <v>23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19.600000000000001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2" s="92">
        <f t="shared" si="5"/>
        <v>3.3999999999999986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</v>
      </c>
      <c r="L13" s="51">
        <v>24.4</v>
      </c>
      <c r="M13" s="51">
        <v>24.2</v>
      </c>
      <c r="N13" s="51">
        <v>24.2</v>
      </c>
      <c r="O13" s="51">
        <v>25.8</v>
      </c>
      <c r="P13" s="51">
        <v>22.6</v>
      </c>
      <c r="Q13" s="51">
        <v>22.6</v>
      </c>
      <c r="R13" s="51">
        <v>24.4</v>
      </c>
      <c r="S13" s="51">
        <v>23.6</v>
      </c>
      <c r="T13" s="51">
        <v>23.8</v>
      </c>
      <c r="U13" s="51">
        <v>25</v>
      </c>
      <c r="V13" s="51">
        <v>23</v>
      </c>
      <c r="W13" s="51">
        <v>23.8</v>
      </c>
      <c r="X13" s="51">
        <v>23.4</v>
      </c>
      <c r="Y13" s="51">
        <v>24.4</v>
      </c>
      <c r="Z13" s="111">
        <v>26</v>
      </c>
      <c r="AA13" s="111">
        <v>25.1</v>
      </c>
      <c r="AB13" s="51">
        <v>22.2</v>
      </c>
      <c r="AC13" s="51">
        <v>22.8</v>
      </c>
      <c r="AD13" s="51">
        <v>23.2</v>
      </c>
      <c r="AE13" s="51">
        <v>22.8</v>
      </c>
      <c r="AF13" s="51">
        <v>23.3</v>
      </c>
      <c r="AG13" s="51">
        <v>24.2</v>
      </c>
      <c r="AH13" s="51">
        <v>22.6</v>
      </c>
      <c r="AI13" s="51"/>
      <c r="AJ13" s="51"/>
      <c r="AK13" s="51"/>
      <c r="AL13" s="51"/>
      <c r="AM13" s="51"/>
      <c r="AN13" s="51"/>
      <c r="AO13" s="51"/>
      <c r="AP13" s="88">
        <f t="shared" si="1"/>
        <v>24</v>
      </c>
      <c r="AQ13" s="89">
        <f t="shared" si="2"/>
        <v>23.808333333333337</v>
      </c>
      <c r="AR13" s="89">
        <f>IFERROR(VLOOKUP(A13,Climatologia!A:U,9+$E$2,FALSE),"")</f>
        <v>23.105314900153608</v>
      </c>
      <c r="AS13" s="89">
        <f t="shared" si="3"/>
        <v>0.70301843317972867</v>
      </c>
      <c r="AT13" s="90">
        <f t="shared" si="4"/>
        <v>22.2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20.9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44847</v>
      </c>
      <c r="AW13" s="92">
        <f t="shared" si="5"/>
        <v>1.3000000000000007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19.3</v>
      </c>
      <c r="L14" s="51">
        <v>19.8</v>
      </c>
      <c r="M14" s="51">
        <v>19.2</v>
      </c>
      <c r="N14" s="51">
        <v>19.399999999999999</v>
      </c>
      <c r="O14" s="51">
        <v>21.1</v>
      </c>
      <c r="P14" s="51">
        <v>18.5</v>
      </c>
      <c r="Q14" s="51">
        <v>20</v>
      </c>
      <c r="R14" s="51">
        <v>18.3</v>
      </c>
      <c r="S14" s="51">
        <v>19</v>
      </c>
      <c r="T14" s="51">
        <v>19.399999999999999</v>
      </c>
      <c r="U14" s="51">
        <v>19.7</v>
      </c>
      <c r="V14" s="51">
        <v>18</v>
      </c>
      <c r="W14" s="51">
        <v>17.7</v>
      </c>
      <c r="X14" s="51">
        <v>18.399999999999999</v>
      </c>
      <c r="Y14" s="51">
        <v>19.2</v>
      </c>
      <c r="Z14" s="111">
        <v>20.5</v>
      </c>
      <c r="AA14" s="111">
        <v>20.399999999999999</v>
      </c>
      <c r="AB14" s="51">
        <v>18.600000000000001</v>
      </c>
      <c r="AC14" s="51">
        <v>18.600000000000001</v>
      </c>
      <c r="AD14" s="51">
        <v>19.5</v>
      </c>
      <c r="AE14" s="51">
        <v>18</v>
      </c>
      <c r="AF14" s="51">
        <v>18.2</v>
      </c>
      <c r="AG14" s="51">
        <v>19.2</v>
      </c>
      <c r="AH14" s="51">
        <v>19.8</v>
      </c>
      <c r="AI14" s="51"/>
      <c r="AJ14" s="51"/>
      <c r="AK14" s="51"/>
      <c r="AL14" s="51"/>
      <c r="AM14" s="51"/>
      <c r="AN14" s="51"/>
      <c r="AO14" s="51"/>
      <c r="AP14" s="88">
        <f t="shared" si="1"/>
        <v>24</v>
      </c>
      <c r="AQ14" s="89">
        <f t="shared" si="2"/>
        <v>19.158333333333331</v>
      </c>
      <c r="AR14" s="89">
        <f>IFERROR(VLOOKUP(A14,Climatologia!A:U,9+$E$2,FALSE),"")</f>
        <v>18.35928061981825</v>
      </c>
      <c r="AS14" s="89">
        <f t="shared" si="3"/>
        <v>0.79905271351508134</v>
      </c>
      <c r="AT14" s="90">
        <f t="shared" si="4"/>
        <v>17.7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30233</v>
      </c>
      <c r="AW14" s="92">
        <f t="shared" si="5"/>
        <v>2.6999999999999993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</v>
      </c>
      <c r="L15" s="51">
        <v>24.4</v>
      </c>
      <c r="M15" s="51">
        <v>24.5</v>
      </c>
      <c r="N15" s="51">
        <v>23</v>
      </c>
      <c r="O15" s="51">
        <v>26.3</v>
      </c>
      <c r="P15" s="51">
        <v>23.8</v>
      </c>
      <c r="Q15" s="51">
        <v>22.7</v>
      </c>
      <c r="R15" s="51">
        <v>23.7</v>
      </c>
      <c r="S15" s="51">
        <v>23.8</v>
      </c>
      <c r="T15" s="51">
        <v>23.9</v>
      </c>
      <c r="U15" s="51">
        <v>23.7</v>
      </c>
      <c r="V15" s="51">
        <v>23.8</v>
      </c>
      <c r="W15" s="51">
        <v>25</v>
      </c>
      <c r="X15" s="51">
        <v>23</v>
      </c>
      <c r="Y15" s="51">
        <v>24.1</v>
      </c>
      <c r="Z15" s="111">
        <v>27</v>
      </c>
      <c r="AA15" s="51">
        <v>27.2</v>
      </c>
      <c r="AB15" s="51">
        <v>25.6</v>
      </c>
      <c r="AC15" s="51">
        <v>26</v>
      </c>
      <c r="AD15" s="51">
        <v>24.9</v>
      </c>
      <c r="AE15" s="51">
        <v>23.6</v>
      </c>
      <c r="AF15" s="51">
        <v>24.1</v>
      </c>
      <c r="AG15" s="51">
        <v>25.8</v>
      </c>
      <c r="AH15" s="51">
        <v>27</v>
      </c>
      <c r="AI15" s="51"/>
      <c r="AJ15" s="51"/>
      <c r="AK15" s="51"/>
      <c r="AL15" s="51"/>
      <c r="AM15" s="51"/>
      <c r="AN15" s="51"/>
      <c r="AO15" s="51"/>
      <c r="AP15" s="88">
        <f t="shared" si="1"/>
        <v>24</v>
      </c>
      <c r="AQ15" s="89">
        <f t="shared" si="2"/>
        <v>24.620833333333334</v>
      </c>
      <c r="AR15" s="89">
        <f>IFERROR(VLOOKUP(A15,Climatologia!A:U,9+$E$2,FALSE),"")</f>
        <v>22.93138888888889</v>
      </c>
      <c r="AS15" s="89">
        <f t="shared" si="3"/>
        <v>1.6894444444444439</v>
      </c>
      <c r="AT15" s="90">
        <f t="shared" si="4"/>
        <v>22.7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31691</v>
      </c>
      <c r="AW15" s="92">
        <f t="shared" si="5"/>
        <v>3.8999999999999986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</v>
      </c>
      <c r="L16" s="51">
        <v>25.1</v>
      </c>
      <c r="M16" s="51">
        <v>22.6</v>
      </c>
      <c r="N16" s="51">
        <v>22.6</v>
      </c>
      <c r="O16" s="51">
        <v>24.2</v>
      </c>
      <c r="P16" s="51">
        <v>23.1</v>
      </c>
      <c r="Q16" s="51">
        <v>23.7</v>
      </c>
      <c r="R16" s="51">
        <v>24.9</v>
      </c>
      <c r="S16" s="51">
        <v>24.5</v>
      </c>
      <c r="T16" s="51">
        <v>25</v>
      </c>
      <c r="U16" s="51">
        <v>25.2</v>
      </c>
      <c r="V16" s="51">
        <v>24.1</v>
      </c>
      <c r="W16" s="51">
        <v>23.7</v>
      </c>
      <c r="X16" s="51">
        <v>22.7</v>
      </c>
      <c r="Y16" s="51">
        <v>25.1</v>
      </c>
      <c r="Z16" s="111">
        <v>26.6</v>
      </c>
      <c r="AA16" s="51">
        <v>24.4</v>
      </c>
      <c r="AB16" s="51">
        <v>24.8</v>
      </c>
      <c r="AC16" s="51">
        <v>25.1</v>
      </c>
      <c r="AD16" s="51">
        <v>24.5</v>
      </c>
      <c r="AE16" s="51">
        <v>24.8</v>
      </c>
      <c r="AF16" s="51">
        <v>23.6</v>
      </c>
      <c r="AG16" s="51">
        <v>24.5</v>
      </c>
      <c r="AH16" s="51">
        <v>25.5</v>
      </c>
      <c r="AI16" s="51"/>
      <c r="AJ16" s="51"/>
      <c r="AK16" s="51"/>
      <c r="AL16" s="51"/>
      <c r="AM16" s="51"/>
      <c r="AN16" s="51"/>
      <c r="AO16" s="51"/>
      <c r="AP16" s="88">
        <f t="shared" si="1"/>
        <v>24</v>
      </c>
      <c r="AQ16" s="89">
        <f t="shared" si="2"/>
        <v>24.387500000000003</v>
      </c>
      <c r="AR16" s="89">
        <f>IFERROR(VLOOKUP(A16,Climatologia!A:U,9+$E$2,FALSE),"")</f>
        <v>23.20756656273802</v>
      </c>
      <c r="AS16" s="89">
        <f t="shared" si="3"/>
        <v>1.1799334372619832</v>
      </c>
      <c r="AT16" s="90">
        <f t="shared" si="4"/>
        <v>22.6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36804</v>
      </c>
      <c r="AW16" s="92">
        <f t="shared" si="5"/>
        <v>3.6000000000000014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18.8</v>
      </c>
      <c r="L17" s="51">
        <v>19.7</v>
      </c>
      <c r="M17" s="51">
        <v>20.2</v>
      </c>
      <c r="N17" s="51">
        <v>18.8</v>
      </c>
      <c r="O17" s="51">
        <v>19.7</v>
      </c>
      <c r="P17" s="51">
        <v>18.3</v>
      </c>
      <c r="Q17" s="51">
        <v>18.3</v>
      </c>
      <c r="R17" s="51">
        <v>17.2</v>
      </c>
      <c r="S17" s="51">
        <v>18.3</v>
      </c>
      <c r="T17" s="51">
        <v>17.5</v>
      </c>
      <c r="U17" s="51">
        <v>18.7</v>
      </c>
      <c r="V17" s="51">
        <v>18.3</v>
      </c>
      <c r="W17" s="51">
        <v>16.7</v>
      </c>
      <c r="X17" s="51">
        <v>17.2</v>
      </c>
      <c r="Y17" s="51">
        <v>18.600000000000001</v>
      </c>
      <c r="Z17" s="111">
        <v>18.600000000000001</v>
      </c>
      <c r="AA17" s="51">
        <v>18.600000000000001</v>
      </c>
      <c r="AB17" s="51">
        <v>19.100000000000001</v>
      </c>
      <c r="AC17" s="51">
        <v>17.600000000000001</v>
      </c>
      <c r="AD17" s="51">
        <v>19.100000000000001</v>
      </c>
      <c r="AE17" s="51">
        <v>17.399999999999999</v>
      </c>
      <c r="AF17" s="51">
        <v>17.600000000000001</v>
      </c>
      <c r="AG17" s="51">
        <v>18.2</v>
      </c>
      <c r="AH17" s="51">
        <v>18.600000000000001</v>
      </c>
      <c r="AI17" s="51"/>
      <c r="AJ17" s="51"/>
      <c r="AK17" s="51"/>
      <c r="AL17" s="51"/>
      <c r="AM17" s="51"/>
      <c r="AN17" s="51"/>
      <c r="AO17" s="51"/>
      <c r="AP17" s="88">
        <f t="shared" si="1"/>
        <v>24</v>
      </c>
      <c r="AQ17" s="89">
        <f t="shared" si="2"/>
        <v>18.379166666666674</v>
      </c>
      <c r="AR17" s="89">
        <f>IFERROR(VLOOKUP(A17,Climatologia!A:U,9+$E$2,FALSE),"")</f>
        <v>17.420270031836139</v>
      </c>
      <c r="AS17" s="89">
        <f t="shared" si="3"/>
        <v>0.95889663483053411</v>
      </c>
      <c r="AT17" s="90">
        <f t="shared" si="4"/>
        <v>16.7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31687</v>
      </c>
      <c r="AW17" s="92">
        <f t="shared" si="5"/>
        <v>5.5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14.2</v>
      </c>
      <c r="L18" s="51">
        <v>13.6</v>
      </c>
      <c r="M18" s="51">
        <v>14.3</v>
      </c>
      <c r="N18" s="51">
        <v>13.3</v>
      </c>
      <c r="O18" s="51">
        <v>13.1</v>
      </c>
      <c r="P18" s="51">
        <v>13.5</v>
      </c>
      <c r="Q18" s="51">
        <v>13.4</v>
      </c>
      <c r="R18" s="51">
        <v>12.6</v>
      </c>
      <c r="S18" s="51">
        <v>13.6</v>
      </c>
      <c r="T18" s="51">
        <v>14.6</v>
      </c>
      <c r="U18" s="51">
        <v>12.5</v>
      </c>
      <c r="V18" s="51">
        <v>13.6</v>
      </c>
      <c r="W18" s="51">
        <v>12.3</v>
      </c>
      <c r="X18" s="51">
        <v>11</v>
      </c>
      <c r="Y18" s="51">
        <v>13.2</v>
      </c>
      <c r="Z18" s="111">
        <v>13.6</v>
      </c>
      <c r="AA18" s="51">
        <v>12.3</v>
      </c>
      <c r="AB18" s="51">
        <v>13.5</v>
      </c>
      <c r="AC18" s="51">
        <v>10.4</v>
      </c>
      <c r="AD18" s="51">
        <v>13</v>
      </c>
      <c r="AE18" s="51">
        <v>13.5</v>
      </c>
      <c r="AF18" s="51">
        <v>12.7</v>
      </c>
      <c r="AG18" s="51">
        <v>13.4</v>
      </c>
      <c r="AH18" s="51">
        <v>13.4</v>
      </c>
      <c r="AI18" s="51"/>
      <c r="AJ18" s="51"/>
      <c r="AK18" s="51"/>
      <c r="AL18" s="51"/>
      <c r="AM18" s="51"/>
      <c r="AN18" s="51"/>
      <c r="AO18" s="51"/>
      <c r="AP18" s="88">
        <f t="shared" si="1"/>
        <v>24</v>
      </c>
      <c r="AQ18" s="89">
        <f t="shared" si="2"/>
        <v>13.108333333333333</v>
      </c>
      <c r="AR18" s="89">
        <f>IFERROR(VLOOKUP(A18,Climatologia!A:U,9+$E$2,FALSE),"")</f>
        <v>12.681788530465949</v>
      </c>
      <c r="AS18" s="89">
        <f t="shared" si="3"/>
        <v>0.42654480286738305</v>
      </c>
      <c r="AT18" s="90">
        <f t="shared" si="4"/>
        <v>10.4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30253</v>
      </c>
      <c r="AW18" s="92">
        <f t="shared" si="5"/>
        <v>3.4000000000000004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18.3</v>
      </c>
      <c r="L19" s="51">
        <v>18.2</v>
      </c>
      <c r="M19" s="51">
        <v>18.399999999999999</v>
      </c>
      <c r="N19" s="51">
        <v>18</v>
      </c>
      <c r="O19" s="51">
        <v>18.2</v>
      </c>
      <c r="P19" s="51">
        <v>17.899999999999999</v>
      </c>
      <c r="Q19" s="51">
        <v>17.899999999999999</v>
      </c>
      <c r="R19" s="51">
        <v>19.100000000000001</v>
      </c>
      <c r="S19" s="51">
        <v>18.2</v>
      </c>
      <c r="T19" s="51">
        <v>17.8</v>
      </c>
      <c r="U19" s="51">
        <v>17.399999999999999</v>
      </c>
      <c r="V19" s="51">
        <v>18.899999999999999</v>
      </c>
      <c r="W19" s="51">
        <v>17.600000000000001</v>
      </c>
      <c r="X19" s="51">
        <v>17.8</v>
      </c>
      <c r="Y19" s="51">
        <v>18</v>
      </c>
      <c r="Z19" s="111">
        <v>19.8</v>
      </c>
      <c r="AA19" s="51">
        <v>19.2</v>
      </c>
      <c r="AB19" s="51">
        <v>19.5</v>
      </c>
      <c r="AC19" s="51">
        <v>19.399999999999999</v>
      </c>
      <c r="AD19" s="51">
        <v>19.600000000000001</v>
      </c>
      <c r="AE19" s="51">
        <v>19</v>
      </c>
      <c r="AF19" s="51">
        <v>17.2</v>
      </c>
      <c r="AG19" s="51">
        <v>17.600000000000001</v>
      </c>
      <c r="AH19" s="51">
        <v>19.399999999999999</v>
      </c>
      <c r="AI19" s="51"/>
      <c r="AJ19" s="51"/>
      <c r="AK19" s="51"/>
      <c r="AL19" s="51"/>
      <c r="AM19" s="51"/>
      <c r="AN19" s="51"/>
      <c r="AO19" s="51"/>
      <c r="AP19" s="88">
        <f t="shared" si="1"/>
        <v>24</v>
      </c>
      <c r="AQ19" s="89">
        <f t="shared" si="2"/>
        <v>18.433333333333334</v>
      </c>
      <c r="AR19" s="89">
        <f>IFERROR(VLOOKUP(A19,Climatologia!A:U,9+$E$2,FALSE),"")</f>
        <v>17.368349875930519</v>
      </c>
      <c r="AS19" s="89">
        <f t="shared" si="3"/>
        <v>1.0649834574028141</v>
      </c>
      <c r="AT19" s="90">
        <f t="shared" si="4"/>
        <v>17.2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9" s="92">
        <f t="shared" si="5"/>
        <v>3.1999999999999993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18.600000000000001</v>
      </c>
      <c r="L20" s="51">
        <v>19</v>
      </c>
      <c r="M20" s="51">
        <v>18.600000000000001</v>
      </c>
      <c r="N20" s="51">
        <v>16.600000000000001</v>
      </c>
      <c r="O20" s="51">
        <v>18</v>
      </c>
      <c r="P20" s="51">
        <v>18.7</v>
      </c>
      <c r="Q20" s="51">
        <v>18.399999999999999</v>
      </c>
      <c r="R20" s="51">
        <v>18.399999999999999</v>
      </c>
      <c r="S20" s="51">
        <v>18.899999999999999</v>
      </c>
      <c r="T20" s="51">
        <v>18.8</v>
      </c>
      <c r="U20" s="51">
        <v>16.600000000000001</v>
      </c>
      <c r="V20" s="51">
        <v>18.5</v>
      </c>
      <c r="W20" s="51">
        <v>17.8</v>
      </c>
      <c r="X20" s="51">
        <v>16.600000000000001</v>
      </c>
      <c r="Y20" s="51">
        <v>17.399999999999999</v>
      </c>
      <c r="Z20" s="111">
        <v>20</v>
      </c>
      <c r="AA20" s="51">
        <v>18.899999999999999</v>
      </c>
      <c r="AB20" s="51">
        <v>19.7</v>
      </c>
      <c r="AC20" s="51">
        <v>18.5</v>
      </c>
      <c r="AD20" s="51">
        <v>19.5</v>
      </c>
      <c r="AE20" s="51">
        <v>18.899999999999999</v>
      </c>
      <c r="AF20" s="51">
        <v>17.399999999999999</v>
      </c>
      <c r="AG20" s="51">
        <v>18</v>
      </c>
      <c r="AH20" s="51">
        <v>18.7</v>
      </c>
      <c r="AI20" s="51"/>
      <c r="AJ20" s="51"/>
      <c r="AK20" s="51"/>
      <c r="AL20" s="51"/>
      <c r="AM20" s="51"/>
      <c r="AN20" s="51"/>
      <c r="AO20" s="51"/>
      <c r="AP20" s="88">
        <f t="shared" si="1"/>
        <v>24</v>
      </c>
      <c r="AQ20" s="89">
        <f t="shared" si="2"/>
        <v>18.354166666666664</v>
      </c>
      <c r="AR20" s="89">
        <f>IFERROR(VLOOKUP(A20,Climatologia!A:U,9+$E$2,FALSE),"")</f>
        <v>16.985610863922879</v>
      </c>
      <c r="AS20" s="89">
        <f t="shared" si="3"/>
        <v>1.368555802743785</v>
      </c>
      <c r="AT20" s="90">
        <f t="shared" si="4"/>
        <v>16.600000000000001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13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32785</v>
      </c>
      <c r="AW20" s="92">
        <f t="shared" si="5"/>
        <v>3.6000000000000014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19.3</v>
      </c>
      <c r="L21" s="51">
        <v>20.8</v>
      </c>
      <c r="M21" s="51">
        <v>19</v>
      </c>
      <c r="N21" s="51">
        <v>18.600000000000001</v>
      </c>
      <c r="O21" s="51">
        <v>19.100000000000001</v>
      </c>
      <c r="P21" s="51">
        <v>21</v>
      </c>
      <c r="Q21" s="51">
        <v>18.8</v>
      </c>
      <c r="R21" s="51">
        <v>19.7</v>
      </c>
      <c r="S21" s="51">
        <v>19.600000000000001</v>
      </c>
      <c r="T21" s="51">
        <v>19.2</v>
      </c>
      <c r="U21" s="51">
        <v>18.600000000000001</v>
      </c>
      <c r="V21" s="51">
        <v>19.399999999999999</v>
      </c>
      <c r="W21" s="51">
        <v>18.399999999999999</v>
      </c>
      <c r="X21" s="51">
        <v>19.8</v>
      </c>
      <c r="Y21" s="51">
        <v>19.3</v>
      </c>
      <c r="Z21" s="111">
        <v>21.4</v>
      </c>
      <c r="AA21" s="51">
        <v>20.2</v>
      </c>
      <c r="AB21" s="51">
        <v>19.8</v>
      </c>
      <c r="AC21" s="51">
        <v>19</v>
      </c>
      <c r="AD21" s="51">
        <v>20.6</v>
      </c>
      <c r="AE21" s="51">
        <v>19.8</v>
      </c>
      <c r="AF21" s="51">
        <v>18.899999999999999</v>
      </c>
      <c r="AG21" s="51">
        <v>19.600000000000001</v>
      </c>
      <c r="AH21" s="51">
        <v>20.399999999999999</v>
      </c>
      <c r="AI21" s="51"/>
      <c r="AJ21" s="51"/>
      <c r="AK21" s="51"/>
      <c r="AL21" s="51"/>
      <c r="AM21" s="51"/>
      <c r="AN21" s="51"/>
      <c r="AO21" s="51"/>
      <c r="AP21" s="88">
        <f t="shared" si="1"/>
        <v>24</v>
      </c>
      <c r="AQ21" s="89">
        <f t="shared" si="2"/>
        <v>19.595833333333335</v>
      </c>
      <c r="AR21" s="89">
        <f>IFERROR(VLOOKUP(A21,Climatologia!A:U,9+$E$2,FALSE),"")</f>
        <v>19.10423923406961</v>
      </c>
      <c r="AS21" s="89">
        <f t="shared" si="3"/>
        <v>0.49159409926372533</v>
      </c>
      <c r="AT21" s="90">
        <f t="shared" si="4"/>
        <v>18.399999999999999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16.2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40476</v>
      </c>
      <c r="AW21" s="92">
        <f t="shared" si="5"/>
        <v>2.1999999999999993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11.6</v>
      </c>
      <c r="L22" s="51">
        <v>12.2</v>
      </c>
      <c r="M22" s="51">
        <v>10.8</v>
      </c>
      <c r="N22" s="51">
        <v>6.4</v>
      </c>
      <c r="O22" s="51">
        <v>7.2</v>
      </c>
      <c r="P22" s="51">
        <v>11</v>
      </c>
      <c r="Q22" s="51">
        <v>11.4</v>
      </c>
      <c r="R22" s="51">
        <v>12.3</v>
      </c>
      <c r="S22" s="51">
        <v>10.6</v>
      </c>
      <c r="T22" s="51">
        <v>11.6</v>
      </c>
      <c r="U22" s="51">
        <v>11.5</v>
      </c>
      <c r="V22" s="51">
        <v>11.6</v>
      </c>
      <c r="W22" s="51">
        <v>10.3</v>
      </c>
      <c r="X22" s="51">
        <v>11</v>
      </c>
      <c r="Y22" s="51">
        <v>11.4</v>
      </c>
      <c r="Z22" s="111">
        <v>9.6</v>
      </c>
      <c r="AA22" s="51">
        <v>8.9</v>
      </c>
      <c r="AB22" s="51">
        <v>12</v>
      </c>
      <c r="AC22" s="51">
        <v>8.4</v>
      </c>
      <c r="AD22" s="51">
        <v>8.6999999999999993</v>
      </c>
      <c r="AE22" s="51">
        <v>11.3</v>
      </c>
      <c r="AF22" s="51">
        <v>8.9</v>
      </c>
      <c r="AG22" s="51">
        <v>10</v>
      </c>
      <c r="AH22" s="51">
        <v>10.7</v>
      </c>
      <c r="AI22" s="51"/>
      <c r="AJ22" s="51"/>
      <c r="AK22" s="51"/>
      <c r="AL22" s="51"/>
      <c r="AM22" s="51"/>
      <c r="AN22" s="51"/>
      <c r="AO22" s="51"/>
      <c r="AP22" s="88">
        <f t="shared" si="1"/>
        <v>24</v>
      </c>
      <c r="AQ22" s="89">
        <f t="shared" si="2"/>
        <v>10.391666666666667</v>
      </c>
      <c r="AR22" s="89">
        <f>IFERROR(VLOOKUP(A22,Climatologia!A:U,9+$E$2,FALSE),"")</f>
        <v>8.2983447859006159</v>
      </c>
      <c r="AS22" s="89">
        <f t="shared" si="3"/>
        <v>2.0933218807660516</v>
      </c>
      <c r="AT22" s="90">
        <f t="shared" si="4"/>
        <v>6.4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0.5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22" s="92">
        <f t="shared" si="5"/>
        <v>5.9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20.100000000000001</v>
      </c>
      <c r="L23" s="51">
        <v>19.600000000000001</v>
      </c>
      <c r="M23" s="51">
        <v>20.100000000000001</v>
      </c>
      <c r="N23" s="51">
        <v>18.8</v>
      </c>
      <c r="O23" s="51">
        <v>19.600000000000001</v>
      </c>
      <c r="P23" s="51">
        <v>19.2</v>
      </c>
      <c r="Q23" s="51">
        <v>20.399999999999999</v>
      </c>
      <c r="R23" s="51">
        <v>20.399999999999999</v>
      </c>
      <c r="S23" s="51">
        <v>18.2</v>
      </c>
      <c r="T23" s="51">
        <v>19.5</v>
      </c>
      <c r="U23" s="51">
        <v>19.100000000000001</v>
      </c>
      <c r="V23" s="51">
        <v>20.2</v>
      </c>
      <c r="W23" s="51">
        <v>19.600000000000001</v>
      </c>
      <c r="X23" s="51">
        <v>19.2</v>
      </c>
      <c r="Y23" s="51">
        <v>21</v>
      </c>
      <c r="Z23" s="111">
        <v>22.6</v>
      </c>
      <c r="AA23" s="51">
        <v>19.8</v>
      </c>
      <c r="AB23" s="51">
        <v>20.2</v>
      </c>
      <c r="AC23" s="51">
        <v>20.2</v>
      </c>
      <c r="AD23" s="51">
        <v>18.5</v>
      </c>
      <c r="AE23" s="51">
        <v>19</v>
      </c>
      <c r="AF23" s="51">
        <v>19.399999999999999</v>
      </c>
      <c r="AG23" s="51">
        <v>19.899999999999999</v>
      </c>
      <c r="AH23" s="51">
        <v>19.899999999999999</v>
      </c>
      <c r="AI23" s="51"/>
      <c r="AJ23" s="51"/>
      <c r="AK23" s="51"/>
      <c r="AL23" s="51"/>
      <c r="AM23" s="51"/>
      <c r="AN23" s="51"/>
      <c r="AO23" s="51"/>
      <c r="AP23" s="88">
        <f t="shared" si="1"/>
        <v>24</v>
      </c>
      <c r="AQ23" s="89">
        <f t="shared" si="2"/>
        <v>19.770833333333332</v>
      </c>
      <c r="AR23" s="89">
        <f>IFERROR(VLOOKUP(A23,Climatologia!A:U,9+$E$2,FALSE),"")</f>
        <v>18.736530737721061</v>
      </c>
      <c r="AS23" s="89">
        <f t="shared" si="3"/>
        <v>1.0343025956122709</v>
      </c>
      <c r="AT23" s="90">
        <f t="shared" si="4"/>
        <v>18.2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15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28043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23.4</v>
      </c>
      <c r="L24" s="51">
        <v>23.6</v>
      </c>
      <c r="M24" s="51">
        <v>23.7</v>
      </c>
      <c r="N24" s="51">
        <v>24</v>
      </c>
      <c r="O24" s="51">
        <v>24.2</v>
      </c>
      <c r="P24" s="51">
        <v>24.8</v>
      </c>
      <c r="Q24" s="51">
        <v>26.1</v>
      </c>
      <c r="R24" s="51">
        <v>26</v>
      </c>
      <c r="S24" s="51">
        <v>24</v>
      </c>
      <c r="T24" s="51">
        <v>22.5</v>
      </c>
      <c r="U24" s="51">
        <v>24.3</v>
      </c>
      <c r="V24" s="51">
        <v>23.5</v>
      </c>
      <c r="W24" s="51">
        <v>24.2</v>
      </c>
      <c r="X24" s="51">
        <v>23.4</v>
      </c>
      <c r="Y24" s="51">
        <v>23.6</v>
      </c>
      <c r="Z24" s="111">
        <v>25.1</v>
      </c>
      <c r="AA24" s="51">
        <v>24.7</v>
      </c>
      <c r="AB24" s="51">
        <v>25</v>
      </c>
      <c r="AC24" s="51">
        <v>24.2</v>
      </c>
      <c r="AD24" s="51">
        <v>24.6</v>
      </c>
      <c r="AE24" s="51">
        <v>25</v>
      </c>
      <c r="AF24" s="51">
        <v>24.6</v>
      </c>
      <c r="AG24" s="51">
        <v>24.7</v>
      </c>
      <c r="AH24" s="51">
        <v>26.4</v>
      </c>
      <c r="AI24" s="51"/>
      <c r="AJ24" s="51"/>
      <c r="AK24" s="51"/>
      <c r="AL24" s="51"/>
      <c r="AM24" s="51"/>
      <c r="AN24" s="51"/>
      <c r="AO24" s="51"/>
      <c r="AP24" s="88">
        <f t="shared" si="1"/>
        <v>24</v>
      </c>
      <c r="AQ24" s="89">
        <f t="shared" si="2"/>
        <v>24.400000000000002</v>
      </c>
      <c r="AR24" s="89">
        <f>IFERROR(VLOOKUP(A24,Climatologia!A:U,9+$E$2,FALSE),"")</f>
        <v>22.82391397849462</v>
      </c>
      <c r="AS24" s="89">
        <f t="shared" si="3"/>
        <v>1.5760860215053825</v>
      </c>
      <c r="AT24" s="90">
        <f t="shared" si="4"/>
        <v>22.5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19.600000000000001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33156</v>
      </c>
      <c r="AW24" s="92">
        <f t="shared" si="5"/>
        <v>2.8999999999999986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</v>
      </c>
      <c r="L25" s="51">
        <v>16.399999999999999</v>
      </c>
      <c r="M25" s="51">
        <v>15.2</v>
      </c>
      <c r="N25" s="51">
        <v>15.2</v>
      </c>
      <c r="O25" s="51">
        <v>14.6</v>
      </c>
      <c r="P25" s="51">
        <v>16.2</v>
      </c>
      <c r="Q25" s="51">
        <v>16.2</v>
      </c>
      <c r="R25" s="51">
        <v>15</v>
      </c>
      <c r="S25" s="51">
        <v>14.6</v>
      </c>
      <c r="T25" s="51">
        <v>16.2</v>
      </c>
      <c r="U25" s="51">
        <v>14.8</v>
      </c>
      <c r="V25" s="51">
        <v>15.2</v>
      </c>
      <c r="W25" s="51">
        <v>15.8</v>
      </c>
      <c r="X25" s="51">
        <v>15.6</v>
      </c>
      <c r="Y25" s="51">
        <v>16.7</v>
      </c>
      <c r="Z25" s="111">
        <v>16.8</v>
      </c>
      <c r="AA25" s="51">
        <v>14.4</v>
      </c>
      <c r="AB25" s="51">
        <v>14.6</v>
      </c>
      <c r="AC25" s="51">
        <v>15.8</v>
      </c>
      <c r="AD25" s="51">
        <v>15.8</v>
      </c>
      <c r="AE25" s="51">
        <v>16.399999999999999</v>
      </c>
      <c r="AF25" s="51">
        <v>15.6</v>
      </c>
      <c r="AG25" s="51">
        <v>15.7</v>
      </c>
      <c r="AH25" s="51">
        <v>16</v>
      </c>
      <c r="AI25" s="51"/>
      <c r="AJ25" s="51"/>
      <c r="AK25" s="51"/>
      <c r="AL25" s="51"/>
      <c r="AM25" s="51"/>
      <c r="AN25" s="51"/>
      <c r="AO25" s="51"/>
      <c r="AP25" s="88">
        <f t="shared" si="1"/>
        <v>24</v>
      </c>
      <c r="AQ25" s="89">
        <f t="shared" si="2"/>
        <v>15.616666666666667</v>
      </c>
      <c r="AR25" s="89">
        <f>IFERROR(VLOOKUP(A25,Climatologia!A:U,9+$E$2,FALSE),"")</f>
        <v>14.48602050485254</v>
      </c>
      <c r="AS25" s="89">
        <f t="shared" si="3"/>
        <v>1.130646161814127</v>
      </c>
      <c r="AT25" s="90">
        <f t="shared" si="4"/>
        <v>14.4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29129</v>
      </c>
      <c r="AW25" s="92">
        <f t="shared" si="5"/>
        <v>3.4000000000000004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5.4</v>
      </c>
      <c r="L26" s="51">
        <v>10</v>
      </c>
      <c r="M26" s="51">
        <v>8.8000000000000007</v>
      </c>
      <c r="N26" s="51">
        <v>7</v>
      </c>
      <c r="O26" s="51">
        <v>3.8</v>
      </c>
      <c r="P26" s="51">
        <v>5.8</v>
      </c>
      <c r="Q26" s="51">
        <v>5.6</v>
      </c>
      <c r="R26" s="51">
        <v>7.2</v>
      </c>
      <c r="S26" s="51">
        <v>5.4</v>
      </c>
      <c r="T26" s="51">
        <v>7.4</v>
      </c>
      <c r="U26" s="51">
        <v>5.6</v>
      </c>
      <c r="V26" s="51">
        <v>6.4</v>
      </c>
      <c r="W26" s="51">
        <v>7.6</v>
      </c>
      <c r="X26" s="51">
        <v>10.199999999999999</v>
      </c>
      <c r="Y26" s="51">
        <v>8.1999999999999993</v>
      </c>
      <c r="Z26" s="128">
        <v>4.8</v>
      </c>
      <c r="AA26" s="51">
        <v>5.6</v>
      </c>
      <c r="AB26" s="109">
        <v>4</v>
      </c>
      <c r="AC26" s="51">
        <v>6.8</v>
      </c>
      <c r="AD26" s="51">
        <v>8.1999999999999993</v>
      </c>
      <c r="AE26" s="51">
        <v>10</v>
      </c>
      <c r="AF26" s="51">
        <v>8.8000000000000007</v>
      </c>
      <c r="AG26" s="51">
        <v>9.6</v>
      </c>
      <c r="AH26" s="51">
        <v>7.6</v>
      </c>
      <c r="AI26" s="51"/>
      <c r="AJ26" s="51"/>
      <c r="AK26" s="51"/>
      <c r="AL26" s="51"/>
      <c r="AM26" s="51"/>
      <c r="AN26" s="51"/>
      <c r="AO26" s="51"/>
      <c r="AP26" s="88">
        <f t="shared" si="1"/>
        <v>24</v>
      </c>
      <c r="AQ26" s="89">
        <f t="shared" si="2"/>
        <v>7.0749999999999993</v>
      </c>
      <c r="AR26" s="89">
        <f>IFERROR(VLOOKUP(A26,Climatologia!A:U,9+$E$2,FALSE),"")</f>
        <v>5.5372974910394257</v>
      </c>
      <c r="AS26" s="89">
        <f t="shared" si="3"/>
        <v>1.5377025089605736</v>
      </c>
      <c r="AT26" s="90">
        <f t="shared" si="4"/>
        <v>3.8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-0.8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39008</v>
      </c>
      <c r="AW26" s="92">
        <f t="shared" si="5"/>
        <v>4.5999999999999996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23.9</v>
      </c>
      <c r="L27" s="51">
        <v>23.6</v>
      </c>
      <c r="M27" s="51">
        <v>23.6</v>
      </c>
      <c r="N27" s="51">
        <v>23.4</v>
      </c>
      <c r="O27" s="51">
        <v>25.4</v>
      </c>
      <c r="P27" s="51">
        <v>25.2</v>
      </c>
      <c r="Q27" s="51">
        <v>22.8</v>
      </c>
      <c r="R27" s="51">
        <v>23.4</v>
      </c>
      <c r="S27" s="51">
        <v>23.8</v>
      </c>
      <c r="T27" s="51">
        <v>24.4</v>
      </c>
      <c r="U27" s="51">
        <v>25.2</v>
      </c>
      <c r="V27" s="51">
        <v>24</v>
      </c>
      <c r="W27" s="51">
        <v>23.2</v>
      </c>
      <c r="X27" s="51">
        <v>23.4</v>
      </c>
      <c r="Y27" s="51">
        <v>25</v>
      </c>
      <c r="Z27" s="111">
        <v>23.6</v>
      </c>
      <c r="AA27" s="51">
        <v>23.4</v>
      </c>
      <c r="AB27" s="51">
        <v>24.4</v>
      </c>
      <c r="AC27" s="51">
        <v>23.6</v>
      </c>
      <c r="AD27" s="51">
        <v>23.4</v>
      </c>
      <c r="AE27" s="51">
        <v>23.8</v>
      </c>
      <c r="AF27" s="51">
        <v>22.8</v>
      </c>
      <c r="AG27" s="51">
        <v>23.2</v>
      </c>
      <c r="AH27" s="51">
        <v>25.2</v>
      </c>
      <c r="AI27" s="51"/>
      <c r="AJ27" s="51"/>
      <c r="AK27" s="51"/>
      <c r="AL27" s="51"/>
      <c r="AM27" s="51"/>
      <c r="AN27" s="51"/>
      <c r="AO27" s="51"/>
      <c r="AP27" s="88">
        <f t="shared" si="1"/>
        <v>24</v>
      </c>
      <c r="AQ27" s="89">
        <f t="shared" si="2"/>
        <v>23.904166666666669</v>
      </c>
      <c r="AR27" s="89">
        <f>IFERROR(VLOOKUP(A27,Climatologia!A:U,9+$E$2,FALSE),"")</f>
        <v>23.19207267334075</v>
      </c>
      <c r="AS27" s="89">
        <f t="shared" si="3"/>
        <v>0.71209399332591872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31710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25.4</v>
      </c>
      <c r="L28" s="51">
        <v>25.3</v>
      </c>
      <c r="M28" s="51">
        <v>22.5</v>
      </c>
      <c r="N28" s="51">
        <v>24.5</v>
      </c>
      <c r="O28" s="51">
        <v>25.1</v>
      </c>
      <c r="P28" s="51">
        <v>26.4</v>
      </c>
      <c r="Q28" s="51">
        <v>22.9</v>
      </c>
      <c r="R28" s="51">
        <v>23</v>
      </c>
      <c r="S28" s="51">
        <v>23.5</v>
      </c>
      <c r="T28" s="51">
        <v>24.4</v>
      </c>
      <c r="U28" s="51">
        <v>23.4</v>
      </c>
      <c r="V28" s="51">
        <v>23.9</v>
      </c>
      <c r="W28" s="51">
        <v>24.6</v>
      </c>
      <c r="X28" s="51">
        <v>24.5</v>
      </c>
      <c r="Y28" s="51">
        <v>23.9</v>
      </c>
      <c r="Z28" s="111">
        <v>24.4</v>
      </c>
      <c r="AA28" s="51">
        <v>24.9</v>
      </c>
      <c r="AB28" s="51">
        <v>23.9</v>
      </c>
      <c r="AC28" s="51">
        <v>24.2</v>
      </c>
      <c r="AD28" s="51">
        <v>24.9</v>
      </c>
      <c r="AE28" s="51">
        <v>23.8</v>
      </c>
      <c r="AF28" s="51">
        <v>23.7</v>
      </c>
      <c r="AG28" s="51">
        <v>24.2</v>
      </c>
      <c r="AH28" s="51">
        <v>24.4</v>
      </c>
      <c r="AI28" s="51"/>
      <c r="AJ28" s="51"/>
      <c r="AK28" s="51"/>
      <c r="AL28" s="51"/>
      <c r="AM28" s="51"/>
      <c r="AN28" s="51"/>
      <c r="AO28" s="51"/>
      <c r="AP28" s="88">
        <f t="shared" si="1"/>
        <v>24</v>
      </c>
      <c r="AQ28" s="89">
        <f t="shared" si="2"/>
        <v>24.237499999999997</v>
      </c>
      <c r="AR28" s="89">
        <f>IFERROR(VLOOKUP(A28,Climatologia!A:U,9+$E$2,FALSE),"")</f>
        <v>23.06253726362625</v>
      </c>
      <c r="AS28" s="89">
        <f t="shared" si="3"/>
        <v>1.1749627363737467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18.2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29869</v>
      </c>
      <c r="AW28" s="92">
        <f t="shared" si="5"/>
        <v>4.3000000000000007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23.6</v>
      </c>
      <c r="L29" s="51">
        <v>26.4</v>
      </c>
      <c r="M29" s="51">
        <v>25</v>
      </c>
      <c r="N29" s="51">
        <v>26.2</v>
      </c>
      <c r="O29" s="51">
        <v>26.4</v>
      </c>
      <c r="P29" s="51">
        <v>26.2</v>
      </c>
      <c r="Q29" s="51">
        <v>26.2</v>
      </c>
      <c r="R29" s="51">
        <v>24.8</v>
      </c>
      <c r="S29" s="51">
        <v>25.6</v>
      </c>
      <c r="T29" s="51">
        <v>25.8</v>
      </c>
      <c r="U29" s="51">
        <v>25.3</v>
      </c>
      <c r="V29" s="51">
        <v>24.8</v>
      </c>
      <c r="W29" s="51">
        <v>26.4</v>
      </c>
      <c r="X29" s="51">
        <v>25.8</v>
      </c>
      <c r="Y29" s="51">
        <v>25.5</v>
      </c>
      <c r="Z29" s="111">
        <v>25.8</v>
      </c>
      <c r="AA29" s="51">
        <v>26.3</v>
      </c>
      <c r="AB29" s="51">
        <v>25.6</v>
      </c>
      <c r="AC29" s="51">
        <v>24.2</v>
      </c>
      <c r="AD29" s="51">
        <v>25.1</v>
      </c>
      <c r="AE29" s="51">
        <v>25</v>
      </c>
      <c r="AF29" s="51">
        <v>25.4</v>
      </c>
      <c r="AG29" s="51">
        <v>26</v>
      </c>
      <c r="AH29" s="51">
        <v>26.2</v>
      </c>
      <c r="AI29" s="51"/>
      <c r="AJ29" s="51"/>
      <c r="AK29" s="51"/>
      <c r="AL29" s="51"/>
      <c r="AM29" s="51"/>
      <c r="AN29" s="51"/>
      <c r="AO29" s="51"/>
      <c r="AP29" s="88">
        <f t="shared" si="1"/>
        <v>24</v>
      </c>
      <c r="AQ29" s="89">
        <f t="shared" si="2"/>
        <v>25.566666666666666</v>
      </c>
      <c r="AR29" s="89">
        <f>IFERROR(VLOOKUP(A29,Climatologia!A:U,9+$E$2,FALSE),"")</f>
        <v>24.089849462365589</v>
      </c>
      <c r="AS29" s="89">
        <f t="shared" si="3"/>
        <v>1.4768172043010779</v>
      </c>
      <c r="AT29" s="90">
        <f t="shared" si="4"/>
        <v>23.6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33170</v>
      </c>
      <c r="AW29" s="92">
        <f t="shared" si="5"/>
        <v>3.4000000000000021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</v>
      </c>
      <c r="L30" s="51">
        <v>22.8</v>
      </c>
      <c r="M30" s="51">
        <v>21.2</v>
      </c>
      <c r="N30" s="51">
        <v>22.1</v>
      </c>
      <c r="O30" s="51">
        <v>21.4</v>
      </c>
      <c r="P30" s="51">
        <v>22.3</v>
      </c>
      <c r="Q30" s="51">
        <v>22.3</v>
      </c>
      <c r="R30" s="51">
        <v>22.1</v>
      </c>
      <c r="S30" s="51">
        <v>22.8</v>
      </c>
      <c r="T30" s="51">
        <v>21.7</v>
      </c>
      <c r="U30" s="51">
        <v>22.6</v>
      </c>
      <c r="V30" s="51">
        <v>21.3</v>
      </c>
      <c r="W30" s="51">
        <v>22</v>
      </c>
      <c r="X30" s="51">
        <v>22.8</v>
      </c>
      <c r="Y30" s="51">
        <v>22.2</v>
      </c>
      <c r="Z30" s="111">
        <v>22.7</v>
      </c>
      <c r="AA30" s="51">
        <v>22.2</v>
      </c>
      <c r="AB30" s="51">
        <v>22.1</v>
      </c>
      <c r="AC30" s="51">
        <v>22</v>
      </c>
      <c r="AD30" s="51">
        <v>21.7</v>
      </c>
      <c r="AE30" s="51">
        <v>22.8</v>
      </c>
      <c r="AF30" s="51">
        <v>21.2</v>
      </c>
      <c r="AG30" s="51">
        <v>22</v>
      </c>
      <c r="AH30" s="51">
        <v>23.2</v>
      </c>
      <c r="AI30" s="51"/>
      <c r="AJ30" s="51"/>
      <c r="AK30" s="51"/>
      <c r="AL30" s="51"/>
      <c r="AM30" s="51"/>
      <c r="AN30" s="51"/>
      <c r="AO30" s="51"/>
      <c r="AP30" s="88">
        <f t="shared" si="1"/>
        <v>24</v>
      </c>
      <c r="AQ30" s="89">
        <f t="shared" si="2"/>
        <v>22.145833333333332</v>
      </c>
      <c r="AR30" s="89">
        <f>IFERROR(VLOOKUP(A30,Climatologia!A:U,9+$E$2,FALSE),"")</f>
        <v>20.982655913978491</v>
      </c>
      <c r="AS30" s="89">
        <f t="shared" si="3"/>
        <v>1.1631774193548416</v>
      </c>
      <c r="AT30" s="90">
        <f t="shared" si="4"/>
        <v>21.2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17.5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34246</v>
      </c>
      <c r="AW30" s="92">
        <f t="shared" si="5"/>
        <v>3.6999999999999993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22.7</v>
      </c>
      <c r="L31" s="108">
        <v>24</v>
      </c>
      <c r="M31" s="108">
        <v>23.8</v>
      </c>
      <c r="N31" s="108">
        <v>24.3</v>
      </c>
      <c r="O31" s="108">
        <v>23.5</v>
      </c>
      <c r="P31" s="108">
        <v>24.2</v>
      </c>
      <c r="Q31" s="108">
        <v>24.2</v>
      </c>
      <c r="R31" s="108">
        <v>24.2</v>
      </c>
      <c r="S31" s="108">
        <v>23.5</v>
      </c>
      <c r="T31" s="108">
        <v>23.2</v>
      </c>
      <c r="U31" s="108">
        <v>23.7</v>
      </c>
      <c r="V31" s="108">
        <v>23.9</v>
      </c>
      <c r="W31" s="108">
        <v>24.1</v>
      </c>
      <c r="X31" s="108">
        <v>24.7</v>
      </c>
      <c r="Y31" s="108">
        <v>23.9</v>
      </c>
      <c r="Z31" s="115">
        <v>24.8</v>
      </c>
      <c r="AA31" s="108">
        <v>24.5</v>
      </c>
      <c r="AB31" s="108">
        <v>24.3</v>
      </c>
      <c r="AC31" s="108">
        <v>23.4</v>
      </c>
      <c r="AD31" s="108">
        <v>23.5</v>
      </c>
      <c r="AE31" s="108">
        <v>24.2</v>
      </c>
      <c r="AF31" s="108">
        <v>22.4</v>
      </c>
      <c r="AG31" s="108">
        <v>23</v>
      </c>
      <c r="AH31" s="108">
        <v>23</v>
      </c>
      <c r="AI31" s="108"/>
      <c r="AJ31" s="108"/>
      <c r="AK31" s="108"/>
      <c r="AL31" s="108"/>
      <c r="AM31" s="108"/>
      <c r="AN31" s="108"/>
      <c r="AO31" s="108"/>
      <c r="AP31" s="88">
        <f t="shared" si="1"/>
        <v>24</v>
      </c>
      <c r="AQ31" s="89">
        <f t="shared" si="2"/>
        <v>23.791666666666661</v>
      </c>
      <c r="AR31" s="89">
        <f>IFERROR(VLOOKUP(A31,Climatologia!A:U,9+$E$2,FALSE),"")</f>
        <v>22.908834408602139</v>
      </c>
      <c r="AS31" s="89">
        <f t="shared" si="3"/>
        <v>0.88283225806452137</v>
      </c>
      <c r="AT31" s="90">
        <f t="shared" si="4"/>
        <v>22.4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18.3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31" s="92">
        <f t="shared" si="5"/>
        <v>4.0999999999999979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13.2</v>
      </c>
      <c r="L32" s="51">
        <v>15</v>
      </c>
      <c r="M32" s="51">
        <v>16.2</v>
      </c>
      <c r="N32" s="51">
        <v>14</v>
      </c>
      <c r="O32" s="51">
        <v>13.8</v>
      </c>
      <c r="P32" s="51">
        <v>14.4</v>
      </c>
      <c r="Q32" s="51">
        <v>13</v>
      </c>
      <c r="R32" s="51">
        <v>13.8</v>
      </c>
      <c r="S32" s="51">
        <v>13.4</v>
      </c>
      <c r="T32" s="51">
        <v>13.6</v>
      </c>
      <c r="U32" s="51">
        <v>12.2</v>
      </c>
      <c r="V32" s="51">
        <v>13</v>
      </c>
      <c r="W32" s="51">
        <v>14.8</v>
      </c>
      <c r="X32" s="51">
        <v>12</v>
      </c>
      <c r="Y32" s="51">
        <v>12.4</v>
      </c>
      <c r="Z32" s="111"/>
      <c r="AA32" s="51">
        <v>14</v>
      </c>
      <c r="AB32" s="51">
        <v>15</v>
      </c>
      <c r="AC32" s="51">
        <v>15</v>
      </c>
      <c r="AD32" s="51">
        <v>12.4</v>
      </c>
      <c r="AE32" s="51">
        <v>13</v>
      </c>
      <c r="AF32" s="51">
        <v>13.8</v>
      </c>
      <c r="AG32" s="51">
        <v>12.8</v>
      </c>
      <c r="AH32" s="51">
        <v>14.2</v>
      </c>
      <c r="AI32" s="51"/>
      <c r="AJ32" s="51"/>
      <c r="AK32" s="51"/>
      <c r="AL32" s="51"/>
      <c r="AM32" s="51"/>
      <c r="AN32" s="51"/>
      <c r="AO32" s="51"/>
      <c r="AP32" s="88">
        <f t="shared" si="1"/>
        <v>23</v>
      </c>
      <c r="AQ32" s="89">
        <f t="shared" si="2"/>
        <v>13.695652173913043</v>
      </c>
      <c r="AR32" s="89">
        <f>IFERROR(VLOOKUP(A32,Climatologia!A:U,9+$E$2,FALSE),"")</f>
        <v>13.297276412357061</v>
      </c>
      <c r="AS32" s="89">
        <f t="shared" si="3"/>
        <v>0.39837576155598242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7.4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34984</v>
      </c>
      <c r="AW32" s="92">
        <f t="shared" si="5"/>
        <v>4.5999999999999996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23.197178156046359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19.8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41187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16.8</v>
      </c>
      <c r="M34" s="51">
        <v>16.600000000000001</v>
      </c>
      <c r="N34" s="51">
        <v>15.4</v>
      </c>
      <c r="O34" s="51">
        <v>16.399999999999999</v>
      </c>
      <c r="P34" s="51">
        <v>16.2</v>
      </c>
      <c r="Q34" s="51">
        <v>17.600000000000001</v>
      </c>
      <c r="R34" s="51">
        <v>15.6</v>
      </c>
      <c r="S34" s="51">
        <v>17</v>
      </c>
      <c r="T34" s="51">
        <v>16.600000000000001</v>
      </c>
      <c r="U34" s="51">
        <v>15.6</v>
      </c>
      <c r="V34" s="51">
        <v>16.8</v>
      </c>
      <c r="W34" s="51">
        <v>15.6</v>
      </c>
      <c r="X34" s="51">
        <v>15.6</v>
      </c>
      <c r="Y34" s="51">
        <v>15.8</v>
      </c>
      <c r="Z34" s="111">
        <v>16.2</v>
      </c>
      <c r="AA34" s="51">
        <v>16</v>
      </c>
      <c r="AB34" s="51">
        <v>16</v>
      </c>
      <c r="AC34" s="51">
        <v>14.2</v>
      </c>
      <c r="AD34" s="51">
        <v>16.2</v>
      </c>
      <c r="AE34" s="51">
        <v>16.399999999999999</v>
      </c>
      <c r="AF34" s="51">
        <v>16.399999999999999</v>
      </c>
      <c r="AG34" s="51">
        <v>16.600000000000001</v>
      </c>
      <c r="AH34" s="51">
        <v>17.2</v>
      </c>
      <c r="AI34" s="51"/>
      <c r="AJ34" s="51"/>
      <c r="AK34" s="51"/>
      <c r="AL34" s="51"/>
      <c r="AM34" s="51"/>
      <c r="AN34" s="51"/>
      <c r="AO34" s="51"/>
      <c r="AP34" s="88">
        <f t="shared" si="1"/>
        <v>24</v>
      </c>
      <c r="AQ34" s="89">
        <f t="shared" si="2"/>
        <v>16.233333333333331</v>
      </c>
      <c r="AR34" s="89">
        <f>IFERROR(VLOOKUP(A34,Climatologia!A:U,9+$E$2,FALSE),"")</f>
        <v>15.19415680704239</v>
      </c>
      <c r="AS34" s="89">
        <f t="shared" si="3"/>
        <v>1.0391765262909409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11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37900</v>
      </c>
      <c r="AW34" s="92">
        <f t="shared" si="5"/>
        <v>3.1999999999999993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15.2</v>
      </c>
      <c r="L35" s="51">
        <v>15.8</v>
      </c>
      <c r="M35" s="51">
        <v>15.4</v>
      </c>
      <c r="N35" s="51">
        <v>15.4</v>
      </c>
      <c r="O35" s="51">
        <v>14.8</v>
      </c>
      <c r="P35" s="51">
        <v>15</v>
      </c>
      <c r="Q35" s="51">
        <v>15.2</v>
      </c>
      <c r="R35" s="51">
        <v>15</v>
      </c>
      <c r="S35" s="51">
        <v>15.4</v>
      </c>
      <c r="T35" s="51">
        <v>15.8</v>
      </c>
      <c r="U35" s="51">
        <v>15.4</v>
      </c>
      <c r="V35" s="51">
        <v>14.8</v>
      </c>
      <c r="W35" s="51">
        <v>14.2</v>
      </c>
      <c r="X35" s="51">
        <v>13.6</v>
      </c>
      <c r="Y35" s="51">
        <v>14.8</v>
      </c>
      <c r="Z35" s="111">
        <v>14.2</v>
      </c>
      <c r="AA35" s="51">
        <v>14.6</v>
      </c>
      <c r="AB35" s="51">
        <v>14.8</v>
      </c>
      <c r="AC35" s="51">
        <v>13.6</v>
      </c>
      <c r="AD35" s="51">
        <v>15.2</v>
      </c>
      <c r="AE35" s="51">
        <v>14.8</v>
      </c>
      <c r="AF35" s="51">
        <v>15</v>
      </c>
      <c r="AG35" s="51">
        <v>16.399999999999999</v>
      </c>
      <c r="AH35" s="51">
        <v>16</v>
      </c>
      <c r="AI35" s="51"/>
      <c r="AJ35" s="51"/>
      <c r="AK35" s="51"/>
      <c r="AL35" s="51"/>
      <c r="AM35" s="51"/>
      <c r="AN35" s="51"/>
      <c r="AO35" s="51"/>
      <c r="AP35" s="88">
        <f t="shared" si="1"/>
        <v>24</v>
      </c>
      <c r="AQ35" s="89">
        <f t="shared" si="2"/>
        <v>15.016666666666666</v>
      </c>
      <c r="AR35" s="89">
        <f>IFERROR(VLOOKUP(A35,Climatologia!A:U,9+$E$2,FALSE),"")</f>
        <v>13.09084501214612</v>
      </c>
      <c r="AS35" s="89">
        <f t="shared" si="3"/>
        <v>1.9258216545205453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36800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</v>
      </c>
      <c r="L36" s="51">
        <v>19.8</v>
      </c>
      <c r="M36" s="51">
        <v>20</v>
      </c>
      <c r="N36" s="51">
        <v>19.8</v>
      </c>
      <c r="O36" s="51">
        <v>19</v>
      </c>
      <c r="P36" s="51">
        <v>18.8</v>
      </c>
      <c r="Q36" s="51">
        <v>19</v>
      </c>
      <c r="R36" s="120">
        <v>18.8</v>
      </c>
      <c r="S36" s="51">
        <v>19</v>
      </c>
      <c r="T36" s="51">
        <v>19.2</v>
      </c>
      <c r="U36" s="51">
        <v>19.2</v>
      </c>
      <c r="V36" s="51">
        <v>20</v>
      </c>
      <c r="W36" s="51">
        <v>18.8</v>
      </c>
      <c r="X36" s="51">
        <v>19</v>
      </c>
      <c r="Y36" s="51">
        <v>18.8</v>
      </c>
      <c r="Z36" s="111">
        <v>19.8</v>
      </c>
      <c r="AA36" s="51">
        <v>20.399999999999999</v>
      </c>
      <c r="AB36" s="51">
        <v>20</v>
      </c>
      <c r="AC36" s="51">
        <v>19.8</v>
      </c>
      <c r="AD36" s="51">
        <v>19.399999999999999</v>
      </c>
      <c r="AE36" s="51">
        <v>20.399999999999999</v>
      </c>
      <c r="AF36" s="51">
        <v>19.2</v>
      </c>
      <c r="AG36" s="51">
        <v>20.2</v>
      </c>
      <c r="AH36" s="51">
        <v>19</v>
      </c>
      <c r="AI36" s="51"/>
      <c r="AJ36" s="51"/>
      <c r="AK36" s="51"/>
      <c r="AL36" s="51"/>
      <c r="AM36" s="51"/>
      <c r="AN36" s="51"/>
      <c r="AO36" s="51"/>
      <c r="AP36" s="88">
        <f t="shared" si="1"/>
        <v>24</v>
      </c>
      <c r="AQ36" s="89">
        <f t="shared" si="2"/>
        <v>19.474999999999998</v>
      </c>
      <c r="AR36" s="89">
        <f>IFERROR(VLOOKUP(A36,Climatologia!A:U,9+$E$2,FALSE),"")</f>
        <v>19.808075083426029</v>
      </c>
      <c r="AS36" s="89">
        <f t="shared" si="3"/>
        <v>-0.33307508342603143</v>
      </c>
      <c r="AT36" s="90">
        <f t="shared" si="4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36" s="92">
        <f t="shared" si="5"/>
        <v>2.6000000000000014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8.4</v>
      </c>
      <c r="L37" s="51">
        <v>7.2</v>
      </c>
      <c r="M37" s="51">
        <v>7.4</v>
      </c>
      <c r="N37" s="51">
        <v>8.4</v>
      </c>
      <c r="O37" s="51">
        <v>5.8</v>
      </c>
      <c r="P37" s="51">
        <v>8</v>
      </c>
      <c r="Q37" s="51">
        <v>6.6</v>
      </c>
      <c r="R37" s="51">
        <v>7.8</v>
      </c>
      <c r="S37" s="51">
        <v>8.1999999999999993</v>
      </c>
      <c r="T37" s="51">
        <v>8.8000000000000007</v>
      </c>
      <c r="U37" s="51">
        <v>4.5999999999999996</v>
      </c>
      <c r="V37" s="51">
        <v>7.6</v>
      </c>
      <c r="W37" s="51">
        <v>6.8</v>
      </c>
      <c r="X37" s="51">
        <v>6.2</v>
      </c>
      <c r="Y37" s="51">
        <v>9.4</v>
      </c>
      <c r="Z37" s="111">
        <v>8.6</v>
      </c>
      <c r="AA37" s="51">
        <v>7.4</v>
      </c>
      <c r="AB37" s="109">
        <v>7.8</v>
      </c>
      <c r="AC37" s="51">
        <v>8.8000000000000007</v>
      </c>
      <c r="AD37" s="51">
        <v>9.1999999999999993</v>
      </c>
      <c r="AE37" s="51">
        <v>7.8</v>
      </c>
      <c r="AF37" s="51">
        <v>8</v>
      </c>
      <c r="AG37" s="51">
        <v>11.8</v>
      </c>
      <c r="AH37" s="51">
        <v>8.1999999999999993</v>
      </c>
      <c r="AI37" s="51"/>
      <c r="AJ37" s="51"/>
      <c r="AK37" s="51"/>
      <c r="AL37" s="51"/>
      <c r="AM37" s="51"/>
      <c r="AN37" s="51"/>
      <c r="AO37" s="51"/>
      <c r="AP37" s="88">
        <f t="shared" si="1"/>
        <v>24</v>
      </c>
      <c r="AQ37" s="89">
        <f t="shared" si="2"/>
        <v>7.8666666666666671</v>
      </c>
      <c r="AR37" s="89">
        <f>IFERROR(VLOOKUP(A37,Climatologia!A:U,9+$E$2,FALSE),"")</f>
        <v>9.9480459770114962</v>
      </c>
      <c r="AS37" s="89">
        <f t="shared" si="3"/>
        <v>-2.081379310344829</v>
      </c>
      <c r="AT37" s="90">
        <f t="shared" si="4"/>
        <v>4.5999999999999996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16.8</v>
      </c>
      <c r="L38" s="51">
        <v>17.8</v>
      </c>
      <c r="M38" s="51">
        <v>17.399999999999999</v>
      </c>
      <c r="N38" s="51">
        <v>16.2</v>
      </c>
      <c r="O38" s="51">
        <v>16.600000000000001</v>
      </c>
      <c r="P38" s="51">
        <v>16.2</v>
      </c>
      <c r="Q38" s="51">
        <v>17</v>
      </c>
      <c r="R38" s="51">
        <v>14</v>
      </c>
      <c r="S38" s="51">
        <v>17</v>
      </c>
      <c r="T38" s="51">
        <v>15.4</v>
      </c>
      <c r="U38" s="51">
        <v>16</v>
      </c>
      <c r="V38" s="51">
        <v>16.399999999999999</v>
      </c>
      <c r="W38" s="51">
        <v>14.8</v>
      </c>
      <c r="X38" s="51">
        <v>14.6</v>
      </c>
      <c r="Y38" s="51">
        <v>16.600000000000001</v>
      </c>
      <c r="Z38" s="111">
        <v>18</v>
      </c>
      <c r="AA38" s="51">
        <v>17.2</v>
      </c>
      <c r="AB38" s="51">
        <v>17</v>
      </c>
      <c r="AC38" s="51">
        <v>16.399999999999999</v>
      </c>
      <c r="AD38" s="51">
        <v>16.600000000000001</v>
      </c>
      <c r="AE38" s="51">
        <v>17</v>
      </c>
      <c r="AF38" s="51">
        <v>16</v>
      </c>
      <c r="AG38" s="51">
        <v>16.600000000000001</v>
      </c>
      <c r="AH38" s="51">
        <v>16.8</v>
      </c>
      <c r="AI38" s="51"/>
      <c r="AJ38" s="51"/>
      <c r="AK38" s="51"/>
      <c r="AL38" s="51"/>
      <c r="AM38" s="51"/>
      <c r="AN38" s="51"/>
      <c r="AO38" s="51"/>
      <c r="AP38" s="88">
        <f t="shared" si="1"/>
        <v>24</v>
      </c>
      <c r="AQ38" s="89">
        <f t="shared" si="2"/>
        <v>16.433333333333334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14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45228</v>
      </c>
      <c r="AW38" s="92">
        <f t="shared" si="5"/>
        <v>0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20</v>
      </c>
      <c r="L39" s="51"/>
      <c r="M39" s="51">
        <v>20.399999999999999</v>
      </c>
      <c r="N39" s="51">
        <v>18.8</v>
      </c>
      <c r="O39" s="51">
        <v>19.399999999999999</v>
      </c>
      <c r="P39" s="51">
        <v>18.600000000000001</v>
      </c>
      <c r="Q39" s="51">
        <v>19</v>
      </c>
      <c r="R39" s="51"/>
      <c r="S39" s="51"/>
      <c r="T39" s="51">
        <v>18.399999999999999</v>
      </c>
      <c r="U39" s="51">
        <v>18.399999999999999</v>
      </c>
      <c r="V39" s="51">
        <v>18</v>
      </c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9</v>
      </c>
      <c r="AQ39" s="89" t="str">
        <f t="shared" si="2"/>
        <v/>
      </c>
      <c r="AR39" s="89">
        <f>IFERROR(VLOOKUP(A39,Climatologia!A:U,9+$E$2,FALSE),"")</f>
        <v>17.338956590999601</v>
      </c>
      <c r="AS39" s="89" t="str">
        <f t="shared" si="3"/>
        <v/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34251</v>
      </c>
      <c r="AW39" s="92">
        <f t="shared" si="5"/>
        <v>5.8000000000000007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11.2</v>
      </c>
      <c r="L40" s="51">
        <v>16.2</v>
      </c>
      <c r="M40" s="51">
        <v>15.2</v>
      </c>
      <c r="N40" s="51">
        <v>14.2</v>
      </c>
      <c r="O40" s="51">
        <v>13.8</v>
      </c>
      <c r="P40" s="51">
        <v>14</v>
      </c>
      <c r="Q40" s="51">
        <v>14.2</v>
      </c>
      <c r="R40" s="51">
        <v>10.7</v>
      </c>
      <c r="S40" s="51">
        <v>14.6</v>
      </c>
      <c r="T40" s="51">
        <v>15</v>
      </c>
      <c r="U40" s="51">
        <v>14.8</v>
      </c>
      <c r="V40" s="51">
        <v>16</v>
      </c>
      <c r="W40" s="51">
        <v>16.399999999999999</v>
      </c>
      <c r="X40" s="51">
        <v>12.8</v>
      </c>
      <c r="Y40" s="51">
        <v>14.6</v>
      </c>
      <c r="Z40" s="111">
        <v>14.8</v>
      </c>
      <c r="AA40" s="51">
        <v>15.8</v>
      </c>
      <c r="AB40" s="51">
        <v>16</v>
      </c>
      <c r="AC40" s="51">
        <v>14.6</v>
      </c>
      <c r="AD40" s="51">
        <v>13.8</v>
      </c>
      <c r="AE40" s="51">
        <v>15.8</v>
      </c>
      <c r="AF40" s="51">
        <v>14.8</v>
      </c>
      <c r="AG40" s="51">
        <v>14.4</v>
      </c>
      <c r="AH40" s="51">
        <v>15</v>
      </c>
      <c r="AI40" s="51"/>
      <c r="AJ40" s="51"/>
      <c r="AK40" s="51"/>
      <c r="AL40" s="51"/>
      <c r="AM40" s="51"/>
      <c r="AN40" s="51"/>
      <c r="AO40" s="51"/>
      <c r="AP40" s="88">
        <f t="shared" si="1"/>
        <v>24</v>
      </c>
      <c r="AQ40" s="89">
        <f t="shared" si="2"/>
        <v>14.52916666666667</v>
      </c>
      <c r="AR40" s="89">
        <f>IFERROR(VLOOKUP(A40,Climatologia!A:U,9+$E$2,FALSE),"")</f>
        <v>13.21942693527788</v>
      </c>
      <c r="AS40" s="89">
        <f t="shared" si="3"/>
        <v>1.30973973138879</v>
      </c>
      <c r="AT40" s="90">
        <f t="shared" si="4"/>
        <v>10.7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9.8000000000000007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36440</v>
      </c>
      <c r="AW40" s="92">
        <f t="shared" si="5"/>
        <v>0.89999999999999858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24.6</v>
      </c>
      <c r="L41" s="51">
        <v>26.4</v>
      </c>
      <c r="M41" s="51">
        <v>24.6</v>
      </c>
      <c r="N41" s="51">
        <v>21.8</v>
      </c>
      <c r="O41" s="51">
        <v>24.4</v>
      </c>
      <c r="P41" s="51">
        <v>24</v>
      </c>
      <c r="Q41" s="51">
        <v>25</v>
      </c>
      <c r="R41" s="51">
        <v>25.2</v>
      </c>
      <c r="S41" s="51">
        <v>25.8</v>
      </c>
      <c r="T41" s="51">
        <v>25.8</v>
      </c>
      <c r="U41" s="51">
        <v>25.6</v>
      </c>
      <c r="V41" s="51">
        <v>24.8</v>
      </c>
      <c r="W41" s="51">
        <v>25.2</v>
      </c>
      <c r="X41" s="51">
        <v>24</v>
      </c>
      <c r="Y41" s="51">
        <v>24.2</v>
      </c>
      <c r="Z41" s="111">
        <v>26</v>
      </c>
      <c r="AA41" s="51">
        <v>25.8</v>
      </c>
      <c r="AB41" s="51">
        <v>25</v>
      </c>
      <c r="AC41" s="51">
        <v>23.6</v>
      </c>
      <c r="AD41" s="51">
        <v>25</v>
      </c>
      <c r="AE41" s="51">
        <v>24.6</v>
      </c>
      <c r="AF41" s="51">
        <v>23.4</v>
      </c>
      <c r="AG41" s="51">
        <v>24.6</v>
      </c>
      <c r="AH41" s="51">
        <v>24.6</v>
      </c>
      <c r="AI41" s="51"/>
      <c r="AJ41" s="51"/>
      <c r="AK41" s="51"/>
      <c r="AL41" s="51"/>
      <c r="AM41" s="51"/>
      <c r="AN41" s="51"/>
      <c r="AO41" s="51"/>
      <c r="AP41" s="88">
        <f t="shared" si="1"/>
        <v>24</v>
      </c>
      <c r="AQ41" s="89">
        <f t="shared" si="2"/>
        <v>24.75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21.8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37533</v>
      </c>
      <c r="AW41" s="92">
        <f t="shared" si="5"/>
        <v>4.1999999999999993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25.8</v>
      </c>
      <c r="L42" s="51">
        <v>26.8</v>
      </c>
      <c r="M42" s="51">
        <v>24.6</v>
      </c>
      <c r="N42" s="51">
        <v>22.8</v>
      </c>
      <c r="O42" s="51">
        <v>25.4</v>
      </c>
      <c r="P42" s="51">
        <v>24.4</v>
      </c>
      <c r="Q42" s="51">
        <v>25.2</v>
      </c>
      <c r="R42" s="51">
        <v>26.2</v>
      </c>
      <c r="S42" s="51">
        <v>25.2</v>
      </c>
      <c r="T42" s="51">
        <v>25.4</v>
      </c>
      <c r="U42" s="51">
        <v>26.4</v>
      </c>
      <c r="V42" s="51">
        <v>25.4</v>
      </c>
      <c r="W42" s="51">
        <v>24.8</v>
      </c>
      <c r="X42" s="51">
        <v>24.2</v>
      </c>
      <c r="Y42" s="51">
        <v>25.4</v>
      </c>
      <c r="Z42" s="111">
        <v>26.8</v>
      </c>
      <c r="AA42" s="51">
        <v>26.2</v>
      </c>
      <c r="AB42" s="51">
        <v>24</v>
      </c>
      <c r="AC42" s="51">
        <v>23.8</v>
      </c>
      <c r="AD42" s="51">
        <v>25.2</v>
      </c>
      <c r="AE42" s="51">
        <v>24.2</v>
      </c>
      <c r="AF42" s="51">
        <v>23.8</v>
      </c>
      <c r="AG42" s="51">
        <v>26.2</v>
      </c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23</v>
      </c>
      <c r="AQ42" s="89">
        <f t="shared" si="2"/>
        <v>25.139130434782604</v>
      </c>
      <c r="AR42" s="89">
        <f>IFERROR(VLOOKUP(A42,Climatologia!A:U,9+$E$2,FALSE),"")</f>
        <v>24.022828175927401</v>
      </c>
      <c r="AS42" s="89">
        <f t="shared" si="3"/>
        <v>1.1163022588552032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24.6</v>
      </c>
      <c r="L43" s="51">
        <v>25.2</v>
      </c>
      <c r="M43" s="51">
        <v>23.8</v>
      </c>
      <c r="N43" s="51">
        <v>23.2</v>
      </c>
      <c r="O43" s="51">
        <v>23.2</v>
      </c>
      <c r="P43" s="51">
        <v>23</v>
      </c>
      <c r="Q43" s="51">
        <v>24.4</v>
      </c>
      <c r="R43" s="51">
        <v>23.8</v>
      </c>
      <c r="S43" s="51">
        <v>24</v>
      </c>
      <c r="T43" s="51">
        <v>24.2</v>
      </c>
      <c r="U43" s="51">
        <v>24.4</v>
      </c>
      <c r="V43" s="51">
        <v>24.6</v>
      </c>
      <c r="W43" s="51">
        <v>24.4</v>
      </c>
      <c r="X43" s="51">
        <v>24.6</v>
      </c>
      <c r="Y43" s="51">
        <v>25.2</v>
      </c>
      <c r="Z43" s="111">
        <v>26</v>
      </c>
      <c r="AA43" s="51">
        <v>25.6</v>
      </c>
      <c r="AB43" s="51"/>
      <c r="AC43" s="51">
        <v>24.4</v>
      </c>
      <c r="AD43" s="51">
        <v>25</v>
      </c>
      <c r="AE43" s="51">
        <v>25.4</v>
      </c>
      <c r="AF43" s="51">
        <v>24</v>
      </c>
      <c r="AG43" s="51">
        <v>23.8</v>
      </c>
      <c r="AH43" s="51">
        <v>25.2</v>
      </c>
      <c r="AI43" s="51"/>
      <c r="AJ43" s="51"/>
      <c r="AK43" s="51"/>
      <c r="AL43" s="51"/>
      <c r="AM43" s="51"/>
      <c r="AN43" s="51"/>
      <c r="AO43" s="51"/>
      <c r="AP43" s="88">
        <f t="shared" si="1"/>
        <v>23</v>
      </c>
      <c r="AQ43" s="89">
        <f t="shared" si="2"/>
        <v>24.434782608695652</v>
      </c>
      <c r="AR43" s="89">
        <f>IFERROR(VLOOKUP(A43,Climatologia!A:U,9+$E$2,FALSE),"")</f>
        <v>23.71034092848609</v>
      </c>
      <c r="AS43" s="89">
        <f t="shared" si="3"/>
        <v>0.72444168020956212</v>
      </c>
      <c r="AT43" s="90">
        <f t="shared" si="4"/>
        <v>23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19.2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39732</v>
      </c>
      <c r="AW43" s="92">
        <f t="shared" si="5"/>
        <v>3.8000000000000007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24.2</v>
      </c>
      <c r="L44" s="51">
        <v>25.4</v>
      </c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</v>
      </c>
      <c r="AQ44" s="89" t="str">
        <f t="shared" si="2"/>
        <v/>
      </c>
      <c r="AR44" s="89">
        <f>IFERROR(VLOOKUP(A44,Climatologia!A:U,9+$E$2,FALSE),"")</f>
        <v>23.095211611097891</v>
      </c>
      <c r="AS44" s="89" t="str">
        <f t="shared" si="3"/>
        <v/>
      </c>
      <c r="AT44" s="90">
        <f t="shared" si="4"/>
        <v>24.2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33147</v>
      </c>
      <c r="AW44" s="92">
        <f t="shared" si="5"/>
        <v>8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23.491991397849461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45947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22.097697453825369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17.600000000000001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37167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25.4</v>
      </c>
      <c r="L47" s="51">
        <v>25.2</v>
      </c>
      <c r="M47" s="51">
        <v>23</v>
      </c>
      <c r="N47" s="51">
        <v>22.6</v>
      </c>
      <c r="O47" s="51">
        <v>24.4</v>
      </c>
      <c r="P47" s="51">
        <v>24.4</v>
      </c>
      <c r="Q47" s="51">
        <v>24.2</v>
      </c>
      <c r="R47" s="51">
        <v>24.8</v>
      </c>
      <c r="S47" s="51">
        <v>24</v>
      </c>
      <c r="T47" s="51">
        <v>24.2</v>
      </c>
      <c r="U47" s="51">
        <v>25.4</v>
      </c>
      <c r="V47" s="51">
        <v>23.8</v>
      </c>
      <c r="W47" s="51">
        <v>22.8</v>
      </c>
      <c r="X47" s="51">
        <v>24.4</v>
      </c>
      <c r="Y47" s="51">
        <v>24.4</v>
      </c>
      <c r="Z47" s="111">
        <v>25.4</v>
      </c>
      <c r="AA47" s="51">
        <v>26.8</v>
      </c>
      <c r="AB47" s="51">
        <v>23</v>
      </c>
      <c r="AC47" s="51">
        <v>22.8</v>
      </c>
      <c r="AD47" s="51">
        <v>23.2</v>
      </c>
      <c r="AE47" s="51">
        <v>23.2</v>
      </c>
      <c r="AF47" s="51">
        <v>23.8</v>
      </c>
      <c r="AG47" s="51">
        <v>25</v>
      </c>
      <c r="AH47" s="51">
        <v>24.8</v>
      </c>
      <c r="AI47" s="51"/>
      <c r="AJ47" s="51"/>
      <c r="AK47" s="51"/>
      <c r="AL47" s="51"/>
      <c r="AM47" s="51"/>
      <c r="AN47" s="51"/>
      <c r="AO47" s="51"/>
      <c r="AP47" s="88">
        <f t="shared" si="1"/>
        <v>24</v>
      </c>
      <c r="AQ47" s="89">
        <f t="shared" si="2"/>
        <v>24.208333333333329</v>
      </c>
      <c r="AR47" s="89">
        <f>IFERROR(VLOOKUP(A47,Climatologia!A:U,9+$E$2,FALSE),"")</f>
        <v>22.723827956989251</v>
      </c>
      <c r="AS47" s="89">
        <f t="shared" si="3"/>
        <v>1.4845053763440781</v>
      </c>
      <c r="AT47" s="90">
        <f t="shared" si="4"/>
        <v>22.6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37914</v>
      </c>
      <c r="AW47" s="92">
        <f t="shared" si="5"/>
        <v>4.6000000000000014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22.959836362577601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19.5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33534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23.385134996557031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33150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19.100000000000001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43752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24.4</v>
      </c>
      <c r="L51" s="51">
        <v>25.6</v>
      </c>
      <c r="M51" s="51">
        <v>22.4</v>
      </c>
      <c r="N51" s="51">
        <v>22.2</v>
      </c>
      <c r="O51" s="51">
        <v>23</v>
      </c>
      <c r="P51" s="51">
        <v>24.6</v>
      </c>
      <c r="Q51" s="51">
        <v>24.4</v>
      </c>
      <c r="R51" s="51">
        <v>24.2</v>
      </c>
      <c r="S51" s="51">
        <v>24.4</v>
      </c>
      <c r="T51" s="51">
        <v>24.2</v>
      </c>
      <c r="U51" s="51">
        <v>23.2</v>
      </c>
      <c r="V51" s="51">
        <v>23</v>
      </c>
      <c r="W51" s="51">
        <v>22.8</v>
      </c>
      <c r="X51" s="51">
        <v>24.4</v>
      </c>
      <c r="Y51" s="51">
        <v>24.2</v>
      </c>
      <c r="Z51" s="111">
        <v>24.4</v>
      </c>
      <c r="AA51" s="51">
        <v>25.8</v>
      </c>
      <c r="AB51" s="51">
        <v>22</v>
      </c>
      <c r="AC51" s="51">
        <v>22.6</v>
      </c>
      <c r="AD51" s="51">
        <v>23.6</v>
      </c>
      <c r="AE51" s="51">
        <v>23.4</v>
      </c>
      <c r="AF51" s="51">
        <v>23.8</v>
      </c>
      <c r="AG51" s="51">
        <v>24</v>
      </c>
      <c r="AH51" s="51">
        <v>26.4</v>
      </c>
      <c r="AI51" s="51"/>
      <c r="AJ51" s="51"/>
      <c r="AK51" s="51"/>
      <c r="AL51" s="51"/>
      <c r="AM51" s="51"/>
      <c r="AN51" s="51"/>
      <c r="AO51" s="51"/>
      <c r="AP51" s="88">
        <f t="shared" si="1"/>
        <v>24</v>
      </c>
      <c r="AQ51" s="89">
        <f t="shared" si="2"/>
        <v>23.875</v>
      </c>
      <c r="AR51" s="89">
        <f>IFERROR(VLOOKUP(A51,Climatologia!A:U,9+$E$2,FALSE),"")</f>
        <v>23.115766791463461</v>
      </c>
      <c r="AS51" s="89">
        <f t="shared" si="3"/>
        <v>0.75923320853653919</v>
      </c>
      <c r="AT51" s="90">
        <f t="shared" si="4"/>
        <v>22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32800</v>
      </c>
      <c r="AW51" s="92">
        <f t="shared" si="5"/>
        <v>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25.2</v>
      </c>
      <c r="L52" s="51">
        <v>25.6</v>
      </c>
      <c r="M52" s="51">
        <v>22.4</v>
      </c>
      <c r="N52" s="51">
        <v>22.8</v>
      </c>
      <c r="O52" s="51">
        <v>23.6</v>
      </c>
      <c r="P52" s="51">
        <v>23.8</v>
      </c>
      <c r="Q52" s="51">
        <v>23</v>
      </c>
      <c r="R52" s="51">
        <v>23.2</v>
      </c>
      <c r="S52" s="51">
        <v>23.6</v>
      </c>
      <c r="T52" s="51">
        <v>23.8</v>
      </c>
      <c r="U52" s="51">
        <v>24.2</v>
      </c>
      <c r="V52" s="51">
        <v>23.4</v>
      </c>
      <c r="W52" s="51">
        <v>23.4</v>
      </c>
      <c r="X52" s="51">
        <v>26.3</v>
      </c>
      <c r="Y52" s="51">
        <v>23.4</v>
      </c>
      <c r="Z52" s="111">
        <v>23.4</v>
      </c>
      <c r="AA52" s="51">
        <v>23.2</v>
      </c>
      <c r="AB52" s="51">
        <v>24</v>
      </c>
      <c r="AC52" s="51">
        <v>24</v>
      </c>
      <c r="AD52" s="51">
        <v>24.2</v>
      </c>
      <c r="AE52" s="51">
        <v>24</v>
      </c>
      <c r="AF52" s="51">
        <v>24.8</v>
      </c>
      <c r="AG52" s="51">
        <v>25</v>
      </c>
      <c r="AH52" s="119">
        <v>24.2</v>
      </c>
      <c r="AI52" s="119"/>
      <c r="AJ52" s="119"/>
      <c r="AK52" s="119"/>
      <c r="AL52" s="51"/>
      <c r="AM52" s="51"/>
      <c r="AN52" s="51"/>
      <c r="AO52" s="51"/>
      <c r="AP52" s="88">
        <f t="shared" si="1"/>
        <v>24</v>
      </c>
      <c r="AQ52" s="89">
        <f t="shared" si="2"/>
        <v>23.937499999999996</v>
      </c>
      <c r="AR52" s="89">
        <f>IFERROR(VLOOKUP(A52,Climatologia!A:U,9+$E$2,FALSE),"")</f>
        <v>22.856683489199249</v>
      </c>
      <c r="AS52" s="89">
        <f t="shared" si="3"/>
        <v>1.0808165108007479</v>
      </c>
      <c r="AT52" s="90">
        <f t="shared" si="4"/>
        <v>22.4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40090</v>
      </c>
      <c r="AW52" s="92">
        <f t="shared" si="5"/>
        <v>4.3999999999999986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/>
      <c r="L53" s="51">
        <v>26</v>
      </c>
      <c r="M53" s="51">
        <v>21.8</v>
      </c>
      <c r="N53" s="51">
        <v>24.2</v>
      </c>
      <c r="O53" s="51">
        <v>24.8</v>
      </c>
      <c r="P53" s="51"/>
      <c r="Q53" s="51">
        <v>22.8</v>
      </c>
      <c r="R53" s="51">
        <v>23.6</v>
      </c>
      <c r="S53" s="51">
        <v>24.4</v>
      </c>
      <c r="T53" s="51">
        <v>25.6</v>
      </c>
      <c r="U53" s="51">
        <v>26</v>
      </c>
      <c r="V53" s="51">
        <v>25.8</v>
      </c>
      <c r="W53" s="51">
        <v>23.6</v>
      </c>
      <c r="X53" s="51">
        <v>23.8</v>
      </c>
      <c r="Y53" s="51">
        <v>23.8</v>
      </c>
      <c r="Z53" s="111">
        <v>25.6</v>
      </c>
      <c r="AA53" s="51">
        <v>25.8</v>
      </c>
      <c r="AB53" s="51">
        <v>25.4</v>
      </c>
      <c r="AC53" s="51">
        <v>24.2</v>
      </c>
      <c r="AD53" s="51">
        <v>24.2</v>
      </c>
      <c r="AE53" s="51">
        <v>23.8</v>
      </c>
      <c r="AF53" s="51">
        <v>24.2</v>
      </c>
      <c r="AG53" s="51">
        <v>25.2</v>
      </c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21</v>
      </c>
      <c r="AQ53" s="89">
        <f t="shared" si="2"/>
        <v>24.504761904761907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21.8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18.600000000000001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35358</v>
      </c>
      <c r="AW53" s="92">
        <f t="shared" si="5"/>
        <v>3.1999999999999993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18.8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31331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17.600000000000001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30970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23.899133654767109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19.2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37185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24</v>
      </c>
      <c r="L57" s="51">
        <v>25.8</v>
      </c>
      <c r="M57" s="51">
        <v>25.8</v>
      </c>
      <c r="N57" s="51">
        <v>23.8</v>
      </c>
      <c r="O57" s="51">
        <v>24.6</v>
      </c>
      <c r="P57" s="51">
        <v>23</v>
      </c>
      <c r="Q57" s="51">
        <v>25.2</v>
      </c>
      <c r="R57" s="51">
        <v>24</v>
      </c>
      <c r="S57" s="51">
        <v>24.2</v>
      </c>
      <c r="T57" s="51">
        <v>25</v>
      </c>
      <c r="U57" s="51">
        <v>26.4</v>
      </c>
      <c r="V57" s="51">
        <v>25.4</v>
      </c>
      <c r="W57" s="51">
        <v>24.8</v>
      </c>
      <c r="X57" s="51">
        <v>23.8</v>
      </c>
      <c r="Y57" s="51">
        <v>24.6</v>
      </c>
      <c r="Z57" s="111">
        <v>25</v>
      </c>
      <c r="AA57" s="51">
        <v>27</v>
      </c>
      <c r="AB57" s="51">
        <v>24.6</v>
      </c>
      <c r="AC57" s="51">
        <v>24.2</v>
      </c>
      <c r="AD57" s="51">
        <v>24</v>
      </c>
      <c r="AE57" s="51">
        <v>24.6</v>
      </c>
      <c r="AF57" s="51">
        <v>24.2</v>
      </c>
      <c r="AG57" s="51">
        <v>24.8</v>
      </c>
      <c r="AH57" s="51">
        <v>26.6</v>
      </c>
      <c r="AI57" s="51"/>
      <c r="AJ57" s="51"/>
      <c r="AK57" s="51"/>
      <c r="AL57" s="51"/>
      <c r="AM57" s="51"/>
      <c r="AN57" s="51"/>
      <c r="AO57" s="51"/>
      <c r="AP57" s="88">
        <f t="shared" si="1"/>
        <v>24</v>
      </c>
      <c r="AQ57" s="89">
        <f t="shared" si="2"/>
        <v>24.808333333333334</v>
      </c>
      <c r="AR57" s="89">
        <f>IFERROR(VLOOKUP(A57,Climatologia!A:U,9+$E$2,FALSE),"")</f>
        <v>23.60171118101983</v>
      </c>
      <c r="AS57" s="89">
        <f t="shared" si="3"/>
        <v>1.2066221523135034</v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18.399999999999999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30606</v>
      </c>
      <c r="AW57" s="92">
        <f t="shared" si="5"/>
        <v>4.6000000000000014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/>
      <c r="L58" s="51">
        <v>23.2</v>
      </c>
      <c r="M58" s="51">
        <v>22.8</v>
      </c>
      <c r="N58" s="51">
        <v>23.8</v>
      </c>
      <c r="O58" s="51">
        <v>22</v>
      </c>
      <c r="P58" s="51"/>
      <c r="Q58" s="51">
        <v>23.4</v>
      </c>
      <c r="R58" s="51">
        <v>24.6</v>
      </c>
      <c r="S58" s="51">
        <v>24</v>
      </c>
      <c r="T58" s="51">
        <v>23.4</v>
      </c>
      <c r="U58" s="51">
        <v>23.4</v>
      </c>
      <c r="V58" s="51">
        <v>23.6</v>
      </c>
      <c r="W58" s="51">
        <v>24.4</v>
      </c>
      <c r="X58" s="51">
        <v>23.4</v>
      </c>
      <c r="Y58" s="51"/>
      <c r="Z58" s="111">
        <v>23.6</v>
      </c>
      <c r="AA58" s="51">
        <v>20</v>
      </c>
      <c r="AB58" s="51">
        <v>19.8</v>
      </c>
      <c r="AC58" s="51">
        <v>21.6</v>
      </c>
      <c r="AD58" s="51">
        <v>22.5</v>
      </c>
      <c r="AE58" s="51">
        <v>22.8</v>
      </c>
      <c r="AF58" s="51"/>
      <c r="AG58" s="51"/>
      <c r="AH58" s="51">
        <v>20</v>
      </c>
      <c r="AI58" s="51"/>
      <c r="AJ58" s="51"/>
      <c r="AK58" s="51"/>
      <c r="AL58" s="51"/>
      <c r="AM58" s="51"/>
      <c r="AN58" s="51"/>
      <c r="AO58" s="51"/>
      <c r="AP58" s="88">
        <f t="shared" si="1"/>
        <v>19</v>
      </c>
      <c r="AQ58" s="89">
        <f t="shared" si="2"/>
        <v>22.752631578947369</v>
      </c>
      <c r="AR58" s="89">
        <f>IFERROR(VLOOKUP(A58,Climatologia!A:U,9+$E$2,FALSE),"")</f>
        <v>21.780571762049181</v>
      </c>
      <c r="AS58" s="89">
        <f t="shared" si="3"/>
        <v>0.97205981689818799</v>
      </c>
      <c r="AT58" s="90">
        <f t="shared" si="4"/>
        <v>19.8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16.5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30986</v>
      </c>
      <c r="AW58" s="92">
        <f t="shared" si="5"/>
        <v>3.3000000000000007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22.615609788654069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18.600000000000001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29880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23.4</v>
      </c>
      <c r="L60" s="51">
        <v>23.2</v>
      </c>
      <c r="M60" s="51">
        <v>21.8</v>
      </c>
      <c r="N60" s="51">
        <v>22.8</v>
      </c>
      <c r="O60" s="51">
        <v>23.2</v>
      </c>
      <c r="P60" s="51">
        <v>22.2</v>
      </c>
      <c r="Q60" s="51">
        <v>22</v>
      </c>
      <c r="R60" s="51">
        <v>21.2</v>
      </c>
      <c r="S60" s="51">
        <v>22.2</v>
      </c>
      <c r="T60" s="51">
        <v>23.2</v>
      </c>
      <c r="U60" s="51">
        <v>22.6</v>
      </c>
      <c r="V60" s="51">
        <v>23.4</v>
      </c>
      <c r="W60" s="51">
        <v>23.2</v>
      </c>
      <c r="X60" s="51">
        <v>24.4</v>
      </c>
      <c r="Y60" s="51">
        <v>22.8</v>
      </c>
      <c r="Z60" s="111">
        <v>23.4</v>
      </c>
      <c r="AA60" s="51">
        <v>22.8</v>
      </c>
      <c r="AB60" s="51">
        <v>23.2</v>
      </c>
      <c r="AC60" s="51">
        <v>23.6</v>
      </c>
      <c r="AD60" s="51">
        <v>24.2</v>
      </c>
      <c r="AE60" s="51">
        <v>22.2</v>
      </c>
      <c r="AF60" s="51">
        <v>23.2</v>
      </c>
      <c r="AG60" s="51">
        <v>22.6</v>
      </c>
      <c r="AH60" s="51">
        <v>23.4</v>
      </c>
      <c r="AI60" s="51"/>
      <c r="AJ60" s="51"/>
      <c r="AK60" s="51"/>
      <c r="AL60" s="51"/>
      <c r="AM60" s="51"/>
      <c r="AN60" s="51"/>
      <c r="AO60" s="51"/>
      <c r="AP60" s="88">
        <f t="shared" si="1"/>
        <v>24</v>
      </c>
      <c r="AQ60" s="89">
        <f t="shared" si="2"/>
        <v>22.924999999999994</v>
      </c>
      <c r="AR60" s="89">
        <f>IFERROR(VLOOKUP(A60,Climatologia!A:U,9+$E$2,FALSE),"")</f>
        <v>22.020020603223369</v>
      </c>
      <c r="AS60" s="89">
        <f t="shared" si="3"/>
        <v>0.90497939677662487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16.5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30615</v>
      </c>
      <c r="AW60" s="92">
        <f t="shared" si="5"/>
        <v>4.6999999999999993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19.630868590898469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22.248488298545219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18.100000000000001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</v>
      </c>
      <c r="L63" s="51">
        <v>22.8</v>
      </c>
      <c r="M63" s="51">
        <v>23.4</v>
      </c>
      <c r="N63" s="51">
        <v>23.8</v>
      </c>
      <c r="O63" s="51">
        <v>23.6</v>
      </c>
      <c r="P63" s="51">
        <v>23.8</v>
      </c>
      <c r="Q63" s="51">
        <v>23.4</v>
      </c>
      <c r="R63" s="51">
        <v>23.6</v>
      </c>
      <c r="S63" s="51">
        <v>24</v>
      </c>
      <c r="T63" s="51">
        <v>23.2</v>
      </c>
      <c r="U63" s="51">
        <v>23.4</v>
      </c>
      <c r="V63" s="51">
        <v>22.8</v>
      </c>
      <c r="W63" s="51">
        <v>23.8</v>
      </c>
      <c r="X63" s="51">
        <v>22.6</v>
      </c>
      <c r="Y63" s="51">
        <v>23.2</v>
      </c>
      <c r="Z63" s="111">
        <v>23.6</v>
      </c>
      <c r="AA63" s="51">
        <v>22.4</v>
      </c>
      <c r="AB63" s="51">
        <v>22</v>
      </c>
      <c r="AC63" s="51">
        <v>23.4</v>
      </c>
      <c r="AD63" s="51">
        <v>23.6</v>
      </c>
      <c r="AE63" s="51">
        <v>23.4</v>
      </c>
      <c r="AF63" s="51">
        <v>23</v>
      </c>
      <c r="AG63" s="51">
        <v>23.8</v>
      </c>
      <c r="AH63" s="51">
        <v>23.6</v>
      </c>
      <c r="AI63" s="51"/>
      <c r="AJ63" s="51"/>
      <c r="AK63" s="51"/>
      <c r="AL63" s="51"/>
      <c r="AM63" s="51"/>
      <c r="AN63" s="51"/>
      <c r="AO63" s="51"/>
      <c r="AP63" s="88">
        <f t="shared" si="1"/>
        <v>24</v>
      </c>
      <c r="AQ63" s="89">
        <f t="shared" si="2"/>
        <v>23.3</v>
      </c>
      <c r="AR63" s="89">
        <f>IFERROR(VLOOKUP(A63,Climatologia!A:U,9+$E$2,FALSE),"")</f>
        <v>22.52058403517136</v>
      </c>
      <c r="AS63" s="89">
        <f t="shared" si="3"/>
        <v>0.77941596482864028</v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19.100000000000001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39376</v>
      </c>
      <c r="AW63" s="92">
        <f t="shared" si="5"/>
        <v>2.8999999999999986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23.4</v>
      </c>
      <c r="L64" s="51">
        <v>23.2</v>
      </c>
      <c r="M64" s="51">
        <v>22.6</v>
      </c>
      <c r="N64" s="51">
        <v>23</v>
      </c>
      <c r="O64" s="51">
        <v>24</v>
      </c>
      <c r="P64" s="51">
        <v>24.2</v>
      </c>
      <c r="Q64" s="51">
        <v>22.8</v>
      </c>
      <c r="R64" s="51">
        <v>23</v>
      </c>
      <c r="S64" s="51">
        <v>24.4</v>
      </c>
      <c r="T64" s="51">
        <v>23</v>
      </c>
      <c r="U64" s="51">
        <v>22.2</v>
      </c>
      <c r="V64" s="51">
        <v>23.4</v>
      </c>
      <c r="W64" s="51">
        <v>24.4</v>
      </c>
      <c r="X64" s="51">
        <v>23.6</v>
      </c>
      <c r="Y64" s="51">
        <v>23.4</v>
      </c>
      <c r="Z64" s="111">
        <v>22.8</v>
      </c>
      <c r="AA64" s="51">
        <v>23.8</v>
      </c>
      <c r="AB64" s="51">
        <v>22.4</v>
      </c>
      <c r="AC64" s="51">
        <v>22.8</v>
      </c>
      <c r="AD64" s="51">
        <v>23.6</v>
      </c>
      <c r="AE64" s="51">
        <v>23.8</v>
      </c>
      <c r="AF64" s="51">
        <v>23.8</v>
      </c>
      <c r="AG64" s="51">
        <v>24.2</v>
      </c>
      <c r="AH64" s="51">
        <v>22.4</v>
      </c>
      <c r="AI64" s="51"/>
      <c r="AJ64" s="51"/>
      <c r="AK64" s="51"/>
      <c r="AL64" s="51"/>
      <c r="AM64" s="51"/>
      <c r="AN64" s="51"/>
      <c r="AO64" s="51"/>
      <c r="AP64" s="88">
        <f t="shared" si="1"/>
        <v>24</v>
      </c>
      <c r="AQ64" s="89">
        <f t="shared" si="2"/>
        <v>23.341666666666669</v>
      </c>
      <c r="AR64" s="89">
        <f>IFERROR(VLOOKUP(A64,Climatologia!A:U,9+$E$2,FALSE),"")</f>
        <v>22.21844275065709</v>
      </c>
      <c r="AS64" s="89">
        <f t="shared" si="3"/>
        <v>1.1232239160095787</v>
      </c>
      <c r="AT64" s="90">
        <f t="shared" si="4"/>
        <v>22.2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41561</v>
      </c>
      <c r="AW64" s="92">
        <f t="shared" si="5"/>
        <v>4.1999999999999993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23.6</v>
      </c>
      <c r="L65" s="51">
        <v>23.4</v>
      </c>
      <c r="M65" s="51">
        <v>22.6</v>
      </c>
      <c r="N65" s="51">
        <v>23.2</v>
      </c>
      <c r="O65" s="51">
        <v>23</v>
      </c>
      <c r="P65" s="51">
        <v>24.6</v>
      </c>
      <c r="Q65" s="51">
        <v>22.4</v>
      </c>
      <c r="R65" s="51">
        <v>23.6</v>
      </c>
      <c r="S65" s="51">
        <v>22.6</v>
      </c>
      <c r="T65" s="51">
        <v>22.4</v>
      </c>
      <c r="U65" s="51">
        <v>23.2</v>
      </c>
      <c r="V65" s="51">
        <v>22</v>
      </c>
      <c r="W65" s="51">
        <v>23.4</v>
      </c>
      <c r="X65" s="51">
        <v>24.4</v>
      </c>
      <c r="Y65" s="51">
        <v>22</v>
      </c>
      <c r="Z65" s="111">
        <v>23.6</v>
      </c>
      <c r="AA65" s="51">
        <v>23.2</v>
      </c>
      <c r="AB65" s="51">
        <v>23.2</v>
      </c>
      <c r="AC65" s="51">
        <v>23.2</v>
      </c>
      <c r="AD65" s="51">
        <v>23.4</v>
      </c>
      <c r="AE65" s="51">
        <v>23</v>
      </c>
      <c r="AF65" s="51">
        <v>21.6</v>
      </c>
      <c r="AG65" s="51">
        <v>23.6</v>
      </c>
      <c r="AH65" s="51">
        <v>22.6</v>
      </c>
      <c r="AI65" s="51"/>
      <c r="AJ65" s="51"/>
      <c r="AK65" s="51"/>
      <c r="AL65" s="51"/>
      <c r="AM65" s="51"/>
      <c r="AN65" s="51"/>
      <c r="AO65" s="51"/>
      <c r="AP65" s="88">
        <f t="shared" si="1"/>
        <v>24</v>
      </c>
      <c r="AQ65" s="89">
        <f t="shared" si="2"/>
        <v>23.074999999999999</v>
      </c>
      <c r="AR65" s="89">
        <f>IFERROR(VLOOKUP(A65,Climatologia!A:U,9+$E$2,FALSE),"")</f>
        <v>21.954907209339911</v>
      </c>
      <c r="AS65" s="89">
        <f t="shared" si="3"/>
        <v>1.1200927906600882</v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38635</v>
      </c>
      <c r="AW65" s="92">
        <f t="shared" si="5"/>
        <v>3.6000000000000014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20.399999999999999</v>
      </c>
      <c r="L66" s="51">
        <v>20</v>
      </c>
      <c r="M66" s="51">
        <v>20.399999999999999</v>
      </c>
      <c r="N66" s="51">
        <v>21.2</v>
      </c>
      <c r="O66" s="51">
        <v>20</v>
      </c>
      <c r="P66" s="51">
        <v>21.6</v>
      </c>
      <c r="Q66" s="51">
        <v>19.8</v>
      </c>
      <c r="R66" s="51">
        <v>21</v>
      </c>
      <c r="S66" s="51">
        <v>20.8</v>
      </c>
      <c r="T66" s="51">
        <v>21</v>
      </c>
      <c r="U66" s="51">
        <v>21.6</v>
      </c>
      <c r="V66" s="51">
        <v>21</v>
      </c>
      <c r="W66" s="51">
        <v>20.2</v>
      </c>
      <c r="X66" s="51">
        <v>21.2</v>
      </c>
      <c r="Y66" s="51">
        <v>19.8</v>
      </c>
      <c r="Z66" s="111">
        <v>20.399999999999999</v>
      </c>
      <c r="AA66" s="51">
        <v>21.4</v>
      </c>
      <c r="AB66" s="51">
        <v>20.6</v>
      </c>
      <c r="AC66" s="51">
        <v>20.2</v>
      </c>
      <c r="AD66" s="51">
        <v>21</v>
      </c>
      <c r="AE66" s="51">
        <v>20.399999999999999</v>
      </c>
      <c r="AF66" s="51">
        <v>19.399999999999999</v>
      </c>
      <c r="AG66" s="51">
        <v>20.399999999999999</v>
      </c>
      <c r="AH66" s="51">
        <v>21</v>
      </c>
      <c r="AI66" s="51"/>
      <c r="AJ66" s="51"/>
      <c r="AK66" s="51"/>
      <c r="AL66" s="51"/>
      <c r="AM66" s="51"/>
      <c r="AN66" s="51"/>
      <c r="AO66" s="51"/>
      <c r="AP66" s="88">
        <f t="shared" si="1"/>
        <v>24</v>
      </c>
      <c r="AQ66" s="89">
        <f t="shared" si="2"/>
        <v>20.616666666666664</v>
      </c>
      <c r="AR66" s="89">
        <f>IFERROR(VLOOKUP(A66,Climatologia!A:U,9+$E$2,FALSE),"")</f>
        <v>21.542525027808679</v>
      </c>
      <c r="AS66" s="89">
        <f t="shared" si="3"/>
        <v>-0.9258583611420157</v>
      </c>
      <c r="AT66" s="90">
        <f t="shared" si="4"/>
        <v>19.399999999999999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15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30252</v>
      </c>
      <c r="AW66" s="92">
        <f t="shared" si="5"/>
        <v>4.3999999999999986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24.2</v>
      </c>
      <c r="L67" s="51">
        <v>22.1</v>
      </c>
      <c r="M67" s="51">
        <v>21.4</v>
      </c>
      <c r="N67" s="51">
        <v>22</v>
      </c>
      <c r="O67" s="51">
        <v>21.8</v>
      </c>
      <c r="P67" s="51">
        <v>23</v>
      </c>
      <c r="Q67" s="51">
        <v>21.4</v>
      </c>
      <c r="R67" s="51">
        <v>21.4</v>
      </c>
      <c r="S67" s="51">
        <v>21</v>
      </c>
      <c r="T67" s="51">
        <v>20.8</v>
      </c>
      <c r="U67" s="51">
        <v>22.6</v>
      </c>
      <c r="V67" s="51">
        <v>22.2</v>
      </c>
      <c r="W67" s="51">
        <v>22.6</v>
      </c>
      <c r="X67" s="51">
        <v>22.4</v>
      </c>
      <c r="Y67" s="51">
        <v>21.8</v>
      </c>
      <c r="Z67" s="111">
        <v>22</v>
      </c>
      <c r="AA67" s="51">
        <v>21.6</v>
      </c>
      <c r="AB67" s="51">
        <v>22</v>
      </c>
      <c r="AC67" s="51">
        <v>21.2</v>
      </c>
      <c r="AD67" s="51">
        <v>22</v>
      </c>
      <c r="AE67" s="51">
        <v>22</v>
      </c>
      <c r="AF67" s="51">
        <v>22</v>
      </c>
      <c r="AG67" s="51">
        <v>21.2</v>
      </c>
      <c r="AH67" s="51">
        <v>20.399999999999999</v>
      </c>
      <c r="AI67" s="51"/>
      <c r="AJ67" s="51"/>
      <c r="AK67" s="51"/>
      <c r="AL67" s="51"/>
      <c r="AM67" s="51"/>
      <c r="AN67" s="51"/>
      <c r="AO67" s="51"/>
      <c r="AP67" s="88">
        <f t="shared" si="1"/>
        <v>24</v>
      </c>
      <c r="AQ67" s="89">
        <f t="shared" si="2"/>
        <v>21.879166666666666</v>
      </c>
      <c r="AR67" s="89">
        <f>IFERROR(VLOOKUP(A67,Climatologia!A:U,9+$E$2,FALSE),"")</f>
        <v>21.616830208575259</v>
      </c>
      <c r="AS67" s="89">
        <f t="shared" si="3"/>
        <v>0.26233645809140782</v>
      </c>
      <c r="AT67" s="90">
        <f t="shared" si="4"/>
        <v>20.399999999999999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/>
      <c r="L68" s="51">
        <v>23.8</v>
      </c>
      <c r="M68" s="51">
        <v>22.8</v>
      </c>
      <c r="N68" s="51"/>
      <c r="O68" s="51">
        <v>23.5</v>
      </c>
      <c r="P68" s="51">
        <v>24</v>
      </c>
      <c r="Q68" s="51">
        <v>22.8</v>
      </c>
      <c r="R68" s="51">
        <v>22.8</v>
      </c>
      <c r="S68" s="51">
        <v>22.8</v>
      </c>
      <c r="T68" s="51">
        <v>22.2</v>
      </c>
      <c r="U68" s="51">
        <v>23.4</v>
      </c>
      <c r="V68" s="51">
        <v>23</v>
      </c>
      <c r="W68" s="51">
        <v>23</v>
      </c>
      <c r="X68" s="51">
        <v>23.6</v>
      </c>
      <c r="Y68" s="51">
        <v>23.2</v>
      </c>
      <c r="Z68" s="111">
        <v>23.6</v>
      </c>
      <c r="AA68" s="51">
        <v>23.8</v>
      </c>
      <c r="AB68" s="51">
        <v>23</v>
      </c>
      <c r="AC68" s="51">
        <v>22.6</v>
      </c>
      <c r="AD68" s="51"/>
      <c r="AE68" s="51">
        <v>21.6</v>
      </c>
      <c r="AF68" s="51">
        <v>23.6</v>
      </c>
      <c r="AG68" s="51">
        <v>22.8</v>
      </c>
      <c r="AH68" s="51">
        <v>23.2</v>
      </c>
      <c r="AI68" s="51"/>
      <c r="AJ68" s="51"/>
      <c r="AK68" s="51"/>
      <c r="AL68" s="51"/>
      <c r="AM68" s="51"/>
      <c r="AN68" s="51"/>
      <c r="AO68" s="51"/>
      <c r="AP68" s="88">
        <f t="shared" si="1"/>
        <v>21</v>
      </c>
      <c r="AQ68" s="89">
        <f t="shared" si="2"/>
        <v>23.100000000000005</v>
      </c>
      <c r="AR68" s="89">
        <f>IFERROR(VLOOKUP(A68,Climatologia!A:U,9+$E$2,FALSE),"")</f>
        <v>21.45017676250643</v>
      </c>
      <c r="AS68" s="89">
        <f t="shared" si="3"/>
        <v>1.6498232374935746</v>
      </c>
      <c r="AT68" s="90">
        <f t="shared" si="4"/>
        <v>21.6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44107</v>
      </c>
      <c r="AW68" s="92">
        <f t="shared" si="5"/>
        <v>3.6000000000000014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25</v>
      </c>
      <c r="L69" s="51">
        <v>24.3</v>
      </c>
      <c r="M69" s="51">
        <v>24.1</v>
      </c>
      <c r="N69" s="51">
        <v>25</v>
      </c>
      <c r="O69" s="51">
        <v>24.2</v>
      </c>
      <c r="P69" s="51">
        <v>25.1</v>
      </c>
      <c r="Q69" s="51">
        <v>22.3</v>
      </c>
      <c r="R69" s="51">
        <v>23.1</v>
      </c>
      <c r="S69" s="51">
        <v>24.2</v>
      </c>
      <c r="T69" s="51">
        <v>24.2</v>
      </c>
      <c r="U69" s="51">
        <v>24</v>
      </c>
      <c r="V69" s="51">
        <v>24.1</v>
      </c>
      <c r="W69" s="51">
        <v>24.3</v>
      </c>
      <c r="X69" s="51">
        <v>24.1</v>
      </c>
      <c r="Y69" s="51">
        <v>24.1</v>
      </c>
      <c r="Z69" s="111">
        <v>25</v>
      </c>
      <c r="AA69" s="51">
        <v>24.3</v>
      </c>
      <c r="AB69" s="51">
        <v>23</v>
      </c>
      <c r="AC69" s="51">
        <v>24</v>
      </c>
      <c r="AD69" s="51">
        <v>24.2</v>
      </c>
      <c r="AE69" s="51">
        <v>23.4</v>
      </c>
      <c r="AF69" s="51">
        <v>24.2</v>
      </c>
      <c r="AG69" s="51">
        <v>24.1</v>
      </c>
      <c r="AH69" s="51">
        <v>22.3</v>
      </c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24</v>
      </c>
      <c r="AQ69" s="89">
        <f t="shared" ref="AQ69:AQ132" si="7">IF(AP69&gt;14,AVERAGE(K69:AO69),"")</f>
        <v>24.025000000000002</v>
      </c>
      <c r="AR69" s="89">
        <f>IFERROR(VLOOKUP(A69,Climatologia!A:U,9+$E$2,FALSE),"")</f>
        <v>22.754587245087141</v>
      </c>
      <c r="AS69" s="89">
        <f t="shared" ref="AS69:AS132" si="8">IF(OR(AQ69="",AR69=""),"",IFERROR(AQ69-AR69,""))</f>
        <v>1.2704127549128614</v>
      </c>
      <c r="AT69" s="90">
        <f t="shared" ref="AT69:AT132" si="9">IF(COUNT(K69:AO69)=0,"",MIN(K69:AO69))</f>
        <v>22.3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15.2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32429</v>
      </c>
      <c r="AW69" s="92">
        <f t="shared" ref="AW69:AW132" si="10">IF(OR(AT69="",AU69=""),"NA",IFERROR(AT69-AU69,"NA"))</f>
        <v>7.1000000000000014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23.4</v>
      </c>
      <c r="L70" s="51">
        <v>23</v>
      </c>
      <c r="M70" s="51">
        <v>23.2</v>
      </c>
      <c r="N70" s="51">
        <v>22.2</v>
      </c>
      <c r="O70" s="51">
        <v>22.1</v>
      </c>
      <c r="P70" s="51">
        <v>22.4</v>
      </c>
      <c r="Q70" s="51">
        <v>23.2</v>
      </c>
      <c r="R70" s="51">
        <v>23.2</v>
      </c>
      <c r="S70" s="51">
        <v>23.3</v>
      </c>
      <c r="T70" s="51">
        <v>21.4</v>
      </c>
      <c r="U70" s="51">
        <v>23.2</v>
      </c>
      <c r="V70" s="51">
        <v>23.1</v>
      </c>
      <c r="W70" s="51">
        <v>22.3</v>
      </c>
      <c r="X70" s="51">
        <v>23.3</v>
      </c>
      <c r="Y70" s="51">
        <v>22.4</v>
      </c>
      <c r="Z70" s="111">
        <v>23.2</v>
      </c>
      <c r="AA70" s="51">
        <v>23.3</v>
      </c>
      <c r="AB70" s="51">
        <v>23.4</v>
      </c>
      <c r="AC70" s="51">
        <v>23.2</v>
      </c>
      <c r="AD70" s="51">
        <v>23.1</v>
      </c>
      <c r="AE70" s="51">
        <v>23.3</v>
      </c>
      <c r="AF70" s="51">
        <v>22.3</v>
      </c>
      <c r="AG70" s="51">
        <v>22.3</v>
      </c>
      <c r="AH70" s="51">
        <v>23.4</v>
      </c>
      <c r="AI70" s="51"/>
      <c r="AJ70" s="51"/>
      <c r="AK70" s="51"/>
      <c r="AL70" s="51"/>
      <c r="AM70" s="51"/>
      <c r="AN70" s="51"/>
      <c r="AO70" s="51"/>
      <c r="AP70" s="88">
        <f t="shared" si="6"/>
        <v>24</v>
      </c>
      <c r="AQ70" s="89">
        <f t="shared" si="7"/>
        <v>22.883333333333329</v>
      </c>
      <c r="AR70" s="89">
        <f>IFERROR(VLOOKUP(A70,Climatologia!A:U,9+$E$2,FALSE),"")</f>
        <v>21.770503225806451</v>
      </c>
      <c r="AS70" s="89">
        <f t="shared" si="8"/>
        <v>1.1128301075268787</v>
      </c>
      <c r="AT70" s="90">
        <f t="shared" si="9"/>
        <v>21.4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37180</v>
      </c>
      <c r="AW70" s="92">
        <f t="shared" si="10"/>
        <v>3.5999999999999979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24</v>
      </c>
      <c r="L71" s="51">
        <v>22.2</v>
      </c>
      <c r="M71" s="51">
        <v>21</v>
      </c>
      <c r="N71" s="51"/>
      <c r="O71" s="51">
        <v>21.8</v>
      </c>
      <c r="P71" s="51">
        <v>22</v>
      </c>
      <c r="Q71" s="51">
        <v>21.6</v>
      </c>
      <c r="R71" s="51"/>
      <c r="S71" s="51"/>
      <c r="T71" s="51"/>
      <c r="U71" s="51"/>
      <c r="V71" s="51"/>
      <c r="W71" s="51">
        <v>22</v>
      </c>
      <c r="X71" s="51">
        <v>22.1</v>
      </c>
      <c r="Y71" s="51">
        <v>21.4</v>
      </c>
      <c r="Z71" s="111">
        <v>21.6</v>
      </c>
      <c r="AA71" s="51">
        <v>21.6</v>
      </c>
      <c r="AB71" s="51"/>
      <c r="AC71" s="51">
        <v>21.4</v>
      </c>
      <c r="AD71" s="51">
        <v>21.2</v>
      </c>
      <c r="AE71" s="51">
        <v>22</v>
      </c>
      <c r="AF71" s="51">
        <v>21.2</v>
      </c>
      <c r="AG71" s="51">
        <v>21.4</v>
      </c>
      <c r="AH71" s="51">
        <v>22</v>
      </c>
      <c r="AI71" s="51"/>
      <c r="AJ71" s="51"/>
      <c r="AK71" s="51"/>
      <c r="AL71" s="51"/>
      <c r="AM71" s="51"/>
      <c r="AN71" s="51"/>
      <c r="AO71" s="51"/>
      <c r="AP71" s="88">
        <f t="shared" si="6"/>
        <v>17</v>
      </c>
      <c r="AQ71" s="89">
        <f t="shared" si="7"/>
        <v>21.794117647058819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21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18.600000000000001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44864</v>
      </c>
      <c r="AW71" s="92">
        <f t="shared" si="10"/>
        <v>2.3999999999999986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20</v>
      </c>
      <c r="L72" s="51">
        <v>19</v>
      </c>
      <c r="M72" s="51">
        <v>18</v>
      </c>
      <c r="N72" s="51">
        <v>19.2</v>
      </c>
      <c r="O72" s="51">
        <v>18.2</v>
      </c>
      <c r="P72" s="51">
        <v>19.399999999999999</v>
      </c>
      <c r="Q72" s="51">
        <v>20</v>
      </c>
      <c r="R72" s="51">
        <v>19.2</v>
      </c>
      <c r="S72" s="51">
        <v>18.2</v>
      </c>
      <c r="T72" s="51">
        <v>18.2</v>
      </c>
      <c r="U72" s="51">
        <v>18.2</v>
      </c>
      <c r="V72" s="51">
        <v>19</v>
      </c>
      <c r="W72" s="51">
        <v>18.399999999999999</v>
      </c>
      <c r="X72" s="51">
        <v>18.2</v>
      </c>
      <c r="Y72" s="51">
        <v>18.399999999999999</v>
      </c>
      <c r="Z72" s="111">
        <v>20</v>
      </c>
      <c r="AA72" s="51">
        <v>20</v>
      </c>
      <c r="AB72" s="51">
        <v>19</v>
      </c>
      <c r="AC72" s="51">
        <v>19</v>
      </c>
      <c r="AD72" s="51">
        <v>19</v>
      </c>
      <c r="AE72" s="51">
        <v>20</v>
      </c>
      <c r="AF72" s="51">
        <v>18.2</v>
      </c>
      <c r="AG72" s="51">
        <v>18.2</v>
      </c>
      <c r="AH72" s="51">
        <v>18.2</v>
      </c>
      <c r="AI72" s="51"/>
      <c r="AJ72" s="51"/>
      <c r="AK72" s="51"/>
      <c r="AL72" s="51"/>
      <c r="AM72" s="51"/>
      <c r="AN72" s="51"/>
      <c r="AO72" s="51"/>
      <c r="AP72" s="88">
        <f t="shared" si="6"/>
        <v>24</v>
      </c>
      <c r="AQ72" s="89">
        <f t="shared" si="7"/>
        <v>18.883333333333329</v>
      </c>
      <c r="AR72" s="89">
        <f>IFERROR(VLOOKUP(A72,Climatologia!A:U,9+$E$2,FALSE),"")</f>
        <v>17.29926947890819</v>
      </c>
      <c r="AS72" s="89">
        <f t="shared" si="8"/>
        <v>1.5840638544251391</v>
      </c>
      <c r="AT72" s="90">
        <f t="shared" si="9"/>
        <v>18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15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40100</v>
      </c>
      <c r="AW72" s="92">
        <f t="shared" si="10"/>
        <v>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14.2</v>
      </c>
      <c r="L73" s="51">
        <v>13.3</v>
      </c>
      <c r="M73" s="51">
        <v>11.4</v>
      </c>
      <c r="N73" s="51">
        <v>12</v>
      </c>
      <c r="O73" s="51">
        <v>11.8</v>
      </c>
      <c r="P73" s="51">
        <v>13</v>
      </c>
      <c r="Q73" s="51"/>
      <c r="R73" s="51"/>
      <c r="S73" s="51">
        <v>12.2</v>
      </c>
      <c r="T73" s="51">
        <v>12</v>
      </c>
      <c r="U73" s="51">
        <v>12.4</v>
      </c>
      <c r="V73" s="51">
        <v>13</v>
      </c>
      <c r="W73" s="51">
        <v>12.2</v>
      </c>
      <c r="X73" s="51">
        <v>11</v>
      </c>
      <c r="Y73" s="51">
        <v>11</v>
      </c>
      <c r="Z73" s="111">
        <v>14.4</v>
      </c>
      <c r="AA73" s="51">
        <v>13</v>
      </c>
      <c r="AB73" s="51">
        <v>13.4</v>
      </c>
      <c r="AC73" s="51">
        <v>12.6</v>
      </c>
      <c r="AD73" s="51">
        <v>13.2</v>
      </c>
      <c r="AE73" s="51">
        <v>14.2</v>
      </c>
      <c r="AF73" s="51">
        <v>12.2</v>
      </c>
      <c r="AG73" s="51">
        <v>12.4</v>
      </c>
      <c r="AH73" s="51">
        <v>13</v>
      </c>
      <c r="AI73" s="51"/>
      <c r="AJ73" s="51"/>
      <c r="AK73" s="51"/>
      <c r="AL73" s="51"/>
      <c r="AM73" s="51"/>
      <c r="AN73" s="51"/>
      <c r="AO73" s="51"/>
      <c r="AP73" s="88">
        <f t="shared" si="6"/>
        <v>22</v>
      </c>
      <c r="AQ73" s="89">
        <f t="shared" si="7"/>
        <v>12.631818181818181</v>
      </c>
      <c r="AR73" s="89">
        <f>IFERROR(VLOOKUP(A73,Climatologia!A:U,9+$E$2,FALSE),"")</f>
        <v>11.853828043554991</v>
      </c>
      <c r="AS73" s="89">
        <f t="shared" si="8"/>
        <v>0.77799013826319019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7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34271</v>
      </c>
      <c r="AW73" s="92">
        <f t="shared" si="10"/>
        <v>4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16.8</v>
      </c>
      <c r="L74" s="51">
        <v>17.8</v>
      </c>
      <c r="M74" s="51">
        <v>16.2</v>
      </c>
      <c r="N74" s="51">
        <v>16.8</v>
      </c>
      <c r="O74" s="51">
        <v>14.2</v>
      </c>
      <c r="P74" s="51">
        <v>16.2</v>
      </c>
      <c r="Q74" s="51">
        <v>17</v>
      </c>
      <c r="R74" s="51">
        <v>17</v>
      </c>
      <c r="S74" s="51">
        <v>14.2</v>
      </c>
      <c r="T74" s="51">
        <v>15</v>
      </c>
      <c r="U74" s="51">
        <v>15.2</v>
      </c>
      <c r="V74" s="51">
        <v>16.8</v>
      </c>
      <c r="W74" s="51">
        <v>17</v>
      </c>
      <c r="X74" s="51">
        <v>18</v>
      </c>
      <c r="Y74" s="51">
        <v>16.8</v>
      </c>
      <c r="Z74" s="111">
        <v>18</v>
      </c>
      <c r="AA74" s="51">
        <v>17</v>
      </c>
      <c r="AB74" s="51">
        <v>15</v>
      </c>
      <c r="AC74" s="51">
        <v>16</v>
      </c>
      <c r="AD74" s="51">
        <v>17.2</v>
      </c>
      <c r="AE74" s="51">
        <v>16.8</v>
      </c>
      <c r="AF74" s="51">
        <v>16.2</v>
      </c>
      <c r="AG74" s="51">
        <v>16</v>
      </c>
      <c r="AH74" s="51">
        <v>16.2</v>
      </c>
      <c r="AI74" s="51"/>
      <c r="AJ74" s="51"/>
      <c r="AK74" s="51"/>
      <c r="AL74" s="51"/>
      <c r="AM74" s="51"/>
      <c r="AN74" s="51"/>
      <c r="AO74" s="51"/>
      <c r="AP74" s="88">
        <f t="shared" si="6"/>
        <v>24</v>
      </c>
      <c r="AQ74" s="89">
        <f t="shared" si="7"/>
        <v>16.391666666666666</v>
      </c>
      <c r="AR74" s="89">
        <f>IFERROR(VLOOKUP(A74,Climatologia!A:U,9+$E$2,FALSE),"")</f>
        <v>16.083376302838008</v>
      </c>
      <c r="AS74" s="89">
        <f t="shared" si="8"/>
        <v>0.30829036382865738</v>
      </c>
      <c r="AT74" s="90">
        <f t="shared" si="9"/>
        <v>14.2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30984</v>
      </c>
      <c r="AW74" s="92">
        <f t="shared" si="10"/>
        <v>3.1999999999999993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/>
      <c r="L75" s="51"/>
      <c r="M75" s="51"/>
      <c r="N75" s="51"/>
      <c r="O75" s="51"/>
      <c r="P75" s="51"/>
      <c r="Q75" s="51">
        <v>19.8</v>
      </c>
      <c r="R75" s="51">
        <v>19</v>
      </c>
      <c r="S75" s="51">
        <v>19.399999999999999</v>
      </c>
      <c r="T75" s="51">
        <v>19.600000000000001</v>
      </c>
      <c r="U75" s="51">
        <v>20</v>
      </c>
      <c r="V75" s="51">
        <v>20.2</v>
      </c>
      <c r="W75" s="51">
        <v>18.600000000000001</v>
      </c>
      <c r="X75" s="51">
        <v>19</v>
      </c>
      <c r="Y75" s="51">
        <v>19.399999999999999</v>
      </c>
      <c r="Z75" s="111">
        <v>20.6</v>
      </c>
      <c r="AA75" s="51">
        <v>20.6</v>
      </c>
      <c r="AB75" s="51">
        <v>20.399999999999999</v>
      </c>
      <c r="AC75" s="51">
        <v>20</v>
      </c>
      <c r="AD75" s="51">
        <v>21.2</v>
      </c>
      <c r="AE75" s="51">
        <v>20</v>
      </c>
      <c r="AF75" s="51">
        <v>19.2</v>
      </c>
      <c r="AG75" s="51">
        <v>20.2</v>
      </c>
      <c r="AH75" s="51">
        <v>21</v>
      </c>
      <c r="AI75" s="51"/>
      <c r="AJ75" s="51"/>
      <c r="AK75" s="51"/>
      <c r="AL75" s="116"/>
      <c r="AM75" s="51"/>
      <c r="AN75" s="51"/>
      <c r="AO75" s="51"/>
      <c r="AP75" s="88">
        <f t="shared" si="6"/>
        <v>18</v>
      </c>
      <c r="AQ75" s="89">
        <f t="shared" si="7"/>
        <v>19.899999999999999</v>
      </c>
      <c r="AR75" s="89">
        <f>IFERROR(VLOOKUP(A75,Climatologia!A:U,9+$E$2,FALSE),"")</f>
        <v>18.473899131646231</v>
      </c>
      <c r="AS75" s="89">
        <f t="shared" si="8"/>
        <v>1.4261008683537675</v>
      </c>
      <c r="AT75" s="90">
        <f t="shared" si="9"/>
        <v>18.600000000000001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36464</v>
      </c>
      <c r="AW75" s="92">
        <f t="shared" si="10"/>
        <v>4.0000000000000018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23.6</v>
      </c>
      <c r="L76" s="51">
        <v>25.2</v>
      </c>
      <c r="M76" s="51">
        <v>24</v>
      </c>
      <c r="N76" s="51">
        <v>26.4</v>
      </c>
      <c r="O76" s="51">
        <v>24.8</v>
      </c>
      <c r="P76" s="51">
        <v>26.4</v>
      </c>
      <c r="Q76" s="51">
        <v>25.2</v>
      </c>
      <c r="R76" s="51">
        <v>26</v>
      </c>
      <c r="S76" s="51">
        <v>26.4</v>
      </c>
      <c r="T76" s="51">
        <v>23.6</v>
      </c>
      <c r="U76" s="51">
        <v>24.8</v>
      </c>
      <c r="V76" s="51">
        <v>25.8</v>
      </c>
      <c r="W76" s="51">
        <v>25</v>
      </c>
      <c r="X76" s="51">
        <v>24.2</v>
      </c>
      <c r="Y76" s="51">
        <v>25.2</v>
      </c>
      <c r="Z76" s="111">
        <v>26.2</v>
      </c>
      <c r="AA76" s="51">
        <v>25.6</v>
      </c>
      <c r="AB76" s="51">
        <v>26.2</v>
      </c>
      <c r="AC76" s="51">
        <v>24.2</v>
      </c>
      <c r="AD76" s="51">
        <v>26.8</v>
      </c>
      <c r="AE76" s="51">
        <v>25.4</v>
      </c>
      <c r="AF76" s="51">
        <v>23.6</v>
      </c>
      <c r="AG76" s="51">
        <v>26.2</v>
      </c>
      <c r="AH76" s="51">
        <v>27</v>
      </c>
      <c r="AI76" s="51"/>
      <c r="AJ76" s="51"/>
      <c r="AK76" s="51"/>
      <c r="AL76" s="51"/>
      <c r="AM76" s="51"/>
      <c r="AN76" s="51"/>
      <c r="AO76" s="51"/>
      <c r="AP76" s="88">
        <f t="shared" si="6"/>
        <v>24</v>
      </c>
      <c r="AQ76" s="89">
        <f t="shared" si="7"/>
        <v>25.325000000000003</v>
      </c>
      <c r="AR76" s="89">
        <f>IFERROR(VLOOKUP(A76,Climatologia!A:U,9+$E$2,FALSE),"")</f>
        <v>23.619788852153011</v>
      </c>
      <c r="AS76" s="89">
        <f t="shared" si="8"/>
        <v>1.7052111478469918</v>
      </c>
      <c r="AT76" s="90">
        <f t="shared" si="9"/>
        <v>23.6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17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29503</v>
      </c>
      <c r="AW76" s="92">
        <f t="shared" si="10"/>
        <v>6.6000000000000014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22.8</v>
      </c>
      <c r="L77" s="51">
        <v>23.2</v>
      </c>
      <c r="M77" s="51">
        <v>23.6</v>
      </c>
      <c r="N77" s="51"/>
      <c r="O77" s="51">
        <v>24.6</v>
      </c>
      <c r="P77" s="51">
        <v>25.4</v>
      </c>
      <c r="Q77" s="51">
        <v>26</v>
      </c>
      <c r="R77" s="51">
        <v>25</v>
      </c>
      <c r="S77" s="51">
        <v>26</v>
      </c>
      <c r="T77" s="51">
        <v>24.2</v>
      </c>
      <c r="U77" s="51">
        <v>23.8</v>
      </c>
      <c r="V77" s="51">
        <v>25</v>
      </c>
      <c r="W77" s="51">
        <v>24.6</v>
      </c>
      <c r="X77" s="51">
        <v>23.8</v>
      </c>
      <c r="Y77" s="51">
        <v>24.8</v>
      </c>
      <c r="Z77" s="111">
        <v>26.4</v>
      </c>
      <c r="AA77" s="51">
        <v>25.2</v>
      </c>
      <c r="AB77" s="51">
        <v>23.4</v>
      </c>
      <c r="AC77" s="51">
        <v>23.4</v>
      </c>
      <c r="AD77" s="51">
        <v>26.2</v>
      </c>
      <c r="AE77" s="51">
        <v>24.6</v>
      </c>
      <c r="AF77" s="51">
        <v>24</v>
      </c>
      <c r="AG77" s="51">
        <v>26.4</v>
      </c>
      <c r="AH77" s="51">
        <v>26.8</v>
      </c>
      <c r="AI77" s="51"/>
      <c r="AJ77" s="51"/>
      <c r="AK77" s="51"/>
      <c r="AL77" s="51"/>
      <c r="AM77" s="51"/>
      <c r="AN77" s="51"/>
      <c r="AO77" s="51"/>
      <c r="AP77" s="88">
        <f t="shared" si="6"/>
        <v>23</v>
      </c>
      <c r="AQ77" s="89">
        <f t="shared" si="7"/>
        <v>24.747826086956518</v>
      </c>
      <c r="AR77" s="89">
        <f>IFERROR(VLOOKUP(A77,Climatologia!A:U,9+$E$2,FALSE),"")</f>
        <v>23.008941552526402</v>
      </c>
      <c r="AS77" s="89">
        <f t="shared" si="8"/>
        <v>1.7388845344301167</v>
      </c>
      <c r="AT77" s="90">
        <f t="shared" si="9"/>
        <v>22.8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30250</v>
      </c>
      <c r="AW77" s="92">
        <f t="shared" si="10"/>
        <v>5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16.399999999999999</v>
      </c>
      <c r="L78" s="51">
        <v>15.8</v>
      </c>
      <c r="M78" s="51">
        <v>14.4</v>
      </c>
      <c r="N78" s="51">
        <v>16.2</v>
      </c>
      <c r="O78" s="51">
        <v>15</v>
      </c>
      <c r="P78" s="51">
        <v>15.8</v>
      </c>
      <c r="Q78" s="51">
        <v>15.6</v>
      </c>
      <c r="R78" s="51">
        <v>16.2</v>
      </c>
      <c r="S78" s="51">
        <v>15.2</v>
      </c>
      <c r="T78" s="51">
        <v>16</v>
      </c>
      <c r="U78" s="51">
        <v>14.6</v>
      </c>
      <c r="V78" s="51">
        <v>15.6</v>
      </c>
      <c r="W78" s="51">
        <v>16</v>
      </c>
      <c r="X78" s="51">
        <v>15.8</v>
      </c>
      <c r="Y78" s="51">
        <v>16</v>
      </c>
      <c r="Z78" s="111">
        <v>15.2</v>
      </c>
      <c r="AA78" s="51">
        <v>15</v>
      </c>
      <c r="AB78" s="51">
        <v>15.8</v>
      </c>
      <c r="AC78" s="51">
        <v>13.6</v>
      </c>
      <c r="AD78" s="51">
        <v>15</v>
      </c>
      <c r="AE78" s="51">
        <v>15.4</v>
      </c>
      <c r="AF78" s="51">
        <v>15</v>
      </c>
      <c r="AG78" s="51">
        <v>18</v>
      </c>
      <c r="AH78" s="51">
        <v>16</v>
      </c>
      <c r="AI78" s="51"/>
      <c r="AJ78" s="51"/>
      <c r="AK78" s="51"/>
      <c r="AL78" s="51"/>
      <c r="AM78" s="51"/>
      <c r="AN78" s="51"/>
      <c r="AO78" s="51"/>
      <c r="AP78" s="88">
        <f t="shared" si="6"/>
        <v>24</v>
      </c>
      <c r="AQ78" s="89">
        <f t="shared" si="7"/>
        <v>15.566666666666665</v>
      </c>
      <c r="AR78" s="89">
        <f>IFERROR(VLOOKUP(A78,Climatologia!A:U,9+$E$2,FALSE),"")</f>
        <v>16.094530495829719</v>
      </c>
      <c r="AS78" s="89">
        <f t="shared" si="8"/>
        <v>-0.52786382916305463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>
        <v>23.2</v>
      </c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</v>
      </c>
      <c r="AQ79" s="89" t="str">
        <f t="shared" si="7"/>
        <v/>
      </c>
      <c r="AR79" s="89">
        <f>IFERROR(VLOOKUP(A79,Climatologia!A:U,9+$E$2,FALSE),"")</f>
        <v>21.19008648005746</v>
      </c>
      <c r="AS79" s="89" t="str">
        <f t="shared" si="8"/>
        <v/>
      </c>
      <c r="AT79" s="90">
        <f t="shared" si="9"/>
        <v>23.2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17.399999999999999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29145</v>
      </c>
      <c r="AW79" s="92">
        <f t="shared" si="10"/>
        <v>5.8000000000000007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25</v>
      </c>
      <c r="L80" s="51">
        <v>23.4</v>
      </c>
      <c r="M80" s="51">
        <v>21.2</v>
      </c>
      <c r="N80" s="51">
        <v>22.4</v>
      </c>
      <c r="O80" s="51">
        <v>24</v>
      </c>
      <c r="P80" s="51">
        <v>24</v>
      </c>
      <c r="Q80" s="51">
        <v>23.4</v>
      </c>
      <c r="R80" s="51">
        <v>23.4</v>
      </c>
      <c r="S80" s="51">
        <v>22.2</v>
      </c>
      <c r="T80" s="51">
        <v>23.4</v>
      </c>
      <c r="U80" s="51">
        <v>23.2</v>
      </c>
      <c r="V80" s="51">
        <v>23.6</v>
      </c>
      <c r="W80" s="51">
        <v>23.2</v>
      </c>
      <c r="X80" s="51">
        <v>23.6</v>
      </c>
      <c r="Y80" s="51">
        <v>24</v>
      </c>
      <c r="Z80" s="111">
        <v>24</v>
      </c>
      <c r="AA80" s="51"/>
      <c r="AB80" s="51">
        <v>24.4</v>
      </c>
      <c r="AC80" s="51">
        <v>23.8</v>
      </c>
      <c r="AD80" s="51">
        <v>24.4</v>
      </c>
      <c r="AE80" s="51">
        <v>22.4</v>
      </c>
      <c r="AF80" s="51">
        <v>22.8</v>
      </c>
      <c r="AG80" s="51">
        <v>23.2</v>
      </c>
      <c r="AH80" s="51">
        <v>23.4</v>
      </c>
      <c r="AI80" s="51"/>
      <c r="AJ80" s="51"/>
      <c r="AK80" s="51"/>
      <c r="AL80" s="51"/>
      <c r="AM80" s="51"/>
      <c r="AN80" s="51"/>
      <c r="AO80" s="51"/>
      <c r="AP80" s="88">
        <f t="shared" si="6"/>
        <v>23</v>
      </c>
      <c r="AQ80" s="89">
        <f t="shared" si="7"/>
        <v>23.408695652173911</v>
      </c>
      <c r="AR80" s="89">
        <f>IFERROR(VLOOKUP(A80,Climatologia!A:U,9+$E$2,FALSE),"")</f>
        <v>22.375162422136839</v>
      </c>
      <c r="AS80" s="89">
        <f t="shared" si="8"/>
        <v>1.0335332300370723</v>
      </c>
      <c r="AT80" s="90">
        <f t="shared" si="9"/>
        <v>21.2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19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30614</v>
      </c>
      <c r="AW80" s="92">
        <f t="shared" si="10"/>
        <v>2.1999999999999993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19.2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31347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28.4</v>
      </c>
      <c r="L82" s="51"/>
      <c r="M82" s="51">
        <v>28.4</v>
      </c>
      <c r="N82" s="51">
        <v>27</v>
      </c>
      <c r="O82" s="51">
        <v>28.6</v>
      </c>
      <c r="P82" s="51">
        <v>28.8</v>
      </c>
      <c r="Q82" s="51">
        <v>28.6</v>
      </c>
      <c r="R82" s="51">
        <v>27.6</v>
      </c>
      <c r="S82" s="51">
        <v>28</v>
      </c>
      <c r="T82" s="51">
        <v>28.2</v>
      </c>
      <c r="U82" s="51">
        <v>28.2</v>
      </c>
      <c r="V82" s="51">
        <v>27.8</v>
      </c>
      <c r="W82" s="51">
        <v>26.8</v>
      </c>
      <c r="X82" s="51">
        <v>24.6</v>
      </c>
      <c r="Y82" s="51">
        <v>27.2</v>
      </c>
      <c r="Z82" s="111">
        <v>28.4</v>
      </c>
      <c r="AA82" s="51">
        <v>28.6</v>
      </c>
      <c r="AB82" s="51">
        <v>28.2</v>
      </c>
      <c r="AC82" s="51">
        <v>26.8</v>
      </c>
      <c r="AD82" s="51">
        <v>28.4</v>
      </c>
      <c r="AE82" s="51">
        <v>29</v>
      </c>
      <c r="AF82" s="51">
        <v>24.6</v>
      </c>
      <c r="AG82" s="51">
        <v>26.4</v>
      </c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22</v>
      </c>
      <c r="AQ82" s="89">
        <f t="shared" si="7"/>
        <v>27.663636363636364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24.6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31700</v>
      </c>
      <c r="AW82" s="92">
        <f t="shared" si="10"/>
        <v>6.6000000000000014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27.2</v>
      </c>
      <c r="L83" s="51">
        <v>27</v>
      </c>
      <c r="M83" s="51">
        <v>25</v>
      </c>
      <c r="N83" s="51">
        <v>22.8</v>
      </c>
      <c r="O83" s="51">
        <v>27</v>
      </c>
      <c r="P83" s="51">
        <v>27.2</v>
      </c>
      <c r="Q83" s="51">
        <v>26.4</v>
      </c>
      <c r="R83" s="51">
        <v>24.8</v>
      </c>
      <c r="S83" s="51">
        <v>25.8</v>
      </c>
      <c r="T83" s="51">
        <v>25.6</v>
      </c>
      <c r="U83" s="51">
        <v>25.4</v>
      </c>
      <c r="V83" s="51">
        <v>26.6</v>
      </c>
      <c r="W83" s="51">
        <v>24.2</v>
      </c>
      <c r="X83" s="51">
        <v>23.6</v>
      </c>
      <c r="Y83" s="51">
        <v>26</v>
      </c>
      <c r="Z83" s="111">
        <v>27.4</v>
      </c>
      <c r="AA83" s="51">
        <v>26.8</v>
      </c>
      <c r="AB83" s="51">
        <v>24.2</v>
      </c>
      <c r="AC83" s="51">
        <v>25.6</v>
      </c>
      <c r="AD83" s="51">
        <v>26.2</v>
      </c>
      <c r="AE83" s="51">
        <v>23</v>
      </c>
      <c r="AF83" s="51">
        <v>24.8</v>
      </c>
      <c r="AG83" s="51">
        <v>25.4</v>
      </c>
      <c r="AH83" s="51">
        <v>25.2</v>
      </c>
      <c r="AI83" s="51"/>
      <c r="AJ83" s="51"/>
      <c r="AK83" s="51"/>
      <c r="AL83" s="51"/>
      <c r="AM83" s="51"/>
      <c r="AN83" s="51"/>
      <c r="AO83" s="51"/>
      <c r="AP83" s="88">
        <f t="shared" si="6"/>
        <v>24</v>
      </c>
      <c r="AQ83" s="89">
        <f t="shared" si="7"/>
        <v>25.55</v>
      </c>
      <c r="AR83" s="89">
        <f>IFERROR(VLOOKUP(A83,Climatologia!A:U,9+$E$2,FALSE),"")</f>
        <v>22.435866459028549</v>
      </c>
      <c r="AS83" s="89">
        <f t="shared" si="8"/>
        <v>3.1141335409714515</v>
      </c>
      <c r="AT83" s="90">
        <f t="shared" si="9"/>
        <v>22.8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33518</v>
      </c>
      <c r="AW83" s="92">
        <f t="shared" si="10"/>
        <v>7.6000000000000014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/>
      <c r="L84" s="51"/>
      <c r="M84" s="51"/>
      <c r="N84" s="51"/>
      <c r="O84" s="51"/>
      <c r="P84" s="51"/>
      <c r="Q84" s="51"/>
      <c r="R84" s="51"/>
      <c r="S84" s="51">
        <v>25.8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>
        <v>26.2</v>
      </c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</v>
      </c>
      <c r="AQ84" s="89" t="str">
        <f t="shared" si="7"/>
        <v/>
      </c>
      <c r="AR84" s="89">
        <f>IFERROR(VLOOKUP(A84,Climatologia!A:U,9+$E$2,FALSE),"")</f>
        <v>23.090862724164712</v>
      </c>
      <c r="AS84" s="89" t="str">
        <f t="shared" si="8"/>
        <v/>
      </c>
      <c r="AT84" s="90">
        <f t="shared" si="9"/>
        <v>25.8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19.399999999999999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40839</v>
      </c>
      <c r="AW84" s="92">
        <f t="shared" si="10"/>
        <v>6.4000000000000021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20.8</v>
      </c>
      <c r="L85" s="51">
        <v>22</v>
      </c>
      <c r="M85" s="51">
        <v>21.6</v>
      </c>
      <c r="N85" s="51">
        <v>20.6</v>
      </c>
      <c r="O85" s="51">
        <v>21.4</v>
      </c>
      <c r="P85" s="51">
        <v>20.8</v>
      </c>
      <c r="Q85" s="51">
        <v>21</v>
      </c>
      <c r="R85" s="51">
        <v>19.8</v>
      </c>
      <c r="S85" s="51">
        <v>20</v>
      </c>
      <c r="T85" s="51">
        <v>22.2</v>
      </c>
      <c r="U85" s="51">
        <v>21.8</v>
      </c>
      <c r="V85" s="51">
        <v>21</v>
      </c>
      <c r="W85" s="51">
        <v>19</v>
      </c>
      <c r="X85" s="51">
        <v>19.399999999999999</v>
      </c>
      <c r="Y85" s="51">
        <v>19.2</v>
      </c>
      <c r="Z85" s="111">
        <v>24.4</v>
      </c>
      <c r="AA85" s="51">
        <v>21.6</v>
      </c>
      <c r="AB85" s="51">
        <v>20.8</v>
      </c>
      <c r="AC85" s="51">
        <v>20.6</v>
      </c>
      <c r="AD85" s="51">
        <v>21.4</v>
      </c>
      <c r="AE85" s="51">
        <v>20.6</v>
      </c>
      <c r="AF85" s="51">
        <v>20.399999999999999</v>
      </c>
      <c r="AG85" s="51">
        <v>21.6</v>
      </c>
      <c r="AH85" s="51">
        <v>21.4</v>
      </c>
      <c r="AI85" s="51"/>
      <c r="AJ85" s="51"/>
      <c r="AK85" s="51"/>
      <c r="AL85" s="51"/>
      <c r="AM85" s="51"/>
      <c r="AN85" s="51"/>
      <c r="AO85" s="51"/>
      <c r="AP85" s="88">
        <f t="shared" si="6"/>
        <v>24</v>
      </c>
      <c r="AQ85" s="89">
        <f t="shared" si="7"/>
        <v>20.974999999999998</v>
      </c>
      <c r="AR85" s="89">
        <f>IFERROR(VLOOKUP(A85,Climatologia!A:U,9+$E$2,FALSE),"")</f>
        <v>22.13913594470046</v>
      </c>
      <c r="AS85" s="89">
        <f t="shared" si="8"/>
        <v>-1.1641359447004618</v>
      </c>
      <c r="AT85" s="90">
        <f t="shared" si="9"/>
        <v>19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16.399999999999999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33171</v>
      </c>
      <c r="AW85" s="92">
        <f t="shared" si="10"/>
        <v>2.6000000000000014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24.2</v>
      </c>
      <c r="L86" s="51">
        <v>25.4</v>
      </c>
      <c r="M86" s="51">
        <v>25.6</v>
      </c>
      <c r="N86" s="51">
        <v>25.4</v>
      </c>
      <c r="O86" s="51">
        <v>25.6</v>
      </c>
      <c r="P86" s="51">
        <v>24.8</v>
      </c>
      <c r="Q86" s="51">
        <v>23.6</v>
      </c>
      <c r="R86" s="51">
        <v>23.8</v>
      </c>
      <c r="S86" s="51">
        <v>25</v>
      </c>
      <c r="T86" s="51">
        <v>25.6</v>
      </c>
      <c r="U86" s="51">
        <v>24.4</v>
      </c>
      <c r="V86" s="51">
        <v>25.6</v>
      </c>
      <c r="W86" s="51">
        <v>23.8</v>
      </c>
      <c r="X86" s="51">
        <v>23.6</v>
      </c>
      <c r="Y86" s="51">
        <v>23.6</v>
      </c>
      <c r="Z86" s="111">
        <v>24.8</v>
      </c>
      <c r="AA86" s="51">
        <v>23.8</v>
      </c>
      <c r="AB86" s="51">
        <v>24.6</v>
      </c>
      <c r="AC86" s="51">
        <v>24.2</v>
      </c>
      <c r="AD86" s="51">
        <v>24.2</v>
      </c>
      <c r="AE86" s="51">
        <v>24.4</v>
      </c>
      <c r="AF86" s="51">
        <v>23.8</v>
      </c>
      <c r="AG86" s="51">
        <v>24.6</v>
      </c>
      <c r="AH86" s="51">
        <v>25</v>
      </c>
      <c r="AI86" s="51"/>
      <c r="AJ86" s="51"/>
      <c r="AK86" s="51"/>
      <c r="AL86" s="51"/>
      <c r="AM86" s="51"/>
      <c r="AN86" s="51"/>
      <c r="AO86" s="51"/>
      <c r="AP86" s="88">
        <f t="shared" si="6"/>
        <v>24</v>
      </c>
      <c r="AQ86" s="89">
        <f t="shared" si="7"/>
        <v>24.558333333333337</v>
      </c>
      <c r="AR86" s="89">
        <f>IFERROR(VLOOKUP(A86,Climatologia!A:U,9+$E$2,FALSE),"")</f>
        <v>23.145101562582759</v>
      </c>
      <c r="AS86" s="89">
        <f t="shared" si="8"/>
        <v>1.4132317707505777</v>
      </c>
      <c r="AT86" s="90">
        <f t="shared" si="9"/>
        <v>23.6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19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42650</v>
      </c>
      <c r="AW86" s="92">
        <f t="shared" si="10"/>
        <v>4.6000000000000014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23.6</v>
      </c>
      <c r="L87" s="51">
        <v>25.4</v>
      </c>
      <c r="M87" s="51"/>
      <c r="N87" s="51"/>
      <c r="O87" s="51">
        <v>26</v>
      </c>
      <c r="P87" s="51">
        <v>24.4</v>
      </c>
      <c r="Q87" s="51">
        <v>24.2</v>
      </c>
      <c r="R87" s="51">
        <v>23.4</v>
      </c>
      <c r="S87" s="51">
        <v>24.4</v>
      </c>
      <c r="T87" s="51">
        <v>26</v>
      </c>
      <c r="U87" s="51">
        <v>25</v>
      </c>
      <c r="V87" s="51">
        <v>24</v>
      </c>
      <c r="W87" s="51">
        <v>22.8</v>
      </c>
      <c r="X87" s="51">
        <v>23.4</v>
      </c>
      <c r="Y87" s="51">
        <v>23</v>
      </c>
      <c r="Z87" s="111">
        <v>26.4</v>
      </c>
      <c r="AA87" s="51">
        <v>24.4</v>
      </c>
      <c r="AB87" s="51">
        <v>24</v>
      </c>
      <c r="AC87" s="51">
        <v>23</v>
      </c>
      <c r="AD87" s="51">
        <v>23.4</v>
      </c>
      <c r="AE87" s="51">
        <v>24</v>
      </c>
      <c r="AF87" s="51">
        <v>24.6</v>
      </c>
      <c r="AG87" s="51">
        <v>24.4</v>
      </c>
      <c r="AH87" s="51">
        <v>24.8</v>
      </c>
      <c r="AI87" s="51"/>
      <c r="AJ87" s="51"/>
      <c r="AK87" s="51"/>
      <c r="AL87" s="51"/>
      <c r="AM87" s="51"/>
      <c r="AN87" s="51"/>
      <c r="AO87" s="51"/>
      <c r="AP87" s="88">
        <f t="shared" si="6"/>
        <v>22</v>
      </c>
      <c r="AQ87" s="89">
        <f t="shared" si="7"/>
        <v>24.299999999999997</v>
      </c>
      <c r="AR87" s="89">
        <f>IFERROR(VLOOKUP(A87,Climatologia!A:U,9+$E$2,FALSE),"")</f>
        <v>22.600227318102728</v>
      </c>
      <c r="AS87" s="89">
        <f t="shared" si="8"/>
        <v>1.6997726818972687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29513</v>
      </c>
      <c r="AW87" s="92">
        <f t="shared" si="10"/>
        <v>5.6000000000000014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24.4</v>
      </c>
      <c r="L88" s="116">
        <v>26.2</v>
      </c>
      <c r="M88" s="116">
        <v>25.6</v>
      </c>
      <c r="N88" s="116">
        <v>24.2</v>
      </c>
      <c r="O88" s="116">
        <v>26</v>
      </c>
      <c r="P88" s="116">
        <v>25</v>
      </c>
      <c r="Q88" s="116">
        <v>23.6</v>
      </c>
      <c r="R88" s="116">
        <v>25</v>
      </c>
      <c r="S88" s="116">
        <v>25.8</v>
      </c>
      <c r="T88" s="116">
        <v>22.2</v>
      </c>
      <c r="U88" s="116">
        <v>25.4</v>
      </c>
      <c r="V88" s="116">
        <v>25.4</v>
      </c>
      <c r="W88" s="116">
        <v>25.6</v>
      </c>
      <c r="X88" s="116">
        <v>25.6</v>
      </c>
      <c r="Y88" s="116">
        <v>23.8</v>
      </c>
      <c r="Z88" s="117"/>
      <c r="AA88" s="116">
        <v>25</v>
      </c>
      <c r="AB88" s="116">
        <v>25.4</v>
      </c>
      <c r="AC88" s="116">
        <v>24.8</v>
      </c>
      <c r="AD88" s="116">
        <v>24.8</v>
      </c>
      <c r="AE88" s="116">
        <v>23.4</v>
      </c>
      <c r="AF88" s="116">
        <v>25</v>
      </c>
      <c r="AG88" s="116">
        <v>26</v>
      </c>
      <c r="AH88" s="116">
        <v>25</v>
      </c>
      <c r="AI88" s="116"/>
      <c r="AJ88" s="116"/>
      <c r="AK88" s="116"/>
      <c r="AL88" s="116"/>
      <c r="AM88" s="116"/>
      <c r="AN88" s="116"/>
      <c r="AO88" s="116"/>
      <c r="AP88" s="88">
        <f t="shared" si="6"/>
        <v>23</v>
      </c>
      <c r="AQ88" s="89">
        <f t="shared" si="7"/>
        <v>24.921739130434784</v>
      </c>
      <c r="AR88" s="89">
        <f>IFERROR(VLOOKUP(A88,Climatologia!A:U,9+$E$2,FALSE),"")</f>
        <v>22.571747311827949</v>
      </c>
      <c r="AS88" s="89">
        <f t="shared" si="8"/>
        <v>2.3499918186068349</v>
      </c>
      <c r="AT88" s="90">
        <f t="shared" si="9"/>
        <v>22.2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16.600000000000001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88" s="92">
        <f t="shared" si="10"/>
        <v>5.5999999999999979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13.6</v>
      </c>
      <c r="L89" s="51">
        <v>12.2</v>
      </c>
      <c r="M89" s="51">
        <v>13.4</v>
      </c>
      <c r="N89" s="51">
        <v>13</v>
      </c>
      <c r="O89" s="51">
        <v>12.8</v>
      </c>
      <c r="P89" s="51">
        <v>14</v>
      </c>
      <c r="Q89" s="51">
        <v>13</v>
      </c>
      <c r="R89" s="51">
        <v>13.2</v>
      </c>
      <c r="S89" s="51">
        <v>12.8</v>
      </c>
      <c r="T89" s="51">
        <v>12.4</v>
      </c>
      <c r="U89" s="51">
        <v>11.6</v>
      </c>
      <c r="V89" s="51">
        <v>14</v>
      </c>
      <c r="W89" s="51">
        <v>13.2</v>
      </c>
      <c r="X89" s="51">
        <v>12.8</v>
      </c>
      <c r="Y89" s="51">
        <v>13</v>
      </c>
      <c r="Z89" s="111">
        <v>12.2</v>
      </c>
      <c r="AA89" s="51"/>
      <c r="AB89" s="51">
        <v>13.2</v>
      </c>
      <c r="AC89" s="51">
        <v>10</v>
      </c>
      <c r="AD89" s="51">
        <v>12.2</v>
      </c>
      <c r="AE89" s="51">
        <v>13.4</v>
      </c>
      <c r="AF89" s="51">
        <v>11.8</v>
      </c>
      <c r="AG89" s="51">
        <v>11.8</v>
      </c>
      <c r="AH89" s="51">
        <v>14</v>
      </c>
      <c r="AI89" s="51"/>
      <c r="AJ89" s="51"/>
      <c r="AK89" s="51"/>
      <c r="AL89" s="51"/>
      <c r="AM89" s="51"/>
      <c r="AN89" s="51"/>
      <c r="AO89" s="51"/>
      <c r="AP89" s="88">
        <f t="shared" si="6"/>
        <v>23</v>
      </c>
      <c r="AQ89" s="89">
        <f t="shared" si="7"/>
        <v>12.765217391304347</v>
      </c>
      <c r="AR89" s="89">
        <f>IFERROR(VLOOKUP(A89,Climatologia!A:U,9+$E$2,FALSE),"")</f>
        <v>11.23677419354839</v>
      </c>
      <c r="AS89" s="89">
        <f t="shared" si="8"/>
        <v>1.5284431977559567</v>
      </c>
      <c r="AT89" s="90">
        <f t="shared" si="9"/>
        <v>10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5.2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35723</v>
      </c>
      <c r="AW89" s="92">
        <f t="shared" si="10"/>
        <v>4.8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18</v>
      </c>
      <c r="L90" s="51">
        <v>18.399999999999999</v>
      </c>
      <c r="M90" s="51">
        <v>18.2</v>
      </c>
      <c r="N90" s="51">
        <v>17.600000000000001</v>
      </c>
      <c r="O90" s="51">
        <v>18.399999999999999</v>
      </c>
      <c r="P90" s="51">
        <v>17.600000000000001</v>
      </c>
      <c r="Q90" s="51">
        <v>17.399999999999999</v>
      </c>
      <c r="R90" s="51">
        <v>18</v>
      </c>
      <c r="S90" s="51">
        <v>17.2</v>
      </c>
      <c r="T90" s="51">
        <v>18</v>
      </c>
      <c r="U90" s="51">
        <v>18.399999999999999</v>
      </c>
      <c r="V90" s="51">
        <v>18.2</v>
      </c>
      <c r="W90" s="51">
        <v>17.2</v>
      </c>
      <c r="X90" s="51">
        <v>17.399999999999999</v>
      </c>
      <c r="Y90" s="51">
        <v>18</v>
      </c>
      <c r="Z90" s="111">
        <v>18.399999999999999</v>
      </c>
      <c r="AA90" s="51">
        <v>17.399999999999999</v>
      </c>
      <c r="AB90" s="51">
        <v>17</v>
      </c>
      <c r="AC90" s="51">
        <v>18</v>
      </c>
      <c r="AD90" s="51">
        <v>18.399999999999999</v>
      </c>
      <c r="AE90" s="51">
        <v>18.2</v>
      </c>
      <c r="AF90" s="51">
        <v>18.399999999999999</v>
      </c>
      <c r="AG90" s="51">
        <v>18</v>
      </c>
      <c r="AH90" s="51">
        <v>18.399999999999999</v>
      </c>
      <c r="AI90" s="51"/>
      <c r="AJ90" s="51"/>
      <c r="AK90" s="51"/>
      <c r="AL90" s="51"/>
      <c r="AM90" s="51"/>
      <c r="AN90" s="51"/>
      <c r="AO90" s="51"/>
      <c r="AP90" s="88">
        <f t="shared" si="6"/>
        <v>24</v>
      </c>
      <c r="AQ90" s="89">
        <f t="shared" si="7"/>
        <v>17.924999999999994</v>
      </c>
      <c r="AR90" s="89">
        <f>IFERROR(VLOOKUP(A90,Climatologia!A:U,9+$E$2,FALSE),"")</f>
        <v>17.698283520980588</v>
      </c>
      <c r="AS90" s="89">
        <f t="shared" si="8"/>
        <v>0.22671647901940517</v>
      </c>
      <c r="AT90" s="90">
        <f t="shared" si="9"/>
        <v>17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13.2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37557</v>
      </c>
      <c r="AW90" s="92">
        <f t="shared" si="10"/>
        <v>3.8000000000000007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9.8000000000000007</v>
      </c>
      <c r="L91" s="51">
        <v>10.199999999999999</v>
      </c>
      <c r="M91" s="51">
        <v>12.6</v>
      </c>
      <c r="N91" s="51">
        <v>7.8</v>
      </c>
      <c r="O91" s="51">
        <v>13</v>
      </c>
      <c r="P91" s="51">
        <v>13</v>
      </c>
      <c r="Q91" s="51">
        <v>7.8</v>
      </c>
      <c r="R91" s="51">
        <v>7.8</v>
      </c>
      <c r="S91" s="51">
        <v>11</v>
      </c>
      <c r="T91" s="51">
        <v>10.6</v>
      </c>
      <c r="U91" s="51">
        <v>10.8</v>
      </c>
      <c r="V91" s="51">
        <v>10.199999999999999</v>
      </c>
      <c r="W91" s="51">
        <v>11.2</v>
      </c>
      <c r="X91" s="51">
        <v>9.6</v>
      </c>
      <c r="Y91" s="51">
        <v>12</v>
      </c>
      <c r="Z91" s="111">
        <v>12</v>
      </c>
      <c r="AA91" s="51">
        <v>11.2</v>
      </c>
      <c r="AB91" s="51">
        <v>11.6</v>
      </c>
      <c r="AC91" s="51">
        <v>12.2</v>
      </c>
      <c r="AD91" s="51">
        <v>12.8</v>
      </c>
      <c r="AE91" s="51">
        <v>12.6</v>
      </c>
      <c r="AF91" s="51">
        <v>13.6</v>
      </c>
      <c r="AG91" s="51">
        <v>13.8</v>
      </c>
      <c r="AH91" s="51">
        <v>13.2</v>
      </c>
      <c r="AI91" s="51"/>
      <c r="AJ91" s="51"/>
      <c r="AK91" s="51"/>
      <c r="AL91" s="51"/>
      <c r="AM91" s="51"/>
      <c r="AN91" s="51"/>
      <c r="AO91" s="51"/>
      <c r="AP91" s="88">
        <f t="shared" si="6"/>
        <v>24</v>
      </c>
      <c r="AQ91" s="89">
        <f t="shared" si="7"/>
        <v>11.266666666666664</v>
      </c>
      <c r="AR91" s="89">
        <f>IFERROR(VLOOKUP(A91,Climatologia!A:U,9+$E$2,FALSE),"")</f>
        <v>11.050713443887011</v>
      </c>
      <c r="AS91" s="89">
        <f t="shared" si="8"/>
        <v>0.21595322277965323</v>
      </c>
      <c r="AT91" s="90">
        <f t="shared" si="9"/>
        <v>7.8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6.8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36829</v>
      </c>
      <c r="AW91" s="92">
        <f t="shared" si="10"/>
        <v>1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10.8</v>
      </c>
      <c r="L92" s="51">
        <v>11.8</v>
      </c>
      <c r="M92" s="51">
        <v>11</v>
      </c>
      <c r="N92" s="51">
        <v>5.6</v>
      </c>
      <c r="O92" s="51">
        <v>8</v>
      </c>
      <c r="P92" s="51">
        <v>10</v>
      </c>
      <c r="Q92" s="51">
        <v>11.6</v>
      </c>
      <c r="R92" s="51">
        <v>10.6</v>
      </c>
      <c r="S92" s="51">
        <v>11.2</v>
      </c>
      <c r="T92" s="51">
        <v>11.2</v>
      </c>
      <c r="U92" s="51">
        <v>10.8</v>
      </c>
      <c r="V92" s="51">
        <v>11</v>
      </c>
      <c r="W92" s="51">
        <v>11.4</v>
      </c>
      <c r="X92" s="51">
        <v>10.6</v>
      </c>
      <c r="Y92" s="51">
        <v>12</v>
      </c>
      <c r="Z92" s="111">
        <v>10.8</v>
      </c>
      <c r="AA92" s="51">
        <v>10.8</v>
      </c>
      <c r="AB92" s="51">
        <v>11.2</v>
      </c>
      <c r="AC92" s="51">
        <v>8.8000000000000007</v>
      </c>
      <c r="AD92" s="51">
        <v>10.199999999999999</v>
      </c>
      <c r="AE92" s="51">
        <v>11.4</v>
      </c>
      <c r="AF92" s="51">
        <v>11.4</v>
      </c>
      <c r="AG92" s="51">
        <v>11</v>
      </c>
      <c r="AH92" s="51">
        <v>10.6</v>
      </c>
      <c r="AI92" s="51"/>
      <c r="AJ92" s="51"/>
      <c r="AK92" s="51"/>
      <c r="AL92" s="51"/>
      <c r="AM92" s="51"/>
      <c r="AN92" s="51"/>
      <c r="AO92" s="51"/>
      <c r="AP92" s="88">
        <f t="shared" si="6"/>
        <v>24</v>
      </c>
      <c r="AQ92" s="89">
        <f t="shared" si="7"/>
        <v>10.575000000000001</v>
      </c>
      <c r="AR92" s="89">
        <f>IFERROR(VLOOKUP(A92,Climatologia!A:U,9+$E$2,FALSE),"")</f>
        <v>8.498079612267599</v>
      </c>
      <c r="AS92" s="89">
        <f t="shared" si="8"/>
        <v>2.0769203877324021</v>
      </c>
      <c r="AT92" s="90">
        <f t="shared" si="9"/>
        <v>5.6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1.2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32440</v>
      </c>
      <c r="AW92" s="92">
        <f t="shared" si="10"/>
        <v>4.3999999999999995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10.878605566541699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10.4</v>
      </c>
      <c r="L94" s="51">
        <v>8.4</v>
      </c>
      <c r="M94" s="51">
        <v>10.199999999999999</v>
      </c>
      <c r="N94" s="51">
        <v>7.4</v>
      </c>
      <c r="O94" s="51">
        <v>8</v>
      </c>
      <c r="P94" s="51">
        <v>7.2</v>
      </c>
      <c r="Q94" s="51">
        <v>9</v>
      </c>
      <c r="R94" s="51">
        <v>5</v>
      </c>
      <c r="S94" s="51">
        <v>10</v>
      </c>
      <c r="T94" s="51">
        <v>8.1999999999999993</v>
      </c>
      <c r="U94" s="51">
        <v>6.4</v>
      </c>
      <c r="V94" s="51">
        <v>8.4</v>
      </c>
      <c r="W94" s="51">
        <v>7.2</v>
      </c>
      <c r="X94" s="51">
        <v>7</v>
      </c>
      <c r="Y94" s="51">
        <v>7.8</v>
      </c>
      <c r="Z94" s="111">
        <v>11</v>
      </c>
      <c r="AA94" s="51">
        <v>7.4</v>
      </c>
      <c r="AB94" s="51">
        <v>8.4</v>
      </c>
      <c r="AC94" s="51">
        <v>10.199999999999999</v>
      </c>
      <c r="AD94" s="51">
        <v>8.1999999999999993</v>
      </c>
      <c r="AE94" s="51">
        <v>12.6</v>
      </c>
      <c r="AF94" s="51">
        <v>12.4</v>
      </c>
      <c r="AG94" s="51">
        <v>8</v>
      </c>
      <c r="AH94" s="51">
        <v>10.199999999999999</v>
      </c>
      <c r="AI94" s="51"/>
      <c r="AJ94" s="51"/>
      <c r="AK94" s="51"/>
      <c r="AL94" s="51"/>
      <c r="AM94" s="51"/>
      <c r="AN94" s="51"/>
      <c r="AO94" s="51"/>
      <c r="AP94" s="88">
        <f t="shared" si="6"/>
        <v>24</v>
      </c>
      <c r="AQ94" s="89">
        <f t="shared" si="7"/>
        <v>8.7083333333333339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5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0.2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41556</v>
      </c>
      <c r="AW94" s="92">
        <f t="shared" si="10"/>
        <v>4.8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9.4</v>
      </c>
      <c r="L95" s="51">
        <v>9.8000000000000007</v>
      </c>
      <c r="M95" s="51">
        <v>7.8</v>
      </c>
      <c r="N95" s="51">
        <v>5</v>
      </c>
      <c r="O95" s="51">
        <v>4.8</v>
      </c>
      <c r="P95" s="51">
        <v>9.6</v>
      </c>
      <c r="Q95" s="51">
        <v>10</v>
      </c>
      <c r="R95" s="51">
        <v>6.8</v>
      </c>
      <c r="S95" s="51">
        <v>10.6</v>
      </c>
      <c r="T95" s="51">
        <v>10.4</v>
      </c>
      <c r="U95" s="51">
        <v>7.2</v>
      </c>
      <c r="V95" s="51">
        <v>11</v>
      </c>
      <c r="W95" s="51">
        <v>11</v>
      </c>
      <c r="X95" s="51">
        <v>11.8</v>
      </c>
      <c r="Y95" s="51">
        <v>10.4</v>
      </c>
      <c r="Z95" s="111">
        <v>9</v>
      </c>
      <c r="AA95" s="51">
        <v>8.8000000000000007</v>
      </c>
      <c r="AB95" s="51">
        <v>9</v>
      </c>
      <c r="AC95" s="51">
        <v>3.6</v>
      </c>
      <c r="AD95" s="51">
        <v>7</v>
      </c>
      <c r="AE95" s="51">
        <v>11.2</v>
      </c>
      <c r="AF95" s="51">
        <v>11.6</v>
      </c>
      <c r="AG95" s="51">
        <v>7.4</v>
      </c>
      <c r="AH95" s="51">
        <v>9.1999999999999993</v>
      </c>
      <c r="AI95" s="51"/>
      <c r="AJ95" s="51"/>
      <c r="AK95" s="51"/>
      <c r="AL95" s="51"/>
      <c r="AM95" s="51"/>
      <c r="AN95" s="51"/>
      <c r="AO95" s="51"/>
      <c r="AP95" s="88">
        <f t="shared" si="6"/>
        <v>24</v>
      </c>
      <c r="AQ95" s="89">
        <f t="shared" si="7"/>
        <v>8.85</v>
      </c>
      <c r="AR95" s="89">
        <f>IFERROR(VLOOKUP(A95,Climatologia!A:U,9+$E$2,FALSE),"")</f>
        <v>7.471608983874277</v>
      </c>
      <c r="AS95" s="89">
        <f t="shared" si="8"/>
        <v>1.3783910161257227</v>
      </c>
      <c r="AT95" s="90">
        <f t="shared" si="9"/>
        <v>3.6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39745</v>
      </c>
      <c r="AW95" s="92">
        <f t="shared" si="10"/>
        <v>2.4000000000000004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9</v>
      </c>
      <c r="L96" s="51">
        <v>8.5</v>
      </c>
      <c r="M96" s="51">
        <v>9.1999999999999993</v>
      </c>
      <c r="N96" s="51">
        <v>8</v>
      </c>
      <c r="O96" s="51">
        <v>10</v>
      </c>
      <c r="P96" s="51">
        <v>9</v>
      </c>
      <c r="Q96" s="51">
        <v>9.1999999999999993</v>
      </c>
      <c r="R96" s="51">
        <v>9.6999999999999993</v>
      </c>
      <c r="S96" s="51">
        <v>8</v>
      </c>
      <c r="T96" s="51">
        <v>10</v>
      </c>
      <c r="U96" s="51">
        <v>8.6</v>
      </c>
      <c r="V96" s="51">
        <v>8.4</v>
      </c>
      <c r="W96" s="51">
        <v>10</v>
      </c>
      <c r="X96" s="51">
        <v>10.4</v>
      </c>
      <c r="Y96" s="51">
        <v>9.9</v>
      </c>
      <c r="Z96" s="111">
        <v>10.8</v>
      </c>
      <c r="AA96" s="51">
        <v>9</v>
      </c>
      <c r="AB96" s="51">
        <v>9.8000000000000007</v>
      </c>
      <c r="AC96" s="51">
        <v>9</v>
      </c>
      <c r="AD96" s="51">
        <v>8.8000000000000007</v>
      </c>
      <c r="AE96" s="51">
        <v>9</v>
      </c>
      <c r="AF96" s="51">
        <v>9.4</v>
      </c>
      <c r="AG96" s="51">
        <v>9.8000000000000007</v>
      </c>
      <c r="AH96" s="51">
        <v>9.8000000000000007</v>
      </c>
      <c r="AI96" s="51"/>
      <c r="AJ96" s="51"/>
      <c r="AK96" s="51"/>
      <c r="AL96" s="51"/>
      <c r="AM96" s="51"/>
      <c r="AN96" s="51"/>
      <c r="AO96" s="51"/>
      <c r="AP96" s="88">
        <f t="shared" si="6"/>
        <v>24</v>
      </c>
      <c r="AQ96" s="89">
        <f t="shared" si="7"/>
        <v>9.3041666666666689</v>
      </c>
      <c r="AR96" s="89">
        <f>IFERROR(VLOOKUP(A96,Climatologia!A:U,9+$E$2,FALSE),"")</f>
        <v>8.3676112899131585</v>
      </c>
      <c r="AS96" s="89">
        <f t="shared" si="8"/>
        <v>0.93655537675351042</v>
      </c>
      <c r="AT96" s="90">
        <f t="shared" si="9"/>
        <v>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39734</v>
      </c>
      <c r="AW96" s="92">
        <f t="shared" si="10"/>
        <v>4.4000000000000004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10.4</v>
      </c>
      <c r="L97" s="51">
        <v>10.4</v>
      </c>
      <c r="M97" s="51">
        <v>9.6</v>
      </c>
      <c r="N97" s="51"/>
      <c r="O97" s="51">
        <v>5.6</v>
      </c>
      <c r="P97" s="51">
        <v>11.2</v>
      </c>
      <c r="Q97" s="51">
        <v>11.8</v>
      </c>
      <c r="R97" s="51">
        <v>7</v>
      </c>
      <c r="S97" s="51">
        <v>11.8</v>
      </c>
      <c r="T97" s="51">
        <v>12</v>
      </c>
      <c r="U97" s="51"/>
      <c r="V97" s="51"/>
      <c r="W97" s="51">
        <v>8.8000000000000007</v>
      </c>
      <c r="X97" s="51">
        <v>8.6</v>
      </c>
      <c r="Y97" s="51">
        <v>9.4</v>
      </c>
      <c r="Z97" s="111">
        <v>9.6</v>
      </c>
      <c r="AA97" s="51">
        <v>10</v>
      </c>
      <c r="AB97" s="51">
        <v>8.4</v>
      </c>
      <c r="AC97" s="51">
        <v>5</v>
      </c>
      <c r="AD97" s="51">
        <v>6.6</v>
      </c>
      <c r="AE97" s="51">
        <v>11</v>
      </c>
      <c r="AF97" s="51">
        <v>11.8</v>
      </c>
      <c r="AG97" s="51">
        <v>10.199999999999999</v>
      </c>
      <c r="AH97" s="51">
        <v>10</v>
      </c>
      <c r="AI97" s="51"/>
      <c r="AJ97" s="51"/>
      <c r="AK97" s="51"/>
      <c r="AL97" s="51"/>
      <c r="AM97" s="51"/>
      <c r="AN97" s="51"/>
      <c r="AO97" s="51"/>
      <c r="AP97" s="88">
        <f t="shared" si="6"/>
        <v>21</v>
      </c>
      <c r="AQ97" s="89">
        <f t="shared" si="7"/>
        <v>9.4857142857142858</v>
      </c>
      <c r="AR97" s="89">
        <f>IFERROR(VLOOKUP(A97,Climatologia!A:U,9+$E$2,FALSE),"")</f>
        <v>7.1979586897027676</v>
      </c>
      <c r="AS97" s="89">
        <f t="shared" si="8"/>
        <v>2.2877555960115181</v>
      </c>
      <c r="AT97" s="90">
        <f t="shared" si="9"/>
        <v>5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97" s="92">
        <f t="shared" si="10"/>
        <v>6.2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11</v>
      </c>
      <c r="L98" s="51">
        <v>12.2</v>
      </c>
      <c r="M98" s="51">
        <v>10.6</v>
      </c>
      <c r="N98" s="51">
        <v>6.6</v>
      </c>
      <c r="O98" s="51">
        <v>8.6</v>
      </c>
      <c r="P98" s="51">
        <v>12.9</v>
      </c>
      <c r="Q98" s="51">
        <v>12</v>
      </c>
      <c r="R98" s="51">
        <v>9.1999999999999993</v>
      </c>
      <c r="S98" s="51">
        <v>11.4</v>
      </c>
      <c r="T98" s="51">
        <v>11.4</v>
      </c>
      <c r="U98" s="51">
        <v>10.199999999999999</v>
      </c>
      <c r="V98" s="51">
        <v>11.4</v>
      </c>
      <c r="W98" s="51">
        <v>11.6</v>
      </c>
      <c r="X98" s="51">
        <v>11.4</v>
      </c>
      <c r="Y98" s="51">
        <v>12</v>
      </c>
      <c r="Z98" s="111">
        <v>11.2</v>
      </c>
      <c r="AA98" s="51">
        <v>14</v>
      </c>
      <c r="AB98" s="51">
        <v>11.2</v>
      </c>
      <c r="AC98" s="51">
        <v>6.2</v>
      </c>
      <c r="AD98" s="51">
        <v>8</v>
      </c>
      <c r="AE98" s="51">
        <v>11.8</v>
      </c>
      <c r="AF98" s="51">
        <v>11.6</v>
      </c>
      <c r="AG98" s="51">
        <v>10.8</v>
      </c>
      <c r="AH98" s="51">
        <v>10.199999999999999</v>
      </c>
      <c r="AI98" s="51"/>
      <c r="AJ98" s="51"/>
      <c r="AK98" s="51"/>
      <c r="AL98" s="51"/>
      <c r="AM98" s="51"/>
      <c r="AN98" s="51"/>
      <c r="AO98" s="51"/>
      <c r="AP98" s="88">
        <f t="shared" si="6"/>
        <v>24</v>
      </c>
      <c r="AQ98" s="89">
        <f t="shared" si="7"/>
        <v>10.729166666666666</v>
      </c>
      <c r="AR98" s="89">
        <f>IFERROR(VLOOKUP(A98,Climatologia!A:U,9+$E$2,FALSE),"")</f>
        <v>8.6909754224270355</v>
      </c>
      <c r="AS98" s="89">
        <f t="shared" si="8"/>
        <v>2.0381912442396306</v>
      </c>
      <c r="AT98" s="90">
        <f t="shared" si="9"/>
        <v>6.2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3.2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32426</v>
      </c>
      <c r="AW98" s="92">
        <f t="shared" si="10"/>
        <v>3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7.4</v>
      </c>
      <c r="L99" s="51">
        <v>7.2</v>
      </c>
      <c r="M99" s="109">
        <v>4.2</v>
      </c>
      <c r="N99" s="51">
        <v>6.6</v>
      </c>
      <c r="O99" s="51">
        <v>6.2</v>
      </c>
      <c r="P99" s="51">
        <v>6.4</v>
      </c>
      <c r="Q99" s="51"/>
      <c r="R99" s="51">
        <v>7</v>
      </c>
      <c r="S99" s="51">
        <v>7</v>
      </c>
      <c r="T99" s="51">
        <v>6.4</v>
      </c>
      <c r="U99" s="51">
        <v>6</v>
      </c>
      <c r="V99" s="51"/>
      <c r="W99" s="109">
        <v>4</v>
      </c>
      <c r="X99" s="51">
        <v>8.8000000000000007</v>
      </c>
      <c r="Y99" s="51">
        <v>8.4</v>
      </c>
      <c r="Z99" s="111">
        <v>8.1999999999999993</v>
      </c>
      <c r="AA99" s="51">
        <v>5.8</v>
      </c>
      <c r="AB99" s="51">
        <v>9</v>
      </c>
      <c r="AC99" s="51">
        <v>5.6</v>
      </c>
      <c r="AD99" s="51">
        <v>5.8</v>
      </c>
      <c r="AE99" s="51">
        <v>8.4</v>
      </c>
      <c r="AF99" s="51">
        <v>8.1999999999999993</v>
      </c>
      <c r="AG99" s="51">
        <v>8.8000000000000007</v>
      </c>
      <c r="AH99" s="51">
        <v>7.8</v>
      </c>
      <c r="AI99" s="51"/>
      <c r="AJ99" s="51"/>
      <c r="AK99" s="51"/>
      <c r="AL99" s="51"/>
      <c r="AM99" s="51"/>
      <c r="AN99" s="51"/>
      <c r="AO99" s="51"/>
      <c r="AP99" s="88">
        <f t="shared" si="6"/>
        <v>22</v>
      </c>
      <c r="AQ99" s="89">
        <f t="shared" si="7"/>
        <v>6.9636363636363647</v>
      </c>
      <c r="AR99" s="89">
        <f>IFERROR(VLOOKUP(A99,Climatologia!A:U,9+$E$2,FALSE),"")</f>
        <v>6.7688585607940448</v>
      </c>
      <c r="AS99" s="89">
        <f t="shared" si="8"/>
        <v>0.19477780284231994</v>
      </c>
      <c r="AT99" s="90">
        <f t="shared" si="9"/>
        <v>4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18.055204056135199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12.4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>
        <v>12.4</v>
      </c>
      <c r="AD101" s="51">
        <v>11.6</v>
      </c>
      <c r="AE101" s="51">
        <v>16</v>
      </c>
      <c r="AF101" s="51">
        <v>8.8000000000000007</v>
      </c>
      <c r="AG101" s="51">
        <v>7.6</v>
      </c>
      <c r="AH101" s="51">
        <v>8.4</v>
      </c>
      <c r="AI101" s="51"/>
      <c r="AJ101" s="51"/>
      <c r="AK101" s="51"/>
      <c r="AL101" s="51"/>
      <c r="AM101" s="51"/>
      <c r="AN101" s="51"/>
      <c r="AO101" s="51"/>
      <c r="AP101" s="88">
        <f t="shared" si="6"/>
        <v>6</v>
      </c>
      <c r="AQ101" s="89" t="str">
        <f t="shared" si="7"/>
        <v/>
      </c>
      <c r="AR101" s="89">
        <f>IFERROR(VLOOKUP(A101,Climatologia!A:U,9+$E$2,FALSE),"")</f>
        <v>10.494208480953899</v>
      </c>
      <c r="AS101" s="89" t="str">
        <f t="shared" si="8"/>
        <v/>
      </c>
      <c r="AT101" s="90">
        <f t="shared" si="9"/>
        <v>7.6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4.5999999999999996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38631</v>
      </c>
      <c r="AW101" s="92">
        <f t="shared" si="10"/>
        <v>3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12</v>
      </c>
      <c r="M102" s="51">
        <v>13.4</v>
      </c>
      <c r="N102" s="51">
        <v>11.8</v>
      </c>
      <c r="O102" s="51">
        <v>13.6</v>
      </c>
      <c r="P102" s="51">
        <v>15.4</v>
      </c>
      <c r="Q102" s="51">
        <v>13.8</v>
      </c>
      <c r="R102" s="51">
        <v>12.2</v>
      </c>
      <c r="S102" s="51">
        <v>12</v>
      </c>
      <c r="T102" s="51">
        <v>13</v>
      </c>
      <c r="U102" s="51">
        <v>11.2</v>
      </c>
      <c r="V102" s="51">
        <v>13</v>
      </c>
      <c r="W102" s="51">
        <v>15</v>
      </c>
      <c r="X102" s="51">
        <v>14.2</v>
      </c>
      <c r="Y102" s="51">
        <v>12.2</v>
      </c>
      <c r="Z102" s="111">
        <v>15</v>
      </c>
      <c r="AA102" s="51">
        <v>13.2</v>
      </c>
      <c r="AB102" s="51">
        <v>13.4</v>
      </c>
      <c r="AC102" s="51">
        <v>11.2</v>
      </c>
      <c r="AD102" s="51">
        <v>11</v>
      </c>
      <c r="AE102" s="51">
        <v>13</v>
      </c>
      <c r="AF102" s="51">
        <v>14.6</v>
      </c>
      <c r="AG102" s="51">
        <v>13.2</v>
      </c>
      <c r="AH102" s="51">
        <v>12.8</v>
      </c>
      <c r="AI102" s="51"/>
      <c r="AJ102" s="51"/>
      <c r="AK102" s="51"/>
      <c r="AL102" s="51"/>
      <c r="AM102" s="51"/>
      <c r="AN102" s="51"/>
      <c r="AO102" s="51"/>
      <c r="AP102" s="88">
        <f t="shared" si="6"/>
        <v>24</v>
      </c>
      <c r="AQ102" s="89">
        <f t="shared" si="7"/>
        <v>12.966666666666663</v>
      </c>
      <c r="AR102" s="89">
        <f>IFERROR(VLOOKUP(A102,Climatologia!A:U,9+$E$2,FALSE),"")</f>
        <v>11.715023289568339</v>
      </c>
      <c r="AS102" s="89">
        <f t="shared" si="8"/>
        <v>1.2516433770983237</v>
      </c>
      <c r="AT102" s="90">
        <f t="shared" si="9"/>
        <v>11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7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33513</v>
      </c>
      <c r="AW102" s="92">
        <f t="shared" si="10"/>
        <v>4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7.8</v>
      </c>
      <c r="L103" s="109"/>
      <c r="M103" s="51"/>
      <c r="N103" s="51"/>
      <c r="O103" s="51"/>
      <c r="P103" s="51"/>
      <c r="Q103" s="51"/>
      <c r="R103" s="51"/>
      <c r="S103" s="51"/>
      <c r="T103" s="51">
        <v>2.4</v>
      </c>
      <c r="U103" s="51"/>
      <c r="V103" s="51">
        <v>5.2</v>
      </c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3</v>
      </c>
      <c r="AQ103" s="89" t="str">
        <f t="shared" si="7"/>
        <v/>
      </c>
      <c r="AR103" s="89">
        <f>IFERROR(VLOOKUP(A103,Climatologia!A:U,9+$E$2,FALSE),"")</f>
        <v>6.5143145161290317</v>
      </c>
      <c r="AS103" s="89" t="str">
        <f t="shared" si="8"/>
        <v/>
      </c>
      <c r="AT103" s="90">
        <f t="shared" si="9"/>
        <v>2.4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0.2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40097</v>
      </c>
      <c r="AW103" s="92">
        <f t="shared" si="10"/>
        <v>2.1999999999999997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10.6</v>
      </c>
      <c r="L104" s="51">
        <v>10.6</v>
      </c>
      <c r="M104" s="51">
        <v>10</v>
      </c>
      <c r="N104" s="51">
        <v>5.2</v>
      </c>
      <c r="O104" s="51">
        <v>5</v>
      </c>
      <c r="P104" s="51">
        <v>4</v>
      </c>
      <c r="Q104" s="51">
        <v>9</v>
      </c>
      <c r="R104" s="51">
        <v>7.6</v>
      </c>
      <c r="S104" s="51">
        <v>9.1999999999999993</v>
      </c>
      <c r="T104" s="51">
        <v>12.2</v>
      </c>
      <c r="U104" s="51">
        <v>10.4</v>
      </c>
      <c r="V104" s="51">
        <v>12.2</v>
      </c>
      <c r="W104" s="51">
        <v>11</v>
      </c>
      <c r="X104" s="51">
        <v>8.5</v>
      </c>
      <c r="Y104" s="51">
        <v>9.6</v>
      </c>
      <c r="Z104" s="111">
        <v>10</v>
      </c>
      <c r="AA104" s="51">
        <v>10.199999999999999</v>
      </c>
      <c r="AB104" s="51">
        <v>9.1999999999999993</v>
      </c>
      <c r="AC104" s="51">
        <v>4</v>
      </c>
      <c r="AD104" s="51">
        <v>5.4</v>
      </c>
      <c r="AE104" s="51">
        <v>8.8000000000000007</v>
      </c>
      <c r="AF104" s="51">
        <v>11.2</v>
      </c>
      <c r="AG104" s="51">
        <v>8.6</v>
      </c>
      <c r="AH104" s="51">
        <v>10</v>
      </c>
      <c r="AI104" s="51"/>
      <c r="AJ104" s="51"/>
      <c r="AK104" s="51"/>
      <c r="AL104" s="51"/>
      <c r="AM104" s="51"/>
      <c r="AN104" s="51"/>
      <c r="AO104" s="51"/>
      <c r="AP104" s="88">
        <f t="shared" si="6"/>
        <v>24</v>
      </c>
      <c r="AQ104" s="89">
        <f t="shared" si="7"/>
        <v>8.8541666666666661</v>
      </c>
      <c r="AR104" s="89">
        <f>IFERROR(VLOOKUP(A104,Climatologia!A:U,9+$E$2,FALSE),"")</f>
        <v>7.5536967000370803</v>
      </c>
      <c r="AS104" s="89">
        <f t="shared" si="8"/>
        <v>1.3004699666295858</v>
      </c>
      <c r="AT104" s="90">
        <f t="shared" si="9"/>
        <v>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40095</v>
      </c>
      <c r="AW104" s="92">
        <f t="shared" si="10"/>
        <v>5.4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12</v>
      </c>
      <c r="L105" s="51">
        <v>13.2</v>
      </c>
      <c r="M105" s="51">
        <v>12</v>
      </c>
      <c r="N105" s="51">
        <v>9.4</v>
      </c>
      <c r="O105" s="51">
        <v>9.1999999999999993</v>
      </c>
      <c r="P105" s="51">
        <v>12.4</v>
      </c>
      <c r="Q105" s="51">
        <v>12.4</v>
      </c>
      <c r="R105" s="51">
        <v>12</v>
      </c>
      <c r="S105" s="51">
        <v>12.4</v>
      </c>
      <c r="T105" s="51">
        <v>12.4</v>
      </c>
      <c r="U105" s="51">
        <v>12.2</v>
      </c>
      <c r="V105" s="51">
        <v>12.4</v>
      </c>
      <c r="W105" s="51">
        <v>12.4</v>
      </c>
      <c r="X105" s="51">
        <v>12.4</v>
      </c>
      <c r="Y105" s="51">
        <v>12.2</v>
      </c>
      <c r="Z105" s="111">
        <v>12.4</v>
      </c>
      <c r="AA105" s="51">
        <v>12.4</v>
      </c>
      <c r="AB105" s="51">
        <v>12.2</v>
      </c>
      <c r="AC105" s="51">
        <v>9.1999999999999993</v>
      </c>
      <c r="AD105" s="51">
        <v>10.4</v>
      </c>
      <c r="AE105" s="51">
        <v>12.4</v>
      </c>
      <c r="AF105" s="51">
        <v>12.6</v>
      </c>
      <c r="AG105" s="51">
        <v>11.8</v>
      </c>
      <c r="AH105" s="51">
        <v>11.6</v>
      </c>
      <c r="AI105" s="51"/>
      <c r="AJ105" s="51"/>
      <c r="AK105" s="51"/>
      <c r="AL105" s="51"/>
      <c r="AM105" s="51"/>
      <c r="AN105" s="51"/>
      <c r="AO105" s="51"/>
      <c r="AP105" s="88">
        <f t="shared" si="6"/>
        <v>24</v>
      </c>
      <c r="AQ105" s="89">
        <f t="shared" si="7"/>
        <v>11.833333333333336</v>
      </c>
      <c r="AR105" s="89">
        <f>IFERROR(VLOOKUP(A105,Climatologia!A:U,9+$E$2,FALSE),"")</f>
        <v>9.9926318635871958</v>
      </c>
      <c r="AS105" s="89">
        <f t="shared" si="8"/>
        <v>1.8407014697461399</v>
      </c>
      <c r="AT105" s="90">
        <f t="shared" si="9"/>
        <v>9.1999999999999993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0.6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43383</v>
      </c>
      <c r="AW105" s="92">
        <f t="shared" si="10"/>
        <v>8.6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>
        <v>15</v>
      </c>
      <c r="L106" s="51">
        <v>14.8</v>
      </c>
      <c r="M106" s="51">
        <v>14.6</v>
      </c>
      <c r="N106" s="51">
        <v>14</v>
      </c>
      <c r="O106" s="51">
        <v>14</v>
      </c>
      <c r="P106" s="51">
        <v>15.8</v>
      </c>
      <c r="Q106" s="51">
        <v>14.4</v>
      </c>
      <c r="R106" s="51">
        <v>15.6</v>
      </c>
      <c r="S106" s="51">
        <v>15.6</v>
      </c>
      <c r="T106" s="51">
        <v>15</v>
      </c>
      <c r="U106" s="51">
        <v>15.6</v>
      </c>
      <c r="V106" s="51">
        <v>15.8</v>
      </c>
      <c r="W106" s="51">
        <v>15.2</v>
      </c>
      <c r="X106" s="51">
        <v>15</v>
      </c>
      <c r="Y106" s="51">
        <v>15.8</v>
      </c>
      <c r="Z106" s="111">
        <v>15.4</v>
      </c>
      <c r="AA106" s="51">
        <v>14.6</v>
      </c>
      <c r="AB106" s="51">
        <v>14.4</v>
      </c>
      <c r="AC106" s="51">
        <v>12.8</v>
      </c>
      <c r="AD106" s="51"/>
      <c r="AE106" s="51">
        <v>15.6</v>
      </c>
      <c r="AF106" s="51">
        <v>15</v>
      </c>
      <c r="AG106" s="51">
        <v>15</v>
      </c>
      <c r="AH106" s="51">
        <v>15.2</v>
      </c>
      <c r="AI106" s="51"/>
      <c r="AJ106" s="51"/>
      <c r="AK106" s="51"/>
      <c r="AL106" s="51"/>
      <c r="AM106" s="51"/>
      <c r="AN106" s="51"/>
      <c r="AO106" s="51"/>
      <c r="AP106" s="88">
        <f t="shared" si="6"/>
        <v>23</v>
      </c>
      <c r="AQ106" s="89">
        <f t="shared" si="7"/>
        <v>14.96521739130435</v>
      </c>
      <c r="AR106" s="89">
        <f>IFERROR(VLOOKUP(A106,Climatologia!A:U,9+$E$2,FALSE),"")</f>
        <v>13.92075025890837</v>
      </c>
      <c r="AS106" s="89">
        <f t="shared" si="8"/>
        <v>1.0444671323959795</v>
      </c>
      <c r="AT106" s="90">
        <f t="shared" si="9"/>
        <v>12.8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9.4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31334</v>
      </c>
      <c r="AW106" s="92">
        <f t="shared" si="10"/>
        <v>3.4000000000000004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13.2</v>
      </c>
      <c r="L107" s="51">
        <v>14.2</v>
      </c>
      <c r="M107" s="51">
        <v>13.4</v>
      </c>
      <c r="N107" s="51">
        <v>10</v>
      </c>
      <c r="O107" s="51">
        <v>9.8000000000000007</v>
      </c>
      <c r="P107" s="51">
        <v>13.2</v>
      </c>
      <c r="Q107" s="51">
        <v>13.8</v>
      </c>
      <c r="R107" s="51">
        <v>12</v>
      </c>
      <c r="S107" s="51">
        <v>14</v>
      </c>
      <c r="T107" s="51">
        <v>14.2</v>
      </c>
      <c r="U107" s="51">
        <v>13.8</v>
      </c>
      <c r="V107" s="51">
        <v>13.4</v>
      </c>
      <c r="W107" s="51">
        <v>13.6</v>
      </c>
      <c r="X107" s="51">
        <v>14</v>
      </c>
      <c r="Y107" s="51">
        <v>14.6</v>
      </c>
      <c r="Z107" s="111">
        <v>12</v>
      </c>
      <c r="AA107" s="51">
        <v>14.6</v>
      </c>
      <c r="AB107" s="51">
        <v>14.2</v>
      </c>
      <c r="AC107" s="51">
        <v>8.1999999999999993</v>
      </c>
      <c r="AD107" s="51">
        <v>11.8</v>
      </c>
      <c r="AE107" s="51">
        <v>13.8</v>
      </c>
      <c r="AF107" s="51">
        <v>14</v>
      </c>
      <c r="AG107" s="51">
        <v>13.2</v>
      </c>
      <c r="AH107" s="51">
        <v>13.4</v>
      </c>
      <c r="AI107" s="51"/>
      <c r="AJ107" s="51"/>
      <c r="AK107" s="51"/>
      <c r="AL107" s="51"/>
      <c r="AM107" s="51"/>
      <c r="AN107" s="51"/>
      <c r="AO107" s="51"/>
      <c r="AP107" s="88">
        <f t="shared" si="6"/>
        <v>24</v>
      </c>
      <c r="AQ107" s="89">
        <f t="shared" si="7"/>
        <v>13.016666666666664</v>
      </c>
      <c r="AR107" s="89">
        <f>IFERROR(VLOOKUP(A107,Climatologia!A:U,9+$E$2,FALSE),"")</f>
        <v>11.517299361072149</v>
      </c>
      <c r="AS107" s="89">
        <f t="shared" si="8"/>
        <v>1.4993673055945145</v>
      </c>
      <c r="AT107" s="90">
        <f t="shared" si="9"/>
        <v>8.1999999999999993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5.8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42664</v>
      </c>
      <c r="AW107" s="92">
        <f t="shared" si="10"/>
        <v>2.3999999999999995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15.8</v>
      </c>
      <c r="L108" s="51">
        <v>16.600000000000001</v>
      </c>
      <c r="M108" s="51">
        <v>14.8</v>
      </c>
      <c r="N108" s="51">
        <v>14</v>
      </c>
      <c r="O108" s="51">
        <v>13.8</v>
      </c>
      <c r="P108" s="51">
        <v>16.399999999999999</v>
      </c>
      <c r="Q108" s="51">
        <v>14.6</v>
      </c>
      <c r="R108" s="51">
        <v>15.8</v>
      </c>
      <c r="S108" s="51">
        <v>16.399999999999999</v>
      </c>
      <c r="T108" s="51">
        <v>15</v>
      </c>
      <c r="U108" s="51">
        <v>15.8</v>
      </c>
      <c r="V108" s="51">
        <v>16.399999999999999</v>
      </c>
      <c r="W108" s="51">
        <v>15.6</v>
      </c>
      <c r="X108" s="51">
        <v>16.399999999999999</v>
      </c>
      <c r="Y108" s="51">
        <v>16.2</v>
      </c>
      <c r="Z108" s="111">
        <v>15</v>
      </c>
      <c r="AA108" s="51">
        <v>15</v>
      </c>
      <c r="AB108" s="51">
        <v>14.8</v>
      </c>
      <c r="AC108" s="51">
        <v>13</v>
      </c>
      <c r="AD108" s="51"/>
      <c r="AE108" s="51">
        <v>15</v>
      </c>
      <c r="AF108" s="51">
        <v>15.4</v>
      </c>
      <c r="AG108" s="51">
        <v>15.2</v>
      </c>
      <c r="AH108" s="51">
        <v>15.2</v>
      </c>
      <c r="AI108" s="51"/>
      <c r="AJ108" s="51"/>
      <c r="AK108" s="51"/>
      <c r="AL108" s="51"/>
      <c r="AM108" s="51"/>
      <c r="AN108" s="51"/>
      <c r="AO108" s="51"/>
      <c r="AP108" s="88">
        <f t="shared" si="6"/>
        <v>23</v>
      </c>
      <c r="AQ108" s="89">
        <f t="shared" si="7"/>
        <v>15.31304347826087</v>
      </c>
      <c r="AR108" s="89">
        <f>IFERROR(VLOOKUP(A108,Climatologia!A:U,9+$E$2,FALSE),"")</f>
        <v>13.78207885304659</v>
      </c>
      <c r="AS108" s="89">
        <f t="shared" si="8"/>
        <v>1.5309646252142795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9.6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30595</v>
      </c>
      <c r="AW108" s="92">
        <f t="shared" si="10"/>
        <v>3.4000000000000004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16.2</v>
      </c>
      <c r="L109" s="51">
        <v>17.2</v>
      </c>
      <c r="M109" s="51">
        <v>16.399999999999999</v>
      </c>
      <c r="N109" s="51">
        <v>15.2</v>
      </c>
      <c r="O109" s="51">
        <v>15.4</v>
      </c>
      <c r="P109" s="51">
        <v>17.8</v>
      </c>
      <c r="Q109" s="51">
        <v>16.2</v>
      </c>
      <c r="R109" s="51">
        <v>17</v>
      </c>
      <c r="S109" s="51">
        <v>16.8</v>
      </c>
      <c r="T109" s="51">
        <v>15.6</v>
      </c>
      <c r="U109" s="51">
        <v>16.600000000000001</v>
      </c>
      <c r="V109" s="51">
        <v>16.399999999999999</v>
      </c>
      <c r="W109" s="51">
        <v>16.600000000000001</v>
      </c>
      <c r="X109" s="51">
        <v>15.8</v>
      </c>
      <c r="Y109" s="51">
        <v>16.8</v>
      </c>
      <c r="Z109" s="111">
        <v>17.2</v>
      </c>
      <c r="AA109" s="51">
        <v>16.2</v>
      </c>
      <c r="AB109" s="51">
        <v>16.2</v>
      </c>
      <c r="AC109" s="51">
        <v>14</v>
      </c>
      <c r="AD109" s="51">
        <v>16.399999999999999</v>
      </c>
      <c r="AE109" s="51">
        <v>16.399999999999999</v>
      </c>
      <c r="AF109" s="51">
        <v>16.2</v>
      </c>
      <c r="AG109" s="51">
        <v>15.8</v>
      </c>
      <c r="AH109" s="51">
        <v>16.2</v>
      </c>
      <c r="AI109" s="51"/>
      <c r="AJ109" s="51"/>
      <c r="AK109" s="51"/>
      <c r="AL109" s="51"/>
      <c r="AM109" s="51"/>
      <c r="AN109" s="51"/>
      <c r="AO109" s="51"/>
      <c r="AP109" s="88">
        <f t="shared" si="6"/>
        <v>24</v>
      </c>
      <c r="AQ109" s="89">
        <f t="shared" si="7"/>
        <v>16.274999999999999</v>
      </c>
      <c r="AR109" s="89">
        <f>IFERROR(VLOOKUP(A109,Climatologia!A:U,9+$E$2,FALSE),"")</f>
        <v>13.919677419354841</v>
      </c>
      <c r="AS109" s="89">
        <f t="shared" si="8"/>
        <v>2.3553225806451579</v>
      </c>
      <c r="AT109" s="90">
        <f t="shared" si="9"/>
        <v>14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8.5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38627</v>
      </c>
      <c r="AW109" s="92">
        <f t="shared" si="10"/>
        <v>5.5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19.600000000000001</v>
      </c>
      <c r="L110" s="51">
        <v>19.8</v>
      </c>
      <c r="M110" s="51">
        <v>18.8</v>
      </c>
      <c r="N110" s="51">
        <v>18</v>
      </c>
      <c r="O110" s="51">
        <v>17.600000000000001</v>
      </c>
      <c r="P110" s="51">
        <v>20.2</v>
      </c>
      <c r="Q110" s="51">
        <v>19.399999999999999</v>
      </c>
      <c r="R110" s="51">
        <v>19.8</v>
      </c>
      <c r="S110" s="51">
        <v>19.600000000000001</v>
      </c>
      <c r="T110" s="51">
        <v>18.399999999999999</v>
      </c>
      <c r="U110" s="51">
        <v>18.600000000000001</v>
      </c>
      <c r="V110" s="51">
        <v>19.399999999999999</v>
      </c>
      <c r="W110" s="51">
        <v>18.8</v>
      </c>
      <c r="X110" s="51">
        <v>19.8</v>
      </c>
      <c r="Y110" s="51">
        <v>19.2</v>
      </c>
      <c r="Z110" s="111">
        <v>19.600000000000001</v>
      </c>
      <c r="AA110" s="51">
        <v>18.600000000000001</v>
      </c>
      <c r="AB110" s="51"/>
      <c r="AC110" s="51">
        <v>16.8</v>
      </c>
      <c r="AD110" s="51">
        <v>19.600000000000001</v>
      </c>
      <c r="AE110" s="51">
        <v>19.600000000000001</v>
      </c>
      <c r="AF110" s="51">
        <v>18.8</v>
      </c>
      <c r="AG110" s="51"/>
      <c r="AH110" s="51">
        <v>18.600000000000001</v>
      </c>
      <c r="AI110" s="51"/>
      <c r="AJ110" s="51"/>
      <c r="AK110" s="51"/>
      <c r="AL110" s="51"/>
      <c r="AM110" s="51"/>
      <c r="AN110" s="51"/>
      <c r="AO110" s="51"/>
      <c r="AP110" s="88">
        <f t="shared" si="6"/>
        <v>22</v>
      </c>
      <c r="AQ110" s="89">
        <f t="shared" si="7"/>
        <v>19.027272727272734</v>
      </c>
      <c r="AR110" s="89">
        <f>IFERROR(VLOOKUP(A110,Climatologia!A:U,9+$E$2,FALSE),"")</f>
        <v>17.274538789776361</v>
      </c>
      <c r="AS110" s="89">
        <f t="shared" si="8"/>
        <v>1.7527339374963731</v>
      </c>
      <c r="AT110" s="90">
        <f t="shared" si="9"/>
        <v>16.8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14.2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10" s="92">
        <f t="shared" si="10"/>
        <v>2.6000000000000014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26</v>
      </c>
      <c r="L111" s="51">
        <v>23.6</v>
      </c>
      <c r="M111" s="51">
        <v>23.4</v>
      </c>
      <c r="N111" s="51">
        <v>24.2</v>
      </c>
      <c r="O111" s="51">
        <v>24.2</v>
      </c>
      <c r="P111" s="51">
        <v>25.2</v>
      </c>
      <c r="Q111" s="51">
        <v>23</v>
      </c>
      <c r="R111" s="51">
        <v>23.2</v>
      </c>
      <c r="S111" s="51">
        <v>25</v>
      </c>
      <c r="T111" s="51">
        <v>23.4</v>
      </c>
      <c r="U111" s="51">
        <v>23.8</v>
      </c>
      <c r="V111" s="51">
        <v>24.2</v>
      </c>
      <c r="W111" s="51">
        <v>24.2</v>
      </c>
      <c r="X111" s="51">
        <v>23.8</v>
      </c>
      <c r="Y111" s="51">
        <v>25.4</v>
      </c>
      <c r="Z111" s="111">
        <v>25.2</v>
      </c>
      <c r="AA111" s="51">
        <v>24.8</v>
      </c>
      <c r="AB111" s="51">
        <v>23.2</v>
      </c>
      <c r="AC111" s="51">
        <v>23.8</v>
      </c>
      <c r="AD111" s="51">
        <v>25.6</v>
      </c>
      <c r="AE111" s="51">
        <v>23.8</v>
      </c>
      <c r="AF111" s="51">
        <v>23.8</v>
      </c>
      <c r="AG111" s="51">
        <v>23.4</v>
      </c>
      <c r="AH111" s="51">
        <v>23</v>
      </c>
      <c r="AI111" s="51"/>
      <c r="AJ111" s="51"/>
      <c r="AK111" s="51"/>
      <c r="AL111" s="51"/>
      <c r="AM111" s="51"/>
      <c r="AN111" s="51"/>
      <c r="AO111" s="51"/>
      <c r="AP111" s="88">
        <f t="shared" si="6"/>
        <v>24</v>
      </c>
      <c r="AQ111" s="89">
        <f t="shared" si="7"/>
        <v>24.133333333333329</v>
      </c>
      <c r="AR111" s="89">
        <f>IFERROR(VLOOKUP(A111,Climatologia!A:U,9+$E$2,FALSE),"")</f>
        <v>23.10008713385243</v>
      </c>
      <c r="AS111" s="89">
        <f t="shared" si="8"/>
        <v>1.0332461994808995</v>
      </c>
      <c r="AT111" s="90">
        <f t="shared" si="9"/>
        <v>23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15.2</v>
      </c>
      <c r="L112" s="51">
        <v>15</v>
      </c>
      <c r="M112" s="51">
        <v>16.5</v>
      </c>
      <c r="N112" s="51">
        <v>15</v>
      </c>
      <c r="O112" s="51">
        <v>16.5</v>
      </c>
      <c r="P112" s="51">
        <v>14.4</v>
      </c>
      <c r="Q112" s="51">
        <v>14.2</v>
      </c>
      <c r="R112" s="51">
        <v>15</v>
      </c>
      <c r="S112" s="51">
        <v>16.5</v>
      </c>
      <c r="T112" s="51">
        <v>15</v>
      </c>
      <c r="U112" s="51">
        <v>14.6</v>
      </c>
      <c r="V112" s="51">
        <v>14.2</v>
      </c>
      <c r="W112" s="51">
        <v>16.5</v>
      </c>
      <c r="X112" s="51">
        <v>16</v>
      </c>
      <c r="Y112" s="51">
        <v>15.4</v>
      </c>
      <c r="Z112" s="111">
        <v>14.8</v>
      </c>
      <c r="AA112" s="51">
        <v>14.2</v>
      </c>
      <c r="AB112" s="51">
        <v>14.6</v>
      </c>
      <c r="AC112" s="51">
        <v>14.4</v>
      </c>
      <c r="AD112" s="51">
        <v>14.2</v>
      </c>
      <c r="AE112" s="51">
        <v>14.6</v>
      </c>
      <c r="AF112" s="51">
        <v>14.8</v>
      </c>
      <c r="AG112" s="51">
        <v>16.5</v>
      </c>
      <c r="AH112" s="51">
        <v>14.6</v>
      </c>
      <c r="AI112" s="51"/>
      <c r="AJ112" s="51"/>
      <c r="AK112" s="51"/>
      <c r="AL112" s="51"/>
      <c r="AM112" s="51"/>
      <c r="AN112" s="51"/>
      <c r="AO112" s="51"/>
      <c r="AP112" s="88">
        <f t="shared" si="6"/>
        <v>24</v>
      </c>
      <c r="AQ112" s="89">
        <f t="shared" si="7"/>
        <v>15.112500000000002</v>
      </c>
      <c r="AR112" s="89">
        <f>IFERROR(VLOOKUP(A112,Climatologia!A:U,9+$E$2,FALSE),"")</f>
        <v>15.316224611708479</v>
      </c>
      <c r="AS112" s="89">
        <f t="shared" si="8"/>
        <v>-0.203724611708477</v>
      </c>
      <c r="AT112" s="90">
        <f t="shared" si="9"/>
        <v>14.2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10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34614</v>
      </c>
      <c r="AW112" s="92">
        <f t="shared" si="10"/>
        <v>4.1999999999999993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21.8</v>
      </c>
      <c r="L113" s="51">
        <v>19.8</v>
      </c>
      <c r="M113" s="51">
        <v>19.399999999999999</v>
      </c>
      <c r="N113" s="51">
        <v>20.399999999999999</v>
      </c>
      <c r="O113" s="51">
        <v>20.6</v>
      </c>
      <c r="P113" s="51">
        <v>21.2</v>
      </c>
      <c r="Q113" s="51">
        <v>19</v>
      </c>
      <c r="R113" s="51">
        <v>19.600000000000001</v>
      </c>
      <c r="S113" s="51">
        <v>21</v>
      </c>
      <c r="T113" s="51">
        <v>19.600000000000001</v>
      </c>
      <c r="U113" s="51">
        <v>19</v>
      </c>
      <c r="V113" s="51"/>
      <c r="W113" s="51">
        <v>20.6</v>
      </c>
      <c r="X113" s="51">
        <v>20.399999999999999</v>
      </c>
      <c r="Y113" s="51">
        <v>20.6</v>
      </c>
      <c r="Z113" s="111">
        <v>21.2</v>
      </c>
      <c r="AA113" s="51">
        <v>20.399999999999999</v>
      </c>
      <c r="AB113" s="51">
        <v>19.2</v>
      </c>
      <c r="AC113" s="51">
        <v>20.399999999999999</v>
      </c>
      <c r="AD113" s="51">
        <v>21.4</v>
      </c>
      <c r="AE113" s="51">
        <v>20</v>
      </c>
      <c r="AF113" s="51"/>
      <c r="AG113" s="51">
        <v>19.2</v>
      </c>
      <c r="AH113" s="51">
        <v>19</v>
      </c>
      <c r="AI113" s="51"/>
      <c r="AJ113" s="51"/>
      <c r="AK113" s="51"/>
      <c r="AL113" s="51"/>
      <c r="AM113" s="51"/>
      <c r="AN113" s="51"/>
      <c r="AO113" s="51"/>
      <c r="AP113" s="88">
        <f t="shared" si="6"/>
        <v>22</v>
      </c>
      <c r="AQ113" s="89">
        <f t="shared" si="7"/>
        <v>20.172727272727268</v>
      </c>
      <c r="AR113" s="89">
        <f>IFERROR(VLOOKUP(A113,Climatologia!A:U,9+$E$2,FALSE),"")</f>
        <v>22.73194743130227</v>
      </c>
      <c r="AS113" s="89">
        <f t="shared" si="8"/>
        <v>-2.5592201585750018</v>
      </c>
      <c r="AT113" s="90">
        <f t="shared" si="9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30957</v>
      </c>
      <c r="AW113" s="92">
        <f t="shared" si="10"/>
        <v>1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>
        <v>23.6</v>
      </c>
      <c r="L114" s="51">
        <v>24</v>
      </c>
      <c r="M114" s="51">
        <v>24</v>
      </c>
      <c r="N114" s="51">
        <v>22.8</v>
      </c>
      <c r="O114" s="51">
        <v>23</v>
      </c>
      <c r="P114" s="51">
        <v>23.2</v>
      </c>
      <c r="Q114" s="51">
        <v>23</v>
      </c>
      <c r="R114" s="51">
        <v>22.6</v>
      </c>
      <c r="S114" s="51">
        <v>23.2</v>
      </c>
      <c r="T114" s="51">
        <v>23</v>
      </c>
      <c r="U114" s="51">
        <v>22</v>
      </c>
      <c r="V114" s="51">
        <v>24</v>
      </c>
      <c r="W114" s="51">
        <v>23.4</v>
      </c>
      <c r="X114" s="51">
        <v>23</v>
      </c>
      <c r="Y114" s="51"/>
      <c r="Z114" s="111">
        <v>23.2</v>
      </c>
      <c r="AA114" s="51">
        <v>23.6</v>
      </c>
      <c r="AB114" s="51">
        <v>22.2</v>
      </c>
      <c r="AC114" s="51">
        <v>23.6</v>
      </c>
      <c r="AD114" s="51">
        <v>23.8</v>
      </c>
      <c r="AE114" s="51">
        <v>24</v>
      </c>
      <c r="AF114" s="51">
        <v>23.8</v>
      </c>
      <c r="AG114" s="51">
        <v>24</v>
      </c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22</v>
      </c>
      <c r="AQ114" s="89">
        <f t="shared" si="7"/>
        <v>23.318181818181817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/>
      <c r="L115" s="51">
        <v>20.2</v>
      </c>
      <c r="M115" s="51">
        <v>21.2</v>
      </c>
      <c r="N115" s="51">
        <v>20.2</v>
      </c>
      <c r="O115" s="51">
        <v>20.399999999999999</v>
      </c>
      <c r="P115" s="51">
        <v>21.2</v>
      </c>
      <c r="Q115" s="51">
        <v>20.399999999999999</v>
      </c>
      <c r="R115" s="51">
        <v>24.2</v>
      </c>
      <c r="S115" s="51">
        <v>20.2</v>
      </c>
      <c r="T115" s="51">
        <v>21.2</v>
      </c>
      <c r="U115" s="51">
        <v>20.2</v>
      </c>
      <c r="V115" s="51"/>
      <c r="W115" s="51">
        <v>20.2</v>
      </c>
      <c r="X115" s="51">
        <v>21.2</v>
      </c>
      <c r="Y115" s="51">
        <v>20.2</v>
      </c>
      <c r="Z115" s="111">
        <v>22.2</v>
      </c>
      <c r="AA115" s="51">
        <v>21.4</v>
      </c>
      <c r="AB115" s="51">
        <v>20.2</v>
      </c>
      <c r="AC115" s="51">
        <v>21.2</v>
      </c>
      <c r="AD115" s="51">
        <v>21.2</v>
      </c>
      <c r="AE115" s="51">
        <v>20.6</v>
      </c>
      <c r="AF115" s="51">
        <v>21.2</v>
      </c>
      <c r="AG115" s="51">
        <v>22.2</v>
      </c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21</v>
      </c>
      <c r="AQ115" s="89">
        <f t="shared" si="7"/>
        <v>21.009523809523802</v>
      </c>
      <c r="AR115" s="89">
        <f>IFERROR(VLOOKUP(A115,Climatologia!A:U,9+$E$2,FALSE),"")</f>
        <v>18.75583446627941</v>
      </c>
      <c r="AS115" s="89">
        <f t="shared" si="8"/>
        <v>2.2536893432443925</v>
      </c>
      <c r="AT115" s="90">
        <f t="shared" si="9"/>
        <v>20.2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40837</v>
      </c>
      <c r="AW115" s="92">
        <f t="shared" si="10"/>
        <v>4.1999999999999993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25.4</v>
      </c>
      <c r="L116" s="51"/>
      <c r="M116" s="51">
        <v>21.8</v>
      </c>
      <c r="N116" s="51">
        <v>24.4</v>
      </c>
      <c r="O116" s="51">
        <v>24.4</v>
      </c>
      <c r="P116" s="51">
        <v>23</v>
      </c>
      <c r="Q116" s="51">
        <v>22</v>
      </c>
      <c r="R116" s="51"/>
      <c r="S116" s="51"/>
      <c r="T116" s="51"/>
      <c r="U116" s="51"/>
      <c r="V116" s="51"/>
      <c r="W116" s="51"/>
      <c r="X116" s="51">
        <v>23.2</v>
      </c>
      <c r="Y116" s="51">
        <v>22.2</v>
      </c>
      <c r="Z116" s="111">
        <v>23.6</v>
      </c>
      <c r="AA116" s="51"/>
      <c r="AB116" s="51"/>
      <c r="AC116" s="51">
        <v>22.4</v>
      </c>
      <c r="AD116" s="51">
        <v>23.6</v>
      </c>
      <c r="AE116" s="51">
        <v>22.2</v>
      </c>
      <c r="AF116" s="51">
        <v>22.4</v>
      </c>
      <c r="AG116" s="51">
        <v>24</v>
      </c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14</v>
      </c>
      <c r="AQ116" s="89" t="str">
        <f t="shared" si="7"/>
        <v/>
      </c>
      <c r="AR116" s="89">
        <f>IFERROR(VLOOKUP(A116,Climatologia!A:U,9+$E$2,FALSE),"")</f>
        <v>22.6328308967636</v>
      </c>
      <c r="AS116" s="89" t="str">
        <f t="shared" si="8"/>
        <v/>
      </c>
      <c r="AT116" s="90">
        <f t="shared" si="9"/>
        <v>21.8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18.600000000000001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39750</v>
      </c>
      <c r="AW116" s="92">
        <f t="shared" si="10"/>
        <v>3.1999999999999993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22.07055118821722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16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9.1999999999999993</v>
      </c>
      <c r="L118" s="51">
        <v>8.8000000000000007</v>
      </c>
      <c r="M118" s="51">
        <v>8</v>
      </c>
      <c r="N118" s="51">
        <v>8.1999999999999993</v>
      </c>
      <c r="O118" s="51">
        <v>5</v>
      </c>
      <c r="P118" s="51">
        <v>6.4</v>
      </c>
      <c r="Q118" s="109">
        <v>3.4</v>
      </c>
      <c r="R118" s="109">
        <v>4.4000000000000004</v>
      </c>
      <c r="S118" s="51">
        <v>5.8</v>
      </c>
      <c r="T118" s="51">
        <v>7.6</v>
      </c>
      <c r="U118" s="51">
        <v>4.8</v>
      </c>
      <c r="V118" s="109">
        <v>5.2</v>
      </c>
      <c r="W118" s="51">
        <v>10</v>
      </c>
      <c r="X118" s="51">
        <v>5.6</v>
      </c>
      <c r="Y118" s="51">
        <v>7.2</v>
      </c>
      <c r="Z118" s="111">
        <v>9.6</v>
      </c>
      <c r="AA118" s="109">
        <v>3.6</v>
      </c>
      <c r="AB118" s="51">
        <v>4.2</v>
      </c>
      <c r="AC118" s="51">
        <v>6.4</v>
      </c>
      <c r="AD118" s="51">
        <v>6.4</v>
      </c>
      <c r="AE118" s="51">
        <v>9.4</v>
      </c>
      <c r="AF118" s="109">
        <v>5.6</v>
      </c>
      <c r="AG118" s="51">
        <v>5.8</v>
      </c>
      <c r="AH118" s="109">
        <v>4.4000000000000004</v>
      </c>
      <c r="AI118" s="51"/>
      <c r="AJ118" s="51"/>
      <c r="AK118" s="51"/>
      <c r="AL118" s="51"/>
      <c r="AM118" s="51"/>
      <c r="AN118" s="51"/>
      <c r="AO118" s="51"/>
      <c r="AP118" s="88">
        <f t="shared" si="6"/>
        <v>24</v>
      </c>
      <c r="AQ118" s="89">
        <f t="shared" si="7"/>
        <v>6.458333333333333</v>
      </c>
      <c r="AR118" s="89">
        <f>IFERROR(VLOOKUP(A118,Climatologia!A:U,9+$E$2,FALSE),"")</f>
        <v>5.5130888465137637</v>
      </c>
      <c r="AS118" s="89">
        <f t="shared" si="8"/>
        <v>0.9452444868195693</v>
      </c>
      <c r="AT118" s="90">
        <f t="shared" si="9"/>
        <v>3.4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-2.6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18" s="92">
        <f t="shared" si="10"/>
        <v>6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20.253505992413221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39726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12.7</v>
      </c>
      <c r="L120" s="51">
        <v>13.3</v>
      </c>
      <c r="M120" s="51">
        <v>11.7</v>
      </c>
      <c r="N120" s="51">
        <v>12.4</v>
      </c>
      <c r="O120" s="51">
        <v>8.3000000000000007</v>
      </c>
      <c r="P120" s="51">
        <v>10.1</v>
      </c>
      <c r="Q120" s="51">
        <v>11.9</v>
      </c>
      <c r="R120" s="51">
        <v>12.4</v>
      </c>
      <c r="S120" s="51">
        <v>12.4</v>
      </c>
      <c r="T120" s="51">
        <v>13.1</v>
      </c>
      <c r="U120" s="51">
        <v>13.6</v>
      </c>
      <c r="V120" s="51">
        <v>12.7</v>
      </c>
      <c r="W120" s="51">
        <v>13.3</v>
      </c>
      <c r="X120" s="51">
        <v>13.7</v>
      </c>
      <c r="Y120" s="51">
        <v>13.1</v>
      </c>
      <c r="Z120" s="111">
        <v>12.5</v>
      </c>
      <c r="AA120" s="51">
        <v>12.1</v>
      </c>
      <c r="AB120" s="51">
        <v>10.3</v>
      </c>
      <c r="AC120" s="51">
        <v>11.5</v>
      </c>
      <c r="AD120" s="51">
        <v>11.9</v>
      </c>
      <c r="AE120" s="51">
        <v>12.7</v>
      </c>
      <c r="AF120" s="51">
        <v>12.6</v>
      </c>
      <c r="AG120" s="51">
        <v>13.4</v>
      </c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23</v>
      </c>
      <c r="AQ120" s="89">
        <f t="shared" si="7"/>
        <v>12.247826086956522</v>
      </c>
      <c r="AR120" s="89">
        <f>IFERROR(VLOOKUP(A120,Climatologia!A:U,9+$E$2,FALSE),"")</f>
        <v>11.26360659992584</v>
      </c>
      <c r="AS120" s="89">
        <f t="shared" si="8"/>
        <v>0.98421948703068196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4.5999999999999996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29159</v>
      </c>
      <c r="AW120" s="92">
        <f t="shared" si="10"/>
        <v>3.7000000000000011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13.470779214163249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10.199999999999999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32059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9.4</v>
      </c>
      <c r="L122" s="51">
        <v>10</v>
      </c>
      <c r="M122" s="51">
        <v>9.6</v>
      </c>
      <c r="N122" s="51">
        <v>8.8000000000000007</v>
      </c>
      <c r="O122" s="51">
        <v>4.5999999999999996</v>
      </c>
      <c r="P122" s="51">
        <v>8</v>
      </c>
      <c r="Q122" s="51">
        <v>8.4</v>
      </c>
      <c r="R122" s="51">
        <v>8.8000000000000007</v>
      </c>
      <c r="S122" s="51">
        <v>9.1999999999999993</v>
      </c>
      <c r="T122" s="51">
        <v>8.8000000000000007</v>
      </c>
      <c r="U122" s="51">
        <v>8</v>
      </c>
      <c r="V122" s="51">
        <v>8.4</v>
      </c>
      <c r="W122" s="51">
        <v>10.8</v>
      </c>
      <c r="X122" s="51">
        <v>8.6</v>
      </c>
      <c r="Y122" s="51">
        <v>10.4</v>
      </c>
      <c r="Z122" s="111">
        <v>7.8</v>
      </c>
      <c r="AA122" s="51">
        <v>7.6</v>
      </c>
      <c r="AB122" s="51">
        <v>6.6</v>
      </c>
      <c r="AC122" s="51">
        <v>7.7</v>
      </c>
      <c r="AD122" s="51">
        <v>10.4</v>
      </c>
      <c r="AE122" s="51">
        <v>10.6</v>
      </c>
      <c r="AF122" s="51">
        <v>6.8</v>
      </c>
      <c r="AG122" s="51">
        <v>10.4</v>
      </c>
      <c r="AH122" s="51">
        <v>8</v>
      </c>
      <c r="AI122" s="51"/>
      <c r="AJ122" s="51"/>
      <c r="AK122" s="51"/>
      <c r="AL122" s="51"/>
      <c r="AM122" s="51"/>
      <c r="AN122" s="51"/>
      <c r="AO122" s="51"/>
      <c r="AP122" s="88">
        <f t="shared" si="6"/>
        <v>24</v>
      </c>
      <c r="AQ122" s="89">
        <f t="shared" si="7"/>
        <v>8.6541666666666668</v>
      </c>
      <c r="AR122" s="89">
        <f>IFERROR(VLOOKUP(A122,Climatologia!A:U,9+$E$2,FALSE),"")</f>
        <v>7.9500742094390597</v>
      </c>
      <c r="AS122" s="89">
        <f t="shared" si="8"/>
        <v>0.70409245722760705</v>
      </c>
      <c r="AT122" s="90">
        <f t="shared" si="9"/>
        <v>4.5999999999999996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33526</v>
      </c>
      <c r="AW122" s="92">
        <f t="shared" si="10"/>
        <v>2.6999999999999997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>
        <v>23.8</v>
      </c>
      <c r="U123" s="51">
        <v>23</v>
      </c>
      <c r="V123" s="51">
        <v>24.2</v>
      </c>
      <c r="W123" s="51">
        <v>22</v>
      </c>
      <c r="X123" s="51">
        <v>22.6</v>
      </c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5</v>
      </c>
      <c r="AQ123" s="89" t="str">
        <f t="shared" si="7"/>
        <v/>
      </c>
      <c r="AR123" s="89">
        <f>IFERROR(VLOOKUP(A123,Climatologia!A:U,9+$E$2,FALSE),"")</f>
        <v>21.187243056659071</v>
      </c>
      <c r="AS123" s="89" t="str">
        <f t="shared" si="8"/>
        <v/>
      </c>
      <c r="AT123" s="90">
        <f t="shared" si="9"/>
        <v>22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34623</v>
      </c>
      <c r="AW123" s="92">
        <f t="shared" si="10"/>
        <v>4.5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22.904573697270472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12.9</v>
      </c>
      <c r="L125" s="51">
        <v>12.6</v>
      </c>
      <c r="M125" s="51">
        <v>11.5</v>
      </c>
      <c r="N125" s="51">
        <v>12.4</v>
      </c>
      <c r="O125" s="51">
        <v>11.5</v>
      </c>
      <c r="P125" s="51">
        <v>12.6</v>
      </c>
      <c r="Q125" s="51">
        <v>12.2</v>
      </c>
      <c r="R125" s="51">
        <v>11.7</v>
      </c>
      <c r="S125" s="51">
        <v>11.5</v>
      </c>
      <c r="T125" s="51">
        <v>11.6</v>
      </c>
      <c r="U125" s="51">
        <v>12.2</v>
      </c>
      <c r="V125" s="51">
        <v>10.6</v>
      </c>
      <c r="W125" s="51">
        <v>12.2</v>
      </c>
      <c r="X125" s="51">
        <v>11.6</v>
      </c>
      <c r="Y125" s="51">
        <v>12.7</v>
      </c>
      <c r="Z125" s="111">
        <v>13.2</v>
      </c>
      <c r="AA125" s="51">
        <v>11.6</v>
      </c>
      <c r="AB125" s="51">
        <v>10.4</v>
      </c>
      <c r="AC125" s="51">
        <v>12.3</v>
      </c>
      <c r="AD125" s="51">
        <v>12.9</v>
      </c>
      <c r="AE125" s="51">
        <v>11.7</v>
      </c>
      <c r="AF125" s="51">
        <v>12.3</v>
      </c>
      <c r="AG125" s="51">
        <v>11.9</v>
      </c>
      <c r="AH125" s="51">
        <v>11.7</v>
      </c>
      <c r="AI125" s="51"/>
      <c r="AJ125" s="51"/>
      <c r="AK125" s="51"/>
      <c r="AL125" s="51"/>
      <c r="AM125" s="51"/>
      <c r="AN125" s="51"/>
      <c r="AO125" s="51"/>
      <c r="AP125" s="88">
        <f t="shared" si="6"/>
        <v>24</v>
      </c>
      <c r="AQ125" s="89">
        <f t="shared" si="7"/>
        <v>11.991666666666662</v>
      </c>
      <c r="AR125" s="89">
        <f>IFERROR(VLOOKUP(A125,Climatologia!A:U,9+$E$2,FALSE),"")</f>
        <v>11.11451612903226</v>
      </c>
      <c r="AS125" s="89">
        <f t="shared" si="8"/>
        <v>0.87715053763440132</v>
      </c>
      <c r="AT125" s="90">
        <f t="shared" si="9"/>
        <v>10.4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35704</v>
      </c>
      <c r="AW125" s="92">
        <f t="shared" si="10"/>
        <v>5.4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</v>
      </c>
      <c r="L126" s="51">
        <v>13.4</v>
      </c>
      <c r="M126" s="51">
        <v>14.2</v>
      </c>
      <c r="N126" s="51">
        <v>13.6</v>
      </c>
      <c r="O126" s="51">
        <v>13.2</v>
      </c>
      <c r="P126" s="51">
        <v>13.4</v>
      </c>
      <c r="Q126" s="51">
        <v>15.2</v>
      </c>
      <c r="R126" s="51">
        <v>12.4</v>
      </c>
      <c r="S126" s="51">
        <v>13.2</v>
      </c>
      <c r="T126" s="51">
        <v>14</v>
      </c>
      <c r="U126" s="51">
        <v>13.8</v>
      </c>
      <c r="V126" s="51">
        <v>12.6</v>
      </c>
      <c r="W126" s="51">
        <v>12.6</v>
      </c>
      <c r="X126" s="51">
        <v>12.8</v>
      </c>
      <c r="Y126" s="51">
        <v>14.2</v>
      </c>
      <c r="Z126" s="111">
        <v>15</v>
      </c>
      <c r="AA126" s="51">
        <v>13</v>
      </c>
      <c r="AB126" s="51">
        <v>13.2</v>
      </c>
      <c r="AC126" s="51">
        <v>14.2</v>
      </c>
      <c r="AD126" s="51">
        <v>14.4</v>
      </c>
      <c r="AE126" s="51">
        <v>14</v>
      </c>
      <c r="AF126" s="51">
        <v>13.4</v>
      </c>
      <c r="AG126" s="51">
        <v>13.6</v>
      </c>
      <c r="AH126" s="51">
        <v>13.8</v>
      </c>
      <c r="AI126" s="51"/>
      <c r="AJ126" s="51"/>
      <c r="AK126" s="51"/>
      <c r="AL126" s="51"/>
      <c r="AM126" s="51"/>
      <c r="AN126" s="51"/>
      <c r="AO126" s="51"/>
      <c r="AP126" s="88">
        <f t="shared" si="6"/>
        <v>24</v>
      </c>
      <c r="AQ126" s="89">
        <f t="shared" si="7"/>
        <v>13.591666666666667</v>
      </c>
      <c r="AR126" s="89">
        <f>IFERROR(VLOOKUP(A126,Climatologia!A:U,9+$E$2,FALSE),"")</f>
        <v>12.9298129284317</v>
      </c>
      <c r="AS126" s="89">
        <f t="shared" si="8"/>
        <v>0.66185373823496718</v>
      </c>
      <c r="AT126" s="90">
        <f t="shared" si="9"/>
        <v>12.4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28768</v>
      </c>
      <c r="AW126" s="92">
        <f t="shared" si="10"/>
        <v>4.2000000000000011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14.690978535821699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30240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10.4</v>
      </c>
      <c r="L128" s="51">
        <v>11.6</v>
      </c>
      <c r="M128" s="51">
        <v>11</v>
      </c>
      <c r="N128" s="51">
        <v>8.4</v>
      </c>
      <c r="O128" s="51">
        <v>8</v>
      </c>
      <c r="P128" s="51">
        <v>7.6</v>
      </c>
      <c r="Q128" s="51">
        <v>9.6</v>
      </c>
      <c r="R128" s="51">
        <v>8.6</v>
      </c>
      <c r="S128" s="51">
        <v>9.9</v>
      </c>
      <c r="T128" s="51">
        <v>10.4</v>
      </c>
      <c r="U128" s="51">
        <v>8.6</v>
      </c>
      <c r="V128" s="51">
        <v>8.8000000000000007</v>
      </c>
      <c r="W128" s="51">
        <v>11</v>
      </c>
      <c r="X128" s="51">
        <v>9</v>
      </c>
      <c r="Y128" s="51">
        <v>10.8</v>
      </c>
      <c r="Z128" s="111">
        <v>9.6</v>
      </c>
      <c r="AA128" s="51">
        <v>8.4</v>
      </c>
      <c r="AB128" s="51">
        <v>10.199999999999999</v>
      </c>
      <c r="AC128" s="51">
        <v>9.6</v>
      </c>
      <c r="AD128" s="51">
        <v>11.4</v>
      </c>
      <c r="AE128" s="51">
        <v>11.6</v>
      </c>
      <c r="AF128" s="51">
        <v>8.6</v>
      </c>
      <c r="AG128" s="51">
        <v>12.2</v>
      </c>
      <c r="AH128" s="51">
        <v>9.4</v>
      </c>
      <c r="AI128" s="51"/>
      <c r="AJ128" s="51"/>
      <c r="AK128" s="51"/>
      <c r="AL128" s="51"/>
      <c r="AM128" s="51"/>
      <c r="AN128" s="51"/>
      <c r="AO128" s="51"/>
      <c r="AP128" s="88">
        <f t="shared" si="6"/>
        <v>24</v>
      </c>
      <c r="AQ128" s="89">
        <f t="shared" si="7"/>
        <v>9.779166666666665</v>
      </c>
      <c r="AR128" s="89">
        <f>IFERROR(VLOOKUP(A128,Climatologia!A:U,9+$E$2,FALSE),"")</f>
        <v>9.2558272611498413</v>
      </c>
      <c r="AS128" s="89">
        <f t="shared" si="8"/>
        <v>0.52333940551682367</v>
      </c>
      <c r="AT128" s="90">
        <f t="shared" si="9"/>
        <v>7.6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37897</v>
      </c>
      <c r="AW128" s="92">
        <f t="shared" si="10"/>
        <v>3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12</v>
      </c>
      <c r="L129" s="51">
        <v>13.6</v>
      </c>
      <c r="M129" s="51">
        <v>13.2</v>
      </c>
      <c r="N129" s="51">
        <v>12.2</v>
      </c>
      <c r="O129" s="51">
        <v>11.6</v>
      </c>
      <c r="P129" s="51">
        <v>11</v>
      </c>
      <c r="Q129" s="51">
        <v>12</v>
      </c>
      <c r="R129" s="51">
        <v>11.4</v>
      </c>
      <c r="S129" s="51">
        <v>12.2</v>
      </c>
      <c r="T129" s="51">
        <v>13.6</v>
      </c>
      <c r="U129" s="51">
        <v>11.8</v>
      </c>
      <c r="V129" s="51">
        <v>12.2</v>
      </c>
      <c r="W129" s="51">
        <v>14.2</v>
      </c>
      <c r="X129" s="51">
        <v>13</v>
      </c>
      <c r="Y129" s="51">
        <v>14</v>
      </c>
      <c r="Z129" s="111">
        <v>13.4</v>
      </c>
      <c r="AA129" s="51">
        <v>11.2</v>
      </c>
      <c r="AB129" s="51">
        <v>10.8</v>
      </c>
      <c r="AC129" s="51">
        <v>12.4</v>
      </c>
      <c r="AD129" s="51">
        <v>12</v>
      </c>
      <c r="AE129" s="51">
        <v>14</v>
      </c>
      <c r="AF129" s="51">
        <v>13.6</v>
      </c>
      <c r="AG129" s="51">
        <v>11</v>
      </c>
      <c r="AH129" s="51">
        <v>11.8</v>
      </c>
      <c r="AI129" s="51"/>
      <c r="AJ129" s="51"/>
      <c r="AK129" s="51"/>
      <c r="AL129" s="51"/>
      <c r="AM129" s="51"/>
      <c r="AN129" s="51"/>
      <c r="AO129" s="51"/>
      <c r="AP129" s="88">
        <f t="shared" si="6"/>
        <v>24</v>
      </c>
      <c r="AQ129" s="89">
        <f t="shared" si="7"/>
        <v>12.424999999999999</v>
      </c>
      <c r="AR129" s="89">
        <f>IFERROR(VLOOKUP(A129,Climatologia!A:U,9+$E$2,FALSE),"")</f>
        <v>11.24803033794163</v>
      </c>
      <c r="AS129" s="89">
        <f t="shared" si="8"/>
        <v>1.1769696620583687</v>
      </c>
      <c r="AT129" s="90">
        <f t="shared" si="9"/>
        <v>10.8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33533</v>
      </c>
      <c r="AW129" s="92">
        <f t="shared" si="10"/>
        <v>3.6000000000000005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15.2</v>
      </c>
      <c r="L130" s="51">
        <v>15.6</v>
      </c>
      <c r="M130" s="51">
        <v>15.6</v>
      </c>
      <c r="N130" s="51">
        <v>15.8</v>
      </c>
      <c r="O130" s="51">
        <v>15.6</v>
      </c>
      <c r="P130" s="51">
        <v>16.2</v>
      </c>
      <c r="Q130" s="51">
        <v>15.8</v>
      </c>
      <c r="R130" s="51">
        <v>15.6</v>
      </c>
      <c r="S130" s="51">
        <v>15.4</v>
      </c>
      <c r="T130" s="51">
        <v>15.8</v>
      </c>
      <c r="U130" s="51">
        <v>15.2</v>
      </c>
      <c r="V130" s="51">
        <v>15.2</v>
      </c>
      <c r="W130" s="51">
        <v>14.8</v>
      </c>
      <c r="X130" s="51">
        <v>15.4</v>
      </c>
      <c r="Y130" s="51">
        <v>16.8</v>
      </c>
      <c r="Z130" s="111">
        <v>16.399999999999999</v>
      </c>
      <c r="AA130" s="51">
        <v>15.2</v>
      </c>
      <c r="AB130" s="51">
        <v>15.4</v>
      </c>
      <c r="AC130" s="51">
        <v>15.8</v>
      </c>
      <c r="AD130" s="51">
        <v>16.399999999999999</v>
      </c>
      <c r="AE130" s="51">
        <v>14</v>
      </c>
      <c r="AF130" s="51">
        <v>15.8</v>
      </c>
      <c r="AG130" s="51">
        <v>15.6</v>
      </c>
      <c r="AH130" s="51">
        <v>15.4</v>
      </c>
      <c r="AI130" s="51"/>
      <c r="AJ130" s="51"/>
      <c r="AK130" s="51"/>
      <c r="AL130" s="51"/>
      <c r="AM130" s="51"/>
      <c r="AN130" s="51"/>
      <c r="AO130" s="51"/>
      <c r="AP130" s="88">
        <f t="shared" si="6"/>
        <v>24</v>
      </c>
      <c r="AQ130" s="89">
        <f t="shared" si="7"/>
        <v>15.583333333333334</v>
      </c>
      <c r="AR130" s="89">
        <f>IFERROR(VLOOKUP(A130,Climatologia!A:U,9+$E$2,FALSE),"")</f>
        <v>14.52971408070499</v>
      </c>
      <c r="AS130" s="89">
        <f t="shared" si="8"/>
        <v>1.0536192526283443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30961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4.8</v>
      </c>
      <c r="L131" s="51">
        <v>4.8</v>
      </c>
      <c r="M131" s="51">
        <v>5</v>
      </c>
      <c r="N131" s="51">
        <v>6</v>
      </c>
      <c r="O131" s="109">
        <v>3.2</v>
      </c>
      <c r="P131" s="51">
        <v>4.5999999999999996</v>
      </c>
      <c r="Q131" s="51">
        <v>5.2</v>
      </c>
      <c r="R131" s="51">
        <v>6</v>
      </c>
      <c r="S131" s="51">
        <v>6.2</v>
      </c>
      <c r="T131" s="51">
        <v>5.8</v>
      </c>
      <c r="U131" s="51">
        <v>6</v>
      </c>
      <c r="V131" s="51">
        <v>5.4</v>
      </c>
      <c r="W131" s="51">
        <v>6</v>
      </c>
      <c r="X131" s="51">
        <v>6.4</v>
      </c>
      <c r="Y131" s="51">
        <v>6</v>
      </c>
      <c r="Z131" s="111">
        <v>5</v>
      </c>
      <c r="AA131" s="51">
        <v>5.6</v>
      </c>
      <c r="AB131" s="51">
        <v>4.5999999999999996</v>
      </c>
      <c r="AC131" s="51">
        <v>5.4</v>
      </c>
      <c r="AD131" s="51">
        <v>5.2</v>
      </c>
      <c r="AE131" s="109">
        <v>5</v>
      </c>
      <c r="AF131" s="51">
        <v>5.8</v>
      </c>
      <c r="AG131" s="109">
        <v>5.4</v>
      </c>
      <c r="AH131" s="51">
        <v>5</v>
      </c>
      <c r="AI131" s="51"/>
      <c r="AJ131" s="51"/>
      <c r="AK131" s="51"/>
      <c r="AL131" s="51"/>
      <c r="AM131" s="51"/>
      <c r="AN131" s="51"/>
      <c r="AO131" s="51"/>
      <c r="AP131" s="88">
        <f t="shared" si="6"/>
        <v>24</v>
      </c>
      <c r="AQ131" s="89">
        <f t="shared" si="7"/>
        <v>5.3500000000000005</v>
      </c>
      <c r="AR131" s="89">
        <f>IFERROR(VLOOKUP(A131,Climatologia!A:U,9+$E$2,FALSE),"")</f>
        <v>6.3434940056853293</v>
      </c>
      <c r="AS131" s="89">
        <f t="shared" si="8"/>
        <v>-0.99349400568532875</v>
      </c>
      <c r="AT131" s="90">
        <f t="shared" si="9"/>
        <v>3.2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39382</v>
      </c>
      <c r="AW131" s="92">
        <f t="shared" si="10"/>
        <v>2.2000000000000002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15.50207778758007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28779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16.8</v>
      </c>
      <c r="L133" s="51">
        <v>18.8</v>
      </c>
      <c r="M133" s="51">
        <v>16.2</v>
      </c>
      <c r="N133" s="51">
        <v>16.600000000000001</v>
      </c>
      <c r="O133" s="51">
        <v>15.4</v>
      </c>
      <c r="P133" s="51">
        <v>17</v>
      </c>
      <c r="Q133" s="51">
        <v>16.399999999999999</v>
      </c>
      <c r="R133" s="51">
        <v>16</v>
      </c>
      <c r="S133" s="51">
        <v>14.8</v>
      </c>
      <c r="T133" s="51">
        <v>18.2</v>
      </c>
      <c r="U133" s="51">
        <v>15.8</v>
      </c>
      <c r="V133" s="51">
        <v>16.2</v>
      </c>
      <c r="W133" s="51">
        <v>15.6</v>
      </c>
      <c r="X133" s="51">
        <v>17.399999999999999</v>
      </c>
      <c r="Y133" s="51">
        <v>16.8</v>
      </c>
      <c r="Z133" s="111">
        <v>16.2</v>
      </c>
      <c r="AA133" s="51">
        <v>15</v>
      </c>
      <c r="AB133" s="51">
        <v>14.8</v>
      </c>
      <c r="AC133" s="51">
        <v>16.8</v>
      </c>
      <c r="AD133" s="51">
        <v>17.399999999999999</v>
      </c>
      <c r="AE133" s="51">
        <v>18.2</v>
      </c>
      <c r="AF133" s="51">
        <v>16.2</v>
      </c>
      <c r="AG133" s="51">
        <v>15</v>
      </c>
      <c r="AH133" s="51">
        <v>14.8</v>
      </c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24</v>
      </c>
      <c r="AQ133" s="89">
        <f t="shared" ref="AQ133:AQ196" si="12">IF(AP133&gt;14,AVERAGE(K133:AO133),"")</f>
        <v>16.350000000000001</v>
      </c>
      <c r="AR133" s="89">
        <f>IFERROR(VLOOKUP(A133,Climatologia!A:U,9+$E$2,FALSE),"")</f>
        <v>14.56684579289888</v>
      </c>
      <c r="AS133" s="89">
        <f t="shared" ref="AS133:AS196" si="13">IF(OR(AQ133="",AR133=""),"",IFERROR(AQ133-AR133,""))</f>
        <v>1.7831542071011217</v>
      </c>
      <c r="AT133" s="90">
        <f t="shared" ref="AT133:AT196" si="14">IF(COUNT(K133:AO133)=0,"",MIN(K133:AO133))</f>
        <v>14.8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28765</v>
      </c>
      <c r="AW133" s="92">
        <f t="shared" ref="AW133:AW196" si="15">IF(OR(AT133="",AU133=""),"NA",IFERROR(AT133-AU133,"NA"))</f>
        <v>4.8000000000000007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10.199999999999999</v>
      </c>
      <c r="L134" s="51">
        <v>11.8</v>
      </c>
      <c r="M134" s="51">
        <v>11</v>
      </c>
      <c r="N134" s="51">
        <v>10.4</v>
      </c>
      <c r="O134" s="51">
        <v>9</v>
      </c>
      <c r="P134" s="51">
        <v>9</v>
      </c>
      <c r="Q134" s="51">
        <v>10.4</v>
      </c>
      <c r="R134" s="51">
        <v>10.1</v>
      </c>
      <c r="S134" s="51">
        <v>11.1</v>
      </c>
      <c r="T134" s="51">
        <v>9.1</v>
      </c>
      <c r="U134" s="51">
        <v>11</v>
      </c>
      <c r="V134" s="51">
        <v>10</v>
      </c>
      <c r="W134" s="51">
        <v>11.1</v>
      </c>
      <c r="X134" s="51">
        <v>11.4</v>
      </c>
      <c r="Y134" s="51">
        <v>12</v>
      </c>
      <c r="Z134" s="111">
        <v>12</v>
      </c>
      <c r="AA134" s="51">
        <v>10.4</v>
      </c>
      <c r="AB134" s="51">
        <v>11.1</v>
      </c>
      <c r="AC134" s="51">
        <v>10.6</v>
      </c>
      <c r="AD134" s="51">
        <v>11.6</v>
      </c>
      <c r="AE134" s="51">
        <v>11.6</v>
      </c>
      <c r="AF134" s="51">
        <v>11.2</v>
      </c>
      <c r="AG134" s="51">
        <v>11.1</v>
      </c>
      <c r="AH134" s="51">
        <v>11.2</v>
      </c>
      <c r="AI134" s="51"/>
      <c r="AJ134" s="51"/>
      <c r="AK134" s="51"/>
      <c r="AL134" s="51"/>
      <c r="AM134" s="51"/>
      <c r="AN134" s="51"/>
      <c r="AO134" s="51"/>
      <c r="AP134" s="88">
        <f t="shared" si="11"/>
        <v>24</v>
      </c>
      <c r="AQ134" s="89">
        <f t="shared" si="12"/>
        <v>10.766666666666666</v>
      </c>
      <c r="AR134" s="89">
        <f>IFERROR(VLOOKUP(A134,Climatologia!A:U,9+$E$2,FALSE),"")</f>
        <v>9.466164462571582</v>
      </c>
      <c r="AS134" s="89">
        <f t="shared" si="13"/>
        <v>1.3005022040950838</v>
      </c>
      <c r="AT134" s="90">
        <f t="shared" si="14"/>
        <v>9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5.2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36450</v>
      </c>
      <c r="AW134" s="92">
        <f t="shared" si="15"/>
        <v>3.8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13.4</v>
      </c>
      <c r="L135" s="51">
        <v>14.8</v>
      </c>
      <c r="M135" s="51">
        <v>13.2</v>
      </c>
      <c r="N135" s="51">
        <v>12.8</v>
      </c>
      <c r="O135" s="51">
        <v>11</v>
      </c>
      <c r="P135" s="51">
        <v>11.8</v>
      </c>
      <c r="Q135" s="51">
        <v>12</v>
      </c>
      <c r="R135" s="51">
        <v>12.4</v>
      </c>
      <c r="S135" s="51">
        <v>12.4</v>
      </c>
      <c r="T135" s="51">
        <v>13.2</v>
      </c>
      <c r="U135" s="51">
        <v>12.6</v>
      </c>
      <c r="V135" s="51">
        <v>11.8</v>
      </c>
      <c r="W135" s="51">
        <v>13.6</v>
      </c>
      <c r="X135" s="51">
        <v>14.2</v>
      </c>
      <c r="Y135" s="51">
        <v>14.2</v>
      </c>
      <c r="Z135" s="111">
        <v>12.4</v>
      </c>
      <c r="AA135" s="51">
        <v>12.2</v>
      </c>
      <c r="AB135" s="51">
        <v>12.4</v>
      </c>
      <c r="AC135" s="51">
        <v>12.4</v>
      </c>
      <c r="AD135" s="51">
        <v>13.2</v>
      </c>
      <c r="AE135" s="51">
        <v>14.8</v>
      </c>
      <c r="AF135" s="51">
        <v>12.8</v>
      </c>
      <c r="AG135" s="51">
        <v>13.8</v>
      </c>
      <c r="AH135" s="51">
        <v>13.6</v>
      </c>
      <c r="AI135" s="51"/>
      <c r="AJ135" s="51"/>
      <c r="AK135" s="51"/>
      <c r="AL135" s="51"/>
      <c r="AM135" s="51"/>
      <c r="AN135" s="51"/>
      <c r="AO135" s="51"/>
      <c r="AP135" s="88">
        <f t="shared" si="11"/>
        <v>24</v>
      </c>
      <c r="AQ135" s="89">
        <f t="shared" si="12"/>
        <v>12.958333333333336</v>
      </c>
      <c r="AR135" s="89">
        <f>IFERROR(VLOOKUP(A135,Climatologia!A:U,9+$E$2,FALSE),"")</f>
        <v>12.27814052651094</v>
      </c>
      <c r="AS135" s="89">
        <f t="shared" si="13"/>
        <v>0.68019280682239547</v>
      </c>
      <c r="AT135" s="90">
        <f t="shared" si="14"/>
        <v>11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9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40454</v>
      </c>
      <c r="AW135" s="92">
        <f t="shared" si="15"/>
        <v>2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10.4</v>
      </c>
      <c r="L136" s="51">
        <v>11.4</v>
      </c>
      <c r="M136" s="51">
        <v>10</v>
      </c>
      <c r="N136" s="51">
        <v>8.1999999999999993</v>
      </c>
      <c r="O136" s="51">
        <v>7.6</v>
      </c>
      <c r="P136" s="51">
        <v>7.2</v>
      </c>
      <c r="Q136" s="51">
        <v>9.8000000000000007</v>
      </c>
      <c r="R136" s="51">
        <v>7</v>
      </c>
      <c r="S136" s="51">
        <v>10.4</v>
      </c>
      <c r="T136" s="51">
        <v>9.6</v>
      </c>
      <c r="U136" s="51">
        <v>7.8</v>
      </c>
      <c r="V136" s="51">
        <v>7.4</v>
      </c>
      <c r="W136" s="51">
        <v>11.2</v>
      </c>
      <c r="X136" s="51">
        <v>8.8000000000000007</v>
      </c>
      <c r="Y136" s="51">
        <v>11</v>
      </c>
      <c r="Z136" s="111">
        <v>8.1999999999999993</v>
      </c>
      <c r="AA136" s="51">
        <v>8</v>
      </c>
      <c r="AB136" s="51">
        <v>9</v>
      </c>
      <c r="AC136" s="51">
        <v>9.4</v>
      </c>
      <c r="AD136" s="51">
        <v>9.1999999999999993</v>
      </c>
      <c r="AE136" s="51">
        <v>11.8</v>
      </c>
      <c r="AF136" s="51">
        <v>9.4</v>
      </c>
      <c r="AG136" s="51">
        <v>12.2</v>
      </c>
      <c r="AH136" s="51">
        <v>9.4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24</v>
      </c>
      <c r="AQ136" s="89">
        <f t="shared" si="12"/>
        <v>9.35</v>
      </c>
      <c r="AR136" s="89">
        <f>IFERROR(VLOOKUP(A136,Climatologia!A:U,9+$E$2,FALSE),"")</f>
        <v>8.6618439174147142</v>
      </c>
      <c r="AS136" s="89">
        <f t="shared" si="13"/>
        <v>0.68815608258528549</v>
      </c>
      <c r="AT136" s="90">
        <f t="shared" si="14"/>
        <v>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43386</v>
      </c>
      <c r="AW136" s="92">
        <f t="shared" si="15"/>
        <v>3.8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9.1999999999999993</v>
      </c>
      <c r="L137" s="51">
        <v>9.6</v>
      </c>
      <c r="M137" s="51">
        <v>8.4</v>
      </c>
      <c r="N137" s="51">
        <v>8</v>
      </c>
      <c r="O137" s="51">
        <v>7.4</v>
      </c>
      <c r="P137" s="51">
        <v>6.6</v>
      </c>
      <c r="Q137" s="51">
        <v>7.2</v>
      </c>
      <c r="R137" s="51">
        <v>6.6</v>
      </c>
      <c r="S137" s="51">
        <v>8.1999999999999993</v>
      </c>
      <c r="T137" s="51">
        <v>8.8000000000000007</v>
      </c>
      <c r="U137" s="51">
        <v>7</v>
      </c>
      <c r="V137" s="51">
        <v>6.6</v>
      </c>
      <c r="W137" s="51">
        <v>8.8000000000000007</v>
      </c>
      <c r="X137" s="51">
        <v>9.4</v>
      </c>
      <c r="Y137" s="51">
        <v>9</v>
      </c>
      <c r="Z137" s="111">
        <v>8.1999999999999993</v>
      </c>
      <c r="AA137" s="51">
        <v>7</v>
      </c>
      <c r="AB137" s="51">
        <v>6.8</v>
      </c>
      <c r="AC137" s="51">
        <v>8.4</v>
      </c>
      <c r="AD137" s="51">
        <v>7</v>
      </c>
      <c r="AE137" s="51">
        <v>9.8000000000000007</v>
      </c>
      <c r="AF137" s="51">
        <v>8.6</v>
      </c>
      <c r="AG137" s="51">
        <v>9.1999999999999993</v>
      </c>
      <c r="AH137" s="51">
        <v>9.4</v>
      </c>
      <c r="AI137" s="51"/>
      <c r="AJ137" s="51"/>
      <c r="AK137" s="51"/>
      <c r="AL137" s="51"/>
      <c r="AM137" s="51"/>
      <c r="AN137" s="51"/>
      <c r="AO137" s="51"/>
      <c r="AP137" s="88">
        <f t="shared" si="11"/>
        <v>24</v>
      </c>
      <c r="AQ137" s="89">
        <f t="shared" si="12"/>
        <v>8.1333333333333346</v>
      </c>
      <c r="AR137" s="89">
        <f>IFERROR(VLOOKUP(A137,Climatologia!A:U,9+$E$2,FALSE),"")</f>
        <v>7.0970860215053753</v>
      </c>
      <c r="AS137" s="89">
        <f t="shared" si="13"/>
        <v>1.0362473118279594</v>
      </c>
      <c r="AT137" s="90">
        <f t="shared" si="14"/>
        <v>6.6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37" s="92">
        <f t="shared" si="15"/>
        <v>4.5999999999999996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24.4</v>
      </c>
      <c r="L138" s="51">
        <v>24</v>
      </c>
      <c r="M138" s="51">
        <v>23.6</v>
      </c>
      <c r="N138" s="51">
        <v>23</v>
      </c>
      <c r="O138" s="51">
        <v>24.2</v>
      </c>
      <c r="P138" s="51">
        <v>25</v>
      </c>
      <c r="Q138" s="51">
        <v>24.8</v>
      </c>
      <c r="R138" s="51">
        <v>24.6</v>
      </c>
      <c r="S138" s="51">
        <v>24.2</v>
      </c>
      <c r="T138" s="51">
        <v>24.2</v>
      </c>
      <c r="U138" s="51">
        <v>24.6</v>
      </c>
      <c r="V138" s="51">
        <v>24.2</v>
      </c>
      <c r="W138" s="51">
        <v>23.4</v>
      </c>
      <c r="X138" s="51">
        <v>23.8</v>
      </c>
      <c r="Y138" s="51">
        <v>25.2</v>
      </c>
      <c r="Z138" s="111">
        <v>24.4</v>
      </c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16</v>
      </c>
      <c r="AQ138" s="89">
        <f t="shared" si="12"/>
        <v>24.224999999999994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10.6</v>
      </c>
      <c r="L139" s="51">
        <v>11.6</v>
      </c>
      <c r="M139" s="51">
        <v>12.4</v>
      </c>
      <c r="N139" s="51">
        <v>10.199999999999999</v>
      </c>
      <c r="O139" s="51">
        <v>12</v>
      </c>
      <c r="P139" s="51">
        <v>13</v>
      </c>
      <c r="Q139" s="51">
        <v>12.2</v>
      </c>
      <c r="R139" s="51">
        <v>13</v>
      </c>
      <c r="S139" s="51">
        <v>12</v>
      </c>
      <c r="T139" s="51">
        <v>12.2</v>
      </c>
      <c r="U139" s="51">
        <v>11.8</v>
      </c>
      <c r="V139" s="51">
        <v>10.8</v>
      </c>
      <c r="W139" s="51">
        <v>11.2</v>
      </c>
      <c r="X139" s="51">
        <v>12.4</v>
      </c>
      <c r="Y139" s="51">
        <v>12.6</v>
      </c>
      <c r="Z139" s="111">
        <v>12</v>
      </c>
      <c r="AA139" s="51">
        <v>11.8</v>
      </c>
      <c r="AB139" s="51">
        <v>12</v>
      </c>
      <c r="AC139" s="51">
        <v>11</v>
      </c>
      <c r="AD139" s="51">
        <v>12.4</v>
      </c>
      <c r="AE139" s="51">
        <v>10.8</v>
      </c>
      <c r="AF139" s="51">
        <v>11.4</v>
      </c>
      <c r="AG139" s="51">
        <v>12.6</v>
      </c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23</v>
      </c>
      <c r="AQ139" s="89">
        <f t="shared" si="12"/>
        <v>11.826086956521742</v>
      </c>
      <c r="AR139" s="89">
        <f>IFERROR(VLOOKUP(A139,Climatologia!A:U,9+$E$2,FALSE),"")</f>
        <v>10.525168743244009</v>
      </c>
      <c r="AS139" s="89">
        <f t="shared" si="13"/>
        <v>1.3009182132777326</v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33890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</v>
      </c>
      <c r="L140" s="51">
        <v>14.8</v>
      </c>
      <c r="M140" s="51">
        <v>15.6</v>
      </c>
      <c r="N140" s="51">
        <v>14.6</v>
      </c>
      <c r="O140" s="51">
        <v>14.6</v>
      </c>
      <c r="P140" s="51">
        <v>16.600000000000001</v>
      </c>
      <c r="Q140" s="51">
        <v>16</v>
      </c>
      <c r="R140" s="51">
        <v>15.2</v>
      </c>
      <c r="S140" s="51">
        <v>15.8</v>
      </c>
      <c r="T140" s="51">
        <v>15.8</v>
      </c>
      <c r="U140" s="51">
        <v>14.6</v>
      </c>
      <c r="V140" s="51">
        <v>15.8</v>
      </c>
      <c r="W140" s="51">
        <v>15.8</v>
      </c>
      <c r="X140" s="51">
        <v>15.6</v>
      </c>
      <c r="Y140" s="51">
        <v>15.6</v>
      </c>
      <c r="Z140" s="111">
        <v>14.8</v>
      </c>
      <c r="AA140" s="51">
        <v>14.6</v>
      </c>
      <c r="AB140" s="51">
        <v>15</v>
      </c>
      <c r="AC140" s="51">
        <v>14.6</v>
      </c>
      <c r="AD140" s="51">
        <v>14.4</v>
      </c>
      <c r="AE140" s="51">
        <v>15.6</v>
      </c>
      <c r="AF140" s="51">
        <v>16.2</v>
      </c>
      <c r="AG140" s="51">
        <v>14.8</v>
      </c>
      <c r="AH140" s="51">
        <v>15.4</v>
      </c>
      <c r="AI140" s="51"/>
      <c r="AJ140" s="51"/>
      <c r="AK140" s="51"/>
      <c r="AL140" s="51"/>
      <c r="AM140" s="51"/>
      <c r="AN140" s="51"/>
      <c r="AO140" s="51"/>
      <c r="AP140" s="88">
        <f t="shared" si="11"/>
        <v>24</v>
      </c>
      <c r="AQ140" s="89">
        <f t="shared" si="12"/>
        <v>15.325000000000001</v>
      </c>
      <c r="AR140" s="89">
        <f>IFERROR(VLOOKUP(A140,Climatologia!A:U,9+$E$2,FALSE),"")</f>
        <v>14.800063060877999</v>
      </c>
      <c r="AS140" s="89">
        <f t="shared" si="13"/>
        <v>0.52493693912200179</v>
      </c>
      <c r="AT140" s="90">
        <f t="shared" si="14"/>
        <v>14.4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12.2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40" s="92">
        <f t="shared" si="15"/>
        <v>2.2000000000000011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</v>
      </c>
      <c r="L141" s="51">
        <v>25</v>
      </c>
      <c r="M141" s="51">
        <v>25.2</v>
      </c>
      <c r="N141" s="51">
        <v>23.4</v>
      </c>
      <c r="O141" s="51">
        <v>24.6</v>
      </c>
      <c r="P141" s="51">
        <v>24.6</v>
      </c>
      <c r="Q141" s="51">
        <v>23</v>
      </c>
      <c r="R141" s="51">
        <v>23.8</v>
      </c>
      <c r="S141" s="51">
        <v>23.8</v>
      </c>
      <c r="T141" s="51">
        <v>24.8</v>
      </c>
      <c r="U141" s="51">
        <v>22.8</v>
      </c>
      <c r="V141" s="51">
        <v>25.2</v>
      </c>
      <c r="W141" s="51">
        <v>23.6</v>
      </c>
      <c r="X141" s="51">
        <v>22.8</v>
      </c>
      <c r="Y141" s="51">
        <v>23.6</v>
      </c>
      <c r="Z141" s="111">
        <v>23</v>
      </c>
      <c r="AA141" s="51">
        <v>25.4</v>
      </c>
      <c r="AB141" s="51">
        <v>25</v>
      </c>
      <c r="AC141" s="51">
        <v>24.2</v>
      </c>
      <c r="AD141" s="51">
        <v>24.4</v>
      </c>
      <c r="AE141" s="51">
        <v>24</v>
      </c>
      <c r="AF141" s="51">
        <v>24</v>
      </c>
      <c r="AG141" s="51">
        <v>25.8</v>
      </c>
      <c r="AH141" s="51">
        <v>27.2</v>
      </c>
      <c r="AI141" s="51"/>
      <c r="AJ141" s="51"/>
      <c r="AK141" s="51"/>
      <c r="AL141" s="51"/>
      <c r="AM141" s="51"/>
      <c r="AN141" s="51"/>
      <c r="AO141" s="51"/>
      <c r="AP141" s="88">
        <f t="shared" si="11"/>
        <v>24</v>
      </c>
      <c r="AQ141" s="89">
        <f t="shared" si="12"/>
        <v>24.3</v>
      </c>
      <c r="AR141" s="89">
        <f>IFERROR(VLOOKUP(A141,Climatologia!A:U,9+$E$2,FALSE),"")</f>
        <v>22.12848759157685</v>
      </c>
      <c r="AS141" s="89">
        <f t="shared" si="13"/>
        <v>2.1715124084231512</v>
      </c>
      <c r="AT141" s="90">
        <f t="shared" si="14"/>
        <v>22.8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41" s="92">
        <f t="shared" si="15"/>
        <v>4.8000000000000007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21.4</v>
      </c>
      <c r="L142" s="51">
        <v>21</v>
      </c>
      <c r="M142" s="51">
        <v>21.2</v>
      </c>
      <c r="N142" s="51">
        <v>21</v>
      </c>
      <c r="O142" s="51">
        <v>21.6</v>
      </c>
      <c r="P142" s="51">
        <v>20.8</v>
      </c>
      <c r="Q142" s="51">
        <v>19.2</v>
      </c>
      <c r="R142" s="51">
        <v>19.8</v>
      </c>
      <c r="S142" s="51">
        <v>21.2</v>
      </c>
      <c r="T142" s="51">
        <v>21.6</v>
      </c>
      <c r="U142" s="51">
        <v>20.399999999999999</v>
      </c>
      <c r="V142" s="51">
        <v>20</v>
      </c>
      <c r="W142" s="51">
        <v>20.2</v>
      </c>
      <c r="X142" s="51">
        <v>20.2</v>
      </c>
      <c r="Y142" s="51">
        <v>19.8</v>
      </c>
      <c r="Z142" s="111">
        <v>20.399999999999999</v>
      </c>
      <c r="AA142" s="51">
        <v>21.4</v>
      </c>
      <c r="AB142" s="51">
        <v>20.8</v>
      </c>
      <c r="AC142" s="51">
        <v>20.8</v>
      </c>
      <c r="AD142" s="51">
        <v>20</v>
      </c>
      <c r="AE142" s="51">
        <v>19.399999999999999</v>
      </c>
      <c r="AF142" s="51">
        <v>19.399999999999999</v>
      </c>
      <c r="AG142" s="51">
        <v>20</v>
      </c>
      <c r="AH142" s="51">
        <v>20.8</v>
      </c>
      <c r="AI142" s="51"/>
      <c r="AJ142" s="51"/>
      <c r="AK142" s="51"/>
      <c r="AL142" s="51"/>
      <c r="AM142" s="51"/>
      <c r="AN142" s="51"/>
      <c r="AO142" s="51"/>
      <c r="AP142" s="88">
        <f t="shared" si="11"/>
        <v>24</v>
      </c>
      <c r="AQ142" s="89">
        <f t="shared" si="12"/>
        <v>20.516666666666662</v>
      </c>
      <c r="AR142" s="89">
        <f>IFERROR(VLOOKUP(A142,Climatologia!A:U,9+$E$2,FALSE),"")</f>
        <v>19.11373954599761</v>
      </c>
      <c r="AS142" s="89">
        <f t="shared" si="13"/>
        <v>1.4029271206690517</v>
      </c>
      <c r="AT142" s="90">
        <f t="shared" si="14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16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33174</v>
      </c>
      <c r="AW142" s="92">
        <f t="shared" si="15"/>
        <v>3.1999999999999993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24</v>
      </c>
      <c r="L143" s="51">
        <v>25</v>
      </c>
      <c r="M143" s="51">
        <v>25.4</v>
      </c>
      <c r="N143" s="51">
        <v>24.2</v>
      </c>
      <c r="O143" s="51">
        <v>23.4</v>
      </c>
      <c r="P143" s="51">
        <v>23.6</v>
      </c>
      <c r="Q143" s="51">
        <v>23.8</v>
      </c>
      <c r="R143" s="51">
        <v>24.4</v>
      </c>
      <c r="S143" s="51">
        <v>24.6</v>
      </c>
      <c r="T143" s="51">
        <v>24</v>
      </c>
      <c r="U143" s="51">
        <v>24.4</v>
      </c>
      <c r="V143" s="51">
        <v>23.6</v>
      </c>
      <c r="W143" s="51">
        <v>24.8</v>
      </c>
      <c r="X143" s="51">
        <v>24.4</v>
      </c>
      <c r="Y143" s="51">
        <v>24.6</v>
      </c>
      <c r="Z143" s="111">
        <v>25</v>
      </c>
      <c r="AA143" s="51">
        <v>25.4</v>
      </c>
      <c r="AB143" s="51">
        <v>24</v>
      </c>
      <c r="AC143" s="51">
        <v>25</v>
      </c>
      <c r="AD143" s="51">
        <v>26.4</v>
      </c>
      <c r="AE143" s="51">
        <v>24</v>
      </c>
      <c r="AF143" s="51">
        <v>24.4</v>
      </c>
      <c r="AG143" s="51">
        <v>24.2</v>
      </c>
      <c r="AH143" s="51">
        <v>25</v>
      </c>
      <c r="AI143" s="51"/>
      <c r="AJ143" s="51"/>
      <c r="AK143" s="51"/>
      <c r="AL143" s="51"/>
      <c r="AM143" s="51"/>
      <c r="AN143" s="51"/>
      <c r="AO143" s="51"/>
      <c r="AP143" s="88">
        <f t="shared" si="11"/>
        <v>24</v>
      </c>
      <c r="AQ143" s="89">
        <f t="shared" si="12"/>
        <v>24.483333333333334</v>
      </c>
      <c r="AR143" s="89">
        <f>IFERROR(VLOOKUP(A143,Climatologia!A:U,9+$E$2,FALSE),"")</f>
        <v>22.94815099178793</v>
      </c>
      <c r="AS143" s="89">
        <f t="shared" si="13"/>
        <v>1.5351823415454042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30242</v>
      </c>
      <c r="AW143" s="92">
        <f t="shared" si="15"/>
        <v>7.3999999999999986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0</v>
      </c>
      <c r="AQ144" s="89" t="str">
        <f t="shared" si="12"/>
        <v/>
      </c>
      <c r="AR144" s="89">
        <f>IFERROR(VLOOKUP(A144,Climatologia!A:U,9+$E$2,FALSE),"")</f>
        <v>16.459806451612899</v>
      </c>
      <c r="AS144" s="89" t="str">
        <f t="shared" si="13"/>
        <v/>
      </c>
      <c r="AT144" s="90" t="str">
        <f t="shared" si="14"/>
        <v/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10.7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35720</v>
      </c>
      <c r="AW144" s="92" t="str">
        <f t="shared" si="15"/>
        <v>NA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15.4</v>
      </c>
      <c r="L145" s="51">
        <v>18.8</v>
      </c>
      <c r="M145" s="51">
        <v>16</v>
      </c>
      <c r="N145" s="51">
        <v>15.4</v>
      </c>
      <c r="O145" s="51">
        <v>14.2</v>
      </c>
      <c r="P145" s="51">
        <v>16</v>
      </c>
      <c r="Q145" s="51">
        <v>14</v>
      </c>
      <c r="R145" s="51">
        <v>15</v>
      </c>
      <c r="S145" s="51">
        <v>14.4</v>
      </c>
      <c r="T145" s="51">
        <v>16.2</v>
      </c>
      <c r="U145" s="51">
        <v>14.2</v>
      </c>
      <c r="V145" s="51">
        <v>14</v>
      </c>
      <c r="W145" s="51"/>
      <c r="X145" s="51">
        <v>14.2</v>
      </c>
      <c r="Y145" s="51">
        <v>14.8</v>
      </c>
      <c r="Z145" s="111">
        <v>14.2</v>
      </c>
      <c r="AA145" s="51">
        <v>14.2</v>
      </c>
      <c r="AB145" s="51">
        <v>17.399999999999999</v>
      </c>
      <c r="AC145" s="51">
        <v>13.8</v>
      </c>
      <c r="AD145" s="51">
        <v>12.2</v>
      </c>
      <c r="AE145" s="51">
        <v>14.2</v>
      </c>
      <c r="AF145" s="51">
        <v>15.2</v>
      </c>
      <c r="AG145" s="51">
        <v>15.8</v>
      </c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22</v>
      </c>
      <c r="AQ145" s="89">
        <f t="shared" si="12"/>
        <v>14.981818181818181</v>
      </c>
      <c r="AR145" s="89">
        <f>IFERROR(VLOOKUP(A145,Climatologia!A:U,9+$E$2,FALSE),"")</f>
        <v>14.63204108553664</v>
      </c>
      <c r="AS145" s="89">
        <f t="shared" si="13"/>
        <v>0.34977709628154052</v>
      </c>
      <c r="AT145" s="90">
        <f t="shared" si="14"/>
        <v>12.2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9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34245</v>
      </c>
      <c r="AW145" s="92">
        <f t="shared" si="15"/>
        <v>3.1999999999999993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16.2</v>
      </c>
      <c r="L146" s="51">
        <v>17</v>
      </c>
      <c r="M146" s="51">
        <v>16.8</v>
      </c>
      <c r="N146" s="51">
        <v>15.4</v>
      </c>
      <c r="O146" s="51">
        <v>17</v>
      </c>
      <c r="P146" s="51">
        <v>17.8</v>
      </c>
      <c r="Q146" s="51">
        <v>17.2</v>
      </c>
      <c r="R146" s="51">
        <v>14.4</v>
      </c>
      <c r="S146" s="51">
        <v>16.2</v>
      </c>
      <c r="T146" s="51">
        <v>16.600000000000001</v>
      </c>
      <c r="U146" s="51">
        <v>16</v>
      </c>
      <c r="V146" s="51">
        <v>17</v>
      </c>
      <c r="W146" s="51">
        <v>16.600000000000001</v>
      </c>
      <c r="X146" s="51">
        <v>15.6</v>
      </c>
      <c r="Y146" s="51">
        <v>16.8</v>
      </c>
      <c r="Z146" s="111">
        <v>18</v>
      </c>
      <c r="AA146" s="51">
        <v>17</v>
      </c>
      <c r="AB146" s="51">
        <v>18</v>
      </c>
      <c r="AC146" s="51">
        <v>15</v>
      </c>
      <c r="AD146" s="51">
        <v>17</v>
      </c>
      <c r="AE146" s="51">
        <v>17.2</v>
      </c>
      <c r="AF146" s="51">
        <v>16.399999999999999</v>
      </c>
      <c r="AG146" s="51"/>
      <c r="AH146" s="51">
        <v>17.600000000000001</v>
      </c>
      <c r="AI146" s="51"/>
      <c r="AJ146" s="51"/>
      <c r="AK146" s="51"/>
      <c r="AL146" s="51"/>
      <c r="AM146" s="51"/>
      <c r="AN146" s="51"/>
      <c r="AO146" s="51"/>
      <c r="AP146" s="88">
        <f t="shared" si="11"/>
        <v>23</v>
      </c>
      <c r="AQ146" s="89">
        <f t="shared" si="12"/>
        <v>16.643478260869564</v>
      </c>
      <c r="AR146" s="89">
        <f>IFERROR(VLOOKUP(A146,Climatologia!A:U,9+$E$2,FALSE),"")</f>
        <v>14.80509666173506</v>
      </c>
      <c r="AS146" s="89">
        <f t="shared" si="13"/>
        <v>1.8383815991345038</v>
      </c>
      <c r="AT146" s="90">
        <f t="shared" si="14"/>
        <v>14.4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33531</v>
      </c>
      <c r="AW146" s="92">
        <f t="shared" si="15"/>
        <v>2.4000000000000004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22.196229357405659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37920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19.69826762246117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36441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23.8</v>
      </c>
      <c r="L149" s="51">
        <v>24.4</v>
      </c>
      <c r="M149" s="51">
        <v>24.6</v>
      </c>
      <c r="N149" s="51"/>
      <c r="O149" s="51">
        <v>24.2</v>
      </c>
      <c r="P149" s="51">
        <v>24</v>
      </c>
      <c r="Q149" s="51">
        <v>24.2</v>
      </c>
      <c r="R149" s="51"/>
      <c r="S149" s="51">
        <v>23.2</v>
      </c>
      <c r="T149" s="51">
        <v>23.8</v>
      </c>
      <c r="U149" s="51">
        <v>24</v>
      </c>
      <c r="V149" s="51">
        <v>23.8</v>
      </c>
      <c r="W149" s="51">
        <v>23.6</v>
      </c>
      <c r="X149" s="51">
        <v>24.2</v>
      </c>
      <c r="Y149" s="51">
        <v>24.2</v>
      </c>
      <c r="Z149" s="111">
        <v>25.2</v>
      </c>
      <c r="AA149" s="51">
        <v>23.8</v>
      </c>
      <c r="AB149" s="51">
        <v>23</v>
      </c>
      <c r="AC149" s="51">
        <v>23.2</v>
      </c>
      <c r="AD149" s="51">
        <v>24</v>
      </c>
      <c r="AE149" s="51">
        <v>23</v>
      </c>
      <c r="AF149" s="51">
        <v>24</v>
      </c>
      <c r="AG149" s="51">
        <v>24.2</v>
      </c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21</v>
      </c>
      <c r="AQ149" s="89">
        <f t="shared" si="12"/>
        <v>23.923809523809524</v>
      </c>
      <c r="AR149" s="89">
        <f>IFERROR(VLOOKUP(A149,Climatologia!A:U,9+$E$2,FALSE),"")</f>
        <v>22.312207891190091</v>
      </c>
      <c r="AS149" s="89">
        <f t="shared" si="13"/>
        <v>1.6116016326194327</v>
      </c>
      <c r="AT149" s="90">
        <f t="shared" si="14"/>
        <v>23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19.600000000000001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30225</v>
      </c>
      <c r="AW149" s="92">
        <f t="shared" si="15"/>
        <v>3.3999999999999986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25</v>
      </c>
      <c r="L150" s="51">
        <v>23.8</v>
      </c>
      <c r="M150" s="51">
        <v>23.6</v>
      </c>
      <c r="N150" s="51">
        <v>23</v>
      </c>
      <c r="O150" s="51">
        <v>24</v>
      </c>
      <c r="P150" s="51">
        <v>23.4</v>
      </c>
      <c r="Q150" s="51">
        <v>23.6</v>
      </c>
      <c r="R150" s="51">
        <v>24.4</v>
      </c>
      <c r="S150" s="51"/>
      <c r="T150" s="51"/>
      <c r="U150" s="51">
        <v>22.4</v>
      </c>
      <c r="V150" s="51">
        <v>22</v>
      </c>
      <c r="W150" s="51">
        <v>23</v>
      </c>
      <c r="X150" s="51">
        <v>23.4</v>
      </c>
      <c r="Y150" s="51">
        <v>22.8</v>
      </c>
      <c r="Z150" s="111">
        <v>25.2</v>
      </c>
      <c r="AA150" s="51">
        <v>22</v>
      </c>
      <c r="AB150" s="51"/>
      <c r="AC150" s="51">
        <v>23</v>
      </c>
      <c r="AD150" s="51">
        <v>23.4</v>
      </c>
      <c r="AE150" s="51">
        <v>20.8</v>
      </c>
      <c r="AF150" s="51">
        <v>23.4</v>
      </c>
      <c r="AG150" s="51">
        <v>23</v>
      </c>
      <c r="AH150" s="51">
        <v>23</v>
      </c>
      <c r="AI150" s="51"/>
      <c r="AJ150" s="51"/>
      <c r="AK150" s="51"/>
      <c r="AL150" s="51"/>
      <c r="AM150" s="51"/>
      <c r="AN150" s="51"/>
      <c r="AO150" s="51"/>
      <c r="AP150" s="88">
        <f t="shared" si="11"/>
        <v>21</v>
      </c>
      <c r="AQ150" s="89">
        <f t="shared" si="12"/>
        <v>23.247619047619047</v>
      </c>
      <c r="AR150" s="89">
        <f>IFERROR(VLOOKUP(A150,Climatologia!A:U,9+$E$2,FALSE),"")</f>
        <v>23.339207300546029</v>
      </c>
      <c r="AS150" s="89">
        <f t="shared" si="13"/>
        <v>-9.158825292698225E-2</v>
      </c>
      <c r="AT150" s="90">
        <f t="shared" si="14"/>
        <v>20.8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30591</v>
      </c>
      <c r="AW150" s="92">
        <f t="shared" si="15"/>
        <v>3.4000000000000021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15.8</v>
      </c>
      <c r="L151" s="51">
        <v>16.2</v>
      </c>
      <c r="M151" s="51">
        <v>15.8</v>
      </c>
      <c r="N151" s="51">
        <v>15</v>
      </c>
      <c r="O151" s="51">
        <v>14.8</v>
      </c>
      <c r="P151" s="51">
        <v>16.8</v>
      </c>
      <c r="Q151" s="51">
        <v>15.6</v>
      </c>
      <c r="R151" s="51">
        <v>15.2</v>
      </c>
      <c r="S151" s="51">
        <v>15.2</v>
      </c>
      <c r="T151" s="51">
        <v>15.2</v>
      </c>
      <c r="U151" s="51">
        <v>14.4</v>
      </c>
      <c r="V151" s="51">
        <v>14.2</v>
      </c>
      <c r="W151" s="51">
        <v>13.8</v>
      </c>
      <c r="X151" s="51">
        <v>15.4</v>
      </c>
      <c r="Y151" s="51">
        <v>15</v>
      </c>
      <c r="Z151" s="111">
        <v>15.8</v>
      </c>
      <c r="AA151" s="51">
        <v>16.399999999999999</v>
      </c>
      <c r="AB151" s="51">
        <v>16.399999999999999</v>
      </c>
      <c r="AC151" s="51">
        <v>15</v>
      </c>
      <c r="AD151" s="51">
        <v>15</v>
      </c>
      <c r="AE151" s="51">
        <v>16</v>
      </c>
      <c r="AF151" s="51">
        <v>15.2</v>
      </c>
      <c r="AG151" s="51">
        <v>15.8</v>
      </c>
      <c r="AH151" s="51">
        <v>16.2</v>
      </c>
      <c r="AI151" s="51"/>
      <c r="AJ151" s="51"/>
      <c r="AK151" s="51"/>
      <c r="AL151" s="51"/>
      <c r="AM151" s="51"/>
      <c r="AN151" s="51"/>
      <c r="AO151" s="51"/>
      <c r="AP151" s="88">
        <f t="shared" si="11"/>
        <v>24</v>
      </c>
      <c r="AQ151" s="89">
        <f t="shared" si="12"/>
        <v>15.424999999999997</v>
      </c>
      <c r="AR151" s="89">
        <f>IFERROR(VLOOKUP(A151,Climatologia!A:U,9+$E$2,FALSE),"")</f>
        <v>14.24439000870591</v>
      </c>
      <c r="AS151" s="89">
        <f t="shared" si="13"/>
        <v>1.1806099912940873</v>
      </c>
      <c r="AT151" s="90">
        <f t="shared" si="14"/>
        <v>13.8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28783</v>
      </c>
      <c r="AW151" s="92">
        <f t="shared" si="15"/>
        <v>4.4000000000000004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18.399999999999999</v>
      </c>
      <c r="L152" s="51">
        <v>17.2</v>
      </c>
      <c r="M152" s="51">
        <v>22</v>
      </c>
      <c r="N152" s="51">
        <v>20.399999999999999</v>
      </c>
      <c r="O152" s="51">
        <v>21.6</v>
      </c>
      <c r="P152" s="51">
        <v>21.2</v>
      </c>
      <c r="Q152" s="51">
        <v>22</v>
      </c>
      <c r="R152" s="51">
        <v>21.4</v>
      </c>
      <c r="S152" s="51">
        <v>22.2</v>
      </c>
      <c r="T152" s="51">
        <v>21.2</v>
      </c>
      <c r="U152" s="51"/>
      <c r="V152" s="51">
        <v>21.2</v>
      </c>
      <c r="W152" s="51">
        <v>21</v>
      </c>
      <c r="X152" s="51">
        <v>20.8</v>
      </c>
      <c r="Y152" s="51">
        <v>19</v>
      </c>
      <c r="Z152" s="111">
        <v>22.2</v>
      </c>
      <c r="AA152" s="51">
        <v>21.8</v>
      </c>
      <c r="AB152" s="51">
        <v>21.2</v>
      </c>
      <c r="AC152" s="51">
        <v>20.2</v>
      </c>
      <c r="AD152" s="51">
        <v>20</v>
      </c>
      <c r="AE152" s="51">
        <v>20.399999999999999</v>
      </c>
      <c r="AF152" s="51">
        <v>21.2</v>
      </c>
      <c r="AG152" s="51">
        <v>22</v>
      </c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22</v>
      </c>
      <c r="AQ152" s="89">
        <f t="shared" si="12"/>
        <v>20.84545454545454</v>
      </c>
      <c r="AR152" s="89">
        <f>IFERROR(VLOOKUP(A152,Climatologia!A:U,9+$E$2,FALSE),"")</f>
        <v>19.542778238672231</v>
      </c>
      <c r="AS152" s="89">
        <f t="shared" si="13"/>
        <v>1.3026763067823097</v>
      </c>
      <c r="AT152" s="90">
        <f t="shared" si="14"/>
        <v>17.2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16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33530</v>
      </c>
      <c r="AW152" s="92">
        <f t="shared" si="15"/>
        <v>1.1999999999999993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17.2</v>
      </c>
      <c r="N153" s="51">
        <v>18.399999999999999</v>
      </c>
      <c r="O153" s="51">
        <v>18</v>
      </c>
      <c r="P153" s="51">
        <v>17.2</v>
      </c>
      <c r="Q153" s="51">
        <v>17</v>
      </c>
      <c r="R153" s="51">
        <v>16.2</v>
      </c>
      <c r="S153" s="51">
        <v>17</v>
      </c>
      <c r="T153" s="51">
        <v>16</v>
      </c>
      <c r="U153" s="51">
        <v>16.8</v>
      </c>
      <c r="V153" s="51">
        <v>14</v>
      </c>
      <c r="W153" s="51">
        <v>17</v>
      </c>
      <c r="X153" s="51">
        <v>15.8</v>
      </c>
      <c r="Y153" s="51">
        <v>17.399999999999999</v>
      </c>
      <c r="Z153" s="111">
        <v>17.600000000000001</v>
      </c>
      <c r="AA153" s="51">
        <v>17.399999999999999</v>
      </c>
      <c r="AB153" s="51">
        <v>17</v>
      </c>
      <c r="AC153" s="51">
        <v>16</v>
      </c>
      <c r="AD153" s="51">
        <v>16</v>
      </c>
      <c r="AE153" s="51">
        <v>16</v>
      </c>
      <c r="AF153" s="51">
        <v>17</v>
      </c>
      <c r="AG153" s="51">
        <v>16</v>
      </c>
      <c r="AH153" s="51">
        <v>16.8</v>
      </c>
      <c r="AI153" s="51"/>
      <c r="AJ153" s="51"/>
      <c r="AK153" s="51"/>
      <c r="AL153" s="51"/>
      <c r="AM153" s="51"/>
      <c r="AN153" s="51"/>
      <c r="AO153" s="51"/>
      <c r="AP153" s="88">
        <f t="shared" si="11"/>
        <v>24</v>
      </c>
      <c r="AQ153" s="89">
        <f t="shared" si="12"/>
        <v>16.666666666666668</v>
      </c>
      <c r="AR153" s="89">
        <f>IFERROR(VLOOKUP(A153,Climatologia!A:U,9+$E$2,FALSE),"")</f>
        <v>15.728565284178179</v>
      </c>
      <c r="AS153" s="89">
        <f t="shared" si="13"/>
        <v>0.93810138248848851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32783</v>
      </c>
      <c r="AW153" s="92">
        <f t="shared" si="15"/>
        <v>2.8000000000000007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18</v>
      </c>
      <c r="L154" s="51">
        <v>18.600000000000001</v>
      </c>
      <c r="M154" s="51">
        <v>19</v>
      </c>
      <c r="N154" s="51">
        <v>18.8</v>
      </c>
      <c r="O154" s="51">
        <v>19.2</v>
      </c>
      <c r="P154" s="51">
        <v>19.2</v>
      </c>
      <c r="Q154" s="51">
        <v>18.399999999999999</v>
      </c>
      <c r="R154" s="51">
        <v>19.600000000000001</v>
      </c>
      <c r="S154" s="51">
        <v>18.8</v>
      </c>
      <c r="T154" s="51">
        <v>19</v>
      </c>
      <c r="U154" s="51">
        <v>19.2</v>
      </c>
      <c r="V154" s="51">
        <v>18.600000000000001</v>
      </c>
      <c r="W154" s="51">
        <v>19</v>
      </c>
      <c r="X154" s="51">
        <v>18</v>
      </c>
      <c r="Y154" s="51">
        <v>18.8</v>
      </c>
      <c r="Z154" s="111">
        <v>20.399999999999999</v>
      </c>
      <c r="AA154" s="51">
        <v>19.399999999999999</v>
      </c>
      <c r="AB154" s="51">
        <v>19</v>
      </c>
      <c r="AC154" s="51">
        <v>18.600000000000001</v>
      </c>
      <c r="AD154" s="51">
        <v>19.2</v>
      </c>
      <c r="AE154" s="51">
        <v>18.8</v>
      </c>
      <c r="AF154" s="51">
        <v>19.399999999999999</v>
      </c>
      <c r="AG154" s="51">
        <v>19</v>
      </c>
      <c r="AH154" s="51">
        <v>18.600000000000001</v>
      </c>
      <c r="AI154" s="51"/>
      <c r="AJ154" s="51"/>
      <c r="AK154" s="51"/>
      <c r="AL154" s="51"/>
      <c r="AM154" s="51"/>
      <c r="AN154" s="51"/>
      <c r="AO154" s="51"/>
      <c r="AP154" s="88">
        <f t="shared" si="11"/>
        <v>24</v>
      </c>
      <c r="AQ154" s="89">
        <f t="shared" si="12"/>
        <v>18.941666666666666</v>
      </c>
      <c r="AR154" s="89">
        <f>IFERROR(VLOOKUP(A154,Climatologia!A:U,9+$E$2,FALSE),"")</f>
        <v>18.26652751734732</v>
      </c>
      <c r="AS154" s="89">
        <f t="shared" si="13"/>
        <v>0.67513914931934593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14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29496</v>
      </c>
      <c r="AW154" s="92">
        <f t="shared" si="15"/>
        <v>4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13.837768817204299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8.6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9.8000000000000007</v>
      </c>
      <c r="L156" s="51">
        <v>10</v>
      </c>
      <c r="M156" s="51">
        <v>9.8000000000000007</v>
      </c>
      <c r="N156" s="51">
        <v>9.6</v>
      </c>
      <c r="O156" s="51">
        <v>11</v>
      </c>
      <c r="P156" s="51">
        <v>10.199999999999999</v>
      </c>
      <c r="Q156" s="51">
        <v>9</v>
      </c>
      <c r="R156" s="51">
        <v>9.6</v>
      </c>
      <c r="S156" s="51">
        <v>10</v>
      </c>
      <c r="T156" s="51">
        <v>10.199999999999999</v>
      </c>
      <c r="U156" s="51">
        <v>9</v>
      </c>
      <c r="V156" s="51">
        <v>10</v>
      </c>
      <c r="W156" s="51">
        <v>9.8000000000000007</v>
      </c>
      <c r="X156" s="51">
        <v>10</v>
      </c>
      <c r="Y156" s="51">
        <v>11</v>
      </c>
      <c r="Z156" s="111">
        <v>11.6</v>
      </c>
      <c r="AA156" s="51">
        <v>9</v>
      </c>
      <c r="AB156" s="51">
        <v>10.6</v>
      </c>
      <c r="AC156" s="51">
        <v>11.2</v>
      </c>
      <c r="AD156" s="51">
        <v>9.4</v>
      </c>
      <c r="AE156" s="51">
        <v>10.6</v>
      </c>
      <c r="AF156" s="51">
        <v>10</v>
      </c>
      <c r="AG156" s="51">
        <v>10.4</v>
      </c>
      <c r="AH156" s="51">
        <v>11</v>
      </c>
      <c r="AI156" s="51"/>
      <c r="AJ156" s="51"/>
      <c r="AK156" s="51"/>
      <c r="AL156" s="51"/>
      <c r="AM156" s="51"/>
      <c r="AN156" s="51"/>
      <c r="AO156" s="51"/>
      <c r="AP156" s="88">
        <f t="shared" si="11"/>
        <v>24</v>
      </c>
      <c r="AQ156" s="89">
        <f t="shared" si="12"/>
        <v>10.116666666666665</v>
      </c>
      <c r="AR156" s="89">
        <f>IFERROR(VLOOKUP(A156,Climatologia!A:U,9+$E$2,FALSE),"")</f>
        <v>8.804193548387099</v>
      </c>
      <c r="AS156" s="89">
        <f t="shared" si="13"/>
        <v>1.3124731182795664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44865</v>
      </c>
      <c r="AW156" s="92">
        <f t="shared" si="15"/>
        <v>4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14.2</v>
      </c>
      <c r="L157" s="51">
        <v>15.4</v>
      </c>
      <c r="M157" s="51">
        <v>15.8</v>
      </c>
      <c r="N157" s="51">
        <v>15</v>
      </c>
      <c r="O157" s="51">
        <v>16.399999999999999</v>
      </c>
      <c r="P157" s="51">
        <v>15.8</v>
      </c>
      <c r="Q157" s="51">
        <v>16</v>
      </c>
      <c r="R157" s="51">
        <v>15.2</v>
      </c>
      <c r="S157" s="51">
        <v>16.2</v>
      </c>
      <c r="T157" s="51">
        <v>16</v>
      </c>
      <c r="U157" s="51">
        <v>14.4</v>
      </c>
      <c r="V157" s="51">
        <v>16.2</v>
      </c>
      <c r="W157" s="51">
        <v>16</v>
      </c>
      <c r="X157" s="51">
        <v>16.600000000000001</v>
      </c>
      <c r="Y157" s="51">
        <v>14.8</v>
      </c>
      <c r="Z157" s="111">
        <v>16.399999999999999</v>
      </c>
      <c r="AA157" s="51">
        <v>16.399999999999999</v>
      </c>
      <c r="AB157" s="51">
        <v>15.4</v>
      </c>
      <c r="AC157" s="51">
        <v>13.8</v>
      </c>
      <c r="AD157" s="51">
        <v>13.4</v>
      </c>
      <c r="AE157" s="51">
        <v>14.8</v>
      </c>
      <c r="AF157" s="51">
        <v>15.6</v>
      </c>
      <c r="AG157" s="51">
        <v>16.2</v>
      </c>
      <c r="AH157" s="51">
        <v>16.2</v>
      </c>
      <c r="AI157" s="51"/>
      <c r="AJ157" s="51"/>
      <c r="AK157" s="51"/>
      <c r="AL157" s="51"/>
      <c r="AM157" s="51"/>
      <c r="AN157" s="51"/>
      <c r="AO157" s="51"/>
      <c r="AP157" s="88">
        <f t="shared" si="11"/>
        <v>24</v>
      </c>
      <c r="AQ157" s="89">
        <f t="shared" si="12"/>
        <v>15.508333333333333</v>
      </c>
      <c r="AR157" s="89">
        <f>IFERROR(VLOOKUP(A157,Climatologia!A:U,9+$E$2,FALSE),"")</f>
        <v>14.13311294030404</v>
      </c>
      <c r="AS157" s="89">
        <f t="shared" si="13"/>
        <v>1.3752203930292932</v>
      </c>
      <c r="AT157" s="90">
        <f t="shared" si="14"/>
        <v>13.4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10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40838</v>
      </c>
      <c r="AW157" s="92">
        <f t="shared" si="15"/>
        <v>3.4000000000000004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20.6</v>
      </c>
      <c r="L158" s="51">
        <v>21.4</v>
      </c>
      <c r="M158" s="51">
        <v>22</v>
      </c>
      <c r="N158" s="51">
        <v>22.4</v>
      </c>
      <c r="O158" s="51">
        <v>21.8</v>
      </c>
      <c r="P158" s="51">
        <v>21</v>
      </c>
      <c r="Q158" s="51">
        <v>21.2</v>
      </c>
      <c r="R158" s="51">
        <v>20.8</v>
      </c>
      <c r="S158" s="51">
        <v>21</v>
      </c>
      <c r="T158" s="51">
        <v>21.2</v>
      </c>
      <c r="U158" s="51">
        <v>22</v>
      </c>
      <c r="V158" s="51">
        <v>20.8</v>
      </c>
      <c r="W158" s="51">
        <v>21</v>
      </c>
      <c r="X158" s="51">
        <v>21.2</v>
      </c>
      <c r="Y158" s="51">
        <v>20.399999999999999</v>
      </c>
      <c r="Z158" s="111">
        <v>22.2</v>
      </c>
      <c r="AA158" s="51">
        <v>22.6</v>
      </c>
      <c r="AB158" s="51">
        <v>20</v>
      </c>
      <c r="AC158" s="51">
        <v>20.8</v>
      </c>
      <c r="AD158" s="51">
        <v>21</v>
      </c>
      <c r="AE158" s="51">
        <v>20</v>
      </c>
      <c r="AF158" s="51">
        <v>21.2</v>
      </c>
      <c r="AG158" s="51">
        <v>21.2</v>
      </c>
      <c r="AH158" s="51">
        <v>20.8</v>
      </c>
      <c r="AI158" s="51"/>
      <c r="AJ158" s="51"/>
      <c r="AK158" s="51"/>
      <c r="AL158" s="51"/>
      <c r="AM158" s="51"/>
      <c r="AN158" s="51"/>
      <c r="AO158" s="51"/>
      <c r="AP158" s="88">
        <f t="shared" si="11"/>
        <v>24</v>
      </c>
      <c r="AQ158" s="89">
        <f t="shared" si="12"/>
        <v>21.191666666666666</v>
      </c>
      <c r="AR158" s="89">
        <f>IFERROR(VLOOKUP(A158,Climatologia!A:U,9+$E$2,FALSE),"")</f>
        <v>19.916117241095179</v>
      </c>
      <c r="AS158" s="89">
        <f t="shared" si="13"/>
        <v>1.2755494255714872</v>
      </c>
      <c r="AT158" s="90">
        <f t="shared" si="14"/>
        <v>20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16.600000000000001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40087</v>
      </c>
      <c r="AW158" s="92">
        <f t="shared" si="15"/>
        <v>3.3999999999999986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</v>
      </c>
      <c r="L159" s="109">
        <v>4.5999999999999996</v>
      </c>
      <c r="M159" s="51">
        <v>7</v>
      </c>
      <c r="N159" s="51">
        <v>4.8</v>
      </c>
      <c r="O159" s="51">
        <v>6.2</v>
      </c>
      <c r="P159" s="51">
        <v>7</v>
      </c>
      <c r="Q159" s="51">
        <v>8</v>
      </c>
      <c r="R159" s="51">
        <v>7.4</v>
      </c>
      <c r="S159" s="51">
        <v>5.8</v>
      </c>
      <c r="T159" s="51">
        <v>7.2</v>
      </c>
      <c r="U159" s="109">
        <v>4.5999999999999996</v>
      </c>
      <c r="V159" s="51">
        <v>5.4</v>
      </c>
      <c r="W159" s="51">
        <v>7.2</v>
      </c>
      <c r="X159" s="51">
        <v>7.4</v>
      </c>
      <c r="Y159" s="51">
        <v>7.2</v>
      </c>
      <c r="Z159" s="111">
        <v>5.6</v>
      </c>
      <c r="AA159" s="51">
        <v>5</v>
      </c>
      <c r="AB159" s="51">
        <v>7</v>
      </c>
      <c r="AC159" s="51">
        <v>5.6</v>
      </c>
      <c r="AD159" s="109">
        <v>4</v>
      </c>
      <c r="AE159" s="51">
        <v>7.6</v>
      </c>
      <c r="AF159" s="51">
        <v>7.2</v>
      </c>
      <c r="AG159" s="51">
        <v>7.4</v>
      </c>
      <c r="AH159" s="51">
        <v>6.6</v>
      </c>
      <c r="AI159" s="51"/>
      <c r="AJ159" s="51"/>
      <c r="AK159" s="51"/>
      <c r="AL159" s="51"/>
      <c r="AM159" s="51"/>
      <c r="AN159" s="51"/>
      <c r="AO159" s="51"/>
      <c r="AP159" s="88">
        <f t="shared" si="11"/>
        <v>24</v>
      </c>
      <c r="AQ159" s="89">
        <f t="shared" si="12"/>
        <v>6.2833333333333323</v>
      </c>
      <c r="AR159" s="89">
        <f>IFERROR(VLOOKUP(A159,Climatologia!A:U,9+$E$2,FALSE),"")</f>
        <v>5.3538730472619971</v>
      </c>
      <c r="AS159" s="89">
        <f t="shared" si="13"/>
        <v>0.92946028607133524</v>
      </c>
      <c r="AT159" s="90">
        <f t="shared" si="14"/>
        <v>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-2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30607</v>
      </c>
      <c r="AW159" s="92">
        <f t="shared" si="15"/>
        <v>6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22.8</v>
      </c>
      <c r="L160" s="51">
        <v>21</v>
      </c>
      <c r="M160" s="51">
        <v>21.4</v>
      </c>
      <c r="N160" s="51">
        <v>21.4</v>
      </c>
      <c r="O160" s="51">
        <v>21.8</v>
      </c>
      <c r="P160" s="51">
        <v>23</v>
      </c>
      <c r="Q160" s="51">
        <v>21.6</v>
      </c>
      <c r="R160" s="51">
        <v>21.4</v>
      </c>
      <c r="S160" s="51">
        <v>22</v>
      </c>
      <c r="T160" s="51">
        <v>22.2</v>
      </c>
      <c r="U160" s="51">
        <v>21.6</v>
      </c>
      <c r="V160" s="51"/>
      <c r="W160" s="51"/>
      <c r="X160" s="51">
        <v>21.6</v>
      </c>
      <c r="Y160" s="51">
        <v>21.8</v>
      </c>
      <c r="Z160" s="111">
        <v>21</v>
      </c>
      <c r="AA160" s="51">
        <v>22.6</v>
      </c>
      <c r="AB160" s="51">
        <v>21.6</v>
      </c>
      <c r="AC160" s="51">
        <v>20.8</v>
      </c>
      <c r="AD160" s="51">
        <v>21.4</v>
      </c>
      <c r="AE160" s="51">
        <v>21.8</v>
      </c>
      <c r="AF160" s="51">
        <v>22</v>
      </c>
      <c r="AG160" s="51">
        <v>21.4</v>
      </c>
      <c r="AH160" s="51">
        <v>22</v>
      </c>
      <c r="AI160" s="51"/>
      <c r="AJ160" s="51"/>
      <c r="AK160" s="51"/>
      <c r="AL160" s="51"/>
      <c r="AM160" s="51"/>
      <c r="AN160" s="51"/>
      <c r="AO160" s="51"/>
      <c r="AP160" s="88">
        <f t="shared" si="11"/>
        <v>22</v>
      </c>
      <c r="AQ160" s="89">
        <f t="shared" si="12"/>
        <v>21.736363636363635</v>
      </c>
      <c r="AR160" s="89">
        <f>IFERROR(VLOOKUP(A160,Climatologia!A:U,9+$E$2,FALSE),"")</f>
        <v>20.796531676004431</v>
      </c>
      <c r="AS160" s="89">
        <f t="shared" si="13"/>
        <v>0.93983196035920358</v>
      </c>
      <c r="AT160" s="90">
        <f t="shared" si="14"/>
        <v>20.8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15.8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32075</v>
      </c>
      <c r="AW160" s="92">
        <f t="shared" si="15"/>
        <v>5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15.2</v>
      </c>
      <c r="L161" s="51">
        <v>16</v>
      </c>
      <c r="M161" s="51">
        <v>15.4</v>
      </c>
      <c r="N161" s="51">
        <v>15</v>
      </c>
      <c r="O161" s="51">
        <v>15</v>
      </c>
      <c r="P161" s="51">
        <v>15.2</v>
      </c>
      <c r="Q161" s="51">
        <v>15</v>
      </c>
      <c r="R161" s="51">
        <v>14.8</v>
      </c>
      <c r="S161" s="51">
        <v>13.4</v>
      </c>
      <c r="T161" s="51">
        <v>16</v>
      </c>
      <c r="U161" s="51"/>
      <c r="V161" s="51"/>
      <c r="W161" s="51">
        <v>15</v>
      </c>
      <c r="X161" s="51">
        <v>12.8</v>
      </c>
      <c r="Y161" s="51">
        <v>13</v>
      </c>
      <c r="Z161" s="111">
        <v>16.8</v>
      </c>
      <c r="AA161" s="51">
        <v>15</v>
      </c>
      <c r="AB161" s="51">
        <v>15</v>
      </c>
      <c r="AC161" s="51">
        <v>15</v>
      </c>
      <c r="AD161" s="51">
        <v>15.2</v>
      </c>
      <c r="AE161" s="51">
        <v>15</v>
      </c>
      <c r="AF161" s="51">
        <v>14.8</v>
      </c>
      <c r="AG161" s="51">
        <v>14.2</v>
      </c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21</v>
      </c>
      <c r="AQ161" s="89">
        <f t="shared" si="12"/>
        <v>14.895238095238096</v>
      </c>
      <c r="AR161" s="89">
        <f>IFERROR(VLOOKUP(A161,Climatologia!A:U,9+$E$2,FALSE),"")</f>
        <v>13.775271381572029</v>
      </c>
      <c r="AS161" s="89">
        <f t="shared" si="13"/>
        <v>1.1199667136660665</v>
      </c>
      <c r="AT161" s="90">
        <f t="shared" si="14"/>
        <v>12.8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31349</v>
      </c>
      <c r="AW161" s="92">
        <f t="shared" si="15"/>
        <v>2.8000000000000007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17</v>
      </c>
      <c r="L162" s="51">
        <v>18.600000000000001</v>
      </c>
      <c r="M162" s="51">
        <v>18</v>
      </c>
      <c r="N162" s="51">
        <v>19</v>
      </c>
      <c r="O162" s="51">
        <v>18.600000000000001</v>
      </c>
      <c r="P162" s="51">
        <v>17.600000000000001</v>
      </c>
      <c r="Q162" s="51">
        <v>18</v>
      </c>
      <c r="R162" s="51">
        <v>18.600000000000001</v>
      </c>
      <c r="S162" s="51">
        <v>18</v>
      </c>
      <c r="T162" s="51">
        <v>17.600000000000001</v>
      </c>
      <c r="U162" s="51">
        <v>18.600000000000001</v>
      </c>
      <c r="V162" s="51">
        <v>17</v>
      </c>
      <c r="W162" s="51">
        <v>18</v>
      </c>
      <c r="X162" s="51">
        <v>18.600000000000001</v>
      </c>
      <c r="Y162" s="51">
        <v>20</v>
      </c>
      <c r="Z162" s="111">
        <v>20.6</v>
      </c>
      <c r="AA162" s="51">
        <v>19</v>
      </c>
      <c r="AB162" s="51">
        <v>18.600000000000001</v>
      </c>
      <c r="AC162" s="51">
        <v>18</v>
      </c>
      <c r="AD162" s="51">
        <v>18.600000000000001</v>
      </c>
      <c r="AE162" s="51">
        <v>17.600000000000001</v>
      </c>
      <c r="AF162" s="51">
        <v>17</v>
      </c>
      <c r="AG162" s="51">
        <v>19</v>
      </c>
      <c r="AH162" s="51">
        <v>19.600000000000001</v>
      </c>
      <c r="AI162" s="51"/>
      <c r="AJ162" s="51"/>
      <c r="AK162" s="51"/>
      <c r="AL162" s="51"/>
      <c r="AM162" s="51"/>
      <c r="AN162" s="51"/>
      <c r="AO162" s="51"/>
      <c r="AP162" s="88">
        <f t="shared" si="11"/>
        <v>24</v>
      </c>
      <c r="AQ162" s="89">
        <f t="shared" si="12"/>
        <v>18.383333333333336</v>
      </c>
      <c r="AR162" s="89">
        <f>IFERROR(VLOOKUP(A162,Climatologia!A:U,9+$E$2,FALSE),"")</f>
        <v>18.138279569892479</v>
      </c>
      <c r="AS162" s="89">
        <f t="shared" si="13"/>
        <v>0.24505376344085761</v>
      </c>
      <c r="AT162" s="90">
        <f t="shared" si="14"/>
        <v>17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38270</v>
      </c>
      <c r="AW162" s="92">
        <f t="shared" si="15"/>
        <v>2.8000000000000007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19.8</v>
      </c>
      <c r="L163" s="51">
        <v>19.600000000000001</v>
      </c>
      <c r="M163" s="51">
        <v>19.399999999999999</v>
      </c>
      <c r="N163" s="51">
        <v>18.600000000000001</v>
      </c>
      <c r="O163" s="51">
        <v>20.399999999999999</v>
      </c>
      <c r="P163" s="51">
        <v>19.600000000000001</v>
      </c>
      <c r="Q163" s="51">
        <v>21</v>
      </c>
      <c r="R163" s="51">
        <v>20.399999999999999</v>
      </c>
      <c r="S163" s="51">
        <v>17.399999999999999</v>
      </c>
      <c r="T163" s="51">
        <v>19.2</v>
      </c>
      <c r="U163" s="51">
        <v>18.600000000000001</v>
      </c>
      <c r="V163" s="51"/>
      <c r="W163" s="51">
        <v>19.600000000000001</v>
      </c>
      <c r="X163" s="51">
        <v>18.8</v>
      </c>
      <c r="Y163" s="51">
        <v>20.6</v>
      </c>
      <c r="Z163" s="111">
        <v>22.8</v>
      </c>
      <c r="AA163" s="51">
        <v>19.600000000000001</v>
      </c>
      <c r="AB163" s="51">
        <v>20.8</v>
      </c>
      <c r="AC163" s="51">
        <v>19</v>
      </c>
      <c r="AD163" s="51">
        <v>18</v>
      </c>
      <c r="AE163" s="51">
        <v>19</v>
      </c>
      <c r="AF163" s="51">
        <v>18.8</v>
      </c>
      <c r="AG163" s="51">
        <v>19.600000000000001</v>
      </c>
      <c r="AH163" s="51">
        <v>20</v>
      </c>
      <c r="AI163" s="51"/>
      <c r="AJ163" s="51"/>
      <c r="AK163" s="51"/>
      <c r="AL163" s="51"/>
      <c r="AM163" s="51"/>
      <c r="AN163" s="51"/>
      <c r="AO163" s="51"/>
      <c r="AP163" s="88">
        <f t="shared" si="11"/>
        <v>23</v>
      </c>
      <c r="AQ163" s="89">
        <f t="shared" si="12"/>
        <v>19.591304347826089</v>
      </c>
      <c r="AR163" s="89">
        <f>IFERROR(VLOOKUP(A163,Climatologia!A:U,9+$E$2,FALSE),"")</f>
        <v>19.20511663753377</v>
      </c>
      <c r="AS163" s="89">
        <f t="shared" si="13"/>
        <v>0.3861877102923188</v>
      </c>
      <c r="AT163" s="90">
        <f t="shared" si="14"/>
        <v>17.399999999999999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28429</v>
      </c>
      <c r="AW163" s="92">
        <f t="shared" si="15"/>
        <v>1.9999999999999982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0</v>
      </c>
      <c r="AQ164" s="89" t="str">
        <f t="shared" si="12"/>
        <v/>
      </c>
      <c r="AR164" s="89">
        <f>IFERROR(VLOOKUP(A164,Climatologia!A:U,9+$E$2,FALSE),"")</f>
        <v>7.9710857199900573</v>
      </c>
      <c r="AS164" s="89" t="str">
        <f t="shared" si="13"/>
        <v/>
      </c>
      <c r="AT164" s="90" t="str">
        <f t="shared" si="14"/>
        <v/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2.4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33881</v>
      </c>
      <c r="AW164" s="92" t="str">
        <f t="shared" si="15"/>
        <v>NA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</v>
      </c>
      <c r="L165" s="51">
        <v>20</v>
      </c>
      <c r="M165" s="51">
        <v>18.399999999999999</v>
      </c>
      <c r="N165" s="51">
        <v>18</v>
      </c>
      <c r="O165" s="51">
        <v>19</v>
      </c>
      <c r="P165" s="51">
        <v>18</v>
      </c>
      <c r="Q165" s="51">
        <v>18.2</v>
      </c>
      <c r="R165" s="51">
        <v>18</v>
      </c>
      <c r="S165" s="51">
        <v>18.2</v>
      </c>
      <c r="T165" s="51">
        <v>19</v>
      </c>
      <c r="U165" s="51">
        <v>18.2</v>
      </c>
      <c r="V165" s="51">
        <v>18</v>
      </c>
      <c r="W165" s="51">
        <v>18</v>
      </c>
      <c r="X165" s="51"/>
      <c r="Y165" s="51">
        <v>17.600000000000001</v>
      </c>
      <c r="Z165" s="111">
        <v>19.399999999999999</v>
      </c>
      <c r="AA165" s="51">
        <v>19.600000000000001</v>
      </c>
      <c r="AB165" s="51">
        <v>20</v>
      </c>
      <c r="AC165" s="51">
        <v>20</v>
      </c>
      <c r="AD165" s="51">
        <v>18.600000000000001</v>
      </c>
      <c r="AE165" s="51">
        <v>18.600000000000001</v>
      </c>
      <c r="AF165" s="51">
        <v>18</v>
      </c>
      <c r="AG165" s="51">
        <v>19</v>
      </c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22</v>
      </c>
      <c r="AQ165" s="89">
        <f t="shared" si="12"/>
        <v>18.672727272727272</v>
      </c>
      <c r="AR165" s="89">
        <f>IFERROR(VLOOKUP(A165,Climatologia!A:U,9+$E$2,FALSE),"")</f>
        <v>17.76960295060843</v>
      </c>
      <c r="AS165" s="89">
        <f t="shared" si="13"/>
        <v>0.90312432211884186</v>
      </c>
      <c r="AT165" s="90">
        <f t="shared" si="14"/>
        <v>17.600000000000001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12.8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30971</v>
      </c>
      <c r="AW165" s="92">
        <f t="shared" si="15"/>
        <v>4.8000000000000007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17.404141951993271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30981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15.397281915237979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30226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19.600000000000001</v>
      </c>
      <c r="L168" s="51">
        <v>19.8</v>
      </c>
      <c r="M168" s="51">
        <v>19.399999999999999</v>
      </c>
      <c r="N168" s="51">
        <v>18.600000000000001</v>
      </c>
      <c r="O168" s="51">
        <v>19.2</v>
      </c>
      <c r="P168" s="51">
        <v>19.399999999999999</v>
      </c>
      <c r="Q168" s="51">
        <v>19.600000000000001</v>
      </c>
      <c r="R168" s="51">
        <v>19.8</v>
      </c>
      <c r="S168" s="51">
        <v>19.600000000000001</v>
      </c>
      <c r="T168" s="51">
        <v>19.2</v>
      </c>
      <c r="U168" s="51">
        <v>19.600000000000001</v>
      </c>
      <c r="V168" s="51">
        <v>19.8</v>
      </c>
      <c r="W168" s="51">
        <v>19.2</v>
      </c>
      <c r="X168" s="51">
        <v>19.600000000000001</v>
      </c>
      <c r="Y168" s="51">
        <v>20.2</v>
      </c>
      <c r="Z168" s="111">
        <v>19.399999999999999</v>
      </c>
      <c r="AA168" s="51">
        <v>19.600000000000001</v>
      </c>
      <c r="AB168" s="51">
        <v>19.2</v>
      </c>
      <c r="AC168" s="51">
        <v>19.8</v>
      </c>
      <c r="AD168" s="51">
        <v>19.600000000000001</v>
      </c>
      <c r="AE168" s="51">
        <v>20.399999999999999</v>
      </c>
      <c r="AF168" s="51">
        <v>19.2</v>
      </c>
      <c r="AG168" s="51">
        <v>19.600000000000001</v>
      </c>
      <c r="AH168" s="51">
        <v>19.2</v>
      </c>
      <c r="AI168" s="51"/>
      <c r="AJ168" s="51"/>
      <c r="AK168" s="51"/>
      <c r="AL168" s="51"/>
      <c r="AM168" s="51"/>
      <c r="AN168" s="51"/>
      <c r="AO168" s="51"/>
      <c r="AP168" s="88">
        <f t="shared" si="11"/>
        <v>24</v>
      </c>
      <c r="AQ168" s="89">
        <f t="shared" si="12"/>
        <v>19.524999999999999</v>
      </c>
      <c r="AR168" s="89">
        <f>IFERROR(VLOOKUP(A168,Climatologia!A:U,9+$E$2,FALSE),"")</f>
        <v>19.143790433205009</v>
      </c>
      <c r="AS168" s="89">
        <f t="shared" si="13"/>
        <v>0.38120956679498974</v>
      </c>
      <c r="AT168" s="90">
        <f t="shared" si="14"/>
        <v>18.600000000000001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29158</v>
      </c>
      <c r="AW168" s="92">
        <f t="shared" si="15"/>
        <v>3.6000000000000014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15.4</v>
      </c>
      <c r="L169" s="51">
        <v>15.6</v>
      </c>
      <c r="M169" s="51">
        <v>14</v>
      </c>
      <c r="N169" s="51">
        <v>14.4</v>
      </c>
      <c r="O169" s="51">
        <v>13.4</v>
      </c>
      <c r="P169" s="51">
        <v>13.8</v>
      </c>
      <c r="Q169" s="51">
        <v>15</v>
      </c>
      <c r="R169" s="51">
        <v>16</v>
      </c>
      <c r="S169" s="51">
        <v>15.2</v>
      </c>
      <c r="T169" s="51">
        <v>14.2</v>
      </c>
      <c r="U169" s="51">
        <v>14</v>
      </c>
      <c r="V169" s="51">
        <v>15.4</v>
      </c>
      <c r="W169" s="51">
        <v>14.4</v>
      </c>
      <c r="X169" s="51">
        <v>13.8</v>
      </c>
      <c r="Y169" s="51">
        <v>15.2</v>
      </c>
      <c r="Z169" s="111">
        <v>15.2</v>
      </c>
      <c r="AA169" s="51">
        <v>14.2</v>
      </c>
      <c r="AB169" s="51">
        <v>15.4</v>
      </c>
      <c r="AC169" s="51">
        <v>15</v>
      </c>
      <c r="AD169" s="51">
        <v>15.4</v>
      </c>
      <c r="AE169" s="51">
        <v>15.4</v>
      </c>
      <c r="AF169" s="51">
        <v>14</v>
      </c>
      <c r="AG169" s="51">
        <v>14.4</v>
      </c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23</v>
      </c>
      <c r="AQ169" s="89">
        <f t="shared" si="12"/>
        <v>14.730434782608691</v>
      </c>
      <c r="AR169" s="89">
        <f>IFERROR(VLOOKUP(A169,Climatologia!A:U,9+$E$2,FALSE),"")</f>
        <v>13.77605041757155</v>
      </c>
      <c r="AS169" s="89">
        <f t="shared" si="13"/>
        <v>0.95438436503714108</v>
      </c>
      <c r="AT169" s="90">
        <f t="shared" si="14"/>
        <v>13.4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10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34625</v>
      </c>
      <c r="AW169" s="92">
        <f t="shared" si="15"/>
        <v>3.4000000000000004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11.63741521918941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9.1999999999999993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39010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23</v>
      </c>
      <c r="L171" s="51">
        <v>23.6</v>
      </c>
      <c r="M171" s="51">
        <v>23</v>
      </c>
      <c r="N171" s="51">
        <v>23.6</v>
      </c>
      <c r="O171" s="51">
        <v>23.6</v>
      </c>
      <c r="P171" s="51">
        <v>23.8</v>
      </c>
      <c r="Q171" s="51">
        <v>23</v>
      </c>
      <c r="R171" s="51">
        <v>23.4</v>
      </c>
      <c r="S171" s="51">
        <v>24</v>
      </c>
      <c r="T171" s="51">
        <v>22.2</v>
      </c>
      <c r="U171" s="51"/>
      <c r="V171" s="51"/>
      <c r="W171" s="51">
        <v>22.6</v>
      </c>
      <c r="X171" s="51">
        <v>23.4</v>
      </c>
      <c r="Y171" s="51">
        <v>23.6</v>
      </c>
      <c r="Z171" s="111">
        <v>22.4</v>
      </c>
      <c r="AA171" s="51">
        <v>24.2</v>
      </c>
      <c r="AB171" s="51">
        <v>23.4</v>
      </c>
      <c r="AC171" s="51">
        <v>23.6</v>
      </c>
      <c r="AD171" s="51">
        <v>24</v>
      </c>
      <c r="AE171" s="51">
        <v>23.4</v>
      </c>
      <c r="AF171" s="51">
        <v>24</v>
      </c>
      <c r="AG171" s="51">
        <v>23.4</v>
      </c>
      <c r="AH171" s="51">
        <v>23.6</v>
      </c>
      <c r="AI171" s="51"/>
      <c r="AJ171" s="51"/>
      <c r="AK171" s="51"/>
      <c r="AL171" s="51"/>
      <c r="AM171" s="51"/>
      <c r="AN171" s="51"/>
      <c r="AO171" s="51"/>
      <c r="AP171" s="88">
        <f t="shared" si="11"/>
        <v>22</v>
      </c>
      <c r="AQ171" s="89">
        <f t="shared" si="12"/>
        <v>23.4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22.2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34620</v>
      </c>
      <c r="AW171" s="92">
        <f t="shared" si="15"/>
        <v>4.1999999999999993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22.47109010011124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40452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22.685475462493262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38639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20.6</v>
      </c>
      <c r="L174" s="51">
        <v>22.6</v>
      </c>
      <c r="M174" s="51">
        <v>19.8</v>
      </c>
      <c r="N174" s="51">
        <v>22.2</v>
      </c>
      <c r="O174" s="51">
        <v>21.2</v>
      </c>
      <c r="P174" s="51">
        <v>21.4</v>
      </c>
      <c r="Q174" s="51">
        <v>19.8</v>
      </c>
      <c r="R174" s="51">
        <v>21</v>
      </c>
      <c r="S174" s="51">
        <v>21.2</v>
      </c>
      <c r="T174" s="51">
        <v>20</v>
      </c>
      <c r="U174" s="51">
        <v>21.4</v>
      </c>
      <c r="V174" s="51">
        <v>21.6</v>
      </c>
      <c r="W174" s="51">
        <v>19.600000000000001</v>
      </c>
      <c r="X174" s="51">
        <v>21.2</v>
      </c>
      <c r="Y174" s="51">
        <v>21</v>
      </c>
      <c r="Z174" s="111">
        <v>22.8</v>
      </c>
      <c r="AA174" s="51">
        <v>22.4</v>
      </c>
      <c r="AB174" s="51">
        <v>22</v>
      </c>
      <c r="AC174" s="51">
        <v>21.2</v>
      </c>
      <c r="AD174" s="51">
        <v>22</v>
      </c>
      <c r="AE174" s="51">
        <v>21.2</v>
      </c>
      <c r="AF174" s="51">
        <v>21</v>
      </c>
      <c r="AG174" s="51">
        <v>21.6</v>
      </c>
      <c r="AH174" s="51">
        <v>23.4</v>
      </c>
      <c r="AI174" s="51"/>
      <c r="AJ174" s="51"/>
      <c r="AK174" s="51"/>
      <c r="AL174" s="51"/>
      <c r="AM174" s="51"/>
      <c r="AN174" s="51"/>
      <c r="AO174" s="51"/>
      <c r="AP174" s="88">
        <f t="shared" si="11"/>
        <v>24</v>
      </c>
      <c r="AQ174" s="89">
        <f t="shared" si="12"/>
        <v>21.341666666666669</v>
      </c>
      <c r="AR174" s="89">
        <f>IFERROR(VLOOKUP(A174,Climatologia!A:U,9+$E$2,FALSE),"")</f>
        <v>20.974954671150471</v>
      </c>
      <c r="AS174" s="89">
        <f t="shared" si="13"/>
        <v>0.36671199551619793</v>
      </c>
      <c r="AT174" s="90">
        <f t="shared" si="14"/>
        <v>19.600000000000001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33878</v>
      </c>
      <c r="AW174" s="92">
        <f t="shared" si="15"/>
        <v>3.6000000000000014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22.6</v>
      </c>
      <c r="L175" s="51">
        <v>23.3</v>
      </c>
      <c r="M175" s="51">
        <v>22</v>
      </c>
      <c r="N175" s="51">
        <v>23.4</v>
      </c>
      <c r="O175" s="51">
        <v>22.8</v>
      </c>
      <c r="P175" s="51">
        <v>23.2</v>
      </c>
      <c r="Q175" s="51">
        <v>21.4</v>
      </c>
      <c r="R175" s="51">
        <v>21.4</v>
      </c>
      <c r="S175" s="51">
        <v>22.8</v>
      </c>
      <c r="T175" s="51">
        <v>22.4</v>
      </c>
      <c r="U175" s="51">
        <v>22.6</v>
      </c>
      <c r="V175" s="51">
        <v>24.6</v>
      </c>
      <c r="W175" s="51">
        <v>23.8</v>
      </c>
      <c r="X175" s="51">
        <v>23.4</v>
      </c>
      <c r="Y175" s="51">
        <v>23.2</v>
      </c>
      <c r="Z175" s="111">
        <v>23.4</v>
      </c>
      <c r="AA175" s="51">
        <v>23.6</v>
      </c>
      <c r="AB175" s="51">
        <v>23.2</v>
      </c>
      <c r="AC175" s="51">
        <v>23.6</v>
      </c>
      <c r="AD175" s="51">
        <v>24.8</v>
      </c>
      <c r="AE175" s="51">
        <v>22.8</v>
      </c>
      <c r="AF175" s="51">
        <v>23</v>
      </c>
      <c r="AG175" s="51">
        <v>23.4</v>
      </c>
      <c r="AH175" s="51">
        <v>26.4</v>
      </c>
      <c r="AI175" s="51"/>
      <c r="AJ175" s="51"/>
      <c r="AK175" s="51"/>
      <c r="AL175" s="51"/>
      <c r="AM175" s="51"/>
      <c r="AN175" s="51"/>
      <c r="AO175" s="51"/>
      <c r="AP175" s="88">
        <f t="shared" si="11"/>
        <v>24</v>
      </c>
      <c r="AQ175" s="89">
        <f t="shared" si="12"/>
        <v>23.212500000000002</v>
      </c>
      <c r="AR175" s="89">
        <f>IFERROR(VLOOKUP(A175,Climatologia!A:U,9+$E$2,FALSE),"")</f>
        <v>21.443565454855779</v>
      </c>
      <c r="AS175" s="89">
        <f t="shared" si="13"/>
        <v>1.7689345451442229</v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16.8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36089</v>
      </c>
      <c r="AW175" s="92">
        <f t="shared" si="15"/>
        <v>4.5999999999999979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33532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33159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12.4</v>
      </c>
      <c r="L178" s="51">
        <v>14</v>
      </c>
      <c r="M178" s="51">
        <v>13.4</v>
      </c>
      <c r="N178" s="51">
        <v>13.6</v>
      </c>
      <c r="O178" s="51">
        <v>14.4</v>
      </c>
      <c r="P178" s="51">
        <v>13.6</v>
      </c>
      <c r="Q178" s="51">
        <v>13.4</v>
      </c>
      <c r="R178" s="51">
        <v>13.6</v>
      </c>
      <c r="S178" s="51">
        <v>13.8</v>
      </c>
      <c r="T178" s="51">
        <v>14</v>
      </c>
      <c r="U178" s="51">
        <v>13.4</v>
      </c>
      <c r="V178" s="51">
        <v>13.2</v>
      </c>
      <c r="W178" s="51">
        <v>13.6</v>
      </c>
      <c r="X178" s="51">
        <v>12.6</v>
      </c>
      <c r="Y178" s="51">
        <v>13.6</v>
      </c>
      <c r="Z178" s="111">
        <v>14.8</v>
      </c>
      <c r="AA178" s="51">
        <v>14.4</v>
      </c>
      <c r="AB178" s="51">
        <v>13.4</v>
      </c>
      <c r="AC178" s="51">
        <v>13</v>
      </c>
      <c r="AD178" s="51">
        <v>14.4</v>
      </c>
      <c r="AE178" s="51">
        <v>13.8</v>
      </c>
      <c r="AF178" s="51">
        <v>13.2</v>
      </c>
      <c r="AG178" s="51">
        <v>13.4</v>
      </c>
      <c r="AH178" s="51">
        <v>14.2</v>
      </c>
      <c r="AI178" s="51"/>
      <c r="AJ178" s="51"/>
      <c r="AK178" s="51"/>
      <c r="AL178" s="51"/>
      <c r="AM178" s="51"/>
      <c r="AN178" s="51"/>
      <c r="AO178" s="51"/>
      <c r="AP178" s="88">
        <f t="shared" si="11"/>
        <v>24</v>
      </c>
      <c r="AQ178" s="89">
        <f t="shared" si="12"/>
        <v>13.633333333333331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38628</v>
      </c>
      <c r="AW178" s="92">
        <f t="shared" si="15"/>
        <v>2.4000000000000004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23.4</v>
      </c>
      <c r="L179" s="51">
        <v>23.4</v>
      </c>
      <c r="M179" s="51">
        <v>23.8</v>
      </c>
      <c r="N179" s="51">
        <v>24.8</v>
      </c>
      <c r="O179" s="51">
        <v>24</v>
      </c>
      <c r="P179" s="51">
        <v>24</v>
      </c>
      <c r="Q179" s="51">
        <v>21.8</v>
      </c>
      <c r="R179" s="51">
        <v>22.4</v>
      </c>
      <c r="S179" s="51">
        <v>21.2</v>
      </c>
      <c r="T179" s="51">
        <v>22.4</v>
      </c>
      <c r="U179" s="51">
        <v>23.4</v>
      </c>
      <c r="V179" s="51">
        <v>22</v>
      </c>
      <c r="W179" s="51">
        <v>22.6</v>
      </c>
      <c r="X179" s="51">
        <v>23.8</v>
      </c>
      <c r="Y179" s="51">
        <v>24.4</v>
      </c>
      <c r="Z179" s="111">
        <v>24.6</v>
      </c>
      <c r="AA179" s="51">
        <v>25.8</v>
      </c>
      <c r="AB179" s="51">
        <v>23.2</v>
      </c>
      <c r="AC179" s="51">
        <v>23.6</v>
      </c>
      <c r="AD179" s="51">
        <v>26.2</v>
      </c>
      <c r="AE179" s="51">
        <v>23</v>
      </c>
      <c r="AF179" s="51">
        <v>23.4</v>
      </c>
      <c r="AG179" s="51">
        <v>24.6</v>
      </c>
      <c r="AH179" s="51">
        <v>25</v>
      </c>
      <c r="AI179" s="51"/>
      <c r="AJ179" s="51"/>
      <c r="AK179" s="51"/>
      <c r="AL179" s="51"/>
      <c r="AM179" s="51"/>
      <c r="AN179" s="51"/>
      <c r="AO179" s="51"/>
      <c r="AP179" s="88">
        <f t="shared" si="11"/>
        <v>24</v>
      </c>
      <c r="AQ179" s="89">
        <f t="shared" si="12"/>
        <v>23.616666666666671</v>
      </c>
      <c r="AR179" s="89">
        <f>IFERROR(VLOOKUP(A179,Climatologia!A:U,9+$E$2,FALSE),"")</f>
        <v>22.710286109345489</v>
      </c>
      <c r="AS179" s="89">
        <f t="shared" si="13"/>
        <v>0.90638055732118161</v>
      </c>
      <c r="AT179" s="90">
        <f t="shared" si="14"/>
        <v>21.2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36819</v>
      </c>
      <c r="AW179" s="92">
        <f t="shared" si="15"/>
        <v>2.1999999999999993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23.4</v>
      </c>
      <c r="M180" s="51">
        <v>22.6</v>
      </c>
      <c r="N180" s="51">
        <v>23.4</v>
      </c>
      <c r="O180" s="51">
        <v>22</v>
      </c>
      <c r="P180" s="51">
        <v>22.4</v>
      </c>
      <c r="Q180" s="51">
        <v>21.6</v>
      </c>
      <c r="R180" s="51">
        <v>22</v>
      </c>
      <c r="S180" s="51">
        <v>21</v>
      </c>
      <c r="T180" s="51">
        <v>24.8</v>
      </c>
      <c r="U180" s="51">
        <v>22.2</v>
      </c>
      <c r="V180" s="51">
        <v>23.2</v>
      </c>
      <c r="W180" s="51">
        <v>23.6</v>
      </c>
      <c r="X180" s="51">
        <v>22.8</v>
      </c>
      <c r="Y180" s="51">
        <v>24.4</v>
      </c>
      <c r="Z180" s="111">
        <v>25.8</v>
      </c>
      <c r="AA180" s="51">
        <v>25.4</v>
      </c>
      <c r="AB180" s="51">
        <v>23.2</v>
      </c>
      <c r="AC180" s="51">
        <v>23.4</v>
      </c>
      <c r="AD180" s="51">
        <v>24.6</v>
      </c>
      <c r="AE180" s="51">
        <v>23.2</v>
      </c>
      <c r="AF180" s="51">
        <v>23.6</v>
      </c>
      <c r="AG180" s="51">
        <v>23.2</v>
      </c>
      <c r="AH180" s="51">
        <v>23.8</v>
      </c>
      <c r="AI180" s="51"/>
      <c r="AJ180" s="51"/>
      <c r="AK180" s="51"/>
      <c r="AL180" s="51"/>
      <c r="AM180" s="51"/>
      <c r="AN180" s="51"/>
      <c r="AO180" s="51"/>
      <c r="AP180" s="88">
        <f t="shared" si="11"/>
        <v>24</v>
      </c>
      <c r="AQ180" s="89">
        <f t="shared" si="12"/>
        <v>23.299999999999997</v>
      </c>
      <c r="AR180" s="89">
        <f>IFERROR(VLOOKUP(A180,Climatologia!A:U,9+$E$2,FALSE),"")</f>
        <v>21.63285896979399</v>
      </c>
      <c r="AS180" s="89">
        <f t="shared" si="13"/>
        <v>1.6671410302060075</v>
      </c>
      <c r="AT180" s="90">
        <f t="shared" si="14"/>
        <v>21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16.600000000000001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36449</v>
      </c>
      <c r="AW180" s="92">
        <f t="shared" si="15"/>
        <v>4.3999999999999986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13.2</v>
      </c>
      <c r="L181" s="51">
        <v>13.6</v>
      </c>
      <c r="M181" s="51">
        <v>14</v>
      </c>
      <c r="N181" s="51">
        <v>13</v>
      </c>
      <c r="O181" s="51">
        <v>12.8</v>
      </c>
      <c r="P181" s="51">
        <v>13.2</v>
      </c>
      <c r="Q181" s="51">
        <v>13.6</v>
      </c>
      <c r="R181" s="51">
        <v>13.4</v>
      </c>
      <c r="S181" s="51">
        <v>13.2</v>
      </c>
      <c r="T181" s="51">
        <v>14</v>
      </c>
      <c r="U181" s="51">
        <v>13.4</v>
      </c>
      <c r="V181" s="51"/>
      <c r="W181" s="51">
        <v>13.4</v>
      </c>
      <c r="X181" s="51">
        <v>12.8</v>
      </c>
      <c r="Y181" s="51">
        <v>13.6</v>
      </c>
      <c r="Z181" s="111">
        <v>15</v>
      </c>
      <c r="AA181" s="51">
        <v>14.2</v>
      </c>
      <c r="AB181" s="51">
        <v>13.6</v>
      </c>
      <c r="AC181" s="51">
        <v>12.2</v>
      </c>
      <c r="AD181" s="51">
        <v>14</v>
      </c>
      <c r="AE181" s="51">
        <v>13.2</v>
      </c>
      <c r="AF181" s="51">
        <v>13.4</v>
      </c>
      <c r="AG181" s="51">
        <v>13.6</v>
      </c>
      <c r="AH181" s="51">
        <v>14.4</v>
      </c>
      <c r="AI181" s="51"/>
      <c r="AJ181" s="51"/>
      <c r="AK181" s="51"/>
      <c r="AL181" s="51"/>
      <c r="AM181" s="51"/>
      <c r="AN181" s="51"/>
      <c r="AO181" s="51"/>
      <c r="AP181" s="88">
        <f t="shared" si="11"/>
        <v>23</v>
      </c>
      <c r="AQ181" s="89">
        <f t="shared" si="12"/>
        <v>13.513043478260867</v>
      </c>
      <c r="AR181" s="89">
        <f>IFERROR(VLOOKUP(A181,Climatologia!A:U,9+$E$2,FALSE),"")</f>
        <v>14.304930663700411</v>
      </c>
      <c r="AS181" s="89">
        <f t="shared" si="13"/>
        <v>-0.79188718543954373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29860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17.8</v>
      </c>
      <c r="L182" s="51">
        <v>17.2</v>
      </c>
      <c r="M182" s="51">
        <v>18.2</v>
      </c>
      <c r="N182" s="51">
        <v>18.2</v>
      </c>
      <c r="O182" s="51">
        <v>18.600000000000001</v>
      </c>
      <c r="P182" s="51">
        <v>18.2</v>
      </c>
      <c r="Q182" s="51">
        <v>19.8</v>
      </c>
      <c r="R182" s="51">
        <v>17.8</v>
      </c>
      <c r="S182" s="51">
        <v>19.2</v>
      </c>
      <c r="T182" s="51">
        <v>18.2</v>
      </c>
      <c r="U182" s="51">
        <v>18.600000000000001</v>
      </c>
      <c r="V182" s="51">
        <v>17.600000000000001</v>
      </c>
      <c r="W182" s="51">
        <v>19.2</v>
      </c>
      <c r="X182" s="51">
        <v>17.2</v>
      </c>
      <c r="Y182" s="51">
        <v>19.600000000000001</v>
      </c>
      <c r="Z182" s="111">
        <v>18.600000000000001</v>
      </c>
      <c r="AA182" s="51">
        <v>18.8</v>
      </c>
      <c r="AB182" s="51">
        <v>19.399999999999999</v>
      </c>
      <c r="AC182" s="51">
        <v>20</v>
      </c>
      <c r="AD182" s="51">
        <v>19.2</v>
      </c>
      <c r="AE182" s="51">
        <v>17.8</v>
      </c>
      <c r="AF182" s="51">
        <v>18.2</v>
      </c>
      <c r="AG182" s="51">
        <v>19.8</v>
      </c>
      <c r="AH182" s="51">
        <v>19.2</v>
      </c>
      <c r="AI182" s="51"/>
      <c r="AJ182" s="51"/>
      <c r="AK182" s="51"/>
      <c r="AL182" s="51"/>
      <c r="AM182" s="51"/>
      <c r="AN182" s="51"/>
      <c r="AO182" s="51"/>
      <c r="AP182" s="88">
        <f t="shared" si="11"/>
        <v>24</v>
      </c>
      <c r="AQ182" s="89">
        <f t="shared" si="12"/>
        <v>18.599999999999998</v>
      </c>
      <c r="AR182" s="89">
        <f>IFERROR(VLOOKUP(A182,Climatologia!A:U,9+$E$2,FALSE),"")</f>
        <v>19.549499730100031</v>
      </c>
      <c r="AS182" s="89">
        <f t="shared" si="13"/>
        <v>-0.94949973010003319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17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28786</v>
      </c>
      <c r="AW182" s="92">
        <f t="shared" si="15"/>
        <v>0.19999999999999929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</v>
      </c>
      <c r="L183" s="51">
        <v>21.6</v>
      </c>
      <c r="M183" s="51">
        <v>21.6</v>
      </c>
      <c r="N183" s="51">
        <v>21.8</v>
      </c>
      <c r="O183" s="51">
        <v>20.399999999999999</v>
      </c>
      <c r="P183" s="51">
        <v>20.8</v>
      </c>
      <c r="Q183" s="51">
        <v>20.8</v>
      </c>
      <c r="R183" s="51">
        <v>21.6</v>
      </c>
      <c r="S183" s="51">
        <v>21.4</v>
      </c>
      <c r="T183" s="51">
        <v>21</v>
      </c>
      <c r="U183" s="51">
        <v>21.2</v>
      </c>
      <c r="V183" s="51">
        <v>21.8</v>
      </c>
      <c r="W183" s="51">
        <v>22.2</v>
      </c>
      <c r="X183" s="51">
        <v>21.4</v>
      </c>
      <c r="Y183" s="51">
        <v>22</v>
      </c>
      <c r="Z183" s="111">
        <v>22.6</v>
      </c>
      <c r="AA183" s="51">
        <v>21.8</v>
      </c>
      <c r="AB183" s="51">
        <v>22.6</v>
      </c>
      <c r="AC183" s="51">
        <v>21.4</v>
      </c>
      <c r="AD183" s="51">
        <v>22.4</v>
      </c>
      <c r="AE183" s="51">
        <v>22.2</v>
      </c>
      <c r="AF183" s="51">
        <v>21.4</v>
      </c>
      <c r="AG183" s="51">
        <v>21.2</v>
      </c>
      <c r="AH183" s="51">
        <v>21.8</v>
      </c>
      <c r="AI183" s="51"/>
      <c r="AJ183" s="51"/>
      <c r="AK183" s="51"/>
      <c r="AL183" s="51"/>
      <c r="AM183" s="51"/>
      <c r="AN183" s="51"/>
      <c r="AO183" s="51"/>
      <c r="AP183" s="88">
        <f t="shared" si="11"/>
        <v>24</v>
      </c>
      <c r="AQ183" s="89">
        <f t="shared" si="12"/>
        <v>21.583333333333329</v>
      </c>
      <c r="AR183" s="89">
        <f>IFERROR(VLOOKUP(A183,Climatologia!A:U,9+$E$2,FALSE),"")</f>
        <v>20.178595388173811</v>
      </c>
      <c r="AS183" s="89">
        <f t="shared" si="13"/>
        <v>1.4047379451595177</v>
      </c>
      <c r="AT183" s="90">
        <f t="shared" si="14"/>
        <v>20.399999999999999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17.399999999999999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31333</v>
      </c>
      <c r="AW183" s="92">
        <f t="shared" si="15"/>
        <v>3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</v>
      </c>
      <c r="L184" s="51">
        <v>17.2</v>
      </c>
      <c r="M184" s="51">
        <v>15.8</v>
      </c>
      <c r="N184" s="51">
        <v>15.8</v>
      </c>
      <c r="O184" s="51">
        <v>17</v>
      </c>
      <c r="P184" s="51">
        <v>17</v>
      </c>
      <c r="Q184" s="51">
        <v>16</v>
      </c>
      <c r="R184" s="51">
        <v>17</v>
      </c>
      <c r="S184" s="51">
        <v>17.399999999999999</v>
      </c>
      <c r="T184" s="51">
        <v>16.8</v>
      </c>
      <c r="U184" s="51">
        <v>16.399999999999999</v>
      </c>
      <c r="V184" s="51">
        <v>18</v>
      </c>
      <c r="W184" s="51">
        <v>16.399999999999999</v>
      </c>
      <c r="X184" s="51">
        <v>16.600000000000001</v>
      </c>
      <c r="Y184" s="51">
        <v>17</v>
      </c>
      <c r="Z184" s="111">
        <v>17.8</v>
      </c>
      <c r="AA184" s="51">
        <v>17.399999999999999</v>
      </c>
      <c r="AB184" s="51">
        <v>17.399999999999999</v>
      </c>
      <c r="AC184" s="51">
        <v>16.2</v>
      </c>
      <c r="AD184" s="51">
        <v>17.2</v>
      </c>
      <c r="AE184" s="51">
        <v>17.399999999999999</v>
      </c>
      <c r="AF184" s="51">
        <v>16.2</v>
      </c>
      <c r="AG184" s="51">
        <v>16.2</v>
      </c>
      <c r="AH184" s="51">
        <v>17.2</v>
      </c>
      <c r="AI184" s="51"/>
      <c r="AJ184" s="51"/>
      <c r="AK184" s="51"/>
      <c r="AL184" s="51"/>
      <c r="AM184" s="51"/>
      <c r="AN184" s="51"/>
      <c r="AO184" s="51"/>
      <c r="AP184" s="88">
        <f t="shared" si="11"/>
        <v>24</v>
      </c>
      <c r="AQ184" s="89">
        <f t="shared" si="12"/>
        <v>16.849999999999998</v>
      </c>
      <c r="AR184" s="89">
        <f>IFERROR(VLOOKUP(A184,Climatologia!A:U,9+$E$2,FALSE),"")</f>
        <v>16.70182893940402</v>
      </c>
      <c r="AS184" s="89">
        <f t="shared" si="13"/>
        <v>0.14817106059597762</v>
      </c>
      <c r="AT184" s="90">
        <f t="shared" si="14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31690</v>
      </c>
      <c r="AW184" s="92">
        <f t="shared" si="15"/>
        <v>3.8000000000000007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</v>
      </c>
      <c r="L185" s="51">
        <v>21.2</v>
      </c>
      <c r="M185" s="51">
        <v>21.6</v>
      </c>
      <c r="N185" s="51">
        <v>22</v>
      </c>
      <c r="O185" s="51">
        <v>21.2</v>
      </c>
      <c r="P185" s="51">
        <v>21.4</v>
      </c>
      <c r="Q185" s="51">
        <v>21.2</v>
      </c>
      <c r="R185" s="51">
        <v>21</v>
      </c>
      <c r="S185" s="51">
        <v>21</v>
      </c>
      <c r="T185" s="51">
        <v>21.6</v>
      </c>
      <c r="U185" s="51">
        <v>20.6</v>
      </c>
      <c r="V185" s="51">
        <v>21</v>
      </c>
      <c r="W185" s="51"/>
      <c r="X185" s="51">
        <v>20.6</v>
      </c>
      <c r="Y185" s="51">
        <v>22.4</v>
      </c>
      <c r="Z185" s="111">
        <v>22</v>
      </c>
      <c r="AA185" s="51">
        <v>23</v>
      </c>
      <c r="AB185" s="51">
        <v>20.8</v>
      </c>
      <c r="AC185" s="51">
        <v>20.2</v>
      </c>
      <c r="AD185" s="51">
        <v>21.2</v>
      </c>
      <c r="AE185" s="51">
        <v>20.399999999999999</v>
      </c>
      <c r="AF185" s="51">
        <v>21.2</v>
      </c>
      <c r="AG185" s="51">
        <v>22.4</v>
      </c>
      <c r="AH185" s="51">
        <v>21</v>
      </c>
      <c r="AI185" s="51"/>
      <c r="AJ185" s="51"/>
      <c r="AK185" s="51"/>
      <c r="AL185" s="51"/>
      <c r="AM185" s="51"/>
      <c r="AN185" s="51"/>
      <c r="AO185" s="51"/>
      <c r="AP185" s="88">
        <f t="shared" si="11"/>
        <v>23</v>
      </c>
      <c r="AQ185" s="89">
        <f t="shared" si="12"/>
        <v>21.30434782608695</v>
      </c>
      <c r="AR185" s="89">
        <f>IFERROR(VLOOKUP(A185,Climatologia!A:U,9+$E$2,FALSE),"")</f>
        <v>20.093982864558509</v>
      </c>
      <c r="AS185" s="89">
        <f t="shared" si="13"/>
        <v>1.2103649615284411</v>
      </c>
      <c r="AT185" s="90">
        <f t="shared" si="14"/>
        <v>20.2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16.8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37556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16.600000000000001</v>
      </c>
      <c r="L186" s="51">
        <v>18</v>
      </c>
      <c r="M186" s="51">
        <v>17.2</v>
      </c>
      <c r="N186" s="51">
        <v>17.2</v>
      </c>
      <c r="O186" s="51">
        <v>17</v>
      </c>
      <c r="P186" s="51">
        <v>17.600000000000001</v>
      </c>
      <c r="Q186" s="51">
        <v>16.8</v>
      </c>
      <c r="R186" s="51">
        <v>17.2</v>
      </c>
      <c r="S186" s="51">
        <v>17.399999999999999</v>
      </c>
      <c r="T186" s="51">
        <v>17.2</v>
      </c>
      <c r="U186" s="51">
        <v>17.2</v>
      </c>
      <c r="V186" s="51">
        <v>17.600000000000001</v>
      </c>
      <c r="W186" s="51">
        <v>16.2</v>
      </c>
      <c r="X186" s="51">
        <v>16.399999999999999</v>
      </c>
      <c r="Y186" s="51">
        <v>18</v>
      </c>
      <c r="Z186" s="111">
        <v>17.2</v>
      </c>
      <c r="AA186" s="51">
        <v>17.399999999999999</v>
      </c>
      <c r="AB186" s="51">
        <v>16.600000000000001</v>
      </c>
      <c r="AC186" s="51">
        <v>16.600000000000001</v>
      </c>
      <c r="AD186" s="51">
        <v>18.2</v>
      </c>
      <c r="AE186" s="51">
        <v>17.399999999999999</v>
      </c>
      <c r="AF186" s="51">
        <v>17.2</v>
      </c>
      <c r="AG186" s="51">
        <v>19.2</v>
      </c>
      <c r="AH186" s="51">
        <v>19.399999999999999</v>
      </c>
      <c r="AI186" s="51"/>
      <c r="AJ186" s="51"/>
      <c r="AK186" s="51"/>
      <c r="AL186" s="51"/>
      <c r="AM186" s="51"/>
      <c r="AN186" s="51"/>
      <c r="AO186" s="51"/>
      <c r="AP186" s="88">
        <f t="shared" si="11"/>
        <v>24</v>
      </c>
      <c r="AQ186" s="89">
        <f t="shared" si="12"/>
        <v>17.366666666666664</v>
      </c>
      <c r="AR186" s="89">
        <f>IFERROR(VLOOKUP(A186,Climatologia!A:U,9+$E$2,FALSE),"")</f>
        <v>16.635234657718009</v>
      </c>
      <c r="AS186" s="89">
        <f t="shared" si="13"/>
        <v>0.73143200894865501</v>
      </c>
      <c r="AT186" s="90">
        <f t="shared" si="14"/>
        <v>16.2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32424</v>
      </c>
      <c r="AW186" s="92">
        <f t="shared" si="15"/>
        <v>2.1999999999999993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20.8</v>
      </c>
      <c r="L187" s="51">
        <v>21.2</v>
      </c>
      <c r="M187" s="51">
        <v>21.4</v>
      </c>
      <c r="N187" s="51">
        <v>21.6</v>
      </c>
      <c r="O187" s="51">
        <v>22.2</v>
      </c>
      <c r="P187" s="51">
        <v>22.8</v>
      </c>
      <c r="Q187" s="51">
        <v>19.8</v>
      </c>
      <c r="R187" s="51">
        <v>19.399999999999999</v>
      </c>
      <c r="S187" s="51">
        <v>21.2</v>
      </c>
      <c r="T187" s="51">
        <v>20.2</v>
      </c>
      <c r="U187" s="51">
        <v>20.6</v>
      </c>
      <c r="V187" s="51">
        <v>22.2</v>
      </c>
      <c r="W187" s="51">
        <v>20.399999999999999</v>
      </c>
      <c r="X187" s="51">
        <v>20.2</v>
      </c>
      <c r="Y187" s="51">
        <v>21.4</v>
      </c>
      <c r="Z187" s="111">
        <v>23.2</v>
      </c>
      <c r="AA187" s="51">
        <v>22.6</v>
      </c>
      <c r="AB187" s="51">
        <v>20.8</v>
      </c>
      <c r="AC187" s="51">
        <v>21.2</v>
      </c>
      <c r="AD187" s="51">
        <v>22.2</v>
      </c>
      <c r="AE187" s="51">
        <v>21.2</v>
      </c>
      <c r="AF187" s="51">
        <v>20.2</v>
      </c>
      <c r="AG187" s="51">
        <v>21.4</v>
      </c>
      <c r="AH187" s="51">
        <v>22.4</v>
      </c>
      <c r="AI187" s="51"/>
      <c r="AJ187" s="51"/>
      <c r="AK187" s="51"/>
      <c r="AL187" s="51"/>
      <c r="AM187" s="51"/>
      <c r="AN187" s="51"/>
      <c r="AO187" s="51"/>
      <c r="AP187" s="88">
        <f t="shared" si="11"/>
        <v>24</v>
      </c>
      <c r="AQ187" s="89">
        <f t="shared" si="12"/>
        <v>21.274999999999995</v>
      </c>
      <c r="AR187" s="89">
        <f>IFERROR(VLOOKUP(A187,Climatologia!A:U,9+$E$2,FALSE),"")</f>
        <v>19.946410713663219</v>
      </c>
      <c r="AS187" s="89">
        <f t="shared" si="13"/>
        <v>1.3285892863367756</v>
      </c>
      <c r="AT187" s="90">
        <f t="shared" si="14"/>
        <v>19.399999999999999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16.399999999999999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29866</v>
      </c>
      <c r="AW187" s="92">
        <f t="shared" si="15"/>
        <v>3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18.600000000000001</v>
      </c>
      <c r="L188" s="51">
        <v>19.399999999999999</v>
      </c>
      <c r="M188" s="51">
        <v>18.2</v>
      </c>
      <c r="N188" s="51">
        <v>18</v>
      </c>
      <c r="O188" s="51">
        <v>19.2</v>
      </c>
      <c r="P188" s="51">
        <v>20</v>
      </c>
      <c r="Q188" s="51">
        <v>17.8</v>
      </c>
      <c r="R188" s="51">
        <v>18</v>
      </c>
      <c r="S188" s="51">
        <v>18.2</v>
      </c>
      <c r="T188" s="51">
        <v>18.600000000000001</v>
      </c>
      <c r="U188" s="51">
        <v>17.8</v>
      </c>
      <c r="V188" s="51">
        <v>19.399999999999999</v>
      </c>
      <c r="W188" s="51">
        <v>17.8</v>
      </c>
      <c r="X188" s="51">
        <v>17.399999999999999</v>
      </c>
      <c r="Y188" s="51">
        <v>18.600000000000001</v>
      </c>
      <c r="Z188" s="111">
        <v>18.8</v>
      </c>
      <c r="AA188" s="51">
        <v>19.399999999999999</v>
      </c>
      <c r="AB188" s="51">
        <v>19.2</v>
      </c>
      <c r="AC188" s="51">
        <v>17.8</v>
      </c>
      <c r="AD188" s="51">
        <v>19.600000000000001</v>
      </c>
      <c r="AE188" s="51">
        <v>18.2</v>
      </c>
      <c r="AF188" s="51">
        <v>17</v>
      </c>
      <c r="AG188" s="51">
        <v>18.2</v>
      </c>
      <c r="AH188" s="51">
        <v>19.600000000000001</v>
      </c>
      <c r="AI188" s="51"/>
      <c r="AJ188" s="51"/>
      <c r="AK188" s="51"/>
      <c r="AL188" s="51"/>
      <c r="AM188" s="51"/>
      <c r="AN188" s="51"/>
      <c r="AO188" s="51"/>
      <c r="AP188" s="88">
        <f t="shared" si="11"/>
        <v>24</v>
      </c>
      <c r="AQ188" s="89">
        <f t="shared" si="12"/>
        <v>18.533333333333335</v>
      </c>
      <c r="AR188" s="89">
        <f>IFERROR(VLOOKUP(A188,Climatologia!A:U,9+$E$2,FALSE),"")</f>
        <v>15.62534760845384</v>
      </c>
      <c r="AS188" s="89">
        <f t="shared" si="13"/>
        <v>2.9079857248794951</v>
      </c>
      <c r="AT188" s="90">
        <f t="shared" si="14"/>
        <v>17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39014</v>
      </c>
      <c r="AW188" s="92">
        <f t="shared" si="15"/>
        <v>5.8000000000000007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14.6</v>
      </c>
      <c r="L189" s="51">
        <v>15</v>
      </c>
      <c r="M189" s="51">
        <v>14</v>
      </c>
      <c r="N189" s="51">
        <v>11.8</v>
      </c>
      <c r="O189" s="51">
        <v>13.4</v>
      </c>
      <c r="P189" s="51">
        <v>14.4</v>
      </c>
      <c r="Q189" s="51">
        <v>13.4</v>
      </c>
      <c r="R189" s="51">
        <v>14.2</v>
      </c>
      <c r="S189" s="51">
        <v>15</v>
      </c>
      <c r="T189" s="51">
        <v>14.2</v>
      </c>
      <c r="U189" s="51">
        <v>11.6</v>
      </c>
      <c r="V189" s="51">
        <v>15</v>
      </c>
      <c r="W189" s="51">
        <v>13.2</v>
      </c>
      <c r="X189" s="51">
        <v>12.4</v>
      </c>
      <c r="Y189" s="51">
        <v>14.2</v>
      </c>
      <c r="Z189" s="111">
        <v>13.4</v>
      </c>
      <c r="AA189" s="51">
        <v>13.6</v>
      </c>
      <c r="AB189" s="51">
        <v>14</v>
      </c>
      <c r="AC189" s="51">
        <v>11.4</v>
      </c>
      <c r="AD189" s="51">
        <v>15</v>
      </c>
      <c r="AE189" s="51">
        <v>14.4</v>
      </c>
      <c r="AF189" s="51">
        <v>12.6</v>
      </c>
      <c r="AG189" s="51">
        <v>13.2</v>
      </c>
      <c r="AH189" s="51">
        <v>15</v>
      </c>
      <c r="AI189" s="51"/>
      <c r="AJ189" s="51"/>
      <c r="AK189" s="51"/>
      <c r="AL189" s="51"/>
      <c r="AM189" s="51"/>
      <c r="AN189" s="51"/>
      <c r="AO189" s="51"/>
      <c r="AP189" s="88">
        <f t="shared" si="11"/>
        <v>24</v>
      </c>
      <c r="AQ189" s="89">
        <f t="shared" si="12"/>
        <v>13.708333333333334</v>
      </c>
      <c r="AR189" s="89">
        <f>IFERROR(VLOOKUP(A189,Climatologia!A:U,9+$E$2,FALSE),"")</f>
        <v>11.118537209889681</v>
      </c>
      <c r="AS189" s="89">
        <f t="shared" si="13"/>
        <v>2.5897961234436533</v>
      </c>
      <c r="AT189" s="90">
        <f t="shared" si="14"/>
        <v>11.4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11.6</v>
      </c>
      <c r="L190" s="51">
        <v>12</v>
      </c>
      <c r="M190" s="51">
        <v>9</v>
      </c>
      <c r="N190" s="51">
        <v>6.8</v>
      </c>
      <c r="O190" s="51">
        <v>8</v>
      </c>
      <c r="P190" s="51">
        <v>11.2</v>
      </c>
      <c r="Q190" s="51">
        <v>11.6</v>
      </c>
      <c r="R190" s="51">
        <v>11.2</v>
      </c>
      <c r="S190" s="51">
        <v>11</v>
      </c>
      <c r="T190" s="51">
        <v>12</v>
      </c>
      <c r="U190" s="51">
        <v>9.6</v>
      </c>
      <c r="V190" s="51">
        <v>11</v>
      </c>
      <c r="W190" s="51">
        <v>9.8000000000000007</v>
      </c>
      <c r="X190" s="51">
        <v>10.6</v>
      </c>
      <c r="Y190" s="51">
        <v>11</v>
      </c>
      <c r="Z190" s="111">
        <v>10.4</v>
      </c>
      <c r="AA190" s="51">
        <v>8.6</v>
      </c>
      <c r="AB190" s="51">
        <v>11.4</v>
      </c>
      <c r="AC190" s="51">
        <v>3.6</v>
      </c>
      <c r="AD190" s="51">
        <v>6</v>
      </c>
      <c r="AE190" s="51">
        <v>11.2</v>
      </c>
      <c r="AF190" s="51">
        <v>9</v>
      </c>
      <c r="AG190" s="51">
        <v>9.6</v>
      </c>
      <c r="AH190" s="51">
        <v>11</v>
      </c>
      <c r="AI190" s="51"/>
      <c r="AJ190" s="51"/>
      <c r="AK190" s="51"/>
      <c r="AL190" s="51"/>
      <c r="AM190" s="51"/>
      <c r="AN190" s="51"/>
      <c r="AO190" s="51"/>
      <c r="AP190" s="88">
        <f t="shared" si="11"/>
        <v>24</v>
      </c>
      <c r="AQ190" s="89">
        <f t="shared" si="12"/>
        <v>9.8833333333333311</v>
      </c>
      <c r="AR190" s="89">
        <f>IFERROR(VLOOKUP(A190,Climatologia!A:U,9+$E$2,FALSE),"")</f>
        <v>7.1266058845780744</v>
      </c>
      <c r="AS190" s="89">
        <f t="shared" si="13"/>
        <v>2.7567274487552567</v>
      </c>
      <c r="AT190" s="90">
        <f t="shared" si="14"/>
        <v>3.6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-0.7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33536</v>
      </c>
      <c r="AW190" s="92">
        <f t="shared" si="15"/>
        <v>4.3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20.6</v>
      </c>
      <c r="L191" s="51">
        <v>21</v>
      </c>
      <c r="M191" s="51">
        <v>21.2</v>
      </c>
      <c r="N191" s="51">
        <v>21.4</v>
      </c>
      <c r="O191" s="51">
        <v>22.2</v>
      </c>
      <c r="P191" s="51">
        <v>22.8</v>
      </c>
      <c r="Q191" s="51">
        <v>20</v>
      </c>
      <c r="R191" s="51">
        <v>20.2</v>
      </c>
      <c r="S191" s="51">
        <v>20</v>
      </c>
      <c r="T191" s="51">
        <v>21.8</v>
      </c>
      <c r="U191" s="51">
        <v>21.4</v>
      </c>
      <c r="V191" s="51">
        <v>21</v>
      </c>
      <c r="W191" s="51">
        <v>21</v>
      </c>
      <c r="X191" s="51">
        <v>20.8</v>
      </c>
      <c r="Y191" s="51">
        <v>22.2</v>
      </c>
      <c r="Z191" s="111">
        <v>21.8</v>
      </c>
      <c r="AA191" s="51">
        <v>22.2</v>
      </c>
      <c r="AB191" s="51">
        <v>23</v>
      </c>
      <c r="AC191" s="51">
        <v>20</v>
      </c>
      <c r="AD191" s="51">
        <v>21.8</v>
      </c>
      <c r="AE191" s="51">
        <v>20</v>
      </c>
      <c r="AF191" s="51">
        <v>20</v>
      </c>
      <c r="AG191" s="51">
        <v>21</v>
      </c>
      <c r="AH191" s="51">
        <v>21.6</v>
      </c>
      <c r="AI191" s="51"/>
      <c r="AJ191" s="51"/>
      <c r="AK191" s="51"/>
      <c r="AL191" s="51"/>
      <c r="AM191" s="51"/>
      <c r="AN191" s="51"/>
      <c r="AO191" s="51"/>
      <c r="AP191" s="88">
        <f t="shared" si="11"/>
        <v>24</v>
      </c>
      <c r="AQ191" s="89">
        <f t="shared" si="12"/>
        <v>21.208333333333336</v>
      </c>
      <c r="AR191" s="89">
        <f>IFERROR(VLOOKUP(A191,Climatologia!A:U,9+$E$2,FALSE),"")</f>
        <v>19.90889044807621</v>
      </c>
      <c r="AS191" s="89">
        <f t="shared" si="13"/>
        <v>1.2994428852571254</v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10.4</v>
      </c>
      <c r="L192" s="51">
        <v>11.2</v>
      </c>
      <c r="M192" s="51">
        <v>10.6</v>
      </c>
      <c r="N192" s="51">
        <v>8.1999999999999993</v>
      </c>
      <c r="O192" s="51">
        <v>8.1999999999999993</v>
      </c>
      <c r="P192" s="51">
        <v>10</v>
      </c>
      <c r="Q192" s="51">
        <v>10.4</v>
      </c>
      <c r="R192" s="51">
        <v>9.1999999999999993</v>
      </c>
      <c r="S192" s="51">
        <v>11.2</v>
      </c>
      <c r="T192" s="51">
        <v>10.6</v>
      </c>
      <c r="U192" s="51">
        <v>10.199999999999999</v>
      </c>
      <c r="V192" s="51">
        <v>10.4</v>
      </c>
      <c r="W192" s="51">
        <v>9.6</v>
      </c>
      <c r="X192" s="51">
        <v>6.2</v>
      </c>
      <c r="Y192" s="51">
        <v>11.2</v>
      </c>
      <c r="Z192" s="111">
        <v>9.1999999999999993</v>
      </c>
      <c r="AA192" s="51"/>
      <c r="AB192" s="51">
        <v>12</v>
      </c>
      <c r="AC192" s="51">
        <v>5.4</v>
      </c>
      <c r="AD192" s="51">
        <v>7.4</v>
      </c>
      <c r="AE192" s="51">
        <v>8.8000000000000007</v>
      </c>
      <c r="AF192" s="51">
        <v>8.6</v>
      </c>
      <c r="AG192" s="51">
        <v>7.4</v>
      </c>
      <c r="AH192" s="51">
        <v>9</v>
      </c>
      <c r="AI192" s="51"/>
      <c r="AJ192" s="51"/>
      <c r="AK192" s="51"/>
      <c r="AL192" s="51"/>
      <c r="AM192" s="51"/>
      <c r="AN192" s="51"/>
      <c r="AO192" s="51"/>
      <c r="AP192" s="88">
        <f t="shared" si="11"/>
        <v>23</v>
      </c>
      <c r="AQ192" s="89">
        <f t="shared" si="12"/>
        <v>9.3652173913043484</v>
      </c>
      <c r="AR192" s="89">
        <f>IFERROR(VLOOKUP(A192,Climatologia!A:U,9+$E$2,FALSE),"")</f>
        <v>7.4093001151404936</v>
      </c>
      <c r="AS192" s="89">
        <f t="shared" si="13"/>
        <v>1.9559172761638548</v>
      </c>
      <c r="AT192" s="90">
        <f t="shared" si="14"/>
        <v>5.4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1.5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2" s="92">
        <f t="shared" si="15"/>
        <v>3.9000000000000004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10.199999999999999</v>
      </c>
      <c r="L193" s="51">
        <v>11</v>
      </c>
      <c r="M193" s="51">
        <v>11</v>
      </c>
      <c r="N193" s="51">
        <v>7</v>
      </c>
      <c r="O193" s="51">
        <v>6.6</v>
      </c>
      <c r="P193" s="51">
        <v>10</v>
      </c>
      <c r="Q193" s="51">
        <v>9.6</v>
      </c>
      <c r="R193" s="51">
        <v>10</v>
      </c>
      <c r="S193" s="51"/>
      <c r="T193" s="51">
        <v>10.4</v>
      </c>
      <c r="U193" s="51">
        <v>10</v>
      </c>
      <c r="V193" s="51">
        <v>10.199999999999999</v>
      </c>
      <c r="W193" s="51">
        <v>9</v>
      </c>
      <c r="X193" s="51">
        <v>8.6</v>
      </c>
      <c r="Y193" s="51">
        <v>11</v>
      </c>
      <c r="Z193" s="111">
        <v>8.6</v>
      </c>
      <c r="AA193" s="51">
        <v>8</v>
      </c>
      <c r="AB193" s="51">
        <v>11</v>
      </c>
      <c r="AC193" s="51">
        <v>6</v>
      </c>
      <c r="AD193" s="51">
        <v>7.6</v>
      </c>
      <c r="AE193" s="51">
        <v>10</v>
      </c>
      <c r="AF193" s="51">
        <v>8.1999999999999993</v>
      </c>
      <c r="AG193" s="51">
        <v>8.6</v>
      </c>
      <c r="AH193" s="51">
        <v>9.1999999999999993</v>
      </c>
      <c r="AI193" s="51"/>
      <c r="AJ193" s="51"/>
      <c r="AK193" s="51"/>
      <c r="AL193" s="51"/>
      <c r="AM193" s="51"/>
      <c r="AN193" s="51"/>
      <c r="AO193" s="51"/>
      <c r="AP193" s="88">
        <f t="shared" si="11"/>
        <v>23</v>
      </c>
      <c r="AQ193" s="89">
        <f t="shared" si="12"/>
        <v>9.2086956521739118</v>
      </c>
      <c r="AR193" s="89">
        <f>IFERROR(VLOOKUP(A193,Climatologia!A:U,9+$E$2,FALSE),"")</f>
        <v>7.4165936534420949</v>
      </c>
      <c r="AS193" s="89">
        <f t="shared" si="13"/>
        <v>1.792101998731817</v>
      </c>
      <c r="AT193" s="90">
        <f t="shared" si="14"/>
        <v>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29871</v>
      </c>
      <c r="AW193" s="92">
        <f t="shared" si="15"/>
        <v>4.8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7.8770602663928564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4.5999999999999996</v>
      </c>
      <c r="L195" s="51">
        <v>6.2</v>
      </c>
      <c r="M195" s="51">
        <v>6.6</v>
      </c>
      <c r="N195" s="51">
        <v>5.8</v>
      </c>
      <c r="O195" s="51">
        <v>6.2</v>
      </c>
      <c r="P195" s="51">
        <v>5.6</v>
      </c>
      <c r="Q195" s="51">
        <v>6.2</v>
      </c>
      <c r="R195" s="51">
        <v>6.2</v>
      </c>
      <c r="S195" s="51">
        <v>5.8</v>
      </c>
      <c r="T195" s="51">
        <v>5.2</v>
      </c>
      <c r="U195" s="51">
        <v>6.4</v>
      </c>
      <c r="V195" s="51">
        <v>6.8</v>
      </c>
      <c r="W195" s="51">
        <v>6</v>
      </c>
      <c r="X195" s="51">
        <v>5.2</v>
      </c>
      <c r="Y195" s="51">
        <v>9.8000000000000007</v>
      </c>
      <c r="Z195" s="111">
        <v>7.2</v>
      </c>
      <c r="AA195" s="51">
        <v>6.4</v>
      </c>
      <c r="AB195" s="51">
        <v>6</v>
      </c>
      <c r="AC195" s="51">
        <v>5.2</v>
      </c>
      <c r="AD195" s="51">
        <v>5.6</v>
      </c>
      <c r="AE195" s="51">
        <v>5.2</v>
      </c>
      <c r="AF195" s="51">
        <v>5.8</v>
      </c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22</v>
      </c>
      <c r="AQ195" s="89">
        <f t="shared" si="12"/>
        <v>6.0909090909090926</v>
      </c>
      <c r="AR195" s="89">
        <f>IFERROR(VLOOKUP(A195,Climatologia!A:U,9+$E$2,FALSE),"")</f>
        <v>7.2134675716782812</v>
      </c>
      <c r="AS195" s="89">
        <f t="shared" si="13"/>
        <v>-1.1225584807691886</v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-0.6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5" s="92">
        <f t="shared" si="15"/>
        <v>5.1999999999999993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11.4</v>
      </c>
      <c r="L196" s="51">
        <v>10.4</v>
      </c>
      <c r="M196" s="51">
        <v>11</v>
      </c>
      <c r="N196" s="51">
        <v>5.2</v>
      </c>
      <c r="O196" s="51">
        <v>8.4</v>
      </c>
      <c r="P196" s="51">
        <v>11</v>
      </c>
      <c r="Q196" s="51">
        <v>11.2</v>
      </c>
      <c r="R196" s="51">
        <v>11.4</v>
      </c>
      <c r="S196" s="51">
        <v>11.2</v>
      </c>
      <c r="T196" s="51">
        <v>11</v>
      </c>
      <c r="U196" s="51">
        <v>11.4</v>
      </c>
      <c r="V196" s="51">
        <v>11</v>
      </c>
      <c r="W196" s="51">
        <v>11.6</v>
      </c>
      <c r="X196" s="51">
        <v>11.2</v>
      </c>
      <c r="Y196" s="51">
        <v>10.199999999999999</v>
      </c>
      <c r="Z196" s="111">
        <v>10.6</v>
      </c>
      <c r="AA196" s="51">
        <v>9.8000000000000007</v>
      </c>
      <c r="AB196" s="51">
        <v>11.4</v>
      </c>
      <c r="AC196" s="51">
        <v>5.8</v>
      </c>
      <c r="AD196" s="51">
        <v>10.8</v>
      </c>
      <c r="AE196" s="51">
        <v>11</v>
      </c>
      <c r="AF196" s="51">
        <v>10.8</v>
      </c>
      <c r="AG196" s="51">
        <v>10.4</v>
      </c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23</v>
      </c>
      <c r="AQ196" s="89">
        <f t="shared" si="12"/>
        <v>10.356521739130438</v>
      </c>
      <c r="AR196" s="89">
        <f>IFERROR(VLOOKUP(A196,Climatologia!A:U,9+$E$2,FALSE),"")</f>
        <v>6.929651069775745</v>
      </c>
      <c r="AS196" s="89">
        <f t="shared" si="13"/>
        <v>3.4268706693546926</v>
      </c>
      <c r="AT196" s="90">
        <f t="shared" si="14"/>
        <v>5.2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33516</v>
      </c>
      <c r="AW196" s="92">
        <f t="shared" si="15"/>
        <v>5.2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9.4</v>
      </c>
      <c r="L197" s="51">
        <v>10.199999999999999</v>
      </c>
      <c r="M197" s="51">
        <v>11.4</v>
      </c>
      <c r="N197" s="51">
        <v>5.2</v>
      </c>
      <c r="O197" s="51">
        <v>9</v>
      </c>
      <c r="P197" s="51">
        <v>8.8000000000000007</v>
      </c>
      <c r="Q197" s="51">
        <v>9.6</v>
      </c>
      <c r="R197" s="51">
        <v>10.4</v>
      </c>
      <c r="S197" s="116">
        <v>10</v>
      </c>
      <c r="T197" s="51">
        <v>10.6</v>
      </c>
      <c r="U197" s="51">
        <v>8.4</v>
      </c>
      <c r="V197" s="51">
        <v>10.6</v>
      </c>
      <c r="W197" s="51">
        <v>10.199999999999999</v>
      </c>
      <c r="X197" s="51">
        <v>9.4</v>
      </c>
      <c r="Y197" s="51">
        <v>10</v>
      </c>
      <c r="Z197" s="111">
        <v>9.6</v>
      </c>
      <c r="AA197" s="51">
        <v>10.8</v>
      </c>
      <c r="AB197" s="51">
        <v>7.8</v>
      </c>
      <c r="AC197" s="51">
        <v>3.6</v>
      </c>
      <c r="AD197" s="51">
        <v>6</v>
      </c>
      <c r="AE197" s="51">
        <v>9.4</v>
      </c>
      <c r="AF197" s="51">
        <v>8</v>
      </c>
      <c r="AG197" s="51">
        <v>7.6</v>
      </c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23</v>
      </c>
      <c r="AQ197" s="89">
        <f t="shared" ref="AQ197:AQ260" si="17">IF(AP197&gt;14,AVERAGE(K197:AO197),"")</f>
        <v>8.9565217391304355</v>
      </c>
      <c r="AR197" s="89">
        <f>IFERROR(VLOOKUP(A197,Climatologia!A:U,9+$E$2,FALSE),"")</f>
        <v>6.916340586625946</v>
      </c>
      <c r="AS197" s="89">
        <f t="shared" ref="AS197:AS260" si="18">IF(OR(AQ197="",AR197=""),"",IFERROR(AQ197-AR197,""))</f>
        <v>2.0401811525044895</v>
      </c>
      <c r="AT197" s="90">
        <f t="shared" ref="AT197:AT207" si="19">IF(COUNT(K197:AO197)=0,"",MIN(K197:AO197))</f>
        <v>3.6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33176</v>
      </c>
      <c r="AW197" s="92">
        <f t="shared" ref="AW197:AW207" si="20">IF(OR(AT197="",AU197=""),"NA",IFERROR(AT197-AU197,"NA"))</f>
        <v>3.2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12</v>
      </c>
      <c r="L198" s="51">
        <v>12.4</v>
      </c>
      <c r="M198" s="51">
        <v>11.6</v>
      </c>
      <c r="N198" s="51">
        <v>7</v>
      </c>
      <c r="O198" s="51">
        <v>10</v>
      </c>
      <c r="P198" s="51">
        <v>12</v>
      </c>
      <c r="Q198" s="51">
        <v>11.8</v>
      </c>
      <c r="R198" s="51">
        <v>12.2</v>
      </c>
      <c r="S198" s="51">
        <v>11</v>
      </c>
      <c r="T198" s="51">
        <v>12</v>
      </c>
      <c r="U198" s="51">
        <v>11.8</v>
      </c>
      <c r="V198" s="51">
        <v>12.6</v>
      </c>
      <c r="W198" s="51">
        <v>10.6</v>
      </c>
      <c r="X198" s="51">
        <v>11.4</v>
      </c>
      <c r="Y198" s="51">
        <v>12</v>
      </c>
      <c r="Z198" s="111">
        <v>10.8</v>
      </c>
      <c r="AA198" s="51">
        <v>10.6</v>
      </c>
      <c r="AB198" s="51">
        <v>12</v>
      </c>
      <c r="AC198" s="51">
        <v>8.1999999999999993</v>
      </c>
      <c r="AD198" s="51">
        <v>10</v>
      </c>
      <c r="AE198" s="51">
        <v>12</v>
      </c>
      <c r="AF198" s="51"/>
      <c r="AG198" s="51">
        <v>10</v>
      </c>
      <c r="AH198" s="51">
        <v>12</v>
      </c>
      <c r="AI198" s="51"/>
      <c r="AJ198" s="51"/>
      <c r="AK198" s="51"/>
      <c r="AL198" s="51"/>
      <c r="AM198" s="51"/>
      <c r="AN198" s="51"/>
      <c r="AO198" s="51"/>
      <c r="AP198" s="88">
        <f t="shared" si="16"/>
        <v>23</v>
      </c>
      <c r="AQ198" s="89">
        <f t="shared" si="17"/>
        <v>11.130434782608695</v>
      </c>
      <c r="AR198" s="89">
        <f>IFERROR(VLOOKUP(A198,Climatologia!A:U,9+$E$2,FALSE),"")</f>
        <v>7.5461399546429204</v>
      </c>
      <c r="AS198" s="89">
        <f t="shared" si="18"/>
        <v>3.5842948279657749</v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-2.6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37543</v>
      </c>
      <c r="AW198" s="92">
        <f t="shared" si="20"/>
        <v>9.6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11.6</v>
      </c>
      <c r="L199" s="51">
        <v>12.2</v>
      </c>
      <c r="M199" s="51">
        <v>11</v>
      </c>
      <c r="N199" s="51">
        <v>10.8</v>
      </c>
      <c r="O199" s="51">
        <v>8</v>
      </c>
      <c r="P199" s="51">
        <v>10</v>
      </c>
      <c r="Q199" s="51">
        <v>11</v>
      </c>
      <c r="R199" s="51">
        <v>12.2</v>
      </c>
      <c r="S199" s="51">
        <v>11.2</v>
      </c>
      <c r="T199" s="51">
        <v>11.8</v>
      </c>
      <c r="U199" s="51">
        <v>11</v>
      </c>
      <c r="V199" s="51">
        <v>12.6</v>
      </c>
      <c r="W199" s="51">
        <v>12</v>
      </c>
      <c r="X199" s="51">
        <v>12.2</v>
      </c>
      <c r="Y199" s="51">
        <v>11.2</v>
      </c>
      <c r="Z199" s="111">
        <v>10</v>
      </c>
      <c r="AA199" s="51">
        <v>11.6</v>
      </c>
      <c r="AB199" s="51"/>
      <c r="AC199" s="51"/>
      <c r="AD199" s="51">
        <v>6.4</v>
      </c>
      <c r="AE199" s="51">
        <v>12</v>
      </c>
      <c r="AF199" s="51">
        <v>9</v>
      </c>
      <c r="AG199" s="51">
        <v>9.8000000000000007</v>
      </c>
      <c r="AH199" s="51">
        <v>11.2</v>
      </c>
      <c r="AI199" s="51"/>
      <c r="AJ199" s="51"/>
      <c r="AK199" s="51"/>
      <c r="AL199" s="51"/>
      <c r="AM199" s="51"/>
      <c r="AN199" s="51"/>
      <c r="AO199" s="51"/>
      <c r="AP199" s="88">
        <f t="shared" si="16"/>
        <v>22</v>
      </c>
      <c r="AQ199" s="89">
        <f t="shared" si="17"/>
        <v>10.854545454545454</v>
      </c>
      <c r="AR199" s="89">
        <f>IFERROR(VLOOKUP(A199,Climatologia!A:U,9+$E$2,FALSE),"")</f>
        <v>7.2154494623655934</v>
      </c>
      <c r="AS199" s="89">
        <f t="shared" si="18"/>
        <v>3.6390959921798602</v>
      </c>
      <c r="AT199" s="90">
        <f t="shared" si="19"/>
        <v>6.4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44135</v>
      </c>
      <c r="AW199" s="92">
        <f t="shared" si="20"/>
        <v>6.4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11.8</v>
      </c>
      <c r="L200" s="51">
        <v>11.4</v>
      </c>
      <c r="M200" s="51">
        <v>9.4</v>
      </c>
      <c r="N200" s="51">
        <v>7.4</v>
      </c>
      <c r="O200" s="51">
        <v>8.1999999999999993</v>
      </c>
      <c r="P200" s="51">
        <v>12</v>
      </c>
      <c r="Q200" s="51">
        <v>11.8</v>
      </c>
      <c r="R200" s="51">
        <v>12</v>
      </c>
      <c r="S200" s="51">
        <v>10.4</v>
      </c>
      <c r="T200" s="51">
        <v>11.4</v>
      </c>
      <c r="U200" s="51">
        <v>10</v>
      </c>
      <c r="V200" s="51">
        <v>11.8</v>
      </c>
      <c r="W200" s="51">
        <v>10.4</v>
      </c>
      <c r="X200" s="51">
        <v>11</v>
      </c>
      <c r="Y200" s="51">
        <v>11.2</v>
      </c>
      <c r="Z200" s="111">
        <v>10.199999999999999</v>
      </c>
      <c r="AA200" s="51">
        <v>10</v>
      </c>
      <c r="AB200" s="51">
        <v>11.2</v>
      </c>
      <c r="AC200" s="51">
        <v>7</v>
      </c>
      <c r="AD200" s="51">
        <v>8.6</v>
      </c>
      <c r="AE200" s="51">
        <v>11.4</v>
      </c>
      <c r="AF200" s="51">
        <v>9.4</v>
      </c>
      <c r="AG200" s="51">
        <v>10</v>
      </c>
      <c r="AH200" s="51">
        <v>11.4</v>
      </c>
      <c r="AI200" s="51"/>
      <c r="AJ200" s="51"/>
      <c r="AK200" s="51"/>
      <c r="AL200" s="51"/>
      <c r="AM200" s="51"/>
      <c r="AN200" s="51"/>
      <c r="AO200" s="51"/>
      <c r="AP200" s="88">
        <f t="shared" si="16"/>
        <v>24</v>
      </c>
      <c r="AQ200" s="89">
        <f t="shared" si="17"/>
        <v>10.391666666666666</v>
      </c>
      <c r="AR200" s="89">
        <f>IFERROR(VLOOKUP(A200,Climatologia!A:U,9+$E$2,FALSE),"")</f>
        <v>7.0053853956985552</v>
      </c>
      <c r="AS200" s="89">
        <f t="shared" si="18"/>
        <v>3.3862812709681105</v>
      </c>
      <c r="AT200" s="90">
        <f t="shared" si="19"/>
        <v>7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41553</v>
      </c>
      <c r="AW200" s="92">
        <f t="shared" si="20"/>
        <v>7.6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11.8</v>
      </c>
      <c r="L201" s="51">
        <v>12.2</v>
      </c>
      <c r="M201" s="51"/>
      <c r="N201" s="51"/>
      <c r="O201" s="51">
        <v>7</v>
      </c>
      <c r="P201" s="51">
        <v>11.8</v>
      </c>
      <c r="Q201" s="51">
        <v>11</v>
      </c>
      <c r="R201" s="51">
        <v>12.2</v>
      </c>
      <c r="S201" s="51">
        <v>11.8</v>
      </c>
      <c r="T201" s="51"/>
      <c r="U201" s="51"/>
      <c r="V201" s="51"/>
      <c r="W201" s="51">
        <v>11</v>
      </c>
      <c r="X201" s="51">
        <v>12</v>
      </c>
      <c r="Y201" s="51">
        <v>12.4</v>
      </c>
      <c r="Z201" s="111">
        <v>9.8000000000000007</v>
      </c>
      <c r="AA201" s="51"/>
      <c r="AB201" s="51"/>
      <c r="AC201" s="51">
        <v>7.8</v>
      </c>
      <c r="AD201" s="51">
        <v>8.6</v>
      </c>
      <c r="AE201" s="51">
        <v>9</v>
      </c>
      <c r="AF201" s="51">
        <v>8.1999999999999993</v>
      </c>
      <c r="AG201" s="51">
        <v>9.6</v>
      </c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16</v>
      </c>
      <c r="AQ201" s="89">
        <f t="shared" si="17"/>
        <v>10.387499999999999</v>
      </c>
      <c r="AR201" s="89">
        <f>IFERROR(VLOOKUP(A201,Climatologia!A:U,9+$E$2,FALSE),"")</f>
        <v>7.3926764348381218</v>
      </c>
      <c r="AS201" s="89">
        <f t="shared" si="18"/>
        <v>2.9948235651618775</v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37542</v>
      </c>
      <c r="AW201" s="92">
        <f t="shared" si="20"/>
        <v>7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11.2</v>
      </c>
      <c r="L202" s="51">
        <v>12</v>
      </c>
      <c r="M202" s="51">
        <v>10.4</v>
      </c>
      <c r="N202" s="51">
        <v>7.6</v>
      </c>
      <c r="O202" s="51">
        <v>8</v>
      </c>
      <c r="P202" s="51">
        <v>10.6</v>
      </c>
      <c r="Q202" s="51">
        <v>11.4</v>
      </c>
      <c r="R202" s="51">
        <v>11.6</v>
      </c>
      <c r="S202" s="51">
        <v>11.6</v>
      </c>
      <c r="T202" s="51">
        <v>11.8</v>
      </c>
      <c r="U202" s="51">
        <v>12</v>
      </c>
      <c r="V202" s="51">
        <v>12.6</v>
      </c>
      <c r="W202" s="51">
        <v>10.8</v>
      </c>
      <c r="X202" s="51">
        <v>11.4</v>
      </c>
      <c r="Y202" s="51">
        <v>10.4</v>
      </c>
      <c r="Z202" s="111">
        <v>9.6</v>
      </c>
      <c r="AA202" s="51">
        <v>9.6</v>
      </c>
      <c r="AB202" s="51">
        <v>11</v>
      </c>
      <c r="AC202" s="51">
        <v>8.1999999999999993</v>
      </c>
      <c r="AD202" s="51">
        <v>7.2</v>
      </c>
      <c r="AE202" s="51">
        <v>9.6</v>
      </c>
      <c r="AF202" s="51">
        <v>9.1999999999999993</v>
      </c>
      <c r="AG202" s="51">
        <v>10.4</v>
      </c>
      <c r="AH202" s="51">
        <v>10.6</v>
      </c>
      <c r="AI202" s="51"/>
      <c r="AJ202" s="51"/>
      <c r="AK202" s="51"/>
      <c r="AL202" s="51"/>
      <c r="AM202" s="51"/>
      <c r="AN202" s="51"/>
      <c r="AO202" s="51"/>
      <c r="AP202" s="88">
        <f t="shared" si="16"/>
        <v>24</v>
      </c>
      <c r="AQ202" s="89">
        <f t="shared" si="17"/>
        <v>10.366666666666665</v>
      </c>
      <c r="AR202" s="89">
        <f>IFERROR(VLOOKUP(A202,Climatologia!A:U,9+$E$2,FALSE),"")</f>
        <v>8.0602777159807211</v>
      </c>
      <c r="AS202" s="89">
        <f t="shared" si="18"/>
        <v>2.3063889506859443</v>
      </c>
      <c r="AT202" s="90">
        <f t="shared" si="19"/>
        <v>7.2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37558</v>
      </c>
      <c r="AW202" s="92">
        <f t="shared" si="20"/>
        <v>6.2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5.8</v>
      </c>
      <c r="L203" s="51">
        <v>5.4</v>
      </c>
      <c r="M203" s="51">
        <v>5</v>
      </c>
      <c r="N203" s="51">
        <v>5.6</v>
      </c>
      <c r="O203" s="51">
        <v>6</v>
      </c>
      <c r="P203" s="51">
        <v>6.4</v>
      </c>
      <c r="Q203" s="51">
        <v>5.8</v>
      </c>
      <c r="R203" s="51">
        <v>5.4</v>
      </c>
      <c r="S203" s="109">
        <v>5</v>
      </c>
      <c r="T203" s="51">
        <v>5.6</v>
      </c>
      <c r="U203" s="51">
        <v>5.8</v>
      </c>
      <c r="V203" s="51">
        <v>6.4</v>
      </c>
      <c r="W203" s="51">
        <v>5.6</v>
      </c>
      <c r="X203" s="109">
        <v>5.2</v>
      </c>
      <c r="Y203" s="109">
        <v>4.8</v>
      </c>
      <c r="Z203" s="111">
        <v>5.4</v>
      </c>
      <c r="AA203" s="51">
        <v>6.2</v>
      </c>
      <c r="AB203" s="51">
        <v>6.4</v>
      </c>
      <c r="AC203" s="51">
        <v>6</v>
      </c>
      <c r="AD203" s="51">
        <v>6.6</v>
      </c>
      <c r="AE203" s="51">
        <v>6</v>
      </c>
      <c r="AF203" s="51">
        <v>5.8</v>
      </c>
      <c r="AG203" s="51">
        <v>6.4</v>
      </c>
      <c r="AH203" s="51">
        <v>6.8</v>
      </c>
      <c r="AI203" s="51"/>
      <c r="AJ203" s="51"/>
      <c r="AK203" s="51"/>
      <c r="AL203" s="51"/>
      <c r="AM203" s="51"/>
      <c r="AN203" s="51"/>
      <c r="AO203" s="51"/>
      <c r="AP203" s="88">
        <f t="shared" si="16"/>
        <v>24</v>
      </c>
      <c r="AQ203" s="89">
        <f t="shared" si="17"/>
        <v>5.8083333333333336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4.8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38266</v>
      </c>
      <c r="AW203" s="92">
        <f t="shared" si="20"/>
        <v>4.5999999999999996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17.55553869614879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12.2</v>
      </c>
      <c r="L205" s="51">
        <v>12.8</v>
      </c>
      <c r="M205" s="51">
        <v>11.8</v>
      </c>
      <c r="N205" s="51"/>
      <c r="O205" s="51">
        <v>10.4</v>
      </c>
      <c r="P205" s="51">
        <v>13</v>
      </c>
      <c r="Q205" s="51">
        <v>12.4</v>
      </c>
      <c r="R205" s="51">
        <v>11.4</v>
      </c>
      <c r="S205" s="51">
        <v>11.6</v>
      </c>
      <c r="T205" s="51">
        <v>11.8</v>
      </c>
      <c r="U205" s="51">
        <v>10.6</v>
      </c>
      <c r="V205" s="51">
        <v>11.6</v>
      </c>
      <c r="W205" s="51">
        <v>12</v>
      </c>
      <c r="X205" s="51">
        <v>11</v>
      </c>
      <c r="Y205" s="51">
        <v>10.6</v>
      </c>
      <c r="Z205" s="111">
        <v>12</v>
      </c>
      <c r="AA205" s="51">
        <v>11.6</v>
      </c>
      <c r="AB205" s="51">
        <v>11.2</v>
      </c>
      <c r="AC205" s="51">
        <v>8.1999999999999993</v>
      </c>
      <c r="AD205" s="51">
        <v>10</v>
      </c>
      <c r="AE205" s="51">
        <v>10.8</v>
      </c>
      <c r="AF205" s="51">
        <v>12</v>
      </c>
      <c r="AG205" s="51">
        <v>11.2</v>
      </c>
      <c r="AH205" s="51">
        <v>10.6</v>
      </c>
      <c r="AI205" s="51"/>
      <c r="AJ205" s="51"/>
      <c r="AK205" s="51"/>
      <c r="AL205" s="51"/>
      <c r="AM205" s="51"/>
      <c r="AN205" s="51"/>
      <c r="AO205" s="51"/>
      <c r="AP205" s="88">
        <f t="shared" si="16"/>
        <v>23</v>
      </c>
      <c r="AQ205" s="89">
        <f t="shared" si="17"/>
        <v>11.339130434782607</v>
      </c>
      <c r="AR205" s="89">
        <f>IFERROR(VLOOKUP(A205,Climatologia!A:U,9+$E$2,FALSE),"")</f>
        <v>9.3555941074127951</v>
      </c>
      <c r="AS205" s="89">
        <f t="shared" si="18"/>
        <v>1.9835363273698121</v>
      </c>
      <c r="AT205" s="90">
        <f t="shared" si="19"/>
        <v>8.1999999999999993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33175</v>
      </c>
      <c r="AW205" s="92">
        <f t="shared" si="20"/>
        <v>6.9999999999999991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6.4</v>
      </c>
      <c r="L206" s="51">
        <v>6.8</v>
      </c>
      <c r="M206" s="51">
        <v>6.6</v>
      </c>
      <c r="N206" s="109">
        <v>4</v>
      </c>
      <c r="O206" s="51">
        <v>5.4</v>
      </c>
      <c r="P206" s="51">
        <v>7.4</v>
      </c>
      <c r="Q206" s="51">
        <v>7</v>
      </c>
      <c r="R206" s="51">
        <v>6.2</v>
      </c>
      <c r="S206" s="51">
        <v>8</v>
      </c>
      <c r="T206" s="51">
        <v>7.4</v>
      </c>
      <c r="U206" s="51">
        <v>7</v>
      </c>
      <c r="V206" s="51">
        <v>7.1</v>
      </c>
      <c r="W206" s="51">
        <v>7.2</v>
      </c>
      <c r="X206" s="51">
        <v>7.4</v>
      </c>
      <c r="Y206" s="51">
        <v>7</v>
      </c>
      <c r="Z206" s="111">
        <v>5.4</v>
      </c>
      <c r="AA206" s="51">
        <v>6.6</v>
      </c>
      <c r="AB206" s="51">
        <v>7.2</v>
      </c>
      <c r="AC206" s="51">
        <v>5</v>
      </c>
      <c r="AD206" s="51">
        <v>6.8</v>
      </c>
      <c r="AE206" s="51">
        <v>5.6</v>
      </c>
      <c r="AF206" s="51">
        <v>5.6</v>
      </c>
      <c r="AG206" s="51">
        <v>7.2</v>
      </c>
      <c r="AH206" s="51">
        <v>6.2</v>
      </c>
      <c r="AI206" s="51"/>
      <c r="AJ206" s="51"/>
      <c r="AK206" s="51"/>
      <c r="AL206" s="51"/>
      <c r="AM206" s="51"/>
      <c r="AN206" s="51"/>
      <c r="AO206" s="51"/>
      <c r="AP206" s="88">
        <f t="shared" si="16"/>
        <v>24</v>
      </c>
      <c r="AQ206" s="89">
        <f t="shared" si="17"/>
        <v>6.5208333333333321</v>
      </c>
      <c r="AR206" s="89">
        <f>IFERROR(VLOOKUP(A206,Climatologia!A:U,9+$E$2,FALSE),"")</f>
        <v>5.0376216372100684</v>
      </c>
      <c r="AS206" s="89">
        <f t="shared" si="18"/>
        <v>1.4832116961232638</v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0.1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37531</v>
      </c>
      <c r="AW206" s="92">
        <f t="shared" si="20"/>
        <v>3.9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24</v>
      </c>
      <c r="L207" s="51">
        <v>24.2</v>
      </c>
      <c r="M207" s="51">
        <v>23.6</v>
      </c>
      <c r="N207" s="51">
        <v>23.8</v>
      </c>
      <c r="O207" s="51"/>
      <c r="P207" s="51">
        <v>24</v>
      </c>
      <c r="Q207" s="51">
        <v>24.2</v>
      </c>
      <c r="R207" s="51">
        <v>23</v>
      </c>
      <c r="S207" s="51">
        <v>23.4</v>
      </c>
      <c r="T207" s="51">
        <v>23.2</v>
      </c>
      <c r="U207" s="51">
        <v>24</v>
      </c>
      <c r="V207" s="51">
        <v>23.4</v>
      </c>
      <c r="W207" s="51">
        <v>23.6</v>
      </c>
      <c r="X207" s="51">
        <v>23.8</v>
      </c>
      <c r="Y207" s="51">
        <v>23.6</v>
      </c>
      <c r="Z207" s="111">
        <v>22.8</v>
      </c>
      <c r="AA207" s="51">
        <v>23</v>
      </c>
      <c r="AB207" s="51">
        <v>21.2</v>
      </c>
      <c r="AC207" s="51">
        <v>22.4</v>
      </c>
      <c r="AD207" s="51">
        <v>22.2</v>
      </c>
      <c r="AE207" s="51">
        <v>20</v>
      </c>
      <c r="AF207" s="51">
        <v>21</v>
      </c>
      <c r="AG207" s="51">
        <v>22.6</v>
      </c>
      <c r="AH207" s="51">
        <v>23</v>
      </c>
      <c r="AI207" s="51"/>
      <c r="AJ207" s="51"/>
      <c r="AK207" s="51"/>
      <c r="AL207" s="51"/>
      <c r="AM207" s="51"/>
      <c r="AN207" s="51"/>
      <c r="AO207" s="51"/>
      <c r="AP207" s="88">
        <f t="shared" si="16"/>
        <v>23</v>
      </c>
      <c r="AQ207" s="89">
        <f t="shared" si="17"/>
        <v>23.043478260869566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17.399999999999999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36801</v>
      </c>
      <c r="AW207" s="92">
        <f t="shared" si="20"/>
        <v>2.6000000000000014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3" t="s">
        <v>847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848</v>
      </c>
      <c r="H1" s="125" t="s">
        <v>849</v>
      </c>
      <c r="I1" s="126"/>
      <c r="J1" s="127"/>
      <c r="K1" s="125" t="s">
        <v>850</v>
      </c>
      <c r="L1" s="126"/>
      <c r="M1" s="127"/>
      <c r="N1" s="125" t="s">
        <v>851</v>
      </c>
      <c r="O1" s="126"/>
      <c r="P1" s="127"/>
      <c r="Q1" s="125" t="s">
        <v>852</v>
      </c>
      <c r="R1" s="126"/>
      <c r="S1" s="127"/>
      <c r="T1" s="125" t="s">
        <v>853</v>
      </c>
      <c r="U1" s="126"/>
      <c r="V1" s="127"/>
      <c r="W1" s="125" t="s">
        <v>854</v>
      </c>
      <c r="X1" s="126"/>
      <c r="Y1" s="127"/>
      <c r="Z1" s="125" t="s">
        <v>855</v>
      </c>
      <c r="AA1" s="126"/>
      <c r="AB1" s="127"/>
      <c r="AC1" s="125" t="s">
        <v>856</v>
      </c>
      <c r="AD1" s="126"/>
      <c r="AE1" s="127"/>
      <c r="AF1" s="125" t="s">
        <v>857</v>
      </c>
      <c r="AG1" s="126"/>
      <c r="AH1" s="127"/>
      <c r="AI1" s="125" t="s">
        <v>858</v>
      </c>
      <c r="AJ1" s="126"/>
      <c r="AK1" s="127"/>
      <c r="AL1" s="125" t="s">
        <v>859</v>
      </c>
      <c r="AM1" s="126"/>
      <c r="AN1" s="127"/>
      <c r="AO1" s="125" t="s">
        <v>860</v>
      </c>
      <c r="AP1" s="126"/>
      <c r="AQ1" s="127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2026-10-24T15:04:16Z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2026-10-24T15:04:16Z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0c84a102-fba0-4985-b8da-a9d0fd0d7e6e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