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4546397-B2DF-44A4-8A73-2D97FEF4E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Temperatura!$AF$1:$AG$472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W253" i="1" s="1"/>
  <c r="AT253" i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V251" i="1" a="1"/>
  <c r="AV251" i="1" s="1"/>
  <c r="AU251" i="1" a="1"/>
  <c r="AU251" i="1" s="1"/>
  <c r="AW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W239" i="1" s="1"/>
  <c r="AT239" i="1"/>
  <c r="AR239" i="1"/>
  <c r="AP239" i="1"/>
  <c r="AQ239" i="1" s="1"/>
  <c r="AV238" i="1" a="1"/>
  <c r="AV238" i="1" s="1"/>
  <c r="AU238" i="1" a="1"/>
  <c r="AU238" i="1" s="1"/>
  <c r="AW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W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W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W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W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W191" i="1" s="1"/>
  <c r="AT191" i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V182" i="1" a="1"/>
  <c r="AV182" i="1" s="1"/>
  <c r="AU182" i="1" a="1"/>
  <c r="AU182" i="1" s="1"/>
  <c r="AW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W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W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W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V112" i="1" a="1"/>
  <c r="AV112" i="1" s="1"/>
  <c r="AU112" i="1" a="1"/>
  <c r="AU112" i="1" s="1"/>
  <c r="AW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/>
  <c r="AU107" i="1" a="1"/>
  <c r="AU107" i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W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W89" i="1" s="1"/>
  <c r="AT89" i="1"/>
  <c r="AR89" i="1"/>
  <c r="AP89" i="1"/>
  <c r="AQ89" i="1" s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 s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W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W67" i="1" s="1"/>
  <c r="AT67" i="1"/>
  <c r="AR67" i="1"/>
  <c r="AP67" i="1"/>
  <c r="AQ67" i="1" s="1"/>
  <c r="AV66" i="1" a="1"/>
  <c r="AV66" i="1" s="1"/>
  <c r="AU66" i="1" a="1"/>
  <c r="AU66" i="1" s="1"/>
  <c r="AW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W53" i="1" s="1"/>
  <c r="AT53" i="1"/>
  <c r="AR53" i="1"/>
  <c r="AP53" i="1"/>
  <c r="AQ53" i="1" s="1"/>
  <c r="AS53" i="1" s="1"/>
  <c r="AV52" i="1" a="1"/>
  <c r="AV52" i="1" s="1"/>
  <c r="AU52" i="1" a="1"/>
  <c r="AU52" i="1" s="1"/>
  <c r="AW52" i="1" s="1"/>
  <c r="AT52" i="1"/>
  <c r="AR52" i="1"/>
  <c r="AP52" i="1"/>
  <c r="AQ52" i="1" s="1"/>
  <c r="AV51" i="1" a="1"/>
  <c r="AV51" i="1"/>
  <c r="AU51" i="1" a="1"/>
  <c r="AU51" i="1"/>
  <c r="AT51" i="1"/>
  <c r="AW51" i="1" s="1"/>
  <c r="AR51" i="1"/>
  <c r="AP51" i="1"/>
  <c r="AQ51" i="1" s="1"/>
  <c r="AS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 s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W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W19" i="1" s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/>
  <c r="AT11" i="1"/>
  <c r="AW11" i="1" s="1"/>
  <c r="AR11" i="1"/>
  <c r="AP11" i="1"/>
  <c r="AQ11" i="1" s="1"/>
  <c r="AS11" i="1" s="1"/>
  <c r="AV10" i="1" a="1"/>
  <c r="AV10" i="1"/>
  <c r="AU10" i="1" a="1"/>
  <c r="AU10" i="1"/>
  <c r="AT10" i="1"/>
  <c r="AW10" i="1" s="1"/>
  <c r="AR10" i="1"/>
  <c r="AP10" i="1"/>
  <c r="AQ10" i="1" s="1"/>
  <c r="AS10" i="1" s="1"/>
  <c r="AV9" i="1" a="1"/>
  <c r="AV9" i="1"/>
  <c r="AU9" i="1" a="1"/>
  <c r="AU9" i="1" s="1"/>
  <c r="AW9" i="1" s="1"/>
  <c r="AT9" i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/>
  <c r="AU7" i="1" a="1"/>
  <c r="AU7" i="1"/>
  <c r="AT7" i="1"/>
  <c r="AW7" i="1" s="1"/>
  <c r="AR7" i="1"/>
  <c r="AP7" i="1"/>
  <c r="AQ7" i="1" s="1"/>
  <c r="AS7" i="1" s="1"/>
  <c r="AV6" i="1" a="1"/>
  <c r="AV6" i="1"/>
  <c r="AU6" i="1" a="1"/>
  <c r="AU6" i="1"/>
  <c r="AT6" i="1"/>
  <c r="AW6" i="1" s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AP2" i="1" s="1"/>
  <c r="I2" i="1"/>
  <c r="D2" i="1"/>
  <c r="AS256" i="1" l="1"/>
  <c r="AS246" i="1"/>
  <c r="AS81" i="1"/>
  <c r="AW187" i="1"/>
  <c r="AS159" i="1"/>
  <c r="AS91" i="1"/>
  <c r="AS269" i="1"/>
  <c r="AS186" i="1"/>
  <c r="AS55" i="1"/>
  <c r="AS224" i="1"/>
  <c r="AW20" i="1"/>
  <c r="AS111" i="1"/>
  <c r="AS222" i="1"/>
  <c r="AS220" i="1"/>
  <c r="AW41" i="1"/>
  <c r="AW237" i="1"/>
  <c r="AS102" i="1"/>
  <c r="AS42" i="1"/>
  <c r="AS20" i="1"/>
  <c r="AW189" i="1"/>
  <c r="AW166" i="1"/>
  <c r="AW165" i="1"/>
  <c r="AS163" i="1"/>
  <c r="AW155" i="1"/>
  <c r="AW130" i="1"/>
  <c r="AW120" i="1"/>
  <c r="AW119" i="1"/>
  <c r="AW115" i="1"/>
  <c r="AW114" i="1"/>
  <c r="AW109" i="1"/>
  <c r="AW108" i="1"/>
  <c r="AW105" i="1"/>
  <c r="AW104" i="1"/>
  <c r="AW98" i="1"/>
  <c r="AS78" i="1"/>
  <c r="AW70" i="1"/>
  <c r="AW63" i="1"/>
  <c r="AW57" i="1"/>
  <c r="AW56" i="1"/>
  <c r="AS52" i="1"/>
  <c r="AW45" i="1"/>
  <c r="AS41" i="1"/>
  <c r="AW30" i="1"/>
  <c r="AW24" i="1"/>
  <c r="AW23" i="1"/>
  <c r="AS198" i="1"/>
  <c r="AW214" i="1"/>
  <c r="AS212" i="1"/>
  <c r="AW200" i="1"/>
  <c r="AS180" i="1"/>
  <c r="AW77" i="1"/>
  <c r="AS66" i="1"/>
  <c r="AW258" i="1"/>
  <c r="AS214" i="1"/>
  <c r="AS196" i="1"/>
  <c r="AS184" i="1"/>
  <c r="AS226" i="1"/>
  <c r="AS223" i="1"/>
  <c r="AS86" i="1"/>
  <c r="AS68" i="1"/>
  <c r="AW257" i="1"/>
  <c r="AW246" i="1"/>
  <c r="AW245" i="1"/>
  <c r="AW234" i="1"/>
  <c r="AS195" i="1"/>
  <c r="AS278" i="1"/>
  <c r="AS206" i="1"/>
  <c r="AS268" i="1"/>
  <c r="AW235" i="1"/>
  <c r="AS275" i="1"/>
  <c r="AW32" i="1"/>
  <c r="AW247" i="1"/>
  <c r="AS67" i="1"/>
  <c r="AW255" i="1"/>
  <c r="AW254" i="1"/>
  <c r="AW65" i="1"/>
  <c r="AW25" i="1"/>
  <c r="AS236" i="1"/>
  <c r="AS76" i="1"/>
  <c r="AS257" i="1"/>
  <c r="AW225" i="1"/>
  <c r="AW223" i="1"/>
  <c r="AW212" i="1"/>
  <c r="AS182" i="1"/>
  <c r="AS215" i="1"/>
  <c r="AW55" i="1"/>
  <c r="AW256" i="1"/>
  <c r="AS194" i="1"/>
  <c r="AS75" i="1"/>
  <c r="AS122" i="1"/>
  <c r="AS99" i="1"/>
  <c r="AW71" i="1"/>
  <c r="AS205" i="1"/>
  <c r="AS77" i="1"/>
  <c r="AW75" i="1"/>
  <c r="AS57" i="1"/>
  <c r="AS54" i="1"/>
  <c r="AS235" i="1"/>
  <c r="AW224" i="1"/>
  <c r="AS143" i="1"/>
  <c r="AW99" i="1"/>
  <c r="AS88" i="1"/>
  <c r="AS234" i="1"/>
  <c r="AW86" i="1"/>
  <c r="AS65" i="1"/>
  <c r="AW44" i="1"/>
  <c r="AW142" i="1"/>
  <c r="AS124" i="1"/>
  <c r="AW33" i="1"/>
  <c r="AS255" i="1"/>
  <c r="AS247" i="1"/>
  <c r="AW178" i="1"/>
  <c r="AS25" i="1"/>
  <c r="AW195" i="1"/>
  <c r="AS110" i="1"/>
  <c r="AS24" i="1"/>
  <c r="AW268" i="1"/>
  <c r="AS45" i="1"/>
  <c r="AW215" i="1"/>
  <c r="AS87" i="1"/>
  <c r="AW233" i="1"/>
  <c r="AS225" i="1"/>
  <c r="AS193" i="1"/>
  <c r="AS170" i="1"/>
  <c r="AW131" i="1"/>
  <c r="AS83" i="1"/>
  <c r="AS213" i="1"/>
  <c r="AW43" i="1"/>
  <c r="AW198" i="1"/>
  <c r="AW58" i="1"/>
  <c r="AW22" i="1"/>
  <c r="AS59" i="1"/>
  <c r="AW164" i="1"/>
  <c r="AW152" i="1"/>
  <c r="AS98" i="1"/>
  <c r="AS64" i="1"/>
  <c r="AS120" i="1"/>
  <c r="AS108" i="1"/>
  <c r="AW96" i="1"/>
  <c r="AS23" i="1"/>
  <c r="AW85" i="1"/>
  <c r="AW84" i="1"/>
  <c r="AW74" i="1"/>
  <c r="AW73" i="1"/>
  <c r="AW50" i="1"/>
  <c r="AW42" i="1"/>
  <c r="AW21" i="1"/>
  <c r="AW34" i="1"/>
  <c r="AW103" i="1"/>
  <c r="AW78" i="1"/>
  <c r="AS89" i="1"/>
  <c r="AW64" i="1"/>
  <c r="AS134" i="1"/>
  <c r="AW283" i="1"/>
  <c r="AW281" i="1"/>
  <c r="AS280" i="1"/>
  <c r="AS279" i="1"/>
  <c r="AW278" i="1"/>
  <c r="AS251" i="1"/>
  <c r="AW243" i="1"/>
  <c r="AS240" i="1"/>
  <c r="AW285" i="1"/>
  <c r="AW280" i="1"/>
  <c r="AW270" i="1"/>
  <c r="AW266" i="1"/>
  <c r="AW264" i="1"/>
  <c r="AS264" i="1"/>
  <c r="AW262" i="1"/>
  <c r="AS262" i="1"/>
  <c r="AW259" i="1"/>
  <c r="AS259" i="1"/>
  <c r="AS254" i="1"/>
  <c r="AW240" i="1"/>
  <c r="AS232" i="1"/>
  <c r="AW230" i="1"/>
  <c r="AW219" i="1"/>
  <c r="AW218" i="1"/>
  <c r="AS218" i="1"/>
  <c r="AW217" i="1"/>
  <c r="AW288" i="1"/>
  <c r="AS287" i="1"/>
  <c r="AS286" i="1"/>
  <c r="AW274" i="1"/>
  <c r="AS274" i="1"/>
  <c r="AS272" i="1"/>
  <c r="AW271" i="1"/>
  <c r="AS271" i="1"/>
  <c r="AW267" i="1"/>
  <c r="AS267" i="1"/>
  <c r="AS249" i="1"/>
  <c r="AW232" i="1"/>
  <c r="AW287" i="1"/>
  <c r="AW284" i="1"/>
  <c r="AS284" i="1"/>
  <c r="AW279" i="1"/>
  <c r="AS270" i="1"/>
  <c r="AS266" i="1"/>
  <c r="AS260" i="1"/>
  <c r="AW241" i="1"/>
  <c r="AS241" i="1"/>
  <c r="AS230" i="1"/>
  <c r="AS229" i="1"/>
  <c r="AW228" i="1"/>
  <c r="AS228" i="1"/>
  <c r="AW211" i="1"/>
  <c r="AS211" i="1"/>
  <c r="AW286" i="1"/>
  <c r="AS283" i="1"/>
  <c r="AW282" i="1"/>
  <c r="AW277" i="1"/>
  <c r="AS277" i="1"/>
  <c r="AW276" i="1"/>
  <c r="AS276" i="1"/>
  <c r="AW275" i="1"/>
  <c r="AW269" i="1"/>
  <c r="AW261" i="1"/>
  <c r="AS261" i="1"/>
  <c r="AW248" i="1"/>
  <c r="AS248" i="1"/>
  <c r="AS202" i="1"/>
  <c r="AS168" i="1"/>
  <c r="AW153" i="1"/>
  <c r="AW151" i="1"/>
  <c r="AW134" i="1"/>
  <c r="AW133" i="1"/>
  <c r="AW121" i="1"/>
  <c r="AS90" i="1"/>
  <c r="AS85" i="1"/>
  <c r="AS84" i="1"/>
  <c r="AS69" i="1"/>
  <c r="AW49" i="1"/>
  <c r="AS48" i="1"/>
  <c r="AS39" i="1"/>
  <c r="AS38" i="1"/>
  <c r="AW111" i="1"/>
  <c r="AW128" i="1"/>
  <c r="AW101" i="1"/>
  <c r="AW171" i="1"/>
  <c r="AW150" i="1"/>
  <c r="AW145" i="1"/>
  <c r="AW62" i="1"/>
  <c r="AS151" i="1"/>
  <c r="AW141" i="1"/>
  <c r="AW136" i="1"/>
  <c r="AS128" i="1"/>
  <c r="AS112" i="1"/>
  <c r="AW102" i="1"/>
  <c r="AS100" i="1"/>
  <c r="AW80" i="1"/>
  <c r="AW68" i="1"/>
  <c r="AS58" i="1"/>
  <c r="AW176" i="1"/>
  <c r="AW83" i="1"/>
  <c r="AW206" i="1"/>
  <c r="AS138" i="1"/>
  <c r="AS135" i="1"/>
  <c r="AW118" i="1"/>
  <c r="AS101" i="1"/>
  <c r="AW61" i="1"/>
  <c r="AW208" i="1"/>
  <c r="AW203" i="1"/>
  <c r="AS165" i="1"/>
  <c r="AS137" i="1"/>
  <c r="AS123" i="1"/>
  <c r="AS93" i="1"/>
  <c r="AS63" i="1"/>
  <c r="AW207" i="1"/>
  <c r="AS190" i="1"/>
  <c r="AS73" i="1"/>
  <c r="AS61" i="1"/>
  <c r="AW37" i="1"/>
  <c r="AW154" i="1"/>
  <c r="AW148" i="1"/>
  <c r="AW146" i="1"/>
  <c r="AS92" i="1"/>
  <c r="AS70" i="1"/>
  <c r="AW186" i="1"/>
  <c r="AW144" i="1"/>
  <c r="AW193" i="1"/>
  <c r="AS174" i="1"/>
  <c r="AS142" i="1"/>
  <c r="AW94" i="1"/>
  <c r="AW60" i="1"/>
  <c r="AS144" i="1"/>
  <c r="AW117" i="1"/>
  <c r="AS103" i="1"/>
  <c r="AS79" i="1"/>
  <c r="AW123" i="1"/>
  <c r="AW48" i="1"/>
  <c r="AW174" i="1"/>
  <c r="AW159" i="1"/>
  <c r="AW156" i="1"/>
  <c r="AW138" i="1"/>
  <c r="AW132" i="1"/>
  <c r="AS126" i="1"/>
  <c r="AS117" i="1"/>
  <c r="AW106" i="1"/>
  <c r="AS104" i="1"/>
  <c r="AW81" i="1"/>
  <c r="AS60" i="1"/>
  <c r="AW127" i="1"/>
  <c r="AS116" i="1"/>
  <c r="AW172" i="1"/>
  <c r="AS158" i="1"/>
  <c r="AS118" i="1"/>
  <c r="AW93" i="1"/>
  <c r="AW92" i="1"/>
  <c r="AW91" i="1"/>
  <c r="AW59" i="1"/>
  <c r="AW161" i="1"/>
  <c r="AW149" i="1"/>
  <c r="AS115" i="1"/>
  <c r="AW273" i="1"/>
  <c r="AS273" i="1"/>
  <c r="AW272" i="1"/>
  <c r="AW265" i="1"/>
  <c r="AS265" i="1"/>
  <c r="AS253" i="1"/>
  <c r="AS252" i="1"/>
  <c r="AW249" i="1"/>
  <c r="AW242" i="1"/>
  <c r="AS233" i="1"/>
  <c r="AW229" i="1"/>
  <c r="AW221" i="1"/>
  <c r="AS221" i="1"/>
  <c r="AW220" i="1"/>
  <c r="AW216" i="1"/>
  <c r="AS216" i="1"/>
  <c r="AW210" i="1"/>
  <c r="AS200" i="1"/>
  <c r="AS173" i="1"/>
  <c r="AS171" i="1"/>
  <c r="AS169" i="1"/>
  <c r="AW263" i="1"/>
  <c r="AS263" i="1"/>
  <c r="AW260" i="1"/>
  <c r="AW250" i="1"/>
  <c r="AS250" i="1"/>
  <c r="AS239" i="1"/>
  <c r="AS219" i="1"/>
  <c r="AW209" i="1"/>
  <c r="AS208" i="1"/>
  <c r="AS197" i="1"/>
  <c r="AW163" i="1"/>
  <c r="AS258" i="1"/>
  <c r="AW244" i="1"/>
  <c r="AS243" i="1"/>
  <c r="AS238" i="1"/>
  <c r="AS204" i="1"/>
  <c r="AS199" i="1"/>
  <c r="AS181" i="1"/>
  <c r="AS179" i="1"/>
  <c r="AS178" i="1"/>
  <c r="AS237" i="1"/>
  <c r="AW231" i="1"/>
  <c r="AS231" i="1"/>
  <c r="AS217" i="1"/>
  <c r="AS209" i="1"/>
  <c r="AW202" i="1"/>
  <c r="AS157" i="1"/>
  <c r="AS154" i="1"/>
  <c r="AS210" i="1"/>
  <c r="AW188" i="1"/>
  <c r="AS187" i="1"/>
  <c r="AS185" i="1"/>
  <c r="AS183" i="1"/>
  <c r="AW180" i="1"/>
  <c r="AS176" i="1"/>
  <c r="AS166" i="1"/>
  <c r="AS160" i="1"/>
  <c r="AS139" i="1"/>
  <c r="AW213" i="1"/>
  <c r="AS207" i="1"/>
  <c r="AS201" i="1"/>
  <c r="AW181" i="1"/>
  <c r="AW173" i="1"/>
  <c r="AW205" i="1"/>
  <c r="AS203" i="1"/>
  <c r="AS162" i="1"/>
  <c r="AS156" i="1"/>
  <c r="AS140" i="1"/>
  <c r="AW124" i="1"/>
  <c r="AW82" i="1"/>
  <c r="AS80" i="1"/>
  <c r="AS71" i="1"/>
  <c r="AW47" i="1"/>
  <c r="AW38" i="1"/>
  <c r="AS113" i="1"/>
  <c r="AS125" i="1"/>
  <c r="AS74" i="1"/>
  <c r="AS82" i="1"/>
  <c r="AS121" i="1"/>
  <c r="AS95" i="1"/>
  <c r="AW69" i="1"/>
  <c r="AW97" i="1"/>
  <c r="AW79" i="1"/>
  <c r="AW26" i="1"/>
  <c r="AS26" i="1"/>
  <c r="AW15" i="1"/>
  <c r="AW13" i="1"/>
  <c r="AW139" i="1"/>
  <c r="AS136" i="1"/>
  <c r="AW196" i="1"/>
  <c r="AS191" i="1"/>
  <c r="AS188" i="1"/>
  <c r="AS167" i="1"/>
  <c r="AS94" i="1"/>
  <c r="AW72" i="1"/>
  <c r="AS62" i="1"/>
  <c r="AS50" i="1"/>
  <c r="AW140" i="1"/>
  <c r="AW137" i="1"/>
  <c r="AS114" i="1"/>
  <c r="AW95" i="1"/>
  <c r="AS192" i="1"/>
  <c r="AS96" i="1"/>
  <c r="AW227" i="1"/>
  <c r="AS227" i="1"/>
  <c r="AW222" i="1"/>
  <c r="AW204" i="1"/>
  <c r="AW201" i="1"/>
  <c r="AS189" i="1"/>
  <c r="AW179" i="1"/>
  <c r="AS175" i="1"/>
  <c r="AW170" i="1"/>
  <c r="AW169" i="1"/>
  <c r="AS161" i="1"/>
  <c r="AS153" i="1"/>
  <c r="AW143" i="1"/>
  <c r="AW125" i="1"/>
  <c r="AW177" i="1"/>
  <c r="AW175" i="1"/>
  <c r="AW39" i="1"/>
  <c r="AW11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<sst xmlns="http://schemas.openxmlformats.org/spreadsheetml/2006/main" count="3701" uniqueCount="1289">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</sst>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166" fontId="45" fillId="40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J250" zoomScale="80" zoomScaleNormal="80" workbookViewId="0">
      <selection activeCell="AF1" sqref="AF1:AG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35" width="32.42578125" style="51" customWidth="1"/>
    <col min="236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37.200000000000003</v>
      </c>
      <c r="U2" s="92">
        <f t="shared" si="0"/>
        <v>38.4</v>
      </c>
      <c r="V2" s="92">
        <f t="shared" si="0"/>
        <v>36.799999999999997</v>
      </c>
      <c r="W2" s="92">
        <f t="shared" si="0"/>
        <v>35.6</v>
      </c>
      <c r="X2" s="92">
        <f t="shared" si="0"/>
        <v>37.4</v>
      </c>
      <c r="Y2" s="92">
        <f t="shared" si="0"/>
        <v>40.4</v>
      </c>
      <c r="Z2" s="92">
        <f t="shared" si="0"/>
        <v>38.200000000000003</v>
      </c>
      <c r="AA2" s="92">
        <f t="shared" si="0"/>
        <v>38.4</v>
      </c>
      <c r="AB2" s="92">
        <f t="shared" si="0"/>
        <v>37.200000000000003</v>
      </c>
      <c r="AC2" s="92">
        <f t="shared" si="0"/>
        <v>39.4</v>
      </c>
      <c r="AD2" s="92">
        <f t="shared" si="0"/>
        <v>40.4</v>
      </c>
      <c r="AE2" s="92">
        <f t="shared" si="0"/>
        <v>34.6</v>
      </c>
      <c r="AF2" s="92">
        <f t="shared" si="0"/>
        <v>40.4</v>
      </c>
      <c r="AG2" s="92">
        <f t="shared" si="0"/>
        <v>41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>
        <v>32.4</v>
      </c>
      <c r="U5" s="66">
        <v>31.7</v>
      </c>
      <c r="V5" s="66">
        <v>31.9</v>
      </c>
      <c r="W5" s="66">
        <v>32.4</v>
      </c>
      <c r="X5" s="66">
        <v>32.1</v>
      </c>
      <c r="Y5" s="66">
        <v>32.6</v>
      </c>
      <c r="Z5" s="66">
        <v>32.299999999999997</v>
      </c>
      <c r="AA5" s="66">
        <v>30</v>
      </c>
      <c r="AB5" s="66">
        <v>31.5</v>
      </c>
      <c r="AC5" s="66">
        <v>30.8</v>
      </c>
      <c r="AD5" s="66">
        <v>31.5</v>
      </c>
      <c r="AE5" s="66">
        <v>30.6</v>
      </c>
      <c r="AF5" s="66">
        <v>31.6</v>
      </c>
      <c r="AG5" s="66">
        <v>31</v>
      </c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23</v>
      </c>
      <c r="AQ5" s="68">
        <f t="shared" ref="AQ5:AQ68" si="2">IF(AP5&gt;14,AVERAGE(K5:AO5),"")</f>
        <v>31.795652173913041</v>
      </c>
      <c r="AR5" s="68">
        <f>IFERROR(VLOOKUP(A5,Climatologia_TMAX!A:U,9+$E$2,FALSE),"")</f>
        <v>30.443359430706479</v>
      </c>
      <c r="AS5" s="68">
        <f t="shared" ref="AS5:AS68" si="3">IF(OR(AQ5="",AR5=""),"",IFERROR(AQ5-AR5,""))</f>
        <v>1.3522927432065615</v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-1.1000000000000014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>
        <v>30.9</v>
      </c>
      <c r="U6" s="66">
        <v>31.1</v>
      </c>
      <c r="V6" s="66">
        <v>31.7</v>
      </c>
      <c r="W6" s="66">
        <v>32.1</v>
      </c>
      <c r="X6" s="66">
        <v>32.4</v>
      </c>
      <c r="Y6" s="66">
        <v>32.1</v>
      </c>
      <c r="Z6" s="66">
        <v>32.700000000000003</v>
      </c>
      <c r="AA6" s="66">
        <v>30.9</v>
      </c>
      <c r="AB6" s="66">
        <v>31.4</v>
      </c>
      <c r="AC6" s="66">
        <v>29.4</v>
      </c>
      <c r="AD6" s="66">
        <v>31.7</v>
      </c>
      <c r="AE6" s="66">
        <v>31.5</v>
      </c>
      <c r="AF6" s="66">
        <v>31.4</v>
      </c>
      <c r="AG6" s="66">
        <v>29.1</v>
      </c>
      <c r="AH6" s="66"/>
      <c r="AI6" s="66"/>
      <c r="AJ6" s="66"/>
      <c r="AK6" s="66"/>
      <c r="AL6" s="66"/>
      <c r="AM6" s="66"/>
      <c r="AN6" s="66"/>
      <c r="AO6" s="66"/>
      <c r="AP6" s="67">
        <f t="shared" si="1"/>
        <v>23</v>
      </c>
      <c r="AQ6" s="68">
        <f t="shared" si="2"/>
        <v>31.460869565217394</v>
      </c>
      <c r="AR6" s="68">
        <f>IFERROR(VLOOKUP(A6,Climatologia_TMAX!A:U,9+$E$2,FALSE),"")</f>
        <v>30.717848543332419</v>
      </c>
      <c r="AS6" s="68">
        <f t="shared" si="3"/>
        <v>0.74302102188497443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-9.9999999999994316E-2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>
        <v>34.6</v>
      </c>
      <c r="U7" s="66">
        <v>35.200000000000003</v>
      </c>
      <c r="V7" s="66">
        <v>34.799999999999997</v>
      </c>
      <c r="W7" s="66">
        <v>32.299999999999997</v>
      </c>
      <c r="X7" s="66">
        <v>32.6</v>
      </c>
      <c r="Y7" s="66">
        <v>35.200000000000003</v>
      </c>
      <c r="Z7" s="66">
        <v>34.6</v>
      </c>
      <c r="AA7" s="66">
        <v>34.700000000000003</v>
      </c>
      <c r="AB7" s="66">
        <v>33.6</v>
      </c>
      <c r="AC7" s="66">
        <v>33.4</v>
      </c>
      <c r="AD7" s="66">
        <v>33.630000000000003</v>
      </c>
      <c r="AE7" s="114">
        <v>30.4</v>
      </c>
      <c r="AF7" s="66">
        <v>34.4</v>
      </c>
      <c r="AG7" s="66">
        <v>34.6</v>
      </c>
      <c r="AH7" s="66"/>
      <c r="AI7" s="66"/>
      <c r="AJ7" s="66"/>
      <c r="AK7" s="66"/>
      <c r="AL7" s="66"/>
      <c r="AM7" s="66"/>
      <c r="AN7" s="66"/>
      <c r="AO7" s="66"/>
      <c r="AP7" s="67">
        <f t="shared" si="1"/>
        <v>23</v>
      </c>
      <c r="AQ7" s="68">
        <f t="shared" si="2"/>
        <v>33.844782608695652</v>
      </c>
      <c r="AR7" s="68">
        <f>IFERROR(VLOOKUP(A7,Climatologia_TMAX!A:U,9+$E$2,FALSE),"")</f>
        <v>32.441611386675547</v>
      </c>
      <c r="AS7" s="68">
        <f t="shared" si="3"/>
        <v>1.4031712220201058</v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>
        <v>35.1</v>
      </c>
      <c r="U8" s="66">
        <v>34.1</v>
      </c>
      <c r="V8" s="66">
        <v>33.9</v>
      </c>
      <c r="W8" s="66">
        <v>30.8</v>
      </c>
      <c r="X8" s="66">
        <v>32.1</v>
      </c>
      <c r="Y8" s="66">
        <v>33.200000000000003</v>
      </c>
      <c r="Z8" s="66">
        <v>34.700000000000003</v>
      </c>
      <c r="AA8" s="66">
        <v>33.1</v>
      </c>
      <c r="AB8" s="66">
        <v>32</v>
      </c>
      <c r="AC8" s="66">
        <v>33.200000000000003</v>
      </c>
      <c r="AD8" s="66">
        <v>31.6</v>
      </c>
      <c r="AE8" s="66">
        <v>29.7</v>
      </c>
      <c r="AF8" s="66">
        <v>31.6</v>
      </c>
      <c r="AG8" s="66">
        <v>33.299999999999997</v>
      </c>
      <c r="AH8" s="66"/>
      <c r="AI8" s="66"/>
      <c r="AJ8" s="66"/>
      <c r="AK8" s="66"/>
      <c r="AL8" s="66"/>
      <c r="AM8" s="66"/>
      <c r="AN8" s="66"/>
      <c r="AO8" s="66"/>
      <c r="AP8" s="67">
        <f t="shared" si="1"/>
        <v>23</v>
      </c>
      <c r="AQ8" s="68">
        <f t="shared" si="2"/>
        <v>32.578260869565227</v>
      </c>
      <c r="AR8" s="68">
        <f>IFERROR(VLOOKUP(A8,Climatologia_TMAX!A:U,9+$E$2,FALSE),"")</f>
        <v>31.669577308120129</v>
      </c>
      <c r="AS8" s="68">
        <f t="shared" si="3"/>
        <v>0.90868356144509832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-1.1999999999999957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>
        <v>35</v>
      </c>
      <c r="U9" s="66">
        <v>36.299999999999997</v>
      </c>
      <c r="V9" s="66">
        <v>34.4</v>
      </c>
      <c r="W9" s="66">
        <v>30.7</v>
      </c>
      <c r="X9" s="66">
        <v>34.700000000000003</v>
      </c>
      <c r="Y9" s="66">
        <v>35.1</v>
      </c>
      <c r="Z9" s="66">
        <v>36.9</v>
      </c>
      <c r="AA9" s="66">
        <v>35.9</v>
      </c>
      <c r="AB9" s="66">
        <v>33.799999999999997</v>
      </c>
      <c r="AC9" s="66">
        <v>34.299999999999997</v>
      </c>
      <c r="AD9" s="66">
        <v>33.5</v>
      </c>
      <c r="AE9" s="66">
        <v>29</v>
      </c>
      <c r="AF9" s="66">
        <v>34.700000000000003</v>
      </c>
      <c r="AG9" s="66">
        <v>35.799999999999997</v>
      </c>
      <c r="AH9" s="66"/>
      <c r="AI9" s="66"/>
      <c r="AJ9" s="66"/>
      <c r="AK9" s="66"/>
      <c r="AL9" s="66"/>
      <c r="AM9" s="66"/>
      <c r="AN9" s="66"/>
      <c r="AO9" s="66"/>
      <c r="AP9" s="67">
        <f t="shared" si="1"/>
        <v>23</v>
      </c>
      <c r="AQ9" s="68">
        <f t="shared" si="2"/>
        <v>34.199999999999996</v>
      </c>
      <c r="AR9" s="68">
        <f>IFERROR(VLOOKUP(A9,Climatologia_TMAX!A:U,9+$E$2,FALSE),"")</f>
        <v>32.761763857435128</v>
      </c>
      <c r="AS9" s="68">
        <f t="shared" si="3"/>
        <v>1.4382361425648682</v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>
        <v>36.200000000000003</v>
      </c>
      <c r="U10" s="66">
        <v>34.5</v>
      </c>
      <c r="V10" s="66">
        <v>32.9</v>
      </c>
      <c r="W10" s="66">
        <v>29.7</v>
      </c>
      <c r="X10" s="66">
        <v>34.200000000000003</v>
      </c>
      <c r="Y10" s="66">
        <v>34.6</v>
      </c>
      <c r="Z10" s="66">
        <v>35.5</v>
      </c>
      <c r="AA10" s="66">
        <v>34.9</v>
      </c>
      <c r="AB10" s="66">
        <v>31.5</v>
      </c>
      <c r="AC10" s="66">
        <v>33.4</v>
      </c>
      <c r="AD10" s="66">
        <v>35.5</v>
      </c>
      <c r="AE10" s="66">
        <v>30</v>
      </c>
      <c r="AF10" s="66">
        <v>31.2</v>
      </c>
      <c r="AG10" s="66">
        <v>33.799999999999997</v>
      </c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23</v>
      </c>
      <c r="AQ10" s="68">
        <f t="shared" si="2"/>
        <v>33.804347826086953</v>
      </c>
      <c r="AR10" s="68">
        <f>IFERROR(VLOOKUP(A10,Climatologia_TMAX!A:U,9+$E$2,FALSE),"")</f>
        <v>32.785964355708913</v>
      </c>
      <c r="AS10" s="68">
        <f t="shared" si="3"/>
        <v>1.0183834703780406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>
        <v>35.6</v>
      </c>
      <c r="U11" s="66">
        <v>35.6</v>
      </c>
      <c r="V11" s="66">
        <v>32.799999999999997</v>
      </c>
      <c r="W11" s="66">
        <v>32.799999999999997</v>
      </c>
      <c r="X11" s="66">
        <v>32.5</v>
      </c>
      <c r="Y11" s="66">
        <v>36</v>
      </c>
      <c r="Z11" s="66">
        <v>36.700000000000003</v>
      </c>
      <c r="AA11" s="66">
        <v>34.4</v>
      </c>
      <c r="AB11" s="66">
        <v>32.9</v>
      </c>
      <c r="AC11" s="66">
        <v>34.799999999999997</v>
      </c>
      <c r="AD11" s="66">
        <v>35.799999999999997</v>
      </c>
      <c r="AE11" s="66">
        <v>28.8</v>
      </c>
      <c r="AF11" s="66">
        <v>34</v>
      </c>
      <c r="AG11" s="66">
        <v>35.4</v>
      </c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23</v>
      </c>
      <c r="AQ11" s="68">
        <f t="shared" si="2"/>
        <v>34.486956521739124</v>
      </c>
      <c r="AR11" s="68">
        <f>IFERROR(VLOOKUP(A11,Climatologia_TMAX!A:U,9+$E$2,FALSE),"")</f>
        <v>33.037447232178422</v>
      </c>
      <c r="AS11" s="68">
        <f t="shared" si="3"/>
        <v>1.4495092895607016</v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>
        <v>34.6</v>
      </c>
      <c r="U12" s="113">
        <v>34.1</v>
      </c>
      <c r="V12" s="66">
        <v>32.700000000000003</v>
      </c>
      <c r="W12" s="66">
        <v>31</v>
      </c>
      <c r="X12" s="66">
        <v>34.200000000000003</v>
      </c>
      <c r="Y12" s="66">
        <v>35.299999999999997</v>
      </c>
      <c r="Z12" s="66">
        <v>35.1</v>
      </c>
      <c r="AA12" s="66">
        <v>29.7</v>
      </c>
      <c r="AB12" s="66">
        <v>31</v>
      </c>
      <c r="AC12" s="66">
        <v>33.9</v>
      </c>
      <c r="AD12" s="66">
        <v>30.5</v>
      </c>
      <c r="AE12" s="66">
        <v>30.3</v>
      </c>
      <c r="AF12" s="66">
        <v>33.6</v>
      </c>
      <c r="AG12" s="66">
        <v>33.9</v>
      </c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23</v>
      </c>
      <c r="AQ12" s="68">
        <f t="shared" si="2"/>
        <v>32.678260869565221</v>
      </c>
      <c r="AR12" s="68">
        <f>IFERROR(VLOOKUP(A12,Climatologia_TMAX!A:U,9+$E$2,FALSE),"")</f>
        <v>32.443225831073327</v>
      </c>
      <c r="AS12" s="68">
        <f t="shared" si="3"/>
        <v>0.235035038491894</v>
      </c>
      <c r="AT12" s="74">
        <f t="shared" si="4"/>
        <v>35.299999999999997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-1.2000000000000028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>
        <v>31.4</v>
      </c>
      <c r="U13" s="66">
        <v>34.6</v>
      </c>
      <c r="V13" s="66">
        <v>27.4</v>
      </c>
      <c r="W13" s="66">
        <v>27.2</v>
      </c>
      <c r="X13" s="66">
        <v>33.799999999999997</v>
      </c>
      <c r="Y13" s="66">
        <v>35.299999999999997</v>
      </c>
      <c r="Z13" s="66">
        <v>32</v>
      </c>
      <c r="AA13" s="66">
        <v>30.5</v>
      </c>
      <c r="AB13" s="66">
        <v>27.4</v>
      </c>
      <c r="AC13" s="66">
        <v>31.9</v>
      </c>
      <c r="AD13" s="66">
        <v>34.200000000000003</v>
      </c>
      <c r="AE13" s="66">
        <v>30</v>
      </c>
      <c r="AF13" s="66">
        <v>31.2</v>
      </c>
      <c r="AG13" s="66">
        <v>35.4</v>
      </c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23</v>
      </c>
      <c r="AQ13" s="68">
        <f t="shared" si="2"/>
        <v>32.043478260869563</v>
      </c>
      <c r="AR13" s="68">
        <f>IFERROR(VLOOKUP(A13,Climatologia_TMAX!A:U,9+$E$2,FALSE),"")</f>
        <v>31.434330151415409</v>
      </c>
      <c r="AS13" s="68">
        <f t="shared" si="3"/>
        <v>0.60914810945415354</v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>
        <v>26.7</v>
      </c>
      <c r="U14" s="66">
        <v>29</v>
      </c>
      <c r="V14" s="66">
        <v>25.1</v>
      </c>
      <c r="W14" s="66">
        <v>23.9</v>
      </c>
      <c r="X14" s="66">
        <v>28.4</v>
      </c>
      <c r="Y14" s="66">
        <v>29.9</v>
      </c>
      <c r="Z14" s="66">
        <v>27.8</v>
      </c>
      <c r="AA14" s="66">
        <v>27.8</v>
      </c>
      <c r="AB14" s="66">
        <v>24.1</v>
      </c>
      <c r="AC14" s="66">
        <v>28.6</v>
      </c>
      <c r="AD14" s="66">
        <v>29.1</v>
      </c>
      <c r="AE14" s="66">
        <v>25.6</v>
      </c>
      <c r="AF14" s="66">
        <v>28.6</v>
      </c>
      <c r="AG14" s="66">
        <v>30.2</v>
      </c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23</v>
      </c>
      <c r="AQ14" s="68">
        <f t="shared" si="2"/>
        <v>27.643478260869575</v>
      </c>
      <c r="AR14" s="68">
        <f>IFERROR(VLOOKUP(A14,Climatologia_TMAX!A:U,9+$E$2,FALSE),"")</f>
        <v>25.64850703060381</v>
      </c>
      <c r="AS14" s="68">
        <f t="shared" si="3"/>
        <v>1.9949712302657652</v>
      </c>
      <c r="AT14" s="74">
        <f t="shared" si="4"/>
        <v>30.2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6">
        <v>31.8</v>
      </c>
      <c r="R15" s="66">
        <v>36.9</v>
      </c>
      <c r="S15" s="66">
        <v>36.4</v>
      </c>
      <c r="T15" s="66">
        <v>33.5</v>
      </c>
      <c r="U15" s="66">
        <v>35.1</v>
      </c>
      <c r="V15" s="66">
        <v>32.4</v>
      </c>
      <c r="W15" s="66">
        <v>29.9</v>
      </c>
      <c r="X15" s="66">
        <v>34.200000000000003</v>
      </c>
      <c r="Y15" s="66">
        <v>36</v>
      </c>
      <c r="Z15" s="66">
        <v>37</v>
      </c>
      <c r="AA15" s="66">
        <v>37</v>
      </c>
      <c r="AB15" s="66">
        <v>35.4</v>
      </c>
      <c r="AC15" s="66">
        <v>38.1</v>
      </c>
      <c r="AD15" s="66">
        <v>37.5</v>
      </c>
      <c r="AE15" s="66">
        <v>33.6</v>
      </c>
      <c r="AF15" s="66">
        <v>37</v>
      </c>
      <c r="AG15" s="66">
        <v>37.700000000000003</v>
      </c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23</v>
      </c>
      <c r="AQ15" s="68">
        <f t="shared" si="2"/>
        <v>35.443478260869561</v>
      </c>
      <c r="AR15" s="68">
        <f>IFERROR(VLOOKUP(A15,Climatologia_TMAX!A:U,9+$E$2,FALSE),"")</f>
        <v>33.015015853322303</v>
      </c>
      <c r="AS15" s="68">
        <f t="shared" si="3"/>
        <v>2.4284624075472578</v>
      </c>
      <c r="AT15" s="74">
        <f t="shared" si="4"/>
        <v>38.1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-0.10000000000000142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66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>
        <v>31.6</v>
      </c>
      <c r="U16" s="66">
        <v>32.6</v>
      </c>
      <c r="V16" s="66">
        <v>29.3</v>
      </c>
      <c r="W16" s="66">
        <v>26.8</v>
      </c>
      <c r="X16" s="66">
        <v>34.200000000000003</v>
      </c>
      <c r="Y16" s="66">
        <v>33.200000000000003</v>
      </c>
      <c r="Z16" s="66">
        <v>31.7</v>
      </c>
      <c r="AA16" s="66">
        <v>32</v>
      </c>
      <c r="AB16" s="66">
        <v>33.4</v>
      </c>
      <c r="AC16" s="66">
        <v>32.6</v>
      </c>
      <c r="AD16" s="66">
        <v>31.8</v>
      </c>
      <c r="AE16" s="66">
        <v>27.3</v>
      </c>
      <c r="AF16" s="66">
        <v>33.1</v>
      </c>
      <c r="AG16" s="66">
        <v>31.5</v>
      </c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23</v>
      </c>
      <c r="AQ16" s="68">
        <f t="shared" si="2"/>
        <v>31.691304347826087</v>
      </c>
      <c r="AR16" s="68">
        <f>IFERROR(VLOOKUP(A16,Climatologia_TMAX!A:U,9+$E$2,FALSE),"")</f>
        <v>31.744999041080131</v>
      </c>
      <c r="AS16" s="68">
        <f t="shared" si="3"/>
        <v>-5.3694693254044523E-2</v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>
        <v>26.1</v>
      </c>
      <c r="U17" s="66">
        <v>28.8</v>
      </c>
      <c r="V17" s="66">
        <v>22.6</v>
      </c>
      <c r="W17" s="66">
        <v>23.4</v>
      </c>
      <c r="X17" s="66">
        <v>30.4</v>
      </c>
      <c r="Y17" s="66">
        <v>32.9</v>
      </c>
      <c r="Z17" s="66">
        <v>25.5</v>
      </c>
      <c r="AA17" s="66">
        <v>30</v>
      </c>
      <c r="AB17" s="66">
        <v>28.7</v>
      </c>
      <c r="AC17" s="66">
        <v>25.1</v>
      </c>
      <c r="AD17" s="66">
        <v>29.2</v>
      </c>
      <c r="AE17" s="66">
        <v>23.9</v>
      </c>
      <c r="AF17" s="66">
        <v>31.4</v>
      </c>
      <c r="AG17" s="66">
        <v>30.8</v>
      </c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23</v>
      </c>
      <c r="AQ17" s="68">
        <f t="shared" si="2"/>
        <v>28.391304347826086</v>
      </c>
      <c r="AR17" s="68">
        <f>IFERROR(VLOOKUP(A17,Climatologia_TMAX!A:U,9+$E$2,FALSE),"")</f>
        <v>27.292235561863119</v>
      </c>
      <c r="AS17" s="68">
        <f t="shared" si="3"/>
        <v>1.0990687859629666</v>
      </c>
      <c r="AT17" s="74">
        <f t="shared" si="4"/>
        <v>32.9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>
        <v>22.7</v>
      </c>
      <c r="U18" s="66">
        <v>23.6</v>
      </c>
      <c r="V18" s="66">
        <v>18.600000000000001</v>
      </c>
      <c r="W18" s="66">
        <v>19</v>
      </c>
      <c r="X18" s="66">
        <v>24.5</v>
      </c>
      <c r="Y18" s="66">
        <v>26.6</v>
      </c>
      <c r="Z18" s="66">
        <v>21.7</v>
      </c>
      <c r="AA18" s="66">
        <v>23.8</v>
      </c>
      <c r="AB18" s="66">
        <v>22.2</v>
      </c>
      <c r="AC18" s="66">
        <v>20.6</v>
      </c>
      <c r="AD18" s="66">
        <v>22.5</v>
      </c>
      <c r="AE18" s="66">
        <v>20.2</v>
      </c>
      <c r="AF18" s="66">
        <v>25.2</v>
      </c>
      <c r="AG18" s="66">
        <v>24.6</v>
      </c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23</v>
      </c>
      <c r="AQ18" s="68">
        <f t="shared" si="2"/>
        <v>23.160869565217393</v>
      </c>
      <c r="AR18" s="68">
        <f>IFERROR(VLOOKUP(A18,Climatologia_TMAX!A:U,9+$E$2,FALSE),"")</f>
        <v>21.943225806451611</v>
      </c>
      <c r="AS18" s="68">
        <f t="shared" si="3"/>
        <v>1.2176437587657816</v>
      </c>
      <c r="AT18" s="74">
        <f t="shared" si="4"/>
        <v>26.6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>
        <v>25.8</v>
      </c>
      <c r="U19" s="113">
        <v>27.9</v>
      </c>
      <c r="V19" s="66">
        <v>24.8</v>
      </c>
      <c r="W19" s="66">
        <v>25.2</v>
      </c>
      <c r="X19" s="66">
        <v>28.4</v>
      </c>
      <c r="Y19" s="66">
        <v>30.4</v>
      </c>
      <c r="Z19" s="66">
        <v>24.7</v>
      </c>
      <c r="AA19" s="66">
        <v>27.6</v>
      </c>
      <c r="AB19" s="66">
        <v>28.6</v>
      </c>
      <c r="AC19" s="66">
        <v>24.8</v>
      </c>
      <c r="AD19" s="66">
        <v>29.2</v>
      </c>
      <c r="AE19" s="66">
        <v>24</v>
      </c>
      <c r="AF19" s="66">
        <v>29.4</v>
      </c>
      <c r="AG19" s="66">
        <v>30.6</v>
      </c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23</v>
      </c>
      <c r="AQ19" s="68">
        <f t="shared" si="2"/>
        <v>27.7</v>
      </c>
      <c r="AR19" s="68">
        <f>IFERROR(VLOOKUP(A19,Climatologia_TMAX!A:U,9+$E$2,FALSE),"")</f>
        <v>26.187468982630271</v>
      </c>
      <c r="AS19" s="68">
        <f t="shared" si="3"/>
        <v>1.5125310173697279</v>
      </c>
      <c r="AT19" s="74">
        <f t="shared" si="4"/>
        <v>30.6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>
        <v>26.9</v>
      </c>
      <c r="U20" s="66">
        <v>27.8</v>
      </c>
      <c r="V20" s="66">
        <v>24.7</v>
      </c>
      <c r="W20" s="66">
        <v>25.8</v>
      </c>
      <c r="X20" s="66">
        <v>28</v>
      </c>
      <c r="Y20" s="66">
        <v>31.5</v>
      </c>
      <c r="Z20" s="66">
        <v>28.1</v>
      </c>
      <c r="AA20" s="66">
        <v>28.1</v>
      </c>
      <c r="AB20" s="66">
        <v>29.3</v>
      </c>
      <c r="AC20" s="66">
        <v>25.9</v>
      </c>
      <c r="AD20" s="66">
        <v>29.9</v>
      </c>
      <c r="AE20" s="66">
        <v>24.7</v>
      </c>
      <c r="AF20" s="66">
        <v>29.1</v>
      </c>
      <c r="AG20" s="66">
        <v>30.1</v>
      </c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23</v>
      </c>
      <c r="AQ20" s="68">
        <f t="shared" si="2"/>
        <v>28.2304347826087</v>
      </c>
      <c r="AR20" s="68">
        <f>IFERROR(VLOOKUP(A20,Climatologia_TMAX!A:U,9+$E$2,FALSE),"")</f>
        <v>27.362560803891451</v>
      </c>
      <c r="AS20" s="68">
        <f t="shared" si="3"/>
        <v>0.86787397871724892</v>
      </c>
      <c r="AT20" s="74">
        <f t="shared" si="4"/>
        <v>31.5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-1.2999999999999972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>
        <v>27.8</v>
      </c>
      <c r="U21" s="66">
        <v>30.7</v>
      </c>
      <c r="V21" s="66">
        <v>26</v>
      </c>
      <c r="W21" s="66">
        <v>27</v>
      </c>
      <c r="X21" s="66">
        <v>30.4</v>
      </c>
      <c r="Y21" s="66">
        <v>32.799999999999997</v>
      </c>
      <c r="Z21" s="66">
        <v>30.3</v>
      </c>
      <c r="AA21" s="66">
        <v>32</v>
      </c>
      <c r="AB21" s="66">
        <v>28.4</v>
      </c>
      <c r="AC21" s="66">
        <v>30</v>
      </c>
      <c r="AD21" s="66">
        <v>32</v>
      </c>
      <c r="AE21" s="66">
        <v>28.9</v>
      </c>
      <c r="AF21" s="66">
        <v>31.4</v>
      </c>
      <c r="AG21" s="66">
        <v>33.700000000000003</v>
      </c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23</v>
      </c>
      <c r="AQ21" s="68">
        <f t="shared" si="2"/>
        <v>30.091304347826089</v>
      </c>
      <c r="AR21" s="68">
        <f>IFERROR(VLOOKUP(A21,Climatologia_TMAX!A:U,9+$E$2,FALSE),"")</f>
        <v>28.863902868824429</v>
      </c>
      <c r="AS21" s="68">
        <f t="shared" si="3"/>
        <v>1.2274014790016601</v>
      </c>
      <c r="AT21" s="74">
        <f t="shared" si="4"/>
        <v>33.700000000000003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-2.7999999999999972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>
        <v>18.899999999999999</v>
      </c>
      <c r="U22" s="66">
        <v>20.3</v>
      </c>
      <c r="V22" s="66">
        <v>18</v>
      </c>
      <c r="W22" s="66">
        <v>19.5</v>
      </c>
      <c r="X22" s="66">
        <v>22.4</v>
      </c>
      <c r="Y22" s="66">
        <v>23.9</v>
      </c>
      <c r="Z22" s="66">
        <v>21.6</v>
      </c>
      <c r="AA22" s="66">
        <v>21.8</v>
      </c>
      <c r="AB22" s="66">
        <v>20.100000000000001</v>
      </c>
      <c r="AC22" s="66">
        <v>22.6</v>
      </c>
      <c r="AD22" s="66">
        <v>22.3</v>
      </c>
      <c r="AE22" s="66">
        <v>19.8</v>
      </c>
      <c r="AF22" s="66">
        <v>23</v>
      </c>
      <c r="AG22" s="66">
        <v>22.7</v>
      </c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23</v>
      </c>
      <c r="AQ22" s="68">
        <f t="shared" si="2"/>
        <v>21.330434782608698</v>
      </c>
      <c r="AR22" s="68">
        <f>IFERROR(VLOOKUP(A22,Climatologia_TMAX!A:U,9+$E$2,FALSE),"")</f>
        <v>19.420634169110251</v>
      </c>
      <c r="AS22" s="68">
        <f t="shared" si="3"/>
        <v>1.9098006134984473</v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>
        <v>28.1</v>
      </c>
      <c r="U23" s="66">
        <v>30.1</v>
      </c>
      <c r="V23" s="66">
        <v>27.3</v>
      </c>
      <c r="W23" s="66">
        <v>27.7</v>
      </c>
      <c r="X23" s="66">
        <v>31.3</v>
      </c>
      <c r="Y23" s="66">
        <v>34</v>
      </c>
      <c r="Z23" s="66">
        <v>29.9</v>
      </c>
      <c r="AA23" s="66">
        <v>30.8</v>
      </c>
      <c r="AB23" s="66">
        <v>31.2</v>
      </c>
      <c r="AC23" s="66">
        <v>26.9</v>
      </c>
      <c r="AD23" s="66">
        <v>31.3</v>
      </c>
      <c r="AE23" s="66">
        <v>27.6</v>
      </c>
      <c r="AF23" s="66">
        <v>30.2</v>
      </c>
      <c r="AG23" s="66">
        <v>32.299999999999997</v>
      </c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23</v>
      </c>
      <c r="AQ23" s="68">
        <f t="shared" si="2"/>
        <v>30.534782608695654</v>
      </c>
      <c r="AR23" s="68">
        <f>IFERROR(VLOOKUP(A23,Climatologia_TMAX!A:U,9+$E$2,FALSE),"")</f>
        <v>29.62065677977936</v>
      </c>
      <c r="AS23" s="68">
        <f t="shared" si="3"/>
        <v>0.91412582891629413</v>
      </c>
      <c r="AT23" s="74">
        <f t="shared" si="4"/>
        <v>34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0.79999999999999716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>
        <v>32.5</v>
      </c>
      <c r="U24" s="66">
        <v>36.200000000000003</v>
      </c>
      <c r="V24" s="66">
        <v>34.799999999999997</v>
      </c>
      <c r="W24" s="66">
        <v>33.5</v>
      </c>
      <c r="X24" s="66">
        <v>35.799999999999997</v>
      </c>
      <c r="Y24" s="66">
        <v>38.6</v>
      </c>
      <c r="Z24" s="66">
        <v>36.4</v>
      </c>
      <c r="AA24" s="66">
        <v>35.700000000000003</v>
      </c>
      <c r="AB24" s="66">
        <v>37.200000000000003</v>
      </c>
      <c r="AC24" s="66">
        <v>36.299999999999997</v>
      </c>
      <c r="AD24" s="66">
        <v>38.5</v>
      </c>
      <c r="AE24" s="66">
        <v>33.700000000000003</v>
      </c>
      <c r="AF24" s="66">
        <v>37.299999999999997</v>
      </c>
      <c r="AG24" s="66">
        <v>38.200000000000003</v>
      </c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23</v>
      </c>
      <c r="AQ24" s="68">
        <f t="shared" si="2"/>
        <v>35.986956521739131</v>
      </c>
      <c r="AR24" s="68">
        <f>IFERROR(VLOOKUP(A24,Climatologia_TMAX!A:U,9+$E$2,FALSE),"")</f>
        <v>33.398279569892473</v>
      </c>
      <c r="AS24" s="68">
        <f t="shared" si="3"/>
        <v>2.5886769518466579</v>
      </c>
      <c r="AT24" s="74">
        <f t="shared" si="4"/>
        <v>38.6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>
        <v>26.5</v>
      </c>
      <c r="U25" s="66">
        <v>25.2</v>
      </c>
      <c r="V25" s="66">
        <v>22.6</v>
      </c>
      <c r="W25" s="66">
        <v>23.2</v>
      </c>
      <c r="X25" s="66">
        <v>26.4</v>
      </c>
      <c r="Y25" s="66">
        <v>30</v>
      </c>
      <c r="Z25" s="66">
        <v>23.4</v>
      </c>
      <c r="AA25" s="66">
        <v>26.2</v>
      </c>
      <c r="AB25" s="66">
        <v>28.4</v>
      </c>
      <c r="AC25" s="66">
        <v>26.4</v>
      </c>
      <c r="AD25" s="66">
        <v>27.4</v>
      </c>
      <c r="AE25" s="66">
        <v>22.3</v>
      </c>
      <c r="AF25" s="66">
        <v>28.4</v>
      </c>
      <c r="AG25" s="66">
        <v>25.8</v>
      </c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23</v>
      </c>
      <c r="AQ25" s="68">
        <f t="shared" si="2"/>
        <v>25.904347826086951</v>
      </c>
      <c r="AR25" s="68">
        <f>IFERROR(VLOOKUP(A25,Climatologia_TMAX!A:U,9+$E$2,FALSE),"")</f>
        <v>24.31999307872945</v>
      </c>
      <c r="AS25" s="68">
        <f t="shared" si="3"/>
        <v>1.5843547473575015</v>
      </c>
      <c r="AT25" s="74">
        <f t="shared" si="4"/>
        <v>30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-1.3000000000000007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>
        <v>19.2</v>
      </c>
      <c r="U26" s="66">
        <v>17</v>
      </c>
      <c r="V26" s="66">
        <v>17.600000000000001</v>
      </c>
      <c r="W26" s="66">
        <v>18</v>
      </c>
      <c r="X26" s="66">
        <v>18.399999999999999</v>
      </c>
      <c r="Y26" s="66">
        <v>18.2</v>
      </c>
      <c r="Z26" s="66">
        <v>16.600000000000001</v>
      </c>
      <c r="AA26" s="66">
        <v>16.399999999999999</v>
      </c>
      <c r="AB26" s="66">
        <v>19.2</v>
      </c>
      <c r="AC26" s="66">
        <v>20.399999999999999</v>
      </c>
      <c r="AD26" s="66">
        <v>17.399999999999999</v>
      </c>
      <c r="AE26" s="66">
        <v>20</v>
      </c>
      <c r="AF26" s="66">
        <v>19.399999999999999</v>
      </c>
      <c r="AG26" s="66">
        <v>18.8</v>
      </c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23</v>
      </c>
      <c r="AQ26" s="68">
        <f t="shared" si="2"/>
        <v>18.330434782608695</v>
      </c>
      <c r="AR26" s="68">
        <f>IFERROR(VLOOKUP(A26,Climatologia_TMAX!A:U,9+$E$2,FALSE),"")</f>
        <v>16.895577461547319</v>
      </c>
      <c r="AS26" s="68">
        <f t="shared" si="3"/>
        <v>1.4348573210613758</v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>
        <v>29.6</v>
      </c>
      <c r="U27" s="113">
        <v>30.2</v>
      </c>
      <c r="V27" s="66">
        <v>28.2</v>
      </c>
      <c r="W27" s="66">
        <v>27.6</v>
      </c>
      <c r="X27" s="66">
        <v>33.799999999999997</v>
      </c>
      <c r="Y27" s="66">
        <v>34.799999999999997</v>
      </c>
      <c r="Z27" s="66">
        <v>25.8</v>
      </c>
      <c r="AA27" s="66">
        <v>32.799999999999997</v>
      </c>
      <c r="AB27" s="66">
        <v>32.6</v>
      </c>
      <c r="AC27" s="66">
        <v>25.6</v>
      </c>
      <c r="AD27" s="66">
        <v>32.6</v>
      </c>
      <c r="AE27" s="66">
        <v>26</v>
      </c>
      <c r="AF27" s="66">
        <v>33.6</v>
      </c>
      <c r="AG27" s="66">
        <v>31.6</v>
      </c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23</v>
      </c>
      <c r="AQ27" s="68">
        <f t="shared" si="2"/>
        <v>31.095652173913049</v>
      </c>
      <c r="AR27" s="68">
        <f>IFERROR(VLOOKUP(A27,Climatologia_TMAX!A:U,9+$E$2,FALSE),"")</f>
        <v>30.554368199659901</v>
      </c>
      <c r="AS27" s="68">
        <f t="shared" si="3"/>
        <v>0.54128397425314745</v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>
        <v>34.4</v>
      </c>
      <c r="U28" s="66">
        <v>30.7</v>
      </c>
      <c r="V28" s="66">
        <v>32.9</v>
      </c>
      <c r="W28" s="66">
        <v>33.4</v>
      </c>
      <c r="X28" s="66">
        <v>33.200000000000003</v>
      </c>
      <c r="Y28" s="66">
        <v>35.9</v>
      </c>
      <c r="Z28" s="66">
        <v>33.1</v>
      </c>
      <c r="AA28" s="66">
        <v>34.6</v>
      </c>
      <c r="AB28" s="66">
        <v>32.700000000000003</v>
      </c>
      <c r="AC28" s="66">
        <v>35.1</v>
      </c>
      <c r="AD28" s="66">
        <v>30.5</v>
      </c>
      <c r="AE28" s="66">
        <v>33.799999999999997</v>
      </c>
      <c r="AF28" s="66">
        <v>36.200000000000003</v>
      </c>
      <c r="AG28" s="66">
        <v>33.9</v>
      </c>
      <c r="AH28" s="115"/>
      <c r="AI28" s="66"/>
      <c r="AJ28" s="66"/>
      <c r="AK28" s="66"/>
      <c r="AL28" s="66"/>
      <c r="AM28" s="66"/>
      <c r="AN28" s="66"/>
      <c r="AO28" s="66"/>
      <c r="AP28" s="67">
        <f t="shared" si="1"/>
        <v>23</v>
      </c>
      <c r="AQ28" s="68">
        <f t="shared" si="2"/>
        <v>33.443478260869561</v>
      </c>
      <c r="AR28" s="68">
        <f>IFERROR(VLOOKUP(A28,Climatologia_TMAX!A:U,9+$E$2,FALSE),"")</f>
        <v>31.936986466444189</v>
      </c>
      <c r="AS28" s="68">
        <f t="shared" si="3"/>
        <v>1.5064917944253722</v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>
        <v>35.4</v>
      </c>
      <c r="U29" s="66">
        <v>33.799999999999997</v>
      </c>
      <c r="V29" s="66">
        <v>32.799999999999997</v>
      </c>
      <c r="W29" s="66">
        <v>34.700000000000003</v>
      </c>
      <c r="X29" s="66">
        <v>35</v>
      </c>
      <c r="Y29" s="66">
        <v>35.6</v>
      </c>
      <c r="Z29" s="66">
        <v>35.9</v>
      </c>
      <c r="AA29" s="66">
        <v>33.4</v>
      </c>
      <c r="AB29" s="66">
        <v>34.4</v>
      </c>
      <c r="AC29" s="66">
        <v>35.4</v>
      </c>
      <c r="AD29" s="66">
        <v>28.2</v>
      </c>
      <c r="AE29" s="66">
        <v>33.4</v>
      </c>
      <c r="AF29" s="66">
        <v>34.799999999999997</v>
      </c>
      <c r="AG29" s="66">
        <v>35.6</v>
      </c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23</v>
      </c>
      <c r="AQ29" s="68">
        <f t="shared" si="2"/>
        <v>34.221739130434777</v>
      </c>
      <c r="AR29" s="68">
        <f>IFERROR(VLOOKUP(A29,Climatologia_TMAX!A:U,9+$E$2,FALSE),"")</f>
        <v>33.422727598566297</v>
      </c>
      <c r="AS29" s="68">
        <f t="shared" si="3"/>
        <v>0.79901153186848006</v>
      </c>
      <c r="AT29" s="74">
        <f t="shared" si="4"/>
        <v>35.9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-0.70000000000000284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>
        <v>28.6</v>
      </c>
      <c r="U30" s="66">
        <v>31.7</v>
      </c>
      <c r="V30" s="66">
        <v>29.7</v>
      </c>
      <c r="W30" s="66">
        <v>32.200000000000003</v>
      </c>
      <c r="X30" s="66">
        <v>32.4</v>
      </c>
      <c r="Y30" s="66">
        <v>31.8</v>
      </c>
      <c r="Z30" s="66">
        <v>32.299999999999997</v>
      </c>
      <c r="AA30" s="66">
        <v>31.2</v>
      </c>
      <c r="AB30" s="66">
        <v>32.4</v>
      </c>
      <c r="AC30" s="66">
        <v>31.9</v>
      </c>
      <c r="AD30" s="66">
        <v>30.6</v>
      </c>
      <c r="AE30" s="66">
        <v>27.6</v>
      </c>
      <c r="AF30" s="66">
        <v>32.799999999999997</v>
      </c>
      <c r="AG30" s="66">
        <v>33.1</v>
      </c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23</v>
      </c>
      <c r="AQ30" s="68">
        <f t="shared" si="2"/>
        <v>31.208695652173912</v>
      </c>
      <c r="AR30" s="68">
        <f>IFERROR(VLOOKUP(A30,Climatologia_TMAX!A:U,9+$E$2,FALSE),"")</f>
        <v>30.878376344086021</v>
      </c>
      <c r="AS30" s="68">
        <f t="shared" si="3"/>
        <v>0.33031930808789056</v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>
        <v>33.1</v>
      </c>
      <c r="U31" s="105">
        <v>34.1</v>
      </c>
      <c r="V31" s="105">
        <v>34.200000000000003</v>
      </c>
      <c r="W31" s="105">
        <v>35.4</v>
      </c>
      <c r="X31" s="105">
        <v>33.799999999999997</v>
      </c>
      <c r="Y31" s="105">
        <v>33.799999999999997</v>
      </c>
      <c r="Z31" s="105">
        <v>35.200000000000003</v>
      </c>
      <c r="AA31" s="105">
        <v>32.200000000000003</v>
      </c>
      <c r="AB31" s="105">
        <v>34.6</v>
      </c>
      <c r="AC31" s="105">
        <v>27.3</v>
      </c>
      <c r="AD31" s="105">
        <v>32</v>
      </c>
      <c r="AE31" s="105">
        <v>31.6</v>
      </c>
      <c r="AF31" s="105">
        <v>26.2</v>
      </c>
      <c r="AG31" s="105">
        <v>31.4</v>
      </c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23</v>
      </c>
      <c r="AQ31" s="68">
        <f t="shared" si="2"/>
        <v>32.830434782608698</v>
      </c>
      <c r="AR31" s="68">
        <f>IFERROR(VLOOKUP(A31,Climatologia_TMAX!A:U,9+$E$2,FALSE),"")</f>
        <v>31.992189247311831</v>
      </c>
      <c r="AS31" s="68">
        <f t="shared" si="3"/>
        <v>0.83824553529686696</v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>
        <v>24.8</v>
      </c>
      <c r="U32" s="66">
        <v>26.2</v>
      </c>
      <c r="V32" s="66">
        <v>22.8</v>
      </c>
      <c r="W32" s="66">
        <v>22.6</v>
      </c>
      <c r="X32" s="66">
        <v>25.6</v>
      </c>
      <c r="Y32" s="66">
        <v>27.8</v>
      </c>
      <c r="Z32" s="66">
        <v>23.6</v>
      </c>
      <c r="AA32" s="66">
        <v>26.8</v>
      </c>
      <c r="AB32" s="66">
        <v>24.4</v>
      </c>
      <c r="AC32" s="66">
        <v>25.4</v>
      </c>
      <c r="AD32" s="66">
        <v>25.2</v>
      </c>
      <c r="AE32" s="66">
        <v>23.8</v>
      </c>
      <c r="AF32" s="66">
        <v>27</v>
      </c>
      <c r="AG32" s="66">
        <v>27.2</v>
      </c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23</v>
      </c>
      <c r="AQ32" s="68">
        <f t="shared" si="2"/>
        <v>25.486956521739131</v>
      </c>
      <c r="AR32" s="68">
        <f>IFERROR(VLOOKUP(A32,Climatologia_TMAX!A:U,9+$E$2,FALSE),"")</f>
        <v>24.453269227468109</v>
      </c>
      <c r="AS32" s="68">
        <f t="shared" si="3"/>
        <v>1.0336872942710222</v>
      </c>
      <c r="AT32" s="74">
        <f t="shared" si="4"/>
        <v>27.8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-0.19999999999999929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>
        <v>24.4</v>
      </c>
      <c r="U33" s="66">
        <v>25.4</v>
      </c>
      <c r="V33" s="66">
        <v>19.8</v>
      </c>
      <c r="W33" s="66">
        <v>20.8</v>
      </c>
      <c r="X33" s="66">
        <v>26.4</v>
      </c>
      <c r="Y33" s="66">
        <v>27</v>
      </c>
      <c r="Z33" s="66">
        <v>21</v>
      </c>
      <c r="AA33" s="66">
        <v>24.8</v>
      </c>
      <c r="AB33" s="66">
        <v>24</v>
      </c>
      <c r="AC33" s="66">
        <v>23</v>
      </c>
      <c r="AD33" s="66">
        <v>24.2</v>
      </c>
      <c r="AE33" s="66">
        <v>22.6</v>
      </c>
      <c r="AF33" s="66">
        <v>26.2</v>
      </c>
      <c r="AG33" s="66">
        <v>26.6</v>
      </c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23</v>
      </c>
      <c r="AQ33" s="68">
        <f t="shared" si="2"/>
        <v>24.434782608695652</v>
      </c>
      <c r="AR33" s="68">
        <f>IFERROR(VLOOKUP(A33,Climatologia_TMAX!A:U,9+$E$2,FALSE),"")</f>
        <v>23.4139779147994</v>
      </c>
      <c r="AS33" s="68">
        <f t="shared" si="3"/>
        <v>1.0208046938962525</v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-0.39999999999999858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>
        <v>30.6</v>
      </c>
      <c r="U36" s="66">
        <v>35</v>
      </c>
      <c r="V36" s="66">
        <v>29</v>
      </c>
      <c r="W36" s="66">
        <v>29</v>
      </c>
      <c r="X36" s="66">
        <v>33.799999999999997</v>
      </c>
      <c r="Y36" s="66">
        <v>36.6</v>
      </c>
      <c r="Z36" s="66">
        <v>29.4</v>
      </c>
      <c r="AA36" s="66">
        <v>33.4</v>
      </c>
      <c r="AB36" s="66">
        <v>30.8</v>
      </c>
      <c r="AC36" s="66">
        <v>27.2</v>
      </c>
      <c r="AD36" s="66">
        <v>33</v>
      </c>
      <c r="AE36" s="66">
        <v>27.2</v>
      </c>
      <c r="AF36" s="66">
        <v>32.799999999999997</v>
      </c>
      <c r="AG36" s="66">
        <v>35.6</v>
      </c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23</v>
      </c>
      <c r="AQ36" s="68">
        <f t="shared" si="2"/>
        <v>32.747826086956522</v>
      </c>
      <c r="AR36" s="68">
        <f>IFERROR(VLOOKUP(A36,Climatologia_TMAX!A:U,9+$E$2,FALSE),"")</f>
        <v>32.537742899789613</v>
      </c>
      <c r="AS36" s="68">
        <f t="shared" si="3"/>
        <v>0.21008318716690866</v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>
        <v>23.2</v>
      </c>
      <c r="U38" s="66">
        <v>26.6</v>
      </c>
      <c r="V38" s="66">
        <v>22.8</v>
      </c>
      <c r="W38" s="66">
        <v>19</v>
      </c>
      <c r="X38" s="66">
        <v>26.8</v>
      </c>
      <c r="Y38" s="66">
        <v>29.8</v>
      </c>
      <c r="Z38" s="66">
        <v>23.8</v>
      </c>
      <c r="AA38" s="66">
        <v>26.4</v>
      </c>
      <c r="AB38" s="66">
        <v>26.6</v>
      </c>
      <c r="AC38" s="66">
        <v>23</v>
      </c>
      <c r="AD38" s="66">
        <v>26.8</v>
      </c>
      <c r="AE38" s="66">
        <v>22</v>
      </c>
      <c r="AF38" s="66">
        <v>27.6</v>
      </c>
      <c r="AG38" s="66">
        <v>27</v>
      </c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23</v>
      </c>
      <c r="AQ38" s="68">
        <f t="shared" si="2"/>
        <v>25.704347826086959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>
        <v>22.6</v>
      </c>
      <c r="U39" s="66">
        <v>24.4</v>
      </c>
      <c r="V39" s="109">
        <v>18.8</v>
      </c>
      <c r="W39" s="66"/>
      <c r="X39" s="66"/>
      <c r="Y39" s="66">
        <v>26.4</v>
      </c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11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26.4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-2.2000000000000028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>
        <v>19.399999999999999</v>
      </c>
      <c r="U40" s="66">
        <v>21.8</v>
      </c>
      <c r="V40" s="66">
        <v>19.8</v>
      </c>
      <c r="W40" s="66">
        <v>17.399999999999999</v>
      </c>
      <c r="X40" s="66">
        <v>22.2</v>
      </c>
      <c r="Y40" s="66">
        <v>25.2</v>
      </c>
      <c r="Z40" s="66">
        <v>19.8</v>
      </c>
      <c r="AA40" s="66">
        <v>22.8</v>
      </c>
      <c r="AB40" s="66">
        <v>20.8</v>
      </c>
      <c r="AC40" s="66">
        <v>18.600000000000001</v>
      </c>
      <c r="AD40" s="66">
        <v>21</v>
      </c>
      <c r="AE40" s="66">
        <v>19.2</v>
      </c>
      <c r="AF40" s="66">
        <v>18.8</v>
      </c>
      <c r="AG40" s="66">
        <v>24.2</v>
      </c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23</v>
      </c>
      <c r="AQ40" s="68">
        <f t="shared" si="2"/>
        <v>21.400000000000002</v>
      </c>
      <c r="AR40" s="68">
        <f>IFERROR(VLOOKUP(A40,Climatologia_TMAX!A:U,9+$E$2,FALSE),"")</f>
        <v>20.435367869060858</v>
      </c>
      <c r="AS40" s="68">
        <f t="shared" si="3"/>
        <v>0.96463213093914391</v>
      </c>
      <c r="AT40" s="74">
        <f t="shared" si="4"/>
        <v>25.2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>
        <v>30.8</v>
      </c>
      <c r="R42" s="112">
        <v>33.200000000000003</v>
      </c>
      <c r="S42" s="66">
        <v>33.200000000000003</v>
      </c>
      <c r="T42" s="66">
        <v>27.8</v>
      </c>
      <c r="U42" s="66">
        <v>29.8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>
        <v>31.8</v>
      </c>
      <c r="U43" s="66">
        <v>32.799999999999997</v>
      </c>
      <c r="V43" s="66">
        <v>31.2</v>
      </c>
      <c r="W43" s="66">
        <v>28.2</v>
      </c>
      <c r="X43" s="66">
        <v>33.4</v>
      </c>
      <c r="Y43" s="66">
        <v>34.4</v>
      </c>
      <c r="Z43" s="66">
        <v>32.4</v>
      </c>
      <c r="AA43" s="66">
        <v>32.4</v>
      </c>
      <c r="AB43" s="66">
        <v>34.200000000000003</v>
      </c>
      <c r="AC43" s="66">
        <v>34.200000000000003</v>
      </c>
      <c r="AD43" s="66">
        <v>31.8</v>
      </c>
      <c r="AE43" s="66">
        <v>29.8</v>
      </c>
      <c r="AF43" s="66">
        <v>33</v>
      </c>
      <c r="AG43" s="66">
        <v>32</v>
      </c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23</v>
      </c>
      <c r="AQ43" s="68">
        <f t="shared" si="2"/>
        <v>32.426086956521736</v>
      </c>
      <c r="AR43" s="68">
        <f>IFERROR(VLOOKUP(A43,Climatologia_TMAX!A:U,9+$E$2,FALSE),"")</f>
        <v>31.54853288090581</v>
      </c>
      <c r="AS43" s="68">
        <f t="shared" si="3"/>
        <v>0.87755407561592591</v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>
        <v>27</v>
      </c>
      <c r="U44" s="66">
        <v>28.2</v>
      </c>
      <c r="V44" s="66">
        <v>26.4</v>
      </c>
      <c r="W44" s="66">
        <v>25</v>
      </c>
      <c r="X44" s="66">
        <v>26</v>
      </c>
      <c r="Y44" s="66">
        <v>27.8</v>
      </c>
      <c r="Z44" s="66">
        <v>25</v>
      </c>
      <c r="AA44" s="109">
        <v>26</v>
      </c>
      <c r="AB44" s="66">
        <v>26.8</v>
      </c>
      <c r="AC44" s="66">
        <v>26.2</v>
      </c>
      <c r="AD44" s="66">
        <v>27</v>
      </c>
      <c r="AE44" s="66">
        <v>25.4</v>
      </c>
      <c r="AF44" s="66"/>
      <c r="AG44" s="66">
        <v>28</v>
      </c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22</v>
      </c>
      <c r="AQ44" s="68">
        <f t="shared" si="2"/>
        <v>26.690909090909088</v>
      </c>
      <c r="AR44" s="68">
        <f>IFERROR(VLOOKUP(A44,Climatologia_TMAX!A:U,9+$E$2,FALSE),"")</f>
        <v>21.968111314158591</v>
      </c>
      <c r="AS44" s="68">
        <f t="shared" si="3"/>
        <v>4.7227977767504967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>
        <v>33.200000000000003</v>
      </c>
      <c r="U45" s="66">
        <v>34.799999999999997</v>
      </c>
      <c r="V45" s="66">
        <v>32</v>
      </c>
      <c r="W45" s="66">
        <v>28.4</v>
      </c>
      <c r="X45" s="66">
        <v>33.799999999999997</v>
      </c>
      <c r="Y45" s="66">
        <v>35.4</v>
      </c>
      <c r="Z45" s="66">
        <v>35.4</v>
      </c>
      <c r="AA45" s="66">
        <v>32.200000000000003</v>
      </c>
      <c r="AB45" s="66">
        <v>29</v>
      </c>
      <c r="AC45" s="66">
        <v>32.799999999999997</v>
      </c>
      <c r="AD45" s="66">
        <v>29</v>
      </c>
      <c r="AE45" s="66">
        <v>33.4</v>
      </c>
      <c r="AF45" s="66">
        <v>34</v>
      </c>
      <c r="AG45" s="66">
        <v>34.200000000000003</v>
      </c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23</v>
      </c>
      <c r="AQ45" s="68">
        <f t="shared" si="2"/>
        <v>32.417391304347824</v>
      </c>
      <c r="AR45" s="68">
        <f>IFERROR(VLOOKUP(A45,Climatologia_TMAX!A:U,9+$E$2,FALSE),"")</f>
        <v>31.684333333333331</v>
      </c>
      <c r="AS45" s="68">
        <f t="shared" si="3"/>
        <v>0.73305797101449244</v>
      </c>
      <c r="AT45" s="74">
        <f t="shared" si="4"/>
        <v>35.4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-0.39999999999999858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>
        <v>31.8</v>
      </c>
      <c r="U46" s="66">
        <v>32.200000000000003</v>
      </c>
      <c r="V46" s="66">
        <v>31.8</v>
      </c>
      <c r="W46" s="66">
        <v>29.8</v>
      </c>
      <c r="X46" s="66">
        <v>32.799999999999997</v>
      </c>
      <c r="Y46" s="66">
        <v>32</v>
      </c>
      <c r="Z46" s="66">
        <v>32.200000000000003</v>
      </c>
      <c r="AA46" s="66">
        <v>30</v>
      </c>
      <c r="AB46" s="66">
        <v>32.799999999999997</v>
      </c>
      <c r="AC46" s="66">
        <v>31.6</v>
      </c>
      <c r="AD46" s="66">
        <v>30.2</v>
      </c>
      <c r="AE46" s="66">
        <v>29</v>
      </c>
      <c r="AF46" s="66">
        <v>32</v>
      </c>
      <c r="AG46" s="66">
        <v>30.8</v>
      </c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23</v>
      </c>
      <c r="AQ46" s="68">
        <f t="shared" si="2"/>
        <v>31.208695652173915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>
        <v>32.200000000000003</v>
      </c>
      <c r="T52" s="66">
        <v>32</v>
      </c>
      <c r="U52" s="66">
        <v>32.799999999999997</v>
      </c>
      <c r="V52" s="66">
        <v>32.200000000000003</v>
      </c>
      <c r="W52" s="66">
        <v>30.2</v>
      </c>
      <c r="X52" s="66">
        <v>33.4</v>
      </c>
      <c r="Y52" s="66">
        <v>32.6</v>
      </c>
      <c r="Z52" s="66">
        <v>33</v>
      </c>
      <c r="AA52" s="66">
        <v>29.4</v>
      </c>
      <c r="AB52" s="66">
        <v>32</v>
      </c>
      <c r="AC52" s="66">
        <v>32.4</v>
      </c>
      <c r="AD52" s="66">
        <v>29.4</v>
      </c>
      <c r="AE52" s="66">
        <v>29</v>
      </c>
      <c r="AF52" s="66">
        <v>31.6</v>
      </c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22</v>
      </c>
      <c r="AQ52" s="68">
        <f t="shared" si="2"/>
        <v>31.299999999999997</v>
      </c>
      <c r="AR52" s="68">
        <f>IFERROR(VLOOKUP(A52,Climatologia_TMAX!A:U,9+$E$2,FALSE),"")</f>
        <v>30.961069227102161</v>
      </c>
      <c r="AS52" s="68">
        <f t="shared" si="3"/>
        <v>0.33893077289783591</v>
      </c>
      <c r="AT52" s="74">
        <f t="shared" si="4"/>
        <v>33.4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>
        <v>33.799999999999997</v>
      </c>
      <c r="T53" s="66">
        <v>32</v>
      </c>
      <c r="U53" s="66">
        <v>34</v>
      </c>
      <c r="V53" s="66">
        <v>32</v>
      </c>
      <c r="W53" s="66">
        <v>29.8</v>
      </c>
      <c r="X53" s="66">
        <v>33.799999999999997</v>
      </c>
      <c r="Y53" s="66">
        <v>34.200000000000003</v>
      </c>
      <c r="Z53" s="66">
        <v>33.799999999999997</v>
      </c>
      <c r="AA53" s="66">
        <v>31</v>
      </c>
      <c r="AB53" s="66">
        <v>32</v>
      </c>
      <c r="AC53" s="66">
        <v>33.200000000000003</v>
      </c>
      <c r="AD53" s="66">
        <v>33</v>
      </c>
      <c r="AE53" s="66">
        <v>32.799999999999997</v>
      </c>
      <c r="AF53" s="66">
        <v>34</v>
      </c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22</v>
      </c>
      <c r="AQ53" s="68">
        <f t="shared" si="2"/>
        <v>32.472727272727269</v>
      </c>
      <c r="AR53" s="68">
        <f>IFERROR(VLOOKUP(A53,Climatologia_TMAX!A:U,9+$E$2,FALSE),"")</f>
        <v>32.571180014831299</v>
      </c>
      <c r="AS53" s="68">
        <f t="shared" si="3"/>
        <v>-9.8452742104029767E-2</v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>
        <v>35.4</v>
      </c>
      <c r="U54" s="66">
        <v>36.799999999999997</v>
      </c>
      <c r="V54" s="66">
        <v>34.4</v>
      </c>
      <c r="W54" s="66">
        <v>30.4</v>
      </c>
      <c r="X54" s="66">
        <v>35.4</v>
      </c>
      <c r="Y54" s="66">
        <v>36.799999999999997</v>
      </c>
      <c r="Z54" s="66">
        <v>32.6</v>
      </c>
      <c r="AA54" s="66">
        <v>35</v>
      </c>
      <c r="AB54" s="66">
        <v>33.6</v>
      </c>
      <c r="AC54" s="66">
        <v>35.200000000000003</v>
      </c>
      <c r="AD54" s="66">
        <v>32.4</v>
      </c>
      <c r="AE54" s="66">
        <v>31.6</v>
      </c>
      <c r="AF54" s="66">
        <v>33.6</v>
      </c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20</v>
      </c>
      <c r="AQ54" s="68">
        <f t="shared" si="2"/>
        <v>34.130000000000003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>
        <v>33.4</v>
      </c>
      <c r="U67" s="66">
        <v>32.6</v>
      </c>
      <c r="V67" s="66">
        <v>32.4</v>
      </c>
      <c r="W67" s="66">
        <v>32.200000000000003</v>
      </c>
      <c r="X67" s="66">
        <v>33.6</v>
      </c>
      <c r="Y67" s="66">
        <v>33.700000000000003</v>
      </c>
      <c r="Z67" s="66">
        <v>34</v>
      </c>
      <c r="AA67" s="66">
        <v>32.6</v>
      </c>
      <c r="AB67" s="66">
        <v>32.200000000000003</v>
      </c>
      <c r="AC67" s="66">
        <v>32.700000000000003</v>
      </c>
      <c r="AD67" s="66">
        <v>32.4</v>
      </c>
      <c r="AE67" s="66">
        <v>32.200000000000003</v>
      </c>
      <c r="AF67" s="66">
        <v>32</v>
      </c>
      <c r="AG67" s="66">
        <v>32.700000000000003</v>
      </c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23</v>
      </c>
      <c r="AQ67" s="68">
        <f t="shared" si="2"/>
        <v>33.130434782608702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>
        <v>34.4</v>
      </c>
      <c r="U72" s="66">
        <v>35</v>
      </c>
      <c r="V72" s="66">
        <v>34</v>
      </c>
      <c r="W72" s="66">
        <v>31</v>
      </c>
      <c r="X72" s="66">
        <v>34.4</v>
      </c>
      <c r="Y72" s="66">
        <v>36.200000000000003</v>
      </c>
      <c r="Z72" s="66">
        <v>35.6</v>
      </c>
      <c r="AA72" s="66">
        <v>32.200000000000003</v>
      </c>
      <c r="AB72" s="66">
        <v>32.799999999999997</v>
      </c>
      <c r="AC72" s="66">
        <v>33</v>
      </c>
      <c r="AD72" s="66">
        <v>31</v>
      </c>
      <c r="AE72" s="66">
        <v>30.8</v>
      </c>
      <c r="AF72" s="66">
        <v>33.4</v>
      </c>
      <c r="AG72" s="66">
        <v>33.6</v>
      </c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23</v>
      </c>
      <c r="AQ72" s="68">
        <f t="shared" si="7"/>
        <v>33.139130434782601</v>
      </c>
      <c r="AR72" s="68">
        <f>IFERROR(VLOOKUP(A72,Climatologia_TMAX!A:U,9+$E$2,FALSE),"")</f>
        <v>32.022639758461779</v>
      </c>
      <c r="AS72" s="68">
        <f t="shared" si="8"/>
        <v>1.1164906763208222</v>
      </c>
      <c r="AT72" s="74">
        <f t="shared" si="9"/>
        <v>36.200000000000003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0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>
        <v>33.4</v>
      </c>
      <c r="U76" s="66">
        <v>33.799999999999997</v>
      </c>
      <c r="V76" s="66">
        <v>31.4</v>
      </c>
      <c r="W76" s="66">
        <v>27.8</v>
      </c>
      <c r="X76" s="66">
        <v>32.799999999999997</v>
      </c>
      <c r="Y76" s="66">
        <v>34.799999999999997</v>
      </c>
      <c r="Z76" s="66">
        <v>35</v>
      </c>
      <c r="AA76" s="66">
        <v>29.4</v>
      </c>
      <c r="AB76" s="66">
        <v>29.2</v>
      </c>
      <c r="AC76" s="66">
        <v>32.200000000000003</v>
      </c>
      <c r="AD76" s="66">
        <v>29</v>
      </c>
      <c r="AE76" s="66">
        <v>30.4</v>
      </c>
      <c r="AF76" s="66">
        <v>33.4</v>
      </c>
      <c r="AG76" s="66">
        <v>33.6</v>
      </c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23</v>
      </c>
      <c r="AQ76" s="68">
        <f t="shared" si="7"/>
        <v>31.582608695652176</v>
      </c>
      <c r="AR76" s="68">
        <f>IFERROR(VLOOKUP(A76,Climatologia_TMAX!A:U,9+$E$2,FALSE),"")</f>
        <v>31.112293906810031</v>
      </c>
      <c r="AS76" s="68">
        <f t="shared" si="8"/>
        <v>0.4703147888421455</v>
      </c>
      <c r="AT76" s="74">
        <f t="shared" si="9"/>
        <v>35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>
        <v>31</v>
      </c>
      <c r="U77" s="66">
        <v>31</v>
      </c>
      <c r="V77" s="66">
        <v>31.4</v>
      </c>
      <c r="W77" s="66">
        <v>34.4</v>
      </c>
      <c r="X77" s="66">
        <v>34.200000000000003</v>
      </c>
      <c r="Y77" s="66">
        <v>33.6</v>
      </c>
      <c r="Z77" s="66">
        <v>32.200000000000003</v>
      </c>
      <c r="AA77" s="66">
        <v>29.2</v>
      </c>
      <c r="AB77" s="66">
        <v>33.4</v>
      </c>
      <c r="AC77" s="66">
        <v>34.6</v>
      </c>
      <c r="AD77" s="66">
        <v>31</v>
      </c>
      <c r="AE77" s="66">
        <v>32.4</v>
      </c>
      <c r="AF77" s="66">
        <v>33</v>
      </c>
      <c r="AG77" s="66">
        <v>33.799999999999997</v>
      </c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23</v>
      </c>
      <c r="AQ77" s="68">
        <f t="shared" si="7"/>
        <v>32.573913043478257</v>
      </c>
      <c r="AR77" s="68">
        <f>IFERROR(VLOOKUP(A77,Climatologia_TMAX!A:U,9+$E$2,FALSE),"")</f>
        <v>31.68458781362007</v>
      </c>
      <c r="AS77" s="68">
        <f t="shared" si="8"/>
        <v>0.88932522985818707</v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>
        <v>33.200000000000003</v>
      </c>
      <c r="T79" s="66">
        <v>33.200000000000003</v>
      </c>
      <c r="U79" s="66">
        <v>33.200000000000003</v>
      </c>
      <c r="V79" s="66">
        <v>33.200000000000003</v>
      </c>
      <c r="W79" s="66">
        <v>33.200000000000003</v>
      </c>
      <c r="X79" s="66">
        <v>32.6</v>
      </c>
      <c r="Y79" s="66">
        <v>32.4</v>
      </c>
      <c r="Z79" s="66">
        <v>33.4</v>
      </c>
      <c r="AA79" s="66">
        <v>31</v>
      </c>
      <c r="AB79" s="66">
        <v>32.6</v>
      </c>
      <c r="AC79" s="66"/>
      <c r="AD79" s="66">
        <v>34.200000000000003</v>
      </c>
      <c r="AE79" s="66"/>
      <c r="AF79" s="66"/>
      <c r="AG79" s="66">
        <v>32.6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20</v>
      </c>
      <c r="AQ79" s="68">
        <f t="shared" si="7"/>
        <v>32.619999999999997</v>
      </c>
      <c r="AR79" s="68">
        <f>IFERROR(VLOOKUP(A79,Climatologia_TMAX!A:U,9+$E$2,FALSE),"")</f>
        <v>31.526981315058869</v>
      </c>
      <c r="AS79" s="68">
        <f t="shared" si="8"/>
        <v>1.0930186849411285</v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>
        <v>29.8</v>
      </c>
      <c r="U80" s="66">
        <v>32.200000000000003</v>
      </c>
      <c r="V80" s="66">
        <v>29.6</v>
      </c>
      <c r="W80" s="66">
        <v>34</v>
      </c>
      <c r="X80" s="66">
        <v>34.200000000000003</v>
      </c>
      <c r="Y80" s="66">
        <v>33</v>
      </c>
      <c r="Z80" s="66">
        <v>33</v>
      </c>
      <c r="AA80" s="66">
        <v>29</v>
      </c>
      <c r="AB80" s="66">
        <v>32.4</v>
      </c>
      <c r="AC80" s="66">
        <v>33.799999999999997</v>
      </c>
      <c r="AD80" s="66">
        <v>33.799999999999997</v>
      </c>
      <c r="AE80" s="66">
        <v>29.4</v>
      </c>
      <c r="AF80" s="66">
        <v>32.4</v>
      </c>
      <c r="AG80" s="66">
        <v>32.799999999999997</v>
      </c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23</v>
      </c>
      <c r="AQ80" s="68">
        <f t="shared" si="7"/>
        <v>32.365217391304334</v>
      </c>
      <c r="AR80" s="68">
        <f>IFERROR(VLOOKUP(A80,Climatologia_TMAX!A:U,9+$E$2,FALSE),"")</f>
        <v>31.665918946536721</v>
      </c>
      <c r="AS80" s="68">
        <f t="shared" si="8"/>
        <v>0.6992984447676136</v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>
        <v>30.4</v>
      </c>
      <c r="U81" s="66">
        <v>33.200000000000003</v>
      </c>
      <c r="V81" s="66">
        <v>29.8</v>
      </c>
      <c r="W81" s="66">
        <v>32.799999999999997</v>
      </c>
      <c r="X81" s="66">
        <v>32.4</v>
      </c>
      <c r="Y81" s="66">
        <v>32</v>
      </c>
      <c r="Z81" s="66">
        <v>32.6</v>
      </c>
      <c r="AA81" s="66">
        <v>31.6</v>
      </c>
      <c r="AB81" s="66">
        <v>31.4</v>
      </c>
      <c r="AC81" s="66">
        <v>32.799999999999997</v>
      </c>
      <c r="AD81" s="66">
        <v>31.4</v>
      </c>
      <c r="AE81" s="66">
        <v>29.6</v>
      </c>
      <c r="AF81" s="66">
        <v>31.8</v>
      </c>
      <c r="AG81" s="66">
        <v>33.6</v>
      </c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23</v>
      </c>
      <c r="AQ81" s="68">
        <f t="shared" si="7"/>
        <v>31.991304347826084</v>
      </c>
      <c r="AR81" s="68">
        <f>IFERROR(VLOOKUP(A81,Climatologia_TMAX!A:U,9+$E$2,FALSE),"")</f>
        <v>31.138033558745459</v>
      </c>
      <c r="AS81" s="68">
        <f t="shared" si="8"/>
        <v>0.85327078908062504</v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>
        <v>29.8</v>
      </c>
      <c r="U83" s="66">
        <v>34</v>
      </c>
      <c r="V83" s="66">
        <v>30.2</v>
      </c>
      <c r="W83" s="66">
        <v>34.299999999999997</v>
      </c>
      <c r="X83" s="66">
        <v>34</v>
      </c>
      <c r="Y83" s="66">
        <v>33</v>
      </c>
      <c r="Z83" s="66">
        <v>33.200000000000003</v>
      </c>
      <c r="AA83" s="66">
        <v>31</v>
      </c>
      <c r="AB83" s="66">
        <v>32.4</v>
      </c>
      <c r="AC83" s="66">
        <v>33.6</v>
      </c>
      <c r="AD83" s="66">
        <v>31.8</v>
      </c>
      <c r="AE83" s="66">
        <v>28.4</v>
      </c>
      <c r="AF83" s="66">
        <v>32</v>
      </c>
      <c r="AG83" s="66">
        <v>32</v>
      </c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23</v>
      </c>
      <c r="AQ83" s="68">
        <f t="shared" si="7"/>
        <v>31.917391304347824</v>
      </c>
      <c r="AR83" s="68">
        <f>IFERROR(VLOOKUP(A83,Climatologia_TMAX!A:U,9+$E$2,FALSE),"")</f>
        <v>31.31605406550732</v>
      </c>
      <c r="AS83" s="68">
        <f t="shared" si="8"/>
        <v>0.60133723884050383</v>
      </c>
      <c r="AT83" s="74">
        <f t="shared" si="9"/>
        <v>34.299999999999997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>
        <v>31</v>
      </c>
      <c r="U85" s="66">
        <v>32.6</v>
      </c>
      <c r="V85" s="66">
        <v>30.4</v>
      </c>
      <c r="W85" s="66">
        <v>33.4</v>
      </c>
      <c r="X85" s="66">
        <v>32.799999999999997</v>
      </c>
      <c r="Y85" s="66">
        <v>32.200000000000003</v>
      </c>
      <c r="Z85" s="66">
        <v>32.6</v>
      </c>
      <c r="AA85" s="66">
        <v>31.2</v>
      </c>
      <c r="AB85" s="66">
        <v>32.4</v>
      </c>
      <c r="AC85" s="66">
        <v>32.6</v>
      </c>
      <c r="AD85" s="66">
        <v>31.4</v>
      </c>
      <c r="AE85" s="66">
        <v>29</v>
      </c>
      <c r="AF85" s="66">
        <v>32.799999999999997</v>
      </c>
      <c r="AG85" s="66">
        <v>33</v>
      </c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23</v>
      </c>
      <c r="AQ85" s="68">
        <f t="shared" si="7"/>
        <v>31.782608695652176</v>
      </c>
      <c r="AR85" s="68">
        <f>IFERROR(VLOOKUP(A85,Climatologia_TMAX!A:U,9+$E$2,FALSE),"")</f>
        <v>31.225896776248529</v>
      </c>
      <c r="AS85" s="68">
        <f t="shared" si="8"/>
        <v>0.5567119194036465</v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>
        <v>31.2</v>
      </c>
      <c r="U86" s="66">
        <v>33.4</v>
      </c>
      <c r="V86" s="66">
        <v>30.8</v>
      </c>
      <c r="W86" s="66">
        <v>33.799999999999997</v>
      </c>
      <c r="X86" s="66">
        <v>32.799999999999997</v>
      </c>
      <c r="Y86" s="66">
        <v>33.6</v>
      </c>
      <c r="Z86" s="66">
        <v>33.200000000000003</v>
      </c>
      <c r="AA86" s="66">
        <v>30</v>
      </c>
      <c r="AB86" s="66">
        <v>33.200000000000003</v>
      </c>
      <c r="AC86" s="66">
        <v>33.6</v>
      </c>
      <c r="AD86" s="66">
        <v>32.4</v>
      </c>
      <c r="AE86" s="66">
        <v>31.2</v>
      </c>
      <c r="AF86" s="66">
        <v>33.4</v>
      </c>
      <c r="AG86" s="66">
        <v>33.799999999999997</v>
      </c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23</v>
      </c>
      <c r="AQ86" s="68">
        <f t="shared" si="7"/>
        <v>32.417391304347831</v>
      </c>
      <c r="AR86" s="68">
        <f>IFERROR(VLOOKUP(A86,Climatologia_TMAX!A:U,9+$E$2,FALSE),"")</f>
        <v>31.290962827597969</v>
      </c>
      <c r="AS86" s="68">
        <f t="shared" si="8"/>
        <v>1.1264284767498616</v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>
        <v>32.799999999999997</v>
      </c>
      <c r="U87" s="66">
        <v>34</v>
      </c>
      <c r="V87" s="66">
        <v>32</v>
      </c>
      <c r="W87" s="66">
        <v>33.6</v>
      </c>
      <c r="X87" s="66">
        <v>33.4</v>
      </c>
      <c r="Y87" s="66">
        <v>34</v>
      </c>
      <c r="Z87" s="66">
        <v>33.799999999999997</v>
      </c>
      <c r="AA87" s="66">
        <v>31.4</v>
      </c>
      <c r="AB87" s="66">
        <v>33.4</v>
      </c>
      <c r="AC87" s="66">
        <v>34.200000000000003</v>
      </c>
      <c r="AD87" s="66">
        <v>33.200000000000003</v>
      </c>
      <c r="AE87" s="66">
        <v>32.6</v>
      </c>
      <c r="AF87" s="66">
        <v>33</v>
      </c>
      <c r="AG87" s="66">
        <v>33.4</v>
      </c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23</v>
      </c>
      <c r="AQ87" s="68">
        <f t="shared" si="7"/>
        <v>32.947826086956525</v>
      </c>
      <c r="AR87" s="68">
        <f>IFERROR(VLOOKUP(A87,Climatologia_TMAX!A:U,9+$E$2,FALSE),"")</f>
        <v>31.59519477059559</v>
      </c>
      <c r="AS87" s="68">
        <f t="shared" si="8"/>
        <v>1.3526313163609345</v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>
        <v>34.1</v>
      </c>
      <c r="U90" s="66">
        <v>34</v>
      </c>
      <c r="V90" s="66">
        <v>31.3</v>
      </c>
      <c r="W90" s="66">
        <v>32.4</v>
      </c>
      <c r="X90" s="66">
        <v>30.2</v>
      </c>
      <c r="Y90" s="66">
        <v>33.1</v>
      </c>
      <c r="Z90" s="66">
        <v>31.3</v>
      </c>
      <c r="AA90" s="66">
        <v>33.1</v>
      </c>
      <c r="AB90" s="66">
        <v>33.200000000000003</v>
      </c>
      <c r="AC90" s="66">
        <v>30</v>
      </c>
      <c r="AD90" s="66">
        <v>31.4</v>
      </c>
      <c r="AE90" s="66">
        <v>31.4</v>
      </c>
      <c r="AF90" s="109">
        <v>31.2</v>
      </c>
      <c r="AG90" s="66">
        <v>31.4</v>
      </c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23</v>
      </c>
      <c r="AQ90" s="68">
        <f t="shared" si="7"/>
        <v>31.813043478260873</v>
      </c>
      <c r="AR90" s="68">
        <f>IFERROR(VLOOKUP(A90,Climatologia_TMAX!A:U,9+$E$2,FALSE),"")</f>
        <v>31.086687000841621</v>
      </c>
      <c r="AS90" s="68">
        <f t="shared" si="8"/>
        <v>0.72635647741925169</v>
      </c>
      <c r="AT90" s="74">
        <f t="shared" si="9"/>
        <v>34.1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>
        <v>32</v>
      </c>
      <c r="U91" s="66">
        <v>33.4</v>
      </c>
      <c r="V91" s="66">
        <v>32.299999999999997</v>
      </c>
      <c r="W91" s="66">
        <v>33.200000000000003</v>
      </c>
      <c r="X91" s="66">
        <v>33.1</v>
      </c>
      <c r="Y91" s="66">
        <v>34.299999999999997</v>
      </c>
      <c r="Z91" s="107">
        <v>34.1</v>
      </c>
      <c r="AA91" s="66">
        <v>28.3</v>
      </c>
      <c r="AB91" s="66">
        <v>33</v>
      </c>
      <c r="AC91" s="66">
        <v>34.1</v>
      </c>
      <c r="AD91" s="66">
        <v>31.3</v>
      </c>
      <c r="AE91" s="66">
        <v>31.4</v>
      </c>
      <c r="AF91" s="66">
        <v>33.4</v>
      </c>
      <c r="AG91" s="66">
        <v>33.1</v>
      </c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23</v>
      </c>
      <c r="AQ91" s="68">
        <f t="shared" si="7"/>
        <v>32.660869565217389</v>
      </c>
      <c r="AR91" s="68">
        <f>IFERROR(VLOOKUP(A91,Climatologia_TMAX!A:U,9+$E$2,FALSE),"")</f>
        <v>32.110025726590813</v>
      </c>
      <c r="AS91" s="68">
        <f t="shared" si="8"/>
        <v>0.5508438386265766</v>
      </c>
      <c r="AT91" s="74">
        <f t="shared" si="9"/>
        <v>34.299999999999997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>
        <v>34</v>
      </c>
      <c r="U94" s="66">
        <v>31.4</v>
      </c>
      <c r="V94" s="66">
        <v>33.6</v>
      </c>
      <c r="W94" s="66">
        <v>33</v>
      </c>
      <c r="X94" s="66">
        <v>32.4</v>
      </c>
      <c r="Y94" s="66">
        <v>34.4</v>
      </c>
      <c r="Z94" s="66">
        <v>33</v>
      </c>
      <c r="AA94" s="66">
        <v>33.200000000000003</v>
      </c>
      <c r="AB94" s="66">
        <v>32.6</v>
      </c>
      <c r="AC94" s="66">
        <v>34.4</v>
      </c>
      <c r="AD94" s="66">
        <v>27.6</v>
      </c>
      <c r="AE94" s="66">
        <v>33.200000000000003</v>
      </c>
      <c r="AF94" s="66">
        <v>34.4</v>
      </c>
      <c r="AG94" s="66">
        <v>33.6</v>
      </c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23</v>
      </c>
      <c r="AQ94" s="68">
        <f t="shared" si="7"/>
        <v>33.060869565217388</v>
      </c>
      <c r="AR94" s="68">
        <f>IFERROR(VLOOKUP(A94,Climatologia_TMAX!A:U,9+$E$2,FALSE),"")</f>
        <v>32.256992670952947</v>
      </c>
      <c r="AS94" s="68">
        <f t="shared" si="8"/>
        <v>0.80387689426444098</v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>
        <v>29</v>
      </c>
      <c r="U99" s="109">
        <v>27.4</v>
      </c>
      <c r="V99" s="66">
        <v>27.2</v>
      </c>
      <c r="W99" s="66">
        <v>30</v>
      </c>
      <c r="X99" s="66">
        <v>26.4</v>
      </c>
      <c r="Y99" s="66">
        <v>31.2</v>
      </c>
      <c r="Z99" s="66">
        <v>29.2</v>
      </c>
      <c r="AA99" s="66">
        <v>27</v>
      </c>
      <c r="AB99" s="66">
        <v>27</v>
      </c>
      <c r="AC99" s="66">
        <v>30</v>
      </c>
      <c r="AD99" s="66">
        <v>31</v>
      </c>
      <c r="AE99" s="66">
        <v>23.2</v>
      </c>
      <c r="AF99" s="66">
        <v>29.2</v>
      </c>
      <c r="AG99" s="66">
        <v>29.2</v>
      </c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23</v>
      </c>
      <c r="AQ99" s="68">
        <f t="shared" si="7"/>
        <v>28.304347826086957</v>
      </c>
      <c r="AR99" s="68">
        <f>IFERROR(VLOOKUP(A99,Climatologia_TMAX!A:U,9+$E$2,FALSE),"")</f>
        <v>26.12975922595686</v>
      </c>
      <c r="AS99" s="68">
        <f t="shared" si="8"/>
        <v>2.1745886001300967</v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>
        <v>31.2</v>
      </c>
      <c r="U100" s="66">
        <v>38</v>
      </c>
      <c r="V100" s="66">
        <v>36.799999999999997</v>
      </c>
      <c r="W100" s="66">
        <v>31.2</v>
      </c>
      <c r="X100" s="66">
        <v>36.200000000000003</v>
      </c>
      <c r="Y100" s="66">
        <v>37.799999999999997</v>
      </c>
      <c r="Z100" s="107">
        <v>34.799999999999997</v>
      </c>
      <c r="AA100" s="66">
        <v>38.4</v>
      </c>
      <c r="AB100" s="66">
        <v>33.799999999999997</v>
      </c>
      <c r="AC100" s="66">
        <v>39.4</v>
      </c>
      <c r="AD100" s="66">
        <v>38.200000000000003</v>
      </c>
      <c r="AE100" s="66">
        <v>33.799999999999997</v>
      </c>
      <c r="AF100" s="109">
        <v>40.4</v>
      </c>
      <c r="AG100" s="66">
        <v>41</v>
      </c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23</v>
      </c>
      <c r="AQ100" s="68">
        <f t="shared" si="7"/>
        <v>36.808695652173903</v>
      </c>
      <c r="AR100" s="68">
        <f>IFERROR(VLOOKUP(A100,Climatologia_TMAX!A:U,9+$E$2,FALSE),"")</f>
        <v>34.046032364428797</v>
      </c>
      <c r="AS100" s="68">
        <f t="shared" si="8"/>
        <v>2.7626632877451058</v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-1.6000000000000014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>
        <v>28.2</v>
      </c>
      <c r="U102" s="66">
        <v>31.4</v>
      </c>
      <c r="V102" s="66">
        <v>32.799999999999997</v>
      </c>
      <c r="W102" s="66">
        <v>27.4</v>
      </c>
      <c r="X102" s="66">
        <v>28.8</v>
      </c>
      <c r="Y102" s="66">
        <v>33</v>
      </c>
      <c r="Z102" s="66">
        <v>30.4</v>
      </c>
      <c r="AA102" s="66">
        <v>28.8</v>
      </c>
      <c r="AB102" s="66">
        <v>28.2</v>
      </c>
      <c r="AC102" s="66">
        <v>31.4</v>
      </c>
      <c r="AD102" s="66">
        <v>31.4</v>
      </c>
      <c r="AE102" s="66">
        <v>28.2</v>
      </c>
      <c r="AF102" s="66">
        <v>30</v>
      </c>
      <c r="AG102" s="66">
        <v>32.6</v>
      </c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23</v>
      </c>
      <c r="AQ102" s="68">
        <f t="shared" si="7"/>
        <v>30.14782608695652</v>
      </c>
      <c r="AR102" s="68">
        <f>IFERROR(VLOOKUP(A102,Climatologia_TMAX!A:U,9+$E$2,FALSE),"")</f>
        <v>27.475000000000001</v>
      </c>
      <c r="AS102" s="68">
        <f t="shared" si="8"/>
        <v>2.672826086956519</v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>
        <v>30.2</v>
      </c>
      <c r="U104" s="66">
        <v>38.4</v>
      </c>
      <c r="V104" s="66">
        <v>33.6</v>
      </c>
      <c r="W104" s="66">
        <v>31.2</v>
      </c>
      <c r="X104" s="66">
        <v>37.4</v>
      </c>
      <c r="Y104" s="66">
        <v>40.4</v>
      </c>
      <c r="Z104" s="66">
        <v>38.200000000000003</v>
      </c>
      <c r="AA104" s="66">
        <v>35.6</v>
      </c>
      <c r="AB104" s="66">
        <v>35.6</v>
      </c>
      <c r="AC104" s="66">
        <v>38.200000000000003</v>
      </c>
      <c r="AD104" s="66">
        <v>40.4</v>
      </c>
      <c r="AE104" s="66">
        <v>34.4</v>
      </c>
      <c r="AF104" s="66">
        <v>39.4</v>
      </c>
      <c r="AG104" s="66">
        <v>40.799999999999997</v>
      </c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23</v>
      </c>
      <c r="AQ104" s="68">
        <f t="shared" si="7"/>
        <v>36.634782608695652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40.799999999999997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-0.60000000000000142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30.8</v>
      </c>
      <c r="L105" s="66">
        <v>24.2</v>
      </c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>
        <v>31.8</v>
      </c>
      <c r="U105" s="66">
        <v>31</v>
      </c>
      <c r="V105" s="66">
        <v>31.2</v>
      </c>
      <c r="W105" s="66">
        <v>34</v>
      </c>
      <c r="X105" s="66">
        <v>33.200000000000003</v>
      </c>
      <c r="Y105" s="66">
        <v>33.799999999999997</v>
      </c>
      <c r="Z105" s="66">
        <v>32.799999999999997</v>
      </c>
      <c r="AA105" s="66">
        <v>28.4</v>
      </c>
      <c r="AB105" s="66">
        <v>32.799999999999997</v>
      </c>
      <c r="AC105" s="66">
        <v>32.6</v>
      </c>
      <c r="AD105" s="66">
        <v>32.799999999999997</v>
      </c>
      <c r="AE105" s="66">
        <v>26.4</v>
      </c>
      <c r="AF105" s="66">
        <v>32</v>
      </c>
      <c r="AG105" s="66">
        <v>28</v>
      </c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23</v>
      </c>
      <c r="AQ105" s="68">
        <f t="shared" si="7"/>
        <v>31.513043478260862</v>
      </c>
      <c r="AR105" s="68">
        <f>IFERROR(VLOOKUP(A105,Climatologia_TMAX!A:U,9+$E$2,FALSE),"")</f>
        <v>31.46119106137748</v>
      </c>
      <c r="AS105" s="68">
        <f t="shared" si="8"/>
        <v>5.185241688338138E-2</v>
      </c>
      <c r="AT105" s="74">
        <f t="shared" si="9"/>
        <v>34.799999999999997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-1.2000000000000028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>
        <v>24.4</v>
      </c>
      <c r="U106" s="66">
        <v>28.4</v>
      </c>
      <c r="V106" s="66">
        <v>27</v>
      </c>
      <c r="W106" s="66">
        <v>27.4</v>
      </c>
      <c r="X106" s="66">
        <v>27.4</v>
      </c>
      <c r="Y106" s="66">
        <v>29.6</v>
      </c>
      <c r="Z106" s="66">
        <v>27.6</v>
      </c>
      <c r="AA106" s="66">
        <v>27.4</v>
      </c>
      <c r="AB106" s="66">
        <v>28.4</v>
      </c>
      <c r="AC106" s="66">
        <v>28.2</v>
      </c>
      <c r="AD106" s="66">
        <v>28.8</v>
      </c>
      <c r="AE106" s="66">
        <v>27.6</v>
      </c>
      <c r="AF106" s="66">
        <v>29.2</v>
      </c>
      <c r="AG106" s="66">
        <v>29</v>
      </c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23</v>
      </c>
      <c r="AQ106" s="68">
        <f t="shared" si="7"/>
        <v>27.808695652173913</v>
      </c>
      <c r="AR106" s="68">
        <f>IFERROR(VLOOKUP(A106,Climatologia_TMAX!A:U,9+$E$2,FALSE),"")</f>
        <v>25.6659761051374</v>
      </c>
      <c r="AS106" s="68">
        <f t="shared" si="8"/>
        <v>2.1427195470365135</v>
      </c>
      <c r="AT106" s="74">
        <f t="shared" si="9"/>
        <v>29.6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>
        <v>21.8</v>
      </c>
      <c r="U107" s="66">
        <v>20.2</v>
      </c>
      <c r="V107" s="66">
        <v>20.6</v>
      </c>
      <c r="W107" s="66">
        <v>22.6</v>
      </c>
      <c r="X107" s="66">
        <v>23</v>
      </c>
      <c r="Y107" s="66">
        <v>24.6</v>
      </c>
      <c r="Z107" s="66">
        <v>22</v>
      </c>
      <c r="AA107" s="66">
        <v>18.600000000000001</v>
      </c>
      <c r="AB107" s="66">
        <v>22</v>
      </c>
      <c r="AC107" s="66">
        <v>24.4</v>
      </c>
      <c r="AD107" s="66">
        <v>21.4</v>
      </c>
      <c r="AE107" s="66">
        <v>20.2</v>
      </c>
      <c r="AF107" s="66">
        <v>22.2</v>
      </c>
      <c r="AG107" s="66">
        <v>21.4</v>
      </c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23</v>
      </c>
      <c r="AQ107" s="68">
        <f t="shared" si="7"/>
        <v>22.008695652173913</v>
      </c>
      <c r="AR107" s="68">
        <f>IFERROR(VLOOKUP(A107,Climatologia_TMAX!A:U,9+$E$2,FALSE),"")</f>
        <v>19.749019002595482</v>
      </c>
      <c r="AS107" s="68">
        <f t="shared" si="8"/>
        <v>2.2596766495784308</v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>
        <v>32.6</v>
      </c>
      <c r="U108" s="66">
        <v>32.799999999999997</v>
      </c>
      <c r="V108" s="66">
        <v>31.8</v>
      </c>
      <c r="W108" s="66">
        <v>35.6</v>
      </c>
      <c r="X108" s="66">
        <v>35.799999999999997</v>
      </c>
      <c r="Y108" s="66">
        <v>34.799999999999997</v>
      </c>
      <c r="Z108" s="66">
        <v>35.200000000000003</v>
      </c>
      <c r="AA108" s="66">
        <v>29.8</v>
      </c>
      <c r="AB108" s="66">
        <v>34.200000000000003</v>
      </c>
      <c r="AC108" s="66">
        <v>33</v>
      </c>
      <c r="AD108" s="66">
        <v>32.799999999999997</v>
      </c>
      <c r="AE108" s="66">
        <v>26.8</v>
      </c>
      <c r="AF108" s="66">
        <v>33.200000000000003</v>
      </c>
      <c r="AG108" s="66">
        <v>29.6</v>
      </c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23</v>
      </c>
      <c r="AQ108" s="68">
        <f t="shared" si="7"/>
        <v>32.678260869565221</v>
      </c>
      <c r="AR108" s="68">
        <f>IFERROR(VLOOKUP(A108,Climatologia_TMAX!A:U,9+$E$2,FALSE),"")</f>
        <v>31.76613503829833</v>
      </c>
      <c r="AS108" s="68">
        <f t="shared" si="8"/>
        <v>0.9121258312668914</v>
      </c>
      <c r="AT108" s="74">
        <f t="shared" si="9"/>
        <v>35.799999999999997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-2.2000000000000028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>
        <v>28</v>
      </c>
      <c r="U109" s="66">
        <v>28.6</v>
      </c>
      <c r="V109" s="66">
        <v>28.4</v>
      </c>
      <c r="W109" s="66">
        <v>29.2</v>
      </c>
      <c r="X109" s="66">
        <v>28.2</v>
      </c>
      <c r="Y109" s="66">
        <v>32</v>
      </c>
      <c r="Z109" s="66">
        <v>29.2</v>
      </c>
      <c r="AA109" s="66">
        <v>26.2</v>
      </c>
      <c r="AB109" s="66">
        <v>27.4</v>
      </c>
      <c r="AC109" s="66">
        <v>31.2</v>
      </c>
      <c r="AD109" s="66">
        <v>29.2</v>
      </c>
      <c r="AE109" s="66">
        <v>26.2</v>
      </c>
      <c r="AF109" s="66">
        <v>28.8</v>
      </c>
      <c r="AG109" s="66">
        <v>29</v>
      </c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23</v>
      </c>
      <c r="AQ109" s="68">
        <f t="shared" si="7"/>
        <v>28.478260869565219</v>
      </c>
      <c r="AR109" s="68">
        <f>IFERROR(VLOOKUP(A109,Climatologia_TMAX!A:U,9+$E$2,FALSE),"")</f>
        <v>26.358900836320181</v>
      </c>
      <c r="AS109" s="68">
        <f t="shared" si="8"/>
        <v>2.1193600332450373</v>
      </c>
      <c r="AT109" s="74">
        <f t="shared" si="9"/>
        <v>32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-0.20000000000000284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>
        <v>35</v>
      </c>
      <c r="U111" s="66">
        <v>35.4</v>
      </c>
      <c r="V111" s="66">
        <v>35.4</v>
      </c>
      <c r="W111" s="66">
        <v>31.6</v>
      </c>
      <c r="X111" s="66">
        <v>32.6</v>
      </c>
      <c r="Y111" s="66">
        <v>36.4</v>
      </c>
      <c r="Z111" s="66">
        <v>36.6</v>
      </c>
      <c r="AA111" s="109">
        <v>34.799999999999997</v>
      </c>
      <c r="AB111" s="66">
        <v>32.799999999999997</v>
      </c>
      <c r="AC111" s="66">
        <v>35.4</v>
      </c>
      <c r="AD111" s="66">
        <v>35.4</v>
      </c>
      <c r="AE111" s="66">
        <v>34.4</v>
      </c>
      <c r="AF111" s="66">
        <v>34.200000000000003</v>
      </c>
      <c r="AG111" s="66">
        <v>36.4</v>
      </c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21</v>
      </c>
      <c r="AQ111" s="68">
        <f t="shared" si="7"/>
        <v>34.666666666666664</v>
      </c>
      <c r="AR111" s="68">
        <f>IFERROR(VLOOKUP(A111,Climatologia_TMAX!A:U,9+$E$2,FALSE),"")</f>
        <v>33.225226632766557</v>
      </c>
      <c r="AS111" s="68">
        <f t="shared" si="8"/>
        <v>1.4414400339001077</v>
      </c>
      <c r="AT111" s="74">
        <f t="shared" si="9"/>
        <v>36.6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>
        <v>35.200000000000003</v>
      </c>
      <c r="U112" s="66">
        <v>36.200000000000003</v>
      </c>
      <c r="V112" s="66">
        <v>35.6</v>
      </c>
      <c r="W112" s="66">
        <v>28.4</v>
      </c>
      <c r="X112" s="66">
        <v>32.6</v>
      </c>
      <c r="Y112" s="66">
        <v>33.6</v>
      </c>
      <c r="Z112" s="66">
        <v>36.200000000000003</v>
      </c>
      <c r="AA112" s="66">
        <v>32.799999999999997</v>
      </c>
      <c r="AB112" s="66">
        <v>33.799999999999997</v>
      </c>
      <c r="AC112" s="66">
        <v>34.6</v>
      </c>
      <c r="AD112" s="66">
        <v>34.4</v>
      </c>
      <c r="AE112" s="66">
        <v>30</v>
      </c>
      <c r="AF112" s="66">
        <v>33.6</v>
      </c>
      <c r="AG112" s="66">
        <v>35.200000000000003</v>
      </c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23</v>
      </c>
      <c r="AQ112" s="68">
        <f t="shared" si="7"/>
        <v>34.017391304347825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>
        <v>31.8</v>
      </c>
      <c r="U114" s="66">
        <v>35.4</v>
      </c>
      <c r="V114" s="66">
        <v>31.6</v>
      </c>
      <c r="W114" s="66">
        <v>30</v>
      </c>
      <c r="X114" s="66">
        <v>33.6</v>
      </c>
      <c r="Y114" s="66">
        <v>33.6</v>
      </c>
      <c r="Z114" s="66">
        <v>35.200000000000003</v>
      </c>
      <c r="AA114" s="66">
        <v>30.4</v>
      </c>
      <c r="AB114" s="66">
        <v>30.2</v>
      </c>
      <c r="AC114" s="66">
        <v>33.200000000000003</v>
      </c>
      <c r="AD114" s="66">
        <v>33</v>
      </c>
      <c r="AE114" s="66">
        <v>31</v>
      </c>
      <c r="AF114" s="66">
        <v>34.4</v>
      </c>
      <c r="AG114" s="66">
        <v>34.4</v>
      </c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21</v>
      </c>
      <c r="AQ114" s="68">
        <f t="shared" si="7"/>
        <v>33.295238095238098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-1.8000000000000043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>
        <v>36</v>
      </c>
      <c r="S115" s="66">
        <v>36.799999999999997</v>
      </c>
      <c r="T115" s="66">
        <v>37.200000000000003</v>
      </c>
      <c r="U115" s="66">
        <v>37</v>
      </c>
      <c r="V115" s="66">
        <v>36.799999999999997</v>
      </c>
      <c r="W115" s="66">
        <v>30.4</v>
      </c>
      <c r="X115" s="66">
        <v>34.799999999999997</v>
      </c>
      <c r="Y115" s="66">
        <v>37.6</v>
      </c>
      <c r="Z115" s="66">
        <v>38</v>
      </c>
      <c r="AA115" s="66">
        <v>37.799999999999997</v>
      </c>
      <c r="AB115" s="66">
        <v>33.799999999999997</v>
      </c>
      <c r="AC115" s="66">
        <v>37.799999999999997</v>
      </c>
      <c r="AD115" s="66">
        <v>37.6</v>
      </c>
      <c r="AE115" s="66">
        <v>34</v>
      </c>
      <c r="AF115" s="66">
        <v>34.6</v>
      </c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21</v>
      </c>
      <c r="AQ115" s="68">
        <f t="shared" si="7"/>
        <v>36.209523809523809</v>
      </c>
      <c r="AR115" s="68">
        <f>IFERROR(VLOOKUP(A115,Climatologia_TMAX!A:U,9+$E$2,FALSE),"")</f>
        <v>33.872222148065752</v>
      </c>
      <c r="AS115" s="68">
        <f t="shared" si="8"/>
        <v>2.3373016614580564</v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>
        <v>34.4</v>
      </c>
      <c r="U118" s="66">
        <v>33.6</v>
      </c>
      <c r="V118" s="66">
        <v>33.4</v>
      </c>
      <c r="W118" s="66">
        <v>31.6</v>
      </c>
      <c r="X118" s="66">
        <v>31.2</v>
      </c>
      <c r="Y118" s="66">
        <v>34.4</v>
      </c>
      <c r="Z118" s="66">
        <v>35</v>
      </c>
      <c r="AA118" s="66">
        <v>33.6</v>
      </c>
      <c r="AB118" s="66">
        <v>33.4</v>
      </c>
      <c r="AC118" s="66">
        <v>34</v>
      </c>
      <c r="AD118" s="66">
        <v>34.799999999999997</v>
      </c>
      <c r="AE118" s="66">
        <v>29</v>
      </c>
      <c r="AF118" s="66">
        <v>34.799999999999997</v>
      </c>
      <c r="AG118" s="66">
        <v>35.799999999999997</v>
      </c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23</v>
      </c>
      <c r="AQ118" s="68">
        <f t="shared" si="7"/>
        <v>33.860869565217378</v>
      </c>
      <c r="AR118" s="68">
        <f>IFERROR(VLOOKUP(A118,Climatologia_TMAX!A:U,9+$E$2,FALSE),"")</f>
        <v>32.347748461253239</v>
      </c>
      <c r="AS118" s="68">
        <f t="shared" si="8"/>
        <v>1.5131211039641386</v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>
        <v>35.200000000000003</v>
      </c>
      <c r="U119" s="66">
        <v>35.4</v>
      </c>
      <c r="V119" s="66">
        <v>32.799999999999997</v>
      </c>
      <c r="W119" s="66">
        <v>32</v>
      </c>
      <c r="X119" s="66">
        <v>35.200000000000003</v>
      </c>
      <c r="Y119" s="66">
        <v>37.4</v>
      </c>
      <c r="Z119" s="66">
        <v>37.6</v>
      </c>
      <c r="AA119" s="66">
        <v>33.4</v>
      </c>
      <c r="AB119" s="66">
        <v>34.200000000000003</v>
      </c>
      <c r="AC119" s="66">
        <v>34.4</v>
      </c>
      <c r="AD119" s="66">
        <v>35</v>
      </c>
      <c r="AE119" s="66">
        <v>31</v>
      </c>
      <c r="AF119" s="66">
        <v>33.6</v>
      </c>
      <c r="AG119" s="66">
        <v>36.200000000000003</v>
      </c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23</v>
      </c>
      <c r="AQ119" s="68">
        <f t="shared" si="7"/>
        <v>34.304347826086961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37.6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-2.1999999999999957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>
        <v>31.4</v>
      </c>
      <c r="U120" s="66">
        <v>31.8</v>
      </c>
      <c r="V120" s="66">
        <v>34</v>
      </c>
      <c r="W120" s="66">
        <v>33</v>
      </c>
      <c r="X120" s="66">
        <v>33.799999999999997</v>
      </c>
      <c r="Y120" s="66"/>
      <c r="Z120" s="66">
        <v>35.200000000000003</v>
      </c>
      <c r="AA120" s="66">
        <v>28.8</v>
      </c>
      <c r="AB120" s="66">
        <v>30.4</v>
      </c>
      <c r="AC120" s="66">
        <v>33.4</v>
      </c>
      <c r="AD120" s="66">
        <v>33.200000000000003</v>
      </c>
      <c r="AE120" s="66">
        <v>30.8</v>
      </c>
      <c r="AF120" s="66">
        <v>33.4</v>
      </c>
      <c r="AG120" s="66">
        <v>33.4</v>
      </c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22</v>
      </c>
      <c r="AQ120" s="68">
        <f t="shared" si="7"/>
        <v>33.163636363636357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>
        <v>26.2</v>
      </c>
      <c r="U122" s="66">
        <v>29.2</v>
      </c>
      <c r="V122" s="66">
        <v>27</v>
      </c>
      <c r="W122" s="66">
        <v>25.4</v>
      </c>
      <c r="X122" s="66">
        <v>27.8</v>
      </c>
      <c r="Y122" s="66">
        <v>30.4</v>
      </c>
      <c r="Z122" s="66">
        <v>26.8</v>
      </c>
      <c r="AA122" s="66">
        <v>28</v>
      </c>
      <c r="AB122" s="66">
        <v>27.6</v>
      </c>
      <c r="AC122" s="66">
        <v>27.8</v>
      </c>
      <c r="AD122" s="66">
        <v>30.4</v>
      </c>
      <c r="AE122" s="66">
        <v>26.4</v>
      </c>
      <c r="AF122" s="66">
        <v>30</v>
      </c>
      <c r="AG122" s="66">
        <v>31.2</v>
      </c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23</v>
      </c>
      <c r="AQ122" s="68">
        <f t="shared" si="7"/>
        <v>28.22608695652174</v>
      </c>
      <c r="AR122" s="68">
        <f>IFERROR(VLOOKUP(A122,Climatologia_TMAX!A:U,9+$E$2,FALSE),"")</f>
        <v>27.10387096774193</v>
      </c>
      <c r="AS122" s="68">
        <f t="shared" si="8"/>
        <v>1.1222159887798107</v>
      </c>
      <c r="AT122" s="74">
        <f t="shared" si="9"/>
        <v>31.2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-0.60000000000000142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>
        <v>31</v>
      </c>
      <c r="U123" s="66"/>
      <c r="V123" s="66"/>
      <c r="W123" s="66">
        <v>33.200000000000003</v>
      </c>
      <c r="X123" s="66">
        <v>33.6</v>
      </c>
      <c r="Y123" s="66">
        <v>34.4</v>
      </c>
      <c r="Z123" s="66">
        <v>33.4</v>
      </c>
      <c r="AA123" s="66">
        <v>29.4</v>
      </c>
      <c r="AB123" s="66">
        <v>31</v>
      </c>
      <c r="AC123" s="66">
        <v>32.799999999999997</v>
      </c>
      <c r="AD123" s="66">
        <v>31.6</v>
      </c>
      <c r="AE123" s="66"/>
      <c r="AF123" s="66">
        <v>33.6</v>
      </c>
      <c r="AG123" s="66">
        <v>32.799999999999997</v>
      </c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20</v>
      </c>
      <c r="AQ123" s="68">
        <f t="shared" si="7"/>
        <v>32.239999999999995</v>
      </c>
      <c r="AR123" s="68">
        <f>IFERROR(VLOOKUP(A123,Climatologia_TMAX!A:U,9+$E$2,FALSE),"")</f>
        <v>31.008190582128289</v>
      </c>
      <c r="AS123" s="68">
        <f t="shared" si="8"/>
        <v>1.2318094178717054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>
        <v>34</v>
      </c>
      <c r="U124" s="66">
        <v>33.4</v>
      </c>
      <c r="V124" s="66">
        <v>30.4</v>
      </c>
      <c r="W124" s="66">
        <v>34.799999999999997</v>
      </c>
      <c r="X124" s="66">
        <v>34.4</v>
      </c>
      <c r="Y124" s="66">
        <v>34.200000000000003</v>
      </c>
      <c r="Z124" s="66">
        <v>33.799999999999997</v>
      </c>
      <c r="AA124" s="66">
        <v>30.2</v>
      </c>
      <c r="AB124" s="66">
        <v>32</v>
      </c>
      <c r="AC124" s="66">
        <v>34.200000000000003</v>
      </c>
      <c r="AD124" s="66">
        <v>32.4</v>
      </c>
      <c r="AE124" s="66">
        <v>30.4</v>
      </c>
      <c r="AF124" s="66">
        <v>33.799999999999997</v>
      </c>
      <c r="AG124" s="66">
        <v>33.6</v>
      </c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23</v>
      </c>
      <c r="AQ124" s="68">
        <f t="shared" si="7"/>
        <v>32.817391304347822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34.799999999999997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-3.8000000000000043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>
        <v>22</v>
      </c>
      <c r="U127" s="66">
        <v>27.6</v>
      </c>
      <c r="V127" s="66">
        <v>21.2</v>
      </c>
      <c r="W127" s="66">
        <v>20</v>
      </c>
      <c r="X127" s="66">
        <v>26.8</v>
      </c>
      <c r="Y127" s="66">
        <v>29.6</v>
      </c>
      <c r="Z127" s="66">
        <v>26</v>
      </c>
      <c r="AA127" s="66">
        <v>22.2</v>
      </c>
      <c r="AB127" s="66">
        <v>23</v>
      </c>
      <c r="AC127" s="66">
        <v>26.6</v>
      </c>
      <c r="AD127" s="66">
        <v>27.6</v>
      </c>
      <c r="AE127" s="66">
        <v>26.4</v>
      </c>
      <c r="AF127" s="66">
        <v>27</v>
      </c>
      <c r="AG127" s="66">
        <v>26.2</v>
      </c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23</v>
      </c>
      <c r="AQ127" s="68">
        <f t="shared" si="7"/>
        <v>25.765217391304351</v>
      </c>
      <c r="AR127" s="68">
        <f>IFERROR(VLOOKUP(A127,Climatologia_TMAX!A:U,9+$E$2,FALSE),"")</f>
        <v>23.50285964206472</v>
      </c>
      <c r="AS127" s="68">
        <f t="shared" si="8"/>
        <v>2.2623577492396301</v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>
        <v>18.8</v>
      </c>
      <c r="U128" s="66">
        <v>21.8</v>
      </c>
      <c r="V128" s="66">
        <v>18.399999999999999</v>
      </c>
      <c r="W128" s="112">
        <v>15.2</v>
      </c>
      <c r="X128" s="66">
        <v>18.399999999999999</v>
      </c>
      <c r="Y128" s="66">
        <v>17.600000000000001</v>
      </c>
      <c r="Z128" s="66"/>
      <c r="AA128" s="66">
        <v>21.4</v>
      </c>
      <c r="AB128" s="66">
        <v>19</v>
      </c>
      <c r="AC128" s="66">
        <v>22.6</v>
      </c>
      <c r="AD128" s="66">
        <v>22</v>
      </c>
      <c r="AE128" s="66">
        <v>20.2</v>
      </c>
      <c r="AF128" s="66">
        <v>23</v>
      </c>
      <c r="AG128" s="66">
        <v>25</v>
      </c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22</v>
      </c>
      <c r="AQ128" s="68">
        <f t="shared" si="7"/>
        <v>21.009090909090908</v>
      </c>
      <c r="AR128" s="68">
        <f>IFERROR(VLOOKUP(A128,Climatologia_TMAX!A:U,9+$E$2,FALSE),"")</f>
        <v>19.301716634983411</v>
      </c>
      <c r="AS128" s="68">
        <f t="shared" si="8"/>
        <v>1.7073742741074973</v>
      </c>
      <c r="AT128" s="74">
        <f t="shared" si="9"/>
        <v>25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0.60000000000000142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>
        <v>26.6</v>
      </c>
      <c r="U129" s="66">
        <v>28</v>
      </c>
      <c r="V129" s="66">
        <v>24.6</v>
      </c>
      <c r="W129" s="66">
        <v>29.8</v>
      </c>
      <c r="X129" s="66">
        <v>29.8</v>
      </c>
      <c r="Y129" s="66">
        <v>29</v>
      </c>
      <c r="Z129" s="66">
        <v>28.8</v>
      </c>
      <c r="AA129" s="66"/>
      <c r="AB129" s="66">
        <v>26.8</v>
      </c>
      <c r="AC129" s="66">
        <v>28.2</v>
      </c>
      <c r="AD129" s="66">
        <v>27.8</v>
      </c>
      <c r="AE129" s="66">
        <v>22.8</v>
      </c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20</v>
      </c>
      <c r="AQ129" s="68">
        <f t="shared" si="7"/>
        <v>28.060000000000002</v>
      </c>
      <c r="AR129" s="68">
        <f>IFERROR(VLOOKUP(A129,Climatologia_TMAX!A:U,9+$E$2,FALSE),"")</f>
        <v>26.47612810776095</v>
      </c>
      <c r="AS129" s="68">
        <f t="shared" si="8"/>
        <v>1.5838718922390527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>
        <v>20.399999999999999</v>
      </c>
      <c r="T131" s="66"/>
      <c r="U131" s="66">
        <v>21.2</v>
      </c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>
        <f t="shared" si="9"/>
        <v>21.2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>
        <v>21.6</v>
      </c>
      <c r="AC132" s="66">
        <v>23.8</v>
      </c>
      <c r="AD132" s="66">
        <v>26</v>
      </c>
      <c r="AE132" s="66">
        <v>23</v>
      </c>
      <c r="AF132" s="66">
        <v>23.4</v>
      </c>
      <c r="AG132" s="66">
        <v>22.8</v>
      </c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6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>
        <f t="shared" si="9"/>
        <v>26</v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>
        <f t="shared" si="10"/>
        <v>0.39999999999999858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>
        <v>20</v>
      </c>
      <c r="U133" s="66"/>
      <c r="V133" s="66">
        <v>21.4</v>
      </c>
      <c r="W133" s="66">
        <v>18</v>
      </c>
      <c r="X133" s="66">
        <v>21</v>
      </c>
      <c r="Y133" s="66">
        <v>22.2</v>
      </c>
      <c r="Z133" s="66">
        <v>20.2</v>
      </c>
      <c r="AA133" s="66">
        <v>20.6</v>
      </c>
      <c r="AB133" s="66">
        <v>19</v>
      </c>
      <c r="AC133" s="66">
        <v>19.399999999999999</v>
      </c>
      <c r="AD133" s="66">
        <v>22</v>
      </c>
      <c r="AE133" s="66">
        <v>21.2</v>
      </c>
      <c r="AF133" s="66">
        <v>22.4</v>
      </c>
      <c r="AG133" s="66">
        <v>20.2</v>
      </c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21</v>
      </c>
      <c r="AQ133" s="68">
        <f t="shared" ref="AQ133:AQ196" si="12">IF(AP133&gt;14,AVERAGE(K133:AO133),"")</f>
        <v>20.599999999999998</v>
      </c>
      <c r="AR133" s="68">
        <f>IFERROR(VLOOKUP(A133,Climatologia_TMAX!A:U,9+$E$2,FALSE),"")</f>
        <v>17.187530713792</v>
      </c>
      <c r="AS133" s="68">
        <f t="shared" ref="AS133:AS196" si="13">IF(OR(AQ133="",AR133=""),"",IFERROR(AQ133-AR133,""))</f>
        <v>3.4124692862079975</v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>
        <v>22.8</v>
      </c>
      <c r="U135" s="66">
        <v>25.6</v>
      </c>
      <c r="V135" s="66">
        <v>23.6</v>
      </c>
      <c r="W135" s="66">
        <v>23.6</v>
      </c>
      <c r="X135" s="66">
        <v>22.8</v>
      </c>
      <c r="Y135" s="66">
        <v>23</v>
      </c>
      <c r="Z135" s="66">
        <v>23.4</v>
      </c>
      <c r="AA135" s="66">
        <v>23.6</v>
      </c>
      <c r="AB135" s="66">
        <v>24.2</v>
      </c>
      <c r="AC135" s="66">
        <v>24</v>
      </c>
      <c r="AD135" s="66">
        <v>23</v>
      </c>
      <c r="AE135" s="66">
        <v>23.4</v>
      </c>
      <c r="AF135" s="66">
        <v>23.8</v>
      </c>
      <c r="AG135" s="66">
        <v>23.5</v>
      </c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23</v>
      </c>
      <c r="AQ135" s="68">
        <f t="shared" si="12"/>
        <v>23.521739130434781</v>
      </c>
      <c r="AR135" s="68">
        <f>IFERROR(VLOOKUP(A135,Climatologia_TMAX!A:U,9+$E$2,FALSE),"")</f>
        <v>24.002986857825569</v>
      </c>
      <c r="AS135" s="68">
        <f t="shared" si="13"/>
        <v>-0.48124772739078736</v>
      </c>
      <c r="AT135" s="74">
        <f t="shared" si="14"/>
        <v>25.6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>
        <v>18.399999999999999</v>
      </c>
      <c r="U138" s="66">
        <v>22.6</v>
      </c>
      <c r="V138" s="117">
        <v>16</v>
      </c>
      <c r="W138" s="66">
        <v>15.2</v>
      </c>
      <c r="X138" s="66">
        <v>21</v>
      </c>
      <c r="Y138" s="66">
        <v>24.1</v>
      </c>
      <c r="Z138" s="66">
        <v>21</v>
      </c>
      <c r="AA138" s="66">
        <v>20.8</v>
      </c>
      <c r="AB138" s="66">
        <v>19.8</v>
      </c>
      <c r="AC138" s="66">
        <v>22</v>
      </c>
      <c r="AD138" s="66">
        <v>21.8</v>
      </c>
      <c r="AE138" s="66">
        <v>20.6</v>
      </c>
      <c r="AF138" s="66">
        <v>21</v>
      </c>
      <c r="AG138" s="66">
        <v>21.8</v>
      </c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23</v>
      </c>
      <c r="AQ138" s="68">
        <f t="shared" si="12"/>
        <v>20.873913043478264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24.1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-9.9999999999997868E-2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>
        <v>22.2</v>
      </c>
      <c r="U139" s="66">
        <v>23.4</v>
      </c>
      <c r="V139" s="66">
        <v>20.6</v>
      </c>
      <c r="W139" s="66">
        <v>24.8</v>
      </c>
      <c r="X139" s="66">
        <v>24</v>
      </c>
      <c r="Y139" s="66">
        <v>24</v>
      </c>
      <c r="Z139" s="66">
        <v>23.2</v>
      </c>
      <c r="AA139" s="66">
        <v>23</v>
      </c>
      <c r="AB139" s="66">
        <v>21.6</v>
      </c>
      <c r="AC139" s="66"/>
      <c r="AD139" s="66"/>
      <c r="AE139" s="66">
        <v>21.2</v>
      </c>
      <c r="AF139" s="66">
        <v>24.8</v>
      </c>
      <c r="AG139" s="66">
        <v>25.4</v>
      </c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21</v>
      </c>
      <c r="AQ139" s="68">
        <f t="shared" si="12"/>
        <v>23.133333333333333</v>
      </c>
      <c r="AR139" s="68">
        <f>IFERROR(VLOOKUP(A139,Climatologia_TMAX!A:U,9+$E$2,FALSE),"")</f>
        <v>22.410933280987589</v>
      </c>
      <c r="AS139" s="68">
        <f t="shared" si="13"/>
        <v>0.72240005234574411</v>
      </c>
      <c r="AT139" s="74">
        <f t="shared" si="14"/>
        <v>25.4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>
        <v>18</v>
      </c>
      <c r="U141" s="66">
        <v>20</v>
      </c>
      <c r="V141" s="66">
        <v>18</v>
      </c>
      <c r="W141" s="66">
        <v>18.399999999999999</v>
      </c>
      <c r="X141" s="66">
        <v>20.8</v>
      </c>
      <c r="Y141" s="66">
        <v>22.2</v>
      </c>
      <c r="Z141" s="66">
        <v>19.600000000000001</v>
      </c>
      <c r="AA141" s="66">
        <v>19.2</v>
      </c>
      <c r="AB141" s="66">
        <v>18.2</v>
      </c>
      <c r="AC141" s="66">
        <v>19.8</v>
      </c>
      <c r="AD141" s="66">
        <v>21.2</v>
      </c>
      <c r="AE141" s="66">
        <v>19</v>
      </c>
      <c r="AF141" s="66">
        <v>20</v>
      </c>
      <c r="AG141" s="66">
        <v>20</v>
      </c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23</v>
      </c>
      <c r="AQ141" s="68">
        <f t="shared" si="12"/>
        <v>19.921739130434784</v>
      </c>
      <c r="AR141" s="68">
        <f>IFERROR(VLOOKUP(A141,Climatologia_TMAX!A:U,9+$E$2,FALSE),"")</f>
        <v>18.953763440860211</v>
      </c>
      <c r="AS141" s="68">
        <f t="shared" si="13"/>
        <v>0.96797568957457258</v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>
        <v>20</v>
      </c>
      <c r="U142" s="66">
        <v>21</v>
      </c>
      <c r="V142" s="66">
        <v>16.399999999999999</v>
      </c>
      <c r="W142" s="66">
        <v>20.8</v>
      </c>
      <c r="X142" s="66">
        <v>22.6</v>
      </c>
      <c r="Y142" s="66">
        <v>22.4</v>
      </c>
      <c r="Z142" s="66">
        <v>21.6</v>
      </c>
      <c r="AA142" s="66">
        <v>21.8</v>
      </c>
      <c r="AB142" s="66">
        <v>17.399999999999999</v>
      </c>
      <c r="AC142" s="66">
        <v>21.2</v>
      </c>
      <c r="AD142" s="66">
        <v>20.8</v>
      </c>
      <c r="AE142" s="66">
        <v>19.399999999999999</v>
      </c>
      <c r="AF142" s="66">
        <v>21.8</v>
      </c>
      <c r="AG142" s="66">
        <v>20</v>
      </c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23</v>
      </c>
      <c r="AQ142" s="68">
        <f t="shared" si="12"/>
        <v>20.678260869565218</v>
      </c>
      <c r="AR142" s="68">
        <f>IFERROR(VLOOKUP(A142,Climatologia_TMAX!A:U,9+$E$2,FALSE),"")</f>
        <v>19.709141522326391</v>
      </c>
      <c r="AS142" s="68">
        <f t="shared" si="13"/>
        <v>0.96911934723882709</v>
      </c>
      <c r="AT142" s="74">
        <f t="shared" si="14"/>
        <v>22.6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>
        <v>34.200000000000003</v>
      </c>
      <c r="X143" s="66">
        <v>35</v>
      </c>
      <c r="Y143" s="66">
        <v>34</v>
      </c>
      <c r="Z143" s="66"/>
      <c r="AA143" s="66"/>
      <c r="AB143" s="66">
        <v>31.6</v>
      </c>
      <c r="AC143" s="66">
        <v>33.200000000000003</v>
      </c>
      <c r="AD143" s="66">
        <v>34</v>
      </c>
      <c r="AE143" s="66">
        <v>34</v>
      </c>
      <c r="AF143" s="66"/>
      <c r="AG143" s="66">
        <v>34.200000000000003</v>
      </c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>
        <v>23</v>
      </c>
      <c r="U145" s="66">
        <v>23.2</v>
      </c>
      <c r="V145" s="66">
        <v>21.4</v>
      </c>
      <c r="W145" s="66">
        <v>21.2</v>
      </c>
      <c r="X145" s="66">
        <v>21.2</v>
      </c>
      <c r="Y145" s="66">
        <v>24.6</v>
      </c>
      <c r="Z145" s="66">
        <v>20.399999999999999</v>
      </c>
      <c r="AA145" s="66">
        <v>22.2</v>
      </c>
      <c r="AB145" s="66">
        <v>21.2</v>
      </c>
      <c r="AC145" s="66">
        <v>20.2</v>
      </c>
      <c r="AD145" s="66">
        <v>24.4</v>
      </c>
      <c r="AE145" s="66">
        <v>24.4</v>
      </c>
      <c r="AF145" s="66">
        <v>25.4</v>
      </c>
      <c r="AG145" s="66">
        <v>23.8</v>
      </c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23</v>
      </c>
      <c r="AQ145" s="68">
        <f t="shared" si="12"/>
        <v>22.530434782608687</v>
      </c>
      <c r="AR145" s="68">
        <f>IFERROR(VLOOKUP(A145,Climatologia_TMAX!A:U,9+$E$2,FALSE),"")</f>
        <v>21.095906298003069</v>
      </c>
      <c r="AS145" s="68">
        <f t="shared" si="13"/>
        <v>1.4345284846056181</v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>
        <v>22.4</v>
      </c>
      <c r="X146" s="66">
        <v>22.4</v>
      </c>
      <c r="Y146" s="66">
        <v>25.6</v>
      </c>
      <c r="Z146" s="66">
        <v>23</v>
      </c>
      <c r="AA146" s="66">
        <v>22.2</v>
      </c>
      <c r="AB146" s="66">
        <v>21</v>
      </c>
      <c r="AC146" s="66">
        <v>23.6</v>
      </c>
      <c r="AD146" s="66">
        <v>23.2</v>
      </c>
      <c r="AE146" s="66">
        <v>20.2</v>
      </c>
      <c r="AF146" s="66">
        <v>23.4</v>
      </c>
      <c r="AG146" s="66">
        <v>22.6</v>
      </c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19</v>
      </c>
      <c r="AQ146" s="68">
        <f t="shared" si="12"/>
        <v>22.905263157894737</v>
      </c>
      <c r="AR146" s="68">
        <f>IFERROR(VLOOKUP(A146,Climatologia_TMAX!A:U,9+$E$2,FALSE),"")</f>
        <v>21.688279684503559</v>
      </c>
      <c r="AS146" s="68">
        <f t="shared" si="13"/>
        <v>1.2169834733911777</v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>
        <v>22</v>
      </c>
      <c r="U147" s="66">
        <v>22.4</v>
      </c>
      <c r="V147" s="66">
        <v>19.399999999999999</v>
      </c>
      <c r="W147" s="66">
        <v>24.4</v>
      </c>
      <c r="X147" s="66">
        <v>25</v>
      </c>
      <c r="Y147" s="66">
        <v>25.6</v>
      </c>
      <c r="Z147" s="66">
        <v>25.4</v>
      </c>
      <c r="AA147" s="66">
        <v>24.4</v>
      </c>
      <c r="AB147" s="66">
        <v>21.8</v>
      </c>
      <c r="AC147" s="66"/>
      <c r="AD147" s="66">
        <v>24</v>
      </c>
      <c r="AE147" s="66">
        <v>21</v>
      </c>
      <c r="AF147" s="66">
        <v>23</v>
      </c>
      <c r="AG147" s="66">
        <v>25</v>
      </c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22</v>
      </c>
      <c r="AQ147" s="68">
        <f t="shared" si="12"/>
        <v>23.59090909090909</v>
      </c>
      <c r="AR147" s="68">
        <f>IFERROR(VLOOKUP(A147,Climatologia_TMAX!A:U,9+$E$2,FALSE),"")</f>
        <v>23.700333704115678</v>
      </c>
      <c r="AS147" s="68">
        <f t="shared" si="13"/>
        <v>-0.10942461320658836</v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>
        <v>26.2</v>
      </c>
      <c r="U148" s="66"/>
      <c r="V148" s="66">
        <v>25.2</v>
      </c>
      <c r="W148" s="66">
        <v>26.2</v>
      </c>
      <c r="X148" s="66">
        <v>27.2</v>
      </c>
      <c r="Y148" s="66">
        <v>26.2</v>
      </c>
      <c r="Z148" s="66">
        <v>27.2</v>
      </c>
      <c r="AA148" s="66">
        <v>26.2</v>
      </c>
      <c r="AB148" s="66">
        <v>27.2</v>
      </c>
      <c r="AC148" s="66">
        <v>25.4</v>
      </c>
      <c r="AD148" s="66">
        <v>27.4</v>
      </c>
      <c r="AE148" s="66">
        <v>26.2</v>
      </c>
      <c r="AF148" s="66">
        <v>27.2</v>
      </c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21</v>
      </c>
      <c r="AQ148" s="68">
        <f t="shared" si="12"/>
        <v>26.714285714285708</v>
      </c>
      <c r="AR148" s="68">
        <f>IFERROR(VLOOKUP(A148,Climatologia_TMAX!A:U,9+$E$2,FALSE),"")</f>
        <v>26.287220368310471</v>
      </c>
      <c r="AS148" s="68">
        <f t="shared" si="13"/>
        <v>0.42706534597523671</v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>
        <v>34</v>
      </c>
      <c r="T151" s="66">
        <v>35</v>
      </c>
      <c r="U151" s="66">
        <v>35</v>
      </c>
      <c r="V151" s="66">
        <v>35</v>
      </c>
      <c r="W151" s="66"/>
      <c r="X151" s="66"/>
      <c r="Y151" s="66">
        <v>36</v>
      </c>
      <c r="Z151" s="66">
        <v>36</v>
      </c>
      <c r="AA151" s="66">
        <v>28.4</v>
      </c>
      <c r="AB151" s="66">
        <v>33</v>
      </c>
      <c r="AC151" s="66">
        <v>34.799999999999997</v>
      </c>
      <c r="AD151" s="66">
        <v>33</v>
      </c>
      <c r="AE151" s="66">
        <v>32.4</v>
      </c>
      <c r="AF151" s="66">
        <v>34.6</v>
      </c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20</v>
      </c>
      <c r="AQ151" s="68">
        <f t="shared" si="12"/>
        <v>34.450000000000003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>
        <v>20.6</v>
      </c>
      <c r="U153" s="66">
        <v>22.2</v>
      </c>
      <c r="V153" s="66">
        <v>21</v>
      </c>
      <c r="W153" s="66">
        <v>22.2</v>
      </c>
      <c r="X153" s="66">
        <v>23.6</v>
      </c>
      <c r="Y153" s="66">
        <v>23.6</v>
      </c>
      <c r="Z153" s="66">
        <v>22.2</v>
      </c>
      <c r="AA153" s="66">
        <v>23</v>
      </c>
      <c r="AB153" s="66">
        <v>22</v>
      </c>
      <c r="AC153" s="66">
        <v>22.2</v>
      </c>
      <c r="AD153" s="66">
        <v>22.4</v>
      </c>
      <c r="AE153" s="66">
        <v>20.6</v>
      </c>
      <c r="AF153" s="66">
        <v>22.6</v>
      </c>
      <c r="AG153" s="66">
        <v>21.2</v>
      </c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23</v>
      </c>
      <c r="AQ153" s="68">
        <f t="shared" si="12"/>
        <v>22.130434782608695</v>
      </c>
      <c r="AR153" s="68">
        <f>IFERROR(VLOOKUP(A153,Climatologia_TMAX!A:U,9+$E$2,FALSE),"")</f>
        <v>18.654668342410279</v>
      </c>
      <c r="AS153" s="68">
        <f t="shared" si="13"/>
        <v>3.4757664401984165</v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>
        <v>18.399999999999999</v>
      </c>
      <c r="U154" s="66">
        <v>19.8</v>
      </c>
      <c r="V154" s="66">
        <v>18.2</v>
      </c>
      <c r="W154" s="66">
        <v>19.2</v>
      </c>
      <c r="X154" s="66">
        <v>21.4</v>
      </c>
      <c r="Y154" s="66">
        <v>22</v>
      </c>
      <c r="Z154" s="66">
        <v>20</v>
      </c>
      <c r="AA154" s="66">
        <v>21</v>
      </c>
      <c r="AB154" s="66">
        <v>18</v>
      </c>
      <c r="AC154" s="66">
        <v>20.2</v>
      </c>
      <c r="AD154" s="66">
        <v>20.6</v>
      </c>
      <c r="AE154" s="66">
        <v>18.600000000000001</v>
      </c>
      <c r="AF154" s="66">
        <v>20</v>
      </c>
      <c r="AG154" s="66">
        <v>19.600000000000001</v>
      </c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23</v>
      </c>
      <c r="AQ154" s="68">
        <f t="shared" si="12"/>
        <v>20.008695652173916</v>
      </c>
      <c r="AR154" s="68">
        <f>IFERROR(VLOOKUP(A154,Climatologia_TMAX!A:U,9+$E$2,FALSE),"")</f>
        <v>19.149984586047989</v>
      </c>
      <c r="AS154" s="68">
        <f t="shared" si="13"/>
        <v>0.8587110661259274</v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>
        <v>21.8</v>
      </c>
      <c r="U156" s="66">
        <v>23</v>
      </c>
      <c r="V156" s="66">
        <v>18.399999999999999</v>
      </c>
      <c r="W156" s="66">
        <v>24.2</v>
      </c>
      <c r="X156" s="66">
        <v>24.4</v>
      </c>
      <c r="Y156" s="66">
        <v>24.6</v>
      </c>
      <c r="Z156" s="66">
        <v>21.8</v>
      </c>
      <c r="AA156" s="66">
        <v>23.4</v>
      </c>
      <c r="AB156" s="66">
        <v>20.399999999999999</v>
      </c>
      <c r="AC156" s="66">
        <v>22.6</v>
      </c>
      <c r="AD156" s="66">
        <v>22.4</v>
      </c>
      <c r="AE156" s="66">
        <v>21</v>
      </c>
      <c r="AF156" s="66">
        <v>21.6</v>
      </c>
      <c r="AG156" s="66">
        <v>22.4</v>
      </c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23</v>
      </c>
      <c r="AQ156" s="68">
        <f t="shared" si="12"/>
        <v>22.521739130434781</v>
      </c>
      <c r="AR156" s="68">
        <f>IFERROR(VLOOKUP(A156,Climatologia_TMAX!A:U,9+$E$2,FALSE),"")</f>
        <v>21.836735879372139</v>
      </c>
      <c r="AS156" s="68">
        <f t="shared" si="13"/>
        <v>0.6850032510626427</v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>
        <v>24.6</v>
      </c>
      <c r="U158" s="66">
        <v>25</v>
      </c>
      <c r="V158" s="66">
        <v>22</v>
      </c>
      <c r="W158" s="66">
        <v>26</v>
      </c>
      <c r="X158" s="66">
        <v>26.2</v>
      </c>
      <c r="Y158" s="66">
        <v>26.8</v>
      </c>
      <c r="Z158" s="66">
        <v>24.8</v>
      </c>
      <c r="AA158" s="66">
        <v>25</v>
      </c>
      <c r="AB158" s="66">
        <v>23.4</v>
      </c>
      <c r="AC158" s="66">
        <v>25.2</v>
      </c>
      <c r="AD158" s="66">
        <v>25.6</v>
      </c>
      <c r="AE158" s="66">
        <v>23</v>
      </c>
      <c r="AF158" s="66">
        <v>25.8</v>
      </c>
      <c r="AG158" s="66">
        <v>24.8</v>
      </c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23</v>
      </c>
      <c r="AQ158" s="68">
        <f t="shared" si="12"/>
        <v>24.869565217391301</v>
      </c>
      <c r="AR158" s="68">
        <f>IFERROR(VLOOKUP(A158,Climatologia_TMAX!A:U,9+$E$2,FALSE),"")</f>
        <v>24.249334588288981</v>
      </c>
      <c r="AS158" s="68">
        <f t="shared" si="13"/>
        <v>0.62023062910231985</v>
      </c>
      <c r="AT158" s="74">
        <f t="shared" si="14"/>
        <v>26.8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>
        <v>30.2</v>
      </c>
      <c r="U160" s="66">
        <v>29.8</v>
      </c>
      <c r="V160" s="66">
        <v>31.2</v>
      </c>
      <c r="W160" s="66">
        <v>33</v>
      </c>
      <c r="X160" s="66">
        <v>33.799999999999997</v>
      </c>
      <c r="Y160" s="66">
        <v>32.200000000000003</v>
      </c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15</v>
      </c>
      <c r="AQ160" s="68">
        <f t="shared" si="12"/>
        <v>31.986666666666668</v>
      </c>
      <c r="AR160" s="68">
        <f>IFERROR(VLOOKUP(A160,Climatologia_TMAX!A:U,9+$E$2,FALSE),"")</f>
        <v>29.71458941824261</v>
      </c>
      <c r="AS160" s="68">
        <f t="shared" si="13"/>
        <v>2.2720772484240577</v>
      </c>
      <c r="AT160" s="74">
        <f t="shared" si="14"/>
        <v>33.799999999999997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>
        <v>21.6</v>
      </c>
      <c r="U164" s="109">
        <v>19.8</v>
      </c>
      <c r="V164" s="66">
        <v>18.8</v>
      </c>
      <c r="W164" s="66">
        <v>16</v>
      </c>
      <c r="X164" s="66">
        <v>19</v>
      </c>
      <c r="Y164" s="66">
        <v>20.8</v>
      </c>
      <c r="Z164" s="66">
        <v>17.2</v>
      </c>
      <c r="AA164" s="66">
        <v>18.8</v>
      </c>
      <c r="AB164" s="66">
        <v>21.8</v>
      </c>
      <c r="AC164" s="66">
        <v>23.4</v>
      </c>
      <c r="AD164" s="66">
        <v>21.6</v>
      </c>
      <c r="AE164" s="66">
        <v>19</v>
      </c>
      <c r="AF164" s="66">
        <v>22</v>
      </c>
      <c r="AG164" s="66">
        <v>18.600000000000001</v>
      </c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23</v>
      </c>
      <c r="AQ164" s="68">
        <f t="shared" si="12"/>
        <v>20.07826086956522</v>
      </c>
      <c r="AR164" s="68">
        <f>IFERROR(VLOOKUP(A164,Climatologia_TMAX!A:U,9+$E$2,FALSE),"")</f>
        <v>17.920674115362662</v>
      </c>
      <c r="AS164" s="68">
        <f t="shared" si="13"/>
        <v>2.1575867542025584</v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>
        <v>18.8</v>
      </c>
      <c r="S165" s="66">
        <v>18.399999999999999</v>
      </c>
      <c r="T165" s="66">
        <v>17.8</v>
      </c>
      <c r="U165" s="66">
        <v>16.2</v>
      </c>
      <c r="V165" s="66">
        <v>16.8</v>
      </c>
      <c r="W165" s="66">
        <v>16.399999999999999</v>
      </c>
      <c r="X165" s="66">
        <v>16</v>
      </c>
      <c r="Y165" s="66">
        <v>16.399999999999999</v>
      </c>
      <c r="Z165" s="66">
        <v>16.8</v>
      </c>
      <c r="AA165" s="66">
        <v>16.8</v>
      </c>
      <c r="AB165" s="66">
        <v>17</v>
      </c>
      <c r="AC165" s="66">
        <v>17</v>
      </c>
      <c r="AD165" s="66">
        <v>15</v>
      </c>
      <c r="AE165" s="66">
        <v>15.4</v>
      </c>
      <c r="AF165" s="66">
        <v>16</v>
      </c>
      <c r="AG165" s="66">
        <v>16.399999999999999</v>
      </c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23</v>
      </c>
      <c r="AQ165" s="68">
        <f t="shared" si="12"/>
        <v>16.68695652173913</v>
      </c>
      <c r="AR165" s="68">
        <f>IFERROR(VLOOKUP(A165,Climatologia_TMAX!A:U,9+$E$2,FALSE),"")</f>
        <v>15.000064516129029</v>
      </c>
      <c r="AS165" s="68">
        <f t="shared" si="13"/>
        <v>1.6868920056101011</v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>
        <v>18.8</v>
      </c>
      <c r="U166" s="66">
        <v>16</v>
      </c>
      <c r="V166" s="66">
        <v>16.399999999999999</v>
      </c>
      <c r="W166" s="66">
        <v>19.2</v>
      </c>
      <c r="X166" s="66">
        <v>19.600000000000001</v>
      </c>
      <c r="Y166" s="66">
        <v>17.600000000000001</v>
      </c>
      <c r="Z166" s="66">
        <v>15.7</v>
      </c>
      <c r="AA166" s="66">
        <v>15.8</v>
      </c>
      <c r="AB166" s="66">
        <v>16.8</v>
      </c>
      <c r="AC166" s="66">
        <v>19</v>
      </c>
      <c r="AD166" s="66">
        <v>18.2</v>
      </c>
      <c r="AE166" s="66">
        <v>15.8</v>
      </c>
      <c r="AF166" s="66">
        <v>18.2</v>
      </c>
      <c r="AG166" s="66">
        <v>16.5</v>
      </c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23</v>
      </c>
      <c r="AQ166" s="68">
        <f t="shared" si="12"/>
        <v>17.547826086956519</v>
      </c>
      <c r="AR166" s="68">
        <f>IFERROR(VLOOKUP(A166,Climatologia_TMAX!A:U,9+$E$2,FALSE),"")</f>
        <v>16.482139196613019</v>
      </c>
      <c r="AS166" s="68">
        <f t="shared" si="13"/>
        <v>1.0656868903434997</v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>
        <v>19.2</v>
      </c>
      <c r="U167" s="109">
        <v>17.2</v>
      </c>
      <c r="V167" s="66">
        <v>16.399999999999999</v>
      </c>
      <c r="W167" s="66">
        <v>15.8</v>
      </c>
      <c r="X167" s="66">
        <v>18.2</v>
      </c>
      <c r="Y167" s="66">
        <v>18.2</v>
      </c>
      <c r="Z167" s="66">
        <v>15</v>
      </c>
      <c r="AA167" s="66">
        <v>17.600000000000001</v>
      </c>
      <c r="AB167" s="66">
        <v>19.8</v>
      </c>
      <c r="AC167" s="66">
        <v>20.399999999999999</v>
      </c>
      <c r="AD167" s="66">
        <v>17.2</v>
      </c>
      <c r="AE167" s="66">
        <v>17.399999999999999</v>
      </c>
      <c r="AF167" s="66">
        <v>20.100000000000001</v>
      </c>
      <c r="AG167" s="66">
        <v>18.399999999999999</v>
      </c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23</v>
      </c>
      <c r="AQ167" s="68">
        <f t="shared" si="12"/>
        <v>17.665217391304346</v>
      </c>
      <c r="AR167" s="68">
        <f>IFERROR(VLOOKUP(A167,Climatologia_TMAX!A:U,9+$E$2,FALSE),"")</f>
        <v>16.434784946236562</v>
      </c>
      <c r="AS167" s="68">
        <f t="shared" si="13"/>
        <v>1.2304324450677839</v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>
        <v>25.2</v>
      </c>
      <c r="U168" s="109">
        <v>22.6</v>
      </c>
      <c r="V168" s="66">
        <v>22.4</v>
      </c>
      <c r="W168" s="66">
        <v>22.4</v>
      </c>
      <c r="X168" s="66">
        <v>23.8</v>
      </c>
      <c r="Y168" s="66">
        <v>23.8</v>
      </c>
      <c r="Z168" s="66">
        <v>21.8</v>
      </c>
      <c r="AA168" s="66">
        <v>22</v>
      </c>
      <c r="AB168" s="66">
        <v>25.4</v>
      </c>
      <c r="AC168" s="66">
        <v>25.8</v>
      </c>
      <c r="AD168" s="66">
        <v>24.2</v>
      </c>
      <c r="AE168" s="66">
        <v>20.8</v>
      </c>
      <c r="AF168" s="66">
        <v>25.4</v>
      </c>
      <c r="AG168" s="66">
        <v>23.2</v>
      </c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23</v>
      </c>
      <c r="AQ168" s="68">
        <f t="shared" si="12"/>
        <v>23.504347826086956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>
        <v>24.4</v>
      </c>
      <c r="U172" s="66">
        <v>24.6</v>
      </c>
      <c r="V172" s="66">
        <v>19.399999999999999</v>
      </c>
      <c r="W172" s="66">
        <v>18.399999999999999</v>
      </c>
      <c r="X172" s="66">
        <v>21.6</v>
      </c>
      <c r="Y172" s="66">
        <v>24.8</v>
      </c>
      <c r="Z172" s="66">
        <v>22.6</v>
      </c>
      <c r="AA172" s="66">
        <v>22.8</v>
      </c>
      <c r="AB172" s="66">
        <v>26.6</v>
      </c>
      <c r="AC172" s="66">
        <v>23.6</v>
      </c>
      <c r="AD172" s="66">
        <v>24.4</v>
      </c>
      <c r="AE172" s="66">
        <v>20.8</v>
      </c>
      <c r="AF172" s="66">
        <v>24.6</v>
      </c>
      <c r="AG172" s="66">
        <v>24.4</v>
      </c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23</v>
      </c>
      <c r="AQ172" s="68">
        <f t="shared" si="12"/>
        <v>23.295652173913048</v>
      </c>
      <c r="AR172" s="68">
        <f>IFERROR(VLOOKUP(A172,Climatologia_TMAX!A:U,9+$E$2,FALSE),"")</f>
        <v>20.925136024421342</v>
      </c>
      <c r="AS172" s="68">
        <f t="shared" si="13"/>
        <v>2.3705161494917064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>
        <v>23.4</v>
      </c>
      <c r="U173" s="66">
        <v>22.2</v>
      </c>
      <c r="V173" s="66">
        <v>22.6</v>
      </c>
      <c r="W173" s="66">
        <v>23.6</v>
      </c>
      <c r="X173" s="66">
        <v>24</v>
      </c>
      <c r="Y173" s="66">
        <v>23.6</v>
      </c>
      <c r="Z173" s="66">
        <v>21.2</v>
      </c>
      <c r="AA173" s="66">
        <v>19.399999999999999</v>
      </c>
      <c r="AB173" s="66">
        <v>20.6</v>
      </c>
      <c r="AC173" s="66">
        <v>24.4</v>
      </c>
      <c r="AD173" s="66">
        <v>22.2</v>
      </c>
      <c r="AE173" s="66">
        <v>19</v>
      </c>
      <c r="AF173" s="66">
        <v>21.6</v>
      </c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22</v>
      </c>
      <c r="AQ173" s="68">
        <f t="shared" si="12"/>
        <v>22.127272727272729</v>
      </c>
      <c r="AR173" s="68">
        <f>IFERROR(VLOOKUP(A173,Climatologia_TMAX!A:U,9+$E$2,FALSE),"")</f>
        <v>21.08840053763441</v>
      </c>
      <c r="AS173" s="68">
        <f t="shared" si="13"/>
        <v>1.0388721896383188</v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>
        <v>20.399999999999999</v>
      </c>
      <c r="U175" s="109">
        <v>18.399999999999999</v>
      </c>
      <c r="V175" s="66">
        <v>18.3</v>
      </c>
      <c r="W175" s="66">
        <v>16.399999999999999</v>
      </c>
      <c r="X175" s="66">
        <v>19.600000000000001</v>
      </c>
      <c r="Y175" s="66">
        <v>20.399999999999999</v>
      </c>
      <c r="Z175" s="66">
        <v>17.399999999999999</v>
      </c>
      <c r="AA175" s="66">
        <v>19</v>
      </c>
      <c r="AB175" s="66">
        <v>21.6</v>
      </c>
      <c r="AC175" s="66">
        <v>22.1</v>
      </c>
      <c r="AD175" s="66">
        <v>20</v>
      </c>
      <c r="AE175" s="66">
        <v>19</v>
      </c>
      <c r="AF175" s="66">
        <v>21</v>
      </c>
      <c r="AG175" s="66">
        <v>18.8</v>
      </c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23</v>
      </c>
      <c r="AQ175" s="68">
        <f t="shared" si="12"/>
        <v>19.852173913043483</v>
      </c>
      <c r="AR175" s="68">
        <f>IFERROR(VLOOKUP(A175,Climatologia_TMAX!A:U,9+$E$2,FALSE),"")</f>
        <v>18.033624191488482</v>
      </c>
      <c r="AS175" s="68">
        <f t="shared" si="13"/>
        <v>1.8185497215550015</v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>
        <v>20.399999999999999</v>
      </c>
      <c r="U176" s="109">
        <v>19.899999999999999</v>
      </c>
      <c r="V176" s="109">
        <v>16.600000000000001</v>
      </c>
      <c r="W176" s="66">
        <v>15.7</v>
      </c>
      <c r="X176" s="66">
        <v>20.3</v>
      </c>
      <c r="Y176" s="66">
        <v>23.5</v>
      </c>
      <c r="Z176" s="66">
        <v>18.7</v>
      </c>
      <c r="AA176" s="66">
        <v>19.2</v>
      </c>
      <c r="AB176" s="66">
        <v>22.3</v>
      </c>
      <c r="AC176" s="66">
        <v>20.399999999999999</v>
      </c>
      <c r="AD176" s="66">
        <v>20.6</v>
      </c>
      <c r="AE176" s="66">
        <v>16.2</v>
      </c>
      <c r="AF176" s="66">
        <v>21.4</v>
      </c>
      <c r="AG176" s="66">
        <v>21.2</v>
      </c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23</v>
      </c>
      <c r="AQ176" s="68">
        <f t="shared" si="12"/>
        <v>19.656521739130433</v>
      </c>
      <c r="AR176" s="68">
        <f>IFERROR(VLOOKUP(A176,Climatologia_TMAX!A:U,9+$E$2,FALSE),"")</f>
        <v>18.320838709677421</v>
      </c>
      <c r="AS176" s="68">
        <f t="shared" si="13"/>
        <v>1.335683029453012</v>
      </c>
      <c r="AT176" s="74">
        <f t="shared" si="14"/>
        <v>23.5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-0.10000000000000142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>
        <v>33</v>
      </c>
      <c r="U178" s="66">
        <v>32.6</v>
      </c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2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>
        <f t="shared" si="14"/>
        <v>33</v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>
        <f t="shared" si="15"/>
        <v>-3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>
        <v>26.4</v>
      </c>
      <c r="U180" s="109">
        <v>24.8</v>
      </c>
      <c r="V180" s="66">
        <v>20.6</v>
      </c>
      <c r="W180" s="66">
        <v>20</v>
      </c>
      <c r="X180" s="66">
        <v>24.2</v>
      </c>
      <c r="Y180" s="66">
        <v>25.2</v>
      </c>
      <c r="Z180" s="66">
        <v>23.4</v>
      </c>
      <c r="AA180" s="66">
        <v>24.2</v>
      </c>
      <c r="AB180" s="66">
        <v>27.2</v>
      </c>
      <c r="AC180" s="66">
        <v>26.8</v>
      </c>
      <c r="AD180" s="66">
        <v>26</v>
      </c>
      <c r="AE180" s="66">
        <v>22.4</v>
      </c>
      <c r="AF180" s="66">
        <v>27.2</v>
      </c>
      <c r="AG180" s="66">
        <v>25.6</v>
      </c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23</v>
      </c>
      <c r="AQ180" s="68">
        <f t="shared" si="12"/>
        <v>24.886956521739133</v>
      </c>
      <c r="AR180" s="68">
        <f>IFERROR(VLOOKUP(A180,Climatologia_TMAX!A:U,9+$E$2,FALSE),"")</f>
        <v>22.510462148622612</v>
      </c>
      <c r="AS180" s="68">
        <f t="shared" si="13"/>
        <v>2.3764943731165218</v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>
        <v>21.8</v>
      </c>
      <c r="U181" s="109">
        <v>19.899999999999999</v>
      </c>
      <c r="V181" s="66">
        <v>18.899999999999999</v>
      </c>
      <c r="W181" s="66">
        <v>18</v>
      </c>
      <c r="X181" s="66">
        <v>20.3</v>
      </c>
      <c r="Y181" s="66">
        <v>19</v>
      </c>
      <c r="Z181" s="66">
        <v>17.8</v>
      </c>
      <c r="AA181" s="66">
        <v>20</v>
      </c>
      <c r="AB181" s="66">
        <v>21</v>
      </c>
      <c r="AC181" s="66">
        <v>23.8</v>
      </c>
      <c r="AD181" s="66">
        <v>20.2</v>
      </c>
      <c r="AE181" s="66">
        <v>20</v>
      </c>
      <c r="AF181" s="66">
        <v>21.6</v>
      </c>
      <c r="AG181" s="66">
        <v>20.9</v>
      </c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23</v>
      </c>
      <c r="AQ181" s="68">
        <f t="shared" si="12"/>
        <v>20.260869565217391</v>
      </c>
      <c r="AR181" s="68">
        <f>IFERROR(VLOOKUP(A181,Climatologia_TMAX!A:U,9+$E$2,FALSE),"")</f>
        <v>18.09181003584229</v>
      </c>
      <c r="AS181" s="68">
        <f t="shared" si="13"/>
        <v>2.1690595293751009</v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>
        <v>24.4</v>
      </c>
      <c r="U182" s="66">
        <v>23.6</v>
      </c>
      <c r="V182" s="66">
        <v>22</v>
      </c>
      <c r="W182" s="66">
        <v>21.8</v>
      </c>
      <c r="X182" s="66">
        <v>25</v>
      </c>
      <c r="Y182" s="66">
        <v>29.2</v>
      </c>
      <c r="Z182" s="66">
        <v>27.8</v>
      </c>
      <c r="AA182" s="66">
        <v>26</v>
      </c>
      <c r="AB182" s="66">
        <v>27</v>
      </c>
      <c r="AC182" s="66">
        <v>26</v>
      </c>
      <c r="AD182" s="66">
        <v>24.4</v>
      </c>
      <c r="AE182" s="66">
        <v>22.8</v>
      </c>
      <c r="AF182" s="66">
        <v>26.4</v>
      </c>
      <c r="AG182" s="66">
        <v>24.2</v>
      </c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21</v>
      </c>
      <c r="AQ182" s="68">
        <f t="shared" si="12"/>
        <v>24.257142857142856</v>
      </c>
      <c r="AR182" s="68">
        <f>IFERROR(VLOOKUP(A182,Climatologia_TMAX!A:U,9+$E$2,FALSE),"")</f>
        <v>23.355345243770479</v>
      </c>
      <c r="AS182" s="68">
        <f t="shared" si="13"/>
        <v>0.90179761337237707</v>
      </c>
      <c r="AT182" s="74">
        <f t="shared" si="14"/>
        <v>29.2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>
        <v>27.6</v>
      </c>
      <c r="U183" s="66">
        <v>26.8</v>
      </c>
      <c r="V183" s="66">
        <v>25.8</v>
      </c>
      <c r="W183" s="66">
        <v>25</v>
      </c>
      <c r="X183" s="66">
        <v>28.4</v>
      </c>
      <c r="Y183" s="66">
        <v>31.8</v>
      </c>
      <c r="Z183" s="66">
        <v>25</v>
      </c>
      <c r="AA183" s="66">
        <v>28</v>
      </c>
      <c r="AB183" s="66">
        <v>29.4</v>
      </c>
      <c r="AC183" s="109">
        <v>29.8</v>
      </c>
      <c r="AD183" s="66">
        <v>28.2</v>
      </c>
      <c r="AE183" s="66">
        <v>24.8</v>
      </c>
      <c r="AF183" s="66">
        <v>30.2</v>
      </c>
      <c r="AG183" s="66">
        <v>31.6</v>
      </c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23</v>
      </c>
      <c r="AQ183" s="68">
        <f t="shared" si="12"/>
        <v>27.85217391304348</v>
      </c>
      <c r="AR183" s="68">
        <f>IFERROR(VLOOKUP(A183,Climatologia_TMAX!A:U,9+$E$2,FALSE),"")</f>
        <v>26.266167047635339</v>
      </c>
      <c r="AS183" s="68">
        <f t="shared" si="13"/>
        <v>1.586006865408141</v>
      </c>
      <c r="AT183" s="74">
        <f t="shared" si="14"/>
        <v>31.8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0.40000000000000213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>
        <v>17.600000000000001</v>
      </c>
      <c r="U184" s="109">
        <v>15.8</v>
      </c>
      <c r="V184" s="66">
        <v>18.8</v>
      </c>
      <c r="W184" s="66">
        <v>17.399999999999999</v>
      </c>
      <c r="X184" s="66">
        <v>16.2</v>
      </c>
      <c r="Y184" s="66">
        <v>20.6</v>
      </c>
      <c r="Z184" s="66">
        <v>18.600000000000001</v>
      </c>
      <c r="AA184" s="66">
        <v>15</v>
      </c>
      <c r="AB184" s="66">
        <v>17.600000000000001</v>
      </c>
      <c r="AC184" s="66">
        <v>18.8</v>
      </c>
      <c r="AD184" s="66">
        <v>18.600000000000001</v>
      </c>
      <c r="AE184" s="66">
        <v>15.8</v>
      </c>
      <c r="AF184" s="66">
        <v>18.399999999999999</v>
      </c>
      <c r="AG184" s="66">
        <v>18</v>
      </c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23</v>
      </c>
      <c r="AQ184" s="68">
        <f t="shared" si="12"/>
        <v>18.008695652173916</v>
      </c>
      <c r="AR184" s="68">
        <f>IFERROR(VLOOKUP(A184,Climatologia_TMAX!A:U,9+$E$2,FALSE),"")</f>
        <v>16.32516129032258</v>
      </c>
      <c r="AS184" s="68">
        <f t="shared" si="13"/>
        <v>1.6835343618513363</v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>
        <v>29.4</v>
      </c>
      <c r="T185" s="66">
        <v>29</v>
      </c>
      <c r="U185" s="66">
        <v>29.8</v>
      </c>
      <c r="V185" s="66">
        <v>27.4</v>
      </c>
      <c r="W185" s="66">
        <v>24.2</v>
      </c>
      <c r="X185" s="66">
        <v>30.4</v>
      </c>
      <c r="Y185" s="66">
        <v>30</v>
      </c>
      <c r="Z185" s="66">
        <v>30.2</v>
      </c>
      <c r="AA185" s="66">
        <v>28.4</v>
      </c>
      <c r="AB185" s="66">
        <v>25.2</v>
      </c>
      <c r="AC185" s="66">
        <v>30.8</v>
      </c>
      <c r="AD185" s="66">
        <v>30.6</v>
      </c>
      <c r="AE185" s="66">
        <v>27.2</v>
      </c>
      <c r="AF185" s="66">
        <v>29.4</v>
      </c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22</v>
      </c>
      <c r="AQ185" s="68">
        <f t="shared" si="12"/>
        <v>29.309090909090909</v>
      </c>
      <c r="AR185" s="68">
        <f>IFERROR(VLOOKUP(A185,Climatologia_TMAX!A:U,9+$E$2,FALSE),"")</f>
        <v>27.139364605694318</v>
      </c>
      <c r="AS185" s="68">
        <f t="shared" si="13"/>
        <v>2.1697263033965903</v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>
        <v>23.2</v>
      </c>
      <c r="U187" s="66">
        <v>26.2</v>
      </c>
      <c r="V187" s="66">
        <v>23.6</v>
      </c>
      <c r="W187" s="66">
        <v>21.2</v>
      </c>
      <c r="X187" s="66">
        <v>27</v>
      </c>
      <c r="Y187" s="66">
        <v>26.6</v>
      </c>
      <c r="Z187" s="66">
        <v>24.8</v>
      </c>
      <c r="AA187" s="66">
        <v>25.8</v>
      </c>
      <c r="AB187" s="66">
        <v>24.6</v>
      </c>
      <c r="AC187" s="66">
        <v>26</v>
      </c>
      <c r="AD187" s="66">
        <v>26.6</v>
      </c>
      <c r="AE187" s="66">
        <v>24.2</v>
      </c>
      <c r="AF187" s="66"/>
      <c r="AG187" s="66">
        <v>28.2</v>
      </c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22</v>
      </c>
      <c r="AQ187" s="68">
        <f t="shared" si="12"/>
        <v>25.372727272727278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>
        <v>16.399999999999999</v>
      </c>
      <c r="U188" s="66">
        <v>15.4</v>
      </c>
      <c r="V188" s="66">
        <v>11.6</v>
      </c>
      <c r="W188" s="66">
        <v>11.8</v>
      </c>
      <c r="X188" s="66">
        <v>14.4</v>
      </c>
      <c r="Y188" s="66">
        <v>17.2</v>
      </c>
      <c r="Z188" s="66">
        <v>15.4</v>
      </c>
      <c r="AA188" s="66">
        <v>16.2</v>
      </c>
      <c r="AB188" s="66">
        <v>12.2</v>
      </c>
      <c r="AC188" s="109">
        <v>15.6</v>
      </c>
      <c r="AD188" s="66">
        <v>15.4</v>
      </c>
      <c r="AE188" s="66">
        <v>12</v>
      </c>
      <c r="AF188" s="66">
        <v>13.8</v>
      </c>
      <c r="AG188" s="66">
        <v>15.2</v>
      </c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23</v>
      </c>
      <c r="AQ188" s="68">
        <f t="shared" si="12"/>
        <v>14.965217391304348</v>
      </c>
      <c r="AR188" s="68">
        <f>IFERROR(VLOOKUP(A188,Climatologia_TMAX!A:U,9+$E$2,FALSE),"")</f>
        <v>13.780248424174999</v>
      </c>
      <c r="AS188" s="68">
        <f t="shared" si="13"/>
        <v>1.1849689671293486</v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>
        <v>36.6</v>
      </c>
      <c r="U191" s="66">
        <v>37</v>
      </c>
      <c r="V191" s="66">
        <v>32.799999999999997</v>
      </c>
      <c r="W191" s="66">
        <v>30</v>
      </c>
      <c r="X191" s="66">
        <v>35</v>
      </c>
      <c r="Y191" s="66">
        <v>36.4</v>
      </c>
      <c r="Z191" s="66">
        <v>36</v>
      </c>
      <c r="AA191" s="66">
        <v>35</v>
      </c>
      <c r="AB191" s="66">
        <v>36</v>
      </c>
      <c r="AC191" s="66">
        <v>37.4</v>
      </c>
      <c r="AD191" s="66">
        <v>37</v>
      </c>
      <c r="AE191" s="66">
        <v>34.6</v>
      </c>
      <c r="AF191" s="66">
        <v>37.799999999999997</v>
      </c>
      <c r="AG191" s="66">
        <v>37.200000000000003</v>
      </c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22</v>
      </c>
      <c r="AQ191" s="68">
        <f t="shared" si="12"/>
        <v>35.881818181818183</v>
      </c>
      <c r="AR191" s="68">
        <f>IFERROR(VLOOKUP(A191,Climatologia_TMAX!A:U,9+$E$2,FALSE),"")</f>
        <v>33.494984575088907</v>
      </c>
      <c r="AS191" s="68">
        <f t="shared" si="13"/>
        <v>2.3868336067292759</v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>
        <v>29.6</v>
      </c>
      <c r="U192" s="66">
        <v>30.6</v>
      </c>
      <c r="V192" s="66">
        <v>28.8</v>
      </c>
      <c r="W192" s="66">
        <v>27</v>
      </c>
      <c r="X192" s="66">
        <v>31.8</v>
      </c>
      <c r="Y192" s="66">
        <v>32.200000000000003</v>
      </c>
      <c r="Z192" s="66">
        <v>32</v>
      </c>
      <c r="AA192" s="66">
        <v>29.6</v>
      </c>
      <c r="AB192" s="66">
        <v>24.2</v>
      </c>
      <c r="AC192" s="66">
        <v>30.8</v>
      </c>
      <c r="AD192" s="66">
        <v>32.200000000000003</v>
      </c>
      <c r="AE192" s="66">
        <v>27.6</v>
      </c>
      <c r="AF192" s="66">
        <v>30.8</v>
      </c>
      <c r="AG192" s="66">
        <v>30.4</v>
      </c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23</v>
      </c>
      <c r="AQ192" s="68">
        <f t="shared" si="12"/>
        <v>30.130434782608695</v>
      </c>
      <c r="AR192" s="68">
        <f>IFERROR(VLOOKUP(A192,Climatologia_TMAX!A:U,9+$E$2,FALSE),"")</f>
        <v>29.990322580645159</v>
      </c>
      <c r="AS192" s="68">
        <f t="shared" si="13"/>
        <v>0.14011220196353591</v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-1.5999999999999943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>
        <v>30.8</v>
      </c>
      <c r="U193" s="113">
        <v>33.799999999999997</v>
      </c>
      <c r="V193" s="66">
        <v>30.4</v>
      </c>
      <c r="W193" s="66">
        <v>28.6</v>
      </c>
      <c r="X193" s="66">
        <v>33</v>
      </c>
      <c r="Y193" s="66">
        <v>35.200000000000003</v>
      </c>
      <c r="Z193" s="66">
        <v>30</v>
      </c>
      <c r="AA193" s="66">
        <v>30.8</v>
      </c>
      <c r="AB193" s="66">
        <v>27.8</v>
      </c>
      <c r="AC193" s="66">
        <v>31.4</v>
      </c>
      <c r="AD193" s="66">
        <v>33.799999999999997</v>
      </c>
      <c r="AE193" s="66">
        <v>32.200000000000003</v>
      </c>
      <c r="AF193" s="66">
        <v>33</v>
      </c>
      <c r="AG193" s="66">
        <v>34.200000000000003</v>
      </c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23</v>
      </c>
      <c r="AQ193" s="68">
        <f t="shared" si="12"/>
        <v>32.043478260869563</v>
      </c>
      <c r="AR193" s="68">
        <f>IFERROR(VLOOKUP(A193,Climatologia_TMAX!A:U,9+$E$2,FALSE),"")</f>
        <v>31.708777208074711</v>
      </c>
      <c r="AS193" s="68">
        <f t="shared" si="13"/>
        <v>0.33470105279485196</v>
      </c>
      <c r="AT193" s="74">
        <f t="shared" si="14"/>
        <v>35.200000000000003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-0.79999999999999716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>
        <v>32.4</v>
      </c>
      <c r="U194" s="66">
        <v>36.200000000000003</v>
      </c>
      <c r="V194" s="66">
        <v>31.2</v>
      </c>
      <c r="W194" s="66">
        <v>30.6</v>
      </c>
      <c r="X194" s="66">
        <v>34.4</v>
      </c>
      <c r="Y194" s="66">
        <v>35.4</v>
      </c>
      <c r="Z194" s="66">
        <v>34.6</v>
      </c>
      <c r="AA194" s="66">
        <v>32.6</v>
      </c>
      <c r="AB194" s="66">
        <v>34.200000000000003</v>
      </c>
      <c r="AC194" s="66">
        <v>35.200000000000003</v>
      </c>
      <c r="AD194" s="66">
        <v>35</v>
      </c>
      <c r="AE194" s="66">
        <v>31.2</v>
      </c>
      <c r="AF194" s="66">
        <v>34.4</v>
      </c>
      <c r="AG194" s="66">
        <v>35</v>
      </c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23</v>
      </c>
      <c r="AQ194" s="68">
        <f t="shared" si="12"/>
        <v>34.304347826086961</v>
      </c>
      <c r="AR194" s="68">
        <f>IFERROR(VLOOKUP(A194,Climatologia_TMAX!A:U,9+$E$2,FALSE),"")</f>
        <v>32.4496281338239</v>
      </c>
      <c r="AS194" s="68">
        <f t="shared" si="13"/>
        <v>1.8547196922630604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>
        <v>32.799999999999997</v>
      </c>
      <c r="T197" s="66">
        <v>31.8</v>
      </c>
      <c r="U197" s="66">
        <v>34.200000000000003</v>
      </c>
      <c r="V197" s="66">
        <v>31.6</v>
      </c>
      <c r="W197" s="66">
        <v>27</v>
      </c>
      <c r="X197" s="66">
        <v>33.200000000000003</v>
      </c>
      <c r="Y197" s="66">
        <v>34.799999999999997</v>
      </c>
      <c r="Z197" s="66">
        <v>32.799999999999997</v>
      </c>
      <c r="AA197" s="66">
        <v>31.8</v>
      </c>
      <c r="AB197" s="66">
        <v>29.8</v>
      </c>
      <c r="AC197" s="66">
        <v>32.4</v>
      </c>
      <c r="AD197" s="66">
        <v>34.200000000000003</v>
      </c>
      <c r="AE197" s="66">
        <v>32.200000000000003</v>
      </c>
      <c r="AF197" s="66">
        <v>31.8</v>
      </c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21</v>
      </c>
      <c r="AQ197" s="68">
        <f t="shared" ref="AQ197:AQ260" si="17">IF(AP197&gt;14,AVERAGE(K197:AO197),"")</f>
        <v>32.466666666666669</v>
      </c>
      <c r="AR197" s="68">
        <f>IFERROR(VLOOKUP(A197,Climatologia_TMAX!A:U,9+$E$2,FALSE),"")</f>
        <v>32.510170070423683</v>
      </c>
      <c r="AS197" s="68">
        <f t="shared" ref="AS197:AS260" si="18">IF(OR(AQ197="",AR197=""),"",IFERROR(AQ197-AR197,""))</f>
        <v>-4.350340375701478E-2</v>
      </c>
      <c r="AT197" s="74">
        <f t="shared" ref="AT197:AT260" si="19">IF(COUNT(K197:AO197)=0,"",MAX(K197:AO197))</f>
        <v>34.799999999999997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-1.8000000000000043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>
        <v>32.799999999999997</v>
      </c>
      <c r="U199" s="66">
        <v>35</v>
      </c>
      <c r="V199" s="66">
        <v>30</v>
      </c>
      <c r="W199" s="66">
        <v>33</v>
      </c>
      <c r="X199" s="66">
        <v>34</v>
      </c>
      <c r="Y199" s="66">
        <v>35.6</v>
      </c>
      <c r="Z199" s="66">
        <v>34.6</v>
      </c>
      <c r="AA199" s="66">
        <v>32.4</v>
      </c>
      <c r="AB199" s="66">
        <v>27</v>
      </c>
      <c r="AC199" s="66">
        <v>33</v>
      </c>
      <c r="AD199" s="66">
        <v>35</v>
      </c>
      <c r="AE199" s="66">
        <v>31.8</v>
      </c>
      <c r="AF199" s="66">
        <v>34.799999999999997</v>
      </c>
      <c r="AG199" s="66">
        <v>35.200000000000003</v>
      </c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23</v>
      </c>
      <c r="AQ199" s="68">
        <f t="shared" si="17"/>
        <v>33.573913043478257</v>
      </c>
      <c r="AR199" s="68">
        <f>IFERROR(VLOOKUP(A199,Climatologia_TMAX!A:U,9+$E$2,FALSE),"")</f>
        <v>31.034799102674029</v>
      </c>
      <c r="AS199" s="68">
        <f t="shared" si="18"/>
        <v>2.5391139408042278</v>
      </c>
      <c r="AT199" s="74">
        <f t="shared" si="19"/>
        <v>35.6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>
        <v>18</v>
      </c>
      <c r="U200" s="66">
        <v>19</v>
      </c>
      <c r="V200" s="66">
        <v>16</v>
      </c>
      <c r="W200" s="66">
        <v>16.8</v>
      </c>
      <c r="X200" s="66">
        <v>19.8</v>
      </c>
      <c r="Y200" s="66">
        <v>23</v>
      </c>
      <c r="Z200" s="66">
        <v>21</v>
      </c>
      <c r="AA200" s="66">
        <v>18</v>
      </c>
      <c r="AB200" s="66">
        <v>18.8</v>
      </c>
      <c r="AC200" s="66">
        <v>20.399999999999999</v>
      </c>
      <c r="AD200" s="66">
        <v>21</v>
      </c>
      <c r="AE200" s="66">
        <v>18.399999999999999</v>
      </c>
      <c r="AF200" s="66">
        <v>21</v>
      </c>
      <c r="AG200" s="66">
        <v>20.6</v>
      </c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23</v>
      </c>
      <c r="AQ200" s="68">
        <f t="shared" si="17"/>
        <v>19.460869565217394</v>
      </c>
      <c r="AR200" s="68">
        <f>IFERROR(VLOOKUP(A200,Climatologia_TMAX!A:U,9+$E$2,FALSE),"")</f>
        <v>17.850480506461221</v>
      </c>
      <c r="AS200" s="68">
        <f t="shared" si="18"/>
        <v>1.6103890587561729</v>
      </c>
      <c r="AT200" s="74">
        <f t="shared" si="19"/>
        <v>23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1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>
        <v>20.8</v>
      </c>
      <c r="U203" s="66">
        <v>22.4</v>
      </c>
      <c r="V203" s="66">
        <v>19.399999999999999</v>
      </c>
      <c r="W203" s="66">
        <v>17.8</v>
      </c>
      <c r="X203" s="66">
        <v>22.6</v>
      </c>
      <c r="Y203" s="66">
        <v>21.4</v>
      </c>
      <c r="Z203" s="66">
        <v>24.2</v>
      </c>
      <c r="AA203" s="66">
        <v>21.2</v>
      </c>
      <c r="AB203" s="66">
        <v>19.399999999999999</v>
      </c>
      <c r="AC203" s="66">
        <v>22.8</v>
      </c>
      <c r="AD203" s="66">
        <v>23.2</v>
      </c>
      <c r="AE203" s="66">
        <v>19.2</v>
      </c>
      <c r="AF203" s="66">
        <v>23.8</v>
      </c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22</v>
      </c>
      <c r="AQ203" s="68">
        <f t="shared" si="17"/>
        <v>21.972727272727273</v>
      </c>
      <c r="AR203" s="68">
        <f>IFERROR(VLOOKUP(A203,Climatologia_TMAX!A:U,9+$E$2,FALSE),"")</f>
        <v>20.117016293630389</v>
      </c>
      <c r="AS203" s="68">
        <f t="shared" si="18"/>
        <v>1.8557109790968838</v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>
        <v>26</v>
      </c>
      <c r="U205" s="66">
        <v>28</v>
      </c>
      <c r="V205" s="66">
        <v>25</v>
      </c>
      <c r="W205" s="66">
        <v>24</v>
      </c>
      <c r="X205" s="66">
        <v>28</v>
      </c>
      <c r="Y205" s="66">
        <v>29</v>
      </c>
      <c r="Z205" s="66">
        <v>27.6</v>
      </c>
      <c r="AA205" s="66">
        <v>26</v>
      </c>
      <c r="AB205" s="66">
        <v>23</v>
      </c>
      <c r="AC205" s="66">
        <v>27</v>
      </c>
      <c r="AD205" s="66">
        <v>28</v>
      </c>
      <c r="AE205" s="66">
        <v>24.2</v>
      </c>
      <c r="AF205" s="66">
        <v>28</v>
      </c>
      <c r="AG205" s="66">
        <v>28.8</v>
      </c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23</v>
      </c>
      <c r="AQ205" s="68">
        <f t="shared" si="17"/>
        <v>26.652173913043477</v>
      </c>
      <c r="AR205" s="68">
        <f>IFERROR(VLOOKUP(A205,Climatologia_TMAX!A:U,9+$E$2,FALSE),"")</f>
        <v>25.961271889400919</v>
      </c>
      <c r="AS205" s="68">
        <f t="shared" si="18"/>
        <v>0.69090202364255759</v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>
        <v>31.2</v>
      </c>
      <c r="U208" s="66">
        <v>33</v>
      </c>
      <c r="V208" s="66">
        <v>29.2</v>
      </c>
      <c r="W208" s="66">
        <v>27.2</v>
      </c>
      <c r="X208" s="66">
        <v>32.799999999999997</v>
      </c>
      <c r="Y208" s="66">
        <v>33.799999999999997</v>
      </c>
      <c r="Z208" s="66">
        <v>33</v>
      </c>
      <c r="AA208" s="66">
        <v>32.6</v>
      </c>
      <c r="AB208" s="66">
        <v>28.6</v>
      </c>
      <c r="AC208" s="66">
        <v>32.4</v>
      </c>
      <c r="AD208" s="66">
        <v>33.4</v>
      </c>
      <c r="AE208" s="66">
        <v>29.8</v>
      </c>
      <c r="AF208" s="66">
        <v>32.799999999999997</v>
      </c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22</v>
      </c>
      <c r="AQ208" s="68">
        <f t="shared" si="17"/>
        <v>32.009090909090901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>
        <v>25.8</v>
      </c>
      <c r="U209" s="66">
        <v>26.8</v>
      </c>
      <c r="V209" s="66">
        <v>24.2</v>
      </c>
      <c r="W209" s="66">
        <v>24</v>
      </c>
      <c r="X209" s="66">
        <v>24</v>
      </c>
      <c r="Y209" s="66">
        <v>26.4</v>
      </c>
      <c r="Z209" s="66">
        <v>26.6</v>
      </c>
      <c r="AA209" s="66">
        <v>24.6</v>
      </c>
      <c r="AB209" s="66">
        <v>24</v>
      </c>
      <c r="AC209" s="66">
        <v>27.6</v>
      </c>
      <c r="AD209" s="66">
        <v>25</v>
      </c>
      <c r="AE209" s="66">
        <v>23.2</v>
      </c>
      <c r="AF209" s="66">
        <v>25.2</v>
      </c>
      <c r="AG209" s="66">
        <v>27.2</v>
      </c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23</v>
      </c>
      <c r="AQ209" s="68">
        <f t="shared" si="17"/>
        <v>25.226086956521748</v>
      </c>
      <c r="AR209" s="68">
        <f>IFERROR(VLOOKUP(A209,Climatologia_TMAX!A:U,9+$E$2,FALSE),"")</f>
        <v>23.78862519201229</v>
      </c>
      <c r="AS209" s="68">
        <f t="shared" si="18"/>
        <v>1.4374617645094574</v>
      </c>
      <c r="AT209" s="74">
        <f t="shared" si="19"/>
        <v>27.6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-1.3999999999999986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>
        <v>30.4</v>
      </c>
      <c r="U210" s="66">
        <v>30.2</v>
      </c>
      <c r="V210" s="66">
        <v>30.2</v>
      </c>
      <c r="W210" s="66">
        <v>25.2</v>
      </c>
      <c r="X210" s="66">
        <v>29.6</v>
      </c>
      <c r="Y210" s="66">
        <v>29.8</v>
      </c>
      <c r="Z210" s="66">
        <v>30.6</v>
      </c>
      <c r="AA210" s="66">
        <v>29</v>
      </c>
      <c r="AB210" s="66">
        <v>28.8</v>
      </c>
      <c r="AC210" s="66">
        <v>31.4</v>
      </c>
      <c r="AD210" s="66">
        <v>30.8</v>
      </c>
      <c r="AE210" s="66">
        <v>28.2</v>
      </c>
      <c r="AF210" s="66">
        <v>31.2</v>
      </c>
      <c r="AG210" s="66">
        <v>31.8</v>
      </c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23</v>
      </c>
      <c r="AQ210" s="68">
        <f t="shared" si="17"/>
        <v>30.382608695652166</v>
      </c>
      <c r="AR210" s="68">
        <f>IFERROR(VLOOKUP(A210,Climatologia_TMAX!A:U,9+$E$2,FALSE),"")</f>
        <v>28.468227660363361</v>
      </c>
      <c r="AS210" s="68">
        <f t="shared" si="18"/>
        <v>1.9143810352888053</v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>
        <v>31.6</v>
      </c>
      <c r="T214" s="109">
        <v>32</v>
      </c>
      <c r="U214" s="66"/>
      <c r="V214" s="66"/>
      <c r="W214" s="66">
        <v>29.4</v>
      </c>
      <c r="X214" s="66">
        <v>32.6</v>
      </c>
      <c r="Y214" s="66">
        <v>31.2</v>
      </c>
      <c r="Z214" s="66">
        <v>32.200000000000003</v>
      </c>
      <c r="AA214" s="66">
        <v>30.6</v>
      </c>
      <c r="AB214" s="66">
        <v>28.6</v>
      </c>
      <c r="AC214" s="66">
        <v>31.8</v>
      </c>
      <c r="AD214" s="66">
        <v>31</v>
      </c>
      <c r="AE214" s="66">
        <v>32</v>
      </c>
      <c r="AF214" s="66">
        <v>33</v>
      </c>
      <c r="AG214" s="66">
        <v>28</v>
      </c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21</v>
      </c>
      <c r="AQ214" s="68">
        <f t="shared" si="17"/>
        <v>31.133333333333333</v>
      </c>
      <c r="AR214" s="68">
        <f>IFERROR(VLOOKUP(A214,Climatologia_TMAX!A:U,9+$E$2,FALSE),"")</f>
        <v>30.301524203387299</v>
      </c>
      <c r="AS214" s="68">
        <f t="shared" si="18"/>
        <v>0.83180912994603418</v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>
        <v>26.2</v>
      </c>
      <c r="U216" s="66">
        <v>26.4</v>
      </c>
      <c r="V216" s="66">
        <v>26.6</v>
      </c>
      <c r="W216" s="66">
        <v>26.4</v>
      </c>
      <c r="X216" s="66">
        <v>27.8</v>
      </c>
      <c r="Y216" s="66">
        <v>28</v>
      </c>
      <c r="Z216" s="66">
        <v>26.4</v>
      </c>
      <c r="AA216" s="66">
        <v>25.8</v>
      </c>
      <c r="AB216" s="66">
        <v>24</v>
      </c>
      <c r="AC216" s="66">
        <v>26.2</v>
      </c>
      <c r="AD216" s="66">
        <v>26.2</v>
      </c>
      <c r="AE216" s="66">
        <v>26.2</v>
      </c>
      <c r="AF216" s="66">
        <v>26.8</v>
      </c>
      <c r="AG216" s="66">
        <v>26.8</v>
      </c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23</v>
      </c>
      <c r="AQ216" s="68">
        <f t="shared" si="17"/>
        <v>26.626086956521739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-0.80000000000000071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>
        <v>24.6</v>
      </c>
      <c r="U217" s="66">
        <v>25.6</v>
      </c>
      <c r="V217" s="66">
        <v>25.6</v>
      </c>
      <c r="W217" s="66">
        <v>25.6</v>
      </c>
      <c r="X217" s="66">
        <v>25.8</v>
      </c>
      <c r="Y217" s="66">
        <v>26.6</v>
      </c>
      <c r="Z217" s="66">
        <v>25.8</v>
      </c>
      <c r="AA217" s="66">
        <v>23.8</v>
      </c>
      <c r="AB217" s="66">
        <v>22.4</v>
      </c>
      <c r="AC217" s="66">
        <v>24.6</v>
      </c>
      <c r="AD217" s="66">
        <v>25.2</v>
      </c>
      <c r="AE217" s="66">
        <v>22.8</v>
      </c>
      <c r="AF217" s="66">
        <v>25</v>
      </c>
      <c r="AG217" s="66">
        <v>26.2</v>
      </c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23</v>
      </c>
      <c r="AQ217" s="68">
        <f t="shared" si="17"/>
        <v>24.886956521739133</v>
      </c>
      <c r="AR217" s="68">
        <f>IFERROR(VLOOKUP(A217,Climatologia_TMAX!A:U,9+$E$2,FALSE),"")</f>
        <v>23.138800459370319</v>
      </c>
      <c r="AS217" s="68">
        <f t="shared" si="18"/>
        <v>1.7481560623688139</v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>
        <v>24.4</v>
      </c>
      <c r="T222" s="66">
        <v>22</v>
      </c>
      <c r="U222" s="66">
        <v>22.8</v>
      </c>
      <c r="V222" s="66">
        <v>19.600000000000001</v>
      </c>
      <c r="W222" s="66">
        <v>18.8</v>
      </c>
      <c r="X222" s="66">
        <v>24.2</v>
      </c>
      <c r="Y222" s="66">
        <v>26.4</v>
      </c>
      <c r="Z222" s="66">
        <v>20</v>
      </c>
      <c r="AA222" s="109">
        <v>22</v>
      </c>
      <c r="AB222" s="66">
        <v>22</v>
      </c>
      <c r="AC222" s="66">
        <v>19</v>
      </c>
      <c r="AD222" s="66">
        <v>22.4</v>
      </c>
      <c r="AE222" s="66">
        <v>17.8</v>
      </c>
      <c r="AF222" s="66">
        <v>24</v>
      </c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22</v>
      </c>
      <c r="AQ222" s="68">
        <f t="shared" si="17"/>
        <v>22.127272727272725</v>
      </c>
      <c r="AR222" s="68">
        <f>IFERROR(VLOOKUP(A222,Climatologia_TMAX!A:U,9+$E$2,FALSE),"")</f>
        <v>21.531607341490549</v>
      </c>
      <c r="AS222" s="68">
        <f t="shared" si="18"/>
        <v>0.59566538578217632</v>
      </c>
      <c r="AT222" s="74">
        <f t="shared" si="19"/>
        <v>26.4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>
        <v>31.6</v>
      </c>
      <c r="T224" s="66">
        <v>29</v>
      </c>
      <c r="U224" s="66">
        <v>29.6</v>
      </c>
      <c r="V224" s="66">
        <v>27.8</v>
      </c>
      <c r="W224" s="66">
        <v>28.6</v>
      </c>
      <c r="X224" s="66">
        <v>30.6</v>
      </c>
      <c r="Y224" s="66">
        <v>34.200000000000003</v>
      </c>
      <c r="Z224" s="66">
        <v>30.6</v>
      </c>
      <c r="AA224" s="66">
        <v>30</v>
      </c>
      <c r="AB224" s="66">
        <v>30</v>
      </c>
      <c r="AC224" s="66"/>
      <c r="AD224" s="66"/>
      <c r="AE224" s="66">
        <v>27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30.473684210526315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0.5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>
        <v>31.8</v>
      </c>
      <c r="U229" s="66">
        <v>29.4</v>
      </c>
      <c r="V229" s="66">
        <v>28.2</v>
      </c>
      <c r="W229" s="66">
        <v>29.8</v>
      </c>
      <c r="X229" s="66">
        <v>32.4</v>
      </c>
      <c r="Y229" s="66">
        <v>33.6</v>
      </c>
      <c r="Z229" s="66">
        <v>30.8</v>
      </c>
      <c r="AA229" s="66">
        <v>29.4</v>
      </c>
      <c r="AB229" s="66">
        <v>30.6</v>
      </c>
      <c r="AC229" s="109">
        <v>29.8</v>
      </c>
      <c r="AD229" s="66">
        <v>31.2</v>
      </c>
      <c r="AE229" s="66">
        <v>30.6</v>
      </c>
      <c r="AF229" s="66">
        <v>31.8</v>
      </c>
      <c r="AG229" s="66">
        <v>33.4</v>
      </c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23</v>
      </c>
      <c r="AQ229" s="68">
        <f t="shared" si="17"/>
        <v>30.88695652173913</v>
      </c>
      <c r="AR229" s="68">
        <f>IFERROR(VLOOKUP(A229,Climatologia_TMAX!A:U,9+$E$2,FALSE),"")</f>
        <v>29.494387096774201</v>
      </c>
      <c r="AS229" s="68">
        <f t="shared" si="18"/>
        <v>1.392569424964929</v>
      </c>
      <c r="AT229" s="74">
        <f t="shared" si="19"/>
        <v>33.6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-1.3999999999999986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>
        <v>29.6</v>
      </c>
      <c r="U231" s="66">
        <v>30.8</v>
      </c>
      <c r="V231" s="66">
        <v>28.2</v>
      </c>
      <c r="W231" s="66">
        <v>29</v>
      </c>
      <c r="X231" s="66">
        <v>30.2</v>
      </c>
      <c r="Y231" s="66">
        <v>33.4</v>
      </c>
      <c r="Z231" s="66">
        <v>29</v>
      </c>
      <c r="AA231" s="109">
        <v>32</v>
      </c>
      <c r="AB231" s="66">
        <v>31.6</v>
      </c>
      <c r="AC231" s="66">
        <v>29.2</v>
      </c>
      <c r="AD231" s="66">
        <v>31</v>
      </c>
      <c r="AE231" s="66">
        <v>28.6</v>
      </c>
      <c r="AF231" s="66">
        <v>29.2</v>
      </c>
      <c r="AG231" s="66">
        <v>31.8</v>
      </c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23</v>
      </c>
      <c r="AQ231" s="68">
        <f t="shared" si="17"/>
        <v>30.513043478260872</v>
      </c>
      <c r="AR231" s="68">
        <f>IFERROR(VLOOKUP(A231,Climatologia_TMAX!A:U,9+$E$2,FALSE),"")</f>
        <v>29.569507640067911</v>
      </c>
      <c r="AS231" s="68">
        <f t="shared" si="18"/>
        <v>0.94353583819296105</v>
      </c>
      <c r="AT231" s="74">
        <f t="shared" si="19"/>
        <v>33.4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-0.60000000000000142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>
        <v>28</v>
      </c>
      <c r="U235" s="66">
        <v>30</v>
      </c>
      <c r="V235" s="66">
        <v>27.8</v>
      </c>
      <c r="W235" s="66">
        <v>28</v>
      </c>
      <c r="X235" s="66">
        <v>30.4</v>
      </c>
      <c r="Y235" s="66">
        <v>33.799999999999997</v>
      </c>
      <c r="Z235" s="66">
        <v>29.8</v>
      </c>
      <c r="AA235" s="109">
        <v>30.6</v>
      </c>
      <c r="AB235" s="66">
        <v>30.8</v>
      </c>
      <c r="AC235" s="66">
        <v>27</v>
      </c>
      <c r="AD235" s="66">
        <v>31</v>
      </c>
      <c r="AE235" s="66">
        <v>27</v>
      </c>
      <c r="AF235" s="66">
        <v>29.8</v>
      </c>
      <c r="AG235" s="66">
        <v>32</v>
      </c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23</v>
      </c>
      <c r="AQ235" s="68">
        <f t="shared" si="17"/>
        <v>30.373913043478257</v>
      </c>
      <c r="AR235" s="68">
        <f>IFERROR(VLOOKUP(A235,Climatologia_TMAX!A:U,9+$E$2,FALSE),"")</f>
        <v>29.25042444821732</v>
      </c>
      <c r="AS235" s="68">
        <f t="shared" si="18"/>
        <v>1.1234885952609375</v>
      </c>
      <c r="AT235" s="74">
        <f t="shared" si="19"/>
        <v>33.799999999999997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-0.80000000000000426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>
        <v>28.2</v>
      </c>
      <c r="U238" s="66">
        <v>27.6</v>
      </c>
      <c r="V238" s="66">
        <v>27</v>
      </c>
      <c r="W238" s="66">
        <v>28.2</v>
      </c>
      <c r="X238" s="66">
        <v>27.6</v>
      </c>
      <c r="Y238" s="66">
        <v>29.6</v>
      </c>
      <c r="Z238" s="66">
        <v>27</v>
      </c>
      <c r="AA238" s="66">
        <v>29.2</v>
      </c>
      <c r="AB238" s="66">
        <v>28.2</v>
      </c>
      <c r="AC238" s="66">
        <v>27.2</v>
      </c>
      <c r="AD238" s="66">
        <v>28.4</v>
      </c>
      <c r="AE238" s="66">
        <v>27.6</v>
      </c>
      <c r="AF238" s="66">
        <v>27.6</v>
      </c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22</v>
      </c>
      <c r="AQ238" s="68">
        <f t="shared" si="17"/>
        <v>28.436363636363641</v>
      </c>
      <c r="AR238" s="68">
        <f>IFERROR(VLOOKUP(A238,Climatologia_TMAX!A:U,9+$E$2,FALSE),"")</f>
        <v>29.210205314547029</v>
      </c>
      <c r="AS238" s="68">
        <f t="shared" si="18"/>
        <v>-0.77384167818338767</v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>
        <v>24</v>
      </c>
      <c r="W244" s="66">
        <v>24</v>
      </c>
      <c r="X244" s="66">
        <v>25</v>
      </c>
      <c r="Y244" s="66">
        <v>30</v>
      </c>
      <c r="Z244" s="66">
        <v>24.2</v>
      </c>
      <c r="AA244" s="66">
        <v>24.6</v>
      </c>
      <c r="AB244" s="66">
        <v>26</v>
      </c>
      <c r="AC244" s="66">
        <v>26</v>
      </c>
      <c r="AD244" s="66">
        <v>25.8</v>
      </c>
      <c r="AE244" s="66">
        <v>21.6</v>
      </c>
      <c r="AF244" s="66">
        <v>26.4</v>
      </c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20</v>
      </c>
      <c r="AQ244" s="68">
        <f t="shared" si="17"/>
        <v>24.860000000000003</v>
      </c>
      <c r="AR244" s="68">
        <f>IFERROR(VLOOKUP(A244,Climatologia_TMAX!A:U,9+$E$2,FALSE),"")</f>
        <v>24.32544086021506</v>
      </c>
      <c r="AS244" s="68">
        <f t="shared" si="18"/>
        <v>0.53455913978494252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>
        <v>27.6</v>
      </c>
      <c r="U246" s="66">
        <v>31.4</v>
      </c>
      <c r="V246" s="66"/>
      <c r="W246" s="66">
        <v>25.8</v>
      </c>
      <c r="X246" s="66">
        <v>30.6</v>
      </c>
      <c r="Y246" s="66">
        <v>32.4</v>
      </c>
      <c r="Z246" s="66">
        <v>30</v>
      </c>
      <c r="AA246" s="66">
        <v>31.8</v>
      </c>
      <c r="AB246" s="66">
        <v>27.2</v>
      </c>
      <c r="AC246" s="66">
        <v>27.6</v>
      </c>
      <c r="AD246" s="66">
        <v>30.2</v>
      </c>
      <c r="AE246" s="66">
        <v>28.4</v>
      </c>
      <c r="AF246" s="66">
        <v>30.6</v>
      </c>
      <c r="AG246" s="66">
        <v>32.799999999999997</v>
      </c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22</v>
      </c>
      <c r="AQ246" s="68">
        <f t="shared" si="17"/>
        <v>29.463636363636365</v>
      </c>
      <c r="AR246" s="68">
        <f>IFERROR(VLOOKUP(A246,Climatologia_TMAX!A:U,9+$E$2,FALSE),"")</f>
        <v>28.473804281714219</v>
      </c>
      <c r="AS246" s="68">
        <f t="shared" si="18"/>
        <v>0.98983208192214533</v>
      </c>
      <c r="AT246" s="74">
        <f t="shared" si="19"/>
        <v>32.799999999999997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-0.40000000000000568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>
        <v>29.4</v>
      </c>
      <c r="U247" s="66">
        <v>34.4</v>
      </c>
      <c r="V247" s="66">
        <v>28.6</v>
      </c>
      <c r="W247" s="66">
        <v>29.8</v>
      </c>
      <c r="X247" s="66">
        <v>34.200000000000003</v>
      </c>
      <c r="Y247" s="66">
        <v>36</v>
      </c>
      <c r="Z247" s="66">
        <v>33.6</v>
      </c>
      <c r="AA247" s="66">
        <v>34</v>
      </c>
      <c r="AB247" s="66">
        <v>30.8</v>
      </c>
      <c r="AC247" s="66">
        <v>31</v>
      </c>
      <c r="AD247" s="66">
        <v>33.6</v>
      </c>
      <c r="AE247" s="66">
        <v>30.6</v>
      </c>
      <c r="AF247" s="66">
        <v>34.200000000000003</v>
      </c>
      <c r="AG247" s="66">
        <v>36.4</v>
      </c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23</v>
      </c>
      <c r="AQ247" s="68">
        <f t="shared" si="17"/>
        <v>32.573913043478264</v>
      </c>
      <c r="AR247" s="68">
        <f>IFERROR(VLOOKUP(A247,Climatologia_TMAX!A:U,9+$E$2,FALSE),"")</f>
        <v>33.139612236440733</v>
      </c>
      <c r="AS247" s="68">
        <f t="shared" si="18"/>
        <v>-0.56569919296246951</v>
      </c>
      <c r="AT247" s="74">
        <f t="shared" si="19"/>
        <v>36.4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-2.3999999999999986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>
        <v>29</v>
      </c>
      <c r="U248" s="66">
        <v>33.4</v>
      </c>
      <c r="V248" s="66">
        <v>30.2</v>
      </c>
      <c r="W248" s="66">
        <v>31.2</v>
      </c>
      <c r="X248" s="66">
        <v>32.799999999999997</v>
      </c>
      <c r="Y248" s="66">
        <v>35.6</v>
      </c>
      <c r="Z248" s="66">
        <v>32.200000000000003</v>
      </c>
      <c r="AA248" s="66">
        <v>34.6</v>
      </c>
      <c r="AB248" s="66">
        <v>33.799999999999997</v>
      </c>
      <c r="AC248" s="66">
        <v>32.6</v>
      </c>
      <c r="AD248" s="66">
        <v>35.4</v>
      </c>
      <c r="AE248" s="66">
        <v>32.4</v>
      </c>
      <c r="AF248" s="66">
        <v>34</v>
      </c>
      <c r="AG248" s="66">
        <v>37.200000000000003</v>
      </c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23</v>
      </c>
      <c r="AQ248" s="68">
        <f t="shared" si="17"/>
        <v>33.286956521739128</v>
      </c>
      <c r="AR248" s="68">
        <f>IFERROR(VLOOKUP(A248,Climatologia_TMAX!A:U,9+$E$2,FALSE),"")</f>
        <v>31.964743123916271</v>
      </c>
      <c r="AS248" s="68">
        <f t="shared" si="18"/>
        <v>1.322213397822857</v>
      </c>
      <c r="AT248" s="74">
        <f t="shared" si="19"/>
        <v>37.200000000000003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>
        <v>30.2</v>
      </c>
      <c r="U249" s="66">
        <v>31.4</v>
      </c>
      <c r="V249" s="66">
        <v>28.6</v>
      </c>
      <c r="W249" s="106">
        <v>28.4</v>
      </c>
      <c r="X249" s="66">
        <v>31.2</v>
      </c>
      <c r="Y249" s="106">
        <v>32.4</v>
      </c>
      <c r="Z249" s="66">
        <v>30</v>
      </c>
      <c r="AA249" s="66">
        <v>32</v>
      </c>
      <c r="AB249" s="66">
        <v>30.2</v>
      </c>
      <c r="AC249" s="66">
        <v>31</v>
      </c>
      <c r="AD249" s="66"/>
      <c r="AE249" s="66">
        <v>31.2</v>
      </c>
      <c r="AF249" s="66">
        <v>30.8</v>
      </c>
      <c r="AG249" s="66">
        <v>32.6</v>
      </c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22</v>
      </c>
      <c r="AQ249" s="68">
        <f t="shared" si="17"/>
        <v>31.018181818181816</v>
      </c>
      <c r="AR249" s="68">
        <f>IFERROR(VLOOKUP(A249,Climatologia_TMAX!A:U,9+$E$2,FALSE),"")</f>
        <v>29.6164247311828</v>
      </c>
      <c r="AS249" s="68">
        <f t="shared" si="18"/>
        <v>1.4017570869990159</v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>
        <v>31.4</v>
      </c>
      <c r="U250" s="66">
        <v>35.799999999999997</v>
      </c>
      <c r="V250" s="66">
        <v>31.8</v>
      </c>
      <c r="W250" s="66">
        <v>31.2</v>
      </c>
      <c r="X250" s="66">
        <v>35.799999999999997</v>
      </c>
      <c r="Y250" s="66">
        <v>37.200000000000003</v>
      </c>
      <c r="Z250" s="66">
        <v>33.6</v>
      </c>
      <c r="AA250" s="66">
        <v>35.4</v>
      </c>
      <c r="AB250" s="66">
        <v>31.2</v>
      </c>
      <c r="AC250" s="66">
        <v>31.4</v>
      </c>
      <c r="AD250" s="66">
        <v>36.6</v>
      </c>
      <c r="AE250" s="66">
        <v>31.8</v>
      </c>
      <c r="AF250" s="66">
        <v>35.200000000000003</v>
      </c>
      <c r="AG250" s="66">
        <v>37</v>
      </c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23</v>
      </c>
      <c r="AQ250" s="68">
        <f t="shared" si="17"/>
        <v>34</v>
      </c>
      <c r="AR250" s="68">
        <f>IFERROR(VLOOKUP(A250,Climatologia_TMAX!A:U,9+$E$2,FALSE),"")</f>
        <v>33.586493598401972</v>
      </c>
      <c r="AS250" s="68">
        <f t="shared" si="18"/>
        <v>0.41350640159802765</v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>
        <v>31.8</v>
      </c>
      <c r="W252" s="66">
        <v>32</v>
      </c>
      <c r="X252" s="66">
        <v>34.4</v>
      </c>
      <c r="Y252" s="66">
        <v>36.4</v>
      </c>
      <c r="Z252" s="66">
        <v>33.4</v>
      </c>
      <c r="AA252" s="66">
        <v>36.4</v>
      </c>
      <c r="AB252" s="66">
        <v>33</v>
      </c>
      <c r="AC252" s="66">
        <v>34.6</v>
      </c>
      <c r="AD252" s="66">
        <v>36</v>
      </c>
      <c r="AE252" s="66">
        <v>34.4</v>
      </c>
      <c r="AF252" s="106">
        <v>35.6</v>
      </c>
      <c r="AG252" s="66">
        <v>39</v>
      </c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21</v>
      </c>
      <c r="AQ252" s="68">
        <f t="shared" si="17"/>
        <v>35.028571428571425</v>
      </c>
      <c r="AR252" s="68">
        <f>IFERROR(VLOOKUP(A252,Climatologia_TMAX!A:U,9+$E$2,FALSE),"")</f>
        <v>33.148146247422638</v>
      </c>
      <c r="AS252" s="68">
        <f t="shared" si="18"/>
        <v>1.8804251811487873</v>
      </c>
      <c r="AT252" s="74">
        <f t="shared" si="19"/>
        <v>39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>
        <v>33.6</v>
      </c>
      <c r="N255" s="66">
        <v>35.200000000000003</v>
      </c>
      <c r="O255" s="66">
        <v>36</v>
      </c>
      <c r="P255" s="66">
        <v>34.6</v>
      </c>
      <c r="Q255" s="66">
        <v>32.6</v>
      </c>
      <c r="R255" s="66">
        <v>32.799999999999997</v>
      </c>
      <c r="S255" s="66">
        <v>35</v>
      </c>
      <c r="T255" s="66">
        <v>29.6</v>
      </c>
      <c r="U255" s="66">
        <v>34.4</v>
      </c>
      <c r="V255" s="66">
        <v>32.6</v>
      </c>
      <c r="W255" s="66">
        <v>29.6</v>
      </c>
      <c r="X255" s="66">
        <v>34.4</v>
      </c>
      <c r="Y255" s="66">
        <v>36.200000000000003</v>
      </c>
      <c r="Z255" s="66">
        <v>33</v>
      </c>
      <c r="AA255" s="66">
        <v>35</v>
      </c>
      <c r="AB255" s="66">
        <v>32.799999999999997</v>
      </c>
      <c r="AC255" s="66">
        <v>34</v>
      </c>
      <c r="AD255" s="66">
        <v>35.4</v>
      </c>
      <c r="AE255" s="66">
        <v>30.4</v>
      </c>
      <c r="AF255" s="66">
        <v>35</v>
      </c>
      <c r="AG255" s="66">
        <v>36.200000000000003</v>
      </c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23</v>
      </c>
      <c r="AQ255" s="68">
        <f t="shared" si="17"/>
        <v>33.686956521739127</v>
      </c>
      <c r="AR255" s="68">
        <f>IFERROR(VLOOKUP(A255,Climatologia_TMAX!A:U,9+$E$2,FALSE),"")</f>
        <v>31.503837526872839</v>
      </c>
      <c r="AS255" s="68">
        <f t="shared" si="18"/>
        <v>2.1831189948662875</v>
      </c>
      <c r="AT255" s="74">
        <f t="shared" si="19"/>
        <v>36.200000000000003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-2.7999999999999972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>
        <v>21.6</v>
      </c>
      <c r="U258" s="66">
        <v>23.4</v>
      </c>
      <c r="V258" s="66">
        <v>21.2</v>
      </c>
      <c r="W258" s="66">
        <v>20.2</v>
      </c>
      <c r="X258" s="66">
        <v>23.2</v>
      </c>
      <c r="Y258" s="66">
        <v>24.4</v>
      </c>
      <c r="Z258" s="66">
        <v>23.4</v>
      </c>
      <c r="AA258" s="66">
        <v>22.6</v>
      </c>
      <c r="AB258" s="66">
        <v>21.6</v>
      </c>
      <c r="AC258" s="66">
        <v>22</v>
      </c>
      <c r="AD258" s="66">
        <v>23.6</v>
      </c>
      <c r="AE258" s="66">
        <v>22.2</v>
      </c>
      <c r="AF258" s="66">
        <v>24.6</v>
      </c>
      <c r="AG258" s="66">
        <v>27.6</v>
      </c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23</v>
      </c>
      <c r="AQ258" s="68">
        <f t="shared" si="17"/>
        <v>22.96521739130435</v>
      </c>
      <c r="AR258" s="68">
        <f>IFERROR(VLOOKUP(A258,Climatologia_TMAX!A:U,9+$E$2,FALSE),"")</f>
        <v>21.808832428070328</v>
      </c>
      <c r="AS258" s="68">
        <f t="shared" si="18"/>
        <v>1.1563849632340215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-0.39999999999999858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>
        <v>24.4</v>
      </c>
      <c r="U259" s="66">
        <v>27</v>
      </c>
      <c r="V259" s="66"/>
      <c r="W259" s="66">
        <v>23</v>
      </c>
      <c r="X259" s="66">
        <v>26.2</v>
      </c>
      <c r="Y259" s="66">
        <v>28.2</v>
      </c>
      <c r="Z259" s="66">
        <v>26</v>
      </c>
      <c r="AA259" s="66">
        <v>26.6</v>
      </c>
      <c r="AB259" s="66">
        <v>26</v>
      </c>
      <c r="AC259" s="66">
        <v>26.6</v>
      </c>
      <c r="AD259" s="66">
        <v>27.2</v>
      </c>
      <c r="AE259" s="66">
        <v>23.6</v>
      </c>
      <c r="AF259" s="66">
        <v>27</v>
      </c>
      <c r="AG259" s="66">
        <v>28.2</v>
      </c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22</v>
      </c>
      <c r="AQ259" s="68">
        <f t="shared" si="17"/>
        <v>26.450000000000003</v>
      </c>
      <c r="AR259" s="68">
        <f>IFERROR(VLOOKUP(A259,Climatologia_TMAX!A:U,9+$E$2,FALSE),"")</f>
        <v>25.9010136502114</v>
      </c>
      <c r="AS259" s="68">
        <f t="shared" si="18"/>
        <v>0.54898634978860272</v>
      </c>
      <c r="AT259" s="74">
        <f t="shared" si="19"/>
        <v>28.2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>
        <v>19.8</v>
      </c>
      <c r="U260" s="66">
        <v>19.399999999999999</v>
      </c>
      <c r="V260" s="66">
        <v>18</v>
      </c>
      <c r="W260" s="109">
        <v>16</v>
      </c>
      <c r="X260" s="66">
        <v>21</v>
      </c>
      <c r="Y260" s="66">
        <v>23.8</v>
      </c>
      <c r="Z260" s="66">
        <v>22.4</v>
      </c>
      <c r="AA260" s="66">
        <v>20.6</v>
      </c>
      <c r="AB260" s="66">
        <v>19.2</v>
      </c>
      <c r="AC260" s="66">
        <v>18.600000000000001</v>
      </c>
      <c r="AD260" s="66">
        <v>18.399999999999999</v>
      </c>
      <c r="AE260" s="66">
        <v>17.600000000000001</v>
      </c>
      <c r="AF260" s="66">
        <v>19.399999999999999</v>
      </c>
      <c r="AG260" s="66">
        <v>22.4</v>
      </c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23</v>
      </c>
      <c r="AQ260" s="68">
        <f t="shared" si="17"/>
        <v>20.086956521739129</v>
      </c>
      <c r="AR260" s="68">
        <f>IFERROR(VLOOKUP(A260,Climatologia_TMAX!A:U,9+$E$2,FALSE),"")</f>
        <v>18.23163558863169</v>
      </c>
      <c r="AS260" s="68">
        <f t="shared" si="18"/>
        <v>1.8553209331074392</v>
      </c>
      <c r="AT260" s="74">
        <f t="shared" si="19"/>
        <v>23.8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>
        <v>28</v>
      </c>
      <c r="U261" s="66">
        <v>29.4</v>
      </c>
      <c r="V261" s="66">
        <v>29</v>
      </c>
      <c r="W261" s="66">
        <v>28.8</v>
      </c>
      <c r="X261" s="66">
        <v>31.4</v>
      </c>
      <c r="Y261" s="66">
        <v>33.6</v>
      </c>
      <c r="Z261" s="66">
        <v>32</v>
      </c>
      <c r="AA261" s="66">
        <v>33</v>
      </c>
      <c r="AB261" s="66">
        <v>32</v>
      </c>
      <c r="AC261" s="66">
        <v>31.6</v>
      </c>
      <c r="AD261" s="66">
        <v>33.6</v>
      </c>
      <c r="AE261" s="66">
        <v>30.4</v>
      </c>
      <c r="AF261" s="66">
        <v>32.799999999999997</v>
      </c>
      <c r="AG261" s="66">
        <v>35.4</v>
      </c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23</v>
      </c>
      <c r="AQ261" s="68">
        <f t="shared" ref="AQ261:AQ324" si="22">IF(AP261&gt;14,AVERAGE(K261:AO261),"")</f>
        <v>31.669565217391298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35.4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-2.6000000000000014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>
        <v>19</v>
      </c>
      <c r="U262" s="66"/>
      <c r="V262" s="66">
        <v>18.600000000000001</v>
      </c>
      <c r="W262" s="66">
        <v>20.2</v>
      </c>
      <c r="X262" s="66">
        <v>21.4</v>
      </c>
      <c r="Y262" s="66">
        <v>24.8</v>
      </c>
      <c r="Z262" s="66">
        <v>22.6</v>
      </c>
      <c r="AA262" s="66">
        <v>21.6</v>
      </c>
      <c r="AB262" s="66">
        <v>20.2</v>
      </c>
      <c r="AC262" s="66">
        <v>20.6</v>
      </c>
      <c r="AD262" s="66">
        <v>20.399999999999999</v>
      </c>
      <c r="AE262" s="66">
        <v>19.2</v>
      </c>
      <c r="AF262" s="66">
        <v>22</v>
      </c>
      <c r="AG262" s="66">
        <v>22.4</v>
      </c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22</v>
      </c>
      <c r="AQ262" s="68">
        <f t="shared" si="22"/>
        <v>21.499999999999996</v>
      </c>
      <c r="AR262" s="68">
        <f>IFERROR(VLOOKUP(A262,Climatologia_TMAX!A:U,9+$E$2,FALSE),"")</f>
        <v>20.583971968097579</v>
      </c>
      <c r="AS262" s="68">
        <f t="shared" si="23"/>
        <v>0.91602803190241744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-0.39999999999999858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>
        <v>21.6</v>
      </c>
      <c r="W266" s="66">
        <v>19.8</v>
      </c>
      <c r="X266" s="66">
        <v>22.2</v>
      </c>
      <c r="Y266" s="66">
        <v>22.6</v>
      </c>
      <c r="Z266" s="66"/>
      <c r="AA266" s="66"/>
      <c r="AB266" s="66">
        <v>22</v>
      </c>
      <c r="AC266" s="66">
        <v>21.4</v>
      </c>
      <c r="AD266" s="66">
        <v>22.4</v>
      </c>
      <c r="AE266" s="66">
        <v>19</v>
      </c>
      <c r="AF266" s="66">
        <v>21.8</v>
      </c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15</v>
      </c>
      <c r="AQ266" s="68">
        <f t="shared" si="22"/>
        <v>21.719999999999995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>
        <v>16</v>
      </c>
      <c r="U268" s="66">
        <v>16.399999999999999</v>
      </c>
      <c r="V268" s="66">
        <v>15.8</v>
      </c>
      <c r="W268" s="66">
        <v>15.4</v>
      </c>
      <c r="X268" s="66">
        <v>15</v>
      </c>
      <c r="Y268" s="66">
        <v>15.6</v>
      </c>
      <c r="Z268" s="66">
        <v>16.2</v>
      </c>
      <c r="AA268" s="66">
        <v>16.600000000000001</v>
      </c>
      <c r="AB268" s="66">
        <v>16.399999999999999</v>
      </c>
      <c r="AC268" s="66">
        <v>16.8</v>
      </c>
      <c r="AD268" s="66">
        <v>16.2</v>
      </c>
      <c r="AE268" s="66">
        <v>15.6</v>
      </c>
      <c r="AF268" s="66">
        <v>16.2</v>
      </c>
      <c r="AG268" s="66">
        <v>17</v>
      </c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23</v>
      </c>
      <c r="AQ268" s="68">
        <f t="shared" si="22"/>
        <v>15.947826086956523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17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-7.8000000000000007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>
        <v>19.399999999999999</v>
      </c>
      <c r="U269" s="109">
        <v>21</v>
      </c>
      <c r="V269" s="66">
        <v>19.2</v>
      </c>
      <c r="W269" s="66">
        <v>18.600000000000001</v>
      </c>
      <c r="X269" s="66">
        <v>22.6</v>
      </c>
      <c r="Y269" s="66">
        <v>24.6</v>
      </c>
      <c r="Z269" s="66">
        <v>22.6</v>
      </c>
      <c r="AA269" s="66">
        <v>23</v>
      </c>
      <c r="AB269" s="66">
        <v>23.2</v>
      </c>
      <c r="AC269" s="66">
        <v>21.8</v>
      </c>
      <c r="AD269" s="66">
        <v>22</v>
      </c>
      <c r="AE269" s="66"/>
      <c r="AF269" s="66">
        <v>21.6</v>
      </c>
      <c r="AG269" s="66">
        <v>22.4</v>
      </c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22</v>
      </c>
      <c r="AQ269" s="68">
        <f t="shared" si="22"/>
        <v>21.86363636363637</v>
      </c>
      <c r="AR269" s="68">
        <f>IFERROR(VLOOKUP(A269,Climatologia_TMAX!A:U,9+$E$2,FALSE),"")</f>
        <v>19.72737191725864</v>
      </c>
      <c r="AS269" s="68">
        <f t="shared" si="23"/>
        <v>2.1362644463777301</v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>
        <v>21.2</v>
      </c>
      <c r="U270" s="66">
        <v>20</v>
      </c>
      <c r="V270" s="66">
        <v>17.600000000000001</v>
      </c>
      <c r="W270" s="66">
        <v>16.600000000000001</v>
      </c>
      <c r="X270" s="66">
        <v>22</v>
      </c>
      <c r="Y270" s="66">
        <v>21.8</v>
      </c>
      <c r="Z270" s="66">
        <v>19.399999999999999</v>
      </c>
      <c r="AA270" s="66">
        <v>22.4</v>
      </c>
      <c r="AB270" s="66">
        <v>19.2</v>
      </c>
      <c r="AC270" s="66">
        <v>21.4</v>
      </c>
      <c r="AD270" s="66">
        <v>21.4</v>
      </c>
      <c r="AE270" s="66">
        <v>18</v>
      </c>
      <c r="AF270" s="66">
        <v>19</v>
      </c>
      <c r="AG270" s="66">
        <v>21</v>
      </c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23</v>
      </c>
      <c r="AQ270" s="68">
        <f t="shared" si="22"/>
        <v>20.521739130434778</v>
      </c>
      <c r="AR270" s="68">
        <f>IFERROR(VLOOKUP(A270,Climatologia_TMAX!A:U,9+$E$2,FALSE),"")</f>
        <v>16.868255178571651</v>
      </c>
      <c r="AS270" s="68">
        <f t="shared" si="23"/>
        <v>3.6534839518631266</v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>
        <v>17.8</v>
      </c>
      <c r="T271" s="66">
        <v>19.2</v>
      </c>
      <c r="U271" s="66">
        <v>19.2</v>
      </c>
      <c r="V271" s="66">
        <v>19.8</v>
      </c>
      <c r="W271" s="66">
        <v>19.2</v>
      </c>
      <c r="X271" s="66">
        <v>18.8</v>
      </c>
      <c r="Y271" s="66">
        <v>20.6</v>
      </c>
      <c r="Z271" s="66"/>
      <c r="AA271" s="66">
        <v>20.8</v>
      </c>
      <c r="AB271" s="66"/>
      <c r="AC271" s="66">
        <v>19.8</v>
      </c>
      <c r="AD271" s="66">
        <v>20.6</v>
      </c>
      <c r="AE271" s="66">
        <v>17.8</v>
      </c>
      <c r="AF271" s="66">
        <v>19.600000000000001</v>
      </c>
      <c r="AG271" s="66">
        <v>20.399999999999999</v>
      </c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21</v>
      </c>
      <c r="AQ271" s="68">
        <f t="shared" si="22"/>
        <v>19.428571428571431</v>
      </c>
      <c r="AR271" s="68">
        <f>IFERROR(VLOOKUP(A271,Climatologia_TMAX!A:U,9+$E$2,FALSE),"")</f>
        <v>18.478554548666519</v>
      </c>
      <c r="AS271" s="68">
        <f t="shared" si="23"/>
        <v>0.95001687990491135</v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>
        <v>22</v>
      </c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>
        <v>20</v>
      </c>
      <c r="U272" s="66">
        <v>25</v>
      </c>
      <c r="V272" s="66">
        <v>18</v>
      </c>
      <c r="W272" s="66">
        <v>22.8</v>
      </c>
      <c r="X272" s="66">
        <v>24.6</v>
      </c>
      <c r="Y272" s="66">
        <v>25.8</v>
      </c>
      <c r="Z272" s="66">
        <v>23.6</v>
      </c>
      <c r="AA272" s="66">
        <v>26.4</v>
      </c>
      <c r="AB272" s="66">
        <v>19.600000000000001</v>
      </c>
      <c r="AC272" s="66">
        <v>25.4</v>
      </c>
      <c r="AD272" s="66">
        <v>25.6</v>
      </c>
      <c r="AE272" s="66">
        <v>22.2</v>
      </c>
      <c r="AF272" s="66">
        <v>25.6</v>
      </c>
      <c r="AG272" s="66">
        <v>25</v>
      </c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24.217391304347824</v>
      </c>
      <c r="AR272" s="68">
        <f>IFERROR(VLOOKUP(A272,Climatologia_TMAX!A:U,9+$E$2,FALSE),"")</f>
        <v>21.483451369051782</v>
      </c>
      <c r="AS272" s="68">
        <f t="shared" si="23"/>
        <v>2.7339399352960427</v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>
        <v>23.4</v>
      </c>
      <c r="U273" s="66">
        <v>25.6</v>
      </c>
      <c r="V273" s="66">
        <v>22.2</v>
      </c>
      <c r="W273" s="66">
        <v>26</v>
      </c>
      <c r="X273" s="66">
        <v>26.6</v>
      </c>
      <c r="Y273" s="66">
        <v>28.4</v>
      </c>
      <c r="Z273" s="66">
        <v>26.6</v>
      </c>
      <c r="AA273" s="66">
        <v>26.6</v>
      </c>
      <c r="AB273" s="66">
        <v>24.8</v>
      </c>
      <c r="AC273" s="66">
        <v>26.6</v>
      </c>
      <c r="AD273" s="66">
        <v>26</v>
      </c>
      <c r="AE273" s="66">
        <v>23.8</v>
      </c>
      <c r="AF273" s="66">
        <v>26</v>
      </c>
      <c r="AG273" s="66">
        <v>28</v>
      </c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23</v>
      </c>
      <c r="AQ273" s="68">
        <f t="shared" si="22"/>
        <v>26.234782608695657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>
        <v>12.6</v>
      </c>
      <c r="U275" s="109">
        <v>13</v>
      </c>
      <c r="V275" s="66">
        <v>11</v>
      </c>
      <c r="W275" s="66">
        <v>13.4</v>
      </c>
      <c r="X275" s="66">
        <v>14.6</v>
      </c>
      <c r="Y275" s="66">
        <v>15.4</v>
      </c>
      <c r="Z275" s="66">
        <v>14.2</v>
      </c>
      <c r="AA275" s="66">
        <v>14.2</v>
      </c>
      <c r="AB275" s="66">
        <v>12.4</v>
      </c>
      <c r="AC275" s="66">
        <v>14.6</v>
      </c>
      <c r="AD275" s="66">
        <v>14.2</v>
      </c>
      <c r="AE275" s="66">
        <v>12</v>
      </c>
      <c r="AF275" s="66">
        <v>15.2</v>
      </c>
      <c r="AG275" s="66">
        <v>13</v>
      </c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23</v>
      </c>
      <c r="AQ275" s="68">
        <f t="shared" si="22"/>
        <v>13.686956521739129</v>
      </c>
      <c r="AR275" s="68">
        <f>IFERROR(VLOOKUP(A275,Climatologia_TMAX!A:U,9+$E$2,FALSE),"")</f>
        <v>12.46474387230348</v>
      </c>
      <c r="AS275" s="68">
        <f t="shared" si="23"/>
        <v>1.2222126494356491</v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>
        <v>31.6</v>
      </c>
      <c r="T278" s="66">
        <v>28.8</v>
      </c>
      <c r="U278" s="66">
        <v>30.8</v>
      </c>
      <c r="V278" s="66">
        <v>28.2</v>
      </c>
      <c r="W278" s="66">
        <v>29.6</v>
      </c>
      <c r="X278" s="66">
        <v>31</v>
      </c>
      <c r="Y278" s="66">
        <v>33.4</v>
      </c>
      <c r="Z278" s="66">
        <v>30.6</v>
      </c>
      <c r="AA278" s="66">
        <v>33</v>
      </c>
      <c r="AB278" s="66">
        <v>30</v>
      </c>
      <c r="AC278" s="66">
        <v>32.200000000000003</v>
      </c>
      <c r="AD278" s="66">
        <v>32.6</v>
      </c>
      <c r="AE278" s="66">
        <v>29</v>
      </c>
      <c r="AF278" s="66">
        <v>31.6</v>
      </c>
      <c r="AG278" s="66">
        <v>32.200000000000003</v>
      </c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23</v>
      </c>
      <c r="AQ278" s="68">
        <f t="shared" si="22"/>
        <v>31.200000000000006</v>
      </c>
      <c r="AR278" s="68">
        <f>IFERROR(VLOOKUP(A278,Climatologia_TMAX!A:U,9+$E$2,FALSE),"")</f>
        <v>30.15034710932375</v>
      </c>
      <c r="AS278" s="68">
        <f t="shared" si="23"/>
        <v>1.0496528906762563</v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>
        <v>23.4</v>
      </c>
      <c r="S279" s="66">
        <v>24.2</v>
      </c>
      <c r="T279" s="66">
        <v>19.8</v>
      </c>
      <c r="U279" s="66">
        <v>22.2</v>
      </c>
      <c r="V279" s="66">
        <v>19.2</v>
      </c>
      <c r="W279" s="66">
        <v>21.2</v>
      </c>
      <c r="X279" s="66">
        <v>23.4</v>
      </c>
      <c r="Y279" s="66">
        <v>24.4</v>
      </c>
      <c r="Z279" s="66">
        <v>22.6</v>
      </c>
      <c r="AA279" s="66">
        <v>24.4</v>
      </c>
      <c r="AB279" s="66">
        <v>19.600000000000001</v>
      </c>
      <c r="AC279" s="66">
        <v>22.6</v>
      </c>
      <c r="AD279" s="66">
        <v>23.2</v>
      </c>
      <c r="AE279" s="66">
        <v>21.2</v>
      </c>
      <c r="AF279" s="66">
        <v>22.4</v>
      </c>
      <c r="AG279" s="66">
        <v>23.2</v>
      </c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23</v>
      </c>
      <c r="AQ279" s="68">
        <f t="shared" si="22"/>
        <v>22.469565217391303</v>
      </c>
      <c r="AR279" s="68">
        <f>IFERROR(VLOOKUP(A279,Climatologia_TMAX!A:U,9+$E$2,FALSE),"")</f>
        <v>21.130903225806449</v>
      </c>
      <c r="AS279" s="68">
        <f t="shared" si="23"/>
        <v>1.3386619915848534</v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>
        <v>26.8</v>
      </c>
      <c r="U280" s="66">
        <v>31.4</v>
      </c>
      <c r="V280" s="66">
        <v>27.2</v>
      </c>
      <c r="W280" s="66">
        <v>29.6</v>
      </c>
      <c r="X280" s="66">
        <v>31.6</v>
      </c>
      <c r="Y280" s="66">
        <v>33.799999999999997</v>
      </c>
      <c r="Z280" s="66">
        <v>30.8</v>
      </c>
      <c r="AA280" s="66">
        <v>31.6</v>
      </c>
      <c r="AB280" s="66">
        <v>28.4</v>
      </c>
      <c r="AC280" s="66">
        <v>31.6</v>
      </c>
      <c r="AD280" s="66">
        <v>31.4</v>
      </c>
      <c r="AE280" s="66">
        <v>26.4</v>
      </c>
      <c r="AF280" s="66">
        <v>30.4</v>
      </c>
      <c r="AG280" s="66">
        <v>31.8</v>
      </c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23</v>
      </c>
      <c r="AQ280" s="68">
        <f t="shared" si="22"/>
        <v>30.799999999999994</v>
      </c>
      <c r="AR280" s="68">
        <f>IFERROR(VLOOKUP(A280,Climatologia_TMAX!A:U,9+$E$2,FALSE),"")</f>
        <v>28.78996989247312</v>
      </c>
      <c r="AS280" s="68">
        <f t="shared" si="23"/>
        <v>2.0100301075268732</v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>
        <v>17.399999999999999</v>
      </c>
      <c r="U281" s="66">
        <v>21.4</v>
      </c>
      <c r="V281" s="66">
        <v>18</v>
      </c>
      <c r="W281" s="66">
        <v>19.600000000000001</v>
      </c>
      <c r="X281" s="66">
        <v>21</v>
      </c>
      <c r="Y281" s="66">
        <v>23.2</v>
      </c>
      <c r="Z281" s="66">
        <v>21.4</v>
      </c>
      <c r="AA281" s="66">
        <v>22.2</v>
      </c>
      <c r="AB281" s="66">
        <v>20.2</v>
      </c>
      <c r="AC281" s="66">
        <v>21.8</v>
      </c>
      <c r="AD281" s="66">
        <v>22</v>
      </c>
      <c r="AE281" s="66">
        <v>19.8</v>
      </c>
      <c r="AF281" s="66">
        <v>20.399999999999999</v>
      </c>
      <c r="AG281" s="66">
        <v>23.4</v>
      </c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23</v>
      </c>
      <c r="AQ281" s="68">
        <f t="shared" si="22"/>
        <v>21.078260869565216</v>
      </c>
      <c r="AR281" s="68">
        <f>IFERROR(VLOOKUP(A281,Climatologia_TMAX!A:U,9+$E$2,FALSE),"")</f>
        <v>19.74925870014302</v>
      </c>
      <c r="AS281" s="68">
        <f t="shared" si="23"/>
        <v>1.3290021694221963</v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>
        <v>19.600000000000001</v>
      </c>
      <c r="U284" s="66">
        <v>21.4</v>
      </c>
      <c r="V284" s="66">
        <v>19.8</v>
      </c>
      <c r="W284" s="66">
        <v>19.2</v>
      </c>
      <c r="X284" s="66">
        <v>23</v>
      </c>
      <c r="Y284" s="66">
        <v>23.4</v>
      </c>
      <c r="Z284" s="66">
        <v>21.4</v>
      </c>
      <c r="AA284" s="66">
        <v>21.8</v>
      </c>
      <c r="AB284" s="66">
        <v>25</v>
      </c>
      <c r="AC284" s="66">
        <v>22.4</v>
      </c>
      <c r="AD284" s="66">
        <v>21.6</v>
      </c>
      <c r="AE284" s="66">
        <v>18.600000000000001</v>
      </c>
      <c r="AF284" s="66">
        <v>21.4</v>
      </c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22</v>
      </c>
      <c r="AQ284" s="68">
        <f t="shared" si="22"/>
        <v>21.327272727272724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25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2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>
        <v>19</v>
      </c>
      <c r="U285" s="109">
        <v>22</v>
      </c>
      <c r="V285" s="66">
        <v>19</v>
      </c>
      <c r="W285" s="66">
        <v>19.399999999999999</v>
      </c>
      <c r="X285" s="66">
        <v>22.8</v>
      </c>
      <c r="Y285" s="66">
        <v>24.4</v>
      </c>
      <c r="Z285" s="66">
        <v>23</v>
      </c>
      <c r="AA285" s="66">
        <v>22.4</v>
      </c>
      <c r="AB285" s="66">
        <v>19.8</v>
      </c>
      <c r="AC285" s="66">
        <v>23</v>
      </c>
      <c r="AD285" s="66">
        <v>22</v>
      </c>
      <c r="AE285" s="66">
        <v>20.6</v>
      </c>
      <c r="AF285" s="66">
        <v>21.6</v>
      </c>
      <c r="AG285" s="66">
        <v>23.2</v>
      </c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23</v>
      </c>
      <c r="AQ285" s="68">
        <f t="shared" si="22"/>
        <v>21.739130434782609</v>
      </c>
      <c r="AR285" s="68">
        <f>IFERROR(VLOOKUP(A285,Climatologia_TMAX!A:U,9+$E$2,FALSE),"")</f>
        <v>19.877590063924739</v>
      </c>
      <c r="AS285" s="68">
        <f t="shared" si="23"/>
        <v>1.8615403708578704</v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>
        <v>17.600000000000001</v>
      </c>
      <c r="T287" s="66">
        <v>20</v>
      </c>
      <c r="U287" s="66">
        <v>19.399999999999999</v>
      </c>
      <c r="V287" s="66">
        <v>17</v>
      </c>
      <c r="W287" s="66">
        <v>18</v>
      </c>
      <c r="X287" s="66">
        <v>21.4</v>
      </c>
      <c r="Y287" s="66">
        <v>22</v>
      </c>
      <c r="Z287" s="66">
        <v>20.6</v>
      </c>
      <c r="AA287" s="66">
        <v>19.8</v>
      </c>
      <c r="AB287" s="66">
        <v>19.2</v>
      </c>
      <c r="AC287" s="66">
        <v>19</v>
      </c>
      <c r="AD287" s="66">
        <v>19.8</v>
      </c>
      <c r="AE287" s="66">
        <v>18.2</v>
      </c>
      <c r="AF287" s="66">
        <v>20.6</v>
      </c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19.454545454545457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workbookViewId="0">
      <selection activeCell="R5" sqref="R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31.608866726334998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83" width="11.42578125" style="42" customWidth="1"/>
    <col min="184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2026-10-24T15:07:16Z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2026-10-24T15:06:59Z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c1240de9-4e77-41f8-abb7-ca8dada4f36b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