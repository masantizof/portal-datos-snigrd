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785733A-7765-4954-974B-696541DC7E2D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1" l="1"/>
  <c r="AO29" i="1"/>
  <c r="AJ18" i="1"/>
  <c r="AJ17" i="1"/>
  <c r="AK15" i="1"/>
  <c r="AM15" i="1" s="1"/>
  <c r="AO14" i="1"/>
  <c r="AO13" i="1"/>
  <c r="AJ12" i="1"/>
  <c r="AO11" i="1"/>
  <c r="AO10" i="1"/>
  <c r="AO9" i="1"/>
  <c r="AO8" i="1"/>
  <c r="AK7" i="1"/>
  <c r="AM7" i="1" s="1"/>
  <c r="AO6" i="1"/>
  <c r="AK5" i="1"/>
  <c r="AM5" i="1" s="1"/>
  <c r="AO17" i="1"/>
  <c r="AO25" i="1"/>
  <c r="AO26" i="1"/>
  <c r="AO27" i="1"/>
  <c r="AO28" i="1"/>
  <c r="AO30" i="1"/>
  <c r="AO31" i="1"/>
  <c r="AO32" i="1"/>
  <c r="AO33" i="1"/>
  <c r="AJ45" i="1"/>
  <c r="AJ44" i="1"/>
  <c r="AJ43" i="1"/>
  <c r="AK42" i="1"/>
  <c r="AM42" i="1" s="1"/>
  <c r="AK41" i="1"/>
  <c r="AM41" i="1" s="1"/>
  <c r="AJ40" i="1"/>
  <c r="AK39" i="1"/>
  <c r="AM39" i="1" s="1"/>
  <c r="AO38" i="1"/>
  <c r="AJ25" i="1"/>
  <c r="AJ24" i="1"/>
  <c r="AJ23" i="1"/>
  <c r="AO22" i="1"/>
  <c r="AO21" i="1"/>
  <c r="AO20" i="1"/>
  <c r="AO19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3" i="1"/>
  <c r="AJ14" i="1"/>
  <c r="AJ26" i="1"/>
  <c r="AJ27" i="1"/>
  <c r="AJ28" i="1"/>
  <c r="AJ30" i="1"/>
  <c r="AJ31" i="1"/>
  <c r="AJ32" i="1"/>
  <c r="AJ33" i="1"/>
  <c r="AJ35" i="1"/>
  <c r="AJ48" i="1"/>
  <c r="AK12" i="1" l="1"/>
  <c r="AM12" i="1" s="1"/>
  <c r="AO5" i="1"/>
  <c r="AP5" i="1" s="1"/>
  <c r="AK8" i="1"/>
  <c r="AM8" i="1" s="1"/>
  <c r="AO12" i="1"/>
  <c r="AP12" i="1" s="1"/>
  <c r="AK10" i="1"/>
  <c r="AM10" i="1" s="1"/>
  <c r="AK6" i="1"/>
  <c r="AM6" i="1" s="1"/>
  <c r="AO7" i="1"/>
  <c r="AP7" i="1" s="1"/>
  <c r="AK13" i="1"/>
  <c r="AM13" i="1" s="1"/>
  <c r="AK11" i="1"/>
  <c r="AM11" i="1" s="1"/>
  <c r="AK9" i="1"/>
  <c r="AM9" i="1" s="1"/>
  <c r="AO41" i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8" i="1"/>
  <c r="AP9" i="1"/>
  <c r="AP10" i="1"/>
  <c r="AP11" i="1"/>
  <c r="AP13" i="1"/>
  <c r="AP14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<sst xmlns="http://schemas.openxmlformats.org/spreadsheetml/2006/main" count="603" uniqueCount="272">
  <si>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</si>
  <si>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</si>
  <si>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</si>
  <si>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</si>
  <si>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</si>
  <si>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</si>
  <si>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</si>
  <si>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</si>
  <si>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</si>
  <si>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</si>
  <si>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</si>
  <si>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</si>
  <si>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</si>
  <si>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</si>
  <si>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</si>
  <si>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</si>
  <si>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</si>
  <si>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</si>
  <si>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</si>
  <si>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</si>
  <si>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</si>
  <si>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</si>
  <si>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</si>
  <si>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</si>
  <si>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</si>
  <si>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</si>
  <si>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</si>
  <si>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</si>
  <si>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</si>
  <si>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</si>
  <si>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</si>
  <si>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</si>
  <si>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</si>
  <si>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</si>
  <si>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</si>
  <si>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</si>
  <si>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</si>
  <si>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</si>
  <si>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</si>
  <si>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</si>
  <si>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</si>
  <si>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</si>
  <si>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</si>
  <si>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</si>
  <si>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</si>
  <si>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</si>
  <si>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</si>
  <si>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</si>
  <si>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</si>
  <si>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</si>
  <si>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</si>
  <si>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</si>
  <si>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</si>
  <si>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</si>
  <si>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</si>
  <si>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</si>
  <si>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</si>
  <si>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</si>
  <si>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</si>
  <si>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</si>
  <si>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</si>
  <si>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</si>
  <si>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</si>
  <si>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</si>
  <si>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</si>
  <si>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</si>
  <si>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</si>
  <si>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</si>
  <si>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</si>
  <si>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</si>
  <si>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</si>
  <si>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</si>
  <si>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</si>
  <si>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</si>
  <si>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</si>
  <si>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</si>
  <si>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</si>
  <si>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</si>
  <si>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</si>
  <si>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</si>
  <si>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</si>
  <si>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</si>
  <si>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</si>
  <si>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</si>
  <si>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</si>
  <si>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</si>
  <si>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</si>
  <si>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</si>
  <si>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</si>
  <si>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</si>
  <si>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</si>
  <si>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</si>
  <si>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</si>
  <si>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</si>
  <si>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</si>
  <si>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</si>
  <si>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</si>
  <si>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</si>
  <si>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</si>
  <si>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</si>
  <si>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</si>
  <si>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</si>
  <si>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</si>
  <si>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</si>
  <si>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</si>
  <si>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</si>
  <si>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</si>
  <si>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</si>
  <si>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</si>
  <si>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</si>
  <si>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</si>
  <si>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</si>
  <si>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</si>
  <si>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</si>
  <si>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</si>
  <si>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</si>
  <si>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</si>
  <si>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</si>
  <si>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</si>
  <si>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</si>
  <si>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</si>
  <si>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</si>
  <si>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</si>
  <si>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</si>
  <si>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</si>
  <si>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</si>
  <si>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</si>
  <si>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</si>
  <si>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</si>
  <si>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</si>
  <si>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</si>
  <si>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</si>
  <si>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</si>
  <si>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</si>
  <si>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</si>
  <si>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</si>
  <si>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</si>
  <si>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</si>
  <si>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</si>
  <si>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</si>
  <si>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</si>
  <si>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</si>
  <si>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</si>
  <si>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</si>
  <si>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</si>
  <si>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</si>
  <si>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</si>
  <si>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</si>
  <si>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</si>
  <si>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</si>
  <si>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</si>
  <si>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</si>
  <si>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</si>
  <si>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</si>
  <si>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</si>
  <si>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</si>
  <si>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</si>
  <si>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</si>
  <si>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</si>
  <si>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</si>
  <si>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</si>
  <si>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</si>
  <si>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</si>
  <si>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</si>
  <si>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</si>
  <si>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</si>
  <si>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</si>
  <si>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</si>
  <si>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</si>
  <si>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</si>
  <si>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</si>
  <si>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</si>
  <si>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</si>
  <si>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</si>
  <si>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</si>
  <si>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</si>
  <si>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</si>
  <si>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</si>
  <si>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</si>
  <si>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</si>
  <si>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</si>
  <si>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</si>
  <si>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</si>
  <si>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</si>
  <si>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</si>
  <si>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</si>
  <si>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</si>
  <si>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</si>
  <si>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</si>
  <si>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</si>
  <si>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</si>
  <si>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</si>
  <si>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</si>
  <si>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</si>
  <si>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</si>
  <si>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</si>
  <si>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</si>
  <si>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</si>
  <si>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</si>
  <si>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</si>
  <si>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</si>
  <si>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</si>
  <si>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</si>
  <si>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</si>
  <si>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</si>
  <si>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</si>
  <si>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</si>
  <si>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</si>
  <si>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</si>
  <si>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</si>
  <si>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</si>
  <si>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</si>
  <si>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</si>
  <si>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</si>
  <si>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</si>
  <si>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</si>
  <si>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</si>
  <si>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</si>
  <si>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</si>
  <si>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</si>
  <si>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</si>
  <si>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</si>
  <si>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</si>
  <si>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</si>
  <si>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</si>
  <si>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</si>
  <si>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</si>
  <si>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</si>
  <si>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</si>
  <si>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</si>
  <si>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</si>
  <si>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</si>
  <si>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</si>
  <si>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</si>
  <si>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</si>
  <si>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</si>
  <si>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</si>
  <si>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</si>
  <si>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</si>
  <si>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</si>
  <si>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</si>
  <si>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</si>
  <si>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</si>
  <si>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</si>
  <si>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</si>
  <si>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</si>
  <si>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</si>
  <si>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</si>
  <si>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</si>
  <si>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</si>
  <si>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</si>
  <si>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</si>
  <si>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</si>
  <si>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</si>
  <si>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</si>
  <si>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</si>
  <si>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</si>
  <si>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</si>
  <si>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</si>
  <si>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</si>
  <si>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</si>
  <si>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</si>
  <si>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</si>
  <si>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</si>
  <si>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</si>
  <si>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</si>
  <si>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</si>
  <si>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</si>
  <si>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</si>
  <si>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</si>
  <si>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</si>
  <si>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OCTUBRE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</si>
</sst>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V4" activePane="bottomRight" state="frozen"/>
      <selection pane="topRight" activeCell="E1" sqref="E1"/>
      <selection pane="bottomLeft" activeCell="A4" sqref="A4"/>
      <selection pane="bottomRight" activeCell="AD48" sqref="AD48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8.710937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3" width="15.85546875" style="17" bestFit="1" customWidth="1"/>
    <col min="44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32.1</v>
      </c>
      <c r="F5" s="63">
        <v>32</v>
      </c>
      <c r="G5" s="63">
        <v>32.5</v>
      </c>
      <c r="H5" s="68">
        <v>32</v>
      </c>
      <c r="I5" s="63">
        <v>32.1</v>
      </c>
      <c r="J5" s="63">
        <v>32</v>
      </c>
      <c r="K5" s="63">
        <v>32.1</v>
      </c>
      <c r="L5" s="68">
        <v>32</v>
      </c>
      <c r="M5" s="63">
        <v>32.1</v>
      </c>
      <c r="N5" s="63">
        <v>32.4</v>
      </c>
      <c r="O5" s="63">
        <v>31.7</v>
      </c>
      <c r="P5" s="63">
        <v>31.9</v>
      </c>
      <c r="Q5" s="63">
        <v>32.4</v>
      </c>
      <c r="R5" s="63">
        <v>32.1</v>
      </c>
      <c r="S5" s="63">
        <v>32.6</v>
      </c>
      <c r="T5" s="63">
        <v>32.299999999999997</v>
      </c>
      <c r="U5" s="63">
        <v>30</v>
      </c>
      <c r="V5" s="63">
        <v>31.5</v>
      </c>
      <c r="W5" s="63">
        <v>30.8</v>
      </c>
      <c r="X5" s="63">
        <v>31.5</v>
      </c>
      <c r="Y5" s="63">
        <v>30.6</v>
      </c>
      <c r="Z5" s="63">
        <v>31.6</v>
      </c>
      <c r="AA5" s="63">
        <v>31</v>
      </c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</v>
      </c>
      <c r="AK5" s="21">
        <f>+MAX($E5:$AI5)</f>
        <v>32.6</v>
      </c>
      <c r="AL5" s="22">
        <v>33.700000000000003</v>
      </c>
      <c r="AM5" s="23">
        <f>IF(AK5&gt;0,$AK5-$AL5,"")</f>
        <v>-1.1000000000000014</v>
      </c>
      <c r="AN5" s="23">
        <v>30.443359430706479</v>
      </c>
      <c r="AO5" s="23">
        <f>IF(COUNTIF(E5:AI5,"&gt;0")&gt;=15,AVERAGE(E5:AI5),"")</f>
        <v>31.795652173913041</v>
      </c>
      <c r="AP5" s="23">
        <f>IF(AN5&gt;0,IFERROR(AO5-AN5,""),"")</f>
        <v>1.3522927432065615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30.4</v>
      </c>
      <c r="F6" s="63">
        <v>31.9</v>
      </c>
      <c r="G6" s="63">
        <v>31.6</v>
      </c>
      <c r="H6" s="68">
        <v>32.1</v>
      </c>
      <c r="I6" s="63">
        <v>31.8</v>
      </c>
      <c r="J6" s="63">
        <v>30.8</v>
      </c>
      <c r="K6" s="63">
        <v>31.8</v>
      </c>
      <c r="L6" s="68">
        <v>32.6</v>
      </c>
      <c r="M6" s="63">
        <v>32.200000000000003</v>
      </c>
      <c r="N6" s="63">
        <v>30.9</v>
      </c>
      <c r="O6" s="63">
        <v>31.1</v>
      </c>
      <c r="P6" s="63">
        <v>31.7</v>
      </c>
      <c r="Q6" s="63">
        <v>32.1</v>
      </c>
      <c r="R6" s="63">
        <v>32.4</v>
      </c>
      <c r="S6" s="63">
        <v>32.1</v>
      </c>
      <c r="T6" s="63">
        <v>32.700000000000003</v>
      </c>
      <c r="U6" s="63">
        <v>30.9</v>
      </c>
      <c r="V6" s="63">
        <v>31.4</v>
      </c>
      <c r="W6" s="63">
        <v>29.4</v>
      </c>
      <c r="X6" s="63">
        <v>31.7</v>
      </c>
      <c r="Y6" s="63">
        <v>31.5</v>
      </c>
      <c r="Z6" s="63">
        <v>31.4</v>
      </c>
      <c r="AA6" s="63">
        <v>29.1</v>
      </c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29.1</v>
      </c>
      <c r="AK6" s="21">
        <f t="shared" ref="AK6:AK48" si="1">+MAX($E6:$AI6)</f>
        <v>32.700000000000003</v>
      </c>
      <c r="AL6" s="22">
        <v>32.799999999999997</v>
      </c>
      <c r="AM6" s="23">
        <f t="shared" ref="AM6:AM48" si="2">IF(AK6&gt;0,$AK6-$AL6,"")</f>
        <v>-9.9999999999994316E-2</v>
      </c>
      <c r="AN6" s="23">
        <v>30.717848543332419</v>
      </c>
      <c r="AO6" s="23">
        <f t="shared" ref="AO6:AO15" si="3">IF(COUNTIF(E6:AI6,"&gt;0")&gt;=15,AVERAGE(E6:AI6),"")</f>
        <v>31.460869565217394</v>
      </c>
      <c r="AP6" s="23">
        <f t="shared" ref="AP6:AP48" si="4">IF(AN6&gt;0,IFERROR(AO6-AN6,""),"")</f>
        <v>0.74302102188497443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34</v>
      </c>
      <c r="F7" s="63">
        <v>34.799999999999997</v>
      </c>
      <c r="G7" s="63">
        <v>32.799999999999997</v>
      </c>
      <c r="H7" s="68">
        <v>32.6</v>
      </c>
      <c r="I7" s="63">
        <v>34</v>
      </c>
      <c r="J7" s="63">
        <v>33.200000000000003</v>
      </c>
      <c r="K7" s="63">
        <v>34.9</v>
      </c>
      <c r="L7" s="68">
        <v>33.799999999999997</v>
      </c>
      <c r="M7" s="63">
        <v>34.299999999999997</v>
      </c>
      <c r="N7" s="63">
        <v>34.6</v>
      </c>
      <c r="O7" s="63">
        <v>35.200000000000003</v>
      </c>
      <c r="P7" s="63">
        <v>34.799999999999997</v>
      </c>
      <c r="Q7" s="63">
        <v>32.299999999999997</v>
      </c>
      <c r="R7" s="63">
        <v>32.6</v>
      </c>
      <c r="S7" s="63">
        <v>35.200000000000003</v>
      </c>
      <c r="T7" s="63">
        <v>34.6</v>
      </c>
      <c r="U7" s="63">
        <v>34.700000000000003</v>
      </c>
      <c r="V7" s="63">
        <v>33.6</v>
      </c>
      <c r="W7" s="63">
        <v>33.4</v>
      </c>
      <c r="X7" s="63">
        <v>33.630000000000003</v>
      </c>
      <c r="Y7" s="67">
        <v>30.4</v>
      </c>
      <c r="Z7" s="63">
        <v>34.4</v>
      </c>
      <c r="AA7" s="63">
        <v>34.6</v>
      </c>
      <c r="AB7" s="63"/>
      <c r="AC7" s="63"/>
      <c r="AD7" s="63"/>
      <c r="AE7" s="63"/>
      <c r="AF7" s="63"/>
      <c r="AG7" s="63"/>
      <c r="AH7" s="63"/>
      <c r="AI7" s="63"/>
      <c r="AJ7" s="36">
        <f t="shared" si="0"/>
        <v>34.6</v>
      </c>
      <c r="AK7" s="21">
        <f t="shared" si="1"/>
        <v>35.200000000000003</v>
      </c>
      <c r="AL7" s="22">
        <v>36.200000000000003</v>
      </c>
      <c r="AM7" s="23">
        <f t="shared" si="2"/>
        <v>-1</v>
      </c>
      <c r="AN7" s="23">
        <v>32.441611386675547</v>
      </c>
      <c r="AO7" s="23">
        <f t="shared" si="3"/>
        <v>33.844782608695652</v>
      </c>
      <c r="AP7" s="23">
        <f t="shared" si="4"/>
        <v>1.4031712220201058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32.200000000000003</v>
      </c>
      <c r="F8" s="63">
        <v>33.299999999999997</v>
      </c>
      <c r="G8" s="63">
        <v>30</v>
      </c>
      <c r="H8" s="68">
        <v>34.4</v>
      </c>
      <c r="I8" s="63">
        <v>33.4</v>
      </c>
      <c r="J8" s="63">
        <v>30.7</v>
      </c>
      <c r="K8" s="63">
        <v>31.3</v>
      </c>
      <c r="L8" s="68">
        <v>32.4</v>
      </c>
      <c r="M8" s="63">
        <v>33.200000000000003</v>
      </c>
      <c r="N8" s="63">
        <v>35.1</v>
      </c>
      <c r="O8" s="63">
        <v>34.1</v>
      </c>
      <c r="P8" s="63">
        <v>33.9</v>
      </c>
      <c r="Q8" s="63">
        <v>30.8</v>
      </c>
      <c r="R8" s="63">
        <v>32.1</v>
      </c>
      <c r="S8" s="63">
        <v>33.200000000000003</v>
      </c>
      <c r="T8" s="63">
        <v>34.700000000000003</v>
      </c>
      <c r="U8" s="63">
        <v>33.1</v>
      </c>
      <c r="V8" s="63">
        <v>32</v>
      </c>
      <c r="W8" s="63">
        <v>33.200000000000003</v>
      </c>
      <c r="X8" s="63">
        <v>31.6</v>
      </c>
      <c r="Y8" s="63">
        <v>29.7</v>
      </c>
      <c r="Z8" s="63">
        <v>31.6</v>
      </c>
      <c r="AA8" s="63">
        <v>33.299999999999997</v>
      </c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33.299999999999997</v>
      </c>
      <c r="AK8" s="21">
        <f t="shared" si="1"/>
        <v>35.1</v>
      </c>
      <c r="AL8" s="22">
        <v>36.299999999999997</v>
      </c>
      <c r="AM8" s="23">
        <f t="shared" si="2"/>
        <v>-1.1999999999999957</v>
      </c>
      <c r="AN8" s="23">
        <v>31.669577308120129</v>
      </c>
      <c r="AO8" s="23">
        <f t="shared" si="3"/>
        <v>32.578260869565227</v>
      </c>
      <c r="AP8" s="23">
        <f t="shared" si="4"/>
        <v>0.90868356144509832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34.299999999999997</v>
      </c>
      <c r="F9" s="63">
        <v>35.6</v>
      </c>
      <c r="G9" s="63">
        <v>32.6</v>
      </c>
      <c r="H9" s="68">
        <v>33.299999999999997</v>
      </c>
      <c r="I9" s="63">
        <v>33.299999999999997</v>
      </c>
      <c r="J9" s="63">
        <v>32.799999999999997</v>
      </c>
      <c r="K9" s="63">
        <v>33.1</v>
      </c>
      <c r="L9" s="68">
        <v>34.4</v>
      </c>
      <c r="M9" s="63">
        <v>37.1</v>
      </c>
      <c r="N9" s="63">
        <v>35</v>
      </c>
      <c r="O9" s="63">
        <v>36.299999999999997</v>
      </c>
      <c r="P9" s="63">
        <v>34.4</v>
      </c>
      <c r="Q9" s="63">
        <v>30.7</v>
      </c>
      <c r="R9" s="63">
        <v>34.700000000000003</v>
      </c>
      <c r="S9" s="63">
        <v>35.1</v>
      </c>
      <c r="T9" s="63">
        <v>36.9</v>
      </c>
      <c r="U9" s="63">
        <v>35.9</v>
      </c>
      <c r="V9" s="63">
        <v>33.799999999999997</v>
      </c>
      <c r="W9" s="63">
        <v>34.299999999999997</v>
      </c>
      <c r="X9" s="63">
        <v>33.5</v>
      </c>
      <c r="Y9" s="63">
        <v>29</v>
      </c>
      <c r="Z9" s="63">
        <v>34.700000000000003</v>
      </c>
      <c r="AA9" s="63">
        <v>35.799999999999997</v>
      </c>
      <c r="AB9" s="63"/>
      <c r="AC9" s="63"/>
      <c r="AD9" s="63"/>
      <c r="AE9" s="63"/>
      <c r="AF9" s="63"/>
      <c r="AG9" s="63"/>
      <c r="AH9" s="63"/>
      <c r="AI9" s="63"/>
      <c r="AJ9" s="36">
        <f t="shared" si="0"/>
        <v>35.799999999999997</v>
      </c>
      <c r="AK9" s="21">
        <f t="shared" si="1"/>
        <v>37.1</v>
      </c>
      <c r="AL9" s="22">
        <v>38.6</v>
      </c>
      <c r="AM9" s="23">
        <f t="shared" si="2"/>
        <v>-1.5</v>
      </c>
      <c r="AN9" s="23">
        <v>32.761763857435128</v>
      </c>
      <c r="AO9" s="23">
        <f t="shared" si="3"/>
        <v>34.199999999999996</v>
      </c>
      <c r="AP9" s="23">
        <f t="shared" si="4"/>
        <v>1.4382361425648682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35.1</v>
      </c>
      <c r="F10" s="63">
        <v>35.9</v>
      </c>
      <c r="G10" s="63">
        <v>36.1</v>
      </c>
      <c r="H10" s="68">
        <v>32.299999999999997</v>
      </c>
      <c r="I10" s="63">
        <v>37.1</v>
      </c>
      <c r="J10" s="63">
        <v>33.4</v>
      </c>
      <c r="K10" s="63">
        <v>33</v>
      </c>
      <c r="L10" s="68">
        <v>32.4</v>
      </c>
      <c r="M10" s="63">
        <v>34.299999999999997</v>
      </c>
      <c r="N10" s="63">
        <v>36.200000000000003</v>
      </c>
      <c r="O10" s="63">
        <v>34.5</v>
      </c>
      <c r="P10" s="63">
        <v>32.9</v>
      </c>
      <c r="Q10" s="63">
        <v>29.7</v>
      </c>
      <c r="R10" s="63">
        <v>34.200000000000003</v>
      </c>
      <c r="S10" s="63">
        <v>34.6</v>
      </c>
      <c r="T10" s="63">
        <v>35.5</v>
      </c>
      <c r="U10" s="63">
        <v>34.9</v>
      </c>
      <c r="V10" s="63">
        <v>31.5</v>
      </c>
      <c r="W10" s="63">
        <v>33.4</v>
      </c>
      <c r="X10" s="63">
        <v>35.5</v>
      </c>
      <c r="Y10" s="63">
        <v>30</v>
      </c>
      <c r="Z10" s="63">
        <v>31.2</v>
      </c>
      <c r="AA10" s="63">
        <v>33.799999999999997</v>
      </c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33.799999999999997</v>
      </c>
      <c r="AK10" s="21">
        <f t="shared" si="1"/>
        <v>37.1</v>
      </c>
      <c r="AL10" s="22">
        <v>38.299999999999997</v>
      </c>
      <c r="AM10" s="23">
        <f t="shared" si="2"/>
        <v>-1.1999999999999957</v>
      </c>
      <c r="AN10" s="23">
        <v>32.785964355708913</v>
      </c>
      <c r="AO10" s="23">
        <f t="shared" si="3"/>
        <v>33.804347826086953</v>
      </c>
      <c r="AP10" s="23">
        <f t="shared" si="4"/>
        <v>1.0183834703780406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34.4</v>
      </c>
      <c r="F11" s="63">
        <v>35.5</v>
      </c>
      <c r="G11" s="63">
        <v>33.200000000000003</v>
      </c>
      <c r="H11" s="68">
        <v>34.200000000000003</v>
      </c>
      <c r="I11" s="63">
        <v>37.6</v>
      </c>
      <c r="J11" s="63">
        <v>34.4</v>
      </c>
      <c r="K11" s="63">
        <v>35.299999999999997</v>
      </c>
      <c r="L11" s="68">
        <v>34.6</v>
      </c>
      <c r="M11" s="63">
        <v>35.9</v>
      </c>
      <c r="N11" s="63">
        <v>35.6</v>
      </c>
      <c r="O11" s="63">
        <v>35.6</v>
      </c>
      <c r="P11" s="63">
        <v>32.799999999999997</v>
      </c>
      <c r="Q11" s="63">
        <v>32.799999999999997</v>
      </c>
      <c r="R11" s="63">
        <v>32.5</v>
      </c>
      <c r="S11" s="63">
        <v>36</v>
      </c>
      <c r="T11" s="63">
        <v>36.700000000000003</v>
      </c>
      <c r="U11" s="63">
        <v>34.4</v>
      </c>
      <c r="V11" s="63">
        <v>32.9</v>
      </c>
      <c r="W11" s="63">
        <v>34.799999999999997</v>
      </c>
      <c r="X11" s="63">
        <v>35.799999999999997</v>
      </c>
      <c r="Y11" s="63">
        <v>28.8</v>
      </c>
      <c r="Z11" s="63">
        <v>34</v>
      </c>
      <c r="AA11" s="63">
        <v>35.4</v>
      </c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35.4</v>
      </c>
      <c r="AK11" s="21">
        <f t="shared" si="1"/>
        <v>37.6</v>
      </c>
      <c r="AL11" s="22">
        <v>39</v>
      </c>
      <c r="AM11" s="23">
        <f t="shared" si="2"/>
        <v>-1.3999999999999986</v>
      </c>
      <c r="AN11" s="23">
        <v>33.037447232178422</v>
      </c>
      <c r="AO11" s="23">
        <f t="shared" si="3"/>
        <v>34.486956521739124</v>
      </c>
      <c r="AP11" s="23">
        <f t="shared" si="4"/>
        <v>1.4495092895607016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30.8</v>
      </c>
      <c r="G12" s="63">
        <v>25.2</v>
      </c>
      <c r="H12" s="68">
        <v>29.4</v>
      </c>
      <c r="I12" s="63">
        <v>33.6</v>
      </c>
      <c r="J12" s="63">
        <v>28.2</v>
      </c>
      <c r="K12" s="63">
        <v>32.6</v>
      </c>
      <c r="L12" s="68">
        <v>32.200000000000003</v>
      </c>
      <c r="M12" s="63">
        <v>34.200000000000003</v>
      </c>
      <c r="N12" s="63">
        <v>33.4</v>
      </c>
      <c r="O12" s="63">
        <v>33.799999999999997</v>
      </c>
      <c r="P12" s="63">
        <v>31.4</v>
      </c>
      <c r="Q12" s="63">
        <v>27.8</v>
      </c>
      <c r="R12" s="63">
        <v>32.799999999999997</v>
      </c>
      <c r="S12" s="63">
        <v>34.799999999999997</v>
      </c>
      <c r="T12" s="63">
        <v>35</v>
      </c>
      <c r="U12" s="63">
        <v>29.4</v>
      </c>
      <c r="V12" s="63">
        <v>29.2</v>
      </c>
      <c r="W12" s="63">
        <v>32.200000000000003</v>
      </c>
      <c r="X12" s="63">
        <v>29</v>
      </c>
      <c r="Y12" s="63">
        <v>30.4</v>
      </c>
      <c r="Z12" s="63">
        <v>33.4</v>
      </c>
      <c r="AA12" s="63">
        <v>33.6</v>
      </c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33.6</v>
      </c>
      <c r="AK12" s="21">
        <f t="shared" si="1"/>
        <v>35</v>
      </c>
      <c r="AL12" s="22">
        <v>35.4</v>
      </c>
      <c r="AM12" s="23">
        <f t="shared" si="2"/>
        <v>-0.39999999999999858</v>
      </c>
      <c r="AN12" s="23">
        <v>31.112293906810031</v>
      </c>
      <c r="AO12" s="23">
        <f t="shared" si="3"/>
        <v>31.582608695652176</v>
      </c>
      <c r="AP12" s="23">
        <f t="shared" si="4"/>
        <v>0.4703147888421455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33.799999999999997</v>
      </c>
      <c r="F13" s="63">
        <v>32.4</v>
      </c>
      <c r="G13" s="63">
        <v>26.6</v>
      </c>
      <c r="H13" s="68">
        <v>30.4</v>
      </c>
      <c r="I13" s="63">
        <v>34.4</v>
      </c>
      <c r="J13" s="63">
        <v>29</v>
      </c>
      <c r="K13" s="63">
        <v>33</v>
      </c>
      <c r="L13" s="68">
        <v>33.6</v>
      </c>
      <c r="M13" s="63">
        <v>34.799999999999997</v>
      </c>
      <c r="N13" s="63">
        <v>33.200000000000003</v>
      </c>
      <c r="O13" s="63">
        <v>34.799999999999997</v>
      </c>
      <c r="P13" s="63">
        <v>32</v>
      </c>
      <c r="Q13" s="63">
        <v>28.4</v>
      </c>
      <c r="R13" s="63">
        <v>33.799999999999997</v>
      </c>
      <c r="S13" s="63">
        <v>35.4</v>
      </c>
      <c r="T13" s="63">
        <v>35.4</v>
      </c>
      <c r="U13" s="63">
        <v>32.200000000000003</v>
      </c>
      <c r="V13" s="63">
        <v>29</v>
      </c>
      <c r="W13" s="63">
        <v>32.799999999999997</v>
      </c>
      <c r="X13" s="63">
        <v>29</v>
      </c>
      <c r="Y13" s="63">
        <v>33.4</v>
      </c>
      <c r="Z13" s="63">
        <v>34</v>
      </c>
      <c r="AA13" s="63">
        <v>34.200000000000003</v>
      </c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34.200000000000003</v>
      </c>
      <c r="AK13" s="21">
        <f t="shared" si="1"/>
        <v>35.4</v>
      </c>
      <c r="AL13" s="22">
        <v>35.799999999999997</v>
      </c>
      <c r="AM13" s="23">
        <f t="shared" si="2"/>
        <v>-0.39999999999999858</v>
      </c>
      <c r="AN13" s="23">
        <v>31.684333333333331</v>
      </c>
      <c r="AO13" s="23">
        <f t="shared" si="3"/>
        <v>32.417391304347824</v>
      </c>
      <c r="AP13" s="23">
        <f t="shared" si="4"/>
        <v>0.73305797101449244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34.799999999999997</v>
      </c>
      <c r="F14" s="63">
        <v>31.9</v>
      </c>
      <c r="G14" s="63">
        <v>26.3</v>
      </c>
      <c r="H14" s="68">
        <v>32.200000000000003</v>
      </c>
      <c r="I14" s="63">
        <v>35.200000000000003</v>
      </c>
      <c r="J14" s="63">
        <v>30.7</v>
      </c>
      <c r="K14" s="63">
        <v>34.200000000000003</v>
      </c>
      <c r="L14" s="68">
        <v>32.1</v>
      </c>
      <c r="M14" s="63">
        <v>34.299999999999997</v>
      </c>
      <c r="N14" s="63">
        <v>34.6</v>
      </c>
      <c r="O14" s="63">
        <v>34.1</v>
      </c>
      <c r="P14" s="63">
        <v>32.700000000000003</v>
      </c>
      <c r="Q14" s="63">
        <v>31</v>
      </c>
      <c r="R14" s="63">
        <v>34.200000000000003</v>
      </c>
      <c r="S14" s="63">
        <v>35.299999999999997</v>
      </c>
      <c r="T14" s="63">
        <v>35.1</v>
      </c>
      <c r="U14" s="63">
        <v>29.7</v>
      </c>
      <c r="V14" s="63">
        <v>31</v>
      </c>
      <c r="W14" s="63">
        <v>33.9</v>
      </c>
      <c r="X14" s="63">
        <v>30.5</v>
      </c>
      <c r="Y14" s="63">
        <v>30.3</v>
      </c>
      <c r="Z14" s="63">
        <v>33.6</v>
      </c>
      <c r="AA14" s="63">
        <v>33.9</v>
      </c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33.9</v>
      </c>
      <c r="AK14" s="21">
        <f t="shared" si="1"/>
        <v>35.299999999999997</v>
      </c>
      <c r="AL14" s="22">
        <v>36.5</v>
      </c>
      <c r="AM14" s="23">
        <f t="shared" si="2"/>
        <v>-1.2000000000000028</v>
      </c>
      <c r="AN14" s="23">
        <v>32.443225831073327</v>
      </c>
      <c r="AO14" s="23">
        <f t="shared" si="3"/>
        <v>32.678260869565221</v>
      </c>
      <c r="AP14" s="23">
        <f t="shared" si="4"/>
        <v>0.235035038491894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33.799999999999997</v>
      </c>
      <c r="F15" s="63">
        <v>31.9</v>
      </c>
      <c r="G15" s="70">
        <v>24.4</v>
      </c>
      <c r="H15" s="68">
        <v>32.1</v>
      </c>
      <c r="I15" s="63">
        <v>33.6</v>
      </c>
      <c r="J15" s="63">
        <v>31.1</v>
      </c>
      <c r="K15" s="63">
        <v>32.9</v>
      </c>
      <c r="L15" s="68">
        <v>34.200000000000003</v>
      </c>
      <c r="M15" s="63">
        <v>33.799999999999997</v>
      </c>
      <c r="N15" s="63">
        <v>31.6</v>
      </c>
      <c r="O15" s="63">
        <v>32.6</v>
      </c>
      <c r="P15" s="63">
        <v>29.3</v>
      </c>
      <c r="Q15" s="63">
        <v>26.8</v>
      </c>
      <c r="R15" s="63">
        <v>34.200000000000003</v>
      </c>
      <c r="S15" s="63">
        <v>33.200000000000003</v>
      </c>
      <c r="T15" s="63">
        <v>31.7</v>
      </c>
      <c r="U15" s="63">
        <v>32</v>
      </c>
      <c r="V15" s="63">
        <v>33.4</v>
      </c>
      <c r="W15" s="63">
        <v>32.6</v>
      </c>
      <c r="X15" s="63">
        <v>31.8</v>
      </c>
      <c r="Y15" s="63">
        <v>27.3</v>
      </c>
      <c r="Z15" s="63">
        <v>33.1</v>
      </c>
      <c r="AA15" s="63">
        <v>31.5</v>
      </c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31.5</v>
      </c>
      <c r="AK15" s="21">
        <f t="shared" si="1"/>
        <v>34.200000000000003</v>
      </c>
      <c r="AL15" s="22">
        <v>35.4</v>
      </c>
      <c r="AM15" s="23">
        <f t="shared" si="2"/>
        <v>-1.1999999999999957</v>
      </c>
      <c r="AN15" s="23">
        <v>31.744999041080131</v>
      </c>
      <c r="AO15" s="23">
        <f t="shared" si="3"/>
        <v>31.691304347826087</v>
      </c>
      <c r="AP15" s="23">
        <f t="shared" si="4"/>
        <v>-5.3694693254044523E-2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6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33.200000000000003</v>
      </c>
      <c r="F17" s="63">
        <v>31.2</v>
      </c>
      <c r="G17" s="63">
        <v>29.6</v>
      </c>
      <c r="H17" s="68">
        <v>34</v>
      </c>
      <c r="I17" s="63">
        <v>35.4</v>
      </c>
      <c r="J17" s="63">
        <v>32.6</v>
      </c>
      <c r="K17" s="63">
        <v>33</v>
      </c>
      <c r="L17" s="68">
        <v>34.700000000000003</v>
      </c>
      <c r="M17" s="63">
        <v>31</v>
      </c>
      <c r="N17" s="63">
        <v>31.4</v>
      </c>
      <c r="O17" s="63">
        <v>34.6</v>
      </c>
      <c r="P17" s="63">
        <v>27.4</v>
      </c>
      <c r="Q17" s="63">
        <v>27.2</v>
      </c>
      <c r="R17" s="63">
        <v>33.799999999999997</v>
      </c>
      <c r="S17" s="63">
        <v>35.299999999999997</v>
      </c>
      <c r="T17" s="63">
        <v>32</v>
      </c>
      <c r="U17" s="63">
        <v>30.5</v>
      </c>
      <c r="V17" s="63">
        <v>27.4</v>
      </c>
      <c r="W17" s="63">
        <v>31.9</v>
      </c>
      <c r="X17" s="63">
        <v>34.200000000000003</v>
      </c>
      <c r="Y17" s="63">
        <v>30</v>
      </c>
      <c r="Z17" s="63">
        <v>31.2</v>
      </c>
      <c r="AA17" s="63">
        <v>35.4</v>
      </c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35.4</v>
      </c>
      <c r="AK17" s="21">
        <f t="shared" si="1"/>
        <v>35.4</v>
      </c>
      <c r="AL17" s="22">
        <v>35.799999999999997</v>
      </c>
      <c r="AM17" s="23">
        <f t="shared" si="2"/>
        <v>-0.39999999999999858</v>
      </c>
      <c r="AN17" s="23">
        <v>31.434330151415409</v>
      </c>
      <c r="AO17" s="23">
        <f>IF(COUNTIF(E17:AI17,"&gt;0")&gt;=15,AVERAGE(E17:AI17),"")</f>
        <v>32.043478260869563</v>
      </c>
      <c r="AP17" s="23">
        <f>IF(AN17&gt;0,IFERROR(AO17-AN17,""),"")</f>
        <v>0.60914810945415354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</v>
      </c>
      <c r="F18" s="63">
        <v>28</v>
      </c>
      <c r="G18" s="63">
        <v>25</v>
      </c>
      <c r="H18" s="68">
        <v>30</v>
      </c>
      <c r="I18" s="63">
        <v>29.8</v>
      </c>
      <c r="J18" s="63">
        <v>26.8</v>
      </c>
      <c r="K18" s="63">
        <v>28.4</v>
      </c>
      <c r="L18" s="68">
        <v>27.4</v>
      </c>
      <c r="M18" s="63">
        <v>27.6</v>
      </c>
      <c r="N18" s="63">
        <v>26.7</v>
      </c>
      <c r="O18" s="63">
        <v>29</v>
      </c>
      <c r="P18" s="63">
        <v>25.1</v>
      </c>
      <c r="Q18" s="63">
        <v>23.9</v>
      </c>
      <c r="R18" s="63">
        <v>28.4</v>
      </c>
      <c r="S18" s="63">
        <v>29.9</v>
      </c>
      <c r="T18" s="63">
        <v>27.8</v>
      </c>
      <c r="U18" s="63">
        <v>27.8</v>
      </c>
      <c r="V18" s="63">
        <v>24.1</v>
      </c>
      <c r="W18" s="63">
        <v>28.6</v>
      </c>
      <c r="X18" s="63">
        <v>29.1</v>
      </c>
      <c r="Y18" s="63">
        <v>25.6</v>
      </c>
      <c r="Z18" s="63">
        <v>28.6</v>
      </c>
      <c r="AA18" s="63">
        <v>30.2</v>
      </c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30.2</v>
      </c>
      <c r="AK18" s="21">
        <f t="shared" si="1"/>
        <v>30.2</v>
      </c>
      <c r="AL18" s="22">
        <v>32.4</v>
      </c>
      <c r="AM18" s="23">
        <f t="shared" si="2"/>
        <v>-2.1999999999999993</v>
      </c>
      <c r="AN18" s="23">
        <v>25.64850703060381</v>
      </c>
      <c r="AO18" s="23">
        <f t="shared" ref="AO18:AO33" si="5">IF(COUNTIF(E18:AI18,"&gt;0")&gt;=15,AVERAGE(E18:AI18),"")</f>
        <v>27.643478260869575</v>
      </c>
      <c r="AP18" s="23">
        <f t="shared" si="4"/>
        <v>1.9949712302657652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35.700000000000003</v>
      </c>
      <c r="F19" s="63">
        <v>36.200000000000003</v>
      </c>
      <c r="G19" s="63">
        <v>36.4</v>
      </c>
      <c r="H19" s="68">
        <v>35</v>
      </c>
      <c r="I19" s="63">
        <v>36.1</v>
      </c>
      <c r="J19" s="63">
        <v>36.299999999999997</v>
      </c>
      <c r="K19" s="63">
        <v>31.8</v>
      </c>
      <c r="L19" s="68">
        <v>36.9</v>
      </c>
      <c r="M19" s="63">
        <v>36.4</v>
      </c>
      <c r="N19" s="63">
        <v>33.5</v>
      </c>
      <c r="O19" s="63">
        <v>35.1</v>
      </c>
      <c r="P19" s="63">
        <v>32.4</v>
      </c>
      <c r="Q19" s="63">
        <v>29.9</v>
      </c>
      <c r="R19" s="63">
        <v>34.200000000000003</v>
      </c>
      <c r="S19" s="63">
        <v>36</v>
      </c>
      <c r="T19" s="63">
        <v>37</v>
      </c>
      <c r="U19" s="63">
        <v>37</v>
      </c>
      <c r="V19" s="63">
        <v>35.4</v>
      </c>
      <c r="W19" s="63">
        <v>38.1</v>
      </c>
      <c r="X19" s="63">
        <v>37.5</v>
      </c>
      <c r="Y19" s="63">
        <v>33.6</v>
      </c>
      <c r="Z19" s="63">
        <v>37</v>
      </c>
      <c r="AA19" s="63">
        <v>37.700000000000003</v>
      </c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37.700000000000003</v>
      </c>
      <c r="AK19" s="21">
        <f t="shared" si="1"/>
        <v>38.1</v>
      </c>
      <c r="AL19" s="22">
        <v>38.200000000000003</v>
      </c>
      <c r="AM19" s="23">
        <f t="shared" si="2"/>
        <v>-0.10000000000000142</v>
      </c>
      <c r="AN19" s="23">
        <v>33.015015853322303</v>
      </c>
      <c r="AO19" s="23">
        <f t="shared" si="5"/>
        <v>35.443478260869561</v>
      </c>
      <c r="AP19" s="23">
        <f t="shared" si="4"/>
        <v>2.4284624075472578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30.1</v>
      </c>
      <c r="F20" s="63">
        <v>28</v>
      </c>
      <c r="G20" s="63">
        <v>26</v>
      </c>
      <c r="H20" s="68">
        <v>29.6</v>
      </c>
      <c r="I20" s="63">
        <v>32.5</v>
      </c>
      <c r="J20" s="63">
        <v>25.8</v>
      </c>
      <c r="K20" s="63">
        <v>31</v>
      </c>
      <c r="L20" s="68">
        <v>29.5</v>
      </c>
      <c r="M20" s="63">
        <v>31.7</v>
      </c>
      <c r="N20" s="63">
        <v>26.1</v>
      </c>
      <c r="O20" s="63">
        <v>28.8</v>
      </c>
      <c r="P20" s="63">
        <v>22.6</v>
      </c>
      <c r="Q20" s="63">
        <v>23.4</v>
      </c>
      <c r="R20" s="63">
        <v>30.4</v>
      </c>
      <c r="S20" s="63">
        <v>32.9</v>
      </c>
      <c r="T20" s="63">
        <v>25.5</v>
      </c>
      <c r="U20" s="63">
        <v>30</v>
      </c>
      <c r="V20" s="63">
        <v>28.7</v>
      </c>
      <c r="W20" s="63">
        <v>25.1</v>
      </c>
      <c r="X20" s="63">
        <v>29.2</v>
      </c>
      <c r="Y20" s="63">
        <v>23.9</v>
      </c>
      <c r="Z20" s="63">
        <v>31.4</v>
      </c>
      <c r="AA20" s="63">
        <v>30.8</v>
      </c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30.8</v>
      </c>
      <c r="AK20" s="21">
        <f t="shared" si="1"/>
        <v>32.9</v>
      </c>
      <c r="AL20" s="22">
        <v>31.9</v>
      </c>
      <c r="AM20" s="23">
        <f t="shared" si="2"/>
        <v>1</v>
      </c>
      <c r="AN20" s="23">
        <v>27.292235561863119</v>
      </c>
      <c r="AO20" s="23">
        <f t="shared" si="5"/>
        <v>28.391304347826086</v>
      </c>
      <c r="AP20" s="23">
        <f t="shared" si="4"/>
        <v>1.0990687859629666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24.8</v>
      </c>
      <c r="F21" s="63">
        <v>23.3</v>
      </c>
      <c r="G21" s="63">
        <v>22</v>
      </c>
      <c r="H21" s="68">
        <v>25</v>
      </c>
      <c r="I21" s="63">
        <v>26</v>
      </c>
      <c r="J21" s="63">
        <v>23.3</v>
      </c>
      <c r="K21" s="63">
        <v>23.6</v>
      </c>
      <c r="L21" s="68">
        <v>23.3</v>
      </c>
      <c r="M21" s="63">
        <v>25.6</v>
      </c>
      <c r="N21" s="63">
        <v>22.7</v>
      </c>
      <c r="O21" s="63">
        <v>23.6</v>
      </c>
      <c r="P21" s="63">
        <v>18.600000000000001</v>
      </c>
      <c r="Q21" s="63">
        <v>19</v>
      </c>
      <c r="R21" s="63">
        <v>24.5</v>
      </c>
      <c r="S21" s="63">
        <v>26.6</v>
      </c>
      <c r="T21" s="63">
        <v>21.7</v>
      </c>
      <c r="U21" s="63">
        <v>23.8</v>
      </c>
      <c r="V21" s="63">
        <v>22.2</v>
      </c>
      <c r="W21" s="63">
        <v>20.6</v>
      </c>
      <c r="X21" s="63">
        <v>22.5</v>
      </c>
      <c r="Y21" s="63">
        <v>20.2</v>
      </c>
      <c r="Z21" s="63">
        <v>25.2</v>
      </c>
      <c r="AA21" s="63">
        <v>24.6</v>
      </c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24.6</v>
      </c>
      <c r="AK21" s="21">
        <f t="shared" si="1"/>
        <v>26.6</v>
      </c>
      <c r="AL21" s="22">
        <v>25.6</v>
      </c>
      <c r="AM21" s="23">
        <f t="shared" si="2"/>
        <v>1</v>
      </c>
      <c r="AN21" s="23">
        <v>21.943225806451611</v>
      </c>
      <c r="AO21" s="23">
        <f t="shared" si="5"/>
        <v>23.160869565217393</v>
      </c>
      <c r="AP21" s="23">
        <f t="shared" si="4"/>
        <v>1.2176437587657816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6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25</v>
      </c>
      <c r="AM22" s="23" t="str">
        <f t="shared" si="2"/>
        <v/>
      </c>
      <c r="AN22" s="23">
        <v>20.613155351265601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28.5</v>
      </c>
      <c r="F23" s="63">
        <v>27.2</v>
      </c>
      <c r="G23" s="63">
        <v>25.8</v>
      </c>
      <c r="H23" s="68">
        <v>30</v>
      </c>
      <c r="I23" s="63">
        <v>29.9</v>
      </c>
      <c r="J23" s="63">
        <v>26.7</v>
      </c>
      <c r="K23" s="63">
        <v>28.5</v>
      </c>
      <c r="L23" s="68">
        <v>29</v>
      </c>
      <c r="M23" s="63">
        <v>30.1</v>
      </c>
      <c r="N23" s="63">
        <v>25.8</v>
      </c>
      <c r="O23" s="63">
        <v>27.9</v>
      </c>
      <c r="P23" s="63">
        <v>24.8</v>
      </c>
      <c r="Q23" s="63">
        <v>25.2</v>
      </c>
      <c r="R23" s="63">
        <v>28.4</v>
      </c>
      <c r="S23" s="63">
        <v>30.4</v>
      </c>
      <c r="T23" s="63">
        <v>24.7</v>
      </c>
      <c r="U23" s="63">
        <v>27.6</v>
      </c>
      <c r="V23" s="63">
        <v>28.6</v>
      </c>
      <c r="W23" s="63">
        <v>24.8</v>
      </c>
      <c r="X23" s="63">
        <v>29.2</v>
      </c>
      <c r="Y23" s="63">
        <v>24</v>
      </c>
      <c r="Z23" s="63">
        <v>29.4</v>
      </c>
      <c r="AA23" s="63">
        <v>30.6</v>
      </c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30.6</v>
      </c>
      <c r="AK23" s="21">
        <f t="shared" si="1"/>
        <v>30.6</v>
      </c>
      <c r="AL23" s="22">
        <v>31.3</v>
      </c>
      <c r="AM23" s="23">
        <f t="shared" si="2"/>
        <v>-0.69999999999999929</v>
      </c>
      <c r="AN23" s="23">
        <v>26.187468982630271</v>
      </c>
      <c r="AO23" s="23">
        <f t="shared" si="5"/>
        <v>27.7</v>
      </c>
      <c r="AP23" s="23">
        <f t="shared" si="4"/>
        <v>1.5125310173697279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29.1</v>
      </c>
      <c r="F24" s="63">
        <v>28</v>
      </c>
      <c r="G24" s="63">
        <v>27.6</v>
      </c>
      <c r="H24" s="68">
        <v>30.1</v>
      </c>
      <c r="I24" s="63">
        <v>29.7</v>
      </c>
      <c r="J24" s="63">
        <v>27.1</v>
      </c>
      <c r="K24" s="63">
        <v>29.6</v>
      </c>
      <c r="L24" s="68">
        <v>28.1</v>
      </c>
      <c r="M24" s="63">
        <v>30.1</v>
      </c>
      <c r="N24" s="63">
        <v>26.9</v>
      </c>
      <c r="O24" s="63">
        <v>27.8</v>
      </c>
      <c r="P24" s="63">
        <v>24.7</v>
      </c>
      <c r="Q24" s="63">
        <v>25.8</v>
      </c>
      <c r="R24" s="63">
        <v>28</v>
      </c>
      <c r="S24" s="63">
        <v>31.5</v>
      </c>
      <c r="T24" s="63">
        <v>28.1</v>
      </c>
      <c r="U24" s="63">
        <v>28.1</v>
      </c>
      <c r="V24" s="63">
        <v>29.3</v>
      </c>
      <c r="W24" s="63">
        <v>25.9</v>
      </c>
      <c r="X24" s="63">
        <v>29.9</v>
      </c>
      <c r="Y24" s="63">
        <v>24.7</v>
      </c>
      <c r="Z24" s="63">
        <v>29.1</v>
      </c>
      <c r="AA24" s="63">
        <v>30.1</v>
      </c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30.1</v>
      </c>
      <c r="AK24" s="21">
        <f t="shared" si="1"/>
        <v>31.5</v>
      </c>
      <c r="AL24" s="22">
        <v>32.799999999999997</v>
      </c>
      <c r="AM24" s="23">
        <f t="shared" si="2"/>
        <v>-1.2999999999999972</v>
      </c>
      <c r="AN24" s="23">
        <v>27.362560803891451</v>
      </c>
      <c r="AO24" s="23">
        <f t="shared" si="5"/>
        <v>28.2304347826087</v>
      </c>
      <c r="AP24" s="23">
        <f t="shared" si="4"/>
        <v>0.86787397871724892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29</v>
      </c>
      <c r="F25" s="63">
        <v>30.3</v>
      </c>
      <c r="G25" s="63">
        <v>29</v>
      </c>
      <c r="H25" s="68">
        <v>30.2</v>
      </c>
      <c r="I25" s="63">
        <v>31.8</v>
      </c>
      <c r="J25" s="63">
        <v>30.7</v>
      </c>
      <c r="K25" s="63">
        <v>29.9</v>
      </c>
      <c r="L25" s="68">
        <v>30</v>
      </c>
      <c r="M25" s="63">
        <v>29.8</v>
      </c>
      <c r="N25" s="63">
        <v>27.8</v>
      </c>
      <c r="O25" s="63">
        <v>30.7</v>
      </c>
      <c r="P25" s="63">
        <v>26</v>
      </c>
      <c r="Q25" s="63">
        <v>27</v>
      </c>
      <c r="R25" s="63">
        <v>30.4</v>
      </c>
      <c r="S25" s="63">
        <v>32.799999999999997</v>
      </c>
      <c r="T25" s="63">
        <v>30.3</v>
      </c>
      <c r="U25" s="63">
        <v>32</v>
      </c>
      <c r="V25" s="63">
        <v>28.4</v>
      </c>
      <c r="W25" s="63">
        <v>30</v>
      </c>
      <c r="X25" s="63">
        <v>32</v>
      </c>
      <c r="Y25" s="63">
        <v>28.9</v>
      </c>
      <c r="Z25" s="63">
        <v>31.4</v>
      </c>
      <c r="AA25" s="63">
        <v>33.700000000000003</v>
      </c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33.700000000000003</v>
      </c>
      <c r="AK25" s="21">
        <f t="shared" si="1"/>
        <v>33.700000000000003</v>
      </c>
      <c r="AL25" s="22">
        <v>36.5</v>
      </c>
      <c r="AM25" s="23">
        <f t="shared" si="2"/>
        <v>-2.7999999999999972</v>
      </c>
      <c r="AN25" s="23">
        <v>28.863902868824429</v>
      </c>
      <c r="AO25" s="23">
        <f t="shared" si="5"/>
        <v>30.091304347826089</v>
      </c>
      <c r="AP25" s="23">
        <f t="shared" si="4"/>
        <v>1.2274014790016601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22.3</v>
      </c>
      <c r="F26" s="63">
        <v>20.2</v>
      </c>
      <c r="G26" s="63">
        <v>19.7</v>
      </c>
      <c r="H26" s="68">
        <v>21.9</v>
      </c>
      <c r="I26" s="63">
        <v>24.4</v>
      </c>
      <c r="J26" s="63">
        <v>21.4</v>
      </c>
      <c r="K26" s="63">
        <v>21</v>
      </c>
      <c r="L26" s="68">
        <v>21.4</v>
      </c>
      <c r="M26" s="63">
        <v>21.4</v>
      </c>
      <c r="N26" s="63">
        <v>18.899999999999999</v>
      </c>
      <c r="O26" s="63">
        <v>20.3</v>
      </c>
      <c r="P26" s="63">
        <v>18</v>
      </c>
      <c r="Q26" s="63">
        <v>19.5</v>
      </c>
      <c r="R26" s="63">
        <v>22.4</v>
      </c>
      <c r="S26" s="63">
        <v>23.9</v>
      </c>
      <c r="T26" s="63">
        <v>21.6</v>
      </c>
      <c r="U26" s="63">
        <v>21.8</v>
      </c>
      <c r="V26" s="63">
        <v>20.100000000000001</v>
      </c>
      <c r="W26" s="63">
        <v>22.6</v>
      </c>
      <c r="X26" s="63">
        <v>22.3</v>
      </c>
      <c r="Y26" s="63">
        <v>19.8</v>
      </c>
      <c r="Z26" s="63">
        <v>23</v>
      </c>
      <c r="AA26" s="63">
        <v>22.7</v>
      </c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22.7</v>
      </c>
      <c r="AK26" s="21">
        <f t="shared" si="1"/>
        <v>24.4</v>
      </c>
      <c r="AL26" s="22">
        <v>23.6</v>
      </c>
      <c r="AM26" s="23">
        <f t="shared" si="2"/>
        <v>0.79999999999999716</v>
      </c>
      <c r="AN26" s="23">
        <v>19.420634169110251</v>
      </c>
      <c r="AO26" s="23">
        <f t="shared" si="5"/>
        <v>21.330434782608698</v>
      </c>
      <c r="AP26" s="23">
        <f t="shared" si="4"/>
        <v>1.9098006134984473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23.2</v>
      </c>
      <c r="F27" s="63">
        <v>19.2</v>
      </c>
      <c r="G27" s="63">
        <v>19.8</v>
      </c>
      <c r="H27" s="68">
        <v>22.2</v>
      </c>
      <c r="I27" s="63">
        <v>24.4</v>
      </c>
      <c r="J27" s="63">
        <v>24.2</v>
      </c>
      <c r="K27" s="63">
        <v>21.6</v>
      </c>
      <c r="L27" s="68">
        <v>22.6</v>
      </c>
      <c r="M27" s="63">
        <v>22.4</v>
      </c>
      <c r="N27" s="63">
        <v>20.6</v>
      </c>
      <c r="O27" s="63">
        <v>22.2</v>
      </c>
      <c r="P27" s="63">
        <v>21</v>
      </c>
      <c r="Q27" s="63">
        <v>22.2</v>
      </c>
      <c r="R27" s="63">
        <v>23.6</v>
      </c>
      <c r="S27" s="63">
        <v>23.6</v>
      </c>
      <c r="T27" s="63">
        <v>22.2</v>
      </c>
      <c r="U27" s="63">
        <v>23</v>
      </c>
      <c r="V27" s="63">
        <v>22</v>
      </c>
      <c r="W27" s="63">
        <v>22.2</v>
      </c>
      <c r="X27" s="63">
        <v>22.4</v>
      </c>
      <c r="Y27" s="63">
        <v>20.6</v>
      </c>
      <c r="Z27" s="63">
        <v>22.6</v>
      </c>
      <c r="AA27" s="63">
        <v>21.2</v>
      </c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21.2</v>
      </c>
      <c r="AK27" s="21">
        <f t="shared" si="1"/>
        <v>24.4</v>
      </c>
      <c r="AL27" s="22">
        <v>24</v>
      </c>
      <c r="AM27" s="23">
        <f t="shared" si="2"/>
        <v>0.39999999999999858</v>
      </c>
      <c r="AN27" s="23">
        <v>18.654668342410279</v>
      </c>
      <c r="AO27" s="23">
        <f t="shared" si="5"/>
        <v>22.130434782608695</v>
      </c>
      <c r="AP27" s="23">
        <f t="shared" si="4"/>
        <v>3.4757664401984165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30.8</v>
      </c>
      <c r="F28" s="63">
        <v>30.2</v>
      </c>
      <c r="G28" s="63">
        <v>30.9</v>
      </c>
      <c r="H28" s="68">
        <v>33.4</v>
      </c>
      <c r="I28" s="63">
        <v>32.799999999999997</v>
      </c>
      <c r="J28" s="63">
        <v>31.4</v>
      </c>
      <c r="K28" s="63">
        <v>31.7</v>
      </c>
      <c r="L28" s="68">
        <v>30.7</v>
      </c>
      <c r="M28" s="63">
        <v>31.7</v>
      </c>
      <c r="N28" s="63">
        <v>28.1</v>
      </c>
      <c r="O28" s="63">
        <v>30.1</v>
      </c>
      <c r="P28" s="63">
        <v>27.3</v>
      </c>
      <c r="Q28" s="63">
        <v>27.7</v>
      </c>
      <c r="R28" s="63">
        <v>31.3</v>
      </c>
      <c r="S28" s="63">
        <v>34</v>
      </c>
      <c r="T28" s="63">
        <v>29.9</v>
      </c>
      <c r="U28" s="63">
        <v>30.8</v>
      </c>
      <c r="V28" s="63">
        <v>31.2</v>
      </c>
      <c r="W28" s="63">
        <v>26.9</v>
      </c>
      <c r="X28" s="63">
        <v>31.3</v>
      </c>
      <c r="Y28" s="63">
        <v>27.6</v>
      </c>
      <c r="Z28" s="63">
        <v>30.2</v>
      </c>
      <c r="AA28" s="63">
        <v>32.299999999999997</v>
      </c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32.299999999999997</v>
      </c>
      <c r="AK28" s="21">
        <f t="shared" si="1"/>
        <v>34</v>
      </c>
      <c r="AL28" s="22">
        <v>33.200000000000003</v>
      </c>
      <c r="AM28" s="23">
        <f t="shared" si="2"/>
        <v>0.79999999999999716</v>
      </c>
      <c r="AN28" s="23">
        <v>29.62065677977936</v>
      </c>
      <c r="AO28" s="23">
        <f t="shared" si="5"/>
        <v>30.534782608695654</v>
      </c>
      <c r="AP28" s="23">
        <f t="shared" si="4"/>
        <v>0.91412582891629413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68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25.094998985307559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36.700000000000003</v>
      </c>
      <c r="F30" s="63">
        <v>34</v>
      </c>
      <c r="G30" s="63">
        <v>34.200000000000003</v>
      </c>
      <c r="H30" s="68">
        <v>36</v>
      </c>
      <c r="I30" s="63">
        <v>38.4</v>
      </c>
      <c r="J30" s="63">
        <v>37.700000000000003</v>
      </c>
      <c r="K30" s="63">
        <v>34.200000000000003</v>
      </c>
      <c r="L30" s="68">
        <v>34.200000000000003</v>
      </c>
      <c r="M30" s="63">
        <v>37.6</v>
      </c>
      <c r="N30" s="63">
        <v>32.5</v>
      </c>
      <c r="O30" s="63">
        <v>36.200000000000003</v>
      </c>
      <c r="P30" s="63">
        <v>34.799999999999997</v>
      </c>
      <c r="Q30" s="63">
        <v>33.5</v>
      </c>
      <c r="R30" s="63">
        <v>35.799999999999997</v>
      </c>
      <c r="S30" s="63">
        <v>38.6</v>
      </c>
      <c r="T30" s="63">
        <v>36.4</v>
      </c>
      <c r="U30" s="63">
        <v>35.700000000000003</v>
      </c>
      <c r="V30" s="63">
        <v>37.200000000000003</v>
      </c>
      <c r="W30" s="63">
        <v>36.299999999999997</v>
      </c>
      <c r="X30" s="63">
        <v>38.5</v>
      </c>
      <c r="Y30" s="63">
        <v>33.700000000000003</v>
      </c>
      <c r="Z30" s="63">
        <v>37.299999999999997</v>
      </c>
      <c r="AA30" s="63">
        <v>38.200000000000003</v>
      </c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38.200000000000003</v>
      </c>
      <c r="AK30" s="21">
        <f t="shared" si="1"/>
        <v>38.6</v>
      </c>
      <c r="AL30" s="22">
        <v>40</v>
      </c>
      <c r="AM30" s="23">
        <f t="shared" si="2"/>
        <v>-1.3999999999999986</v>
      </c>
      <c r="AN30" s="23">
        <v>33.398279569892473</v>
      </c>
      <c r="AO30" s="23">
        <f t="shared" si="5"/>
        <v>35.986956521739131</v>
      </c>
      <c r="AP30" s="23">
        <f t="shared" si="4"/>
        <v>2.5886769518466579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26.2</v>
      </c>
      <c r="F31" s="63">
        <v>21.4</v>
      </c>
      <c r="G31" s="63">
        <v>25.2</v>
      </c>
      <c r="H31" s="68">
        <v>27.6</v>
      </c>
      <c r="I31" s="63">
        <v>27</v>
      </c>
      <c r="J31" s="63">
        <v>25.8</v>
      </c>
      <c r="K31" s="63">
        <v>26.2</v>
      </c>
      <c r="L31" s="68">
        <v>25.6</v>
      </c>
      <c r="M31" s="63">
        <v>28.6</v>
      </c>
      <c r="N31" s="63">
        <v>26.5</v>
      </c>
      <c r="O31" s="63">
        <v>25.2</v>
      </c>
      <c r="P31" s="63">
        <v>22.6</v>
      </c>
      <c r="Q31" s="63">
        <v>23.2</v>
      </c>
      <c r="R31" s="63">
        <v>26.4</v>
      </c>
      <c r="S31" s="63">
        <v>30</v>
      </c>
      <c r="T31" s="63">
        <v>23.4</v>
      </c>
      <c r="U31" s="63">
        <v>26.2</v>
      </c>
      <c r="V31" s="63">
        <v>28.4</v>
      </c>
      <c r="W31" s="63">
        <v>26.4</v>
      </c>
      <c r="X31" s="63">
        <v>27.4</v>
      </c>
      <c r="Y31" s="63">
        <v>22.3</v>
      </c>
      <c r="Z31" s="63">
        <v>28.4</v>
      </c>
      <c r="AA31" s="63">
        <v>25.8</v>
      </c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25.8</v>
      </c>
      <c r="AK31" s="21">
        <f t="shared" si="1"/>
        <v>30</v>
      </c>
      <c r="AL31" s="22">
        <v>31.3</v>
      </c>
      <c r="AM31" s="23">
        <f t="shared" si="2"/>
        <v>-1.3000000000000007</v>
      </c>
      <c r="AN31" s="23">
        <v>24.31999307872945</v>
      </c>
      <c r="AO31" s="23">
        <f t="shared" si="5"/>
        <v>25.904347826086951</v>
      </c>
      <c r="AP31" s="23">
        <f t="shared" si="4"/>
        <v>1.5843547473575015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19.2</v>
      </c>
      <c r="F32" s="63">
        <v>16.2</v>
      </c>
      <c r="G32" s="63">
        <v>17.600000000000001</v>
      </c>
      <c r="H32" s="68">
        <v>21.8</v>
      </c>
      <c r="I32" s="63">
        <v>24</v>
      </c>
      <c r="J32" s="63">
        <v>22.8</v>
      </c>
      <c r="K32" s="63">
        <v>22.4</v>
      </c>
      <c r="L32" s="68">
        <v>20.6</v>
      </c>
      <c r="M32" s="63">
        <v>18.8</v>
      </c>
      <c r="N32" s="63">
        <v>21.6</v>
      </c>
      <c r="O32" s="63">
        <v>19.8</v>
      </c>
      <c r="P32" s="63">
        <v>18.8</v>
      </c>
      <c r="Q32" s="63">
        <v>16</v>
      </c>
      <c r="R32" s="63">
        <v>19</v>
      </c>
      <c r="S32" s="63">
        <v>20.8</v>
      </c>
      <c r="T32" s="63">
        <v>17.2</v>
      </c>
      <c r="U32" s="63">
        <v>18.8</v>
      </c>
      <c r="V32" s="63">
        <v>21.8</v>
      </c>
      <c r="W32" s="63">
        <v>23.4</v>
      </c>
      <c r="X32" s="63">
        <v>21.6</v>
      </c>
      <c r="Y32" s="63">
        <v>19</v>
      </c>
      <c r="Z32" s="63">
        <v>22</v>
      </c>
      <c r="AA32" s="63">
        <v>18.600000000000001</v>
      </c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18.600000000000001</v>
      </c>
      <c r="AK32" s="21">
        <f t="shared" si="1"/>
        <v>24</v>
      </c>
      <c r="AL32" s="22">
        <v>23.8</v>
      </c>
      <c r="AM32" s="23">
        <f t="shared" si="2"/>
        <v>0.19999999999999929</v>
      </c>
      <c r="AN32" s="27">
        <v>17.920674115362662</v>
      </c>
      <c r="AO32" s="23">
        <f t="shared" si="5"/>
        <v>20.07826086956522</v>
      </c>
      <c r="AP32" s="23">
        <f t="shared" si="4"/>
        <v>2.1575867542025584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15.4</v>
      </c>
      <c r="F33" s="63">
        <v>14.6</v>
      </c>
      <c r="G33" s="63">
        <v>16</v>
      </c>
      <c r="H33" s="68">
        <v>18.8</v>
      </c>
      <c r="I33" s="63">
        <v>21.2</v>
      </c>
      <c r="J33" s="63">
        <v>22</v>
      </c>
      <c r="K33" s="63">
        <v>20.399999999999999</v>
      </c>
      <c r="L33" s="68">
        <v>17.8</v>
      </c>
      <c r="M33" s="63">
        <v>18.8</v>
      </c>
      <c r="N33" s="63">
        <v>19.2</v>
      </c>
      <c r="O33" s="63">
        <v>17</v>
      </c>
      <c r="P33" s="63">
        <v>17.600000000000001</v>
      </c>
      <c r="Q33" s="63">
        <v>18</v>
      </c>
      <c r="R33" s="63">
        <v>18.399999999999999</v>
      </c>
      <c r="S33" s="63">
        <v>18.2</v>
      </c>
      <c r="T33" s="63">
        <v>16.600000000000001</v>
      </c>
      <c r="U33" s="63">
        <v>16.399999999999999</v>
      </c>
      <c r="V33" s="63">
        <v>19.2</v>
      </c>
      <c r="W33" s="63">
        <v>20.399999999999999</v>
      </c>
      <c r="X33" s="63">
        <v>17.399999999999999</v>
      </c>
      <c r="Y33" s="63">
        <v>20</v>
      </c>
      <c r="Z33" s="63">
        <v>19.399999999999999</v>
      </c>
      <c r="AA33" s="63">
        <v>18.8</v>
      </c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18.8</v>
      </c>
      <c r="AK33" s="21">
        <f t="shared" si="1"/>
        <v>22</v>
      </c>
      <c r="AL33" s="22">
        <v>21.4</v>
      </c>
      <c r="AM33" s="23">
        <f t="shared" si="2"/>
        <v>0.60000000000000142</v>
      </c>
      <c r="AN33" s="23">
        <v>16.895577461547319</v>
      </c>
      <c r="AO33" s="23">
        <f t="shared" si="5"/>
        <v>18.330434782608695</v>
      </c>
      <c r="AP33" s="23">
        <f t="shared" si="4"/>
        <v>1.4348573210613758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69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34.299999999999997</v>
      </c>
      <c r="F35" s="63">
        <v>31</v>
      </c>
      <c r="G35" s="63">
        <v>28.8</v>
      </c>
      <c r="H35" s="68">
        <v>34.5</v>
      </c>
      <c r="I35" s="63">
        <v>33.6</v>
      </c>
      <c r="J35" s="63">
        <v>28.2</v>
      </c>
      <c r="K35" s="63">
        <v>33.4</v>
      </c>
      <c r="L35" s="68">
        <v>31.6</v>
      </c>
      <c r="M35" s="63">
        <v>35</v>
      </c>
      <c r="N35" s="63">
        <v>29.6</v>
      </c>
      <c r="O35" s="63">
        <v>30.2</v>
      </c>
      <c r="P35" s="63">
        <v>28.2</v>
      </c>
      <c r="Q35" s="63">
        <v>27.6</v>
      </c>
      <c r="R35" s="63">
        <v>33.799999999999997</v>
      </c>
      <c r="S35" s="63">
        <v>34.799999999999997</v>
      </c>
      <c r="T35" s="63">
        <v>25.8</v>
      </c>
      <c r="U35" s="63">
        <v>32.799999999999997</v>
      </c>
      <c r="V35" s="63">
        <v>32.6</v>
      </c>
      <c r="W35" s="63">
        <v>25.6</v>
      </c>
      <c r="X35" s="63">
        <v>32.6</v>
      </c>
      <c r="Y35" s="63">
        <v>26</v>
      </c>
      <c r="Z35" s="63">
        <v>33.6</v>
      </c>
      <c r="AA35" s="63">
        <v>31.6</v>
      </c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31.6</v>
      </c>
      <c r="AK35" s="21">
        <f t="shared" si="1"/>
        <v>35</v>
      </c>
      <c r="AL35" s="22">
        <v>34.200000000000003</v>
      </c>
      <c r="AM35" s="23">
        <f t="shared" si="2"/>
        <v>0.79999999999999716</v>
      </c>
      <c r="AN35" s="23">
        <v>30.554368199659901</v>
      </c>
      <c r="AO35" s="23">
        <f>IF(COUNTIF(E35:AI35,"&gt;0")&gt;=15,AVERAGE(E35:AI35),"")</f>
        <v>31.095652173913049</v>
      </c>
      <c r="AP35" s="23">
        <f t="shared" si="4"/>
        <v>0.54128397425314745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68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33.200000000000003</v>
      </c>
      <c r="AM36" s="23" t="str">
        <f t="shared" si="2"/>
        <v/>
      </c>
      <c r="AN36" s="23">
        <v>29.720161290322579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6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31.2</v>
      </c>
      <c r="F38" s="63">
        <v>29.3</v>
      </c>
      <c r="G38" s="63">
        <v>32.9</v>
      </c>
      <c r="H38" s="68">
        <v>32.799999999999997</v>
      </c>
      <c r="I38" s="63">
        <v>33.1</v>
      </c>
      <c r="J38" s="63">
        <v>38.200000000000003</v>
      </c>
      <c r="K38" s="63">
        <v>32.200000000000003</v>
      </c>
      <c r="L38" s="68">
        <v>34.299999999999997</v>
      </c>
      <c r="M38" s="63">
        <v>34.799999999999997</v>
      </c>
      <c r="N38" s="63">
        <v>34.4</v>
      </c>
      <c r="O38" s="63">
        <v>30.7</v>
      </c>
      <c r="P38" s="63">
        <v>32.9</v>
      </c>
      <c r="Q38" s="63">
        <v>33.4</v>
      </c>
      <c r="R38" s="63">
        <v>33.200000000000003</v>
      </c>
      <c r="S38" s="63">
        <v>35.9</v>
      </c>
      <c r="T38" s="63">
        <v>33.1</v>
      </c>
      <c r="U38" s="63">
        <v>34.6</v>
      </c>
      <c r="V38" s="63">
        <v>32.700000000000003</v>
      </c>
      <c r="W38" s="63">
        <v>35.1</v>
      </c>
      <c r="X38" s="63">
        <v>30.5</v>
      </c>
      <c r="Y38" s="63">
        <v>33.799999999999997</v>
      </c>
      <c r="Z38" s="63">
        <v>36.200000000000003</v>
      </c>
      <c r="AA38" s="63">
        <v>33.9</v>
      </c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33.9</v>
      </c>
      <c r="AK38" s="21">
        <f t="shared" si="1"/>
        <v>38.200000000000003</v>
      </c>
      <c r="AL38" s="22">
        <v>35.4</v>
      </c>
      <c r="AM38" s="23">
        <f t="shared" si="2"/>
        <v>2.8000000000000043</v>
      </c>
      <c r="AN38" s="23">
        <v>31.936986466444189</v>
      </c>
      <c r="AO38" s="23">
        <f>IF(COUNTIF(E38:AI38,"&gt;0")&gt;=15,AVERAGE(E38:AI38),"")</f>
        <v>33.443478260869561</v>
      </c>
      <c r="AP38" s="23">
        <f t="shared" si="4"/>
        <v>1.5064917944253722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33</v>
      </c>
      <c r="F39" s="63">
        <v>32.9</v>
      </c>
      <c r="G39" s="63">
        <v>34.6</v>
      </c>
      <c r="H39" s="68">
        <v>34.6</v>
      </c>
      <c r="I39" s="63">
        <v>35.6</v>
      </c>
      <c r="J39" s="63">
        <v>35.799999999999997</v>
      </c>
      <c r="K39" s="63">
        <v>32.4</v>
      </c>
      <c r="L39" s="68">
        <v>34.4</v>
      </c>
      <c r="M39" s="63">
        <v>35.4</v>
      </c>
      <c r="N39" s="63">
        <v>35.4</v>
      </c>
      <c r="O39" s="63">
        <v>33.799999999999997</v>
      </c>
      <c r="P39" s="63">
        <v>32.799999999999997</v>
      </c>
      <c r="Q39" s="63">
        <v>34.700000000000003</v>
      </c>
      <c r="R39" s="63">
        <v>35</v>
      </c>
      <c r="S39" s="63">
        <v>35.6</v>
      </c>
      <c r="T39" s="63">
        <v>35.9</v>
      </c>
      <c r="U39" s="63">
        <v>33.4</v>
      </c>
      <c r="V39" s="63">
        <v>34.4</v>
      </c>
      <c r="W39" s="63">
        <v>35.4</v>
      </c>
      <c r="X39" s="63">
        <v>28.2</v>
      </c>
      <c r="Y39" s="63">
        <v>33.4</v>
      </c>
      <c r="Z39" s="63">
        <v>34.799999999999997</v>
      </c>
      <c r="AA39" s="63">
        <v>35.6</v>
      </c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35.6</v>
      </c>
      <c r="AK39" s="21">
        <f t="shared" si="1"/>
        <v>35.9</v>
      </c>
      <c r="AL39" s="22">
        <v>36.6</v>
      </c>
      <c r="AM39" s="23">
        <f t="shared" si="2"/>
        <v>-0.70000000000000284</v>
      </c>
      <c r="AN39" s="23">
        <v>33.422727598566297</v>
      </c>
      <c r="AO39" s="23">
        <f t="shared" ref="AO39:AO48" si="7">IF(COUNTIF(E39:AI39,"&gt;0")&gt;=15,AVERAGE(E39:AI39),"")</f>
        <v>34.221739130434777</v>
      </c>
      <c r="AP39" s="23">
        <f t="shared" si="4"/>
        <v>0.79901153186848006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31.4</v>
      </c>
      <c r="F40" s="63">
        <v>27.2</v>
      </c>
      <c r="G40" s="63">
        <v>30.3</v>
      </c>
      <c r="H40" s="68">
        <v>31.2</v>
      </c>
      <c r="I40" s="63">
        <v>33.200000000000003</v>
      </c>
      <c r="J40" s="63">
        <v>31.4</v>
      </c>
      <c r="K40" s="63">
        <v>30.2</v>
      </c>
      <c r="L40" s="68">
        <v>31.6</v>
      </c>
      <c r="M40" s="63">
        <v>33</v>
      </c>
      <c r="N40" s="63">
        <v>28.6</v>
      </c>
      <c r="O40" s="63">
        <v>31.7</v>
      </c>
      <c r="P40" s="63">
        <v>29.7</v>
      </c>
      <c r="Q40" s="63">
        <v>32.200000000000003</v>
      </c>
      <c r="R40" s="63">
        <v>32.4</v>
      </c>
      <c r="S40" s="63">
        <v>31.8</v>
      </c>
      <c r="T40" s="63">
        <v>32.299999999999997</v>
      </c>
      <c r="U40" s="63">
        <v>31.2</v>
      </c>
      <c r="V40" s="63">
        <v>32.4</v>
      </c>
      <c r="W40" s="63">
        <v>31.9</v>
      </c>
      <c r="X40" s="63">
        <v>30.6</v>
      </c>
      <c r="Y40" s="63">
        <v>27.6</v>
      </c>
      <c r="Z40" s="63">
        <v>32.799999999999997</v>
      </c>
      <c r="AA40" s="63">
        <v>33.1</v>
      </c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33.1</v>
      </c>
      <c r="AK40" s="21">
        <f t="shared" si="1"/>
        <v>33.200000000000003</v>
      </c>
      <c r="AL40" s="22">
        <v>34.4</v>
      </c>
      <c r="AM40" s="23">
        <f t="shared" si="2"/>
        <v>-1.1999999999999957</v>
      </c>
      <c r="AN40" s="23">
        <v>30.878376344086021</v>
      </c>
      <c r="AO40" s="23">
        <f t="shared" si="7"/>
        <v>31.208695652173912</v>
      </c>
      <c r="AP40" s="23">
        <f t="shared" si="4"/>
        <v>0.33031930808789056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32.6</v>
      </c>
      <c r="F41" s="63">
        <v>29.6</v>
      </c>
      <c r="G41" s="63">
        <v>32</v>
      </c>
      <c r="H41" s="68">
        <v>31</v>
      </c>
      <c r="I41" s="63">
        <v>33.4</v>
      </c>
      <c r="J41" s="63">
        <v>33.6</v>
      </c>
      <c r="K41" s="63">
        <v>29.8</v>
      </c>
      <c r="L41" s="68">
        <v>32.6</v>
      </c>
      <c r="M41" s="63">
        <v>33.4</v>
      </c>
      <c r="N41" s="63">
        <v>31</v>
      </c>
      <c r="O41" s="63"/>
      <c r="P41" s="63"/>
      <c r="Q41" s="63">
        <v>33.200000000000003</v>
      </c>
      <c r="R41" s="63">
        <v>33.6</v>
      </c>
      <c r="S41" s="63">
        <v>34.4</v>
      </c>
      <c r="T41" s="63">
        <v>33.4</v>
      </c>
      <c r="U41" s="63">
        <v>29.4</v>
      </c>
      <c r="V41" s="63">
        <v>31</v>
      </c>
      <c r="W41" s="63">
        <v>32.799999999999997</v>
      </c>
      <c r="X41" s="63">
        <v>31.6</v>
      </c>
      <c r="Y41" s="63"/>
      <c r="Z41" s="63">
        <v>33.6</v>
      </c>
      <c r="AA41" s="63">
        <v>32.799999999999997</v>
      </c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32.799999999999997</v>
      </c>
      <c r="AK41" s="21">
        <f t="shared" si="1"/>
        <v>34.4</v>
      </c>
      <c r="AL41" s="22">
        <v>35.4</v>
      </c>
      <c r="AM41" s="23">
        <f t="shared" si="2"/>
        <v>-1</v>
      </c>
      <c r="AN41" s="23">
        <v>31.008190582128289</v>
      </c>
      <c r="AO41" s="23">
        <f t="shared" si="7"/>
        <v>32.239999999999995</v>
      </c>
      <c r="AP41" s="23">
        <f t="shared" si="4"/>
        <v>1.2318094178717054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68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31.849806451612899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28.6</v>
      </c>
      <c r="F43" s="63">
        <v>32.200000000000003</v>
      </c>
      <c r="G43" s="63">
        <v>35</v>
      </c>
      <c r="H43" s="68">
        <v>35.6</v>
      </c>
      <c r="I43" s="63">
        <v>35.4</v>
      </c>
      <c r="J43" s="63">
        <v>35.200000000000003</v>
      </c>
      <c r="K43" s="63">
        <v>32</v>
      </c>
      <c r="L43" s="68">
        <v>34.4</v>
      </c>
      <c r="M43" s="63">
        <v>31.2</v>
      </c>
      <c r="N43" s="63"/>
      <c r="O43" s="63">
        <v>31.4</v>
      </c>
      <c r="P43" s="63">
        <v>33.6</v>
      </c>
      <c r="Q43" s="63">
        <v>33</v>
      </c>
      <c r="R43" s="63">
        <v>32.4</v>
      </c>
      <c r="S43" s="63">
        <v>34.4</v>
      </c>
      <c r="T43" s="63">
        <v>33</v>
      </c>
      <c r="U43" s="63">
        <v>33.200000000000003</v>
      </c>
      <c r="V43" s="63">
        <v>32.6</v>
      </c>
      <c r="W43" s="63">
        <v>34.4</v>
      </c>
      <c r="X43" s="63">
        <v>27.6</v>
      </c>
      <c r="Y43" s="63">
        <v>33.200000000000003</v>
      </c>
      <c r="Z43" s="63">
        <v>33.4</v>
      </c>
      <c r="AA43" s="63">
        <v>33.6</v>
      </c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33.6</v>
      </c>
      <c r="AK43" s="21">
        <f t="shared" si="1"/>
        <v>35.6</v>
      </c>
      <c r="AL43" s="22">
        <v>36</v>
      </c>
      <c r="AM43" s="23">
        <f t="shared" si="2"/>
        <v>-0.39999999999999858</v>
      </c>
      <c r="AN43" s="23">
        <v>32.256992670952947</v>
      </c>
      <c r="AO43" s="23">
        <f t="shared" si="7"/>
        <v>32.972727272727269</v>
      </c>
      <c r="AP43" s="23">
        <f t="shared" si="4"/>
        <v>0.71573460177432224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31.4</v>
      </c>
      <c r="F44" s="29">
        <v>30.3</v>
      </c>
      <c r="G44" s="29">
        <v>29.3</v>
      </c>
      <c r="H44" s="68">
        <v>34</v>
      </c>
      <c r="I44" s="29">
        <v>34</v>
      </c>
      <c r="J44" s="29">
        <v>30</v>
      </c>
      <c r="K44" s="29">
        <v>32.299999999999997</v>
      </c>
      <c r="L44" s="68">
        <v>31.4</v>
      </c>
      <c r="M44" s="29">
        <v>31</v>
      </c>
      <c r="N44" s="29">
        <v>34.1</v>
      </c>
      <c r="O44" s="29">
        <v>34</v>
      </c>
      <c r="P44" s="29">
        <v>31.3</v>
      </c>
      <c r="Q44" s="29">
        <v>32.4</v>
      </c>
      <c r="R44" s="29">
        <v>30.2</v>
      </c>
      <c r="S44" s="29">
        <v>33.1</v>
      </c>
      <c r="T44" s="29">
        <v>31.3</v>
      </c>
      <c r="U44" s="29">
        <v>33.1</v>
      </c>
      <c r="V44" s="29">
        <v>33.200000000000003</v>
      </c>
      <c r="W44" s="29">
        <v>30</v>
      </c>
      <c r="X44" s="29">
        <v>31.4</v>
      </c>
      <c r="Y44" s="29">
        <v>31.4</v>
      </c>
      <c r="Z44" s="29">
        <v>31.2</v>
      </c>
      <c r="AA44" s="29">
        <v>31.4</v>
      </c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31.4</v>
      </c>
      <c r="AK44" s="21">
        <f t="shared" si="1"/>
        <v>34.1</v>
      </c>
      <c r="AL44" s="22">
        <v>34.6</v>
      </c>
      <c r="AM44" s="23">
        <f t="shared" si="2"/>
        <v>-0.5</v>
      </c>
      <c r="AN44" s="23">
        <v>31.086687000841621</v>
      </c>
      <c r="AO44" s="23">
        <f t="shared" si="7"/>
        <v>31.817391304347829</v>
      </c>
      <c r="AP44" s="23">
        <f t="shared" si="4"/>
        <v>0.73070430350620796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31</v>
      </c>
      <c r="G45" s="63">
        <v>33.4</v>
      </c>
      <c r="H45" s="68">
        <v>34.200000000000003</v>
      </c>
      <c r="I45" s="63">
        <v>33.799999999999997</v>
      </c>
      <c r="J45" s="63">
        <v>34.799999999999997</v>
      </c>
      <c r="K45" s="63">
        <v>26.6</v>
      </c>
      <c r="L45" s="68">
        <v>32.799999999999997</v>
      </c>
      <c r="M45" s="63">
        <v>33.4</v>
      </c>
      <c r="N45" s="63">
        <v>32.799999999999997</v>
      </c>
      <c r="O45" s="63">
        <v>34</v>
      </c>
      <c r="P45" s="63">
        <v>32</v>
      </c>
      <c r="Q45" s="63">
        <v>33.6</v>
      </c>
      <c r="R45" s="63">
        <v>33.4</v>
      </c>
      <c r="S45" s="63">
        <v>34</v>
      </c>
      <c r="T45" s="63">
        <v>33.799999999999997</v>
      </c>
      <c r="U45" s="63">
        <v>31.4</v>
      </c>
      <c r="V45" s="63">
        <v>33.4</v>
      </c>
      <c r="W45" s="63">
        <v>34.200000000000003</v>
      </c>
      <c r="X45" s="63">
        <v>33.200000000000003</v>
      </c>
      <c r="Y45" s="63">
        <v>32.6</v>
      </c>
      <c r="Z45" s="63">
        <v>33</v>
      </c>
      <c r="AA45" s="63">
        <v>33.4</v>
      </c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33.4</v>
      </c>
      <c r="AK45" s="21">
        <f t="shared" si="1"/>
        <v>34.799999999999997</v>
      </c>
      <c r="AL45" s="22">
        <v>36</v>
      </c>
      <c r="AM45" s="23">
        <f t="shared" si="2"/>
        <v>-1.2000000000000028</v>
      </c>
      <c r="AN45" s="23">
        <v>31.59519477059559</v>
      </c>
      <c r="AO45" s="23">
        <f t="shared" si="7"/>
        <v>32.947826086956525</v>
      </c>
      <c r="AP45" s="23">
        <f t="shared" si="4"/>
        <v>1.3526313163609345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8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34.299999999999997</v>
      </c>
      <c r="AM46" s="23" t="str">
        <f t="shared" si="2"/>
        <v/>
      </c>
      <c r="AN46" s="23">
        <v>28.934220428680462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68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31.363887421061609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30.7</v>
      </c>
      <c r="F48" s="63">
        <v>33</v>
      </c>
      <c r="G48" s="63">
        <v>31.9</v>
      </c>
      <c r="H48" s="68">
        <v>32.5</v>
      </c>
      <c r="I48" s="63">
        <v>33.1</v>
      </c>
      <c r="J48" s="63">
        <v>36.6</v>
      </c>
      <c r="K48" s="63">
        <v>34.6</v>
      </c>
      <c r="L48" s="68">
        <v>33.799999999999997</v>
      </c>
      <c r="M48" s="63">
        <v>34</v>
      </c>
      <c r="N48" s="63">
        <v>33.1</v>
      </c>
      <c r="O48" s="63">
        <v>34.1</v>
      </c>
      <c r="P48" s="63">
        <v>34.200000000000003</v>
      </c>
      <c r="Q48" s="63">
        <v>35.4</v>
      </c>
      <c r="R48" s="63">
        <v>33.799999999999997</v>
      </c>
      <c r="S48" s="63">
        <v>33.799999999999997</v>
      </c>
      <c r="T48" s="63">
        <v>35.200000000000003</v>
      </c>
      <c r="U48" s="63">
        <v>32.200000000000003</v>
      </c>
      <c r="V48" s="63">
        <v>34.6</v>
      </c>
      <c r="W48" s="63">
        <v>27.3</v>
      </c>
      <c r="X48" s="63">
        <v>32</v>
      </c>
      <c r="Y48" s="63">
        <v>31.6</v>
      </c>
      <c r="Z48" s="63">
        <v>26.2</v>
      </c>
      <c r="AA48" s="63">
        <v>31.4</v>
      </c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31.4</v>
      </c>
      <c r="AK48" s="21">
        <f t="shared" si="1"/>
        <v>36.6</v>
      </c>
      <c r="AL48" s="22">
        <v>37.1</v>
      </c>
      <c r="AM48" s="23">
        <f t="shared" si="2"/>
        <v>-0.5</v>
      </c>
      <c r="AN48" s="23">
        <v>31.992189247311831</v>
      </c>
      <c r="AO48" s="23">
        <f t="shared" si="7"/>
        <v>32.830434782608698</v>
      </c>
      <c r="AP48" s="23">
        <f t="shared" si="4"/>
        <v>0.83824553529686696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K15 I17:K24 M17:M24 E17:G33 Y25:AD25 I26:K33 M26:M33 O29:AI29 E35:G36 I35:K36 M35:M36 M38:M42 E38:G43 I38:K43 O41:AI41 M43:AI43 AE44:AI44 I45:K46 I48:K48">
    <cfRule type="cellIs" dxfId="698" priority="2211" stopIfTrue="1" operator="between">
      <formula>-9.9</formula>
      <formula>-10</formula>
    </cfRule>
    <cfRule type="cellIs" dxfId="697" priority="2209" stopIfTrue="1" operator="equal">
      <formula>"40.0"</formula>
    </cfRule>
    <cfRule type="cellIs" dxfId="696" priority="2213" stopIfTrue="1" operator="equal">
      <formula>"SD"</formula>
    </cfRule>
    <cfRule type="cellIs" dxfId="695" priority="2212" stopIfTrue="1" operator="between">
      <formula>-9.9</formula>
      <formula>-10</formula>
    </cfRule>
    <cfRule type="cellIs" dxfId="694" priority="2210" stopIfTrue="1" operator="between">
      <formula>-8.1</formula>
      <formula>-10</formula>
    </cfRule>
  </conditionalFormatting>
  <conditionalFormatting sqref="E5:G15 I5:K15 M5:M15 I17:K24 M17:M24 E17:G33 O25 T25:W25 Y25:AD25 AF25 AI25 I26:K33 M26:M33 O29:AI29 E35:G36 I35:K36 M35:M36 M38:M42 E38:G46 I38:K46 M43:AI43 M44:AC44 AE44:AI44 M45:M46 E48:G48 I48:K48 M48">
    <cfRule type="cellIs" dxfId="693" priority="2225" stopIfTrue="1" operator="between">
      <formula>-9.9</formula>
      <formula>-10</formula>
    </cfRule>
    <cfRule type="cellIs" dxfId="692" priority="2224" stopIfTrue="1" operator="between">
      <formula>-9.9</formula>
      <formula>-10</formula>
    </cfRule>
    <cfRule type="cellIs" dxfId="691" priority="2223" stopIfTrue="1" operator="between">
      <formula>-8.1</formula>
      <formula>-10</formula>
    </cfRule>
    <cfRule type="cellIs" dxfId="690" priority="2222" stopIfTrue="1" operator="equal">
      <formula>"40.0"</formula>
    </cfRule>
    <cfRule type="cellIs" dxfId="689" priority="2226" stopIfTrue="1" operator="equal">
      <formula>"SD"</formula>
    </cfRule>
  </conditionalFormatting>
  <conditionalFormatting sqref="E17:G33 E35:G36 I35:K36 M35:M36 M38:M42 E38:G43 I38:K43 O41:AI41 AE44:AI44 I5:K15 I17:K24 I26:K33 I45:K46 I48:K48 M17:M24 Y25:AD25 M26:M33 O29:AI29 E5:G15 M43:AI43">
    <cfRule type="cellIs" dxfId="688" priority="2208" stopIfTrue="1" operator="between">
      <formula>45</formula>
      <formula>100</formula>
    </cfRule>
  </conditionalFormatting>
  <conditionalFormatting sqref="E17:G33 E35:G36 I35:K36 M35:M36 M38:M42 E38:G46 I38:K46 E5:G15 I5:K15 I17:K24 M17:M24 Y25:AD25 I26:K33 M26:M33 O29:AI29 M43:AI43 AE44:AI44 I48:K48 M45:M46 E48:G48 M48 M44:AC44 M5:M15 O25 T25:W25 AF25 AI25">
    <cfRule type="cellIs" dxfId="687" priority="2221" stopIfTrue="1" operator="between">
      <formula>45</formula>
      <formula>100</formula>
    </cfRule>
  </conditionalFormatting>
  <conditionalFormatting sqref="E22:G22 I22:K22 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K22 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K22 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K22 M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K36 M36 E42:G42 I42:K42 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K36 M36 E42:G42 I42:K42 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K36 M36 O36:AC36 AE36:AI36 E42:G42 I42:K42 M42 O42:AC42 AE42:AI42">
    <cfRule type="containsText" dxfId="656" priority="3350" stopIfTrue="1" operator="containsText" text="sd">
      <formula>NOT(ISERROR(SEARCH("sd",E25)))</formula>
    </cfRule>
  </conditionalFormatting>
  <conditionalFormatting sqref="E29:G29 I29:K29 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K36 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K36 M36 AE36:AI36 O36:AC36">
    <cfRule type="containsText" dxfId="617" priority="1335" stopIfTrue="1" operator="containsText" text="sd">
      <formula>NOT(ISERROR(SEARCH("sd",E36)))</formula>
    </cfRule>
  </conditionalFormatting>
  <conditionalFormatting sqref="E36:G36 I36:K36 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K36 M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K36 M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K42 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K42 M42 AE42:AI42 O42:AC42">
    <cfRule type="containsText" dxfId="588" priority="1095" stopIfTrue="1" operator="containsText" text="sd">
      <formula>NOT(ISERROR(SEARCH("sd",E42)))</formula>
    </cfRule>
  </conditionalFormatting>
  <conditionalFormatting sqref="E42:G42 I42:K42 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K42 M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K42 M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K44 M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M45:M48 I47:K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K47 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K47 M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K22 E22:G22 M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K36 I42:K42 E36:G36 M36 E42:G42 M42 E25:G25">
    <cfRule type="containsText" dxfId="507" priority="2206" stopIfTrue="1" operator="containsText" text="sd">
      <formula>NOT(ISERROR(SEARCH("sd",E25)))</formula>
    </cfRule>
  </conditionalFormatting>
  <conditionalFormatting sqref="M5:N15 N17:N33 N35:N36 N38:N42 N45:N46 N48">
    <cfRule type="cellIs" dxfId="506" priority="350" stopIfTrue="1" operator="between">
      <formula>-9.9</formula>
      <formula>-10</formula>
    </cfRule>
    <cfRule type="cellIs" dxfId="505" priority="351" stopIfTrue="1" operator="equal">
      <formula>"SD"</formula>
    </cfRule>
    <cfRule type="cellIs" dxfId="504" priority="348" stopIfTrue="1" operator="between">
      <formula>-8.1</formula>
      <formula>-10</formula>
    </cfRule>
    <cfRule type="cellIs" dxfId="503" priority="349" stopIfTrue="1" operator="between">
      <formula>-9.9</formula>
      <formula>-10</formula>
    </cfRule>
    <cfRule type="cellIs" dxfId="502" priority="347" stopIfTrue="1" operator="equal">
      <formula>"40.0"</formula>
    </cfRule>
  </conditionalFormatting>
  <conditionalFormatting sqref="M22:R22 E22:G22 I22:K22">
    <cfRule type="cellIs" dxfId="501" priority="249" stopIfTrue="1" operator="between">
      <formula>45</formula>
      <formula>100</formula>
    </cfRule>
  </conditionalFormatting>
  <conditionalFormatting sqref="M44:AD44 E44:G44 I44:K44">
    <cfRule type="cellIs" dxfId="500" priority="389" stopIfTrue="1" operator="between">
      <formula>45</formula>
      <formula>100</formula>
    </cfRule>
  </conditionalFormatting>
  <conditionalFormatting sqref="M47:AI47 E47:G47 I47:K47">
    <cfRule type="cellIs" dxfId="499" priority="267" stopIfTrue="1" operator="between">
      <formula>45</formula>
      <formula>100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M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K29 M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M29:AI29 E29:G29 I29:K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K36 M35:M36 O35:AC36 AE35:AI36 M38:M42 O38:AC42 AE38:AI42 E38:G46 I38:K46 E5:G15 I5:K15 M5:M15 I17:K33 M17:M33 R17:R33 O29:Q33 S29:Y33 AC29:AG33 M43:AI43 M44:Q44 AC44 S44:AB45 AE44:AI45 R44:R46 M45:M46 E48:G48 I48:K48 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K22 M22">
    <cfRule type="cellIs" dxfId="412" priority="1457" stopIfTrue="1" operator="between">
      <formula>45</formula>
      <formula>100</formula>
    </cfRule>
  </conditionalFormatting>
  <conditionalFormatting sqref="O36:AC36 AE36:AI36 E36:G36 I36:K36 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K42 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K15 M5:M15 O5:AB15 AD5:AI15 AC6:AC15 AC12:AG13 AJ16:AK16 AD17:AD21 P17:Q24 S17:T24 X17:X24 AE17:AE24 AG17:AG24 O17:O28 T17:W28 Y17:Y28 AC17:AC28 AF17:AF28 E17:G33 I17:K33 M17:M33 R17:R33 Z17:AB33 AH17:AI33 O22:Q22 S22:Y22 AE22:AG22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10" priority="3526" stopIfTrue="1" operator="equal">
      <formula>"SD"</formula>
    </cfRule>
  </conditionalFormatting>
  <conditionalFormatting sqref="AC5:AG13 E5:G15 I5:K15 M5:M15 O5:AB15 AD5:AI15 AC6:AC15 AJ16:AK16 AD17:AD21 O17:Q22 S17:Y22 AE17:AG22 P17:Q24 S17:T24 X17:X24 AE17:AE24 AG17:AG24 O17:O28 T17:W28 Y17:Y28 AC17:AC28 AF17:AF28 E17:G33 I17:K33 M17:M33 R17:R33 Z17:AB33 AH17:AI33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AI3" sqref="AI3:AI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5" t="s">
        <v>122</v>
      </c>
      <c r="I1" s="76"/>
      <c r="J1" s="77"/>
      <c r="K1" s="72" t="s">
        <v>123</v>
      </c>
      <c r="L1" s="73"/>
      <c r="M1" s="74"/>
      <c r="N1" s="75" t="s">
        <v>124</v>
      </c>
      <c r="O1" s="76"/>
      <c r="P1" s="77"/>
      <c r="Q1" s="72" t="s">
        <v>125</v>
      </c>
      <c r="R1" s="73"/>
      <c r="S1" s="74"/>
      <c r="T1" s="75" t="s">
        <v>126</v>
      </c>
      <c r="U1" s="76"/>
      <c r="V1" s="77"/>
      <c r="W1" s="72" t="s">
        <v>127</v>
      </c>
      <c r="X1" s="73"/>
      <c r="Y1" s="74"/>
      <c r="Z1" s="75" t="s">
        <v>128</v>
      </c>
      <c r="AA1" s="76"/>
      <c r="AB1" s="77"/>
      <c r="AC1" s="72" t="s">
        <v>129</v>
      </c>
      <c r="AD1" s="73"/>
      <c r="AE1" s="74"/>
      <c r="AF1" s="75" t="s">
        <v>130</v>
      </c>
      <c r="AG1" s="76"/>
      <c r="AH1" s="77"/>
      <c r="AI1" s="72" t="s">
        <v>131</v>
      </c>
      <c r="AJ1" s="73"/>
      <c r="AK1" s="74"/>
      <c r="AL1" s="75" t="s">
        <v>132</v>
      </c>
      <c r="AM1" s="76"/>
      <c r="AN1" s="77"/>
      <c r="AO1" s="72" t="s">
        <v>133</v>
      </c>
      <c r="AP1" s="73"/>
      <c r="AQ1" s="74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R2" sqref="R2:R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62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62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62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62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62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62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62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62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62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62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62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62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62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62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62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62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62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62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62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62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62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62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62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62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62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62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62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62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62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62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62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62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62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62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62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62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62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62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62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62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62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62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62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62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92</v>
      </c>
      <c r="C1" s="71" t="s">
        <v>93</v>
      </c>
      <c r="D1" s="78" t="s">
        <v>94</v>
      </c>
      <c r="E1" s="78" t="s">
        <v>95</v>
      </c>
      <c r="F1" s="78" t="s">
        <v>96</v>
      </c>
      <c r="G1" s="78" t="s">
        <v>97</v>
      </c>
      <c r="H1" s="78" t="s">
        <v>98</v>
      </c>
      <c r="I1" s="78" t="s">
        <v>99</v>
      </c>
      <c r="J1" s="78" t="s">
        <v>100</v>
      </c>
      <c r="K1" s="78" t="s">
        <v>101</v>
      </c>
      <c r="L1" s="78" t="s">
        <v>102</v>
      </c>
      <c r="M1" s="78" t="s">
        <v>103</v>
      </c>
      <c r="N1" s="78" t="s">
        <v>104</v>
      </c>
      <c r="O1" s="78" t="s">
        <v>105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2022-10-25T13:14:52Z</cp:lastPrinted>
  <dcterms:created xsi:type="dcterms:W3CDTF">2007-01-09T17:41:42Z</dcterms:created>
  <dcterms:modified xsi:type="dcterms:W3CDTF">2026-10-24T13:45:42Z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