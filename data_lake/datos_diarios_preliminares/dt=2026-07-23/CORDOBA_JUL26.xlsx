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34B162B6-0779-461F-A049-1F44C5D560F0}" xr6:coauthVersionLast="47" xr6:coauthVersionMax="47" xr10:uidLastSave="{00000000-0000-0000-0000-000000000000}"/>
  <bookViews>
    <workbookView xWindow="-12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N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<sst xmlns="http://schemas.openxmlformats.org/spreadsheetml/2006/main" count="247" uniqueCount="52">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</sst>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JULIO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JUNIO_2026!$E$2:$AI$2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JUNIO_2026!$E$19:$AI$19</c:f>
              <c:numCache>
                <c:formatCode>0.0</c:formatCode>
                <c:ptCount val="31"/>
                <c:pt idx="0">
                  <c:v>19.700000000000003</c:v>
                </c:pt>
                <c:pt idx="1">
                  <c:v>216.2</c:v>
                </c:pt>
                <c:pt idx="2">
                  <c:v>196.5</c:v>
                </c:pt>
                <c:pt idx="3">
                  <c:v>0</c:v>
                </c:pt>
                <c:pt idx="4">
                  <c:v>2.8</c:v>
                </c:pt>
                <c:pt idx="5">
                  <c:v>6.2</c:v>
                </c:pt>
                <c:pt idx="6">
                  <c:v>0</c:v>
                </c:pt>
                <c:pt idx="7">
                  <c:v>182.79999999999998</c:v>
                </c:pt>
                <c:pt idx="8">
                  <c:v>24</c:v>
                </c:pt>
                <c:pt idx="9">
                  <c:v>0</c:v>
                </c:pt>
                <c:pt idx="10">
                  <c:v>19.399999999999999</c:v>
                </c:pt>
                <c:pt idx="11">
                  <c:v>304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73.599999999999994</c:v>
                </c:pt>
                <c:pt idx="18">
                  <c:v>109.30000000000001</c:v>
                </c:pt>
                <c:pt idx="19">
                  <c:v>36.799999999999997</c:v>
                </c:pt>
                <c:pt idx="20">
                  <c:v>2.4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5" x14ac:dyDescent="0.25"/>
  <cols>
    <col min="2" max="2" width="16.28515625" customWidth="1"/>
    <col min="3" max="3" width="20.85546875" bestFit="1" customWidth="1"/>
    <col min="4" max="4" width="12.28515625" customWidth="1"/>
    <col min="5" max="35" width="5.85546875" customWidth="1"/>
    <col min="36" max="36" width="16" bestFit="1" customWidth="1"/>
    <col min="37" max="37" width="15.28515625" bestFit="1" customWidth="1"/>
  </cols>
  <sheetData>
    <row r="2" spans="1:37" ht="15.75" x14ac:dyDescent="0.2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 x14ac:dyDescent="0.2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 x14ac:dyDescent="0.2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 x14ac:dyDescent="0.2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 x14ac:dyDescent="0.2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 x14ac:dyDescent="0.2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 x14ac:dyDescent="0.2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 x14ac:dyDescent="0.2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 x14ac:dyDescent="0.2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 x14ac:dyDescent="0.2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 x14ac:dyDescent="0.2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 x14ac:dyDescent="0.2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 x14ac:dyDescent="0.2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 x14ac:dyDescent="0.2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 x14ac:dyDescent="0.2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6" width="4.5703125" customWidth="1"/>
    <col min="27" max="27" width="5.85546875" customWidth="1"/>
    <col min="28" max="28" width="5.7109375" bestFit="1" customWidth="1"/>
    <col min="29" max="35" width="4.5703125" customWidth="1"/>
    <col min="36" max="36" width="16" bestFit="1" customWidth="1"/>
    <col min="37" max="37" width="14.42578125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 x14ac:dyDescent="0.2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.75" x14ac:dyDescent="0.2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W3" sqref="W3:Y15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5" width="4.5703125" customWidth="1"/>
    <col min="26" max="26" width="5.42578125" bestFit="1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25.3</v>
      </c>
      <c r="G3" s="25">
        <v>28.2</v>
      </c>
      <c r="H3" s="25">
        <v>0</v>
      </c>
      <c r="I3" s="25">
        <v>0</v>
      </c>
      <c r="J3" s="25">
        <v>0</v>
      </c>
      <c r="K3" s="25">
        <v>0</v>
      </c>
      <c r="L3" s="25">
        <v>19.2</v>
      </c>
      <c r="M3" s="25">
        <v>4.7</v>
      </c>
      <c r="N3" s="25">
        <v>0</v>
      </c>
      <c r="O3" s="25">
        <v>0</v>
      </c>
      <c r="P3" s="25">
        <v>26.8</v>
      </c>
      <c r="Q3" s="25">
        <v>0</v>
      </c>
      <c r="R3" s="25">
        <v>0</v>
      </c>
      <c r="S3" s="25">
        <v>0</v>
      </c>
      <c r="T3" s="25">
        <v>0</v>
      </c>
      <c r="U3" s="25">
        <v>0</v>
      </c>
      <c r="V3" s="25">
        <v>14.7</v>
      </c>
      <c r="W3" s="25">
        <v>0</v>
      </c>
      <c r="X3" s="25">
        <v>0</v>
      </c>
      <c r="Y3" s="25">
        <v>0</v>
      </c>
      <c r="Z3" s="25"/>
      <c r="AA3" s="25"/>
      <c r="AB3" s="25"/>
      <c r="AC3" s="25"/>
      <c r="AD3" s="25"/>
      <c r="AE3" s="25"/>
      <c r="AF3" s="25"/>
      <c r="AG3" s="25"/>
      <c r="AH3" s="25"/>
      <c r="AI3" s="34"/>
      <c r="AJ3" s="36">
        <f>SUM(E3:AI3)</f>
        <v>118.9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4.3</v>
      </c>
      <c r="G4" s="25">
        <v>16.2</v>
      </c>
      <c r="H4" s="25">
        <v>0</v>
      </c>
      <c r="I4" s="25">
        <v>0</v>
      </c>
      <c r="J4" s="25">
        <v>0</v>
      </c>
      <c r="K4" s="25">
        <v>0</v>
      </c>
      <c r="L4" s="25">
        <v>7.9</v>
      </c>
      <c r="M4" s="25">
        <v>0</v>
      </c>
      <c r="N4" s="25">
        <v>0</v>
      </c>
      <c r="O4" s="25">
        <v>0</v>
      </c>
      <c r="P4" s="25">
        <v>47.8</v>
      </c>
      <c r="Q4" s="25">
        <v>0</v>
      </c>
      <c r="R4" s="25">
        <v>0</v>
      </c>
      <c r="S4" s="25">
        <v>0</v>
      </c>
      <c r="T4" s="25">
        <v>0</v>
      </c>
      <c r="U4" s="25">
        <v>0</v>
      </c>
      <c r="V4" s="25">
        <v>20.2</v>
      </c>
      <c r="W4" s="25">
        <v>0</v>
      </c>
      <c r="X4" s="25">
        <v>1</v>
      </c>
      <c r="Y4" s="25">
        <v>0</v>
      </c>
      <c r="Z4" s="25"/>
      <c r="AA4" s="25"/>
      <c r="AB4" s="25"/>
      <c r="AC4" s="25"/>
      <c r="AD4" s="25"/>
      <c r="AE4" s="25"/>
      <c r="AF4" s="25"/>
      <c r="AG4" s="25"/>
      <c r="AH4" s="25"/>
      <c r="AI4" s="34"/>
      <c r="AJ4" s="36">
        <f t="shared" ref="AJ4:AJ17" si="0">SUM(E4:AI4)</f>
        <v>97.399999999999991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19.600000000000001</v>
      </c>
      <c r="F5" s="24">
        <v>0</v>
      </c>
      <c r="G5" s="25">
        <v>4.5</v>
      </c>
      <c r="H5" s="25">
        <v>0</v>
      </c>
      <c r="I5" s="25">
        <v>0</v>
      </c>
      <c r="J5" s="25">
        <v>0</v>
      </c>
      <c r="K5" s="25">
        <v>0</v>
      </c>
      <c r="L5" s="25">
        <v>20</v>
      </c>
      <c r="M5" s="25">
        <v>0</v>
      </c>
      <c r="N5" s="25">
        <v>0</v>
      </c>
      <c r="O5" s="25">
        <v>2</v>
      </c>
      <c r="P5" s="25">
        <v>62</v>
      </c>
      <c r="Q5" s="25">
        <v>0</v>
      </c>
      <c r="R5" s="25">
        <v>0</v>
      </c>
      <c r="S5" s="25">
        <v>0</v>
      </c>
      <c r="T5" s="25">
        <v>0</v>
      </c>
      <c r="U5" s="25">
        <v>0</v>
      </c>
      <c r="V5" s="25">
        <v>1.3</v>
      </c>
      <c r="W5" s="25">
        <v>47</v>
      </c>
      <c r="X5" s="25">
        <v>16.399999999999999</v>
      </c>
      <c r="Y5" s="25">
        <v>0</v>
      </c>
      <c r="Z5" s="25"/>
      <c r="AA5" s="25"/>
      <c r="AB5" s="25"/>
      <c r="AC5" s="25"/>
      <c r="AD5" s="25"/>
      <c r="AE5" s="25"/>
      <c r="AF5" s="25"/>
      <c r="AG5" s="25"/>
      <c r="AH5" s="25"/>
      <c r="AI5" s="34"/>
      <c r="AJ5" s="36">
        <f t="shared" si="0"/>
        <v>172.79999999999998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0</v>
      </c>
      <c r="F6" s="24">
        <v>37</v>
      </c>
      <c r="G6" s="25">
        <v>19.100000000000001</v>
      </c>
      <c r="H6" s="25">
        <v>0</v>
      </c>
      <c r="I6" s="25">
        <v>1.8</v>
      </c>
      <c r="J6" s="25">
        <v>6</v>
      </c>
      <c r="K6" s="25">
        <v>0</v>
      </c>
      <c r="L6" s="25">
        <v>18</v>
      </c>
      <c r="M6" s="25">
        <v>1.2</v>
      </c>
      <c r="N6" s="25">
        <v>0</v>
      </c>
      <c r="O6" s="25">
        <v>17.399999999999999</v>
      </c>
      <c r="P6" s="25">
        <v>7.8</v>
      </c>
      <c r="Q6" s="25">
        <v>0</v>
      </c>
      <c r="R6" s="25">
        <v>0</v>
      </c>
      <c r="S6" s="25">
        <v>0</v>
      </c>
      <c r="T6" s="25">
        <v>0</v>
      </c>
      <c r="U6" s="25">
        <v>0</v>
      </c>
      <c r="V6" s="25">
        <v>1.4</v>
      </c>
      <c r="W6" s="25">
        <v>0.8</v>
      </c>
      <c r="X6" s="25">
        <v>4.7</v>
      </c>
      <c r="Y6" s="25">
        <v>2.4</v>
      </c>
      <c r="Z6" s="25"/>
      <c r="AA6" s="25"/>
      <c r="AB6" s="25"/>
      <c r="AC6" s="25"/>
      <c r="AD6" s="25"/>
      <c r="AE6" s="25"/>
      <c r="AF6" s="25"/>
      <c r="AG6" s="25"/>
      <c r="AH6" s="25"/>
      <c r="AI6" s="34"/>
      <c r="AJ6" s="36">
        <f t="shared" si="0"/>
        <v>117.60000000000001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66</v>
      </c>
      <c r="G9" s="25">
        <v>12</v>
      </c>
      <c r="H9" s="25">
        <v>0</v>
      </c>
      <c r="I9" s="25">
        <v>1</v>
      </c>
      <c r="J9" s="25">
        <v>0</v>
      </c>
      <c r="K9" s="25">
        <v>0</v>
      </c>
      <c r="L9" s="25">
        <v>15</v>
      </c>
      <c r="M9" s="25">
        <v>0</v>
      </c>
      <c r="N9" s="25">
        <v>0</v>
      </c>
      <c r="O9" s="25">
        <v>0</v>
      </c>
      <c r="P9" s="25">
        <v>6</v>
      </c>
      <c r="Q9" s="25">
        <v>0</v>
      </c>
      <c r="R9" s="25">
        <v>0</v>
      </c>
      <c r="S9" s="25">
        <v>0</v>
      </c>
      <c r="T9" s="25">
        <v>0</v>
      </c>
      <c r="U9" s="25">
        <v>0</v>
      </c>
      <c r="V9" s="25">
        <v>8</v>
      </c>
      <c r="W9" s="25">
        <v>3</v>
      </c>
      <c r="X9" s="25">
        <v>1</v>
      </c>
      <c r="Y9" s="25">
        <v>0</v>
      </c>
      <c r="Z9" s="25"/>
      <c r="AA9" s="25"/>
      <c r="AB9" s="25"/>
      <c r="AC9" s="25"/>
      <c r="AD9" s="25"/>
      <c r="AE9" s="25"/>
      <c r="AF9" s="25"/>
      <c r="AG9" s="25"/>
      <c r="AH9" s="25"/>
      <c r="AI9" s="34"/>
      <c r="AJ9" s="36">
        <f t="shared" si="0"/>
        <v>112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0.1</v>
      </c>
      <c r="F10" s="24">
        <v>1.1000000000000001</v>
      </c>
      <c r="G10" s="25">
        <v>2.2000000000000002</v>
      </c>
      <c r="H10" s="25">
        <v>0</v>
      </c>
      <c r="I10" s="25">
        <v>0</v>
      </c>
      <c r="J10" s="25">
        <v>0.2</v>
      </c>
      <c r="K10" s="25">
        <v>0</v>
      </c>
      <c r="L10" s="25">
        <v>30.5</v>
      </c>
      <c r="M10" s="25">
        <v>0.3</v>
      </c>
      <c r="N10" s="25">
        <v>0</v>
      </c>
      <c r="O10" s="25">
        <v>0</v>
      </c>
      <c r="P10" s="25">
        <v>57</v>
      </c>
      <c r="Q10" s="25">
        <v>0</v>
      </c>
      <c r="R10" s="25">
        <v>0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91.4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41.1</v>
      </c>
      <c r="G11" s="25">
        <v>51.5</v>
      </c>
      <c r="H11" s="25">
        <v>0</v>
      </c>
      <c r="I11" s="25">
        <v>0</v>
      </c>
      <c r="J11" s="25">
        <v>0</v>
      </c>
      <c r="K11" s="25">
        <v>0</v>
      </c>
      <c r="L11" s="25">
        <v>25.7</v>
      </c>
      <c r="M11" s="25">
        <v>2.8</v>
      </c>
      <c r="N11" s="25">
        <v>0</v>
      </c>
      <c r="O11" s="25">
        <v>0</v>
      </c>
      <c r="P11" s="25">
        <v>9.3000000000000007</v>
      </c>
      <c r="Q11" s="25">
        <v>0</v>
      </c>
      <c r="R11" s="25">
        <v>0</v>
      </c>
      <c r="S11" s="25">
        <v>0</v>
      </c>
      <c r="T11" s="25">
        <v>0</v>
      </c>
      <c r="U11" s="25">
        <v>0</v>
      </c>
      <c r="V11" s="25"/>
      <c r="W11" s="25">
        <v>17.2</v>
      </c>
      <c r="X11" s="25">
        <v>0.4</v>
      </c>
      <c r="Y11" s="25">
        <v>0</v>
      </c>
      <c r="Z11" s="25"/>
      <c r="AA11" s="25"/>
      <c r="AB11" s="25"/>
      <c r="AC11" s="25"/>
      <c r="AD11" s="25"/>
      <c r="AE11" s="25"/>
      <c r="AF11" s="25"/>
      <c r="AG11" s="25"/>
      <c r="AH11" s="25"/>
      <c r="AI11" s="34"/>
      <c r="AJ11" s="36">
        <f t="shared" si="0"/>
        <v>148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/>
      <c r="G12" s="25">
        <v>14.7</v>
      </c>
      <c r="H12" s="25">
        <v>0</v>
      </c>
      <c r="I12" s="25">
        <v>0</v>
      </c>
      <c r="J12" s="25">
        <v>0</v>
      </c>
      <c r="K12" s="25">
        <v>0</v>
      </c>
      <c r="L12" s="25">
        <v>9</v>
      </c>
      <c r="M12" s="25">
        <v>1.2</v>
      </c>
      <c r="N12" s="25">
        <v>0</v>
      </c>
      <c r="O12" s="25">
        <v>0</v>
      </c>
      <c r="P12" s="25">
        <v>25.4</v>
      </c>
      <c r="Q12" s="25">
        <v>0</v>
      </c>
      <c r="R12" s="25">
        <v>0</v>
      </c>
      <c r="S12" s="25">
        <v>0</v>
      </c>
      <c r="T12" s="25">
        <v>0</v>
      </c>
      <c r="U12" s="25">
        <v>0</v>
      </c>
      <c r="V12" s="25">
        <v>0</v>
      </c>
      <c r="W12" s="25">
        <v>0.4</v>
      </c>
      <c r="X12" s="25">
        <v>9.3000000000000007</v>
      </c>
      <c r="Y12" s="25">
        <v>0</v>
      </c>
      <c r="Z12" s="25"/>
      <c r="AA12" s="25"/>
      <c r="AB12" s="25"/>
      <c r="AC12" s="25"/>
      <c r="AD12" s="25"/>
      <c r="AE12" s="25"/>
      <c r="AF12" s="25"/>
      <c r="AG12" s="25"/>
      <c r="AH12" s="25"/>
      <c r="AI12" s="34"/>
      <c r="AJ12" s="36">
        <f t="shared" si="0"/>
        <v>60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0</v>
      </c>
      <c r="F13" s="24">
        <v>14</v>
      </c>
      <c r="G13" s="25">
        <v>4</v>
      </c>
      <c r="H13" s="25">
        <v>0</v>
      </c>
      <c r="I13" s="25">
        <v>0</v>
      </c>
      <c r="J13" s="25">
        <v>0</v>
      </c>
      <c r="K13" s="25">
        <v>0</v>
      </c>
      <c r="L13" s="25">
        <v>10</v>
      </c>
      <c r="M13" s="25">
        <v>2</v>
      </c>
      <c r="N13" s="25">
        <v>0</v>
      </c>
      <c r="O13" s="25">
        <v>0</v>
      </c>
      <c r="P13" s="25">
        <v>12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2</v>
      </c>
      <c r="W13" s="25">
        <v>26</v>
      </c>
      <c r="X13" s="25">
        <v>4</v>
      </c>
      <c r="Y13" s="25">
        <v>0</v>
      </c>
      <c r="Z13" s="25"/>
      <c r="AA13" s="25"/>
      <c r="AB13" s="25"/>
      <c r="AC13" s="25"/>
      <c r="AD13" s="25"/>
      <c r="AE13" s="25"/>
      <c r="AF13" s="25"/>
      <c r="AG13" s="25"/>
      <c r="AH13" s="25"/>
      <c r="AI13" s="34"/>
      <c r="AJ13" s="36">
        <f t="shared" si="0"/>
        <v>74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0</v>
      </c>
      <c r="G14" s="25">
        <v>12.3</v>
      </c>
      <c r="H14" s="25">
        <v>0</v>
      </c>
      <c r="I14" s="25">
        <v>0</v>
      </c>
      <c r="J14" s="25">
        <v>0</v>
      </c>
      <c r="K14" s="25">
        <v>0</v>
      </c>
      <c r="L14" s="25">
        <v>27.5</v>
      </c>
      <c r="M14" s="25">
        <v>0</v>
      </c>
      <c r="N14" s="25">
        <v>0</v>
      </c>
      <c r="O14" s="25">
        <v>0</v>
      </c>
      <c r="P14" s="25">
        <v>31.5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/>
      <c r="AA14" s="25"/>
      <c r="AB14" s="25"/>
      <c r="AC14" s="25"/>
      <c r="AD14" s="25"/>
      <c r="AE14" s="25"/>
      <c r="AF14" s="25"/>
      <c r="AG14" s="25"/>
      <c r="AH14" s="25"/>
      <c r="AI14" s="34"/>
      <c r="AJ14" s="36">
        <f>SUM(E14:AI14)</f>
        <v>71.3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27.4</v>
      </c>
      <c r="G15" s="25">
        <v>31.8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11.8</v>
      </c>
      <c r="N15" s="25">
        <v>0</v>
      </c>
      <c r="O15" s="25">
        <v>0</v>
      </c>
      <c r="P15" s="25">
        <v>18.399999999999999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26</v>
      </c>
      <c r="W15" s="25">
        <v>14.9</v>
      </c>
      <c r="X15" s="25">
        <v>0</v>
      </c>
      <c r="Y15" s="25">
        <v>0</v>
      </c>
      <c r="Z15" s="25"/>
      <c r="AA15" s="25"/>
      <c r="AB15" s="25"/>
      <c r="AC15" s="25"/>
      <c r="AD15" s="25"/>
      <c r="AE15" s="25"/>
      <c r="AF15" s="25"/>
      <c r="AG15" s="25"/>
      <c r="AH15" s="25"/>
      <c r="AI15" s="34"/>
      <c r="AJ15" s="36">
        <f t="shared" si="0"/>
        <v>130.30000000000001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19.700000000000003</v>
      </c>
      <c r="F19" s="26">
        <f t="shared" ref="F19:AI19" si="1">IF(COUNT(F3:F17)&gt;0,SUM(F3:F17),-1)</f>
        <v>216.2</v>
      </c>
      <c r="G19" s="26">
        <f t="shared" si="1"/>
        <v>196.5</v>
      </c>
      <c r="H19" s="26">
        <f t="shared" si="1"/>
        <v>0</v>
      </c>
      <c r="I19" s="26">
        <f t="shared" si="1"/>
        <v>2.8</v>
      </c>
      <c r="J19" s="26">
        <f t="shared" si="1"/>
        <v>6.2</v>
      </c>
      <c r="K19" s="26">
        <f t="shared" si="1"/>
        <v>0</v>
      </c>
      <c r="L19" s="26">
        <f t="shared" si="1"/>
        <v>182.79999999999998</v>
      </c>
      <c r="M19" s="26">
        <f t="shared" si="1"/>
        <v>24</v>
      </c>
      <c r="N19" s="26">
        <f t="shared" si="1"/>
        <v>0</v>
      </c>
      <c r="O19" s="26">
        <f t="shared" si="1"/>
        <v>19.399999999999999</v>
      </c>
      <c r="P19" s="26">
        <f t="shared" si="1"/>
        <v>304</v>
      </c>
      <c r="Q19" s="26">
        <f t="shared" si="1"/>
        <v>0</v>
      </c>
      <c r="R19" s="26">
        <f t="shared" si="1"/>
        <v>0</v>
      </c>
      <c r="S19" s="26">
        <f t="shared" si="1"/>
        <v>0</v>
      </c>
      <c r="T19" s="26">
        <f t="shared" si="1"/>
        <v>0</v>
      </c>
      <c r="U19" s="26">
        <f t="shared" si="1"/>
        <v>0</v>
      </c>
      <c r="V19" s="26">
        <f t="shared" si="1"/>
        <v>73.599999999999994</v>
      </c>
      <c r="W19" s="26">
        <f t="shared" si="1"/>
        <v>109.30000000000001</v>
      </c>
      <c r="X19" s="26">
        <f t="shared" si="1"/>
        <v>36.799999999999997</v>
      </c>
      <c r="Y19" s="26">
        <f t="shared" si="1"/>
        <v>2.4</v>
      </c>
      <c r="Z19" s="26">
        <f t="shared" si="1"/>
        <v>-1</v>
      </c>
      <c r="AA19" s="26">
        <f t="shared" si="1"/>
        <v>-1</v>
      </c>
      <c r="AB19" s="26">
        <f t="shared" si="1"/>
        <v>-1</v>
      </c>
      <c r="AC19" s="26">
        <f t="shared" si="1"/>
        <v>-1</v>
      </c>
      <c r="AD19" s="26">
        <f t="shared" si="1"/>
        <v>-1</v>
      </c>
      <c r="AE19" s="26">
        <f t="shared" si="1"/>
        <v>-1</v>
      </c>
      <c r="AF19" s="26">
        <f t="shared" si="1"/>
        <v>-1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JUNIO_2026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Araminta Vega Burgos</cp:lastModifiedBy>
  <dcterms:created xsi:type="dcterms:W3CDTF">2026-02-07T12:28:54Z</dcterms:created>
  <dcterms:modified xsi:type="dcterms:W3CDTF">2026-07-22T15:56:02Z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