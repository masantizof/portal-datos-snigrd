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AC05F96-B774-4683-A22F-9FB9A684E71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Temperatura!$Y$1:$Y$209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W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W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2" i="1" l="1"/>
  <c r="AW25" i="1"/>
  <c r="AS90" i="1"/>
  <c r="AS94" i="1"/>
  <c r="AS98" i="1"/>
  <c r="AS135" i="1"/>
  <c r="AS147" i="1"/>
  <c r="AS151" i="1"/>
  <c r="AS155" i="1"/>
  <c r="AS68" i="1"/>
  <c r="AS84" i="1"/>
  <c r="AS88" i="1"/>
  <c r="AS96" i="1"/>
  <c r="AS100" i="1"/>
  <c r="AS104" i="1"/>
  <c r="AS185" i="1"/>
  <c r="AS26" i="1"/>
  <c r="AW85" i="1"/>
  <c r="AW89" i="1"/>
  <c r="AW117" i="1"/>
  <c r="AW125" i="1"/>
  <c r="AW129" i="1"/>
  <c r="AW133" i="1"/>
  <c r="AS16" i="1"/>
  <c r="AS38" i="1"/>
  <c r="AS46" i="1"/>
  <c r="AS66" i="1"/>
  <c r="AS31" i="1"/>
  <c r="AW6" i="1"/>
  <c r="AW20" i="1"/>
  <c r="AS39" i="1"/>
  <c r="AS47" i="1"/>
  <c r="AS67" i="1"/>
  <c r="AS91" i="1"/>
  <c r="AS95" i="1"/>
  <c r="AS183" i="1"/>
  <c r="AS187" i="1"/>
  <c r="AS191" i="1"/>
  <c r="AS195" i="1"/>
  <c r="AS28" i="1"/>
  <c r="AW35" i="1"/>
  <c r="AS21" i="1"/>
  <c r="AS18" i="1"/>
  <c r="AS36" i="1"/>
  <c r="AS40" i="1"/>
  <c r="AS29" i="1"/>
  <c r="AW56" i="1"/>
  <c r="AW76" i="1"/>
  <c r="AS15" i="1"/>
  <c r="AS19" i="1"/>
  <c r="AS37" i="1"/>
  <c r="AS53" i="1"/>
  <c r="AW16" i="1"/>
  <c r="AS34" i="1"/>
  <c r="AW169" i="1"/>
  <c r="AW173" i="1"/>
  <c r="AW17" i="1"/>
  <c r="AS35" i="1"/>
  <c r="AS190" i="1"/>
  <c r="AS194" i="1"/>
  <c r="AS198" i="1"/>
  <c r="AW14" i="1"/>
  <c r="AW28" i="1"/>
  <c r="AS32" i="1"/>
  <c r="AW47" i="1"/>
  <c r="AW59" i="1"/>
  <c r="AS139" i="1"/>
  <c r="AS143" i="1"/>
  <c r="AS25" i="1"/>
  <c r="AW83" i="1"/>
  <c r="AW87" i="1"/>
  <c r="AW119" i="1"/>
  <c r="AW123" i="1"/>
  <c r="AW127" i="1"/>
  <c r="AS175" i="1"/>
  <c r="AS179" i="1"/>
  <c r="AS51" i="1"/>
  <c r="AS41" i="1"/>
  <c r="AS45" i="1"/>
  <c r="AW29" i="1"/>
  <c r="AW5" i="1"/>
  <c r="AW84" i="1"/>
  <c r="AS188" i="1"/>
  <c r="AS200" i="1"/>
  <c r="AS6" i="1"/>
  <c r="AW41" i="1"/>
  <c r="AW10" i="1"/>
  <c r="AS8" i="1"/>
  <c r="AS7" i="1"/>
  <c r="AW13" i="1"/>
  <c r="AW26" i="1"/>
  <c r="AS48" i="1"/>
  <c r="AS75" i="1"/>
  <c r="AS130" i="1"/>
  <c r="AS134" i="1"/>
  <c r="AW185" i="1"/>
  <c r="AW189" i="1"/>
  <c r="AW193" i="1"/>
  <c r="AW23" i="1"/>
  <c r="AW67" i="1"/>
  <c r="AS138" i="1"/>
  <c r="AS158" i="1"/>
  <c r="AS30" i="1"/>
  <c r="AW44" i="1"/>
  <c r="AS60" i="1"/>
  <c r="AW75" i="1"/>
  <c r="AW79" i="1"/>
  <c r="AS107" i="1"/>
  <c r="AS111" i="1"/>
  <c r="AS115" i="1"/>
  <c r="AS11" i="1"/>
  <c r="AS24" i="1"/>
  <c r="AW45" i="1"/>
  <c r="AW49" i="1"/>
  <c r="AW57" i="1"/>
  <c r="AW155" i="1"/>
  <c r="AW159" i="1"/>
  <c r="AW163" i="1"/>
  <c r="AW167" i="1"/>
  <c r="AS207" i="1"/>
  <c r="AS73" i="1"/>
  <c r="AS108" i="1"/>
  <c r="AS128" i="1"/>
  <c r="AW65" i="1"/>
  <c r="AS140" i="1"/>
  <c r="AS144" i="1"/>
  <c r="AS160" i="1"/>
  <c r="AS164" i="1"/>
  <c r="AW73" i="1"/>
  <c r="AW77" i="1"/>
  <c r="AW81" i="1"/>
  <c r="AW9" i="1"/>
  <c r="AW19" i="1"/>
  <c r="AS82" i="1"/>
  <c r="AS137" i="1"/>
  <c r="AS141" i="1"/>
  <c r="AS145" i="1"/>
  <c r="AS149" i="1"/>
  <c r="AS153" i="1"/>
  <c r="AW11" i="1"/>
  <c r="AS17" i="1"/>
  <c r="AS44" i="1"/>
  <c r="AS55" i="1"/>
  <c r="AW95" i="1"/>
  <c r="AW99" i="1"/>
  <c r="AW103" i="1"/>
  <c r="AS119" i="1"/>
  <c r="AS123" i="1"/>
  <c r="AS170" i="1"/>
  <c r="AS174" i="1"/>
  <c r="AW197" i="1"/>
  <c r="AW54" i="1"/>
  <c r="AW43" i="1"/>
  <c r="AW31" i="1"/>
  <c r="AS20" i="1"/>
  <c r="AS23" i="1"/>
  <c r="AW34" i="1"/>
  <c r="AW37" i="1"/>
  <c r="AS59" i="1"/>
  <c r="AW62" i="1"/>
  <c r="AW69" i="1"/>
  <c r="AS77" i="1"/>
  <c r="AS81" i="1"/>
  <c r="AW107" i="1"/>
  <c r="AS127" i="1"/>
  <c r="AS131" i="1"/>
  <c r="AS178" i="1"/>
  <c r="AW205" i="1"/>
  <c r="AW115" i="1"/>
  <c r="AS63" i="1"/>
  <c r="AW135" i="1"/>
  <c r="AW139" i="1"/>
  <c r="AW143" i="1"/>
  <c r="AS159" i="1"/>
  <c r="AS163" i="1"/>
  <c r="AS56" i="1"/>
  <c r="AS74" i="1"/>
  <c r="AS120" i="1"/>
  <c r="AS124" i="1"/>
  <c r="AW147" i="1"/>
  <c r="AS167" i="1"/>
  <c r="AS171" i="1"/>
  <c r="AW78" i="1"/>
  <c r="AS97" i="1"/>
  <c r="AS101" i="1"/>
  <c r="AS148" i="1"/>
  <c r="AW175" i="1"/>
  <c r="AW179" i="1"/>
  <c r="AW183" i="1"/>
  <c r="AS199" i="1"/>
  <c r="AS203" i="1"/>
  <c r="AW18" i="1"/>
  <c r="AW21" i="1"/>
  <c r="AS27" i="1"/>
  <c r="AW38" i="1"/>
  <c r="AS42" i="1"/>
  <c r="AS49" i="1"/>
  <c r="AS64" i="1"/>
  <c r="AS71" i="1"/>
  <c r="AW93" i="1"/>
  <c r="AW187" i="1"/>
  <c r="AW30" i="1"/>
  <c r="AS5" i="1"/>
  <c r="AP2" i="1"/>
  <c r="AW15" i="1"/>
  <c r="AW97" i="1"/>
  <c r="AS168" i="1"/>
  <c r="AW195" i="1"/>
  <c r="AW199" i="1"/>
  <c r="AW203" i="1"/>
  <c r="AW63" i="1"/>
  <c r="AW24" i="1"/>
  <c r="AW27" i="1"/>
  <c r="AS33" i="1"/>
  <c r="AW71" i="1"/>
  <c r="AS79" i="1"/>
  <c r="AS83" i="1"/>
  <c r="AW105" i="1"/>
  <c r="AW109" i="1"/>
  <c r="AW113" i="1"/>
  <c r="AS129" i="1"/>
  <c r="AS133" i="1"/>
  <c r="AS180" i="1"/>
  <c r="AS184" i="1"/>
  <c r="AW207" i="1"/>
  <c r="AW33" i="1"/>
  <c r="AW55" i="1"/>
  <c r="AW7" i="1"/>
  <c r="AS10" i="1"/>
  <c r="AS13" i="1"/>
  <c r="AW53" i="1"/>
  <c r="AW46" i="1"/>
  <c r="AS50" i="1"/>
  <c r="AS72" i="1"/>
  <c r="AS87" i="1"/>
  <c r="AS110" i="1"/>
  <c r="AS114" i="1"/>
  <c r="AW137" i="1"/>
  <c r="AS157" i="1"/>
  <c r="AS161" i="1"/>
  <c r="AS208" i="1"/>
  <c r="AS43" i="1"/>
  <c r="AS118" i="1"/>
  <c r="AW145" i="1"/>
  <c r="AW149" i="1"/>
  <c r="AW153" i="1"/>
  <c r="AS165" i="1"/>
  <c r="AS169" i="1"/>
  <c r="AS173" i="1"/>
  <c r="AW61" i="1"/>
  <c r="AW72" i="1"/>
  <c r="AS80" i="1"/>
  <c r="AW157" i="1"/>
  <c r="AS177" i="1"/>
  <c r="AS181" i="1"/>
  <c r="AW165" i="1"/>
  <c r="AW58" i="1"/>
  <c r="AW80" i="1"/>
  <c r="AS99" i="1"/>
  <c r="AS103" i="1"/>
  <c r="AS150" i="1"/>
  <c r="AS154" i="1"/>
  <c r="AW177" i="1"/>
  <c r="AS197" i="1"/>
  <c r="AS201" i="1"/>
  <c r="AW8" i="1"/>
  <c r="AW32" i="1"/>
  <c r="AW12" i="1"/>
  <c r="AW36" i="1"/>
  <c r="AW22" i="1"/>
  <c r="AS52" i="1"/>
  <c r="AW64" i="1"/>
  <c r="AS86" i="1"/>
  <c r="AW92" i="1"/>
  <c r="AW102" i="1"/>
  <c r="AW112" i="1"/>
  <c r="AW122" i="1"/>
  <c r="AW132" i="1"/>
  <c r="AW142" i="1"/>
  <c r="AW152" i="1"/>
  <c r="AW162" i="1"/>
  <c r="AW172" i="1"/>
  <c r="AW182" i="1"/>
  <c r="AW192" i="1"/>
  <c r="AW202" i="1"/>
  <c r="AW52" i="1"/>
  <c r="AW86" i="1"/>
  <c r="AS106" i="1"/>
  <c r="AS116" i="1"/>
  <c r="AS126" i="1"/>
  <c r="AS136" i="1"/>
  <c r="AS146" i="1"/>
  <c r="AS156" i="1"/>
  <c r="AS166" i="1"/>
  <c r="AS176" i="1"/>
  <c r="AS186" i="1"/>
  <c r="AS196" i="1"/>
  <c r="AS206" i="1"/>
  <c r="AW40" i="1"/>
  <c r="AS62" i="1"/>
  <c r="AW74" i="1"/>
  <c r="AW96" i="1"/>
  <c r="AW106" i="1"/>
  <c r="AW116" i="1"/>
  <c r="AW126" i="1"/>
  <c r="AW136" i="1"/>
  <c r="AW146" i="1"/>
  <c r="AW156" i="1"/>
  <c r="AW166" i="1"/>
  <c r="AW176" i="1"/>
  <c r="AW186" i="1"/>
  <c r="AW196" i="1"/>
  <c r="AW206" i="1"/>
  <c r="AW68" i="1"/>
  <c r="AW50" i="1"/>
  <c r="AS78" i="1"/>
  <c r="AW90" i="1"/>
  <c r="AW100" i="1"/>
  <c r="AW110" i="1"/>
  <c r="AW120" i="1"/>
  <c r="AW130" i="1"/>
  <c r="AW140" i="1"/>
  <c r="AW150" i="1"/>
  <c r="AW160" i="1"/>
  <c r="AW170" i="1"/>
  <c r="AW180" i="1"/>
  <c r="AW190" i="1"/>
  <c r="AW200" i="1"/>
  <c r="AS204" i="1"/>
  <c r="AS54" i="1"/>
  <c r="AW66" i="1"/>
  <c r="AW94" i="1"/>
  <c r="AW104" i="1"/>
  <c r="AW114" i="1"/>
  <c r="AW124" i="1"/>
  <c r="AW134" i="1"/>
  <c r="AW144" i="1"/>
  <c r="AW154" i="1"/>
  <c r="AW164" i="1"/>
  <c r="AW174" i="1"/>
  <c r="AW184" i="1"/>
  <c r="AW194" i="1"/>
  <c r="AW204" i="1"/>
  <c r="AW48" i="1"/>
  <c r="AS76" i="1"/>
  <c r="AW88" i="1"/>
  <c r="AW91" i="1"/>
  <c r="AW101" i="1"/>
  <c r="AW111" i="1"/>
  <c r="AW121" i="1"/>
  <c r="AW131" i="1"/>
  <c r="AW141" i="1"/>
  <c r="AW151" i="1"/>
  <c r="AW161" i="1"/>
  <c r="AW171" i="1"/>
  <c r="AW181" i="1"/>
  <c r="AW191" i="1"/>
  <c r="AW201" i="1"/>
  <c r="AW60" i="1"/>
  <c r="AW42" i="1"/>
  <c r="AS70" i="1"/>
  <c r="AW82" i="1"/>
  <c r="AW98" i="1"/>
  <c r="AW108" i="1"/>
  <c r="AW118" i="1"/>
  <c r="AW128" i="1"/>
  <c r="AW138" i="1"/>
  <c r="AW148" i="1"/>
  <c r="AW158" i="1"/>
  <c r="AW168" i="1"/>
  <c r="AW178" i="1"/>
  <c r="AW188" i="1"/>
  <c r="AW198" i="1"/>
  <c r="AW208" i="1"/>
  <c r="AS58" i="1"/>
  <c r="AW70" i="1"/>
  <c r="AS92" i="1"/>
  <c r="AS102" i="1"/>
  <c r="AS112" i="1"/>
  <c r="AS122" i="1"/>
  <c r="AS132" i="1"/>
  <c r="AS142" i="1"/>
  <c r="AS152" i="1"/>
  <c r="AS162" i="1"/>
  <c r="AS172" i="1"/>
  <c r="AS182" i="1"/>
  <c r="AS192" i="1"/>
  <c r="AS202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<sst xmlns="http://schemas.openxmlformats.org/spreadsheetml/2006/main" count="3544" uniqueCount="1272">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</sst>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X1" sqref="X1:Y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3" width="32.42578125" style="74" customWidth="1"/>
    <col min="15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15</v>
      </c>
      <c r="AQ5" s="89">
        <f t="shared" ref="AQ5:AQ68" si="2">IF(AP5&gt;14,AVERAGE(K5:AO5),"")</f>
        <v>26.926666666666669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0.66737808813633848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15</v>
      </c>
      <c r="AQ6" s="89">
        <f t="shared" si="2"/>
        <v>27.186666666666667</v>
      </c>
      <c r="AR6" s="89">
        <f>IFERROR(VLOOKUP(A6,Climatologia!A:U,9+$E$2,FALSE),"")</f>
        <v>26.228813072776621</v>
      </c>
      <c r="AS6" s="89">
        <f t="shared" si="3"/>
        <v>0.95785359389004654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15</v>
      </c>
      <c r="AQ7" s="89">
        <f t="shared" si="2"/>
        <v>26.666666666666668</v>
      </c>
      <c r="AR7" s="89">
        <f>IFERROR(VLOOKUP(A7,Climatologia!A:U,9+$E$2,FALSE),"")</f>
        <v>24.806006674082301</v>
      </c>
      <c r="AS7" s="89">
        <f t="shared" si="3"/>
        <v>1.8606599925843668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15</v>
      </c>
      <c r="AQ8" s="89">
        <f t="shared" si="2"/>
        <v>26.639999999999997</v>
      </c>
      <c r="AR8" s="89">
        <f>IFERROR(VLOOKUP(A8,Climatologia!A:U,9+$E$2,FALSE),"")</f>
        <v>25.86230323116423</v>
      </c>
      <c r="AS8" s="89">
        <f t="shared" si="3"/>
        <v>0.77769676883576722</v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15</v>
      </c>
      <c r="AQ9" s="89">
        <f t="shared" si="2"/>
        <v>26.006666666666668</v>
      </c>
      <c r="AR9" s="89">
        <f>IFERROR(VLOOKUP(A9,Climatologia!A:U,9+$E$2,FALSE),"")</f>
        <v>24.75295901904628</v>
      </c>
      <c r="AS9" s="89">
        <f t="shared" si="3"/>
        <v>1.2537076476203879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15</v>
      </c>
      <c r="AQ10" s="89">
        <f t="shared" si="2"/>
        <v>27.966666666666661</v>
      </c>
      <c r="AR10" s="89">
        <f>IFERROR(VLOOKUP(A10,Climatologia!A:U,9+$E$2,FALSE),"")</f>
        <v>25.518421261719372</v>
      </c>
      <c r="AS10" s="89">
        <f t="shared" si="3"/>
        <v>2.4482454049472899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15</v>
      </c>
      <c r="AQ11" s="89">
        <f t="shared" si="2"/>
        <v>27.013333333333332</v>
      </c>
      <c r="AR11" s="89">
        <f>IFERROR(VLOOKUP(A11,Climatologia!A:U,9+$E$2,FALSE),"")</f>
        <v>24.333982334869429</v>
      </c>
      <c r="AS11" s="89">
        <f t="shared" si="3"/>
        <v>2.679350998463903</v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15</v>
      </c>
      <c r="AQ12" s="89">
        <f t="shared" si="2"/>
        <v>26.019999999999996</v>
      </c>
      <c r="AR12" s="89">
        <f>IFERROR(VLOOKUP(A12,Climatologia!A:U,9+$E$2,FALSE),"")</f>
        <v>23.252867103531361</v>
      </c>
      <c r="AS12" s="89">
        <f t="shared" si="3"/>
        <v>2.7671328964686346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15</v>
      </c>
      <c r="AQ13" s="89">
        <f t="shared" si="2"/>
        <v>25.34</v>
      </c>
      <c r="AR13" s="89">
        <f>IFERROR(VLOOKUP(A13,Climatologia!A:U,9+$E$2,FALSE),"")</f>
        <v>23.256381449473771</v>
      </c>
      <c r="AS13" s="89">
        <f t="shared" si="3"/>
        <v>2.0836185505262286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15</v>
      </c>
      <c r="AQ14" s="89">
        <f t="shared" si="2"/>
        <v>20.280000000000005</v>
      </c>
      <c r="AR14" s="89">
        <f>IFERROR(VLOOKUP(A14,Climatologia!A:U,9+$E$2,FALSE),"")</f>
        <v>18.604610712863401</v>
      </c>
      <c r="AS14" s="89">
        <f t="shared" si="3"/>
        <v>1.6753892871366034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15</v>
      </c>
      <c r="AQ15" s="89">
        <f t="shared" si="2"/>
        <v>25.886666666666667</v>
      </c>
      <c r="AR15" s="89">
        <f>IFERROR(VLOOKUP(A15,Climatologia!A:U,9+$E$2,FALSE),"")</f>
        <v>23.891303077493511</v>
      </c>
      <c r="AS15" s="89">
        <f t="shared" si="3"/>
        <v>1.9953635891731558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15</v>
      </c>
      <c r="AQ16" s="89">
        <f t="shared" si="2"/>
        <v>25.053333333333331</v>
      </c>
      <c r="AR16" s="89">
        <f>IFERROR(VLOOKUP(A16,Climatologia!A:U,9+$E$2,FALSE),"")</f>
        <v>23.404404619673439</v>
      </c>
      <c r="AS16" s="89">
        <f t="shared" si="3"/>
        <v>1.6489287136598918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15</v>
      </c>
      <c r="AQ17" s="89">
        <f t="shared" si="2"/>
        <v>19.64</v>
      </c>
      <c r="AR17" s="89">
        <f>IFERROR(VLOOKUP(A17,Climatologia!A:U,9+$E$2,FALSE),"")</f>
        <v>17.58853046594982</v>
      </c>
      <c r="AS17" s="89">
        <f t="shared" si="3"/>
        <v>2.051469534050181</v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15</v>
      </c>
      <c r="AQ18" s="89">
        <f t="shared" si="2"/>
        <v>12.56666666666667</v>
      </c>
      <c r="AR18" s="89">
        <f>IFERROR(VLOOKUP(A18,Climatologia!A:U,9+$E$2,FALSE),"")</f>
        <v>12.112884686688909</v>
      </c>
      <c r="AS18" s="89">
        <f t="shared" si="3"/>
        <v>0.45378197997776049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15</v>
      </c>
      <c r="AQ19" s="89">
        <f t="shared" si="2"/>
        <v>18.673333333333332</v>
      </c>
      <c r="AR19" s="89">
        <f>IFERROR(VLOOKUP(A19,Climatologia!A:U,9+$E$2,FALSE),"")</f>
        <v>17.60198511166254</v>
      </c>
      <c r="AS19" s="89">
        <f t="shared" si="3"/>
        <v>1.0713482216707924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15</v>
      </c>
      <c r="AQ20" s="89">
        <f t="shared" si="2"/>
        <v>17.386666666666667</v>
      </c>
      <c r="AR20" s="89">
        <f>IFERROR(VLOOKUP(A20,Climatologia!A:U,9+$E$2,FALSE),"")</f>
        <v>16.759506289039098</v>
      </c>
      <c r="AS20" s="89">
        <f t="shared" si="3"/>
        <v>0.62716037762756827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15</v>
      </c>
      <c r="AQ21" s="89">
        <f t="shared" si="2"/>
        <v>21.533333333333328</v>
      </c>
      <c r="AR21" s="89">
        <f>IFERROR(VLOOKUP(A21,Climatologia!A:U,9+$E$2,FALSE),"")</f>
        <v>19.456815855631209</v>
      </c>
      <c r="AS21" s="89">
        <f t="shared" si="3"/>
        <v>2.0765174777021187</v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15</v>
      </c>
      <c r="AQ22" s="89">
        <f t="shared" si="2"/>
        <v>9.2799999999999994</v>
      </c>
      <c r="AR22" s="89">
        <f>IFERROR(VLOOKUP(A22,Climatologia!A:U,9+$E$2,FALSE),"")</f>
        <v>8.3796136733122264</v>
      </c>
      <c r="AS22" s="89">
        <f t="shared" si="3"/>
        <v>0.90038632668777296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15</v>
      </c>
      <c r="AQ23" s="89">
        <f t="shared" si="2"/>
        <v>18.719999999999995</v>
      </c>
      <c r="AR23" s="89">
        <f>IFERROR(VLOOKUP(A23,Climatologia!A:U,9+$E$2,FALSE),"")</f>
        <v>18.46166778427882</v>
      </c>
      <c r="AS23" s="89">
        <f t="shared" si="3"/>
        <v>0.25833221572117537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15</v>
      </c>
      <c r="AQ24" s="89">
        <f t="shared" si="2"/>
        <v>25.199999999999996</v>
      </c>
      <c r="AR24" s="89">
        <f>IFERROR(VLOOKUP(A24,Climatologia!A:U,9+$E$2,FALSE),"")</f>
        <v>23.298802867383511</v>
      </c>
      <c r="AS24" s="89">
        <f t="shared" si="3"/>
        <v>1.9011971326164847</v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15</v>
      </c>
      <c r="AQ25" s="89">
        <f t="shared" si="2"/>
        <v>15.906666666666666</v>
      </c>
      <c r="AR25" s="89">
        <f>IFERROR(VLOOKUP(A25,Climatologia!A:U,9+$E$2,FALSE),"")</f>
        <v>14.619937099422639</v>
      </c>
      <c r="AS25" s="89">
        <f t="shared" si="3"/>
        <v>1.2867295672440271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15</v>
      </c>
      <c r="AQ26" s="89">
        <f t="shared" si="2"/>
        <v>7.0933333333333337</v>
      </c>
      <c r="AR26" s="89">
        <f>IFERROR(VLOOKUP(A26,Climatologia!A:U,9+$E$2,FALSE),"")</f>
        <v>4.8923173896922503</v>
      </c>
      <c r="AS26" s="89">
        <f t="shared" si="3"/>
        <v>2.2010159436410834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15</v>
      </c>
      <c r="AQ27" s="89">
        <f t="shared" si="2"/>
        <v>24.393333333333331</v>
      </c>
      <c r="AR27" s="89">
        <f>IFERROR(VLOOKUP(A27,Climatologia!A:U,9+$E$2,FALSE),"")</f>
        <v>23.179136204978711</v>
      </c>
      <c r="AS27" s="89">
        <f t="shared" si="3"/>
        <v>1.2141971283546198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15</v>
      </c>
      <c r="AQ28" s="89">
        <f t="shared" si="2"/>
        <v>23.679999999999996</v>
      </c>
      <c r="AR28" s="89">
        <f>IFERROR(VLOOKUP(A28,Climatologia!A:U,9+$E$2,FALSE),"")</f>
        <v>22.746845081640782</v>
      </c>
      <c r="AS28" s="89">
        <f t="shared" si="3"/>
        <v>0.93315491835921449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15</v>
      </c>
      <c r="AQ29" s="89">
        <f t="shared" si="2"/>
        <v>25.186666666666667</v>
      </c>
      <c r="AR29" s="89">
        <f>IFERROR(VLOOKUP(A29,Climatologia!A:U,9+$E$2,FALSE),"")</f>
        <v>23.54566184649611</v>
      </c>
      <c r="AS29" s="89">
        <f t="shared" si="3"/>
        <v>1.6410048201705578</v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15</v>
      </c>
      <c r="AQ30" s="89">
        <f t="shared" si="2"/>
        <v>21.553333333333335</v>
      </c>
      <c r="AR30" s="89">
        <f>IFERROR(VLOOKUP(A30,Climatologia!A:U,9+$E$2,FALSE),"")</f>
        <v>20.53698553948831</v>
      </c>
      <c r="AS30" s="89">
        <f t="shared" si="3"/>
        <v>1.0163477938450249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15</v>
      </c>
      <c r="AQ31" s="89">
        <f t="shared" si="2"/>
        <v>23.146666666666665</v>
      </c>
      <c r="AR31" s="89">
        <f>IFERROR(VLOOKUP(A31,Climatologia!A:U,9+$E$2,FALSE),"")</f>
        <v>21.82882961124896</v>
      </c>
      <c r="AS31" s="89">
        <f t="shared" si="3"/>
        <v>1.317837055417705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15</v>
      </c>
      <c r="AQ32" s="89">
        <f t="shared" si="2"/>
        <v>13.453333333333331</v>
      </c>
      <c r="AR32" s="89">
        <f>IFERROR(VLOOKUP(A32,Climatologia!A:U,9+$E$2,FALSE),"")</f>
        <v>13.384747431302269</v>
      </c>
      <c r="AS32" s="89">
        <f t="shared" si="3"/>
        <v>6.8585902031061963E-2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15</v>
      </c>
      <c r="AQ34" s="89">
        <f t="shared" si="2"/>
        <v>15.72</v>
      </c>
      <c r="AR34" s="89">
        <f>IFERROR(VLOOKUP(A34,Climatologia!A:U,9+$E$2,FALSE),"")</f>
        <v>14.78540372493654</v>
      </c>
      <c r="AS34" s="89">
        <f t="shared" si="3"/>
        <v>0.93459627506346088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15</v>
      </c>
      <c r="AQ35" s="89">
        <f t="shared" si="2"/>
        <v>14.786666666666669</v>
      </c>
      <c r="AR35" s="89">
        <f>IFERROR(VLOOKUP(A35,Climatologia!A:U,9+$E$2,FALSE),"")</f>
        <v>13.2928973207542</v>
      </c>
      <c r="AS35" s="89">
        <f t="shared" si="3"/>
        <v>1.4937693459124688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15</v>
      </c>
      <c r="AQ36" s="89">
        <f t="shared" si="2"/>
        <v>18.093333333333337</v>
      </c>
      <c r="AR36" s="89">
        <f>IFERROR(VLOOKUP(A36,Climatologia!A:U,9+$E$2,FALSE),"")</f>
        <v>19.435919418842811</v>
      </c>
      <c r="AS36" s="89">
        <f t="shared" si="3"/>
        <v>-1.342586085509474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15</v>
      </c>
      <c r="AQ37" s="89">
        <f t="shared" si="2"/>
        <v>9.0933333333333337</v>
      </c>
      <c r="AR37" s="89">
        <f>IFERROR(VLOOKUP(A37,Climatologia!A:U,9+$E$2,FALSE),"")</f>
        <v>9.4603029050299927</v>
      </c>
      <c r="AS37" s="89">
        <f t="shared" si="3"/>
        <v>-0.366969571696659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>
        <v>18.399999999999999</v>
      </c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12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15</v>
      </c>
      <c r="AQ39" s="89">
        <f t="shared" si="2"/>
        <v>19.920000000000005</v>
      </c>
      <c r="AR39" s="89">
        <f>IFERROR(VLOOKUP(A39,Climatologia!A:U,9+$E$2,FALSE),"")</f>
        <v>17.324090157154679</v>
      </c>
      <c r="AS39" s="89">
        <f t="shared" si="3"/>
        <v>2.5959098428453267</v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15</v>
      </c>
      <c r="AQ40" s="89">
        <f t="shared" si="2"/>
        <v>14.479999999999999</v>
      </c>
      <c r="AR40" s="89">
        <f>IFERROR(VLOOKUP(A40,Climatologia!A:U,9+$E$2,FALSE),"")</f>
        <v>13.024959037378389</v>
      </c>
      <c r="AS40" s="89">
        <f t="shared" si="3"/>
        <v>1.4550409626216094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15</v>
      </c>
      <c r="AQ41" s="89">
        <f t="shared" si="2"/>
        <v>25.093333333333337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15</v>
      </c>
      <c r="AQ42" s="89">
        <f t="shared" si="2"/>
        <v>26.186666666666664</v>
      </c>
      <c r="AR42" s="89">
        <f>IFERROR(VLOOKUP(A42,Climatologia!A:U,9+$E$2,FALSE),"")</f>
        <v>24.242887721454171</v>
      </c>
      <c r="AS42" s="89">
        <f t="shared" si="3"/>
        <v>1.9437789452124932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15</v>
      </c>
      <c r="AQ43" s="89">
        <f t="shared" si="2"/>
        <v>25.26</v>
      </c>
      <c r="AR43" s="89">
        <f>IFERROR(VLOOKUP(A43,Climatologia!A:U,9+$E$2,FALSE),"")</f>
        <v>23.780114118567958</v>
      </c>
      <c r="AS43" s="89">
        <f t="shared" si="3"/>
        <v>1.4798858814320432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15</v>
      </c>
      <c r="AQ44" s="89">
        <f t="shared" si="2"/>
        <v>24.77333333333333</v>
      </c>
      <c r="AR44" s="89">
        <f>IFERROR(VLOOKUP(A44,Climatologia!A:U,9+$E$2,FALSE),"")</f>
        <v>23.0554149406661</v>
      </c>
      <c r="AS44" s="89">
        <f t="shared" si="3"/>
        <v>1.7179183926672295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15</v>
      </c>
      <c r="AQ47" s="89">
        <f t="shared" si="2"/>
        <v>25.306666666666672</v>
      </c>
      <c r="AR47" s="89">
        <f>IFERROR(VLOOKUP(A47,Climatologia!A:U,9+$E$2,FALSE),"")</f>
        <v>22.672444338506629</v>
      </c>
      <c r="AS47" s="89">
        <f t="shared" si="3"/>
        <v>2.6342223281600425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15</v>
      </c>
      <c r="AQ51" s="89">
        <f t="shared" si="2"/>
        <v>25.319999999999997</v>
      </c>
      <c r="AR51" s="89">
        <f>IFERROR(VLOOKUP(A51,Climatologia!A:U,9+$E$2,FALSE),"")</f>
        <v>23.046735261401551</v>
      </c>
      <c r="AS51" s="89">
        <f t="shared" si="3"/>
        <v>2.2732647385984457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15</v>
      </c>
      <c r="AQ52" s="89">
        <f t="shared" si="2"/>
        <v>24.706666666666667</v>
      </c>
      <c r="AR52" s="89">
        <f>IFERROR(VLOOKUP(A52,Climatologia!A:U,9+$E$2,FALSE),"")</f>
        <v>22.42011697979439</v>
      </c>
      <c r="AS52" s="89">
        <f t="shared" si="3"/>
        <v>2.2865496868722772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14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>
        <v>23.2</v>
      </c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14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15</v>
      </c>
      <c r="AQ57" s="89">
        <f t="shared" si="2"/>
        <v>25.119999999999997</v>
      </c>
      <c r="AR57" s="89">
        <f>IFERROR(VLOOKUP(A57,Climatologia!A:U,9+$E$2,FALSE),"")</f>
        <v>23.979265352535649</v>
      </c>
      <c r="AS57" s="89">
        <f t="shared" si="3"/>
        <v>1.1407346474643489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9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15</v>
      </c>
      <c r="AQ60" s="89">
        <f t="shared" si="2"/>
        <v>22.160000000000004</v>
      </c>
      <c r="AR60" s="89">
        <f>IFERROR(VLOOKUP(A60,Climatologia!A:U,9+$E$2,FALSE),"")</f>
        <v>21.421723438405142</v>
      </c>
      <c r="AS60" s="89">
        <f t="shared" si="3"/>
        <v>0.7382765615948621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14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15</v>
      </c>
      <c r="AQ64" s="89">
        <f t="shared" si="2"/>
        <v>22.09333333333333</v>
      </c>
      <c r="AR64" s="89">
        <f>IFERROR(VLOOKUP(A64,Climatologia!A:U,9+$E$2,FALSE),"")</f>
        <v>21.829845625062539</v>
      </c>
      <c r="AS64" s="89">
        <f t="shared" si="3"/>
        <v>0.26348770827079093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>
        <v>23</v>
      </c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14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15</v>
      </c>
      <c r="AQ67" s="89">
        <f t="shared" si="2"/>
        <v>20.213333333333342</v>
      </c>
      <c r="AR67" s="89">
        <f>IFERROR(VLOOKUP(A67,Climatologia!A:U,9+$E$2,FALSE),"")</f>
        <v>21.155438855480959</v>
      </c>
      <c r="AS67" s="89">
        <f t="shared" si="3"/>
        <v>-0.94210552214761734</v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21.206666666666671</v>
      </c>
      <c r="AR68" s="89">
        <f>IFERROR(VLOOKUP(A68,Climatologia!A:U,9+$E$2,FALSE),"")</f>
        <v>21.17954086440843</v>
      </c>
      <c r="AS68" s="89">
        <f t="shared" si="3"/>
        <v>2.7125802258240128E-2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>
        <v>22.6</v>
      </c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15</v>
      </c>
      <c r="AQ69" s="89">
        <f t="shared" ref="AQ69:AQ132" si="7">IF(AP69&gt;14,AVERAGE(K69:AO69),"")</f>
        <v>22.706666666666667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1.7484370199692769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15</v>
      </c>
      <c r="AQ70" s="89">
        <f t="shared" si="7"/>
        <v>22.986666666666668</v>
      </c>
      <c r="AR70" s="89">
        <f>IFERROR(VLOOKUP(A70,Climatologia!A:U,9+$E$2,FALSE),"")</f>
        <v>22.49395085458767</v>
      </c>
      <c r="AS70" s="89">
        <f t="shared" si="8"/>
        <v>0.49271581207899828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15</v>
      </c>
      <c r="AQ71" s="89">
        <f t="shared" si="7"/>
        <v>22.313333333333333</v>
      </c>
      <c r="AR71" s="89">
        <f>IFERROR(VLOOKUP(A71,Climatologia!A:U,9+$E$2,FALSE),"")</f>
        <v>21.499102150537631</v>
      </c>
      <c r="AS71" s="89">
        <f t="shared" si="8"/>
        <v>0.81423118279570161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13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14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14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15</v>
      </c>
      <c r="AQ75" s="89">
        <f t="shared" si="7"/>
        <v>15.773333333333335</v>
      </c>
      <c r="AR75" s="89">
        <f>IFERROR(VLOOKUP(A75,Climatologia!A:U,9+$E$2,FALSE),"")</f>
        <v>15.418794564997761</v>
      </c>
      <c r="AS75" s="89">
        <f t="shared" si="8"/>
        <v>0.35453876833557452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15</v>
      </c>
      <c r="AQ76" s="89">
        <f t="shared" si="7"/>
        <v>17.399999999999999</v>
      </c>
      <c r="AR76" s="89">
        <f>IFERROR(VLOOKUP(A76,Climatologia!A:U,9+$E$2,FALSE),"")</f>
        <v>18.47633867500863</v>
      </c>
      <c r="AS76" s="89">
        <f t="shared" si="8"/>
        <v>-1.0763386750086319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15</v>
      </c>
      <c r="AQ77" s="89">
        <f t="shared" si="7"/>
        <v>27.186666666666667</v>
      </c>
      <c r="AR77" s="89">
        <f>IFERROR(VLOOKUP(A77,Climatologia!A:U,9+$E$2,FALSE),"")</f>
        <v>24.545433207708651</v>
      </c>
      <c r="AS77" s="89">
        <f t="shared" si="8"/>
        <v>2.6412334589580162</v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15</v>
      </c>
      <c r="AQ78" s="89">
        <f t="shared" si="7"/>
        <v>25.24</v>
      </c>
      <c r="AR78" s="89">
        <f>IFERROR(VLOOKUP(A78,Climatologia!A:U,9+$E$2,FALSE),"")</f>
        <v>23.46580771270726</v>
      </c>
      <c r="AS78" s="89">
        <f t="shared" si="8"/>
        <v>1.7741922872927383</v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15</v>
      </c>
      <c r="AQ79" s="89">
        <f t="shared" si="7"/>
        <v>14.799999999999999</v>
      </c>
      <c r="AR79" s="89">
        <f>IFERROR(VLOOKUP(A79,Climatologia!A:U,9+$E$2,FALSE),"")</f>
        <v>15.28784620132488</v>
      </c>
      <c r="AS79" s="89">
        <f t="shared" si="8"/>
        <v>-0.48784620132488143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15</v>
      </c>
      <c r="AQ81" s="89">
        <f t="shared" si="7"/>
        <v>23.106666666666669</v>
      </c>
      <c r="AR81" s="89">
        <f>IFERROR(VLOOKUP(A81,Climatologia!A:U,9+$E$2,FALSE),"")</f>
        <v>21.715420961210111</v>
      </c>
      <c r="AS81" s="89">
        <f t="shared" si="8"/>
        <v>1.3912457054565586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15</v>
      </c>
      <c r="AQ83" s="89">
        <f t="shared" si="7"/>
        <v>28.106666666666669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15</v>
      </c>
      <c r="AQ84" s="89">
        <f t="shared" si="7"/>
        <v>26.839999999999996</v>
      </c>
      <c r="AR84" s="89">
        <f>IFERROR(VLOOKUP(A84,Climatologia!A:U,9+$E$2,FALSE),"")</f>
        <v>23.659247311827961</v>
      </c>
      <c r="AS84" s="89">
        <f t="shared" si="8"/>
        <v>3.1807526881720349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15</v>
      </c>
      <c r="AQ85" s="89">
        <f t="shared" si="7"/>
        <v>25.026666666666664</v>
      </c>
      <c r="AR85" s="89">
        <f>IFERROR(VLOOKUP(A85,Climatologia!A:U,9+$E$2,FALSE),"")</f>
        <v>23.235308274059729</v>
      </c>
      <c r="AS85" s="89">
        <f t="shared" si="8"/>
        <v>1.7913583926069343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15</v>
      </c>
      <c r="AQ86" s="89">
        <f t="shared" si="7"/>
        <v>21.74666666666667</v>
      </c>
      <c r="AR86" s="89">
        <f>IFERROR(VLOOKUP(A86,Climatologia!A:U,9+$E$2,FALSE),"")</f>
        <v>22.828530465949822</v>
      </c>
      <c r="AS86" s="89">
        <f t="shared" si="8"/>
        <v>-1.0818637992831519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15</v>
      </c>
      <c r="AQ87" s="89">
        <f t="shared" si="7"/>
        <v>26.466666666666665</v>
      </c>
      <c r="AR87" s="89">
        <f>IFERROR(VLOOKUP(A87,Climatologia!A:U,9+$E$2,FALSE),"")</f>
        <v>23.725363919312059</v>
      </c>
      <c r="AS87" s="89">
        <f t="shared" si="8"/>
        <v>2.7413027473546059</v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15</v>
      </c>
      <c r="AQ88" s="89">
        <f t="shared" si="7"/>
        <v>26.506666666666668</v>
      </c>
      <c r="AR88" s="89">
        <f>IFERROR(VLOOKUP(A88,Climatologia!A:U,9+$E$2,FALSE),"")</f>
        <v>23.148531221247211</v>
      </c>
      <c r="AS88" s="89">
        <f t="shared" si="8"/>
        <v>3.3581354454194567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15</v>
      </c>
      <c r="AQ89" s="89">
        <f t="shared" si="7"/>
        <v>26.600000000000005</v>
      </c>
      <c r="AR89" s="89">
        <f>IFERROR(VLOOKUP(A89,Climatologia!A:U,9+$E$2,FALSE),"")</f>
        <v>22.80687536416124</v>
      </c>
      <c r="AS89" s="89">
        <f t="shared" si="8"/>
        <v>3.7931246358387654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15</v>
      </c>
      <c r="AQ90" s="89">
        <f t="shared" si="7"/>
        <v>12.76</v>
      </c>
      <c r="AR90" s="89">
        <f>IFERROR(VLOOKUP(A90,Climatologia!A:U,9+$E$2,FALSE),"")</f>
        <v>11.03161290322581</v>
      </c>
      <c r="AS90" s="89">
        <f t="shared" si="8"/>
        <v>1.7283870967741901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15</v>
      </c>
      <c r="AQ91" s="89">
        <f t="shared" si="7"/>
        <v>18.106666666666666</v>
      </c>
      <c r="AR91" s="89">
        <f>IFERROR(VLOOKUP(A91,Climatologia!A:U,9+$E$2,FALSE),"")</f>
        <v>17.610862560172901</v>
      </c>
      <c r="AS91" s="89">
        <f t="shared" si="8"/>
        <v>0.49580410649376461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14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15</v>
      </c>
      <c r="AQ93" s="89">
        <f t="shared" si="7"/>
        <v>9.9866666666666699</v>
      </c>
      <c r="AR93" s="89">
        <f>IFERROR(VLOOKUP(A93,Climatologia!A:U,9+$E$2,FALSE),"")</f>
        <v>8.6931200495597167</v>
      </c>
      <c r="AS93" s="89">
        <f t="shared" si="8"/>
        <v>1.2935466171069532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15</v>
      </c>
      <c r="AQ96" s="89">
        <f t="shared" si="7"/>
        <v>7.24</v>
      </c>
      <c r="AR96" s="89">
        <f>IFERROR(VLOOKUP(A96,Climatologia!A:U,9+$E$2,FALSE),"")</f>
        <v>7.1833471822125867</v>
      </c>
      <c r="AS96" s="89">
        <f t="shared" si="8"/>
        <v>5.665281778741349E-2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15</v>
      </c>
      <c r="AQ98" s="89">
        <f t="shared" si="7"/>
        <v>5.7200000000000006</v>
      </c>
      <c r="AR98" s="89">
        <f>IFERROR(VLOOKUP(A98,Climatologia!A:U,9+$E$2,FALSE),"")</f>
        <v>6.5568614692818183</v>
      </c>
      <c r="AS98" s="89">
        <f t="shared" si="8"/>
        <v>-0.8368614692818177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15</v>
      </c>
      <c r="AQ99" s="89">
        <f t="shared" si="7"/>
        <v>8.8133333333333326</v>
      </c>
      <c r="AR99" s="89">
        <f>IFERROR(VLOOKUP(A99,Climatologia!A:U,9+$E$2,FALSE),"")</f>
        <v>8.4968567690188941</v>
      </c>
      <c r="AS99" s="89">
        <f t="shared" si="8"/>
        <v>0.31647656431443849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14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12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13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15</v>
      </c>
      <c r="AQ105" s="89">
        <f t="shared" si="7"/>
        <v>5.2666666666666675</v>
      </c>
      <c r="AR105" s="89">
        <f>IFERROR(VLOOKUP(A105,Climatologia!A:U,9+$E$2,FALSE),"")</f>
        <v>6.6867982257377889</v>
      </c>
      <c r="AS105" s="89">
        <f t="shared" si="8"/>
        <v>-1.4201315590711214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15</v>
      </c>
      <c r="AQ106" s="89">
        <f t="shared" si="7"/>
        <v>10.586666666666666</v>
      </c>
      <c r="AR106" s="89">
        <f>IFERROR(VLOOKUP(A106,Climatologia!A:U,9+$E$2,FALSE),"")</f>
        <v>9.9225433842748103</v>
      </c>
      <c r="AS106" s="89">
        <f t="shared" si="8"/>
        <v>0.6641232823918557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13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15</v>
      </c>
      <c r="AQ108" s="89">
        <f t="shared" si="7"/>
        <v>11.56</v>
      </c>
      <c r="AR108" s="89">
        <f>IFERROR(VLOOKUP(A108,Climatologia!A:U,9+$E$2,FALSE),"")</f>
        <v>11.71482091212458</v>
      </c>
      <c r="AS108" s="89">
        <f t="shared" si="8"/>
        <v>-0.15482091212457938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15</v>
      </c>
      <c r="AQ109" s="89">
        <f t="shared" si="7"/>
        <v>14.413333333333332</v>
      </c>
      <c r="AR109" s="89">
        <f>IFERROR(VLOOKUP(A109,Climatologia!A:U,9+$E$2,FALSE),"")</f>
        <v>13.486598754951901</v>
      </c>
      <c r="AS109" s="89">
        <f t="shared" si="8"/>
        <v>0.92673457838143136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15</v>
      </c>
      <c r="AQ110" s="89">
        <f t="shared" si="7"/>
        <v>15.053333333333333</v>
      </c>
      <c r="AR110" s="89">
        <f>IFERROR(VLOOKUP(A110,Climatologia!A:U,9+$E$2,FALSE),"")</f>
        <v>13.526900330851941</v>
      </c>
      <c r="AS110" s="89">
        <f t="shared" si="8"/>
        <v>1.5264330024813919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15</v>
      </c>
      <c r="AQ111" s="89">
        <f t="shared" si="7"/>
        <v>18.133333333333333</v>
      </c>
      <c r="AR111" s="89">
        <f>IFERROR(VLOOKUP(A111,Climatologia!A:U,9+$E$2,FALSE),"")</f>
        <v>16.8655441109516</v>
      </c>
      <c r="AS111" s="89">
        <f t="shared" si="8"/>
        <v>1.2677892223817331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15</v>
      </c>
      <c r="AQ112" s="89">
        <f t="shared" si="7"/>
        <v>23.266666666666666</v>
      </c>
      <c r="AR112" s="89">
        <f>IFERROR(VLOOKUP(A112,Climatologia!A:U,9+$E$2,FALSE),"")</f>
        <v>22.5308162078518</v>
      </c>
      <c r="AS112" s="89">
        <f t="shared" si="8"/>
        <v>0.73585045881486622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15</v>
      </c>
      <c r="AQ113" s="89">
        <f t="shared" si="7"/>
        <v>15.073333333333334</v>
      </c>
      <c r="AR113" s="89">
        <f>IFERROR(VLOOKUP(A113,Climatologia!A:U,9+$E$2,FALSE),"")</f>
        <v>15.24686243974787</v>
      </c>
      <c r="AS113" s="89">
        <f t="shared" si="8"/>
        <v>-0.17352910641453612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15</v>
      </c>
      <c r="AQ114" s="89">
        <f t="shared" si="7"/>
        <v>19.706666666666667</v>
      </c>
      <c r="AR114" s="89">
        <f>IFERROR(VLOOKUP(A114,Climatologia!A:U,9+$E$2,FALSE),"")</f>
        <v>22.117682198327358</v>
      </c>
      <c r="AS114" s="89">
        <f t="shared" si="8"/>
        <v>-2.4110155316606914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15</v>
      </c>
      <c r="AQ115" s="89">
        <f t="shared" si="7"/>
        <v>22.506666666666661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19.600000000000001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4.3000000000000007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15</v>
      </c>
      <c r="AQ119" s="89">
        <f t="shared" si="7"/>
        <v>8.4266666666666676</v>
      </c>
      <c r="AR119" s="89">
        <f>IFERROR(VLOOKUP(A119,Climatologia!A:U,9+$E$2,FALSE),"")</f>
        <v>5.9386052057570407</v>
      </c>
      <c r="AS119" s="89">
        <f t="shared" si="8"/>
        <v>2.488061460909627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14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15</v>
      </c>
      <c r="AQ123" s="89">
        <f t="shared" si="7"/>
        <v>8.5466666666666651</v>
      </c>
      <c r="AR123" s="89">
        <f>IFERROR(VLOOKUP(A123,Climatologia!A:U,9+$E$2,FALSE),"")</f>
        <v>7.6782114198549483</v>
      </c>
      <c r="AS123" s="89">
        <f t="shared" si="8"/>
        <v>0.86845524681171682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16.8</v>
      </c>
      <c r="U127" s="51"/>
      <c r="V127" s="51">
        <v>14.6</v>
      </c>
      <c r="W127" s="51">
        <v>13.2</v>
      </c>
      <c r="X127" s="51">
        <v>14.4</v>
      </c>
      <c r="Y127" s="51">
        <v>14.6</v>
      </c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14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13.2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5.1999999999999993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15</v>
      </c>
      <c r="AQ129" s="89">
        <f t="shared" si="7"/>
        <v>10.433333333333334</v>
      </c>
      <c r="AR129" s="89">
        <f>IFERROR(VLOOKUP(A129,Climatologia!A:U,9+$E$2,FALSE),"")</f>
        <v>9.236293266429529</v>
      </c>
      <c r="AS129" s="89">
        <f t="shared" si="8"/>
        <v>1.1970400669038046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15</v>
      </c>
      <c r="AQ130" s="89">
        <f t="shared" si="7"/>
        <v>10.973333333333333</v>
      </c>
      <c r="AR130" s="89">
        <f>IFERROR(VLOOKUP(A130,Climatologia!A:U,9+$E$2,FALSE),"")</f>
        <v>10.41098422703651</v>
      </c>
      <c r="AS130" s="89">
        <f t="shared" si="8"/>
        <v>0.56234910629682311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15</v>
      </c>
      <c r="AQ131" s="89">
        <f t="shared" si="7"/>
        <v>16.826666666666668</v>
      </c>
      <c r="AR131" s="89">
        <f>IFERROR(VLOOKUP(A131,Climatologia!A:U,9+$E$2,FALSE),"")</f>
        <v>14.78700374480772</v>
      </c>
      <c r="AS131" s="89">
        <f t="shared" si="8"/>
        <v>2.0396629218589482</v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15</v>
      </c>
      <c r="AQ132" s="89">
        <f t="shared" si="7"/>
        <v>5.4733333333333327</v>
      </c>
      <c r="AR132" s="89">
        <f>IFERROR(VLOOKUP(A132,Climatologia!A:U,9+$E$2,FALSE),"")</f>
        <v>5.8955999815287932</v>
      </c>
      <c r="AS132" s="89">
        <f t="shared" si="8"/>
        <v>-0.42226664819546045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13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15</v>
      </c>
      <c r="AQ135" s="89">
        <f t="shared" si="12"/>
        <v>10.919999999999998</v>
      </c>
      <c r="AR135" s="89">
        <f>IFERROR(VLOOKUP(A135,Climatologia!A:U,9+$E$2,FALSE),"")</f>
        <v>9.1065439288804146</v>
      </c>
      <c r="AS135" s="89">
        <f t="shared" si="13"/>
        <v>1.8134560711195835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15</v>
      </c>
      <c r="AQ136" s="89">
        <f t="shared" si="12"/>
        <v>14</v>
      </c>
      <c r="AR136" s="89">
        <f>IFERROR(VLOOKUP(A136,Climatologia!A:U,9+$E$2,FALSE),"")</f>
        <v>12.59594623655914</v>
      </c>
      <c r="AS136" s="89">
        <f t="shared" si="13"/>
        <v>1.4040537634408601</v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15</v>
      </c>
      <c r="AQ137" s="89">
        <f t="shared" si="12"/>
        <v>9.8000000000000007</v>
      </c>
      <c r="AR137" s="89">
        <f>IFERROR(VLOOKUP(A137,Climatologia!A:U,9+$E$2,FALSE),"")</f>
        <v>8.5766227213911144</v>
      </c>
      <c r="AS137" s="89">
        <f t="shared" si="13"/>
        <v>1.2233772786088863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15</v>
      </c>
      <c r="AQ138" s="89">
        <f t="shared" si="12"/>
        <v>7.4399999999999995</v>
      </c>
      <c r="AR138" s="89">
        <f>IFERROR(VLOOKUP(A138,Climatologia!A:U,9+$E$2,FALSE),"")</f>
        <v>6.6337893956247704</v>
      </c>
      <c r="AS138" s="89">
        <f t="shared" si="13"/>
        <v>0.80621060437522907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15</v>
      </c>
      <c r="AQ139" s="89">
        <f t="shared" si="12"/>
        <v>24.773333333333326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14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15</v>
      </c>
      <c r="AQ141" s="89">
        <f t="shared" si="12"/>
        <v>14.813333333333334</v>
      </c>
      <c r="AR141" s="89">
        <f>IFERROR(VLOOKUP(A141,Climatologia!A:U,9+$E$2,FALSE),"")</f>
        <v>14.39065028161802</v>
      </c>
      <c r="AS141" s="89">
        <f t="shared" si="13"/>
        <v>0.42268305171531395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15</v>
      </c>
      <c r="AQ142" s="89">
        <f t="shared" si="12"/>
        <v>23.933333333333334</v>
      </c>
      <c r="AR142" s="89">
        <f>IFERROR(VLOOKUP(A142,Climatologia!A:U,9+$E$2,FALSE),"")</f>
        <v>22.55356989247311</v>
      </c>
      <c r="AS142" s="89">
        <f t="shared" si="13"/>
        <v>1.3797634408602235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15</v>
      </c>
      <c r="AQ143" s="89">
        <f t="shared" si="12"/>
        <v>20.293333333333337</v>
      </c>
      <c r="AR143" s="89">
        <f>IFERROR(VLOOKUP(A143,Climatologia!A:U,9+$E$2,FALSE),"")</f>
        <v>19.318198924731181</v>
      </c>
      <c r="AS143" s="89">
        <f t="shared" si="13"/>
        <v>0.97513440860215539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15</v>
      </c>
      <c r="AQ144" s="89">
        <f t="shared" si="12"/>
        <v>24.480000000000004</v>
      </c>
      <c r="AR144" s="89">
        <f>IFERROR(VLOOKUP(A144,Climatologia!A:U,9+$E$2,FALSE),"")</f>
        <v>23.19416875486397</v>
      </c>
      <c r="AS144" s="89">
        <f t="shared" si="13"/>
        <v>1.2858312451360341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15</v>
      </c>
      <c r="AQ145" s="89">
        <f t="shared" si="12"/>
        <v>17.106666666666669</v>
      </c>
      <c r="AR145" s="89">
        <f>IFERROR(VLOOKUP(A145,Climatologia!A:U,9+$E$2,FALSE),"")</f>
        <v>15.79466943151284</v>
      </c>
      <c r="AS145" s="89">
        <f t="shared" si="13"/>
        <v>1.3119972351538287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15</v>
      </c>
      <c r="AQ146" s="89">
        <f t="shared" si="12"/>
        <v>13.293333333333333</v>
      </c>
      <c r="AR146" s="89">
        <f>IFERROR(VLOOKUP(A146,Climatologia!A:U,9+$E$2,FALSE),"")</f>
        <v>13.67439615180003</v>
      </c>
      <c r="AS146" s="89">
        <f t="shared" si="13"/>
        <v>-0.3810628184666971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15</v>
      </c>
      <c r="AQ147" s="89">
        <f t="shared" si="12"/>
        <v>16.733333333333334</v>
      </c>
      <c r="AR147" s="89">
        <f>IFERROR(VLOOKUP(A147,Climatologia!A:U,9+$E$2,FALSE),"")</f>
        <v>14.54256377143717</v>
      </c>
      <c r="AS147" s="89">
        <f t="shared" si="13"/>
        <v>2.1907695618961647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14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15</v>
      </c>
      <c r="AQ151" s="89">
        <f t="shared" si="12"/>
        <v>24.493333333333332</v>
      </c>
      <c r="AR151" s="89">
        <f>IFERROR(VLOOKUP(A151,Climatologia!A:U,9+$E$2,FALSE),"")</f>
        <v>23.435096179938832</v>
      </c>
      <c r="AS151" s="89">
        <f t="shared" si="13"/>
        <v>1.0582371533945008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15</v>
      </c>
      <c r="AQ152" s="89">
        <f t="shared" si="12"/>
        <v>14.946666666666667</v>
      </c>
      <c r="AR152" s="89">
        <f>IFERROR(VLOOKUP(A152,Climatologia!A:U,9+$E$2,FALSE),"")</f>
        <v>14.28172753446659</v>
      </c>
      <c r="AS152" s="89">
        <f t="shared" si="13"/>
        <v>0.66493913220007705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15</v>
      </c>
      <c r="AQ153" s="89">
        <f t="shared" si="12"/>
        <v>20.68</v>
      </c>
      <c r="AR153" s="89">
        <f>IFERROR(VLOOKUP(A153,Climatologia!A:U,9+$E$2,FALSE),"")</f>
        <v>19.33438505823419</v>
      </c>
      <c r="AS153" s="89">
        <f t="shared" si="13"/>
        <v>1.3456149417658096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15</v>
      </c>
      <c r="AQ154" s="89">
        <f t="shared" si="12"/>
        <v>16.013333333333332</v>
      </c>
      <c r="AR154" s="89">
        <f>IFERROR(VLOOKUP(A154,Climatologia!A:U,9+$E$2,FALSE),"")</f>
        <v>15.34016874367072</v>
      </c>
      <c r="AS154" s="89">
        <f t="shared" si="13"/>
        <v>0.67316458966261195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15</v>
      </c>
      <c r="AQ155" s="89">
        <f t="shared" si="12"/>
        <v>18.933333333333334</v>
      </c>
      <c r="AR155" s="89">
        <f>IFERROR(VLOOKUP(A155,Climatologia!A:U,9+$E$2,FALSE),"")</f>
        <v>17.753898511573709</v>
      </c>
      <c r="AS155" s="89">
        <f t="shared" si="13"/>
        <v>1.1794348217596244</v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15</v>
      </c>
      <c r="AQ157" s="89">
        <f t="shared" si="12"/>
        <v>10.319999999999999</v>
      </c>
      <c r="AR157" s="89">
        <f>IFERROR(VLOOKUP(A157,Climatologia!A:U,9+$E$2,FALSE),"")</f>
        <v>9.0629738863287237</v>
      </c>
      <c r="AS157" s="89">
        <f t="shared" si="13"/>
        <v>1.2570261136712748</v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15</v>
      </c>
      <c r="AQ158" s="89">
        <f t="shared" si="12"/>
        <v>13.76</v>
      </c>
      <c r="AR158" s="89">
        <f>IFERROR(VLOOKUP(A158,Climatologia!A:U,9+$E$2,FALSE),"")</f>
        <v>13.99486833930705</v>
      </c>
      <c r="AS158" s="89">
        <f t="shared" si="13"/>
        <v>-0.23486833930705053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15</v>
      </c>
      <c r="AQ159" s="89">
        <f t="shared" si="12"/>
        <v>20.56</v>
      </c>
      <c r="AR159" s="89">
        <f>IFERROR(VLOOKUP(A159,Climatologia!A:U,9+$E$2,FALSE),"")</f>
        <v>19.80259102706712</v>
      </c>
      <c r="AS159" s="89">
        <f t="shared" si="13"/>
        <v>0.75740897293287901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15</v>
      </c>
      <c r="AQ160" s="89">
        <f t="shared" si="12"/>
        <v>5.7333333333333334</v>
      </c>
      <c r="AR160" s="89">
        <f>IFERROR(VLOOKUP(A160,Climatologia!A:U,9+$E$2,FALSE),"")</f>
        <v>5.545852566091324</v>
      </c>
      <c r="AS160" s="89">
        <f t="shared" si="13"/>
        <v>0.18748076724200935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15</v>
      </c>
      <c r="AQ161" s="89">
        <f t="shared" si="12"/>
        <v>21.08</v>
      </c>
      <c r="AR161" s="89">
        <f>IFERROR(VLOOKUP(A161,Climatologia!A:U,9+$E$2,FALSE),"")</f>
        <v>20.699024154274429</v>
      </c>
      <c r="AS161" s="89">
        <f t="shared" si="13"/>
        <v>0.38097584572556897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15</v>
      </c>
      <c r="AQ162" s="89">
        <f t="shared" si="12"/>
        <v>15.293333333333333</v>
      </c>
      <c r="AR162" s="89">
        <f>IFERROR(VLOOKUP(A162,Climatologia!A:U,9+$E$2,FALSE),"")</f>
        <v>13.81981919292388</v>
      </c>
      <c r="AS162" s="89">
        <f t="shared" si="13"/>
        <v>1.4735141404094527</v>
      </c>
      <c r="AT162" s="90">
        <f t="shared" si="14"/>
        <v>14.4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15</v>
      </c>
      <c r="AQ163" s="89">
        <f t="shared" si="12"/>
        <v>18.706666666666667</v>
      </c>
      <c r="AR163" s="89">
        <f>IFERROR(VLOOKUP(A163,Climatologia!A:U,9+$E$2,FALSE),"")</f>
        <v>17.92353706847765</v>
      </c>
      <c r="AS163" s="89">
        <f t="shared" si="13"/>
        <v>0.78312959818901717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15</v>
      </c>
      <c r="AQ164" s="89">
        <f t="shared" si="12"/>
        <v>19.200000000000003</v>
      </c>
      <c r="AR164" s="89">
        <f>IFERROR(VLOOKUP(A164,Climatologia!A:U,9+$E$2,FALSE),"")</f>
        <v>19.04428975316489</v>
      </c>
      <c r="AS164" s="89">
        <f t="shared" si="13"/>
        <v>0.15571024683511325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12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15</v>
      </c>
      <c r="AQ169" s="89">
        <f t="shared" si="12"/>
        <v>19.513333333333328</v>
      </c>
      <c r="AR169" s="89">
        <f>IFERROR(VLOOKUP(A169,Climatologia!A:U,9+$E$2,FALSE),"")</f>
        <v>18.98804930581305</v>
      </c>
      <c r="AS169" s="89">
        <f t="shared" si="13"/>
        <v>0.52528402752027858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15</v>
      </c>
      <c r="AQ170" s="89">
        <f t="shared" si="12"/>
        <v>14.080000000000002</v>
      </c>
      <c r="AR170" s="89">
        <f>IFERROR(VLOOKUP(A170,Climatologia!A:U,9+$E$2,FALSE),"")</f>
        <v>13.515835523098669</v>
      </c>
      <c r="AS170" s="89">
        <f t="shared" si="13"/>
        <v>0.56416447690133253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13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12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14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15</v>
      </c>
      <c r="AQ179" s="89">
        <f t="shared" si="12"/>
        <v>13.706666666666667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10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13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15</v>
      </c>
      <c r="AQ182" s="89">
        <f t="shared" si="12"/>
        <v>13.56</v>
      </c>
      <c r="AR182" s="89">
        <f>IFERROR(VLOOKUP(A182,Climatologia!A:U,9+$E$2,FALSE),"")</f>
        <v>14.173503840245781</v>
      </c>
      <c r="AS182" s="89">
        <f t="shared" si="13"/>
        <v>-0.6135038402457802</v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15</v>
      </c>
      <c r="AQ183" s="89">
        <f t="shared" si="12"/>
        <v>18.666666666666664</v>
      </c>
      <c r="AR183" s="89">
        <f>IFERROR(VLOOKUP(A183,Climatologia!A:U,9+$E$2,FALSE),"")</f>
        <v>20.070986681091949</v>
      </c>
      <c r="AS183" s="89">
        <f t="shared" si="13"/>
        <v>-1.4043200144252843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15</v>
      </c>
      <c r="AQ184" s="89">
        <f t="shared" si="12"/>
        <v>21.4</v>
      </c>
      <c r="AR184" s="89">
        <f>IFERROR(VLOOKUP(A184,Climatologia!A:U,9+$E$2,FALSE),"")</f>
        <v>20.076368634370251</v>
      </c>
      <c r="AS184" s="89">
        <f t="shared" si="13"/>
        <v>1.3236313656297476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14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14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12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15</v>
      </c>
      <c r="AQ188" s="89">
        <f t="shared" si="12"/>
        <v>22.280000000000005</v>
      </c>
      <c r="AR188" s="89">
        <f>IFERROR(VLOOKUP(A188,Climatologia!A:U,9+$E$2,FALSE),"")</f>
        <v>20.28174546114397</v>
      </c>
      <c r="AS188" s="89">
        <f t="shared" si="13"/>
        <v>1.9982545388560347</v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15</v>
      </c>
      <c r="AQ189" s="89">
        <f t="shared" si="12"/>
        <v>18.506666666666668</v>
      </c>
      <c r="AR189" s="89">
        <f>IFERROR(VLOOKUP(A189,Climatologia!A:U,9+$E$2,FALSE),"")</f>
        <v>15.63081985682097</v>
      </c>
      <c r="AS189" s="89">
        <f t="shared" si="13"/>
        <v>2.8758468098456973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15</v>
      </c>
      <c r="AQ190" s="89">
        <f t="shared" si="12"/>
        <v>13.546666666666665</v>
      </c>
      <c r="AR190" s="89">
        <f>IFERROR(VLOOKUP(A190,Climatologia!A:U,9+$E$2,FALSE),"")</f>
        <v>11.261282597948339</v>
      </c>
      <c r="AS190" s="89">
        <f t="shared" si="13"/>
        <v>2.2853840687183258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15</v>
      </c>
      <c r="AQ191" s="89">
        <f t="shared" si="12"/>
        <v>7.8533333333333335</v>
      </c>
      <c r="AR191" s="89">
        <f>IFERROR(VLOOKUP(A191,Climatologia!A:U,9+$E$2,FALSE),"")</f>
        <v>6.994628239761723</v>
      </c>
      <c r="AS191" s="89">
        <f t="shared" si="13"/>
        <v>0.85870509357161051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15</v>
      </c>
      <c r="AQ192" s="89">
        <f t="shared" si="12"/>
        <v>22.493333333333336</v>
      </c>
      <c r="AR192" s="89">
        <f>IFERROR(VLOOKUP(A192,Climatologia!A:U,9+$E$2,FALSE),"")</f>
        <v>19.908691930571798</v>
      </c>
      <c r="AS192" s="89">
        <f t="shared" si="13"/>
        <v>2.5846414027615374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15</v>
      </c>
      <c r="AQ193" s="89">
        <f t="shared" si="12"/>
        <v>9.4533333333333314</v>
      </c>
      <c r="AR193" s="89">
        <f>IFERROR(VLOOKUP(A193,Climatologia!A:U,9+$E$2,FALSE),"")</f>
        <v>8.0869853706863069</v>
      </c>
      <c r="AS193" s="89">
        <f t="shared" si="13"/>
        <v>1.3663479626470245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15</v>
      </c>
      <c r="AQ194" s="89">
        <f t="shared" si="12"/>
        <v>9.1333333333333329</v>
      </c>
      <c r="AR194" s="89">
        <f>IFERROR(VLOOKUP(A194,Climatologia!A:U,9+$E$2,FALSE),"")</f>
        <v>7.6640343615186746</v>
      </c>
      <c r="AS194" s="89">
        <f t="shared" si="13"/>
        <v>1.4692989718146583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14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15</v>
      </c>
      <c r="AQ197" s="89">
        <f t="shared" ref="AQ197:AQ260" si="17">IF(AP197&gt;14,AVERAGE(K197:AO197),"")</f>
        <v>8.4799999999999986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2.0970647174108796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15</v>
      </c>
      <c r="AQ198" s="89">
        <f t="shared" si="17"/>
        <v>8.82</v>
      </c>
      <c r="AR198" s="89">
        <f>IFERROR(VLOOKUP(A198,Climatologia!A:U,9+$E$2,FALSE),"")</f>
        <v>7.491938037728997</v>
      </c>
      <c r="AS198" s="89">
        <f t="shared" si="18"/>
        <v>1.3280619622710033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15</v>
      </c>
      <c r="AQ199" s="89">
        <f t="shared" si="17"/>
        <v>9.5733333333333324</v>
      </c>
      <c r="AR199" s="89">
        <f>IFERROR(VLOOKUP(A199,Climatologia!A:U,9+$E$2,FALSE),"")</f>
        <v>7.4487940592962838</v>
      </c>
      <c r="AS199" s="89">
        <f t="shared" si="18"/>
        <v>2.1245392740370486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13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15</v>
      </c>
      <c r="AQ201" s="89">
        <f t="shared" si="17"/>
        <v>8.4400000000000013</v>
      </c>
      <c r="AR201" s="89">
        <f>IFERROR(VLOOKUP(A201,Climatologia!A:U,9+$E$2,FALSE),"")</f>
        <v>6.8025057736192744</v>
      </c>
      <c r="AS201" s="89">
        <f t="shared" si="18"/>
        <v>1.6374942263807268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11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15</v>
      </c>
      <c r="AQ203" s="89">
        <f t="shared" si="17"/>
        <v>8.56</v>
      </c>
      <c r="AR203" s="89">
        <f>IFERROR(VLOOKUP(A203,Climatologia!A:U,9+$E$2,FALSE),"")</f>
        <v>7.9932587877038674</v>
      </c>
      <c r="AS203" s="89">
        <f t="shared" si="18"/>
        <v>0.56674121229613306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15</v>
      </c>
      <c r="AQ204" s="89">
        <f t="shared" si="17"/>
        <v>4.9133333333333331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15</v>
      </c>
      <c r="AQ206" s="89">
        <f t="shared" si="17"/>
        <v>10.76</v>
      </c>
      <c r="AR206" s="89">
        <f>IFERROR(VLOOKUP(A206,Climatologia!A:U,9+$E$2,FALSE),"")</f>
        <v>9.3415228944019546</v>
      </c>
      <c r="AS206" s="89">
        <f t="shared" si="18"/>
        <v>1.4184771055980452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15</v>
      </c>
      <c r="AQ207" s="89">
        <f t="shared" si="17"/>
        <v>5.879999999999999</v>
      </c>
      <c r="AR207" s="89">
        <f>IFERROR(VLOOKUP(A207,Climatologia!A:U,9+$E$2,FALSE),"")</f>
        <v>5.0408940752175297</v>
      </c>
      <c r="AS207" s="89">
        <f t="shared" si="18"/>
        <v>0.83910592478246926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15</v>
      </c>
      <c r="AQ208" s="89">
        <f t="shared" si="17"/>
        <v>22.946666666666665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2026-08-15T15:02:06Z</dcterms:modified>
</cp:coreProperties>
</file>