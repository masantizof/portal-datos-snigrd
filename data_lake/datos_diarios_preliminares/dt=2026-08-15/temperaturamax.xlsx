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95976D0-24DB-4E64-B86E-B00E0FEC0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Temperatura!$X$1:$X$288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W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Q118" i="1"/>
  <c r="AP118" i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W110" i="1" s="1"/>
  <c r="AR110" i="1"/>
  <c r="AP110" i="1"/>
  <c r="AQ110" i="1" s="1"/>
  <c r="AV109" i="1" a="1"/>
  <c r="AV109" i="1" s="1"/>
  <c r="AU109" i="1" a="1"/>
  <c r="AU109" i="1" s="1"/>
  <c r="AT109" i="1"/>
  <c r="AW109" i="1" s="1"/>
  <c r="AR109" i="1"/>
  <c r="AP109" i="1"/>
  <c r="AQ109" i="1" s="1"/>
  <c r="AV108" i="1" a="1"/>
  <c r="AV108" i="1" s="1"/>
  <c r="AU108" i="1" a="1"/>
  <c r="AU108" i="1" s="1"/>
  <c r="AT108" i="1"/>
  <c r="AW108" i="1" s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W106" i="1" s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Q102" i="1"/>
  <c r="AS102" i="1" s="1"/>
  <c r="AP102" i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W95" i="1" s="1"/>
  <c r="AR95" i="1"/>
  <c r="AP95" i="1"/>
  <c r="AQ95" i="1" s="1"/>
  <c r="AV94" i="1" a="1"/>
  <c r="AV94" i="1" s="1"/>
  <c r="AU94" i="1" a="1"/>
  <c r="AU94" i="1" s="1"/>
  <c r="AT94" i="1"/>
  <c r="AW94" i="1" s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Q84" i="1"/>
  <c r="AP84" i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W71" i="1" s="1"/>
  <c r="AT71" i="1"/>
  <c r="AR71" i="1"/>
  <c r="AQ71" i="1"/>
  <c r="AP71" i="1"/>
  <c r="AV70" i="1" a="1"/>
  <c r="AV70" i="1" s="1"/>
  <c r="AU70" i="1" a="1"/>
  <c r="AU70" i="1" s="1"/>
  <c r="AT70" i="1"/>
  <c r="AW70" i="1" s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W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W54" i="1" s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W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Q46" i="1"/>
  <c r="AP46" i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W27" i="1" s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W14" i="1" s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W12" i="1" s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6" i="1" l="1"/>
  <c r="AS33" i="1"/>
  <c r="AS60" i="1"/>
  <c r="AS134" i="1"/>
  <c r="AW33" i="1"/>
  <c r="AS115" i="1"/>
  <c r="AW126" i="1"/>
  <c r="AW134" i="1"/>
  <c r="AW138" i="1"/>
  <c r="AW142" i="1"/>
  <c r="AS18" i="1"/>
  <c r="AS80" i="1"/>
  <c r="AS119" i="1"/>
  <c r="AS7" i="1"/>
  <c r="AS34" i="1"/>
  <c r="AS61" i="1"/>
  <c r="AW76" i="1"/>
  <c r="AW123" i="1"/>
  <c r="AS135" i="1"/>
  <c r="AS139" i="1"/>
  <c r="AW84" i="1"/>
  <c r="AW88" i="1"/>
  <c r="AW100" i="1"/>
  <c r="AW139" i="1"/>
  <c r="AW143" i="1"/>
  <c r="AW147" i="1"/>
  <c r="AS62" i="1"/>
  <c r="AW81" i="1"/>
  <c r="AS101" i="1"/>
  <c r="AS136" i="1"/>
  <c r="AW85" i="1"/>
  <c r="AW124" i="1"/>
  <c r="AW128" i="1"/>
  <c r="AW144" i="1"/>
  <c r="AW148" i="1"/>
  <c r="AW43" i="1"/>
  <c r="AW16" i="1"/>
  <c r="AW82" i="1"/>
  <c r="AS133" i="1"/>
  <c r="AS153" i="1"/>
  <c r="AW5" i="1"/>
  <c r="AS13" i="1"/>
  <c r="AW86" i="1"/>
  <c r="AS114" i="1"/>
  <c r="AW141" i="1"/>
  <c r="AW145" i="1"/>
  <c r="AS5" i="1"/>
  <c r="AS85" i="1"/>
  <c r="AW118" i="1"/>
  <c r="AS126" i="1"/>
  <c r="AS130" i="1"/>
  <c r="AS154" i="1"/>
  <c r="AS158" i="1"/>
  <c r="AS162" i="1"/>
  <c r="AS178" i="1"/>
  <c r="AW9" i="1"/>
  <c r="AS31" i="1"/>
  <c r="AW56" i="1"/>
  <c r="AS112" i="1"/>
  <c r="AW30" i="1"/>
  <c r="AS64" i="1"/>
  <c r="AS75" i="1"/>
  <c r="AS116" i="1"/>
  <c r="AS71" i="1"/>
  <c r="AW35" i="1"/>
  <c r="AW116" i="1"/>
  <c r="AW10" i="1"/>
  <c r="AS25" i="1"/>
  <c r="AS47" i="1"/>
  <c r="AS72" i="1"/>
  <c r="AW89" i="1"/>
  <c r="AW53" i="1"/>
  <c r="AS65" i="1"/>
  <c r="AW72" i="1"/>
  <c r="AW87" i="1"/>
  <c r="AS160" i="1"/>
  <c r="AS164" i="1"/>
  <c r="AS22" i="1"/>
  <c r="AW65" i="1"/>
  <c r="AS95" i="1"/>
  <c r="AS110" i="1"/>
  <c r="AS8" i="1"/>
  <c r="AW48" i="1"/>
  <c r="AW73" i="1"/>
  <c r="AS157" i="1"/>
  <c r="AS161" i="1"/>
  <c r="AS165" i="1"/>
  <c r="AS169" i="1"/>
  <c r="AS181" i="1"/>
  <c r="AS23" i="1"/>
  <c r="AS30" i="1"/>
  <c r="AS96" i="1"/>
  <c r="AW137" i="1"/>
  <c r="AW25" i="1"/>
  <c r="AS32" i="1"/>
  <c r="AW45" i="1"/>
  <c r="AW55" i="1"/>
  <c r="AS59" i="1"/>
  <c r="AW102" i="1"/>
  <c r="AS113" i="1"/>
  <c r="AW127" i="1"/>
  <c r="AW131" i="1"/>
  <c r="AW154" i="1"/>
  <c r="AW158" i="1"/>
  <c r="AW162" i="1"/>
  <c r="AW170" i="1"/>
  <c r="AW174" i="1"/>
  <c r="AS182" i="1"/>
  <c r="AW32" i="1"/>
  <c r="AS69" i="1"/>
  <c r="AS76" i="1"/>
  <c r="AS83" i="1"/>
  <c r="AS147" i="1"/>
  <c r="AS151" i="1"/>
  <c r="AS15" i="1"/>
  <c r="AS29" i="1"/>
  <c r="AS53" i="1"/>
  <c r="AW62" i="1"/>
  <c r="AS90" i="1"/>
  <c r="AS128" i="1"/>
  <c r="AS155" i="1"/>
  <c r="AS159" i="1"/>
  <c r="AS163" i="1"/>
  <c r="AS167" i="1"/>
  <c r="AS9" i="1"/>
  <c r="AW29" i="1"/>
  <c r="AW46" i="1"/>
  <c r="AS50" i="1"/>
  <c r="AW69" i="1"/>
  <c r="AW83" i="1"/>
  <c r="AW90" i="1"/>
  <c r="AW171" i="1"/>
  <c r="AS183" i="1"/>
  <c r="AS231" i="1"/>
  <c r="AS235" i="1"/>
  <c r="AS239" i="1"/>
  <c r="AS243" i="1"/>
  <c r="AS247" i="1"/>
  <c r="AS251" i="1"/>
  <c r="AS255" i="1"/>
  <c r="AS259" i="1"/>
  <c r="AS263" i="1"/>
  <c r="AS267" i="1"/>
  <c r="AS271" i="1"/>
  <c r="AS275" i="1"/>
  <c r="AS279" i="1"/>
  <c r="AS283" i="1"/>
  <c r="AS287" i="1"/>
  <c r="AW36" i="1"/>
  <c r="AS40" i="1"/>
  <c r="AW66" i="1"/>
  <c r="AS70" i="1"/>
  <c r="AW80" i="1"/>
  <c r="AW136" i="1"/>
  <c r="AS140" i="1"/>
  <c r="AS148" i="1"/>
  <c r="AS63" i="1"/>
  <c r="AS66" i="1"/>
  <c r="AW129" i="1"/>
  <c r="AS137" i="1"/>
  <c r="AW13" i="1"/>
  <c r="AS24" i="1"/>
  <c r="AS44" i="1"/>
  <c r="AW101" i="1"/>
  <c r="AW104" i="1"/>
  <c r="AW111" i="1"/>
  <c r="AW133" i="1"/>
  <c r="AS141" i="1"/>
  <c r="AS149" i="1"/>
  <c r="AW288" i="1"/>
  <c r="AS54" i="1"/>
  <c r="AW7" i="1"/>
  <c r="AS21" i="1"/>
  <c r="AW61" i="1"/>
  <c r="AW130" i="1"/>
  <c r="AS138" i="1"/>
  <c r="AW173" i="1"/>
  <c r="AS185" i="1"/>
  <c r="AS229" i="1"/>
  <c r="AS233" i="1"/>
  <c r="AS237" i="1"/>
  <c r="AS241" i="1"/>
  <c r="AS245" i="1"/>
  <c r="AS249" i="1"/>
  <c r="AS253" i="1"/>
  <c r="AS257" i="1"/>
  <c r="AS261" i="1"/>
  <c r="AS265" i="1"/>
  <c r="AS269" i="1"/>
  <c r="AS273" i="1"/>
  <c r="AS277" i="1"/>
  <c r="AS281" i="1"/>
  <c r="AS285" i="1"/>
  <c r="AW21" i="1"/>
  <c r="AS28" i="1"/>
  <c r="AW38" i="1"/>
  <c r="AS52" i="1"/>
  <c r="AW92" i="1"/>
  <c r="AS99" i="1"/>
  <c r="AS150" i="1"/>
  <c r="AW181" i="1"/>
  <c r="AW51" i="1"/>
  <c r="AS38" i="1"/>
  <c r="AS84" i="1"/>
  <c r="AS79" i="1"/>
  <c r="AS87" i="1"/>
  <c r="AW107" i="1"/>
  <c r="AW178" i="1"/>
  <c r="AS186" i="1"/>
  <c r="AS230" i="1"/>
  <c r="AS234" i="1"/>
  <c r="AS238" i="1"/>
  <c r="AS242" i="1"/>
  <c r="AS246" i="1"/>
  <c r="AS250" i="1"/>
  <c r="AS254" i="1"/>
  <c r="AS258" i="1"/>
  <c r="AS262" i="1"/>
  <c r="AS266" i="1"/>
  <c r="AS270" i="1"/>
  <c r="AS274" i="1"/>
  <c r="AS278" i="1"/>
  <c r="AS282" i="1"/>
  <c r="AS286" i="1"/>
  <c r="AW67" i="1"/>
  <c r="AW24" i="1"/>
  <c r="AS39" i="1"/>
  <c r="AW44" i="1"/>
  <c r="AW47" i="1"/>
  <c r="AW64" i="1"/>
  <c r="AS73" i="1"/>
  <c r="AW79" i="1"/>
  <c r="AS93" i="1"/>
  <c r="AS123" i="1"/>
  <c r="AS144" i="1"/>
  <c r="AW151" i="1"/>
  <c r="AS171" i="1"/>
  <c r="AS175" i="1"/>
  <c r="AS36" i="1"/>
  <c r="AS56" i="1"/>
  <c r="AW59" i="1"/>
  <c r="AS82" i="1"/>
  <c r="AW99" i="1"/>
  <c r="AS105" i="1"/>
  <c r="AW113" i="1"/>
  <c r="AW119" i="1"/>
  <c r="AW155" i="1"/>
  <c r="AW159" i="1"/>
  <c r="AW163" i="1"/>
  <c r="AW167" i="1"/>
  <c r="AS179" i="1"/>
  <c r="AW96" i="1"/>
  <c r="AW105" i="1"/>
  <c r="AS187" i="1"/>
  <c r="AS227" i="1"/>
  <c r="AS45" i="1"/>
  <c r="AS51" i="1"/>
  <c r="AS131" i="1"/>
  <c r="AS145" i="1"/>
  <c r="AW152" i="1"/>
  <c r="AS172" i="1"/>
  <c r="AW187" i="1"/>
  <c r="AW287" i="1"/>
  <c r="AW22" i="1"/>
  <c r="AS57" i="1"/>
  <c r="AS77" i="1"/>
  <c r="AS97" i="1"/>
  <c r="AS111" i="1"/>
  <c r="AS117" i="1"/>
  <c r="AS124" i="1"/>
  <c r="AW156" i="1"/>
  <c r="AW160" i="1"/>
  <c r="AW168" i="1"/>
  <c r="AW93" i="1"/>
  <c r="AW39" i="1"/>
  <c r="AW42" i="1"/>
  <c r="AW57" i="1"/>
  <c r="AW77" i="1"/>
  <c r="AS94" i="1"/>
  <c r="AW97" i="1"/>
  <c r="AS103" i="1"/>
  <c r="AW117" i="1"/>
  <c r="AS188" i="1"/>
  <c r="AW11" i="1"/>
  <c r="AW34" i="1"/>
  <c r="AS37" i="1"/>
  <c r="AS43" i="1"/>
  <c r="AW60" i="1"/>
  <c r="AW74" i="1"/>
  <c r="AW91" i="1"/>
  <c r="AW103" i="1"/>
  <c r="AS109" i="1"/>
  <c r="AW114" i="1"/>
  <c r="AW135" i="1"/>
  <c r="AS142" i="1"/>
  <c r="AS173" i="1"/>
  <c r="AW188" i="1"/>
  <c r="AW37" i="1"/>
  <c r="AW40" i="1"/>
  <c r="AS46" i="1"/>
  <c r="AS49" i="1"/>
  <c r="AW63" i="1"/>
  <c r="AW121" i="1"/>
  <c r="AS125" i="1"/>
  <c r="AS132" i="1"/>
  <c r="AW153" i="1"/>
  <c r="AW161" i="1"/>
  <c r="AS177" i="1"/>
  <c r="AP2" i="1"/>
  <c r="AW49" i="1"/>
  <c r="AS89" i="1"/>
  <c r="AW125" i="1"/>
  <c r="AS129" i="1"/>
  <c r="AW132" i="1"/>
  <c r="AW146" i="1"/>
  <c r="AW177" i="1"/>
  <c r="AS189" i="1"/>
  <c r="AW6" i="1"/>
  <c r="AS12" i="1"/>
  <c r="AW26" i="1"/>
  <c r="AS35" i="1"/>
  <c r="AS58" i="1"/>
  <c r="AS78" i="1"/>
  <c r="AS98" i="1"/>
  <c r="AS41" i="1"/>
  <c r="AW52" i="1"/>
  <c r="AW58" i="1"/>
  <c r="AW75" i="1"/>
  <c r="AW78" i="1"/>
  <c r="AW98" i="1"/>
  <c r="AW112" i="1"/>
  <c r="AW115" i="1"/>
  <c r="AS118" i="1"/>
  <c r="AS143" i="1"/>
  <c r="AS170" i="1"/>
  <c r="AS174" i="1"/>
  <c r="AW15" i="1"/>
  <c r="AW41" i="1"/>
  <c r="AW18" i="1"/>
  <c r="AW19" i="1"/>
  <c r="AW8" i="1"/>
  <c r="AW28" i="1"/>
  <c r="AW31" i="1"/>
  <c r="AW17" i="1"/>
  <c r="AW20" i="1"/>
  <c r="AW23" i="1"/>
  <c r="AW120" i="1"/>
  <c r="AW157" i="1"/>
  <c r="AW164" i="1"/>
  <c r="AW182" i="1"/>
  <c r="AS168" i="1"/>
  <c r="AW175" i="1"/>
  <c r="AS176" i="1"/>
  <c r="AW183" i="1"/>
  <c r="AW172" i="1"/>
  <c r="AS152" i="1"/>
  <c r="AW165" i="1"/>
  <c r="AW176" i="1"/>
  <c r="AS180" i="1"/>
  <c r="AW184" i="1"/>
  <c r="AW140" i="1"/>
  <c r="AS146" i="1"/>
  <c r="AW149" i="1"/>
  <c r="AW166" i="1"/>
  <c r="AW150" i="1"/>
  <c r="AW186" i="1"/>
  <c r="AS190" i="1"/>
  <c r="AS194" i="1"/>
  <c r="AS198" i="1"/>
  <c r="AS202" i="1"/>
  <c r="AS206" i="1"/>
  <c r="AS210" i="1"/>
  <c r="AS214" i="1"/>
  <c r="AS218" i="1"/>
  <c r="AS222" i="1"/>
  <c r="AS226" i="1"/>
  <c r="AW179" i="1"/>
  <c r="AW190" i="1"/>
  <c r="AW194" i="1"/>
  <c r="AW198" i="1"/>
  <c r="AW202" i="1"/>
  <c r="AW206" i="1"/>
  <c r="AW210" i="1"/>
  <c r="AW214" i="1"/>
  <c r="AW218" i="1"/>
  <c r="AW222" i="1"/>
  <c r="AW226" i="1"/>
  <c r="AW230" i="1"/>
  <c r="AW234" i="1"/>
  <c r="AW238" i="1"/>
  <c r="AW242" i="1"/>
  <c r="AW246" i="1"/>
  <c r="AW250" i="1"/>
  <c r="AW254" i="1"/>
  <c r="AW258" i="1"/>
  <c r="AW262" i="1"/>
  <c r="AW266" i="1"/>
  <c r="AW270" i="1"/>
  <c r="AW274" i="1"/>
  <c r="AW278" i="1"/>
  <c r="AW282" i="1"/>
  <c r="AW286" i="1"/>
  <c r="AS191" i="1"/>
  <c r="AS195" i="1"/>
  <c r="AS199" i="1"/>
  <c r="AS203" i="1"/>
  <c r="AS207" i="1"/>
  <c r="AS211" i="1"/>
  <c r="AS215" i="1"/>
  <c r="AS219" i="1"/>
  <c r="AS223" i="1"/>
  <c r="AS156" i="1"/>
  <c r="AS166" i="1"/>
  <c r="AW169" i="1"/>
  <c r="AW180" i="1"/>
  <c r="AS184" i="1"/>
  <c r="AW191" i="1"/>
  <c r="AW195" i="1"/>
  <c r="AW199" i="1"/>
  <c r="AW203" i="1"/>
  <c r="AW207" i="1"/>
  <c r="AW211" i="1"/>
  <c r="AW215" i="1"/>
  <c r="AW219" i="1"/>
  <c r="AW223" i="1"/>
  <c r="AW227" i="1"/>
  <c r="AW231" i="1"/>
  <c r="AW235" i="1"/>
  <c r="AW239" i="1"/>
  <c r="AW243" i="1"/>
  <c r="AW247" i="1"/>
  <c r="AW251" i="1"/>
  <c r="AW255" i="1"/>
  <c r="AW259" i="1"/>
  <c r="AW263" i="1"/>
  <c r="AW267" i="1"/>
  <c r="AW271" i="1"/>
  <c r="AW275" i="1"/>
  <c r="AW279" i="1"/>
  <c r="AW283" i="1"/>
  <c r="AS192" i="1"/>
  <c r="AS196" i="1"/>
  <c r="AS200" i="1"/>
  <c r="AS204" i="1"/>
  <c r="AS208" i="1"/>
  <c r="AS212" i="1"/>
  <c r="AS216" i="1"/>
  <c r="AS220" i="1"/>
  <c r="AS224" i="1"/>
  <c r="AS228" i="1"/>
  <c r="AS232" i="1"/>
  <c r="AS236" i="1"/>
  <c r="AS240" i="1"/>
  <c r="AS244" i="1"/>
  <c r="AS248" i="1"/>
  <c r="AS252" i="1"/>
  <c r="AS256" i="1"/>
  <c r="AS260" i="1"/>
  <c r="AS264" i="1"/>
  <c r="AS268" i="1"/>
  <c r="AS272" i="1"/>
  <c r="AS276" i="1"/>
  <c r="AS280" i="1"/>
  <c r="AS284" i="1"/>
  <c r="AS288" i="1"/>
  <c r="AW192" i="1"/>
  <c r="AW196" i="1"/>
  <c r="AW200" i="1"/>
  <c r="AW204" i="1"/>
  <c r="AW208" i="1"/>
  <c r="AW212" i="1"/>
  <c r="AW216" i="1"/>
  <c r="AW220" i="1"/>
  <c r="AW224" i="1"/>
  <c r="AW228" i="1"/>
  <c r="AW232" i="1"/>
  <c r="AW236" i="1"/>
  <c r="AW240" i="1"/>
  <c r="AW244" i="1"/>
  <c r="AW248" i="1"/>
  <c r="AW252" i="1"/>
  <c r="AW256" i="1"/>
  <c r="AW260" i="1"/>
  <c r="AW264" i="1"/>
  <c r="AW268" i="1"/>
  <c r="AW272" i="1"/>
  <c r="AW276" i="1"/>
  <c r="AW280" i="1"/>
  <c r="AW284" i="1"/>
  <c r="AW185" i="1"/>
  <c r="AS193" i="1"/>
  <c r="AS197" i="1"/>
  <c r="AS201" i="1"/>
  <c r="AS205" i="1"/>
  <c r="AS209" i="1"/>
  <c r="AS213" i="1"/>
  <c r="AS217" i="1"/>
  <c r="AS221" i="1"/>
  <c r="AS225" i="1"/>
  <c r="AW189" i="1"/>
  <c r="AW193" i="1"/>
  <c r="AW197" i="1"/>
  <c r="AW201" i="1"/>
  <c r="AW205" i="1"/>
  <c r="AW209" i="1"/>
  <c r="AW213" i="1"/>
  <c r="AW217" i="1"/>
  <c r="AW221" i="1"/>
  <c r="AW225" i="1"/>
  <c r="AW229" i="1"/>
  <c r="AW233" i="1"/>
  <c r="AW237" i="1"/>
  <c r="AW241" i="1"/>
  <c r="AW245" i="1"/>
  <c r="AW249" i="1"/>
  <c r="AW253" i="1"/>
  <c r="AW257" i="1"/>
  <c r="AW261" i="1"/>
  <c r="AW265" i="1"/>
  <c r="AW269" i="1"/>
  <c r="AW273" i="1"/>
  <c r="AW277" i="1"/>
  <c r="AW281" i="1"/>
  <c r="AW285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<sst xmlns="http://schemas.openxmlformats.org/spreadsheetml/2006/main" count="3701" uniqueCount="1289">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</sst>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D1" zoomScale="70" zoomScaleNormal="70" workbookViewId="0">
      <selection activeCell="W1" sqref="W1:X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66" width="32.42578125" style="51" customWidth="1"/>
    <col min="167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40.200000000000003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>
        <v>32.799999999999997</v>
      </c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14</v>
      </c>
      <c r="AQ5" s="68" t="str">
        <f t="shared" ref="AQ5:AQ68" si="2">IF(AP5&gt;14,AVERAGE(K5:AO5),"")</f>
        <v/>
      </c>
      <c r="AR5" s="68">
        <f>IFERROR(VLOOKUP(A5,Climatologia_TMAX!A:U,9+$E$2,FALSE),"")</f>
        <v>30.51594346942419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32.799999999999997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-0.30000000000000426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>
        <v>32.6</v>
      </c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14</v>
      </c>
      <c r="AQ6" s="68" t="str">
        <f t="shared" si="2"/>
        <v/>
      </c>
      <c r="AR6" s="68">
        <f>IFERROR(VLOOKUP(A6,Climatologia_TMAX!A:U,9+$E$2,FALSE),"")</f>
        <v>31.046424304488809</v>
      </c>
      <c r="AS6" s="68" t="str">
        <f t="shared" si="3"/>
        <v/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>
        <v>35.799999999999997</v>
      </c>
      <c r="Y7" s="113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14</v>
      </c>
      <c r="AQ7" s="68" t="str">
        <f t="shared" si="2"/>
        <v/>
      </c>
      <c r="AR7" s="68">
        <f>IFERROR(VLOOKUP(A7,Climatologia_TMAX!A:U,9+$E$2,FALSE),"")</f>
        <v>33.115285708400279</v>
      </c>
      <c r="AS7" s="68" t="str">
        <f t="shared" si="3"/>
        <v/>
      </c>
      <c r="AT7" s="74">
        <f t="shared" si="4"/>
        <v>37.799999999999997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-0.60000000000000142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>
        <v>33.6</v>
      </c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14</v>
      </c>
      <c r="AQ8" s="68" t="str">
        <f t="shared" si="2"/>
        <v/>
      </c>
      <c r="AR8" s="68">
        <f>IFERROR(VLOOKUP(A8,Climatologia_TMAX!A:U,9+$E$2,FALSE),"")</f>
        <v>32.243805889046577</v>
      </c>
      <c r="AS8" s="68" t="str">
        <f t="shared" si="3"/>
        <v/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-2.2999999999999972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>
        <v>33.6</v>
      </c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14</v>
      </c>
      <c r="AQ9" s="68" t="str">
        <f t="shared" si="2"/>
        <v/>
      </c>
      <c r="AR9" s="68">
        <f>IFERROR(VLOOKUP(A9,Climatologia_TMAX!A:U,9+$E$2,FALSE),"")</f>
        <v>33.507160697070823</v>
      </c>
      <c r="AS9" s="68" t="str">
        <f t="shared" si="3"/>
        <v/>
      </c>
      <c r="AT9" s="74">
        <f t="shared" si="4"/>
        <v>37.700000000000003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-1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>
        <v>37.1</v>
      </c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14</v>
      </c>
      <c r="AQ10" s="68" t="str">
        <f t="shared" si="2"/>
        <v/>
      </c>
      <c r="AR10" s="68">
        <f>IFERROR(VLOOKUP(A10,Climatologia_TMAX!A:U,9+$E$2,FALSE),"")</f>
        <v>35.037947033054557</v>
      </c>
      <c r="AS10" s="68" t="str">
        <f t="shared" si="3"/>
        <v/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>
        <v>39.200000000000003</v>
      </c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14</v>
      </c>
      <c r="AQ11" s="68" t="str">
        <f t="shared" si="2"/>
        <v/>
      </c>
      <c r="AR11" s="68">
        <f>IFERROR(VLOOKUP(A11,Climatologia_TMAX!A:U,9+$E$2,FALSE),"")</f>
        <v>35.179462365591398</v>
      </c>
      <c r="AS11" s="68" t="str">
        <f t="shared" si="3"/>
        <v/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>
        <v>35.5</v>
      </c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14</v>
      </c>
      <c r="AQ12" s="68" t="str">
        <f t="shared" si="2"/>
        <v/>
      </c>
      <c r="AR12" s="68">
        <f>IFERROR(VLOOKUP(A12,Climatologia_TMAX!A:U,9+$E$2,FALSE),"")</f>
        <v>33.065084280874721</v>
      </c>
      <c r="AS12" s="68" t="str">
        <f t="shared" si="3"/>
        <v/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>
        <v>36</v>
      </c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14</v>
      </c>
      <c r="AQ13" s="68" t="str">
        <f t="shared" si="2"/>
        <v/>
      </c>
      <c r="AR13" s="68">
        <f>IFERROR(VLOOKUP(A13,Climatologia_TMAX!A:U,9+$E$2,FALSE),"")</f>
        <v>32.703385242862417</v>
      </c>
      <c r="AS13" s="68" t="str">
        <f t="shared" si="3"/>
        <v/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>
        <v>30.5</v>
      </c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14</v>
      </c>
      <c r="AQ14" s="68" t="str">
        <f t="shared" si="2"/>
        <v/>
      </c>
      <c r="AR14" s="68">
        <f>IFERROR(VLOOKUP(A14,Climatologia_TMAX!A:U,9+$E$2,FALSE),"")</f>
        <v>26.343645559538029</v>
      </c>
      <c r="AS14" s="68" t="str">
        <f t="shared" si="3"/>
        <v/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>
        <v>35.700000000000003</v>
      </c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14</v>
      </c>
      <c r="AQ15" s="68" t="str">
        <f t="shared" si="2"/>
        <v/>
      </c>
      <c r="AR15" s="68">
        <f>IFERROR(VLOOKUP(A15,Climatologia_TMAX!A:U,9+$E$2,FALSE),"")</f>
        <v>34.207406451612897</v>
      </c>
      <c r="AS15" s="68" t="str">
        <f t="shared" si="3"/>
        <v/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>
        <v>32.5</v>
      </c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14</v>
      </c>
      <c r="AQ16" s="68" t="str">
        <f t="shared" si="2"/>
        <v/>
      </c>
      <c r="AR16" s="68">
        <f>IFERROR(VLOOKUP(A16,Climatologia_TMAX!A:U,9+$E$2,FALSE),"")</f>
        <v>31.919167946748601</v>
      </c>
      <c r="AS16" s="68" t="str">
        <f t="shared" si="3"/>
        <v/>
      </c>
      <c r="AT16" s="74">
        <f t="shared" si="4"/>
        <v>34.299999999999997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-0.70000000000000284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>
        <v>32.299999999999997</v>
      </c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14</v>
      </c>
      <c r="AQ17" s="68" t="str">
        <f t="shared" si="2"/>
        <v/>
      </c>
      <c r="AR17" s="68">
        <f>IFERROR(VLOOKUP(A17,Climatologia_TMAX!A:U,9+$E$2,FALSE),"")</f>
        <v>28.699699180747569</v>
      </c>
      <c r="AS17" s="68" t="str">
        <f t="shared" si="3"/>
        <v/>
      </c>
      <c r="AT17" s="74">
        <f t="shared" si="4"/>
        <v>32.4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-1.2000000000000028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>
        <v>25.8</v>
      </c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14</v>
      </c>
      <c r="AQ18" s="68" t="str">
        <f t="shared" si="2"/>
        <v/>
      </c>
      <c r="AR18" s="68">
        <f>IFERROR(VLOOKUP(A18,Climatologia_TMAX!A:U,9+$E$2,FALSE),"")</f>
        <v>22.70234743584826</v>
      </c>
      <c r="AS18" s="68" t="str">
        <f t="shared" si="3"/>
        <v/>
      </c>
      <c r="AT18" s="74">
        <f t="shared" si="4"/>
        <v>25.8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-9.9999999999997868E-2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>
        <v>31</v>
      </c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14</v>
      </c>
      <c r="AQ19" s="68" t="str">
        <f t="shared" si="2"/>
        <v/>
      </c>
      <c r="AR19" s="68">
        <f>IFERROR(VLOOKUP(A19,Climatologia_TMAX!A:U,9+$E$2,FALSE),"")</f>
        <v>27.308103225806452</v>
      </c>
      <c r="AS19" s="68" t="str">
        <f t="shared" si="3"/>
        <v/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>
        <v>31.8</v>
      </c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14</v>
      </c>
      <c r="AQ20" s="68" t="str">
        <f t="shared" si="2"/>
        <v/>
      </c>
      <c r="AR20" s="68">
        <f>IFERROR(VLOOKUP(A20,Climatologia_TMAX!A:U,9+$E$2,FALSE),"")</f>
        <v>28.821983273596171</v>
      </c>
      <c r="AS20" s="68" t="str">
        <f t="shared" si="3"/>
        <v/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>
        <v>36.4</v>
      </c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14</v>
      </c>
      <c r="AQ21" s="68" t="str">
        <f t="shared" si="2"/>
        <v/>
      </c>
      <c r="AR21" s="68">
        <f>IFERROR(VLOOKUP(A21,Climatologia_TMAX!A:U,9+$E$2,FALSE),"")</f>
        <v>31.558535251017972</v>
      </c>
      <c r="AS21" s="68" t="str">
        <f t="shared" si="3"/>
        <v/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>
        <v>21.4</v>
      </c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14</v>
      </c>
      <c r="AQ22" s="68" t="str">
        <f t="shared" si="2"/>
        <v/>
      </c>
      <c r="AR22" s="68">
        <f>IFERROR(VLOOKUP(A22,Climatologia_TMAX!A:U,9+$E$2,FALSE),"")</f>
        <v>18.772940161432931</v>
      </c>
      <c r="AS22" s="68" t="str">
        <f t="shared" si="3"/>
        <v/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>
        <v>32.5</v>
      </c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14</v>
      </c>
      <c r="AQ23" s="68" t="str">
        <f t="shared" si="2"/>
        <v/>
      </c>
      <c r="AR23" s="68">
        <f>IFERROR(VLOOKUP(A23,Climatologia_TMAX!A:U,9+$E$2,FALSE),"")</f>
        <v>31.11792011972717</v>
      </c>
      <c r="AS23" s="68" t="str">
        <f t="shared" si="3"/>
        <v/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>
        <v>35</v>
      </c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14</v>
      </c>
      <c r="AQ24" s="68" t="str">
        <f t="shared" si="2"/>
        <v/>
      </c>
      <c r="AR24" s="68">
        <f>IFERROR(VLOOKUP(A24,Climatologia_TMAX!A:U,9+$E$2,FALSE),"")</f>
        <v>34.619032258064507</v>
      </c>
      <c r="AS24" s="68" t="str">
        <f t="shared" si="3"/>
        <v/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>
        <v>25.9</v>
      </c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14</v>
      </c>
      <c r="AQ25" s="68" t="str">
        <f t="shared" si="2"/>
        <v/>
      </c>
      <c r="AR25" s="68">
        <f>IFERROR(VLOOKUP(A25,Climatologia_TMAX!A:U,9+$E$2,FALSE),"")</f>
        <v>26.14732965766952</v>
      </c>
      <c r="AS25" s="68" t="str">
        <f t="shared" si="3"/>
        <v/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>
        <v>13.8</v>
      </c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14</v>
      </c>
      <c r="AQ26" s="68" t="str">
        <f t="shared" si="2"/>
        <v/>
      </c>
      <c r="AR26" s="68">
        <f>IFERROR(VLOOKUP(A26,Climatologia_TMAX!A:U,9+$E$2,FALSE),"")</f>
        <v>14.98521690767519</v>
      </c>
      <c r="AS26" s="68" t="str">
        <f t="shared" si="3"/>
        <v/>
      </c>
      <c r="AT26" s="74">
        <f t="shared" si="4"/>
        <v>17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-3.6000000000000014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>
        <v>32.799999999999997</v>
      </c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14</v>
      </c>
      <c r="AQ27" s="68" t="str">
        <f t="shared" si="2"/>
        <v/>
      </c>
      <c r="AR27" s="68">
        <f>IFERROR(VLOOKUP(A27,Climatologia_TMAX!A:U,9+$E$2,FALSE),"")</f>
        <v>31.229699666295879</v>
      </c>
      <c r="AS27" s="68" t="str">
        <f t="shared" si="3"/>
        <v/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>
        <v>32.4</v>
      </c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14</v>
      </c>
      <c r="AQ28" s="68" t="str">
        <f t="shared" si="2"/>
        <v/>
      </c>
      <c r="AR28" s="68">
        <f>IFERROR(VLOOKUP(A28,Climatologia_TMAX!A:U,9+$E$2,FALSE),"")</f>
        <v>30.80035842293907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>
        <v>33</v>
      </c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14</v>
      </c>
      <c r="AQ29" s="68" t="str">
        <f t="shared" si="2"/>
        <v/>
      </c>
      <c r="AR29" s="68">
        <f>IFERROR(VLOOKUP(A29,Climatologia_TMAX!A:U,9+$E$2,FALSE),"")</f>
        <v>31.513637374860959</v>
      </c>
      <c r="AS29" s="68" t="str">
        <f t="shared" si="3"/>
        <v/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>
        <v>25.8</v>
      </c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14</v>
      </c>
      <c r="AQ30" s="68" t="str">
        <f t="shared" si="2"/>
        <v/>
      </c>
      <c r="AR30" s="68">
        <f>IFERROR(VLOOKUP(A30,Climatologia_TMAX!A:U,9+$E$2,FALSE),"")</f>
        <v>29.807563959955498</v>
      </c>
      <c r="AS30" s="68" t="str">
        <f t="shared" si="3"/>
        <v/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>
        <v>33.299999999999997</v>
      </c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14</v>
      </c>
      <c r="AQ31" s="68" t="str">
        <f t="shared" si="2"/>
        <v/>
      </c>
      <c r="AR31" s="68">
        <f>IFERROR(VLOOKUP(A31,Climatologia_TMAX!A:U,9+$E$2,FALSE),"")</f>
        <v>31.390004135649299</v>
      </c>
      <c r="AS31" s="68" t="str">
        <f t="shared" si="3"/>
        <v/>
      </c>
      <c r="AT31" s="74">
        <f t="shared" si="4"/>
        <v>33.299999999999997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-2.4000000000000057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>
        <v>27.8</v>
      </c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14</v>
      </c>
      <c r="AQ33" s="68" t="str">
        <f t="shared" si="2"/>
        <v/>
      </c>
      <c r="AR33" s="68">
        <f>IFERROR(VLOOKUP(A33,Climatologia_TMAX!A:U,9+$E$2,FALSE),"")</f>
        <v>24.65905872628246</v>
      </c>
      <c r="AS33" s="68" t="str">
        <f t="shared" si="3"/>
        <v/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>
        <v>40.200000000000003</v>
      </c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14</v>
      </c>
      <c r="AQ36" s="68" t="str">
        <f t="shared" si="2"/>
        <v/>
      </c>
      <c r="AR36" s="68">
        <f>IFERROR(VLOOKUP(A36,Climatologia_TMAX!A:U,9+$E$2,FALSE),"")</f>
        <v>34.16273657398132</v>
      </c>
      <c r="AS36" s="68" t="str">
        <f t="shared" si="3"/>
        <v/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>
        <v>31</v>
      </c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14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>
        <v>27.8</v>
      </c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14</v>
      </c>
      <c r="AQ39" s="68" t="str">
        <f t="shared" si="2"/>
        <v/>
      </c>
      <c r="AR39" s="68">
        <f>IFERROR(VLOOKUP(A39,Climatologia_TMAX!A:U,9+$E$2,FALSE),"")</f>
        <v>23.769828120099859</v>
      </c>
      <c r="AS39" s="68" t="str">
        <f t="shared" si="3"/>
        <v/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>
        <v>24</v>
      </c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14</v>
      </c>
      <c r="AQ40" s="68" t="str">
        <f t="shared" si="2"/>
        <v/>
      </c>
      <c r="AR40" s="68">
        <f>IFERROR(VLOOKUP(A40,Climatologia_TMAX!A:U,9+$E$2,FALSE),"")</f>
        <v>20.644739340007408</v>
      </c>
      <c r="AS40" s="68" t="str">
        <f t="shared" si="3"/>
        <v/>
      </c>
      <c r="AT40" s="74">
        <f t="shared" si="4"/>
        <v>24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>
        <v>34</v>
      </c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14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>
        <v>32.6</v>
      </c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14</v>
      </c>
      <c r="AQ43" s="68" t="str">
        <f t="shared" si="2"/>
        <v/>
      </c>
      <c r="AR43" s="68">
        <f>IFERROR(VLOOKUP(A43,Climatologia_TMAX!A:U,9+$E$2,FALSE),"")</f>
        <v>31.773456872106181</v>
      </c>
      <c r="AS43" s="68" t="str">
        <f t="shared" si="3"/>
        <v/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>
        <v>29.2</v>
      </c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13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>
        <v>36.6</v>
      </c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14</v>
      </c>
      <c r="AQ45" s="68" t="str">
        <f t="shared" si="2"/>
        <v/>
      </c>
      <c r="AR45" s="68">
        <f>IFERROR(VLOOKUP(A45,Climatologia_TMAX!A:U,9+$E$2,FALSE),"")</f>
        <v>32.923758320532507</v>
      </c>
      <c r="AS45" s="68" t="str">
        <f t="shared" si="3"/>
        <v/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>
        <v>32.6</v>
      </c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14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>
        <v>35.799999999999997</v>
      </c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14</v>
      </c>
      <c r="AQ49" s="68" t="str">
        <f t="shared" si="2"/>
        <v/>
      </c>
      <c r="AR49" s="68">
        <f>IFERROR(VLOOKUP(A49,Climatologia_TMAX!A:U,9+$E$2,FALSE),"")</f>
        <v>32.535336464610658</v>
      </c>
      <c r="AS49" s="68" t="str">
        <f t="shared" si="3"/>
        <v/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>
        <v>34.200000000000003</v>
      </c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14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>
        <v>35</v>
      </c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14</v>
      </c>
      <c r="AQ53" s="68" t="str">
        <f t="shared" si="2"/>
        <v/>
      </c>
      <c r="AR53" s="68">
        <f>IFERROR(VLOOKUP(A53,Climatologia_TMAX!A:U,9+$E$2,FALSE),"")</f>
        <v>32.397587365591413</v>
      </c>
      <c r="AS53" s="68" t="str">
        <f t="shared" si="3"/>
        <v/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>
        <v>37.200000000000003</v>
      </c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14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>
        <v>37</v>
      </c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13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>
        <v>35</v>
      </c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14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13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>
        <v>36</v>
      </c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14</v>
      </c>
      <c r="AQ76" s="68" t="str">
        <f t="shared" si="7"/>
        <v/>
      </c>
      <c r="AR76" s="68">
        <f>IFERROR(VLOOKUP(A76,Climatologia_TMAX!A:U,9+$E$2,FALSE),"")</f>
        <v>32.131914371977928</v>
      </c>
      <c r="AS76" s="68" t="str">
        <f t="shared" si="8"/>
        <v/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13</v>
      </c>
      <c r="AQ77" s="68" t="str">
        <f t="shared" si="7"/>
        <v/>
      </c>
      <c r="AR77" s="68">
        <f>IFERROR(VLOOKUP(A77,Climatologia_TMAX!A:U,9+$E$2,FALSE),"")</f>
        <v>30.717419354838722</v>
      </c>
      <c r="AS77" s="68" t="str">
        <f t="shared" si="8"/>
        <v/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>
        <v>29</v>
      </c>
      <c r="R79" s="66">
        <v>31.6</v>
      </c>
      <c r="S79" s="66">
        <v>32.799999999999997</v>
      </c>
      <c r="T79" s="66">
        <v>32.6</v>
      </c>
      <c r="U79" s="66">
        <v>32</v>
      </c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11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>
        <v>31</v>
      </c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13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>
        <v>28.8</v>
      </c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14</v>
      </c>
      <c r="AQ81" s="68" t="str">
        <f t="shared" si="7"/>
        <v/>
      </c>
      <c r="AR81" s="68">
        <f>IFERROR(VLOOKUP(A81,Climatologia_TMAX!A:U,9+$E$2,FALSE),"")</f>
        <v>30.066096038514271</v>
      </c>
      <c r="AS81" s="68" t="str">
        <f t="shared" si="8"/>
        <v/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>
        <v>30</v>
      </c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14</v>
      </c>
      <c r="AQ83" s="68" t="str">
        <f t="shared" si="7"/>
        <v/>
      </c>
      <c r="AR83" s="68">
        <f>IFERROR(VLOOKUP(A83,Climatologia_TMAX!A:U,9+$E$2,FALSE),"")</f>
        <v>30.100740998164522</v>
      </c>
      <c r="AS83" s="68" t="str">
        <f t="shared" si="8"/>
        <v/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/>
      <c r="X85" s="66">
        <v>25.6</v>
      </c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13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>
        <v>30.4</v>
      </c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14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>
        <v>31.4</v>
      </c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14</v>
      </c>
      <c r="AQ87" s="68" t="str">
        <f t="shared" si="7"/>
        <v/>
      </c>
      <c r="AR87" s="68">
        <f>IFERROR(VLOOKUP(A87,Climatologia_TMAX!A:U,9+$E$2,FALSE),"")</f>
        <v>30.420577139515899</v>
      </c>
      <c r="AS87" s="68" t="str">
        <f t="shared" si="8"/>
        <v/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>
        <v>30.2</v>
      </c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14</v>
      </c>
      <c r="AQ90" s="68" t="str">
        <f t="shared" si="7"/>
        <v/>
      </c>
      <c r="AR90" s="68">
        <f>IFERROR(VLOOKUP(A90,Climatologia_TMAX!A:U,9+$E$2,FALSE),"")</f>
        <v>30.14398006331821</v>
      </c>
      <c r="AS90" s="68" t="str">
        <f t="shared" si="8"/>
        <v/>
      </c>
      <c r="AT90" s="74">
        <f t="shared" si="9"/>
        <v>32.4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>
        <v>32.1</v>
      </c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14</v>
      </c>
      <c r="AQ91" s="68" t="str">
        <f t="shared" si="7"/>
        <v/>
      </c>
      <c r="AR91" s="68">
        <f>IFERROR(VLOOKUP(A91,Climatologia_TMAX!A:U,9+$E$2,FALSE),"")</f>
        <v>30.948480459796951</v>
      </c>
      <c r="AS91" s="68" t="str">
        <f t="shared" si="8"/>
        <v/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7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>
        <v>32.4</v>
      </c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14</v>
      </c>
      <c r="AQ94" s="68" t="str">
        <f t="shared" si="7"/>
        <v/>
      </c>
      <c r="AR94" s="68">
        <f>IFERROR(VLOOKUP(A94,Climatologia_TMAX!A:U,9+$E$2,FALSE),"")</f>
        <v>31.022074370307589</v>
      </c>
      <c r="AS94" s="68" t="str">
        <f t="shared" si="8"/>
        <v/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13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>
        <v>38.799999999999997</v>
      </c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14</v>
      </c>
      <c r="AQ100" s="68" t="str">
        <f t="shared" si="7"/>
        <v/>
      </c>
      <c r="AR100" s="68">
        <f>IFERROR(VLOOKUP(A100,Climatologia_TMAX!A:U,9+$E$2,FALSE),"")</f>
        <v>37.075361698510143</v>
      </c>
      <c r="AS100" s="68" t="str">
        <f t="shared" si="8"/>
        <v/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>
        <v>28.6</v>
      </c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13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>
        <v>36.799999999999997</v>
      </c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14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>
        <v>25.4</v>
      </c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14</v>
      </c>
      <c r="AQ105" s="68" t="str">
        <f t="shared" si="7"/>
        <v/>
      </c>
      <c r="AR105" s="68">
        <f>IFERROR(VLOOKUP(A105,Climatologia_TMAX!A:U,9+$E$2,FALSE),"")</f>
        <v>30.030668369518938</v>
      </c>
      <c r="AS105" s="68" t="str">
        <f t="shared" si="8"/>
        <v/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>
        <v>25.6</v>
      </c>
      <c r="X106" s="66">
        <v>25.6</v>
      </c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14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>
        <v>27</v>
      </c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14</v>
      </c>
      <c r="AQ108" s="68" t="str">
        <f t="shared" si="7"/>
        <v/>
      </c>
      <c r="AR108" s="68">
        <f>IFERROR(VLOOKUP(A108,Climatologia_TMAX!A:U,9+$E$2,FALSE),"")</f>
        <v>30.571207119021128</v>
      </c>
      <c r="AS108" s="68" t="str">
        <f t="shared" si="8"/>
        <v/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>
        <v>23</v>
      </c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14</v>
      </c>
      <c r="AQ109" s="68" t="str">
        <f t="shared" si="7"/>
        <v/>
      </c>
      <c r="AR109" s="68">
        <f>IFERROR(VLOOKUP(A109,Climatologia_TMAX!A:U,9+$E$2,FALSE),"")</f>
        <v>25.742317801672641</v>
      </c>
      <c r="AS109" s="68" t="str">
        <f t="shared" si="8"/>
        <v/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>
        <v>39.6</v>
      </c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14</v>
      </c>
      <c r="AQ111" s="68" t="str">
        <f t="shared" si="7"/>
        <v/>
      </c>
      <c r="AR111" s="68">
        <f>IFERROR(VLOOKUP(A111,Climatologia_TMAX!A:U,9+$E$2,FALSE),"")</f>
        <v>35.400483796811272</v>
      </c>
      <c r="AS111" s="68" t="str">
        <f t="shared" si="8"/>
        <v/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>
        <v>35.799999999999997</v>
      </c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14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-2.3999999999999986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>
        <v>37.200000000000003</v>
      </c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14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>
        <v>38.799999999999997</v>
      </c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14</v>
      </c>
      <c r="AQ115" s="68" t="str">
        <f t="shared" si="7"/>
        <v/>
      </c>
      <c r="AR115" s="68">
        <f>IFERROR(VLOOKUP(A115,Climatologia_TMAX!A:U,9+$E$2,FALSE),"")</f>
        <v>35.599806409679189</v>
      </c>
      <c r="AS115" s="68" t="str">
        <f t="shared" si="8"/>
        <v/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>
        <v>38.6</v>
      </c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14</v>
      </c>
      <c r="AQ118" s="68" t="str">
        <f t="shared" si="7"/>
        <v/>
      </c>
      <c r="AR118" s="68">
        <f>IFERROR(VLOOKUP(A118,Climatologia_TMAX!A:U,9+$E$2,FALSE),"")</f>
        <v>34.447006277967013</v>
      </c>
      <c r="AS118" s="68" t="str">
        <f t="shared" si="8"/>
        <v/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>
        <v>39.6</v>
      </c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14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>
        <v>40.200000000000003</v>
      </c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13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>
        <v>32.4</v>
      </c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14</v>
      </c>
      <c r="AQ122" s="68" t="str">
        <f t="shared" si="7"/>
        <v/>
      </c>
      <c r="AR122" s="68">
        <f>IFERROR(VLOOKUP(A122,Climatologia_TMAX!A:U,9+$E$2,FALSE),"")</f>
        <v>28.13354838709677</v>
      </c>
      <c r="AS122" s="68" t="str">
        <f t="shared" si="8"/>
        <v/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>
        <v>29.8</v>
      </c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14</v>
      </c>
      <c r="AQ123" s="68" t="str">
        <f t="shared" si="7"/>
        <v/>
      </c>
      <c r="AR123" s="68">
        <f>IFERROR(VLOOKUP(A123,Climatologia_TMAX!A:U,9+$E$2,FALSE),"")</f>
        <v>29.851373954599769</v>
      </c>
      <c r="AS123" s="68" t="str">
        <f t="shared" si="8"/>
        <v/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>
        <v>28.4</v>
      </c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14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11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-1.6000000000000014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115">
        <v>25.4</v>
      </c>
      <c r="X128" s="66">
        <v>23.2</v>
      </c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14</v>
      </c>
      <c r="AQ128" s="68" t="str">
        <f t="shared" si="7"/>
        <v/>
      </c>
      <c r="AR128" s="68">
        <f>IFERROR(VLOOKUP(A128,Climatologia_TMAX!A:U,9+$E$2,FALSE),"")</f>
        <v>19.945241107257019</v>
      </c>
      <c r="AS128" s="68" t="str">
        <f t="shared" si="8"/>
        <v/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>
        <v>24.6</v>
      </c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14</v>
      </c>
      <c r="AQ129" s="68" t="str">
        <f t="shared" si="7"/>
        <v/>
      </c>
      <c r="AR129" s="68">
        <f>IFERROR(VLOOKUP(A129,Climatologia_TMAX!A:U,9+$E$2,FALSE),"")</f>
        <v>24.697992831541221</v>
      </c>
      <c r="AS129" s="68" t="str">
        <f t="shared" si="8"/>
        <v/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>
        <v>22</v>
      </c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12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>
        <v>19.600000000000001</v>
      </c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12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>
        <v>22.8</v>
      </c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14</v>
      </c>
      <c r="AQ135" s="68" t="str">
        <f t="shared" si="12"/>
        <v/>
      </c>
      <c r="AR135" s="68">
        <f>IFERROR(VLOOKUP(A135,Climatologia_TMAX!A:U,9+$E$2,FALSE),"")</f>
        <v>23.503001430160491</v>
      </c>
      <c r="AS135" s="68" t="str">
        <f t="shared" si="13"/>
        <v/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>
        <v>22.4</v>
      </c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14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23.1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0.90000000000000213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>
        <v>20</v>
      </c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14</v>
      </c>
      <c r="AQ139" s="68" t="str">
        <f t="shared" si="12"/>
        <v/>
      </c>
      <c r="AR139" s="68">
        <f>IFERROR(VLOOKUP(A139,Climatologia_TMAX!A:U,9+$E$2,FALSE),"")</f>
        <v>20.714326639736161</v>
      </c>
      <c r="AS139" s="68" t="str">
        <f t="shared" si="13"/>
        <v/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>
        <v>24.8</v>
      </c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13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25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-3.6000000000000014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>
        <v>20.2</v>
      </c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14</v>
      </c>
      <c r="AQ141" s="68" t="str">
        <f t="shared" si="12"/>
        <v/>
      </c>
      <c r="AR141" s="68">
        <f>IFERROR(VLOOKUP(A141,Climatologia_TMAX!A:U,9+$E$2,FALSE),"")</f>
        <v>18.072580645161288</v>
      </c>
      <c r="AS141" s="68" t="str">
        <f t="shared" si="13"/>
        <v/>
      </c>
      <c r="AT141" s="74">
        <f t="shared" si="14"/>
        <v>20.8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-3.5999999999999979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>
        <v>19</v>
      </c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14</v>
      </c>
      <c r="AQ142" s="68" t="str">
        <f t="shared" si="12"/>
        <v/>
      </c>
      <c r="AR142" s="68">
        <f>IFERROR(VLOOKUP(A142,Climatologia_TMAX!A:U,9+$E$2,FALSE),"")</f>
        <v>17.502950587315588</v>
      </c>
      <c r="AS142" s="68" t="str">
        <f t="shared" si="13"/>
        <v/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>
        <v>22.2</v>
      </c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14</v>
      </c>
      <c r="AQ146" s="68" t="str">
        <f t="shared" si="12"/>
        <v/>
      </c>
      <c r="AR146" s="68">
        <f>IFERROR(VLOOKUP(A146,Climatologia_TMAX!A:U,9+$E$2,FALSE),"")</f>
        <v>21.065636230144019</v>
      </c>
      <c r="AS146" s="68" t="str">
        <f t="shared" si="13"/>
        <v/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-3.2000000000000028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>
        <v>21</v>
      </c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12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>
        <v>26.2</v>
      </c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13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27.6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>
        <v>34.6</v>
      </c>
      <c r="X151" s="66">
        <v>35</v>
      </c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14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>
        <v>21.8</v>
      </c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14</v>
      </c>
      <c r="AQ153" s="68" t="str">
        <f t="shared" si="12"/>
        <v/>
      </c>
      <c r="AR153" s="68">
        <f>IFERROR(VLOOKUP(A153,Climatologia_TMAX!A:U,9+$E$2,FALSE),"")</f>
        <v>17.087318670151451</v>
      </c>
      <c r="AS153" s="68" t="str">
        <f t="shared" si="13"/>
        <v/>
      </c>
      <c r="AT153" s="74">
        <f t="shared" si="14"/>
        <v>21.8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-0.59999999999999787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>
        <v>19.600000000000001</v>
      </c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14</v>
      </c>
      <c r="AQ154" s="68" t="str">
        <f t="shared" si="12"/>
        <v/>
      </c>
      <c r="AR154" s="68">
        <f>IFERROR(VLOOKUP(A154,Climatologia_TMAX!A:U,9+$E$2,FALSE),"")</f>
        <v>17.894822708653351</v>
      </c>
      <c r="AS154" s="68" t="str">
        <f t="shared" si="13"/>
        <v/>
      </c>
      <c r="AT154" s="74">
        <f t="shared" si="14"/>
        <v>20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-3.3999999999999986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>
        <v>21.8</v>
      </c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14</v>
      </c>
      <c r="AQ156" s="68" t="str">
        <f t="shared" si="12"/>
        <v/>
      </c>
      <c r="AR156" s="68">
        <f>IFERROR(VLOOKUP(A156,Climatologia_TMAX!A:U,9+$E$2,FALSE),"")</f>
        <v>19.9787274899533</v>
      </c>
      <c r="AS156" s="68" t="str">
        <f t="shared" si="13"/>
        <v/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>
        <v>23.6</v>
      </c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14</v>
      </c>
      <c r="AQ158" s="68" t="str">
        <f t="shared" si="12"/>
        <v/>
      </c>
      <c r="AR158" s="68">
        <f>IFERROR(VLOOKUP(A158,Climatologia_TMAX!A:U,9+$E$2,FALSE),"")</f>
        <v>22.279202508960569</v>
      </c>
      <c r="AS158" s="68" t="str">
        <f t="shared" si="13"/>
        <v/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>
        <v>32</v>
      </c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14</v>
      </c>
      <c r="AQ160" s="68" t="str">
        <f t="shared" si="12"/>
        <v/>
      </c>
      <c r="AR160" s="68">
        <f>IFERROR(VLOOKUP(A160,Climatologia_TMAX!A:U,9+$E$2,FALSE),"")</f>
        <v>29.899582174638489</v>
      </c>
      <c r="AS160" s="68" t="str">
        <f t="shared" si="13"/>
        <v/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>
        <v>16.2</v>
      </c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14</v>
      </c>
      <c r="AQ164" s="68" t="str">
        <f t="shared" si="12"/>
        <v/>
      </c>
      <c r="AR164" s="68">
        <f>IFERROR(VLOOKUP(A164,Climatologia_TMAX!A:U,9+$E$2,FALSE),"")</f>
        <v>16.438135408145051</v>
      </c>
      <c r="AS164" s="68" t="str">
        <f t="shared" si="13"/>
        <v/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>
        <v>11.2</v>
      </c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14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-3.6000000000000014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>
        <v>12.2</v>
      </c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14</v>
      </c>
      <c r="AQ166" s="68" t="str">
        <f t="shared" si="12"/>
        <v/>
      </c>
      <c r="AR166" s="68">
        <f>IFERROR(VLOOKUP(A166,Climatologia_TMAX!A:U,9+$E$2,FALSE),"")</f>
        <v>14.28566120241295</v>
      </c>
      <c r="AS166" s="68" t="str">
        <f t="shared" si="13"/>
        <v/>
      </c>
      <c r="AT166" s="74">
        <f t="shared" si="14"/>
        <v>16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-4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>
        <v>14.6</v>
      </c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14</v>
      </c>
      <c r="AQ167" s="68" t="str">
        <f t="shared" si="12"/>
        <v/>
      </c>
      <c r="AR167" s="68">
        <f>IFERROR(VLOOKUP(A167,Climatologia_TMAX!A:U,9+$E$2,FALSE),"")</f>
        <v>15.33697398819201</v>
      </c>
      <c r="AS167" s="68" t="str">
        <f t="shared" si="13"/>
        <v/>
      </c>
      <c r="AT167" s="74">
        <f t="shared" si="14"/>
        <v>18.8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>
        <v>21.4</v>
      </c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14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23.8</v>
      </c>
      <c r="T172" s="66"/>
      <c r="U172" s="66">
        <v>23.4</v>
      </c>
      <c r="V172" s="66">
        <v>23.6</v>
      </c>
      <c r="W172" s="66">
        <v>21.6</v>
      </c>
      <c r="X172" s="66">
        <v>25.6</v>
      </c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13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26.2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-0.40000000000000213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>
        <v>16</v>
      </c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13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>
        <v>16.399999999999999</v>
      </c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14</v>
      </c>
      <c r="AQ175" s="68" t="str">
        <f t="shared" si="12"/>
        <v/>
      </c>
      <c r="AR175" s="68">
        <f>IFERROR(VLOOKUP(A175,Climatologia_TMAX!A:U,9+$E$2,FALSE),"")</f>
        <v>16.77337009846331</v>
      </c>
      <c r="AS175" s="68" t="str">
        <f t="shared" si="13"/>
        <v/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9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>
        <v>22.2</v>
      </c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14</v>
      </c>
      <c r="AQ180" s="68" t="str">
        <f t="shared" si="12"/>
        <v/>
      </c>
      <c r="AR180" s="68">
        <f>IFERROR(VLOOKUP(A180,Climatologia_TMAX!A:U,9+$E$2,FALSE),"")</f>
        <v>22.045425414753339</v>
      </c>
      <c r="AS180" s="68" t="str">
        <f t="shared" si="13"/>
        <v/>
      </c>
      <c r="AT180" s="74">
        <f t="shared" si="14"/>
        <v>26.8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-0.59999999999999787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>
        <v>20</v>
      </c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14</v>
      </c>
      <c r="AQ181" s="68" t="str">
        <f t="shared" si="12"/>
        <v/>
      </c>
      <c r="AR181" s="68">
        <f>IFERROR(VLOOKUP(A181,Climatologia_TMAX!A:U,9+$E$2,FALSE),"")</f>
        <v>17.645817781073621</v>
      </c>
      <c r="AS181" s="68" t="str">
        <f t="shared" si="13"/>
        <v/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>
        <v>24.8</v>
      </c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14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>
        <v>28.8</v>
      </c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14</v>
      </c>
      <c r="AQ183" s="68" t="str">
        <f t="shared" si="12"/>
        <v/>
      </c>
      <c r="AR183" s="68">
        <f>IFERROR(VLOOKUP(A183,Climatologia_TMAX!A:U,9+$E$2,FALSE),"")</f>
        <v>27.239077646938501</v>
      </c>
      <c r="AS183" s="68" t="str">
        <f t="shared" si="13"/>
        <v/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>
        <v>13.4</v>
      </c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14</v>
      </c>
      <c r="AQ184" s="68" t="str">
        <f t="shared" si="12"/>
        <v/>
      </c>
      <c r="AR184" s="68">
        <f>IFERROR(VLOOKUP(A184,Climatologia_TMAX!A:U,9+$E$2,FALSE),"")</f>
        <v>14.56273340748981</v>
      </c>
      <c r="AS184" s="68" t="str">
        <f t="shared" si="13"/>
        <v/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>
        <v>33.6</v>
      </c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14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>
        <v>32.6</v>
      </c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14</v>
      </c>
      <c r="AQ186" s="68" t="str">
        <f t="shared" si="12"/>
        <v/>
      </c>
      <c r="AR186" s="68">
        <f>IFERROR(VLOOKUP(A186,Climatologia_TMAX!A:U,9+$E$2,FALSE),"")</f>
        <v>28.080800691244239</v>
      </c>
      <c r="AS186" s="68" t="str">
        <f t="shared" si="13"/>
        <v/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>
        <v>27.2</v>
      </c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12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>
        <v>12.2</v>
      </c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14</v>
      </c>
      <c r="AQ188" s="68" t="str">
        <f t="shared" si="12"/>
        <v/>
      </c>
      <c r="AR188" s="68">
        <f>IFERROR(VLOOKUP(A188,Climatologia_TMAX!A:U,9+$E$2,FALSE),"")</f>
        <v>13.20223385477499</v>
      </c>
      <c r="AS188" s="68" t="str">
        <f t="shared" si="13"/>
        <v/>
      </c>
      <c r="AT188" s="74">
        <f t="shared" si="14"/>
        <v>14.6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-2.2000000000000011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>
        <v>38.200000000000003</v>
      </c>
      <c r="X191" s="66">
        <v>36.4</v>
      </c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14</v>
      </c>
      <c r="AQ191" s="68" t="str">
        <f t="shared" si="12"/>
        <v/>
      </c>
      <c r="AR191" s="68">
        <f>IFERROR(VLOOKUP(A191,Climatologia_TMAX!A:U,9+$E$2,FALSE),"")</f>
        <v>34.386602574288887</v>
      </c>
      <c r="AS191" s="68" t="str">
        <f t="shared" si="13"/>
        <v/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>
        <v>32.200000000000003</v>
      </c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14</v>
      </c>
      <c r="AQ192" s="68" t="str">
        <f t="shared" si="12"/>
        <v/>
      </c>
      <c r="AR192" s="68">
        <f>IFERROR(VLOOKUP(A192,Climatologia_TMAX!A:U,9+$E$2,FALSE),"")</f>
        <v>30.53754007980649</v>
      </c>
      <c r="AS192" s="68" t="str">
        <f t="shared" si="13"/>
        <v/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>
        <v>36.799999999999997</v>
      </c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14</v>
      </c>
      <c r="AQ193" s="68" t="str">
        <f t="shared" si="12"/>
        <v/>
      </c>
      <c r="AR193" s="68">
        <f>IFERROR(VLOOKUP(A193,Climatologia_TMAX!A:U,9+$E$2,FALSE),"")</f>
        <v>32.604882188186302</v>
      </c>
      <c r="AS193" s="68" t="str">
        <f t="shared" si="13"/>
        <v/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>
        <v>35.6</v>
      </c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14</v>
      </c>
      <c r="AQ194" s="68" t="str">
        <f t="shared" si="12"/>
        <v/>
      </c>
      <c r="AR194" s="68">
        <f>IFERROR(VLOOKUP(A194,Climatologia_TMAX!A:U,9+$E$2,FALSE),"")</f>
        <v>33.982628113224877</v>
      </c>
      <c r="AS194" s="68" t="str">
        <f t="shared" si="13"/>
        <v/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12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>
        <v>36.200000000000003</v>
      </c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14</v>
      </c>
      <c r="AQ199" s="68" t="str">
        <f t="shared" si="17"/>
        <v/>
      </c>
      <c r="AR199" s="68">
        <f>IFERROR(VLOOKUP(A199,Climatologia_TMAX!A:U,9+$E$2,FALSE),"")</f>
        <v>32.492888905936347</v>
      </c>
      <c r="AS199" s="68" t="str">
        <f t="shared" si="18"/>
        <v/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>
        <v>18.2</v>
      </c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14</v>
      </c>
      <c r="AQ200" s="68" t="str">
        <f t="shared" si="17"/>
        <v/>
      </c>
      <c r="AR200" s="68">
        <f>IFERROR(VLOOKUP(A200,Climatologia_TMAX!A:U,9+$E$2,FALSE),"")</f>
        <v>17.735029868578259</v>
      </c>
      <c r="AS200" s="68" t="str">
        <f t="shared" si="18"/>
        <v/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-1.8000000000000007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>
        <v>26.2</v>
      </c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14</v>
      </c>
      <c r="AQ201" s="68" t="str">
        <f t="shared" si="17"/>
        <v/>
      </c>
      <c r="AR201" s="68">
        <f>IFERROR(VLOOKUP(A201,Climatologia_TMAX!A:U,9+$E$2,FALSE),"")</f>
        <v>22.75197498391692</v>
      </c>
      <c r="AS201" s="68" t="str">
        <f t="shared" si="18"/>
        <v/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13</v>
      </c>
      <c r="AQ203" s="68" t="str">
        <f t="shared" si="17"/>
        <v/>
      </c>
      <c r="AR203" s="68">
        <f>IFERROR(VLOOKUP(A203,Climatologia_TMAX!A:U,9+$E$2,FALSE),"")</f>
        <v>19.985882256004611</v>
      </c>
      <c r="AS203" s="68" t="str">
        <f t="shared" si="18"/>
        <v/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>
        <v>28.8</v>
      </c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14</v>
      </c>
      <c r="AQ205" s="68" t="str">
        <f t="shared" si="17"/>
        <v/>
      </c>
      <c r="AR205" s="68">
        <f>IFERROR(VLOOKUP(A205,Climatologia_TMAX!A:U,9+$E$2,FALSE),"")</f>
        <v>26.486742471058381</v>
      </c>
      <c r="AS205" s="68" t="str">
        <f t="shared" si="18"/>
        <v/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>
        <v>34.4</v>
      </c>
      <c r="X208" s="66">
        <v>35</v>
      </c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13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>
        <v>24.6</v>
      </c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14</v>
      </c>
      <c r="AQ209" s="68" t="str">
        <f t="shared" si="17"/>
        <v/>
      </c>
      <c r="AR209" s="68">
        <f>IFERROR(VLOOKUP(A209,Climatologia_TMAX!A:U,9+$E$2,FALSE),"")</f>
        <v>24.015476455320719</v>
      </c>
      <c r="AS209" s="68" t="str">
        <f t="shared" si="18"/>
        <v/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>
        <v>32</v>
      </c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14</v>
      </c>
      <c r="AQ210" s="68" t="str">
        <f t="shared" si="17"/>
        <v/>
      </c>
      <c r="AR210" s="68">
        <f>IFERROR(VLOOKUP(A210,Climatologia_TMAX!A:U,9+$E$2,FALSE),"")</f>
        <v>29.654423963133631</v>
      </c>
      <c r="AS210" s="68" t="str">
        <f t="shared" si="18"/>
        <v/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>
        <v>30.8</v>
      </c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14</v>
      </c>
      <c r="AQ214" s="68" t="str">
        <f t="shared" si="17"/>
        <v/>
      </c>
      <c r="AR214" s="68">
        <f>IFERROR(VLOOKUP(A214,Climatologia_TMAX!A:U,9+$E$2,FALSE),"")</f>
        <v>29.107319792911181</v>
      </c>
      <c r="AS214" s="68" t="str">
        <f t="shared" si="18"/>
        <v/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>
        <v>29.4</v>
      </c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14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>
        <v>27.4</v>
      </c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14</v>
      </c>
      <c r="AQ217" s="68" t="str">
        <f t="shared" si="17"/>
        <v/>
      </c>
      <c r="AR217" s="68">
        <f>IFERROR(VLOOKUP(A217,Climatologia_TMAX!A:U,9+$E$2,FALSE),"")</f>
        <v>23.98799853208218</v>
      </c>
      <c r="AS217" s="68" t="str">
        <f t="shared" si="18"/>
        <v/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>
        <v>19.8</v>
      </c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12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>
        <v>24.4</v>
      </c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14</v>
      </c>
      <c r="AQ222" s="68" t="str">
        <f t="shared" si="17"/>
        <v/>
      </c>
      <c r="AR222" s="68">
        <f>IFERROR(VLOOKUP(A222,Climatologia_TMAX!A:U,9+$E$2,FALSE),"")</f>
        <v>22.71125914315569</v>
      </c>
      <c r="AS222" s="68" t="str">
        <f t="shared" si="18"/>
        <v/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13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>
        <v>33.200000000000003</v>
      </c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14</v>
      </c>
      <c r="AQ231" s="68" t="str">
        <f t="shared" si="17"/>
        <v/>
      </c>
      <c r="AR231" s="68">
        <f>IFERROR(VLOOKUP(A231,Climatologia_TMAX!A:U,9+$E$2,FALSE),"")</f>
        <v>30.333152235427281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>
        <v>32.200000000000003</v>
      </c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14</v>
      </c>
      <c r="AQ235" s="68" t="str">
        <f t="shared" si="17"/>
        <v/>
      </c>
      <c r="AR235" s="68">
        <f>IFERROR(VLOOKUP(A235,Climatologia_TMAX!A:U,9+$E$2,FALSE),"")</f>
        <v>30.387096774193552</v>
      </c>
      <c r="AS235" s="68" t="str">
        <f t="shared" si="18"/>
        <v/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>
        <v>29</v>
      </c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13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>
        <v>35.200000000000003</v>
      </c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14</v>
      </c>
      <c r="AQ246" s="68" t="str">
        <f t="shared" si="17"/>
        <v/>
      </c>
      <c r="AR246" s="68">
        <f>IFERROR(VLOOKUP(A246,Climatologia_TMAX!A:U,9+$E$2,FALSE),"")</f>
        <v>30.365280795815501</v>
      </c>
      <c r="AS246" s="68" t="str">
        <f t="shared" si="18"/>
        <v/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13</v>
      </c>
      <c r="AQ247" s="68" t="str">
        <f t="shared" si="17"/>
        <v/>
      </c>
      <c r="AR247" s="68">
        <f>IFERROR(VLOOKUP(A247,Climatologia_TMAX!A:U,9+$E$2,FALSE),"")</f>
        <v>35.840573622107357</v>
      </c>
      <c r="AS247" s="68" t="str">
        <f t="shared" si="18"/>
        <v/>
      </c>
      <c r="AT247" s="74">
        <f t="shared" si="19"/>
        <v>40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-1.2000000000000028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>
        <v>37.200000000000003</v>
      </c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14</v>
      </c>
      <c r="AQ248" s="68" t="str">
        <f t="shared" si="17"/>
        <v/>
      </c>
      <c r="AR248" s="68">
        <f>IFERROR(VLOOKUP(A248,Climatologia_TMAX!A:U,9+$E$2,FALSE),"")</f>
        <v>34.327826313407613</v>
      </c>
      <c r="AS248" s="68" t="str">
        <f t="shared" si="18"/>
        <v/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>
        <v>31.4</v>
      </c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14</v>
      </c>
      <c r="AQ249" s="68" t="str">
        <f t="shared" si="17"/>
        <v/>
      </c>
      <c r="AR249" s="68">
        <f>IFERROR(VLOOKUP(A249,Climatologia_TMAX!A:U,9+$E$2,FALSE),"")</f>
        <v>31.369964157706089</v>
      </c>
      <c r="AS249" s="68" t="str">
        <f t="shared" si="18"/>
        <v/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13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>
        <v>38.200000000000003</v>
      </c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14</v>
      </c>
      <c r="AQ252" s="68" t="str">
        <f t="shared" si="17"/>
        <v/>
      </c>
      <c r="AR252" s="68">
        <f>IFERROR(VLOOKUP(A252,Climatologia_TMAX!A:U,9+$E$2,FALSE),"")</f>
        <v>35.220558268183389</v>
      </c>
      <c r="AS252" s="68" t="str">
        <f t="shared" si="18"/>
        <v/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>
        <v>34.799999999999997</v>
      </c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14</v>
      </c>
      <c r="AQ255" s="68" t="str">
        <f t="shared" si="17"/>
        <v/>
      </c>
      <c r="AR255" s="68">
        <f>IFERROR(VLOOKUP(A255,Climatologia_TMAX!A:U,9+$E$2,FALSE),"")</f>
        <v>33.060314020206199</v>
      </c>
      <c r="AS255" s="68" t="str">
        <f t="shared" si="18"/>
        <v/>
      </c>
      <c r="AT255" s="74">
        <f t="shared" si="19"/>
        <v>37.799999999999997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>
        <v>26.6</v>
      </c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14</v>
      </c>
      <c r="AQ258" s="68" t="str">
        <f t="shared" si="17"/>
        <v/>
      </c>
      <c r="AR258" s="68">
        <f>IFERROR(VLOOKUP(A258,Climatologia_TMAX!A:U,9+$E$2,FALSE),"")</f>
        <v>23.450636822409319</v>
      </c>
      <c r="AS258" s="68" t="str">
        <f t="shared" si="18"/>
        <v/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>
        <v>26.2</v>
      </c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14</v>
      </c>
      <c r="AQ259" s="68" t="str">
        <f t="shared" si="17"/>
        <v/>
      </c>
      <c r="AR259" s="68">
        <f>IFERROR(VLOOKUP(A259,Climatologia_TMAX!A:U,9+$E$2,FALSE),"")</f>
        <v>26.859267723583631</v>
      </c>
      <c r="AS259" s="68" t="str">
        <f t="shared" si="18"/>
        <v/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>
        <v>22</v>
      </c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14</v>
      </c>
      <c r="AQ260" s="68" t="str">
        <f t="shared" si="17"/>
        <v/>
      </c>
      <c r="AR260" s="68">
        <f>IFERROR(VLOOKUP(A260,Climatologia_TMAX!A:U,9+$E$2,FALSE),"")</f>
        <v>18.882112739608111</v>
      </c>
      <c r="AS260" s="68" t="str">
        <f t="shared" si="18"/>
        <v/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>
        <v>35.4</v>
      </c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14</v>
      </c>
      <c r="AQ261" s="68" t="str">
        <f t="shared" ref="AQ261:AQ288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>
        <v>23.4</v>
      </c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14</v>
      </c>
      <c r="AQ262" s="68" t="str">
        <f t="shared" si="22"/>
        <v/>
      </c>
      <c r="AR262" s="68">
        <f>IFERROR(VLOOKUP(A262,Climatologia_TMAX!A:U,9+$E$2,FALSE),"")</f>
        <v>21.05350412968302</v>
      </c>
      <c r="AS262" s="68" t="str">
        <f t="shared" si="23"/>
        <v/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-0.40000000000000213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>
        <v>20.2</v>
      </c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20.8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>
        <v>15</v>
      </c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14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>
        <v>21</v>
      </c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14</v>
      </c>
      <c r="AQ269" s="68" t="str">
        <f t="shared" si="22"/>
        <v/>
      </c>
      <c r="AR269" s="68">
        <f>IFERROR(VLOOKUP(A269,Climatologia_TMAX!A:U,9+$E$2,FALSE),"")</f>
        <v>19.143200050320459</v>
      </c>
      <c r="AS269" s="68" t="str">
        <f t="shared" si="23"/>
        <v/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>
        <v>19</v>
      </c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14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>
        <v>16.600000000000001</v>
      </c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14</v>
      </c>
      <c r="AQ271" s="68" t="str">
        <f t="shared" si="22"/>
        <v/>
      </c>
      <c r="AR271" s="68">
        <f>IFERROR(VLOOKUP(A271,Climatologia_TMAX!A:U,9+$E$2,FALSE),"")</f>
        <v>17.371682824188088</v>
      </c>
      <c r="AS271" s="68" t="str">
        <f t="shared" si="23"/>
        <v/>
      </c>
      <c r="AT271" s="74">
        <f t="shared" si="24"/>
        <v>18.2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-4.4000000000000021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>
        <v>23.6</v>
      </c>
      <c r="X272" s="66">
        <v>23</v>
      </c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14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>
        <v>26.8</v>
      </c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14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>
        <v>11.6</v>
      </c>
      <c r="X275" s="66">
        <v>12</v>
      </c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14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>
        <v>33</v>
      </c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14</v>
      </c>
      <c r="AQ278" s="68" t="str">
        <f t="shared" si="22"/>
        <v/>
      </c>
      <c r="AR278" s="68">
        <f>IFERROR(VLOOKUP(A278,Climatologia_TMAX!A:U,9+$E$2,FALSE),"")</f>
        <v>31.62928722448812</v>
      </c>
      <c r="AS278" s="68" t="str">
        <f t="shared" si="23"/>
        <v/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>
        <v>19.2</v>
      </c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14</v>
      </c>
      <c r="AQ279" s="68" t="str">
        <f t="shared" si="22"/>
        <v/>
      </c>
      <c r="AR279" s="68">
        <f>IFERROR(VLOOKUP(A279,Climatologia_TMAX!A:U,9+$E$2,FALSE),"")</f>
        <v>20.492876344086021</v>
      </c>
      <c r="AS279" s="68" t="str">
        <f t="shared" si="23"/>
        <v/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>
        <v>33.6</v>
      </c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14</v>
      </c>
      <c r="AQ280" s="68" t="str">
        <f t="shared" si="22"/>
        <v/>
      </c>
      <c r="AR280" s="68">
        <f>IFERROR(VLOOKUP(A280,Climatologia_TMAX!A:U,9+$E$2,FALSE),"")</f>
        <v>29.755468215712931</v>
      </c>
      <c r="AS280" s="68" t="str">
        <f t="shared" si="23"/>
        <v/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>
        <v>22.6</v>
      </c>
      <c r="W281" s="66">
        <v>22</v>
      </c>
      <c r="X281" s="66">
        <v>21.2</v>
      </c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14</v>
      </c>
      <c r="AQ281" s="68" t="str">
        <f t="shared" si="22"/>
        <v/>
      </c>
      <c r="AR281" s="68">
        <f>IFERROR(VLOOKUP(A281,Climatologia_TMAX!A:U,9+$E$2,FALSE),"")</f>
        <v>19.62978110599078</v>
      </c>
      <c r="AS281" s="68" t="str">
        <f t="shared" si="23"/>
        <v/>
      </c>
      <c r="AT281" s="74">
        <f t="shared" si="24"/>
        <v>24.4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>
        <v>18.600000000000001</v>
      </c>
      <c r="W283" s="66">
        <v>19.2</v>
      </c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12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>
        <v>19.8</v>
      </c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14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>
        <v>22</v>
      </c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14</v>
      </c>
      <c r="AQ285" s="68" t="str">
        <f t="shared" si="22"/>
        <v/>
      </c>
      <c r="AR285" s="68">
        <f>IFERROR(VLOOKUP(A285,Climatologia_TMAX!A:U,9+$E$2,FALSE),"")</f>
        <v>19.309961016360539</v>
      </c>
      <c r="AS285" s="68" t="str">
        <f t="shared" si="23"/>
        <v/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>
        <v>18.2</v>
      </c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14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5" t="s">
        <v>869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14" width="11.42578125" style="42" customWidth="1"/>
    <col min="115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2026-08-15T15:03:26Z</dcterms:modified>
</cp:coreProperties>
</file>