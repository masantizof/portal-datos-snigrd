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9707DFD-C98D-4D16-931B-72D3EFB4CB20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M22" i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<sst xmlns="http://schemas.openxmlformats.org/spreadsheetml/2006/main" count="603" uniqueCount="272">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</sst>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5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1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E25" activePane="bottomRight" state="frozen"/>
      <selection pane="topRight" activeCell="E1" sqref="E1"/>
      <selection pane="bottomLeft" activeCell="A4" sqref="A4"/>
      <selection pane="bottomRight" activeCell="K44" sqref="K44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30.5</v>
      </c>
      <c r="F5" s="63">
        <v>32.4</v>
      </c>
      <c r="G5" s="63">
        <v>32.1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32.1</v>
      </c>
      <c r="AK5" s="21">
        <f>+MAX($E5:$AI5)</f>
        <v>32.4</v>
      </c>
      <c r="AL5" s="22">
        <v>33.4</v>
      </c>
      <c r="AM5" s="23">
        <f>IF(AK5&gt;0,$AK5-$AL5,"")</f>
        <v>-1</v>
      </c>
      <c r="AN5" s="23">
        <v>30.837144120247562</v>
      </c>
      <c r="AO5" s="23" t="str">
        <f>IF(COUNTIF(E5:AI5,"&gt;0")&gt;=15,AVERAGE(E5:AI5),"")</f>
        <v/>
      </c>
      <c r="AP5" s="23" t="str">
        <f>IF(AN5&gt;0,IFERROR(AO5-AN5,""),"")</f>
        <v/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30.6</v>
      </c>
      <c r="F6" s="63">
        <v>32.1</v>
      </c>
      <c r="G6" s="63">
        <v>32.200000000000003</v>
      </c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32.200000000000003</v>
      </c>
      <c r="AK6" s="21">
        <f t="shared" ref="AK6:AK48" si="1">+MAX($E6:$AI6)</f>
        <v>32.200000000000003</v>
      </c>
      <c r="AL6" s="22">
        <v>33.200000000000003</v>
      </c>
      <c r="AM6" s="23">
        <f t="shared" ref="AM6:AM48" si="2">IF(AK6&gt;0,$AK6-$AL6,"")</f>
        <v>-1</v>
      </c>
      <c r="AN6" s="23">
        <v>31.213724845269681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32.4</v>
      </c>
      <c r="F7" s="63">
        <v>34.799999999999997</v>
      </c>
      <c r="G7" s="63">
        <v>35.200000000000003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35.200000000000003</v>
      </c>
      <c r="AK7" s="21">
        <f t="shared" si="1"/>
        <v>35.200000000000003</v>
      </c>
      <c r="AL7" s="22">
        <v>37.200000000000003</v>
      </c>
      <c r="AM7" s="23">
        <f t="shared" si="2"/>
        <v>-2</v>
      </c>
      <c r="AN7" s="23">
        <v>32.888880131362889</v>
      </c>
      <c r="AO7" s="23" t="str">
        <f t="shared" si="3"/>
        <v/>
      </c>
      <c r="AP7" s="23" t="str">
        <f t="shared" si="4"/>
        <v/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33.9</v>
      </c>
      <c r="G8" s="63">
        <v>33.700000000000003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33.700000000000003</v>
      </c>
      <c r="AK8" s="21">
        <f t="shared" si="1"/>
        <v>33.9</v>
      </c>
      <c r="AL8" s="22">
        <v>36.799999999999997</v>
      </c>
      <c r="AM8" s="23">
        <f t="shared" si="2"/>
        <v>-2.8999999999999986</v>
      </c>
      <c r="AN8" s="23">
        <v>32.066531113753463</v>
      </c>
      <c r="AO8" s="23" t="str">
        <f t="shared" si="3"/>
        <v/>
      </c>
      <c r="AP8" s="23" t="str">
        <f t="shared" si="4"/>
        <v/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35.1</v>
      </c>
      <c r="F9" s="63">
        <v>35.6</v>
      </c>
      <c r="G9" s="63">
        <v>36.700000000000003</v>
      </c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36.700000000000003</v>
      </c>
      <c r="AK9" s="21">
        <f t="shared" si="1"/>
        <v>36.700000000000003</v>
      </c>
      <c r="AL9" s="22">
        <v>38.4</v>
      </c>
      <c r="AM9" s="23">
        <f t="shared" si="2"/>
        <v>-1.6999999999999957</v>
      </c>
      <c r="AN9" s="23">
        <v>33.308997701149423</v>
      </c>
      <c r="AO9" s="23" t="str">
        <f t="shared" si="3"/>
        <v/>
      </c>
      <c r="AP9" s="23" t="str">
        <f t="shared" si="4"/>
        <v/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34.700000000000003</v>
      </c>
      <c r="F10" s="63">
        <v>34.299999999999997</v>
      </c>
      <c r="G10" s="63">
        <v>37.4</v>
      </c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37.4</v>
      </c>
      <c r="AK10" s="21">
        <f t="shared" si="1"/>
        <v>37.4</v>
      </c>
      <c r="AL10" s="22">
        <v>39.6</v>
      </c>
      <c r="AM10" s="23">
        <f t="shared" si="2"/>
        <v>-2.2000000000000028</v>
      </c>
      <c r="AN10" s="23">
        <v>33.75991221422256</v>
      </c>
      <c r="AO10" s="23" t="str">
        <f t="shared" si="3"/>
        <v/>
      </c>
      <c r="AP10" s="23" t="str">
        <f t="shared" si="4"/>
        <v/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35.799999999999997</v>
      </c>
      <c r="F11" s="63">
        <v>37</v>
      </c>
      <c r="G11" s="63">
        <v>37.799999999999997</v>
      </c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37.799999999999997</v>
      </c>
      <c r="AK11" s="21">
        <f t="shared" si="1"/>
        <v>37.799999999999997</v>
      </c>
      <c r="AL11" s="22">
        <v>40.200000000000003</v>
      </c>
      <c r="AM11" s="23">
        <f t="shared" si="2"/>
        <v>-2.4000000000000057</v>
      </c>
      <c r="AN11" s="23">
        <v>34.012164961475307</v>
      </c>
      <c r="AO11" s="23" t="str">
        <f t="shared" si="3"/>
        <v/>
      </c>
      <c r="AP11" s="23" t="str">
        <f t="shared" si="4"/>
        <v/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33.200000000000003</v>
      </c>
      <c r="G12" s="63">
        <v>34.200000000000003</v>
      </c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34.200000000000003</v>
      </c>
      <c r="AK12" s="21">
        <f t="shared" si="1"/>
        <v>34.200000000000003</v>
      </c>
      <c r="AL12" s="22">
        <v>36</v>
      </c>
      <c r="AM12" s="23">
        <f t="shared" si="2"/>
        <v>-1.7999999999999972</v>
      </c>
      <c r="AN12" s="23">
        <v>31.452593153972469</v>
      </c>
      <c r="AO12" s="23" t="str">
        <f t="shared" si="3"/>
        <v/>
      </c>
      <c r="AP12" s="23" t="str">
        <f t="shared" si="4"/>
        <v/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</v>
      </c>
      <c r="F13" s="63">
        <v>34.6</v>
      </c>
      <c r="G13" s="63">
        <v>34.799999999999997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34.799999999999997</v>
      </c>
      <c r="AK13" s="21">
        <f t="shared" si="1"/>
        <v>34.799999999999997</v>
      </c>
      <c r="AL13" s="22">
        <v>37.4</v>
      </c>
      <c r="AM13" s="23">
        <f t="shared" si="2"/>
        <v>-2.6000000000000014</v>
      </c>
      <c r="AN13" s="23">
        <v>32.199781609195398</v>
      </c>
      <c r="AO13" s="23" t="str">
        <f t="shared" si="3"/>
        <v/>
      </c>
      <c r="AP13" s="23" t="str">
        <f t="shared" si="4"/>
        <v/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34.6</v>
      </c>
      <c r="F14" s="63">
        <v>34.1</v>
      </c>
      <c r="G14" s="63">
        <v>36.1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36.1</v>
      </c>
      <c r="AK14" s="21">
        <f t="shared" si="1"/>
        <v>36.1</v>
      </c>
      <c r="AL14" s="22">
        <v>37.5</v>
      </c>
      <c r="AM14" s="23">
        <f t="shared" si="2"/>
        <v>-1.3999999999999986</v>
      </c>
      <c r="AN14" s="23">
        <v>32.561237881007962</v>
      </c>
      <c r="AO14" s="23" t="str">
        <f t="shared" si="3"/>
        <v/>
      </c>
      <c r="AP14" s="23" t="str">
        <f t="shared" si="4"/>
        <v/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30.3</v>
      </c>
      <c r="F15" s="63">
        <v>31.9</v>
      </c>
      <c r="G15" s="63">
        <v>31.8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31.8</v>
      </c>
      <c r="AK15" s="21">
        <f t="shared" si="1"/>
        <v>31.9</v>
      </c>
      <c r="AL15" s="22">
        <v>35.4</v>
      </c>
      <c r="AM15" s="23">
        <f t="shared" si="2"/>
        <v>-3.5</v>
      </c>
      <c r="AN15" s="23">
        <v>31.91844417077176</v>
      </c>
      <c r="AO15" s="23" t="str">
        <f t="shared" si="3"/>
        <v/>
      </c>
      <c r="AP15" s="23" t="str">
        <f t="shared" si="4"/>
        <v/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35</v>
      </c>
      <c r="F17" s="63">
        <v>33.799999999999997</v>
      </c>
      <c r="G17" s="63">
        <v>35.4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35.4</v>
      </c>
      <c r="AK17" s="21">
        <f t="shared" si="1"/>
        <v>35.4</v>
      </c>
      <c r="AL17" s="22">
        <v>36.6</v>
      </c>
      <c r="AM17" s="23">
        <f t="shared" si="2"/>
        <v>-1.2000000000000028</v>
      </c>
      <c r="AN17" s="23">
        <v>32.028002378121293</v>
      </c>
      <c r="AO17" s="23" t="str">
        <f>IF(COUNTIF(E17:AI17,"&gt;0")&gt;=15,AVERAGE(E17:AI17),"")</f>
        <v/>
      </c>
      <c r="AP17" s="23" t="str">
        <f>IF(AN17&gt;0,IFERROR(AO17-AN17,""),"")</f>
        <v/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28.6</v>
      </c>
      <c r="F18" s="63">
        <v>26.3</v>
      </c>
      <c r="G18" s="63">
        <v>29.2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29.2</v>
      </c>
      <c r="AK18" s="21">
        <f t="shared" si="1"/>
        <v>29.2</v>
      </c>
      <c r="AL18" s="22">
        <v>31.8</v>
      </c>
      <c r="AM18" s="23">
        <f t="shared" si="2"/>
        <v>-2.6000000000000014</v>
      </c>
      <c r="AN18" s="23">
        <v>26.245613553113561</v>
      </c>
      <c r="AO18" s="23" t="str">
        <f t="shared" ref="AO18:AO33" si="5">IF(COUNTIF(E18:AI18,"&gt;0")&gt;=15,AVERAGE(E18:AI18),"")</f>
        <v/>
      </c>
      <c r="AP18" s="23" t="str">
        <f t="shared" si="4"/>
        <v/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37.200000000000003</v>
      </c>
      <c r="F19" s="63">
        <v>36.6</v>
      </c>
      <c r="G19" s="63">
        <v>37</v>
      </c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37</v>
      </c>
      <c r="AK19" s="21">
        <f t="shared" si="1"/>
        <v>37.200000000000003</v>
      </c>
      <c r="AL19" s="22">
        <v>38.4</v>
      </c>
      <c r="AM19" s="23">
        <f t="shared" si="2"/>
        <v>-1.1999999999999957</v>
      </c>
      <c r="AN19" s="23">
        <v>34.362535919540242</v>
      </c>
      <c r="AO19" s="23" t="str">
        <f t="shared" si="5"/>
        <v/>
      </c>
      <c r="AP19" s="23" t="str">
        <f t="shared" si="4"/>
        <v/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29</v>
      </c>
      <c r="F20" s="63">
        <v>30.8</v>
      </c>
      <c r="G20" s="63">
        <v>31.9</v>
      </c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31.9</v>
      </c>
      <c r="AK20" s="21">
        <f t="shared" si="1"/>
        <v>31.9</v>
      </c>
      <c r="AL20" s="22">
        <v>33.1</v>
      </c>
      <c r="AM20" s="23">
        <f t="shared" si="2"/>
        <v>-1.2000000000000028</v>
      </c>
      <c r="AN20" s="23">
        <v>28.140217569786529</v>
      </c>
      <c r="AO20" s="23" t="str">
        <f t="shared" si="5"/>
        <v/>
      </c>
      <c r="AP20" s="23" t="str">
        <f t="shared" si="4"/>
        <v/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24.2</v>
      </c>
      <c r="F21" s="63">
        <v>24</v>
      </c>
      <c r="G21" s="63">
        <v>24.8</v>
      </c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24.8</v>
      </c>
      <c r="AK21" s="21">
        <f t="shared" si="1"/>
        <v>24.8</v>
      </c>
      <c r="AL21" s="22">
        <v>26.9</v>
      </c>
      <c r="AM21" s="23">
        <f t="shared" si="2"/>
        <v>-2.0999999999999979</v>
      </c>
      <c r="AN21" s="23">
        <v>22.564435196194999</v>
      </c>
      <c r="AO21" s="23" t="str">
        <f t="shared" si="5"/>
        <v/>
      </c>
      <c r="AP21" s="23" t="str">
        <f t="shared" si="4"/>
        <v/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2"/>
        <v/>
      </c>
      <c r="AN22" s="23">
        <v>21.063776683087031</v>
      </c>
      <c r="AO22" s="23" t="str">
        <f t="shared" si="5"/>
        <v/>
      </c>
      <c r="AP22" s="23" t="str">
        <f t="shared" si="4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</v>
      </c>
      <c r="F23" s="63">
        <v>28</v>
      </c>
      <c r="G23" s="63">
        <v>30.2</v>
      </c>
      <c r="H23" s="63"/>
      <c r="I23" s="63"/>
      <c r="J23" s="63"/>
      <c r="K23" s="63"/>
      <c r="L23" s="63"/>
      <c r="M23" s="63"/>
      <c r="N23" s="63"/>
      <c r="O23" s="68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30.2</v>
      </c>
      <c r="AK23" s="21">
        <f t="shared" si="1"/>
        <v>30.2</v>
      </c>
      <c r="AL23" s="22">
        <v>32.799999999999997</v>
      </c>
      <c r="AM23" s="23">
        <f t="shared" si="2"/>
        <v>-2.5999999999999979</v>
      </c>
      <c r="AN23" s="23">
        <v>27.03996905393457</v>
      </c>
      <c r="AO23" s="23" t="str">
        <f t="shared" si="5"/>
        <v/>
      </c>
      <c r="AP23" s="23" t="str">
        <f t="shared" si="4"/>
        <v/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29.6</v>
      </c>
      <c r="F24" s="63">
        <v>30.6</v>
      </c>
      <c r="G24" s="63">
        <v>32.200000000000003</v>
      </c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32.200000000000003</v>
      </c>
      <c r="AK24" s="21">
        <f t="shared" si="1"/>
        <v>32.200000000000003</v>
      </c>
      <c r="AL24" s="22">
        <v>35</v>
      </c>
      <c r="AM24" s="23">
        <f t="shared" si="2"/>
        <v>-2.7999999999999972</v>
      </c>
      <c r="AN24" s="23">
        <v>28.21960773581463</v>
      </c>
      <c r="AO24" s="23" t="str">
        <f t="shared" si="5"/>
        <v/>
      </c>
      <c r="AP24" s="23" t="str">
        <f t="shared" si="4"/>
        <v/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32.200000000000003</v>
      </c>
      <c r="F25" s="63">
        <v>32.1</v>
      </c>
      <c r="G25" s="63">
        <v>33.4</v>
      </c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33.4</v>
      </c>
      <c r="AK25" s="21">
        <f t="shared" si="1"/>
        <v>33.4</v>
      </c>
      <c r="AL25" s="22">
        <v>36.799999999999997</v>
      </c>
      <c r="AM25" s="23">
        <f t="shared" si="2"/>
        <v>-3.3999999999999986</v>
      </c>
      <c r="AN25" s="23">
        <v>30.83648877941982</v>
      </c>
      <c r="AO25" s="23" t="str">
        <f t="shared" si="5"/>
        <v/>
      </c>
      <c r="AP25" s="23" t="str">
        <f t="shared" si="4"/>
        <v/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20.8</v>
      </c>
      <c r="F26" s="63">
        <v>19.3</v>
      </c>
      <c r="G26" s="63">
        <v>18.5</v>
      </c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18.5</v>
      </c>
      <c r="AK26" s="21">
        <f t="shared" si="1"/>
        <v>20.8</v>
      </c>
      <c r="AL26" s="22">
        <v>23.3</v>
      </c>
      <c r="AM26" s="23">
        <f t="shared" si="2"/>
        <v>-2.5</v>
      </c>
      <c r="AN26" s="23">
        <v>19.205027672249159</v>
      </c>
      <c r="AO26" s="23" t="str">
        <f t="shared" si="5"/>
        <v/>
      </c>
      <c r="AP26" s="23" t="str">
        <f t="shared" si="4"/>
        <v/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19.2</v>
      </c>
      <c r="F27" s="63">
        <v>19.600000000000001</v>
      </c>
      <c r="G27" s="63">
        <v>19.2</v>
      </c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19.2</v>
      </c>
      <c r="AK27" s="21">
        <f t="shared" si="1"/>
        <v>19.600000000000001</v>
      </c>
      <c r="AL27" s="22">
        <v>23.4</v>
      </c>
      <c r="AM27" s="23">
        <f t="shared" si="2"/>
        <v>-3.7999999999999972</v>
      </c>
      <c r="AN27" s="23">
        <v>18.093990147783249</v>
      </c>
      <c r="AO27" s="23" t="str">
        <f t="shared" si="5"/>
        <v/>
      </c>
      <c r="AP27" s="23" t="str">
        <f t="shared" si="4"/>
        <v/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33.200000000000003</v>
      </c>
      <c r="F28" s="63">
        <v>33.5</v>
      </c>
      <c r="G28" s="63">
        <v>31.7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31.7</v>
      </c>
      <c r="AK28" s="21">
        <f t="shared" si="1"/>
        <v>33.5</v>
      </c>
      <c r="AL28" s="22">
        <v>35.1</v>
      </c>
      <c r="AM28" s="23">
        <f t="shared" si="2"/>
        <v>-1.6000000000000014</v>
      </c>
      <c r="AN28" s="23">
        <v>30.640448440448441</v>
      </c>
      <c r="AO28" s="23" t="str">
        <f t="shared" si="5"/>
        <v/>
      </c>
      <c r="AP28" s="23" t="str">
        <f t="shared" si="4"/>
        <v/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2"/>
        <v/>
      </c>
      <c r="AN29" s="23">
        <v>26.19598660437816</v>
      </c>
      <c r="AO29" s="23" t="str">
        <f t="shared" si="5"/>
        <v/>
      </c>
      <c r="AP29" s="23" t="str">
        <f t="shared" si="4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</v>
      </c>
      <c r="F30" s="63">
        <v>36.200000000000003</v>
      </c>
      <c r="G30" s="63">
        <v>36.200000000000003</v>
      </c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36.200000000000003</v>
      </c>
      <c r="AK30" s="21">
        <f t="shared" si="1"/>
        <v>37</v>
      </c>
      <c r="AL30" s="22">
        <v>40.5</v>
      </c>
      <c r="AM30" s="23">
        <f t="shared" si="2"/>
        <v>-3.5</v>
      </c>
      <c r="AN30" s="23">
        <v>34.911888888888889</v>
      </c>
      <c r="AO30" s="23" t="str">
        <f t="shared" si="5"/>
        <v/>
      </c>
      <c r="AP30" s="23" t="str">
        <f t="shared" si="4"/>
        <v/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28.4</v>
      </c>
      <c r="F31" s="63">
        <v>28</v>
      </c>
      <c r="G31" s="63">
        <v>28.2</v>
      </c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28.2</v>
      </c>
      <c r="AK31" s="21">
        <f t="shared" si="1"/>
        <v>28.4</v>
      </c>
      <c r="AL31" s="22">
        <v>31.2</v>
      </c>
      <c r="AM31" s="23">
        <f t="shared" si="2"/>
        <v>-2.8000000000000007</v>
      </c>
      <c r="AN31" s="23">
        <v>25.982387369533619</v>
      </c>
      <c r="AO31" s="23" t="str">
        <f t="shared" si="5"/>
        <v/>
      </c>
      <c r="AP31" s="23" t="str">
        <f t="shared" si="4"/>
        <v/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21.2</v>
      </c>
      <c r="F32" s="63">
        <v>17.600000000000001</v>
      </c>
      <c r="G32" s="63">
        <v>16.2</v>
      </c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16.2</v>
      </c>
      <c r="AK32" s="21">
        <f t="shared" si="1"/>
        <v>21.2</v>
      </c>
      <c r="AL32" s="22">
        <v>23.4</v>
      </c>
      <c r="AM32" s="23">
        <f t="shared" si="2"/>
        <v>-2.1999999999999993</v>
      </c>
      <c r="AN32" s="27">
        <v>17.33622330219147</v>
      </c>
      <c r="AO32" s="23" t="str">
        <f t="shared" si="5"/>
        <v/>
      </c>
      <c r="AP32" s="23" t="str">
        <f t="shared" si="4"/>
        <v/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19.399999999999999</v>
      </c>
      <c r="F33" s="63">
        <v>16.2</v>
      </c>
      <c r="G33" s="63">
        <v>16.2</v>
      </c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16.2</v>
      </c>
      <c r="AK33" s="21">
        <f t="shared" si="1"/>
        <v>19.399999999999999</v>
      </c>
      <c r="AL33" s="22">
        <v>20.8</v>
      </c>
      <c r="AM33" s="23">
        <f t="shared" si="2"/>
        <v>-1.4000000000000021</v>
      </c>
      <c r="AN33" s="23">
        <v>15.930309706257979</v>
      </c>
      <c r="AO33" s="23" t="str">
        <f t="shared" si="5"/>
        <v/>
      </c>
      <c r="AP33" s="23" t="str">
        <f t="shared" si="4"/>
        <v/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32.4</v>
      </c>
      <c r="F35" s="63">
        <v>32.799999999999997</v>
      </c>
      <c r="G35" s="63">
        <v>32.4</v>
      </c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32.4</v>
      </c>
      <c r="AK35" s="21">
        <f t="shared" si="1"/>
        <v>32.799999999999997</v>
      </c>
      <c r="AL35" s="22">
        <v>35.200000000000003</v>
      </c>
      <c r="AM35" s="23">
        <f t="shared" si="2"/>
        <v>-2.4000000000000057</v>
      </c>
      <c r="AN35" s="23">
        <v>30.947113847837979</v>
      </c>
      <c r="AO35" s="23" t="str">
        <f>IF(COUNTIF(E35:AI35,"&gt;0")&gt;=15,AVERAGE(E35:AI35),"")</f>
        <v/>
      </c>
      <c r="AP35" s="23" t="str">
        <f t="shared" si="4"/>
        <v/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33.6</v>
      </c>
      <c r="AM36" s="23" t="str">
        <f t="shared" si="2"/>
        <v/>
      </c>
      <c r="AN36" s="23">
        <v>30.05767241379311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34.1</v>
      </c>
      <c r="F38" s="63">
        <v>30.3</v>
      </c>
      <c r="G38" s="63">
        <v>33.299999999999997</v>
      </c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33.299999999999997</v>
      </c>
      <c r="AK38" s="21">
        <f t="shared" si="1"/>
        <v>34.1</v>
      </c>
      <c r="AL38" s="22">
        <v>35.6</v>
      </c>
      <c r="AM38" s="23">
        <f t="shared" si="2"/>
        <v>-1.5</v>
      </c>
      <c r="AN38" s="23">
        <v>31.67147144681628</v>
      </c>
      <c r="AO38" s="23" t="str">
        <f>IF(COUNTIF(E38:AI38,"&gt;0")&gt;=15,AVERAGE(E38:AI38),"")</f>
        <v/>
      </c>
      <c r="AP38" s="23" t="str">
        <f t="shared" si="4"/>
        <v/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35.200000000000003</v>
      </c>
      <c r="F39" s="63">
        <v>32.5</v>
      </c>
      <c r="G39" s="63">
        <v>33</v>
      </c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33</v>
      </c>
      <c r="AK39" s="21">
        <f t="shared" si="1"/>
        <v>35.200000000000003</v>
      </c>
      <c r="AL39" s="22">
        <v>36.4</v>
      </c>
      <c r="AM39" s="23">
        <f t="shared" si="2"/>
        <v>-1.1999999999999957</v>
      </c>
      <c r="AN39" s="23">
        <v>32.684863258026162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31.8</v>
      </c>
      <c r="F40" s="63">
        <v>32</v>
      </c>
      <c r="G40" s="63">
        <v>33.200000000000003</v>
      </c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33.200000000000003</v>
      </c>
      <c r="AK40" s="21">
        <f t="shared" si="1"/>
        <v>33.200000000000003</v>
      </c>
      <c r="AL40" s="22">
        <v>35</v>
      </c>
      <c r="AM40" s="23">
        <f t="shared" si="2"/>
        <v>-1.7999999999999972</v>
      </c>
      <c r="AN40" s="23">
        <v>30.79898193760263</v>
      </c>
      <c r="AO40" s="23" t="str">
        <f t="shared" si="7"/>
        <v/>
      </c>
      <c r="AP40" s="23" t="str">
        <f t="shared" si="4"/>
        <v/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31.6</v>
      </c>
      <c r="F41" s="63">
        <v>32.4</v>
      </c>
      <c r="G41" s="63">
        <v>33.200000000000003</v>
      </c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33.200000000000003</v>
      </c>
      <c r="AK41" s="21">
        <f t="shared" si="1"/>
        <v>33.200000000000003</v>
      </c>
      <c r="AL41" s="22">
        <v>35</v>
      </c>
      <c r="AM41" s="23">
        <f t="shared" si="2"/>
        <v>-1.7999999999999972</v>
      </c>
      <c r="AN41" s="23">
        <v>30.61551559934319</v>
      </c>
      <c r="AO41" s="23" t="str">
        <f t="shared" si="7"/>
        <v/>
      </c>
      <c r="AP41" s="23" t="str">
        <f t="shared" si="4"/>
        <v/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31.463300492610841</v>
      </c>
      <c r="AO42" s="23" t="str">
        <f t="shared" si="7"/>
        <v/>
      </c>
      <c r="AP42" s="23" t="str">
        <f t="shared" si="4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33.6</v>
      </c>
      <c r="F43" s="63">
        <v>33.799999999999997</v>
      </c>
      <c r="G43" s="63">
        <v>33</v>
      </c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33</v>
      </c>
      <c r="AK43" s="21">
        <f t="shared" si="1"/>
        <v>33.799999999999997</v>
      </c>
      <c r="AL43" s="22">
        <v>35.6</v>
      </c>
      <c r="AM43" s="23">
        <f t="shared" si="2"/>
        <v>-1.8000000000000043</v>
      </c>
      <c r="AN43" s="23">
        <v>31.991304063769562</v>
      </c>
      <c r="AO43" s="23" t="str">
        <f t="shared" si="7"/>
        <v/>
      </c>
      <c r="AP43" s="23" t="str">
        <f t="shared" si="4"/>
        <v/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30.4</v>
      </c>
      <c r="F44" s="29">
        <v>32</v>
      </c>
      <c r="G44" s="29">
        <v>31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31</v>
      </c>
      <c r="AK44" s="21">
        <f t="shared" si="1"/>
        <v>32</v>
      </c>
      <c r="AL44" s="22">
        <v>34.799999999999997</v>
      </c>
      <c r="AM44" s="23">
        <f t="shared" si="2"/>
        <v>-2.7999999999999972</v>
      </c>
      <c r="AN44" s="23">
        <v>31.099937562083159</v>
      </c>
      <c r="AO44" s="23" t="str">
        <f t="shared" si="7"/>
        <v/>
      </c>
      <c r="AP44" s="23" t="str">
        <f t="shared" si="4"/>
        <v/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33.799999999999997</v>
      </c>
      <c r="F45" s="63">
        <v>33.200000000000003</v>
      </c>
      <c r="G45" s="63">
        <v>32.799999999999997</v>
      </c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32.799999999999997</v>
      </c>
      <c r="AK45" s="21">
        <f t="shared" si="1"/>
        <v>33.799999999999997</v>
      </c>
      <c r="AL45" s="22">
        <v>35.6</v>
      </c>
      <c r="AM45" s="23">
        <f t="shared" si="2"/>
        <v>-1.8000000000000043</v>
      </c>
      <c r="AN45" s="23">
        <v>31.478230462470751</v>
      </c>
      <c r="AO45" s="23" t="str">
        <f t="shared" si="7"/>
        <v/>
      </c>
      <c r="AP45" s="23" t="str">
        <f t="shared" si="4"/>
        <v/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33.6</v>
      </c>
      <c r="AM46" s="23" t="str">
        <f t="shared" si="2"/>
        <v/>
      </c>
      <c r="AN46" s="23">
        <v>28.629253380364489</v>
      </c>
      <c r="AO46" s="23" t="str">
        <f t="shared" si="7"/>
        <v/>
      </c>
      <c r="AP46" s="23" t="str">
        <f t="shared" si="4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2"/>
        <v/>
      </c>
      <c r="AN47" s="23">
        <v>31.109325244785019</v>
      </c>
      <c r="AO47" s="23" t="str">
        <f t="shared" si="7"/>
        <v/>
      </c>
      <c r="AP47" s="23" t="str">
        <f t="shared" si="4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36.1</v>
      </c>
      <c r="F48" s="63">
        <v>34.6</v>
      </c>
      <c r="G48" s="63">
        <v>32.6</v>
      </c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32.6</v>
      </c>
      <c r="AK48" s="21">
        <f t="shared" si="1"/>
        <v>36.1</v>
      </c>
      <c r="AL48" s="22">
        <v>38.1</v>
      </c>
      <c r="AM48" s="23">
        <f t="shared" si="2"/>
        <v>-2</v>
      </c>
      <c r="AN48" s="23">
        <v>31.98844385499557</v>
      </c>
      <c r="AO48" s="23" t="str">
        <f t="shared" si="7"/>
        <v/>
      </c>
      <c r="AP48" s="23" t="str">
        <f t="shared" si="4"/>
        <v/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F3" sqref="AF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3" t="s">
        <v>122</v>
      </c>
      <c r="I1" s="74"/>
      <c r="J1" s="75"/>
      <c r="K1" s="70" t="s">
        <v>123</v>
      </c>
      <c r="L1" s="71"/>
      <c r="M1" s="72"/>
      <c r="N1" s="73" t="s">
        <v>124</v>
      </c>
      <c r="O1" s="74"/>
      <c r="P1" s="75"/>
      <c r="Q1" s="70" t="s">
        <v>125</v>
      </c>
      <c r="R1" s="71"/>
      <c r="S1" s="72"/>
      <c r="T1" s="73" t="s">
        <v>126</v>
      </c>
      <c r="U1" s="74"/>
      <c r="V1" s="75"/>
      <c r="W1" s="70" t="s">
        <v>127</v>
      </c>
      <c r="X1" s="71"/>
      <c r="Y1" s="72"/>
      <c r="Z1" s="73" t="s">
        <v>128</v>
      </c>
      <c r="AA1" s="74"/>
      <c r="AB1" s="75"/>
      <c r="AC1" s="70" t="s">
        <v>129</v>
      </c>
      <c r="AD1" s="71"/>
      <c r="AE1" s="72"/>
      <c r="AF1" s="73" t="s">
        <v>130</v>
      </c>
      <c r="AG1" s="74"/>
      <c r="AH1" s="75"/>
      <c r="AI1" s="70" t="s">
        <v>131</v>
      </c>
      <c r="AJ1" s="71"/>
      <c r="AK1" s="72"/>
      <c r="AL1" s="73" t="s">
        <v>132</v>
      </c>
      <c r="AM1" s="74"/>
      <c r="AN1" s="75"/>
      <c r="AO1" s="70" t="s">
        <v>133</v>
      </c>
      <c r="AP1" s="71"/>
      <c r="AQ1" s="72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Q2" sqref="Q2:Q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8" t="s">
        <v>1</v>
      </c>
      <c r="B1" s="80" t="s">
        <v>92</v>
      </c>
      <c r="C1" s="69" t="s">
        <v>93</v>
      </c>
      <c r="D1" s="76" t="s">
        <v>94</v>
      </c>
      <c r="E1" s="76" t="s">
        <v>95</v>
      </c>
      <c r="F1" s="76" t="s">
        <v>96</v>
      </c>
      <c r="G1" s="76" t="s">
        <v>97</v>
      </c>
      <c r="H1" s="76" t="s">
        <v>98</v>
      </c>
      <c r="I1" s="76" t="s">
        <v>99</v>
      </c>
      <c r="J1" s="76" t="s">
        <v>100</v>
      </c>
      <c r="K1" s="76" t="s">
        <v>101</v>
      </c>
      <c r="L1" s="76" t="s">
        <v>102</v>
      </c>
      <c r="M1" s="76" t="s">
        <v>103</v>
      </c>
      <c r="N1" s="76" t="s">
        <v>104</v>
      </c>
      <c r="O1" s="76" t="s">
        <v>105</v>
      </c>
    </row>
    <row r="2" spans="1:15" ht="12.75" customHeight="1" x14ac:dyDescent="0.2">
      <c r="A2" s="79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2026-09-04T13:49:16Z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