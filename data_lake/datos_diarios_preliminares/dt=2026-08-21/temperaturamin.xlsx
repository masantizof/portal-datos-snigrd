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BF2777F-39CB-42D7-B05B-7149A0141850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Temperatura!$AE$1:$AE$209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W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W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W153" i="1" s="1"/>
  <c r="AT153" i="1"/>
  <c r="AR153" i="1"/>
  <c r="AQ153" i="1"/>
  <c r="AP153" i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/>
  <c r="AT143" i="1"/>
  <c r="AW143" i="1" s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W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W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W97" i="1" s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W52" i="1" s="1"/>
  <c r="AT52" i="1"/>
  <c r="AR52" i="1"/>
  <c r="AP52" i="1"/>
  <c r="AQ52" i="1" s="1"/>
  <c r="AS52" i="1" s="1"/>
  <c r="AV51" i="1" a="1"/>
  <c r="AV51" i="1" s="1"/>
  <c r="AU51" i="1" a="1"/>
  <c r="AU51" i="1" s="1"/>
  <c r="AT51" i="1"/>
  <c r="AR51" i="1"/>
  <c r="AP51" i="1"/>
  <c r="AQ51" i="1" s="1"/>
  <c r="AV50" i="1" a="1"/>
  <c r="AV50" i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W41" i="1" s="1"/>
  <c r="AR41" i="1"/>
  <c r="AP41" i="1"/>
  <c r="AQ41" i="1" s="1"/>
  <c r="AV40" i="1" a="1"/>
  <c r="AV40" i="1" s="1"/>
  <c r="AU40" i="1" a="1"/>
  <c r="AU40" i="1" s="1"/>
  <c r="AW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46" i="1" l="1"/>
  <c r="AS110" i="1"/>
  <c r="AS74" i="1"/>
  <c r="AS99" i="1"/>
  <c r="AW187" i="1"/>
  <c r="AS121" i="1"/>
  <c r="AW38" i="1"/>
  <c r="AS48" i="1"/>
  <c r="AS51" i="1"/>
  <c r="AS58" i="1"/>
  <c r="AS127" i="1"/>
  <c r="AW114" i="1"/>
  <c r="AW177" i="1"/>
  <c r="AS102" i="1"/>
  <c r="AW190" i="1"/>
  <c r="AW204" i="1"/>
  <c r="AS167" i="1"/>
  <c r="AS5" i="1"/>
  <c r="AS68" i="1"/>
  <c r="AW91" i="1"/>
  <c r="AW19" i="1"/>
  <c r="AW57" i="1"/>
  <c r="AS7" i="1"/>
  <c r="AS45" i="1"/>
  <c r="AS47" i="1"/>
  <c r="AS197" i="1"/>
  <c r="AS122" i="1"/>
  <c r="AS103" i="1"/>
  <c r="AW59" i="1"/>
  <c r="AW84" i="1"/>
  <c r="AS72" i="1"/>
  <c r="AW85" i="1"/>
  <c r="AW11" i="1"/>
  <c r="AS173" i="1"/>
  <c r="AS86" i="1"/>
  <c r="AW149" i="1"/>
  <c r="AW12" i="1"/>
  <c r="AW125" i="1"/>
  <c r="AW76" i="1"/>
  <c r="AW126" i="1"/>
  <c r="AW200" i="1"/>
  <c r="AW138" i="1"/>
  <c r="AW61" i="1"/>
  <c r="AW27" i="1"/>
  <c r="AS40" i="1"/>
  <c r="AW164" i="1"/>
  <c r="AW189" i="1"/>
  <c r="AS73" i="1"/>
  <c r="AW103" i="1"/>
  <c r="AS142" i="1"/>
  <c r="AW29" i="1"/>
  <c r="AS155" i="1"/>
  <c r="AS30" i="1"/>
  <c r="AW42" i="1"/>
  <c r="AW167" i="1"/>
  <c r="AW7" i="1"/>
  <c r="AW117" i="1"/>
  <c r="AW93" i="1"/>
  <c r="AS8" i="1"/>
  <c r="AS33" i="1"/>
  <c r="AS120" i="1"/>
  <c r="AS158" i="1"/>
  <c r="AS46" i="1"/>
  <c r="AW170" i="1"/>
  <c r="AW181" i="1"/>
  <c r="AW158" i="1"/>
  <c r="AS21" i="1"/>
  <c r="AW196" i="1"/>
  <c r="AW65" i="1"/>
  <c r="AW137" i="1"/>
  <c r="AS78" i="1"/>
  <c r="AS89" i="1"/>
  <c r="AS138" i="1"/>
  <c r="AS150" i="1"/>
  <c r="AS185" i="1"/>
  <c r="AS114" i="1"/>
  <c r="AS162" i="1"/>
  <c r="AS151" i="1"/>
  <c r="AS186" i="1"/>
  <c r="AS91" i="1"/>
  <c r="AS115" i="1"/>
  <c r="AS80" i="1"/>
  <c r="AW115" i="1"/>
  <c r="AS140" i="1"/>
  <c r="AS152" i="1"/>
  <c r="AW163" i="1"/>
  <c r="AS175" i="1"/>
  <c r="AS187" i="1"/>
  <c r="AW199" i="1"/>
  <c r="AS20" i="1"/>
  <c r="AW55" i="1"/>
  <c r="AS116" i="1"/>
  <c r="AW128" i="1"/>
  <c r="AW140" i="1"/>
  <c r="AS164" i="1"/>
  <c r="AS200" i="1"/>
  <c r="AS57" i="1"/>
  <c r="AS81" i="1"/>
  <c r="AS92" i="1"/>
  <c r="AS141" i="1"/>
  <c r="AS188" i="1"/>
  <c r="AS153" i="1"/>
  <c r="AW81" i="1"/>
  <c r="AS117" i="1"/>
  <c r="AS201" i="1"/>
  <c r="AS93" i="1"/>
  <c r="AS105" i="1"/>
  <c r="AS177" i="1"/>
  <c r="AS22" i="1"/>
  <c r="AS70" i="1"/>
  <c r="AW105" i="1"/>
  <c r="AS130" i="1"/>
  <c r="AS118" i="1"/>
  <c r="AS166" i="1"/>
  <c r="AS202" i="1"/>
  <c r="AW118" i="1"/>
  <c r="AW44" i="1"/>
  <c r="AS35" i="1"/>
  <c r="AW9" i="1"/>
  <c r="AW141" i="1"/>
  <c r="AW83" i="1"/>
  <c r="AW33" i="1"/>
  <c r="AW10" i="1"/>
  <c r="AW119" i="1"/>
  <c r="AW95" i="1"/>
  <c r="AS204" i="1"/>
  <c r="AS49" i="1"/>
  <c r="AW120" i="1"/>
  <c r="AW156" i="1"/>
  <c r="AW53" i="1"/>
  <c r="AS180" i="1"/>
  <c r="AS205" i="1"/>
  <c r="AW108" i="1"/>
  <c r="AW180" i="1"/>
  <c r="AW145" i="1"/>
  <c r="AS38" i="1"/>
  <c r="AS97" i="1"/>
  <c r="AS109" i="1"/>
  <c r="AW121" i="1"/>
  <c r="AS206" i="1"/>
  <c r="AW74" i="1"/>
  <c r="AS170" i="1"/>
  <c r="AS39" i="1"/>
  <c r="AS15" i="1"/>
  <c r="AW51" i="1"/>
  <c r="AS207" i="1"/>
  <c r="AS147" i="1"/>
  <c r="AS182" i="1"/>
  <c r="AW182" i="1"/>
  <c r="AW123" i="1"/>
  <c r="AW195" i="1"/>
  <c r="AS208" i="1"/>
  <c r="AS16" i="1"/>
  <c r="AW28" i="1"/>
  <c r="AW64" i="1"/>
  <c r="AW208" i="1"/>
  <c r="AS196" i="1"/>
  <c r="AW54" i="1"/>
  <c r="AP2" i="1"/>
  <c r="AS61" i="1"/>
  <c r="AS14" i="1"/>
  <c r="AS41" i="1"/>
  <c r="AS53" i="1"/>
  <c r="AW88" i="1"/>
  <c r="AS100" i="1"/>
  <c r="AS112" i="1"/>
  <c r="AW160" i="1"/>
  <c r="AW155" i="1"/>
  <c r="AW193" i="1"/>
  <c r="AW179" i="1"/>
  <c r="AS65" i="1"/>
  <c r="AS76" i="1"/>
  <c r="AS128" i="1"/>
  <c r="AS139" i="1"/>
  <c r="AW159" i="1"/>
  <c r="AS189" i="1"/>
  <c r="AW139" i="1"/>
  <c r="AS199" i="1"/>
  <c r="AS108" i="1"/>
  <c r="AS13" i="1"/>
  <c r="AW34" i="1"/>
  <c r="AW45" i="1"/>
  <c r="AS77" i="1"/>
  <c r="AS160" i="1"/>
  <c r="AS190" i="1"/>
  <c r="AW129" i="1"/>
  <c r="AS171" i="1"/>
  <c r="AW98" i="1"/>
  <c r="AW171" i="1"/>
  <c r="AS161" i="1"/>
  <c r="AW46" i="1"/>
  <c r="AS191" i="1"/>
  <c r="AW161" i="1"/>
  <c r="AW130" i="1"/>
  <c r="AW191" i="1"/>
  <c r="AS172" i="1"/>
  <c r="AW35" i="1"/>
  <c r="AW78" i="1"/>
  <c r="AW36" i="1"/>
  <c r="AW110" i="1"/>
  <c r="AW172" i="1"/>
  <c r="AS131" i="1"/>
  <c r="AS192" i="1"/>
  <c r="AW201" i="1"/>
  <c r="AW162" i="1"/>
  <c r="AW77" i="1"/>
  <c r="AW25" i="1"/>
  <c r="AW152" i="1"/>
  <c r="AW15" i="1"/>
  <c r="AW26" i="1"/>
  <c r="AW68" i="1"/>
  <c r="AW109" i="1"/>
  <c r="AW142" i="1"/>
  <c r="AW79" i="1"/>
  <c r="AS69" i="1"/>
  <c r="AW100" i="1"/>
  <c r="AS183" i="1"/>
  <c r="AW173" i="1"/>
  <c r="AW47" i="1"/>
  <c r="AS27" i="1"/>
  <c r="AW69" i="1"/>
  <c r="AS90" i="1"/>
  <c r="AS101" i="1"/>
  <c r="AS163" i="1"/>
  <c r="AW183" i="1"/>
  <c r="AS193" i="1"/>
  <c r="AW24" i="1"/>
  <c r="AW111" i="1"/>
  <c r="AW37" i="1"/>
  <c r="AW90" i="1"/>
  <c r="AW101" i="1"/>
  <c r="AW132" i="1"/>
  <c r="AS59" i="1"/>
  <c r="AS23" i="1"/>
  <c r="AW14" i="1"/>
  <c r="AW122" i="1"/>
  <c r="AS133" i="1"/>
  <c r="AS174" i="1"/>
  <c r="AW49" i="1"/>
  <c r="AW133" i="1"/>
  <c r="AW174" i="1"/>
  <c r="AW184" i="1"/>
  <c r="AW6" i="1"/>
  <c r="AS28" i="1"/>
  <c r="AW70" i="1"/>
  <c r="AW56" i="1"/>
  <c r="AW16" i="1"/>
  <c r="AS123" i="1"/>
  <c r="AS154" i="1"/>
  <c r="AS194" i="1"/>
  <c r="AW5" i="1"/>
  <c r="AW58" i="1"/>
  <c r="AW102" i="1"/>
  <c r="AS144" i="1"/>
  <c r="AS60" i="1"/>
  <c r="AS113" i="1"/>
  <c r="AW154" i="1"/>
  <c r="AS165" i="1"/>
  <c r="AW194" i="1"/>
  <c r="AS134" i="1"/>
  <c r="AS71" i="1"/>
  <c r="AW165" i="1"/>
  <c r="AW134" i="1"/>
  <c r="AW175" i="1"/>
  <c r="AW23" i="1"/>
  <c r="AS195" i="1"/>
  <c r="AW124" i="1"/>
  <c r="AS135" i="1"/>
  <c r="AS176" i="1"/>
  <c r="AW166" i="1"/>
  <c r="AW135" i="1"/>
  <c r="AW176" i="1"/>
  <c r="AW186" i="1"/>
  <c r="AW206" i="1"/>
  <c r="AW8" i="1"/>
  <c r="AW20" i="1"/>
  <c r="AS42" i="1"/>
  <c r="AW73" i="1"/>
  <c r="AS84" i="1"/>
  <c r="AW136" i="1"/>
  <c r="AS29" i="1"/>
  <c r="AW50" i="1"/>
  <c r="AS83" i="1"/>
  <c r="AW31" i="1"/>
  <c r="AW94" i="1"/>
  <c r="AS157" i="1"/>
  <c r="AW87" i="1"/>
  <c r="AS10" i="1"/>
  <c r="AS63" i="1"/>
  <c r="AW18" i="1"/>
  <c r="AW82" i="1"/>
  <c r="AW63" i="1"/>
  <c r="AS95" i="1"/>
  <c r="AW157" i="1"/>
  <c r="AW197" i="1"/>
  <c r="AW207" i="1"/>
  <c r="AS94" i="1"/>
  <c r="AS43" i="1"/>
  <c r="AS106" i="1"/>
  <c r="AS168" i="1"/>
  <c r="AS178" i="1"/>
  <c r="AW62" i="1"/>
  <c r="AS55" i="1"/>
  <c r="AW66" i="1"/>
  <c r="AW39" i="1"/>
  <c r="AW30" i="1"/>
  <c r="AW32" i="1"/>
  <c r="AS64" i="1"/>
  <c r="AS75" i="1"/>
  <c r="AW106" i="1"/>
  <c r="AW168" i="1"/>
  <c r="AW178" i="1"/>
  <c r="AW13" i="1"/>
  <c r="AW71" i="1"/>
  <c r="AW127" i="1"/>
  <c r="AS50" i="1"/>
  <c r="AW21" i="1"/>
  <c r="AW75" i="1"/>
  <c r="AS96" i="1"/>
  <c r="AS107" i="1"/>
  <c r="AW146" i="1"/>
  <c r="AW43" i="1"/>
  <c r="AS44" i="1"/>
  <c r="AS54" i="1"/>
  <c r="AW148" i="1"/>
  <c r="AS179" i="1"/>
  <c r="AW188" i="1"/>
  <c r="AW198" i="1"/>
  <c r="AS66" i="1"/>
  <c r="AS18" i="1"/>
  <c r="AW60" i="1"/>
  <c r="AW72" i="1"/>
  <c r="AW104" i="1"/>
  <c r="AW107" i="1"/>
  <c r="AS159" i="1"/>
  <c r="AS169" i="1"/>
  <c r="AW169" i="1"/>
  <c r="AW86" i="1"/>
  <c r="AW99" i="1"/>
  <c r="AW89" i="1"/>
  <c r="AW131" i="1"/>
  <c r="AW192" i="1"/>
  <c r="AW48" i="1"/>
  <c r="AW80" i="1"/>
  <c r="AW203" i="1"/>
  <c r="AW150" i="1"/>
  <c r="AW151" i="1"/>
  <c r="AW17" i="1"/>
  <c r="AW112" i="1"/>
  <c r="AW144" i="1"/>
  <c r="AW92" i="1"/>
  <c r="AW205" i="1"/>
  <c r="AW147" i="1"/>
  <c r="AW67" i="1"/>
  <c r="AW22" i="1"/>
  <c r="AW96" i="1"/>
</calcChain>
</file>

<file path=xl/sharedStrings.xml><?xml version="1.0" encoding="utf-8"?>
<sst xmlns="http://schemas.openxmlformats.org/spreadsheetml/2006/main" count="3543" uniqueCount="1271">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</sst>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I1" zoomScale="80" zoomScaleNormal="80" workbookViewId="0">
      <selection activeCell="AC1" sqref="AC1:AE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60" width="32.42578125" style="74" customWidth="1"/>
    <col min="161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AGOSTO</v>
      </c>
      <c r="E2" s="82">
        <v>8</v>
      </c>
      <c r="F2" s="82" t="s">
        <v>3</v>
      </c>
      <c r="G2" s="82">
        <v>2026</v>
      </c>
      <c r="H2" s="72" t="s">
        <v>4</v>
      </c>
      <c r="I2" s="72">
        <f>VLOOKUP(E2,Minimos!AS1:AU13,3,FALSE)</f>
        <v>31</v>
      </c>
      <c r="J2" s="72" t="s">
        <v>5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2.6</v>
      </c>
      <c r="X2" s="89">
        <f t="shared" si="0"/>
        <v>3.4</v>
      </c>
      <c r="Y2" s="89">
        <f t="shared" si="0"/>
        <v>4</v>
      </c>
      <c r="Z2" s="89">
        <f t="shared" si="0"/>
        <v>4.2</v>
      </c>
      <c r="AA2" s="89">
        <f t="shared" si="0"/>
        <v>4.5999999999999996</v>
      </c>
      <c r="AB2" s="89">
        <f t="shared" si="0"/>
        <v>4.2</v>
      </c>
      <c r="AC2" s="89">
        <f t="shared" si="0"/>
        <v>3</v>
      </c>
      <c r="AD2" s="89">
        <f t="shared" si="0"/>
        <v>3.6</v>
      </c>
      <c r="AE2" s="89">
        <f t="shared" si="0"/>
        <v>5.8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>
        <v>28.2</v>
      </c>
      <c r="X5" s="51">
        <v>27.2</v>
      </c>
      <c r="Y5" s="51">
        <v>27.8</v>
      </c>
      <c r="Z5" s="111">
        <v>28.2</v>
      </c>
      <c r="AA5" s="51">
        <v>25.4</v>
      </c>
      <c r="AB5" s="51">
        <v>25.4</v>
      </c>
      <c r="AC5" s="116">
        <v>25.7</v>
      </c>
      <c r="AD5" s="51">
        <v>26.7</v>
      </c>
      <c r="AE5" s="51">
        <v>27</v>
      </c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21</v>
      </c>
      <c r="AQ5" s="89">
        <f t="shared" ref="AQ5:AQ68" si="2">IF(AP5&gt;14,AVERAGE(K5:AO5),"")</f>
        <v>26.776190476190475</v>
      </c>
      <c r="AR5" s="89">
        <f>IFERROR(VLOOKUP(A5,Climatologia!A:U,9+$E$2,FALSE),"")</f>
        <v>26.259288578530331</v>
      </c>
      <c r="AS5" s="89">
        <f t="shared" ref="AS5:AS68" si="3">IF(OR(AQ5="",AR5=""),"",IFERROR(AQ5-AR5,""))</f>
        <v>0.51690189766014427</v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>
        <v>27.8</v>
      </c>
      <c r="X6" s="51">
        <v>27.7</v>
      </c>
      <c r="Y6" s="51">
        <v>26</v>
      </c>
      <c r="Z6" s="111">
        <v>27.7</v>
      </c>
      <c r="AA6" s="51">
        <v>26.4</v>
      </c>
      <c r="AB6" s="51">
        <v>26.7</v>
      </c>
      <c r="AC6" s="51">
        <v>26.4</v>
      </c>
      <c r="AD6" s="51">
        <v>26.7</v>
      </c>
      <c r="AE6" s="51">
        <v>27.8</v>
      </c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21</v>
      </c>
      <c r="AQ6" s="89">
        <f t="shared" si="2"/>
        <v>27.11904761904762</v>
      </c>
      <c r="AR6" s="89">
        <f>IFERROR(VLOOKUP(A6,Climatologia!A:U,9+$E$2,FALSE),"")</f>
        <v>26.228813072776621</v>
      </c>
      <c r="AS6" s="89">
        <f t="shared" si="3"/>
        <v>0.89023454627099952</v>
      </c>
      <c r="AT6" s="90">
        <f t="shared" si="4"/>
        <v>26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5.6000000000000014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>
        <v>26.6</v>
      </c>
      <c r="X7" s="51">
        <v>26.2</v>
      </c>
      <c r="Y7" s="51">
        <v>26.8</v>
      </c>
      <c r="Z7" s="111">
        <v>27</v>
      </c>
      <c r="AA7" s="51">
        <v>25.8</v>
      </c>
      <c r="AB7" s="51">
        <v>25.4</v>
      </c>
      <c r="AC7" s="51">
        <v>26</v>
      </c>
      <c r="AD7" s="51">
        <v>25.9</v>
      </c>
      <c r="AE7" s="51">
        <v>27.2</v>
      </c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21</v>
      </c>
      <c r="AQ7" s="89">
        <f t="shared" si="2"/>
        <v>26.538095238095242</v>
      </c>
      <c r="AR7" s="89">
        <f>IFERROR(VLOOKUP(A7,Climatologia!A:U,9+$E$2,FALSE),"")</f>
        <v>24.806006674082301</v>
      </c>
      <c r="AS7" s="89">
        <f t="shared" si="3"/>
        <v>1.7320885640129404</v>
      </c>
      <c r="AT7" s="90">
        <f t="shared" si="4"/>
        <v>25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4.3999999999999986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>
        <v>26.9</v>
      </c>
      <c r="X8" s="51">
        <v>27.4</v>
      </c>
      <c r="Y8" s="51">
        <v>27.2</v>
      </c>
      <c r="Z8" s="111">
        <v>27.4</v>
      </c>
      <c r="AA8" s="116">
        <v>22.8</v>
      </c>
      <c r="AB8" s="51">
        <v>26.5</v>
      </c>
      <c r="AC8" s="51">
        <v>25.5</v>
      </c>
      <c r="AD8" s="51">
        <v>25.4</v>
      </c>
      <c r="AE8" s="51">
        <v>27.4</v>
      </c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21</v>
      </c>
      <c r="AQ8" s="89">
        <f t="shared" si="2"/>
        <v>26.409523809523805</v>
      </c>
      <c r="AR8" s="89">
        <f>IFERROR(VLOOKUP(A8,Climatologia!A:U,9+$E$2,FALSE),"")</f>
        <v>25.86230323116423</v>
      </c>
      <c r="AS8" s="89">
        <f t="shared" si="3"/>
        <v>0.54722057835957472</v>
      </c>
      <c r="AT8" s="90">
        <f t="shared" si="4"/>
        <v>22.8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2.6000000000000014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>
        <v>25.5</v>
      </c>
      <c r="X9" s="51">
        <v>25.6</v>
      </c>
      <c r="Y9" s="51">
        <v>27.2</v>
      </c>
      <c r="Z9" s="111">
        <v>27.1</v>
      </c>
      <c r="AA9" s="51">
        <v>26.8</v>
      </c>
      <c r="AB9" s="51">
        <v>25.1</v>
      </c>
      <c r="AC9" s="51">
        <v>26.2</v>
      </c>
      <c r="AD9" s="51">
        <v>27.4</v>
      </c>
      <c r="AE9" s="51">
        <v>26.8</v>
      </c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21</v>
      </c>
      <c r="AQ9" s="89">
        <f t="shared" si="2"/>
        <v>26.166666666666668</v>
      </c>
      <c r="AR9" s="89">
        <f>IFERROR(VLOOKUP(A9,Climatologia!A:U,9+$E$2,FALSE),"")</f>
        <v>24.75295901904628</v>
      </c>
      <c r="AS9" s="89">
        <f t="shared" si="3"/>
        <v>1.413707647620388</v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>
        <v>28.4</v>
      </c>
      <c r="X10" s="51">
        <v>28.6</v>
      </c>
      <c r="Y10" s="51">
        <v>28</v>
      </c>
      <c r="Z10" s="111">
        <v>27.1</v>
      </c>
      <c r="AA10" s="51">
        <v>28.6</v>
      </c>
      <c r="AB10" s="51">
        <v>27.9</v>
      </c>
      <c r="AC10" s="51">
        <v>28.3</v>
      </c>
      <c r="AD10" s="51">
        <v>28.7</v>
      </c>
      <c r="AE10" s="51">
        <v>29</v>
      </c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21</v>
      </c>
      <c r="AQ10" s="89">
        <f t="shared" si="2"/>
        <v>28.052380952380954</v>
      </c>
      <c r="AR10" s="89">
        <f>IFERROR(VLOOKUP(A10,Climatologia!A:U,9+$E$2,FALSE),"")</f>
        <v>25.518421261719372</v>
      </c>
      <c r="AS10" s="89">
        <f t="shared" si="3"/>
        <v>2.5339596906615824</v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>
        <v>27.2</v>
      </c>
      <c r="X11" s="51">
        <v>27.8</v>
      </c>
      <c r="Y11" s="51">
        <v>29</v>
      </c>
      <c r="Z11" s="111">
        <v>26.8</v>
      </c>
      <c r="AA11" s="51">
        <v>26.8</v>
      </c>
      <c r="AB11" s="51">
        <v>24.2</v>
      </c>
      <c r="AC11" s="51">
        <v>24</v>
      </c>
      <c r="AD11" s="51">
        <v>26.9</v>
      </c>
      <c r="AE11" s="51">
        <v>27.7</v>
      </c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21</v>
      </c>
      <c r="AQ11" s="89">
        <f t="shared" si="2"/>
        <v>26.742857142857144</v>
      </c>
      <c r="AR11" s="89">
        <f>IFERROR(VLOOKUP(A11,Climatologia!A:U,9+$E$2,FALSE),"")</f>
        <v>24.333982334869429</v>
      </c>
      <c r="AS11" s="89">
        <f t="shared" si="3"/>
        <v>2.4088748079877149</v>
      </c>
      <c r="AT11" s="90">
        <f t="shared" si="4"/>
        <v>24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>
        <v>27.2</v>
      </c>
      <c r="X12" s="51">
        <v>24.9</v>
      </c>
      <c r="Y12" s="51">
        <v>27</v>
      </c>
      <c r="Z12" s="111">
        <v>27.4</v>
      </c>
      <c r="AA12" s="116">
        <v>23.1</v>
      </c>
      <c r="AB12" s="51">
        <v>23.6</v>
      </c>
      <c r="AC12" s="51">
        <v>25.6</v>
      </c>
      <c r="AD12" s="51">
        <v>25.1</v>
      </c>
      <c r="AE12" s="51">
        <v>27.3</v>
      </c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21</v>
      </c>
      <c r="AQ12" s="89">
        <f t="shared" si="2"/>
        <v>25.828571428571429</v>
      </c>
      <c r="AR12" s="89">
        <f>IFERROR(VLOOKUP(A12,Climatologia!A:U,9+$E$2,FALSE),"")</f>
        <v>23.252867103531361</v>
      </c>
      <c r="AS12" s="89">
        <f t="shared" si="3"/>
        <v>2.5757043250400677</v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>
        <v>26.4</v>
      </c>
      <c r="X13" s="51">
        <v>24.1</v>
      </c>
      <c r="Y13" s="51">
        <v>24.8</v>
      </c>
      <c r="Z13" s="111">
        <v>24</v>
      </c>
      <c r="AA13" s="51">
        <v>23.4</v>
      </c>
      <c r="AB13" s="51">
        <v>24</v>
      </c>
      <c r="AC13" s="51">
        <v>24.6</v>
      </c>
      <c r="AD13" s="51">
        <v>24.2</v>
      </c>
      <c r="AE13" s="51">
        <v>26</v>
      </c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21</v>
      </c>
      <c r="AQ13" s="89">
        <f t="shared" si="2"/>
        <v>25.06190476190476</v>
      </c>
      <c r="AR13" s="89">
        <f>IFERROR(VLOOKUP(A13,Climatologia!A:U,9+$E$2,FALSE),"")</f>
        <v>23.256381449473771</v>
      </c>
      <c r="AS13" s="89">
        <f t="shared" si="3"/>
        <v>1.8055233124309886</v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>
        <v>19.7</v>
      </c>
      <c r="X14" s="51">
        <v>20.8</v>
      </c>
      <c r="Y14" s="51">
        <v>20.399999999999999</v>
      </c>
      <c r="Z14" s="111">
        <v>20.3</v>
      </c>
      <c r="AA14" s="51">
        <v>19.3</v>
      </c>
      <c r="AB14" s="51">
        <v>19.399999999999999</v>
      </c>
      <c r="AC14" s="51">
        <v>19.5</v>
      </c>
      <c r="AD14" s="51">
        <v>20.2</v>
      </c>
      <c r="AE14" s="51">
        <v>21</v>
      </c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21</v>
      </c>
      <c r="AQ14" s="89">
        <f t="shared" si="2"/>
        <v>20.185714285714287</v>
      </c>
      <c r="AR14" s="89">
        <f>IFERROR(VLOOKUP(A14,Climatologia!A:U,9+$E$2,FALSE),"")</f>
        <v>18.604610712863401</v>
      </c>
      <c r="AS14" s="89">
        <f t="shared" si="3"/>
        <v>1.5811035728508855</v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>
        <v>28.2</v>
      </c>
      <c r="X15" s="51">
        <v>25</v>
      </c>
      <c r="Y15" s="51">
        <v>23.5</v>
      </c>
      <c r="Z15" s="111">
        <v>24.5</v>
      </c>
      <c r="AA15" s="51">
        <v>23.9</v>
      </c>
      <c r="AB15" s="51">
        <v>24.4</v>
      </c>
      <c r="AC15" s="51">
        <v>25.4</v>
      </c>
      <c r="AD15" s="51">
        <v>25.6</v>
      </c>
      <c r="AE15" s="51">
        <v>24.7</v>
      </c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21</v>
      </c>
      <c r="AQ15" s="89">
        <f t="shared" si="2"/>
        <v>25.56190476190476</v>
      </c>
      <c r="AR15" s="89">
        <f>IFERROR(VLOOKUP(A15,Climatologia!A:U,9+$E$2,FALSE),"")</f>
        <v>23.891303077493511</v>
      </c>
      <c r="AS15" s="89">
        <f t="shared" si="3"/>
        <v>1.670601684411249</v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>
        <v>25.7</v>
      </c>
      <c r="X16" s="51">
        <v>26.7</v>
      </c>
      <c r="Y16" s="51">
        <v>25.9</v>
      </c>
      <c r="Z16" s="111">
        <v>25.4</v>
      </c>
      <c r="AA16" s="51">
        <v>23.4</v>
      </c>
      <c r="AB16" s="51">
        <v>23.8</v>
      </c>
      <c r="AC16" s="51">
        <v>24.5</v>
      </c>
      <c r="AD16" s="51">
        <v>26.4</v>
      </c>
      <c r="AE16" s="51">
        <v>26.5</v>
      </c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21</v>
      </c>
      <c r="AQ16" s="89">
        <f t="shared" si="2"/>
        <v>25.038095238095234</v>
      </c>
      <c r="AR16" s="89">
        <f>IFERROR(VLOOKUP(A16,Climatologia!A:U,9+$E$2,FALSE),"")</f>
        <v>23.404404619673439</v>
      </c>
      <c r="AS16" s="89">
        <f t="shared" si="3"/>
        <v>1.6336906184217952</v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>
        <v>19.5</v>
      </c>
      <c r="X17" s="51">
        <v>19.7</v>
      </c>
      <c r="Y17" s="51">
        <v>21.6</v>
      </c>
      <c r="Z17" s="111">
        <v>19.2</v>
      </c>
      <c r="AA17" s="51">
        <v>18.100000000000001</v>
      </c>
      <c r="AB17" s="51">
        <v>18.5</v>
      </c>
      <c r="AC17" s="51">
        <v>17.3</v>
      </c>
      <c r="AD17" s="51">
        <v>19</v>
      </c>
      <c r="AE17" s="51">
        <v>20.100000000000001</v>
      </c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21</v>
      </c>
      <c r="AQ17" s="89">
        <f t="shared" si="2"/>
        <v>19.371428571428574</v>
      </c>
      <c r="AR17" s="89">
        <f>IFERROR(VLOOKUP(A17,Climatologia!A:U,9+$E$2,FALSE),"")</f>
        <v>17.58853046594982</v>
      </c>
      <c r="AS17" s="89">
        <f t="shared" si="3"/>
        <v>1.782898105478754</v>
      </c>
      <c r="AT17" s="90">
        <f t="shared" si="4"/>
        <v>17.3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5.9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>
        <v>12.8</v>
      </c>
      <c r="X18" s="51">
        <v>13.9</v>
      </c>
      <c r="Y18" s="51">
        <v>13.8</v>
      </c>
      <c r="Z18" s="111">
        <v>14.8</v>
      </c>
      <c r="AA18" s="51">
        <v>13.8</v>
      </c>
      <c r="AB18" s="51">
        <v>13.9</v>
      </c>
      <c r="AC18" s="51">
        <v>10.3</v>
      </c>
      <c r="AD18" s="51">
        <v>11.7</v>
      </c>
      <c r="AE18" s="51">
        <v>11.7</v>
      </c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21</v>
      </c>
      <c r="AQ18" s="89">
        <f t="shared" si="2"/>
        <v>12.60476190476191</v>
      </c>
      <c r="AR18" s="89">
        <f>IFERROR(VLOOKUP(A18,Climatologia!A:U,9+$E$2,FALSE),"")</f>
        <v>12.112884686688909</v>
      </c>
      <c r="AS18" s="89">
        <f t="shared" si="3"/>
        <v>0.49187721807300022</v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>
        <v>18.100000000000001</v>
      </c>
      <c r="X19" s="51">
        <v>18.399999999999999</v>
      </c>
      <c r="Y19" s="51">
        <v>19.600000000000001</v>
      </c>
      <c r="Z19" s="111">
        <v>19.899999999999999</v>
      </c>
      <c r="AA19" s="51">
        <v>18.399999999999999</v>
      </c>
      <c r="AB19" s="51">
        <v>17.399999999999999</v>
      </c>
      <c r="AC19" s="51">
        <v>17.399999999999999</v>
      </c>
      <c r="AD19" s="51">
        <v>18.600000000000001</v>
      </c>
      <c r="AE19" s="51">
        <v>19.2</v>
      </c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21</v>
      </c>
      <c r="AQ19" s="89">
        <f t="shared" si="2"/>
        <v>18.619047619047613</v>
      </c>
      <c r="AR19" s="89">
        <f>IFERROR(VLOOKUP(A19,Climatologia!A:U,9+$E$2,FALSE),"")</f>
        <v>17.60198511166254</v>
      </c>
      <c r="AS19" s="89">
        <f t="shared" si="3"/>
        <v>1.0170625073850736</v>
      </c>
      <c r="AT19" s="90">
        <f t="shared" si="4"/>
        <v>17.399999999999999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4.1999999999999993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>
        <v>16.3</v>
      </c>
      <c r="X20" s="51">
        <v>17.100000000000001</v>
      </c>
      <c r="Y20" s="51">
        <v>17.3</v>
      </c>
      <c r="Z20" s="111">
        <v>18.399999999999999</v>
      </c>
      <c r="AA20" s="51">
        <v>19.2</v>
      </c>
      <c r="AB20" s="51">
        <v>18.3</v>
      </c>
      <c r="AC20" s="51">
        <v>16.8</v>
      </c>
      <c r="AD20" s="51">
        <v>17</v>
      </c>
      <c r="AE20" s="51">
        <v>18.3</v>
      </c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21</v>
      </c>
      <c r="AQ20" s="89">
        <f t="shared" si="2"/>
        <v>17.561904761904763</v>
      </c>
      <c r="AR20" s="89">
        <f>IFERROR(VLOOKUP(A20,Climatologia!A:U,9+$E$2,FALSE),"")</f>
        <v>16.759506289039098</v>
      </c>
      <c r="AS20" s="89">
        <f t="shared" si="3"/>
        <v>0.80239847286566501</v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>
        <v>20.399999999999999</v>
      </c>
      <c r="X21" s="51">
        <v>22.4</v>
      </c>
      <c r="Y21" s="51">
        <v>21</v>
      </c>
      <c r="Z21" s="111">
        <v>22.8</v>
      </c>
      <c r="AA21" s="51">
        <v>20</v>
      </c>
      <c r="AB21" s="51">
        <v>19.600000000000001</v>
      </c>
      <c r="AC21" s="51">
        <v>21</v>
      </c>
      <c r="AD21" s="51">
        <v>21.7</v>
      </c>
      <c r="AE21" s="51">
        <v>21.4</v>
      </c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21</v>
      </c>
      <c r="AQ21" s="89">
        <f t="shared" si="2"/>
        <v>21.404761904761902</v>
      </c>
      <c r="AR21" s="89">
        <f>IFERROR(VLOOKUP(A21,Climatologia!A:U,9+$E$2,FALSE),"")</f>
        <v>19.456815855631209</v>
      </c>
      <c r="AS21" s="89">
        <f t="shared" si="3"/>
        <v>1.9479460491306924</v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3.8000000000000007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>
        <v>9.3000000000000007</v>
      </c>
      <c r="X22" s="51">
        <v>9</v>
      </c>
      <c r="Y22" s="51">
        <v>10.1</v>
      </c>
      <c r="Z22" s="111">
        <v>10.4</v>
      </c>
      <c r="AA22" s="51">
        <v>10.8</v>
      </c>
      <c r="AB22" s="51">
        <v>10.3</v>
      </c>
      <c r="AC22" s="51">
        <v>11.5</v>
      </c>
      <c r="AD22" s="51">
        <v>9.1999999999999993</v>
      </c>
      <c r="AE22" s="51">
        <v>11.1</v>
      </c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21</v>
      </c>
      <c r="AQ22" s="89">
        <f t="shared" si="2"/>
        <v>9.6428571428571423</v>
      </c>
      <c r="AR22" s="89">
        <f>IFERROR(VLOOKUP(A22,Climatologia!A:U,9+$E$2,FALSE),"")</f>
        <v>8.3796136733122264</v>
      </c>
      <c r="AS22" s="89">
        <f t="shared" si="3"/>
        <v>1.263243469544916</v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>
        <v>18.2</v>
      </c>
      <c r="X23" s="51">
        <v>19</v>
      </c>
      <c r="Y23" s="51">
        <v>17.899999999999999</v>
      </c>
      <c r="Z23" s="111">
        <v>21.7</v>
      </c>
      <c r="AA23" s="51">
        <v>20.399999999999999</v>
      </c>
      <c r="AB23" s="51">
        <v>19.600000000000001</v>
      </c>
      <c r="AC23" s="51">
        <v>18.2</v>
      </c>
      <c r="AD23" s="51">
        <v>18.3</v>
      </c>
      <c r="AE23" s="51">
        <v>17.600000000000001</v>
      </c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21</v>
      </c>
      <c r="AQ23" s="89">
        <f t="shared" si="2"/>
        <v>18.885714285714283</v>
      </c>
      <c r="AR23" s="89">
        <f>IFERROR(VLOOKUP(A23,Climatologia!A:U,9+$E$2,FALSE),"")</f>
        <v>18.46166778427882</v>
      </c>
      <c r="AS23" s="89">
        <f t="shared" si="3"/>
        <v>0.42404650143546263</v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>
        <v>25.4</v>
      </c>
      <c r="X24" s="51">
        <v>26</v>
      </c>
      <c r="Y24" s="51">
        <v>26.4</v>
      </c>
      <c r="Z24" s="111">
        <v>26.4</v>
      </c>
      <c r="AA24" s="51">
        <v>22.7</v>
      </c>
      <c r="AB24" s="51">
        <v>22.7</v>
      </c>
      <c r="AC24" s="51">
        <v>24.9</v>
      </c>
      <c r="AD24" s="51">
        <v>25.2</v>
      </c>
      <c r="AE24" s="51">
        <v>24.8</v>
      </c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21</v>
      </c>
      <c r="AQ24" s="89">
        <f t="shared" si="2"/>
        <v>24.985714285714277</v>
      </c>
      <c r="AR24" s="89">
        <f>IFERROR(VLOOKUP(A24,Climatologia!A:U,9+$E$2,FALSE),"")</f>
        <v>23.298802867383511</v>
      </c>
      <c r="AS24" s="89">
        <f t="shared" si="3"/>
        <v>1.6869114183307659</v>
      </c>
      <c r="AT24" s="90">
        <f t="shared" si="4"/>
        <v>22.7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4.1999999999999993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>
        <v>13.4</v>
      </c>
      <c r="X25" s="51">
        <v>15.2</v>
      </c>
      <c r="Y25" s="51">
        <v>14.4</v>
      </c>
      <c r="Z25" s="111">
        <v>14.6</v>
      </c>
      <c r="AA25" s="51">
        <v>14.2</v>
      </c>
      <c r="AB25" s="51">
        <v>14</v>
      </c>
      <c r="AC25" s="51">
        <v>15.7</v>
      </c>
      <c r="AD25" s="51">
        <v>16.600000000000001</v>
      </c>
      <c r="AE25" s="51">
        <v>16.8</v>
      </c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21</v>
      </c>
      <c r="AQ25" s="89">
        <f t="shared" si="2"/>
        <v>15.738095238095237</v>
      </c>
      <c r="AR25" s="89">
        <f>IFERROR(VLOOKUP(A25,Climatologia!A:U,9+$E$2,FALSE),"")</f>
        <v>14.619937099422639</v>
      </c>
      <c r="AS25" s="89">
        <f t="shared" si="3"/>
        <v>1.1181581386725981</v>
      </c>
      <c r="AT25" s="90">
        <f t="shared" si="4"/>
        <v>13.4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2.2000000000000011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>
        <v>3</v>
      </c>
      <c r="X26" s="51">
        <v>4</v>
      </c>
      <c r="Y26" s="51">
        <v>7</v>
      </c>
      <c r="Z26" s="111">
        <v>4.8</v>
      </c>
      <c r="AA26" s="51">
        <v>6.4</v>
      </c>
      <c r="AB26" s="51">
        <v>7</v>
      </c>
      <c r="AC26" s="51">
        <v>8</v>
      </c>
      <c r="AD26" s="51">
        <v>8.8000000000000007</v>
      </c>
      <c r="AE26" s="51">
        <v>5.8</v>
      </c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21</v>
      </c>
      <c r="AQ26" s="89">
        <f t="shared" si="2"/>
        <v>7.0095238095238113</v>
      </c>
      <c r="AR26" s="89">
        <f>IFERROR(VLOOKUP(A26,Climatologia!A:U,9+$E$2,FALSE),"")</f>
        <v>4.8923173896922503</v>
      </c>
      <c r="AS26" s="89">
        <f t="shared" si="3"/>
        <v>2.117206419831561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>
        <v>25.4</v>
      </c>
      <c r="X27" s="51">
        <v>23.9</v>
      </c>
      <c r="Y27" s="51">
        <v>24.6</v>
      </c>
      <c r="Z27" s="111">
        <v>24</v>
      </c>
      <c r="AA27" s="51">
        <v>24</v>
      </c>
      <c r="AB27" s="51">
        <v>22.8</v>
      </c>
      <c r="AC27" s="51">
        <v>23.2</v>
      </c>
      <c r="AD27" s="51">
        <v>26</v>
      </c>
      <c r="AE27" s="51">
        <v>25.6</v>
      </c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21</v>
      </c>
      <c r="AQ27" s="89">
        <f t="shared" si="2"/>
        <v>24.357142857142858</v>
      </c>
      <c r="AR27" s="89">
        <f>IFERROR(VLOOKUP(A27,Climatologia!A:U,9+$E$2,FALSE),"")</f>
        <v>23.179136204978711</v>
      </c>
      <c r="AS27" s="89">
        <f t="shared" si="3"/>
        <v>1.1780066521641466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2.4000000000000021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>
        <v>23.6</v>
      </c>
      <c r="X28" s="51">
        <v>24.9</v>
      </c>
      <c r="Y28" s="51">
        <v>24.5</v>
      </c>
      <c r="Z28" s="111">
        <v>24.3</v>
      </c>
      <c r="AA28" s="51">
        <v>22.9</v>
      </c>
      <c r="AB28" s="51">
        <v>22.8</v>
      </c>
      <c r="AC28" s="51">
        <v>24.1</v>
      </c>
      <c r="AD28" s="51">
        <v>24</v>
      </c>
      <c r="AE28" s="51">
        <v>23.4</v>
      </c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21</v>
      </c>
      <c r="AQ28" s="89">
        <f t="shared" si="2"/>
        <v>23.652380952380948</v>
      </c>
      <c r="AR28" s="89">
        <f>IFERROR(VLOOKUP(A28,Climatologia!A:U,9+$E$2,FALSE),"")</f>
        <v>22.746845081640782</v>
      </c>
      <c r="AS28" s="89">
        <f t="shared" si="3"/>
        <v>0.90553587074016662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>
        <v>26</v>
      </c>
      <c r="X29" s="51">
        <v>25</v>
      </c>
      <c r="Y29" s="51">
        <v>25.6</v>
      </c>
      <c r="Z29" s="111">
        <v>23.8</v>
      </c>
      <c r="AA29" s="51">
        <v>24</v>
      </c>
      <c r="AB29" s="51">
        <v>24.2</v>
      </c>
      <c r="AC29" s="51">
        <v>25.4</v>
      </c>
      <c r="AD29" s="51">
        <v>25.6</v>
      </c>
      <c r="AE29" s="51">
        <v>25.8</v>
      </c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21</v>
      </c>
      <c r="AQ29" s="89">
        <f t="shared" si="2"/>
        <v>25.076190476190476</v>
      </c>
      <c r="AR29" s="89">
        <f>IFERROR(VLOOKUP(A29,Climatologia!A:U,9+$E$2,FALSE),"")</f>
        <v>23.54566184649611</v>
      </c>
      <c r="AS29" s="89">
        <f t="shared" si="3"/>
        <v>1.5305286296943663</v>
      </c>
      <c r="AT29" s="90">
        <f t="shared" si="4"/>
        <v>23.8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3.8000000000000007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>
        <v>21</v>
      </c>
      <c r="X30" s="51">
        <v>21.3</v>
      </c>
      <c r="Y30" s="51">
        <v>22.4</v>
      </c>
      <c r="Z30" s="111">
        <v>22.5</v>
      </c>
      <c r="AA30" s="51">
        <v>21</v>
      </c>
      <c r="AB30" s="51">
        <v>21.3</v>
      </c>
      <c r="AC30" s="51">
        <v>22</v>
      </c>
      <c r="AD30" s="51">
        <v>22.1</v>
      </c>
      <c r="AE30" s="51">
        <v>22.2</v>
      </c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21</v>
      </c>
      <c r="AQ30" s="89">
        <f t="shared" si="2"/>
        <v>21.638095238095239</v>
      </c>
      <c r="AR30" s="89">
        <f>IFERROR(VLOOKUP(A30,Climatologia!A:U,9+$E$2,FALSE),"")</f>
        <v>20.53698553948831</v>
      </c>
      <c r="AS30" s="89">
        <f t="shared" si="3"/>
        <v>1.1011096986069298</v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>
        <v>23.2</v>
      </c>
      <c r="X31" s="108">
        <v>23.3</v>
      </c>
      <c r="Y31" s="108">
        <v>24.2</v>
      </c>
      <c r="Z31" s="115">
        <v>23.2</v>
      </c>
      <c r="AA31" s="108">
        <v>24.5</v>
      </c>
      <c r="AB31" s="108">
        <v>22.8</v>
      </c>
      <c r="AC31" s="108">
        <v>22.3</v>
      </c>
      <c r="AD31" s="108">
        <v>22.9</v>
      </c>
      <c r="AE31" s="108">
        <v>23.9</v>
      </c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21</v>
      </c>
      <c r="AQ31" s="89">
        <f t="shared" si="2"/>
        <v>23.18095238095238</v>
      </c>
      <c r="AR31" s="89">
        <f>IFERROR(VLOOKUP(A31,Climatologia!A:U,9+$E$2,FALSE),"")</f>
        <v>21.82882961124896</v>
      </c>
      <c r="AS31" s="89">
        <f t="shared" si="3"/>
        <v>1.3521227697034206</v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>
        <v>12</v>
      </c>
      <c r="X32" s="51">
        <v>13.2</v>
      </c>
      <c r="Y32" s="51">
        <v>16</v>
      </c>
      <c r="Z32" s="111">
        <v>12.2</v>
      </c>
      <c r="AA32" s="51">
        <v>15.8</v>
      </c>
      <c r="AB32" s="51">
        <v>15</v>
      </c>
      <c r="AC32" s="51">
        <v>12.8</v>
      </c>
      <c r="AD32" s="51">
        <v>13</v>
      </c>
      <c r="AE32" s="51">
        <v>13</v>
      </c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21</v>
      </c>
      <c r="AQ32" s="89">
        <f t="shared" si="2"/>
        <v>13.504761904761903</v>
      </c>
      <c r="AR32" s="89">
        <f>IFERROR(VLOOKUP(A32,Climatologia!A:U,9+$E$2,FALSE),"")</f>
        <v>13.384747431302269</v>
      </c>
      <c r="AS32" s="89">
        <f t="shared" si="3"/>
        <v>0.12001447345963356</v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15.2</v>
      </c>
      <c r="L34" s="51">
        <v>14.8</v>
      </c>
      <c r="M34" s="51">
        <v>15</v>
      </c>
      <c r="N34" s="51">
        <v>15.8</v>
      </c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>
        <v>15</v>
      </c>
      <c r="X34" s="51">
        <v>16.600000000000001</v>
      </c>
      <c r="Y34" s="51">
        <v>16.8</v>
      </c>
      <c r="Z34" s="111">
        <v>17</v>
      </c>
      <c r="AA34" s="51">
        <v>16</v>
      </c>
      <c r="AB34" s="51">
        <v>16.2</v>
      </c>
      <c r="AC34" s="51">
        <v>14.8</v>
      </c>
      <c r="AD34" s="51">
        <v>14.6</v>
      </c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20</v>
      </c>
      <c r="AQ34" s="89">
        <f t="shared" si="2"/>
        <v>15.720000000000002</v>
      </c>
      <c r="AR34" s="89">
        <f>IFERROR(VLOOKUP(A34,Climatologia!A:U,9+$E$2,FALSE),"")</f>
        <v>14.78540372493654</v>
      </c>
      <c r="AS34" s="89">
        <f t="shared" si="3"/>
        <v>0.93459627506346266</v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>
        <v>15.4</v>
      </c>
      <c r="X35" s="51">
        <v>15.8</v>
      </c>
      <c r="Y35" s="51">
        <v>15.4</v>
      </c>
      <c r="Z35" s="111">
        <v>16</v>
      </c>
      <c r="AA35" s="51">
        <v>15</v>
      </c>
      <c r="AB35" s="51">
        <v>15.6</v>
      </c>
      <c r="AC35" s="51">
        <v>15</v>
      </c>
      <c r="AD35" s="51">
        <v>15.4</v>
      </c>
      <c r="AE35" s="51">
        <v>15</v>
      </c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21</v>
      </c>
      <c r="AQ35" s="89">
        <f t="shared" si="2"/>
        <v>14.942857142857143</v>
      </c>
      <c r="AR35" s="89">
        <f>IFERROR(VLOOKUP(A35,Climatologia!A:U,9+$E$2,FALSE),"")</f>
        <v>13.2928973207542</v>
      </c>
      <c r="AS35" s="89">
        <f t="shared" si="3"/>
        <v>1.649959822102943</v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>
        <v>17.8</v>
      </c>
      <c r="X36" s="51">
        <v>19</v>
      </c>
      <c r="Y36" s="51">
        <v>20.399999999999999</v>
      </c>
      <c r="Z36" s="111">
        <v>22</v>
      </c>
      <c r="AA36" s="51">
        <v>21</v>
      </c>
      <c r="AB36" s="51">
        <v>20</v>
      </c>
      <c r="AC36" s="51">
        <v>18.8</v>
      </c>
      <c r="AD36" s="51">
        <v>18.399999999999999</v>
      </c>
      <c r="AE36" s="51">
        <v>18.8</v>
      </c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21</v>
      </c>
      <c r="AQ36" s="89">
        <f t="shared" si="2"/>
        <v>18.590476190476192</v>
      </c>
      <c r="AR36" s="89">
        <f>IFERROR(VLOOKUP(A36,Climatologia!A:U,9+$E$2,FALSE),"")</f>
        <v>19.435919418842811</v>
      </c>
      <c r="AS36" s="89">
        <f t="shared" si="3"/>
        <v>-0.84544322836661934</v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>
        <v>7.6</v>
      </c>
      <c r="X37" s="51">
        <v>8.6</v>
      </c>
      <c r="Y37" s="51">
        <v>7.8</v>
      </c>
      <c r="Z37" s="111">
        <v>10.4</v>
      </c>
      <c r="AA37" s="51">
        <v>9.8000000000000007</v>
      </c>
      <c r="AB37" s="51">
        <v>9</v>
      </c>
      <c r="AC37" s="51">
        <v>11.6</v>
      </c>
      <c r="AD37" s="51">
        <v>8.8000000000000007</v>
      </c>
      <c r="AE37" s="51">
        <v>8</v>
      </c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21</v>
      </c>
      <c r="AQ37" s="89">
        <f t="shared" si="2"/>
        <v>9.238095238095239</v>
      </c>
      <c r="AR37" s="89">
        <f>IFERROR(VLOOKUP(A37,Climatologia!A:U,9+$E$2,FALSE),"")</f>
        <v>9.4603029050299927</v>
      </c>
      <c r="AS37" s="89">
        <f t="shared" si="3"/>
        <v>-0.22220766693475369</v>
      </c>
      <c r="AT37" s="90">
        <f t="shared" si="4"/>
        <v>7.6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>
        <v>19</v>
      </c>
      <c r="W38" s="51">
        <v>18.399999999999999</v>
      </c>
      <c r="X38" s="51">
        <v>18.600000000000001</v>
      </c>
      <c r="Y38" s="51">
        <v>18.8</v>
      </c>
      <c r="Z38" s="111">
        <v>17.8</v>
      </c>
      <c r="AA38" s="51">
        <v>17</v>
      </c>
      <c r="AB38" s="51">
        <v>16.399999999999999</v>
      </c>
      <c r="AC38" s="51">
        <v>16.600000000000001</v>
      </c>
      <c r="AD38" s="51">
        <v>17.2</v>
      </c>
      <c r="AE38" s="51">
        <v>18</v>
      </c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21</v>
      </c>
      <c r="AQ38" s="89">
        <f t="shared" si="2"/>
        <v>17.61904761904762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>
        <v>20.8</v>
      </c>
      <c r="X39" s="51">
        <v>21.2</v>
      </c>
      <c r="Y39" s="51">
        <v>21.6</v>
      </c>
      <c r="Z39" s="111">
        <v>19</v>
      </c>
      <c r="AA39" s="51">
        <v>18.600000000000001</v>
      </c>
      <c r="AB39" s="51">
        <v>19</v>
      </c>
      <c r="AC39" s="51">
        <v>17.8</v>
      </c>
      <c r="AD39" s="51">
        <v>19.600000000000001</v>
      </c>
      <c r="AE39" s="51">
        <v>19.8</v>
      </c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21</v>
      </c>
      <c r="AQ39" s="89">
        <f t="shared" si="2"/>
        <v>19.647619047619052</v>
      </c>
      <c r="AR39" s="89">
        <f>IFERROR(VLOOKUP(A39,Climatologia!A:U,9+$E$2,FALSE),"")</f>
        <v>17.324090157154679</v>
      </c>
      <c r="AS39" s="89">
        <f t="shared" si="3"/>
        <v>2.3235288904643738</v>
      </c>
      <c r="AT39" s="90">
        <f t="shared" si="4"/>
        <v>17.8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5.6000000000000014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>
        <v>14.6</v>
      </c>
      <c r="X40" s="51">
        <v>15.8</v>
      </c>
      <c r="Y40" s="51">
        <v>15.8</v>
      </c>
      <c r="Z40" s="111">
        <v>16.399999999999999</v>
      </c>
      <c r="AA40" s="51">
        <v>16.2</v>
      </c>
      <c r="AB40" s="51">
        <v>16.2</v>
      </c>
      <c r="AC40" s="51">
        <v>13</v>
      </c>
      <c r="AD40" s="51">
        <v>13.2</v>
      </c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20</v>
      </c>
      <c r="AQ40" s="89">
        <f t="shared" si="2"/>
        <v>14.61</v>
      </c>
      <c r="AR40" s="89">
        <f>IFERROR(VLOOKUP(A40,Climatologia!A:U,9+$E$2,FALSE),"")</f>
        <v>13.024959037378389</v>
      </c>
      <c r="AS40" s="89">
        <f t="shared" si="3"/>
        <v>1.5850409626216102</v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>
        <v>27</v>
      </c>
      <c r="X41" s="51">
        <v>24</v>
      </c>
      <c r="Y41" s="51">
        <v>26.8</v>
      </c>
      <c r="Z41" s="111">
        <v>26</v>
      </c>
      <c r="AA41" s="51">
        <v>22.8</v>
      </c>
      <c r="AB41" s="51">
        <v>23</v>
      </c>
      <c r="AC41" s="51">
        <v>23.8</v>
      </c>
      <c r="AD41" s="51">
        <v>24.2</v>
      </c>
      <c r="AE41" s="51">
        <v>25</v>
      </c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21</v>
      </c>
      <c r="AQ41" s="89">
        <f t="shared" si="2"/>
        <v>24.81904761904762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>
        <v>27.2</v>
      </c>
      <c r="X42" s="51">
        <v>25.8</v>
      </c>
      <c r="Y42" s="51">
        <v>26.8</v>
      </c>
      <c r="Z42" s="111">
        <v>27.2</v>
      </c>
      <c r="AA42" s="51">
        <v>23.8</v>
      </c>
      <c r="AB42" s="51">
        <v>24.4</v>
      </c>
      <c r="AC42" s="51">
        <v>25.8</v>
      </c>
      <c r="AD42" s="51">
        <v>23.6</v>
      </c>
      <c r="AE42" s="51">
        <v>26.8</v>
      </c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21</v>
      </c>
      <c r="AQ42" s="89">
        <f t="shared" si="2"/>
        <v>25.923809523809517</v>
      </c>
      <c r="AR42" s="89">
        <f>IFERROR(VLOOKUP(A42,Climatologia!A:U,9+$E$2,FALSE),"")</f>
        <v>24.242887721454171</v>
      </c>
      <c r="AS42" s="89">
        <f t="shared" si="3"/>
        <v>1.6809218023553463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>
        <v>25.4</v>
      </c>
      <c r="X43" s="51">
        <v>26.6</v>
      </c>
      <c r="Y43" s="51">
        <v>27.1</v>
      </c>
      <c r="Z43" s="111">
        <v>26.5</v>
      </c>
      <c r="AA43" s="51">
        <v>22.3</v>
      </c>
      <c r="AB43" s="51">
        <v>22.5</v>
      </c>
      <c r="AC43" s="51">
        <v>24.2</v>
      </c>
      <c r="AD43" s="51">
        <v>24</v>
      </c>
      <c r="AE43" s="51">
        <v>24.2</v>
      </c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21</v>
      </c>
      <c r="AQ43" s="89">
        <f t="shared" si="2"/>
        <v>24.885714285714286</v>
      </c>
      <c r="AR43" s="89">
        <f>IFERROR(VLOOKUP(A43,Climatologia!A:U,9+$E$2,FALSE),"")</f>
        <v>23.780114118567958</v>
      </c>
      <c r="AS43" s="89">
        <f t="shared" si="3"/>
        <v>1.1056001671463278</v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>
        <v>25.4</v>
      </c>
      <c r="X44" s="51">
        <v>24.6</v>
      </c>
      <c r="Y44" s="51">
        <v>25.4</v>
      </c>
      <c r="Z44" s="111">
        <v>24.8</v>
      </c>
      <c r="AA44" s="51">
        <v>23.4</v>
      </c>
      <c r="AB44" s="51">
        <v>24.8</v>
      </c>
      <c r="AC44" s="51">
        <v>25.2</v>
      </c>
      <c r="AD44" s="51">
        <v>24.2</v>
      </c>
      <c r="AE44" s="51">
        <v>25.6</v>
      </c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21</v>
      </c>
      <c r="AQ44" s="89">
        <f t="shared" si="2"/>
        <v>24.74285714285714</v>
      </c>
      <c r="AR44" s="89">
        <f>IFERROR(VLOOKUP(A44,Climatologia!A:U,9+$E$2,FALSE),"")</f>
        <v>23.0554149406661</v>
      </c>
      <c r="AS44" s="89">
        <f t="shared" si="3"/>
        <v>1.6874422021910398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>
        <v>26.6</v>
      </c>
      <c r="X47" s="51">
        <v>24.6</v>
      </c>
      <c r="Y47" s="51">
        <v>25.2</v>
      </c>
      <c r="Z47" s="111">
        <v>25.4</v>
      </c>
      <c r="AA47" s="51">
        <v>23.8</v>
      </c>
      <c r="AB47" s="51">
        <v>24.6</v>
      </c>
      <c r="AC47" s="51">
        <v>25.4</v>
      </c>
      <c r="AD47" s="51">
        <v>25.4</v>
      </c>
      <c r="AE47" s="51">
        <v>25.8</v>
      </c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21</v>
      </c>
      <c r="AQ47" s="89">
        <f t="shared" si="2"/>
        <v>25.238095238095237</v>
      </c>
      <c r="AR47" s="89">
        <f>IFERROR(VLOOKUP(A47,Climatologia!A:U,9+$E$2,FALSE),"")</f>
        <v>22.672444338506629</v>
      </c>
      <c r="AS47" s="89">
        <f t="shared" si="3"/>
        <v>2.5656508995886078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>
        <v>27.2</v>
      </c>
      <c r="X51" s="51">
        <v>24.8</v>
      </c>
      <c r="Y51" s="51">
        <v>25.4</v>
      </c>
      <c r="Z51" s="111">
        <v>25.8</v>
      </c>
      <c r="AA51" s="51">
        <v>23.6</v>
      </c>
      <c r="AB51" s="51">
        <v>23.8</v>
      </c>
      <c r="AC51" s="51">
        <v>25</v>
      </c>
      <c r="AD51" s="51">
        <v>25.8</v>
      </c>
      <c r="AE51" s="51">
        <v>26.4</v>
      </c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21</v>
      </c>
      <c r="AQ51" s="89">
        <f t="shared" si="2"/>
        <v>25.24761904761905</v>
      </c>
      <c r="AR51" s="89">
        <f>IFERROR(VLOOKUP(A51,Climatologia!A:U,9+$E$2,FALSE),"")</f>
        <v>23.046735261401551</v>
      </c>
      <c r="AS51" s="89">
        <f t="shared" si="3"/>
        <v>2.2008837862174992</v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>
        <v>25</v>
      </c>
      <c r="X52" s="51">
        <v>25.4</v>
      </c>
      <c r="Y52" s="51">
        <v>24.6</v>
      </c>
      <c r="Z52" s="111">
        <v>26.4</v>
      </c>
      <c r="AA52" s="51">
        <v>24</v>
      </c>
      <c r="AB52" s="51">
        <v>24</v>
      </c>
      <c r="AC52" s="51">
        <v>23.8</v>
      </c>
      <c r="AD52" s="51">
        <v>23.8</v>
      </c>
      <c r="AE52" s="51">
        <v>26.8</v>
      </c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21</v>
      </c>
      <c r="AQ52" s="89">
        <f t="shared" si="2"/>
        <v>24.733333333333331</v>
      </c>
      <c r="AR52" s="89">
        <f>IFERROR(VLOOKUP(A52,Climatologia!A:U,9+$E$2,FALSE),"")</f>
        <v>22.42011697979439</v>
      </c>
      <c r="AS52" s="89">
        <f t="shared" si="3"/>
        <v>2.313216353538941</v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>
        <v>25.6</v>
      </c>
      <c r="X53" s="51">
        <v>26</v>
      </c>
      <c r="Y53" s="51">
        <v>24.8</v>
      </c>
      <c r="Z53" s="111">
        <v>25.4</v>
      </c>
      <c r="AA53" s="51">
        <v>25.2</v>
      </c>
      <c r="AB53" s="51">
        <v>26.4</v>
      </c>
      <c r="AC53" s="51">
        <v>25</v>
      </c>
      <c r="AD53" s="51">
        <v>25.6</v>
      </c>
      <c r="AE53" s="51">
        <v>26.2</v>
      </c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20</v>
      </c>
      <c r="AQ53" s="89">
        <f t="shared" si="2"/>
        <v>25.28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>
        <v>22.8</v>
      </c>
      <c r="X54" s="51"/>
      <c r="Y54" s="51"/>
      <c r="Z54" s="111"/>
      <c r="AA54" s="51">
        <v>22.2</v>
      </c>
      <c r="AB54" s="51">
        <v>21.6</v>
      </c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15</v>
      </c>
      <c r="AQ54" s="89">
        <f t="shared" si="2"/>
        <v>22.306666666666665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>
        <v>25.2</v>
      </c>
      <c r="X57" s="51">
        <v>25.8</v>
      </c>
      <c r="Y57" s="51">
        <v>24.8</v>
      </c>
      <c r="Z57" s="111">
        <v>25.2</v>
      </c>
      <c r="AA57" s="51">
        <v>25</v>
      </c>
      <c r="AB57" s="51">
        <v>26.2</v>
      </c>
      <c r="AC57" s="51">
        <v>25.4</v>
      </c>
      <c r="AD57" s="51">
        <v>25.4</v>
      </c>
      <c r="AE57" s="51">
        <v>26</v>
      </c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21</v>
      </c>
      <c r="AQ57" s="89">
        <f t="shared" si="2"/>
        <v>25.238095238095234</v>
      </c>
      <c r="AR57" s="89">
        <f>IFERROR(VLOOKUP(A57,Climatologia!A:U,9+$E$2,FALSE),"")</f>
        <v>23.979265352535649</v>
      </c>
      <c r="AS57" s="89">
        <f t="shared" si="3"/>
        <v>1.2588298855595852</v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20.6</v>
      </c>
      <c r="L58" s="51">
        <v>20.2</v>
      </c>
      <c r="M58" s="51">
        <v>22.2</v>
      </c>
      <c r="N58" s="51">
        <v>22.2</v>
      </c>
      <c r="O58" s="51">
        <v>23</v>
      </c>
      <c r="P58" s="51"/>
      <c r="Q58" s="51"/>
      <c r="R58" s="51">
        <v>23.6</v>
      </c>
      <c r="S58" s="51">
        <v>23.2</v>
      </c>
      <c r="T58" s="51">
        <v>22.8</v>
      </c>
      <c r="U58" s="51">
        <v>22.6</v>
      </c>
      <c r="V58" s="51"/>
      <c r="W58" s="51">
        <v>24.2</v>
      </c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10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4.1999999999999993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>
        <v>22.2</v>
      </c>
      <c r="S60" s="51">
        <v>22.4</v>
      </c>
      <c r="T60" s="51">
        <v>22.4</v>
      </c>
      <c r="U60" s="51">
        <v>21.2</v>
      </c>
      <c r="V60" s="51">
        <v>21.6</v>
      </c>
      <c r="W60" s="51">
        <v>22</v>
      </c>
      <c r="X60" s="51">
        <v>22.6</v>
      </c>
      <c r="Y60" s="51">
        <v>22.8</v>
      </c>
      <c r="Z60" s="111">
        <v>23</v>
      </c>
      <c r="AA60" s="51">
        <v>21.6</v>
      </c>
      <c r="AB60" s="51">
        <v>21.4</v>
      </c>
      <c r="AC60" s="51">
        <v>23</v>
      </c>
      <c r="AD60" s="51">
        <v>23</v>
      </c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20</v>
      </c>
      <c r="AQ60" s="89">
        <f t="shared" si="2"/>
        <v>22.220000000000002</v>
      </c>
      <c r="AR60" s="89">
        <f>IFERROR(VLOOKUP(A60,Climatologia!A:U,9+$E$2,FALSE),"")</f>
        <v>21.421723438405142</v>
      </c>
      <c r="AS60" s="89">
        <f t="shared" si="3"/>
        <v>0.79827656159486082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20.2</v>
      </c>
      <c r="L63" s="51">
        <v>21.2</v>
      </c>
      <c r="M63" s="51">
        <v>21.4</v>
      </c>
      <c r="N63" s="51">
        <v>21.2</v>
      </c>
      <c r="O63" s="51">
        <v>23</v>
      </c>
      <c r="P63" s="51">
        <v>22.6</v>
      </c>
      <c r="Q63" s="51">
        <v>21.6</v>
      </c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>
        <v>20.8</v>
      </c>
      <c r="X63" s="51">
        <v>23.2</v>
      </c>
      <c r="Y63" s="51">
        <v>22.6</v>
      </c>
      <c r="Z63" s="111">
        <v>23.2</v>
      </c>
      <c r="AA63" s="51">
        <v>22.2</v>
      </c>
      <c r="AB63" s="51">
        <v>21</v>
      </c>
      <c r="AC63" s="51">
        <v>22.6</v>
      </c>
      <c r="AD63" s="51">
        <v>22.4</v>
      </c>
      <c r="AE63" s="51">
        <v>23</v>
      </c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21</v>
      </c>
      <c r="AQ63" s="89">
        <f t="shared" si="2"/>
        <v>22.171428571428571</v>
      </c>
      <c r="AR63" s="89">
        <f>IFERROR(VLOOKUP(A63,Climatologia!A:U,9+$E$2,FALSE),"")</f>
        <v>22.115021493152749</v>
      </c>
      <c r="AS63" s="89">
        <f t="shared" si="3"/>
        <v>5.6407078275821476E-2</v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>
        <v>21</v>
      </c>
      <c r="X64" s="51">
        <v>23.2</v>
      </c>
      <c r="Y64" s="51">
        <v>23.4</v>
      </c>
      <c r="Z64" s="111">
        <v>23.4</v>
      </c>
      <c r="AA64" s="51">
        <v>23.2</v>
      </c>
      <c r="AB64" s="51">
        <v>22</v>
      </c>
      <c r="AC64" s="51">
        <v>23</v>
      </c>
      <c r="AD64" s="51">
        <v>23</v>
      </c>
      <c r="AE64" s="51">
        <v>23.8</v>
      </c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21</v>
      </c>
      <c r="AQ64" s="89">
        <f t="shared" si="2"/>
        <v>22.37142857142857</v>
      </c>
      <c r="AR64" s="89">
        <f>IFERROR(VLOOKUP(A64,Climatologia!A:U,9+$E$2,FALSE),"")</f>
        <v>21.829845625062539</v>
      </c>
      <c r="AS64" s="89">
        <f t="shared" si="3"/>
        <v>0.54158294636603088</v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>
        <v>21.8</v>
      </c>
      <c r="X65" s="51">
        <v>23.8</v>
      </c>
      <c r="Y65" s="51">
        <v>23</v>
      </c>
      <c r="Z65" s="111">
        <v>23</v>
      </c>
      <c r="AA65" s="51">
        <v>21.8</v>
      </c>
      <c r="AB65" s="51">
        <v>22.4</v>
      </c>
      <c r="AC65" s="51">
        <v>22.4</v>
      </c>
      <c r="AD65" s="51">
        <v>21.2</v>
      </c>
      <c r="AE65" s="51">
        <v>24.2</v>
      </c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21</v>
      </c>
      <c r="AQ65" s="89">
        <f t="shared" si="2"/>
        <v>22.542857142857141</v>
      </c>
      <c r="AR65" s="89">
        <f>IFERROR(VLOOKUP(A65,Climatologia!A:U,9+$E$2,FALSE),"")</f>
        <v>21.51595325788206</v>
      </c>
      <c r="AS65" s="89">
        <f t="shared" si="3"/>
        <v>1.0269038849750807</v>
      </c>
      <c r="AT65" s="90">
        <f t="shared" si="4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3.1999999999999993</v>
      </c>
    </row>
    <row r="66" spans="1:49" ht="14.25" customHeight="1" x14ac:dyDescent="0.2">
      <c r="A66" s="48">
        <v>35035020</v>
      </c>
      <c r="B66" s="52" t="s">
        <v>94</v>
      </c>
      <c r="C66" s="52" t="s">
        <v>150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95</v>
      </c>
      <c r="J66" s="55" t="s">
        <v>96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163</v>
      </c>
      <c r="C67" s="52" t="s">
        <v>150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95</v>
      </c>
      <c r="J67" s="55" t="s">
        <v>164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>
        <v>19.600000000000001</v>
      </c>
      <c r="X67" s="51">
        <v>20.6</v>
      </c>
      <c r="Y67" s="51">
        <v>20.8</v>
      </c>
      <c r="Z67" s="111">
        <v>22.6</v>
      </c>
      <c r="AA67" s="51">
        <v>20</v>
      </c>
      <c r="AB67" s="51">
        <v>20.399999999999999</v>
      </c>
      <c r="AC67" s="51">
        <v>22.2</v>
      </c>
      <c r="AD67" s="51">
        <v>19</v>
      </c>
      <c r="AE67" s="51">
        <v>21.4</v>
      </c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21</v>
      </c>
      <c r="AQ67" s="89">
        <f t="shared" si="2"/>
        <v>20.419047619047621</v>
      </c>
      <c r="AR67" s="89">
        <f>IFERROR(VLOOKUP(A67,Climatologia!A:U,9+$E$2,FALSE),"")</f>
        <v>21.155438855480959</v>
      </c>
      <c r="AS67" s="89">
        <f t="shared" si="3"/>
        <v>-0.73639123643333804</v>
      </c>
      <c r="AT67" s="90">
        <f t="shared" si="4"/>
        <v>19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</v>
      </c>
    </row>
    <row r="68" spans="1:49" ht="14.25" customHeight="1" x14ac:dyDescent="0.2">
      <c r="A68" s="48">
        <v>35095110</v>
      </c>
      <c r="B68" s="52" t="s">
        <v>165</v>
      </c>
      <c r="C68" s="52" t="s">
        <v>150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166</v>
      </c>
      <c r="J68" s="55" t="s">
        <v>167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>
        <v>20</v>
      </c>
      <c r="X68" s="51">
        <v>21.6</v>
      </c>
      <c r="Y68" s="51">
        <v>22.2</v>
      </c>
      <c r="Z68" s="111">
        <v>22.6</v>
      </c>
      <c r="AA68" s="51">
        <v>21.6</v>
      </c>
      <c r="AB68" s="51">
        <v>20.399999999999999</v>
      </c>
      <c r="AC68" s="51">
        <v>21</v>
      </c>
      <c r="AD68" s="51">
        <v>20</v>
      </c>
      <c r="AE68" s="51">
        <v>19</v>
      </c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21</v>
      </c>
      <c r="AQ68" s="89">
        <f t="shared" si="2"/>
        <v>21.080952380952386</v>
      </c>
      <c r="AR68" s="89">
        <f>IFERROR(VLOOKUP(A68,Climatologia!A:U,9+$E$2,FALSE),"")</f>
        <v>21.17954086440843</v>
      </c>
      <c r="AS68" s="89">
        <f t="shared" si="3"/>
        <v>-9.8588483456044429E-2</v>
      </c>
      <c r="AT68" s="90">
        <f t="shared" si="4"/>
        <v>19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168</v>
      </c>
      <c r="C69" s="52" t="s">
        <v>150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95</v>
      </c>
      <c r="J69" s="55" t="s">
        <v>169</v>
      </c>
      <c r="K69" s="51">
        <v>23</v>
      </c>
      <c r="L69" s="51">
        <v>22.4</v>
      </c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>
        <v>21.8</v>
      </c>
      <c r="X69" s="51">
        <v>22.2</v>
      </c>
      <c r="Y69" s="51"/>
      <c r="Z69" s="111"/>
      <c r="AA69" s="51"/>
      <c r="AB69" s="51">
        <v>22.4</v>
      </c>
      <c r="AC69" s="51">
        <v>22.2</v>
      </c>
      <c r="AD69" s="51">
        <v>23.6</v>
      </c>
      <c r="AE69" s="51">
        <v>24.4</v>
      </c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18</v>
      </c>
      <c r="AQ69" s="89">
        <f t="shared" ref="AQ69:AQ132" si="7">IF(AP69&gt;14,AVERAGE(K69:AO69),"")</f>
        <v>22.81111111111111</v>
      </c>
      <c r="AR69" s="89">
        <f>IFERROR(VLOOKUP(A69,Climatologia!A:U,9+$E$2,FALSE),"")</f>
        <v>20.95822964669739</v>
      </c>
      <c r="AS69" s="89">
        <f t="shared" ref="AS69:AS132" si="8">IF(OR(AQ69="",AR69=""),"",IFERROR(AQ69-AR69,""))</f>
        <v>1.8528814644137199</v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170</v>
      </c>
      <c r="C70" s="52" t="s">
        <v>150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166</v>
      </c>
      <c r="J70" s="55" t="s">
        <v>171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>
        <v>22</v>
      </c>
      <c r="X70" s="51">
        <v>23.1</v>
      </c>
      <c r="Y70" s="51">
        <v>23.2</v>
      </c>
      <c r="Z70" s="111">
        <v>23.4</v>
      </c>
      <c r="AA70" s="51">
        <v>23.2</v>
      </c>
      <c r="AB70" s="51">
        <v>22.1</v>
      </c>
      <c r="AC70" s="51">
        <v>23.4</v>
      </c>
      <c r="AD70" s="51">
        <v>22.3</v>
      </c>
      <c r="AE70" s="51">
        <v>24.3</v>
      </c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21</v>
      </c>
      <c r="AQ70" s="89">
        <f t="shared" si="7"/>
        <v>23.023809523809526</v>
      </c>
      <c r="AR70" s="89">
        <f>IFERROR(VLOOKUP(A70,Climatologia!A:U,9+$E$2,FALSE),"")</f>
        <v>22.49395085458767</v>
      </c>
      <c r="AS70" s="89">
        <f t="shared" si="8"/>
        <v>0.52985866922185565</v>
      </c>
      <c r="AT70" s="90">
        <f t="shared" si="9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6.6</v>
      </c>
    </row>
    <row r="71" spans="1:49" ht="14.25" customHeight="1" x14ac:dyDescent="0.2">
      <c r="A71" s="48">
        <v>42075010</v>
      </c>
      <c r="B71" s="52" t="s">
        <v>172</v>
      </c>
      <c r="C71" s="52" t="s">
        <v>150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173</v>
      </c>
      <c r="J71" s="55" t="s">
        <v>174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>
        <v>22.3</v>
      </c>
      <c r="X71" s="51">
        <v>22.3</v>
      </c>
      <c r="Y71" s="51">
        <v>23.2</v>
      </c>
      <c r="Z71" s="111">
        <v>23</v>
      </c>
      <c r="AA71" s="51">
        <v>23.1</v>
      </c>
      <c r="AB71" s="51">
        <v>23.3</v>
      </c>
      <c r="AC71" s="51">
        <v>22.3</v>
      </c>
      <c r="AD71" s="51">
        <v>21.3</v>
      </c>
      <c r="AE71" s="51">
        <v>22.3</v>
      </c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21</v>
      </c>
      <c r="AQ71" s="89">
        <f t="shared" si="7"/>
        <v>22.380952380952383</v>
      </c>
      <c r="AR71" s="89">
        <f>IFERROR(VLOOKUP(A71,Climatologia!A:U,9+$E$2,FALSE),"")</f>
        <v>21.499102150537631</v>
      </c>
      <c r="AS71" s="89">
        <f t="shared" si="8"/>
        <v>0.88185023041475219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175</v>
      </c>
      <c r="C72" s="52" t="s">
        <v>150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95</v>
      </c>
      <c r="J72" s="55" t="s">
        <v>176</v>
      </c>
      <c r="K72" s="51">
        <v>21.4</v>
      </c>
      <c r="L72" s="51">
        <v>21.3</v>
      </c>
      <c r="M72" s="51">
        <v>21.2</v>
      </c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>
        <v>21.4</v>
      </c>
      <c r="W72" s="51">
        <v>20.6</v>
      </c>
      <c r="X72" s="51">
        <v>20.8</v>
      </c>
      <c r="Y72" s="51">
        <v>20.8</v>
      </c>
      <c r="Z72" s="111"/>
      <c r="AA72" s="51">
        <v>20.6</v>
      </c>
      <c r="AB72" s="51"/>
      <c r="AC72" s="51">
        <v>21.4</v>
      </c>
      <c r="AD72" s="51">
        <v>21.4</v>
      </c>
      <c r="AE72" s="51">
        <v>21.4</v>
      </c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17</v>
      </c>
      <c r="AQ72" s="89">
        <f t="shared" si="7"/>
        <v>21.088235294117645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177</v>
      </c>
      <c r="C73" s="52" t="s">
        <v>178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79</v>
      </c>
      <c r="J73" s="55" t="s">
        <v>179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>
        <v>17</v>
      </c>
      <c r="X73" s="51">
        <v>18.2</v>
      </c>
      <c r="Y73" s="51">
        <v>18.2</v>
      </c>
      <c r="Z73" s="111">
        <v>18.2</v>
      </c>
      <c r="AA73" s="51">
        <v>16.399999999999999</v>
      </c>
      <c r="AB73" s="51">
        <v>17.2</v>
      </c>
      <c r="AC73" s="51">
        <v>19.2</v>
      </c>
      <c r="AD73" s="51">
        <v>16</v>
      </c>
      <c r="AE73" s="51">
        <v>17.399999999999999</v>
      </c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21</v>
      </c>
      <c r="AQ73" s="89">
        <f t="shared" si="7"/>
        <v>17.619047619047613</v>
      </c>
      <c r="AR73" s="89">
        <f>IFERROR(VLOOKUP(A73,Climatologia!A:U,9+$E$2,FALSE),"")</f>
        <v>16.339759362254359</v>
      </c>
      <c r="AS73" s="89">
        <f t="shared" si="8"/>
        <v>1.2792882567932544</v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180</v>
      </c>
      <c r="C74" s="52" t="s">
        <v>178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181</v>
      </c>
      <c r="J74" s="55" t="s">
        <v>182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>
        <v>10.8</v>
      </c>
      <c r="X74" s="51">
        <v>11</v>
      </c>
      <c r="Y74" s="51">
        <v>13</v>
      </c>
      <c r="Z74" s="111">
        <v>12.8</v>
      </c>
      <c r="AA74" s="51">
        <v>13.2</v>
      </c>
      <c r="AB74" s="51">
        <v>11.2</v>
      </c>
      <c r="AC74" s="51">
        <v>12.6</v>
      </c>
      <c r="AD74" s="51">
        <v>12</v>
      </c>
      <c r="AE74" s="51">
        <v>12.4</v>
      </c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20</v>
      </c>
      <c r="AQ74" s="89">
        <f t="shared" si="7"/>
        <v>11.97</v>
      </c>
      <c r="AR74" s="89">
        <f>IFERROR(VLOOKUP(A74,Climatologia!A:U,9+$E$2,FALSE),"")</f>
        <v>11.60078927362504</v>
      </c>
      <c r="AS74" s="89">
        <f t="shared" si="8"/>
        <v>0.36921072637496088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183</v>
      </c>
      <c r="C75" s="52" t="s">
        <v>178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79</v>
      </c>
      <c r="J75" s="55" t="s">
        <v>184</v>
      </c>
      <c r="K75" s="51">
        <v>16</v>
      </c>
      <c r="L75" s="51">
        <v>13.8</v>
      </c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>
        <v>14</v>
      </c>
      <c r="X75" s="51">
        <v>15.2</v>
      </c>
      <c r="Y75" s="51">
        <v>17</v>
      </c>
      <c r="Z75" s="111">
        <v>17.2</v>
      </c>
      <c r="AA75" s="51">
        <v>17</v>
      </c>
      <c r="AB75" s="51">
        <v>14.8</v>
      </c>
      <c r="AC75" s="51">
        <v>16</v>
      </c>
      <c r="AD75" s="51">
        <v>17</v>
      </c>
      <c r="AE75" s="51">
        <v>17.2</v>
      </c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21</v>
      </c>
      <c r="AQ75" s="89">
        <f t="shared" si="7"/>
        <v>15.990476190476191</v>
      </c>
      <c r="AR75" s="89">
        <f>IFERROR(VLOOKUP(A75,Climatologia!A:U,9+$E$2,FALSE),"")</f>
        <v>15.418794564997761</v>
      </c>
      <c r="AS75" s="89">
        <f t="shared" si="8"/>
        <v>0.57168162547842982</v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185</v>
      </c>
      <c r="C76" s="52" t="s">
        <v>178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79</v>
      </c>
      <c r="J76" s="55" t="s">
        <v>80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>
        <v>16.600000000000001</v>
      </c>
      <c r="X76" s="51">
        <v>18</v>
      </c>
      <c r="Y76" s="51">
        <v>17.399999999999999</v>
      </c>
      <c r="Z76" s="111">
        <v>18.399999999999999</v>
      </c>
      <c r="AA76" s="51">
        <v>15.8</v>
      </c>
      <c r="AB76" s="51">
        <v>16.600000000000001</v>
      </c>
      <c r="AC76" s="51">
        <v>18</v>
      </c>
      <c r="AD76" s="51">
        <v>16.600000000000001</v>
      </c>
      <c r="AE76" s="51">
        <v>17.399999999999999</v>
      </c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21</v>
      </c>
      <c r="AQ76" s="89">
        <f t="shared" si="7"/>
        <v>17.323809523809523</v>
      </c>
      <c r="AR76" s="89">
        <f>IFERROR(VLOOKUP(A76,Climatologia!A:U,9+$E$2,FALSE),"")</f>
        <v>18.47633867500863</v>
      </c>
      <c r="AS76" s="89">
        <f t="shared" si="8"/>
        <v>-1.1525291511991078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186</v>
      </c>
      <c r="C77" s="52" t="s">
        <v>178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70</v>
      </c>
      <c r="J77" s="55" t="s">
        <v>187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>
        <v>27</v>
      </c>
      <c r="X77" s="51">
        <v>28.4</v>
      </c>
      <c r="Y77" s="51">
        <v>28</v>
      </c>
      <c r="Z77" s="111">
        <v>26</v>
      </c>
      <c r="AA77" s="51">
        <v>23.4</v>
      </c>
      <c r="AB77" s="51">
        <v>25</v>
      </c>
      <c r="AC77" s="51">
        <v>26.2</v>
      </c>
      <c r="AD77" s="51">
        <v>28.4</v>
      </c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20</v>
      </c>
      <c r="AQ77" s="89">
        <f t="shared" si="7"/>
        <v>26.839999999999996</v>
      </c>
      <c r="AR77" s="89">
        <f>IFERROR(VLOOKUP(A77,Climatologia!A:U,9+$E$2,FALSE),"")</f>
        <v>24.545433207708651</v>
      </c>
      <c r="AS77" s="89">
        <f t="shared" si="8"/>
        <v>2.2945667922913451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5.5999999999999979</v>
      </c>
    </row>
    <row r="78" spans="1:49" ht="14.25" customHeight="1" x14ac:dyDescent="0.2">
      <c r="A78" s="48">
        <v>21145040</v>
      </c>
      <c r="B78" s="52" t="s">
        <v>188</v>
      </c>
      <c r="C78" s="52" t="s">
        <v>178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79</v>
      </c>
      <c r="J78" s="55" t="s">
        <v>189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>
        <v>24.6</v>
      </c>
      <c r="X78" s="51">
        <v>25.2</v>
      </c>
      <c r="Y78" s="51">
        <v>25.4</v>
      </c>
      <c r="Z78" s="111">
        <v>27.8</v>
      </c>
      <c r="AA78" s="51">
        <v>22.6</v>
      </c>
      <c r="AB78" s="51">
        <v>23.6</v>
      </c>
      <c r="AC78" s="51">
        <v>24.2</v>
      </c>
      <c r="AD78" s="51">
        <v>25.2</v>
      </c>
      <c r="AE78" s="51">
        <v>26</v>
      </c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21</v>
      </c>
      <c r="AQ78" s="89">
        <f t="shared" si="7"/>
        <v>25.142857142857142</v>
      </c>
      <c r="AR78" s="89">
        <f>IFERROR(VLOOKUP(A78,Climatologia!A:U,9+$E$2,FALSE),"")</f>
        <v>23.46580771270726</v>
      </c>
      <c r="AS78" s="89">
        <f t="shared" si="8"/>
        <v>1.6770494301498822</v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4.4000000000000021</v>
      </c>
    </row>
    <row r="79" spans="1:49" ht="14.25" customHeight="1" x14ac:dyDescent="0.2">
      <c r="A79" s="48">
        <v>21145080</v>
      </c>
      <c r="B79" s="52" t="s">
        <v>190</v>
      </c>
      <c r="C79" s="52" t="s">
        <v>178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79</v>
      </c>
      <c r="J79" s="55" t="s">
        <v>191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>
        <v>16.2</v>
      </c>
      <c r="W79" s="51">
        <v>13.6</v>
      </c>
      <c r="X79" s="51">
        <v>14.6</v>
      </c>
      <c r="Y79" s="51">
        <v>14.6</v>
      </c>
      <c r="Z79" s="111">
        <v>17</v>
      </c>
      <c r="AA79" s="51">
        <v>15.2</v>
      </c>
      <c r="AB79" s="51">
        <v>14.4</v>
      </c>
      <c r="AC79" s="51">
        <v>13.4</v>
      </c>
      <c r="AD79" s="51">
        <v>14.4</v>
      </c>
      <c r="AE79" s="51">
        <v>14.2</v>
      </c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21</v>
      </c>
      <c r="AQ79" s="89">
        <f t="shared" si="7"/>
        <v>14.790476190476186</v>
      </c>
      <c r="AR79" s="89">
        <f>IFERROR(VLOOKUP(A79,Climatologia!A:U,9+$E$2,FALSE),"")</f>
        <v>15.28784620132488</v>
      </c>
      <c r="AS79" s="89">
        <f t="shared" si="8"/>
        <v>-0.49737001084869448</v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192</v>
      </c>
      <c r="C80" s="52" t="s">
        <v>178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193</v>
      </c>
      <c r="J80" s="55" t="s">
        <v>194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195</v>
      </c>
      <c r="C81" s="52" t="s">
        <v>178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193</v>
      </c>
      <c r="J81" s="55" t="s">
        <v>196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>
        <v>23</v>
      </c>
      <c r="X81" s="51">
        <v>23</v>
      </c>
      <c r="Y81" s="51">
        <v>22.2</v>
      </c>
      <c r="Z81" s="111">
        <v>22.6</v>
      </c>
      <c r="AA81" s="51">
        <v>22.8</v>
      </c>
      <c r="AB81" s="51">
        <v>22.6</v>
      </c>
      <c r="AC81" s="51">
        <v>23</v>
      </c>
      <c r="AD81" s="51">
        <v>23.2</v>
      </c>
      <c r="AE81" s="51">
        <v>23.4</v>
      </c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21</v>
      </c>
      <c r="AQ81" s="89">
        <f t="shared" si="7"/>
        <v>23.05714285714286</v>
      </c>
      <c r="AR81" s="89">
        <f>IFERROR(VLOOKUP(A81,Climatologia!A:U,9+$E$2,FALSE),"")</f>
        <v>21.715420961210111</v>
      </c>
      <c r="AS81" s="89">
        <f t="shared" si="8"/>
        <v>1.3417218959327499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5.3999999999999986</v>
      </c>
    </row>
    <row r="82" spans="1:49" ht="14.25" customHeight="1" x14ac:dyDescent="0.2">
      <c r="A82" s="48">
        <v>15045010</v>
      </c>
      <c r="B82" s="52" t="s">
        <v>197</v>
      </c>
      <c r="C82" s="52" t="s">
        <v>198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40</v>
      </c>
      <c r="J82" s="55" t="s">
        <v>41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199</v>
      </c>
      <c r="C83" s="52" t="s">
        <v>198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40</v>
      </c>
      <c r="J83" s="55" t="s">
        <v>199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>
        <v>29</v>
      </c>
      <c r="X83" s="51">
        <v>29.2</v>
      </c>
      <c r="Y83" s="51">
        <v>28.6</v>
      </c>
      <c r="Z83" s="111">
        <v>27.2</v>
      </c>
      <c r="AA83" s="51">
        <v>28.4</v>
      </c>
      <c r="AB83" s="51">
        <v>27.6</v>
      </c>
      <c r="AC83" s="51">
        <v>26.4</v>
      </c>
      <c r="AD83" s="51">
        <v>29</v>
      </c>
      <c r="AE83" s="51">
        <v>29.2</v>
      </c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21</v>
      </c>
      <c r="AQ83" s="89">
        <f t="shared" si="7"/>
        <v>28.06666666666667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</v>
      </c>
    </row>
    <row r="84" spans="1:49" ht="14.25" customHeight="1" x14ac:dyDescent="0.2">
      <c r="A84" s="48">
        <v>15085030</v>
      </c>
      <c r="B84" s="52" t="s">
        <v>200</v>
      </c>
      <c r="C84" s="52" t="s">
        <v>198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40</v>
      </c>
      <c r="J84" s="55" t="s">
        <v>201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>
        <v>27.2</v>
      </c>
      <c r="X84" s="51">
        <v>27.6</v>
      </c>
      <c r="Y84" s="51">
        <v>27</v>
      </c>
      <c r="Z84" s="111">
        <v>27.4</v>
      </c>
      <c r="AA84" s="51">
        <v>27.2</v>
      </c>
      <c r="AB84" s="51"/>
      <c r="AC84" s="51">
        <v>27</v>
      </c>
      <c r="AD84" s="51">
        <v>27.4</v>
      </c>
      <c r="AE84" s="51">
        <v>27.2</v>
      </c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20</v>
      </c>
      <c r="AQ84" s="89">
        <f t="shared" si="7"/>
        <v>26.939999999999998</v>
      </c>
      <c r="AR84" s="89">
        <f>IFERROR(VLOOKUP(A84,Climatologia!A:U,9+$E$2,FALSE),"")</f>
        <v>23.659247311827961</v>
      </c>
      <c r="AS84" s="89">
        <f t="shared" si="8"/>
        <v>3.2807526881720364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202</v>
      </c>
      <c r="C85" s="52" t="s">
        <v>198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31</v>
      </c>
      <c r="J85" s="55" t="s">
        <v>203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>
        <v>26.4</v>
      </c>
      <c r="X85" s="51">
        <v>24</v>
      </c>
      <c r="Y85" s="51">
        <v>26.4</v>
      </c>
      <c r="Z85" s="111">
        <v>26</v>
      </c>
      <c r="AA85" s="51">
        <v>23.4</v>
      </c>
      <c r="AB85" s="51"/>
      <c r="AC85" s="51">
        <v>24.8</v>
      </c>
      <c r="AD85" s="51">
        <v>25.2</v>
      </c>
      <c r="AE85" s="51">
        <v>26.8</v>
      </c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20</v>
      </c>
      <c r="AQ85" s="89">
        <f t="shared" si="7"/>
        <v>25.08</v>
      </c>
      <c r="AR85" s="89">
        <f>IFERROR(VLOOKUP(A85,Climatologia!A:U,9+$E$2,FALSE),"")</f>
        <v>23.235308274059729</v>
      </c>
      <c r="AS85" s="89">
        <f t="shared" si="8"/>
        <v>1.8446917259402689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204</v>
      </c>
      <c r="C86" s="52" t="s">
        <v>198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40</v>
      </c>
      <c r="J86" s="55" t="s">
        <v>205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>
        <v>21.6</v>
      </c>
      <c r="X86" s="51">
        <v>21.4</v>
      </c>
      <c r="Y86" s="51">
        <v>22.8</v>
      </c>
      <c r="Z86" s="111">
        <v>21.8</v>
      </c>
      <c r="AA86" s="51">
        <v>22</v>
      </c>
      <c r="AB86" s="51">
        <v>22.8</v>
      </c>
      <c r="AC86" s="51">
        <v>21.8</v>
      </c>
      <c r="AD86" s="51">
        <v>21.2</v>
      </c>
      <c r="AE86" s="51">
        <v>23.4</v>
      </c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21</v>
      </c>
      <c r="AQ86" s="89">
        <f t="shared" si="7"/>
        <v>21.866666666666667</v>
      </c>
      <c r="AR86" s="89">
        <f>IFERROR(VLOOKUP(A86,Climatologia!A:U,9+$E$2,FALSE),"")</f>
        <v>22.828530465949822</v>
      </c>
      <c r="AS86" s="89">
        <f t="shared" si="8"/>
        <v>-0.96186379928315446</v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206</v>
      </c>
      <c r="C87" s="52" t="s">
        <v>198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>
        <v>26.6</v>
      </c>
      <c r="X87" s="51">
        <v>26.6</v>
      </c>
      <c r="Y87" s="51">
        <v>29</v>
      </c>
      <c r="Z87" s="111">
        <v>28.2</v>
      </c>
      <c r="AA87" s="51">
        <v>25.6</v>
      </c>
      <c r="AB87" s="51">
        <v>23.6</v>
      </c>
      <c r="AC87" s="51">
        <v>22.8</v>
      </c>
      <c r="AD87" s="51">
        <v>28.2</v>
      </c>
      <c r="AE87" s="51">
        <v>28.4</v>
      </c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21</v>
      </c>
      <c r="AQ87" s="89">
        <f t="shared" si="7"/>
        <v>26.371428571428574</v>
      </c>
      <c r="AR87" s="89">
        <f>IFERROR(VLOOKUP(A87,Climatologia!A:U,9+$E$2,FALSE),"")</f>
        <v>23.725363919312059</v>
      </c>
      <c r="AS87" s="89">
        <f t="shared" si="8"/>
        <v>2.6460646521165145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4.8000000000000007</v>
      </c>
    </row>
    <row r="88" spans="1:49" ht="14.25" customHeight="1" x14ac:dyDescent="0.2">
      <c r="A88" s="48">
        <v>28035020</v>
      </c>
      <c r="B88" s="52" t="s">
        <v>207</v>
      </c>
      <c r="C88" s="52" t="s">
        <v>198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43</v>
      </c>
      <c r="J88" s="55" t="s">
        <v>44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>
        <v>27</v>
      </c>
      <c r="X88" s="51">
        <v>28</v>
      </c>
      <c r="Y88" s="51">
        <v>27.4</v>
      </c>
      <c r="Z88" s="111">
        <v>26.6</v>
      </c>
      <c r="AA88" s="51">
        <v>26.4</v>
      </c>
      <c r="AB88" s="51">
        <v>23.8</v>
      </c>
      <c r="AC88" s="51">
        <v>24</v>
      </c>
      <c r="AD88" s="51">
        <v>25.8</v>
      </c>
      <c r="AE88" s="51">
        <v>27.4</v>
      </c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21</v>
      </c>
      <c r="AQ88" s="89">
        <f t="shared" si="7"/>
        <v>26.266666666666669</v>
      </c>
      <c r="AR88" s="89">
        <f>IFERROR(VLOOKUP(A88,Climatologia!A:U,9+$E$2,FALSE),"")</f>
        <v>23.148531221247211</v>
      </c>
      <c r="AS88" s="89">
        <f t="shared" si="8"/>
        <v>3.1181354454194583</v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208</v>
      </c>
      <c r="C89" s="52" t="s">
        <v>198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43</v>
      </c>
      <c r="J89" s="55" t="s">
        <v>209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>
        <v>28.2</v>
      </c>
      <c r="X89" s="116">
        <v>25.6</v>
      </c>
      <c r="Y89" s="116">
        <v>26.8</v>
      </c>
      <c r="Z89" s="117">
        <v>28.6</v>
      </c>
      <c r="AA89" s="116">
        <v>26.6</v>
      </c>
      <c r="AB89" s="116">
        <v>25.2</v>
      </c>
      <c r="AC89" s="116">
        <v>25.4</v>
      </c>
      <c r="AD89" s="116">
        <v>25.8</v>
      </c>
      <c r="AE89" s="116">
        <v>27.2</v>
      </c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21</v>
      </c>
      <c r="AQ89" s="89">
        <f t="shared" si="7"/>
        <v>26.561904761904763</v>
      </c>
      <c r="AR89" s="89">
        <f>IFERROR(VLOOKUP(A89,Climatologia!A:U,9+$E$2,FALSE),"")</f>
        <v>22.80687536416124</v>
      </c>
      <c r="AS89" s="89">
        <f t="shared" si="8"/>
        <v>3.7550293977435238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9.3999999999999986</v>
      </c>
    </row>
    <row r="90" spans="1:49" ht="14.25" customHeight="1" x14ac:dyDescent="0.2">
      <c r="A90" s="48">
        <v>23125100</v>
      </c>
      <c r="B90" s="52" t="s">
        <v>210</v>
      </c>
      <c r="C90" s="52" t="s">
        <v>211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212</v>
      </c>
      <c r="J90" s="55" t="s">
        <v>210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>
        <v>13.6</v>
      </c>
      <c r="X90" s="51">
        <v>12.6</v>
      </c>
      <c r="Y90" s="51">
        <v>11.6</v>
      </c>
      <c r="Z90" s="111">
        <v>11</v>
      </c>
      <c r="AA90" s="51">
        <v>13.6</v>
      </c>
      <c r="AB90" s="51">
        <v>13</v>
      </c>
      <c r="AC90" s="51">
        <v>12.8</v>
      </c>
      <c r="AD90" s="51">
        <v>14.8</v>
      </c>
      <c r="AE90" s="51">
        <v>12.8</v>
      </c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21</v>
      </c>
      <c r="AQ90" s="89">
        <f t="shared" si="7"/>
        <v>12.828571428571431</v>
      </c>
      <c r="AR90" s="89">
        <f>IFERROR(VLOOKUP(A90,Climatologia!A:U,9+$E$2,FALSE),"")</f>
        <v>11.03161290322581</v>
      </c>
      <c r="AS90" s="89">
        <f t="shared" si="8"/>
        <v>1.7969585253456213</v>
      </c>
      <c r="AT90" s="90">
        <f t="shared" si="9"/>
        <v>10.8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6.6000000000000005</v>
      </c>
    </row>
    <row r="91" spans="1:49" ht="14.25" customHeight="1" x14ac:dyDescent="0.2">
      <c r="A91" s="48">
        <v>23125140</v>
      </c>
      <c r="B91" s="52" t="s">
        <v>213</v>
      </c>
      <c r="C91" s="52" t="s">
        <v>211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212</v>
      </c>
      <c r="J91" s="55" t="s">
        <v>214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>
        <v>18.600000000000001</v>
      </c>
      <c r="X91" s="51">
        <v>19</v>
      </c>
      <c r="Y91" s="51">
        <v>19.2</v>
      </c>
      <c r="Z91" s="111">
        <v>19</v>
      </c>
      <c r="AA91" s="51">
        <v>18</v>
      </c>
      <c r="AB91" s="51">
        <v>17.399999999999999</v>
      </c>
      <c r="AC91" s="51">
        <v>18</v>
      </c>
      <c r="AD91" s="51">
        <v>18.399999999999999</v>
      </c>
      <c r="AE91" s="51">
        <v>19</v>
      </c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21</v>
      </c>
      <c r="AQ91" s="89">
        <f t="shared" si="7"/>
        <v>18.161904761904758</v>
      </c>
      <c r="AR91" s="89">
        <f>IFERROR(VLOOKUP(A91,Climatologia!A:U,9+$E$2,FALSE),"")</f>
        <v>17.610862560172901</v>
      </c>
      <c r="AS91" s="89">
        <f t="shared" si="8"/>
        <v>0.55104220173185681</v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215</v>
      </c>
      <c r="C92" s="52" t="s">
        <v>211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212</v>
      </c>
      <c r="J92" s="55" t="s">
        <v>216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>
        <v>10.8</v>
      </c>
      <c r="X92" s="51">
        <v>12.6</v>
      </c>
      <c r="Y92" s="51">
        <v>12.2</v>
      </c>
      <c r="Z92" s="111">
        <v>11.8</v>
      </c>
      <c r="AA92" s="51">
        <v>11.8</v>
      </c>
      <c r="AB92" s="51">
        <v>11.8</v>
      </c>
      <c r="AC92" s="51"/>
      <c r="AD92" s="51">
        <v>11.8</v>
      </c>
      <c r="AE92" s="51">
        <v>11.8</v>
      </c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19</v>
      </c>
      <c r="AQ92" s="89">
        <f t="shared" si="7"/>
        <v>11.210526315789474</v>
      </c>
      <c r="AR92" s="89">
        <f>IFERROR(VLOOKUP(A92,Climatologia!A:U,9+$E$2,FALSE),"")</f>
        <v>11.399375551378929</v>
      </c>
      <c r="AS92" s="89">
        <f t="shared" si="8"/>
        <v>-0.18884923558945488</v>
      </c>
      <c r="AT92" s="90">
        <f t="shared" si="9"/>
        <v>9.8000000000000007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217</v>
      </c>
      <c r="C93" s="52" t="s">
        <v>211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212</v>
      </c>
      <c r="J93" s="55" t="s">
        <v>218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>
        <v>10</v>
      </c>
      <c r="X93" s="51">
        <v>10.8</v>
      </c>
      <c r="Y93" s="51">
        <v>10.4</v>
      </c>
      <c r="Z93" s="111">
        <v>10</v>
      </c>
      <c r="AA93" s="51">
        <v>11.8</v>
      </c>
      <c r="AB93" s="51">
        <v>10</v>
      </c>
      <c r="AC93" s="51">
        <v>11.6</v>
      </c>
      <c r="AD93" s="51">
        <v>10.8</v>
      </c>
      <c r="AE93" s="51">
        <v>11.4</v>
      </c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21</v>
      </c>
      <c r="AQ93" s="89">
        <f t="shared" si="7"/>
        <v>10.25714285714286</v>
      </c>
      <c r="AR93" s="89">
        <f>IFERROR(VLOOKUP(A93,Climatologia!A:U,9+$E$2,FALSE),"")</f>
        <v>8.6931200495597167</v>
      </c>
      <c r="AS93" s="89">
        <f t="shared" si="8"/>
        <v>1.564022807583143</v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7.7999999999999989</v>
      </c>
    </row>
    <row r="94" spans="1:49" ht="14.25" customHeight="1" x14ac:dyDescent="0.2">
      <c r="A94" s="48">
        <v>24015300</v>
      </c>
      <c r="B94" s="52" t="s">
        <v>219</v>
      </c>
      <c r="C94" s="52" t="s">
        <v>211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212</v>
      </c>
      <c r="J94" s="55" t="s">
        <v>220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221</v>
      </c>
      <c r="C95" s="52" t="s">
        <v>211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212</v>
      </c>
      <c r="J95" s="55" t="s">
        <v>222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>
        <v>10.4</v>
      </c>
      <c r="AD95" s="51">
        <v>7.2</v>
      </c>
      <c r="AE95" s="51">
        <v>8.1999999999999993</v>
      </c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3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>
        <f t="shared" si="9"/>
        <v>7.2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>
        <f t="shared" si="10"/>
        <v>8</v>
      </c>
    </row>
    <row r="96" spans="1:49" ht="14.25" customHeight="1" x14ac:dyDescent="0.2">
      <c r="A96" s="48">
        <v>24035040</v>
      </c>
      <c r="B96" s="52" t="s">
        <v>223</v>
      </c>
      <c r="C96" s="52" t="s">
        <v>211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212</v>
      </c>
      <c r="J96" s="55" t="s">
        <v>224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>
        <v>8.1999999999999993</v>
      </c>
      <c r="X96" s="51">
        <v>7.4</v>
      </c>
      <c r="Y96" s="51">
        <v>9</v>
      </c>
      <c r="Z96" s="111">
        <v>7.4</v>
      </c>
      <c r="AA96" s="51">
        <v>9.4</v>
      </c>
      <c r="AB96" s="51">
        <v>9</v>
      </c>
      <c r="AC96" s="51">
        <v>7.2</v>
      </c>
      <c r="AD96" s="51">
        <v>7</v>
      </c>
      <c r="AE96" s="51">
        <v>8.1999999999999993</v>
      </c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21</v>
      </c>
      <c r="AQ96" s="89">
        <f t="shared" si="7"/>
        <v>7.4666666666666668</v>
      </c>
      <c r="AR96" s="89">
        <f>IFERROR(VLOOKUP(A96,Climatologia!A:U,9+$E$2,FALSE),"")</f>
        <v>7.1833471822125867</v>
      </c>
      <c r="AS96" s="89">
        <f t="shared" si="8"/>
        <v>0.28331948445408006</v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225</v>
      </c>
      <c r="C97" s="52" t="s">
        <v>211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212</v>
      </c>
      <c r="J97" s="55" t="s">
        <v>226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>
        <v>8.8000000000000007</v>
      </c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12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227</v>
      </c>
      <c r="C98" s="52" t="s">
        <v>211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212</v>
      </c>
      <c r="J98" s="55" t="s">
        <v>228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>
        <v>7</v>
      </c>
      <c r="X98" s="51">
        <v>5</v>
      </c>
      <c r="Y98" s="51">
        <v>6.4</v>
      </c>
      <c r="Z98" s="111">
        <v>8</v>
      </c>
      <c r="AA98" s="51">
        <v>11</v>
      </c>
      <c r="AB98" s="51">
        <v>10.199999999999999</v>
      </c>
      <c r="AC98" s="51">
        <v>5.6</v>
      </c>
      <c r="AD98" s="51">
        <v>8.8000000000000007</v>
      </c>
      <c r="AE98" s="51">
        <v>10.4</v>
      </c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21</v>
      </c>
      <c r="AQ98" s="89">
        <f t="shared" si="7"/>
        <v>6.6571428571428575</v>
      </c>
      <c r="AR98" s="89">
        <f>IFERROR(VLOOKUP(A98,Climatologia!A:U,9+$E$2,FALSE),"")</f>
        <v>6.5568614692818183</v>
      </c>
      <c r="AS98" s="89">
        <f t="shared" si="8"/>
        <v>0.10028138786103913</v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229</v>
      </c>
      <c r="C99" s="52" t="s">
        <v>211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212</v>
      </c>
      <c r="J99" s="55" t="s">
        <v>230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>
        <v>9.6</v>
      </c>
      <c r="X99" s="51">
        <v>11</v>
      </c>
      <c r="Y99" s="51">
        <v>7.6</v>
      </c>
      <c r="Z99" s="111">
        <v>11</v>
      </c>
      <c r="AA99" s="51">
        <v>12</v>
      </c>
      <c r="AB99" s="51">
        <v>10.4</v>
      </c>
      <c r="AC99" s="51">
        <v>10.4</v>
      </c>
      <c r="AD99" s="51">
        <v>10.199999999999999</v>
      </c>
      <c r="AE99" s="51">
        <v>11</v>
      </c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21</v>
      </c>
      <c r="AQ99" s="89">
        <f t="shared" si="7"/>
        <v>9.3904761904761891</v>
      </c>
      <c r="AR99" s="89">
        <f>IFERROR(VLOOKUP(A99,Climatologia!A:U,9+$E$2,FALSE),"")</f>
        <v>8.4968567690188941</v>
      </c>
      <c r="AS99" s="89">
        <f t="shared" si="8"/>
        <v>0.893619421457295</v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231</v>
      </c>
      <c r="C100" s="52" t="s">
        <v>211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212</v>
      </c>
      <c r="J100" s="55" t="s">
        <v>232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>
        <v>6.4</v>
      </c>
      <c r="Y100" s="51">
        <v>9.6</v>
      </c>
      <c r="Z100" s="111">
        <v>8.4</v>
      </c>
      <c r="AA100" s="51">
        <v>7.4</v>
      </c>
      <c r="AB100" s="51">
        <v>9.4</v>
      </c>
      <c r="AC100" s="51">
        <v>10.6</v>
      </c>
      <c r="AD100" s="51">
        <v>9.4</v>
      </c>
      <c r="AE100" s="51">
        <v>8.8000000000000007</v>
      </c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20</v>
      </c>
      <c r="AQ100" s="89">
        <f t="shared" si="7"/>
        <v>7.9850000000000012</v>
      </c>
      <c r="AR100" s="89">
        <f>IFERROR(VLOOKUP(A100,Climatologia!A:U,9+$E$2,FALSE),"")</f>
        <v>7.0594081215067499</v>
      </c>
      <c r="AS100" s="89">
        <f t="shared" si="8"/>
        <v>0.92559187849325131</v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233</v>
      </c>
      <c r="C101" s="52" t="s">
        <v>211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49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234</v>
      </c>
      <c r="C102" s="52" t="s">
        <v>211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212</v>
      </c>
      <c r="J102" s="55" t="s">
        <v>234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235</v>
      </c>
      <c r="C103" s="52" t="s">
        <v>211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212</v>
      </c>
      <c r="J103" s="55" t="s">
        <v>235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>
        <v>11.8</v>
      </c>
      <c r="AA103" s="51">
        <v>13</v>
      </c>
      <c r="AB103" s="51">
        <v>13</v>
      </c>
      <c r="AC103" s="51">
        <v>11.6</v>
      </c>
      <c r="AD103" s="51">
        <v>13</v>
      </c>
      <c r="AE103" s="51">
        <v>13.2</v>
      </c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18</v>
      </c>
      <c r="AQ103" s="89">
        <f t="shared" si="7"/>
        <v>11.933333333333332</v>
      </c>
      <c r="AR103" s="89">
        <f>IFERROR(VLOOKUP(A103,Climatologia!A:U,9+$E$2,FALSE),"")</f>
        <v>11.333242057563099</v>
      </c>
      <c r="AS103" s="89">
        <f t="shared" si="8"/>
        <v>0.60009127577023236</v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236</v>
      </c>
      <c r="C104" s="52" t="s">
        <v>211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212</v>
      </c>
      <c r="J104" s="55" t="s">
        <v>236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>
        <v>2.6</v>
      </c>
      <c r="X104" s="51">
        <v>3.4</v>
      </c>
      <c r="Y104" s="51">
        <v>4</v>
      </c>
      <c r="Z104" s="111"/>
      <c r="AA104" s="51">
        <v>6</v>
      </c>
      <c r="AB104" s="51">
        <v>6.8</v>
      </c>
      <c r="AC104" s="51">
        <v>3</v>
      </c>
      <c r="AD104" s="51">
        <v>4.4000000000000004</v>
      </c>
      <c r="AE104" s="51">
        <v>6.4</v>
      </c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18</v>
      </c>
      <c r="AQ104" s="89">
        <f t="shared" si="7"/>
        <v>4.1578947368421062</v>
      </c>
      <c r="AR104" s="89">
        <f>IFERROR(VLOOKUP(A104,Climatologia!A:U,9+$E$2,FALSE),"")</f>
        <v>6.0789725209080059</v>
      </c>
      <c r="AS104" s="89">
        <f t="shared" si="8"/>
        <v>-1.9210777840658997</v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237</v>
      </c>
      <c r="C105" s="52" t="s">
        <v>211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212</v>
      </c>
      <c r="J105" s="55" t="s">
        <v>238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>
        <v>5.4</v>
      </c>
      <c r="X105" s="51">
        <v>5.2</v>
      </c>
      <c r="Y105" s="51">
        <v>4.8</v>
      </c>
      <c r="Z105" s="111">
        <v>4.5999999999999996</v>
      </c>
      <c r="AA105" s="51">
        <v>4.8</v>
      </c>
      <c r="AB105" s="51">
        <v>7.6</v>
      </c>
      <c r="AC105" s="51">
        <v>3.8</v>
      </c>
      <c r="AD105" s="51">
        <v>3.6</v>
      </c>
      <c r="AE105" s="51">
        <v>6.2</v>
      </c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21</v>
      </c>
      <c r="AQ105" s="89">
        <f t="shared" si="7"/>
        <v>5.2190476190476192</v>
      </c>
      <c r="AR105" s="89">
        <f>IFERROR(VLOOKUP(A105,Climatologia!A:U,9+$E$2,FALSE),"")</f>
        <v>6.6867982257377889</v>
      </c>
      <c r="AS105" s="89">
        <f t="shared" si="8"/>
        <v>-1.4677506066901698</v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239</v>
      </c>
      <c r="C106" s="52" t="s">
        <v>211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212</v>
      </c>
      <c r="J106" s="55" t="s">
        <v>240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>
        <v>11.2</v>
      </c>
      <c r="X106" s="51">
        <v>11</v>
      </c>
      <c r="Y106" s="51">
        <v>11.2</v>
      </c>
      <c r="Z106" s="111">
        <v>12.2</v>
      </c>
      <c r="AA106" s="51">
        <v>12.2</v>
      </c>
      <c r="AB106" s="51">
        <v>11.4</v>
      </c>
      <c r="AC106" s="51">
        <v>11.6</v>
      </c>
      <c r="AD106" s="51">
        <v>11.4</v>
      </c>
      <c r="AE106" s="51">
        <v>11.2</v>
      </c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21</v>
      </c>
      <c r="AQ106" s="89">
        <f t="shared" si="7"/>
        <v>10.895238095238094</v>
      </c>
      <c r="AR106" s="89">
        <f>IFERROR(VLOOKUP(A106,Climatologia!A:U,9+$E$2,FALSE),"")</f>
        <v>9.9225433842748103</v>
      </c>
      <c r="AS106" s="89">
        <f t="shared" si="8"/>
        <v>0.97269471096328353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241</v>
      </c>
      <c r="C107" s="52" t="s">
        <v>211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212</v>
      </c>
      <c r="J107" s="55" t="s">
        <v>241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>
        <v>13.4</v>
      </c>
      <c r="X107" s="51">
        <v>14.8</v>
      </c>
      <c r="Y107" s="51">
        <v>14.2</v>
      </c>
      <c r="Z107" s="111">
        <v>15</v>
      </c>
      <c r="AA107" s="51">
        <v>15.6</v>
      </c>
      <c r="AB107" s="51">
        <v>15</v>
      </c>
      <c r="AC107" s="51">
        <v>15</v>
      </c>
      <c r="AD107" s="51">
        <v>14.8</v>
      </c>
      <c r="AE107" s="51">
        <v>15</v>
      </c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19</v>
      </c>
      <c r="AQ107" s="89">
        <f t="shared" si="7"/>
        <v>14.621052631578948</v>
      </c>
      <c r="AR107" s="89">
        <f>IFERROR(VLOOKUP(A107,Climatologia!A:U,9+$E$2,FALSE),"")</f>
        <v>13.650700267218999</v>
      </c>
      <c r="AS107" s="89">
        <f t="shared" si="8"/>
        <v>0.97035236435994854</v>
      </c>
      <c r="AT107" s="90">
        <f t="shared" si="9"/>
        <v>13.4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6.4</v>
      </c>
    </row>
    <row r="108" spans="1:49" ht="14.25" customHeight="1" x14ac:dyDescent="0.2">
      <c r="A108" s="48">
        <v>35075030</v>
      </c>
      <c r="B108" s="52" t="s">
        <v>242</v>
      </c>
      <c r="C108" s="52" t="s">
        <v>211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212</v>
      </c>
      <c r="J108" s="55" t="s">
        <v>243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>
        <v>10.4</v>
      </c>
      <c r="X108" s="51">
        <v>13</v>
      </c>
      <c r="Y108" s="51">
        <v>13.6</v>
      </c>
      <c r="Z108" s="111">
        <v>13.4</v>
      </c>
      <c r="AA108" s="51">
        <v>14.6</v>
      </c>
      <c r="AB108" s="51">
        <v>13.4</v>
      </c>
      <c r="AC108" s="51">
        <v>13.8</v>
      </c>
      <c r="AD108" s="51">
        <v>12.2</v>
      </c>
      <c r="AE108" s="51">
        <v>13.8</v>
      </c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21</v>
      </c>
      <c r="AQ108" s="89">
        <f t="shared" si="7"/>
        <v>12.123809523809525</v>
      </c>
      <c r="AR108" s="89">
        <f>IFERROR(VLOOKUP(A108,Climatologia!A:U,9+$E$2,FALSE),"")</f>
        <v>11.71482091212458</v>
      </c>
      <c r="AS108" s="89">
        <f t="shared" si="8"/>
        <v>0.40898861168494527</v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244</v>
      </c>
      <c r="C109" s="52" t="s">
        <v>211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212</v>
      </c>
      <c r="J109" s="55" t="s">
        <v>245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>
        <v>13.4</v>
      </c>
      <c r="X109" s="51">
        <v>15.6</v>
      </c>
      <c r="Y109" s="51">
        <v>14.4</v>
      </c>
      <c r="Z109" s="111">
        <v>15.2</v>
      </c>
      <c r="AA109" s="51">
        <v>16</v>
      </c>
      <c r="AB109" s="51">
        <v>14.6</v>
      </c>
      <c r="AC109" s="51">
        <v>15</v>
      </c>
      <c r="AD109" s="51">
        <v>15.4</v>
      </c>
      <c r="AE109" s="51">
        <v>15.8</v>
      </c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21</v>
      </c>
      <c r="AQ109" s="89">
        <f t="shared" si="7"/>
        <v>14.676190476190476</v>
      </c>
      <c r="AR109" s="89">
        <f>IFERROR(VLOOKUP(A109,Climatologia!A:U,9+$E$2,FALSE),"")</f>
        <v>13.486598754951901</v>
      </c>
      <c r="AS109" s="89">
        <f t="shared" si="8"/>
        <v>1.1895917212385747</v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246</v>
      </c>
      <c r="C110" s="52" t="s">
        <v>211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212</v>
      </c>
      <c r="J110" s="55" t="s">
        <v>247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>
        <v>14</v>
      </c>
      <c r="X110" s="51">
        <v>16</v>
      </c>
      <c r="Y110" s="51">
        <v>15.6</v>
      </c>
      <c r="Z110" s="111">
        <v>16.2</v>
      </c>
      <c r="AA110" s="51">
        <v>16.600000000000001</v>
      </c>
      <c r="AB110" s="51">
        <v>16</v>
      </c>
      <c r="AC110" s="51">
        <v>15.8</v>
      </c>
      <c r="AD110" s="51">
        <v>16</v>
      </c>
      <c r="AE110" s="51">
        <v>16.600000000000001</v>
      </c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21</v>
      </c>
      <c r="AQ110" s="89">
        <f t="shared" si="7"/>
        <v>15.380952380952381</v>
      </c>
      <c r="AR110" s="89">
        <f>IFERROR(VLOOKUP(A110,Climatologia!A:U,9+$E$2,FALSE),"")</f>
        <v>13.526900330851941</v>
      </c>
      <c r="AS110" s="89">
        <f t="shared" si="8"/>
        <v>1.8540520501004405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248</v>
      </c>
      <c r="C111" s="52" t="s">
        <v>211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212</v>
      </c>
      <c r="J111" s="55" t="s">
        <v>248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>
        <v>17</v>
      </c>
      <c r="X111" s="51">
        <v>18.600000000000001</v>
      </c>
      <c r="Y111" s="51">
        <v>18.8</v>
      </c>
      <c r="Z111" s="111">
        <v>19</v>
      </c>
      <c r="AA111" s="51">
        <v>18.8</v>
      </c>
      <c r="AB111" s="51">
        <v>19.2</v>
      </c>
      <c r="AC111" s="51">
        <v>19</v>
      </c>
      <c r="AD111" s="51">
        <v>18.600000000000001</v>
      </c>
      <c r="AE111" s="51">
        <v>19.8</v>
      </c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21</v>
      </c>
      <c r="AQ111" s="89">
        <f t="shared" si="7"/>
        <v>18.400000000000002</v>
      </c>
      <c r="AR111" s="89">
        <f>IFERROR(VLOOKUP(A111,Climatologia!A:U,9+$E$2,FALSE),"")</f>
        <v>16.8655441109516</v>
      </c>
      <c r="AS111" s="89">
        <f t="shared" si="8"/>
        <v>1.5344558890484024</v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249</v>
      </c>
      <c r="C112" s="52" t="s">
        <v>211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166</v>
      </c>
      <c r="J112" s="55" t="s">
        <v>249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>
        <v>22.2</v>
      </c>
      <c r="X112" s="51">
        <v>22.8</v>
      </c>
      <c r="Y112" s="51">
        <v>23.2</v>
      </c>
      <c r="Z112" s="111">
        <v>22.8</v>
      </c>
      <c r="AA112" s="51">
        <v>22.4</v>
      </c>
      <c r="AB112" s="51">
        <v>22.8</v>
      </c>
      <c r="AC112" s="51">
        <v>24.2</v>
      </c>
      <c r="AD112" s="51">
        <v>23.4</v>
      </c>
      <c r="AE112" s="51">
        <v>24</v>
      </c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21</v>
      </c>
      <c r="AQ112" s="89">
        <f t="shared" si="7"/>
        <v>23.266666666666666</v>
      </c>
      <c r="AR112" s="89">
        <f>IFERROR(VLOOKUP(A112,Climatologia!A:U,9+$E$2,FALSE),"")</f>
        <v>22.5308162078518</v>
      </c>
      <c r="AS112" s="89">
        <f t="shared" si="8"/>
        <v>0.73585045881486622</v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250</v>
      </c>
      <c r="C113" s="52" t="s">
        <v>211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212</v>
      </c>
      <c r="J113" s="55" t="s">
        <v>251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>
        <v>14.2</v>
      </c>
      <c r="X113" s="51">
        <v>14.6</v>
      </c>
      <c r="Y113" s="51">
        <v>16.5</v>
      </c>
      <c r="Z113" s="111">
        <v>14.4</v>
      </c>
      <c r="AA113" s="51">
        <v>15.6</v>
      </c>
      <c r="AB113" s="51">
        <v>16.5</v>
      </c>
      <c r="AC113" s="51">
        <v>16.5</v>
      </c>
      <c r="AD113" s="51">
        <v>14.6</v>
      </c>
      <c r="AE113" s="51">
        <v>15.8</v>
      </c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21</v>
      </c>
      <c r="AQ113" s="89">
        <f t="shared" si="7"/>
        <v>15.214285714285717</v>
      </c>
      <c r="AR113" s="89">
        <f>IFERROR(VLOOKUP(A113,Climatologia!A:U,9+$E$2,FALSE),"")</f>
        <v>15.24686243974787</v>
      </c>
      <c r="AS113" s="89">
        <f t="shared" si="8"/>
        <v>-3.2576725462153178E-2</v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252</v>
      </c>
      <c r="C114" s="52" t="s">
        <v>211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166</v>
      </c>
      <c r="J114" s="55" t="s">
        <v>253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>
        <v>18.600000000000001</v>
      </c>
      <c r="X114" s="51">
        <v>18.8</v>
      </c>
      <c r="Y114" s="51">
        <v>19.399999999999999</v>
      </c>
      <c r="Z114" s="111">
        <v>19.8</v>
      </c>
      <c r="AA114" s="51">
        <v>19.399999999999999</v>
      </c>
      <c r="AB114" s="51">
        <v>19.600000000000001</v>
      </c>
      <c r="AC114" s="51"/>
      <c r="AD114" s="51">
        <v>19.600000000000001</v>
      </c>
      <c r="AE114" s="51">
        <v>21.2</v>
      </c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20</v>
      </c>
      <c r="AQ114" s="89">
        <f t="shared" si="7"/>
        <v>19.760000000000002</v>
      </c>
      <c r="AR114" s="89">
        <f>IFERROR(VLOOKUP(A114,Climatologia!A:U,9+$E$2,FALSE),"")</f>
        <v>22.117682198327358</v>
      </c>
      <c r="AS114" s="89">
        <f t="shared" si="8"/>
        <v>-2.3576821983273568</v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254</v>
      </c>
      <c r="C115" s="52" t="s">
        <v>211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166</v>
      </c>
      <c r="J115" s="55" t="s">
        <v>255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>
        <v>21.4</v>
      </c>
      <c r="X115" s="51">
        <v>23</v>
      </c>
      <c r="Y115" s="51">
        <v>23.4</v>
      </c>
      <c r="Z115" s="111"/>
      <c r="AA115" s="51">
        <v>23</v>
      </c>
      <c r="AB115" s="51">
        <v>22.4</v>
      </c>
      <c r="AC115" s="51">
        <v>23.2</v>
      </c>
      <c r="AD115" s="51">
        <v>22.8</v>
      </c>
      <c r="AE115" s="51">
        <v>23.6</v>
      </c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20</v>
      </c>
      <c r="AQ115" s="89">
        <f t="shared" si="7"/>
        <v>22.629999999999995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256</v>
      </c>
      <c r="C116" s="52" t="s">
        <v>211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166</v>
      </c>
      <c r="J116" s="55" t="s">
        <v>257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>
        <v>20.399999999999999</v>
      </c>
      <c r="X116" s="51">
        <v>19.600000000000001</v>
      </c>
      <c r="Y116" s="51">
        <v>21.2</v>
      </c>
      <c r="Z116" s="111">
        <v>22.4</v>
      </c>
      <c r="AA116" s="51">
        <v>19.2</v>
      </c>
      <c r="AB116" s="51">
        <v>20.2</v>
      </c>
      <c r="AC116" s="51">
        <v>19.399999999999999</v>
      </c>
      <c r="AD116" s="51">
        <v>20.2</v>
      </c>
      <c r="AE116" s="51">
        <v>22.4</v>
      </c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20</v>
      </c>
      <c r="AQ116" s="89">
        <f t="shared" si="7"/>
        <v>20.759999999999994</v>
      </c>
      <c r="AR116" s="89">
        <f>IFERROR(VLOOKUP(A116,Climatologia!A:U,9+$E$2,FALSE),"")</f>
        <v>18.405984169653529</v>
      </c>
      <c r="AS116" s="89">
        <f t="shared" si="8"/>
        <v>2.3540158303464658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3.8999999999999986</v>
      </c>
    </row>
    <row r="117" spans="1:49" ht="14.25" customHeight="1" x14ac:dyDescent="0.2">
      <c r="A117" s="48">
        <v>36015010</v>
      </c>
      <c r="B117" s="52" t="s">
        <v>258</v>
      </c>
      <c r="C117" s="52" t="s">
        <v>211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166</v>
      </c>
      <c r="J117" s="55" t="s">
        <v>258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>
        <v>22.4</v>
      </c>
      <c r="X117" s="51">
        <v>22.8</v>
      </c>
      <c r="Y117" s="51"/>
      <c r="Z117" s="111"/>
      <c r="AA117" s="51"/>
      <c r="AB117" s="51"/>
      <c r="AC117" s="51">
        <v>22</v>
      </c>
      <c r="AD117" s="51">
        <v>22</v>
      </c>
      <c r="AE117" s="51">
        <v>22.4</v>
      </c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17</v>
      </c>
      <c r="AQ117" s="89">
        <f t="shared" si="7"/>
        <v>22.470588235294116</v>
      </c>
      <c r="AR117" s="89">
        <f>IFERROR(VLOOKUP(A117,Climatologia!A:U,9+$E$2,FALSE),"")</f>
        <v>22.179111790878761</v>
      </c>
      <c r="AS117" s="89">
        <f t="shared" si="8"/>
        <v>0.29147644441535547</v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259</v>
      </c>
      <c r="C118" s="52" t="s">
        <v>211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90</v>
      </c>
      <c r="J118" s="55" t="s">
        <v>259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260</v>
      </c>
      <c r="C119" s="52" t="s">
        <v>261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181</v>
      </c>
      <c r="J119" s="55" t="s">
        <v>262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>
        <v>9.4</v>
      </c>
      <c r="W119" s="51">
        <v>3.8</v>
      </c>
      <c r="X119" s="51">
        <v>8.8000000000000007</v>
      </c>
      <c r="Y119" s="51">
        <v>8.1999999999999993</v>
      </c>
      <c r="Z119" s="111">
        <v>9.4</v>
      </c>
      <c r="AA119" s="51">
        <v>8</v>
      </c>
      <c r="AB119" s="51">
        <v>8.4</v>
      </c>
      <c r="AC119" s="51">
        <v>7.8</v>
      </c>
      <c r="AD119" s="51">
        <v>9.8000000000000007</v>
      </c>
      <c r="AE119" s="51">
        <v>9.1999999999999993</v>
      </c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21</v>
      </c>
      <c r="AQ119" s="89">
        <f t="shared" si="7"/>
        <v>8.5238095238095255</v>
      </c>
      <c r="AR119" s="89">
        <f>IFERROR(VLOOKUP(A119,Climatologia!A:U,9+$E$2,FALSE),"")</f>
        <v>5.9386052057570407</v>
      </c>
      <c r="AS119" s="89">
        <f t="shared" si="8"/>
        <v>2.5852043180524849</v>
      </c>
      <c r="AT119" s="90">
        <f t="shared" si="9"/>
        <v>3.8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263</v>
      </c>
      <c r="C120" s="52" t="s">
        <v>261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264</v>
      </c>
      <c r="J120" s="55" t="s">
        <v>265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266</v>
      </c>
      <c r="C121" s="52" t="s">
        <v>261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264</v>
      </c>
      <c r="J121" s="55" t="s">
        <v>267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>
        <v>8.3000000000000007</v>
      </c>
      <c r="X121" s="51">
        <v>10.1</v>
      </c>
      <c r="Y121" s="51">
        <v>7.5</v>
      </c>
      <c r="Z121" s="111">
        <v>11.7</v>
      </c>
      <c r="AA121" s="51">
        <v>12.7</v>
      </c>
      <c r="AB121" s="51">
        <v>12.4</v>
      </c>
      <c r="AC121" s="51">
        <v>10.7</v>
      </c>
      <c r="AD121" s="51">
        <v>11.1</v>
      </c>
      <c r="AE121" s="51">
        <v>13.4</v>
      </c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20</v>
      </c>
      <c r="AQ121" s="89">
        <f t="shared" si="7"/>
        <v>11.034999999999998</v>
      </c>
      <c r="AR121" s="89">
        <f>IFERROR(VLOOKUP(A121,Climatologia!A:U,9+$E$2,FALSE),"")</f>
        <v>10.81260585836114</v>
      </c>
      <c r="AS121" s="89">
        <f t="shared" si="8"/>
        <v>0.2223941416388584</v>
      </c>
      <c r="AT121" s="90">
        <f t="shared" si="9"/>
        <v>7.5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5.7</v>
      </c>
    </row>
    <row r="122" spans="1:49" ht="14.25" customHeight="1" x14ac:dyDescent="0.2">
      <c r="A122" s="48">
        <v>47015080</v>
      </c>
      <c r="B122" s="52" t="s">
        <v>268</v>
      </c>
      <c r="C122" s="52" t="s">
        <v>261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82</v>
      </c>
      <c r="J122" s="55" t="s">
        <v>269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270</v>
      </c>
      <c r="C123" s="52" t="s">
        <v>261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82</v>
      </c>
      <c r="J123" s="55" t="s">
        <v>271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>
        <v>3.2</v>
      </c>
      <c r="X123" s="51">
        <v>6.8</v>
      </c>
      <c r="Y123" s="51">
        <v>9</v>
      </c>
      <c r="Z123" s="111">
        <v>7.2</v>
      </c>
      <c r="AA123" s="51">
        <v>10</v>
      </c>
      <c r="AB123" s="51">
        <v>8.4</v>
      </c>
      <c r="AC123" s="51">
        <v>7.6</v>
      </c>
      <c r="AD123" s="51">
        <v>9.8000000000000007</v>
      </c>
      <c r="AE123" s="51">
        <v>9.8000000000000007</v>
      </c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21</v>
      </c>
      <c r="AQ123" s="89">
        <f t="shared" si="7"/>
        <v>8.6190476190476186</v>
      </c>
      <c r="AR123" s="89">
        <f>IFERROR(VLOOKUP(A123,Climatologia!A:U,9+$E$2,FALSE),"")</f>
        <v>7.6782114198549483</v>
      </c>
      <c r="AS123" s="89">
        <f t="shared" si="8"/>
        <v>0.94083619919267036</v>
      </c>
      <c r="AT123" s="90">
        <f t="shared" si="9"/>
        <v>3.2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2</v>
      </c>
    </row>
    <row r="124" spans="1:49" ht="14.25" customHeight="1" x14ac:dyDescent="0.2">
      <c r="A124" s="48">
        <v>47035020</v>
      </c>
      <c r="B124" s="52" t="s">
        <v>272</v>
      </c>
      <c r="C124" s="52" t="s">
        <v>261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264</v>
      </c>
      <c r="J124" s="55" t="s">
        <v>273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274</v>
      </c>
      <c r="C125" s="52" t="s">
        <v>261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82</v>
      </c>
      <c r="J125" s="55" t="s">
        <v>275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276</v>
      </c>
      <c r="C126" s="52" t="s">
        <v>261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181</v>
      </c>
      <c r="J126" s="55" t="s">
        <v>277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>
        <v>13.9</v>
      </c>
      <c r="V126" s="51">
        <v>13.3</v>
      </c>
      <c r="W126" s="51">
        <v>11.7</v>
      </c>
      <c r="X126" s="51">
        <v>13.8</v>
      </c>
      <c r="Y126" s="51">
        <v>13.5</v>
      </c>
      <c r="Z126" s="111">
        <v>12.6</v>
      </c>
      <c r="AA126" s="51">
        <v>12.6</v>
      </c>
      <c r="AB126" s="51">
        <v>11.5</v>
      </c>
      <c r="AC126" s="51">
        <v>13.7</v>
      </c>
      <c r="AD126" s="51">
        <v>13.5</v>
      </c>
      <c r="AE126" s="51">
        <v>14.3</v>
      </c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19</v>
      </c>
      <c r="AQ126" s="89">
        <f t="shared" si="7"/>
        <v>13.252631578947369</v>
      </c>
      <c r="AR126" s="89">
        <f>IFERROR(VLOOKUP(A126,Climatologia!A:U,9+$E$2,FALSE),"")</f>
        <v>11.41155222734255</v>
      </c>
      <c r="AS126" s="89">
        <f t="shared" si="8"/>
        <v>1.8410793516048187</v>
      </c>
      <c r="AT126" s="90">
        <f t="shared" si="9"/>
        <v>11.5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7.3</v>
      </c>
    </row>
    <row r="127" spans="1:49" ht="14.25" customHeight="1" x14ac:dyDescent="0.2">
      <c r="A127" s="48">
        <v>52025020</v>
      </c>
      <c r="B127" s="52" t="s">
        <v>278</v>
      </c>
      <c r="C127" s="52" t="s">
        <v>261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181</v>
      </c>
      <c r="J127" s="55" t="s">
        <v>34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>
        <v>16.2</v>
      </c>
      <c r="U127" s="51">
        <v>16.8</v>
      </c>
      <c r="V127" s="51">
        <v>14.6</v>
      </c>
      <c r="W127" s="51">
        <v>13.2</v>
      </c>
      <c r="X127" s="51">
        <v>14.4</v>
      </c>
      <c r="Y127" s="51">
        <v>14.6</v>
      </c>
      <c r="Z127" s="111">
        <v>15.2</v>
      </c>
      <c r="AA127" s="51">
        <v>13.2</v>
      </c>
      <c r="AB127" s="51">
        <v>13</v>
      </c>
      <c r="AC127" s="51">
        <v>16.600000000000001</v>
      </c>
      <c r="AD127" s="51">
        <v>15.8</v>
      </c>
      <c r="AE127" s="51">
        <v>16</v>
      </c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21</v>
      </c>
      <c r="AQ127" s="89">
        <f t="shared" si="7"/>
        <v>14.999999999999996</v>
      </c>
      <c r="AR127" s="89">
        <f>IFERROR(VLOOKUP(A127,Climatologia!A:U,9+$E$2,FALSE),"")</f>
        <v>13.308933276833161</v>
      </c>
      <c r="AS127" s="89">
        <f t="shared" si="8"/>
        <v>1.6910667231668359</v>
      </c>
      <c r="AT127" s="90">
        <f t="shared" si="9"/>
        <v>13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</v>
      </c>
    </row>
    <row r="128" spans="1:49" ht="14.25" customHeight="1" x14ac:dyDescent="0.2">
      <c r="A128" s="48">
        <v>52025090</v>
      </c>
      <c r="B128" s="52" t="s">
        <v>279</v>
      </c>
      <c r="C128" s="52" t="s">
        <v>261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181</v>
      </c>
      <c r="J128" s="55" t="s">
        <v>280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281</v>
      </c>
      <c r="C129" s="52" t="s">
        <v>261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82</v>
      </c>
      <c r="J129" s="55" t="s">
        <v>271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>
        <v>7.6</v>
      </c>
      <c r="X129" s="51">
        <v>10.4</v>
      </c>
      <c r="Y129" s="51">
        <v>10.6</v>
      </c>
      <c r="Z129" s="111">
        <v>9.6</v>
      </c>
      <c r="AA129" s="51">
        <v>10.199999999999999</v>
      </c>
      <c r="AB129" s="51">
        <v>8.8000000000000007</v>
      </c>
      <c r="AC129" s="51">
        <v>11.4</v>
      </c>
      <c r="AD129" s="51">
        <v>11</v>
      </c>
      <c r="AE129" s="51">
        <v>11</v>
      </c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21</v>
      </c>
      <c r="AQ129" s="89">
        <f t="shared" si="7"/>
        <v>10.404761904761905</v>
      </c>
      <c r="AR129" s="89">
        <f>IFERROR(VLOOKUP(A129,Climatologia!A:U,9+$E$2,FALSE),"")</f>
        <v>9.236293266429529</v>
      </c>
      <c r="AS129" s="89">
        <f t="shared" si="8"/>
        <v>1.1684686383323761</v>
      </c>
      <c r="AT129" s="90">
        <f t="shared" si="9"/>
        <v>7.6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3.3999999999999995</v>
      </c>
    </row>
    <row r="130" spans="1:49" ht="14.25" customHeight="1" x14ac:dyDescent="0.2">
      <c r="A130" s="48">
        <v>52045030</v>
      </c>
      <c r="B130" s="52" t="s">
        <v>282</v>
      </c>
      <c r="C130" s="52" t="s">
        <v>261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82</v>
      </c>
      <c r="J130" s="55" t="s">
        <v>282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>
        <v>8.6</v>
      </c>
      <c r="X130" s="51">
        <v>11.8</v>
      </c>
      <c r="Y130" s="51">
        <v>11.2</v>
      </c>
      <c r="Z130" s="111">
        <v>12</v>
      </c>
      <c r="AA130" s="51">
        <v>12.4</v>
      </c>
      <c r="AB130" s="51">
        <v>11.6</v>
      </c>
      <c r="AC130" s="51">
        <v>10.6</v>
      </c>
      <c r="AD130" s="51">
        <v>11</v>
      </c>
      <c r="AE130" s="51">
        <v>10.6</v>
      </c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21</v>
      </c>
      <c r="AQ130" s="89">
        <f t="shared" si="7"/>
        <v>11.085714285714285</v>
      </c>
      <c r="AR130" s="89">
        <f>IFERROR(VLOOKUP(A130,Climatologia!A:U,9+$E$2,FALSE),"")</f>
        <v>10.41098422703651</v>
      </c>
      <c r="AS130" s="89">
        <f t="shared" si="8"/>
        <v>0.6747300586777758</v>
      </c>
      <c r="AT130" s="90">
        <f t="shared" si="9"/>
        <v>8.6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2.1999999999999993</v>
      </c>
    </row>
    <row r="131" spans="1:49" ht="14.25" customHeight="1" x14ac:dyDescent="0.2">
      <c r="A131" s="48">
        <v>52045040</v>
      </c>
      <c r="B131" s="52" t="s">
        <v>283</v>
      </c>
      <c r="C131" s="52" t="s">
        <v>261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82</v>
      </c>
      <c r="J131" s="55" t="s">
        <v>283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>
        <v>16.8</v>
      </c>
      <c r="X131" s="51">
        <v>17</v>
      </c>
      <c r="Y131" s="51">
        <v>16</v>
      </c>
      <c r="Z131" s="111">
        <v>16</v>
      </c>
      <c r="AA131" s="51">
        <v>15</v>
      </c>
      <c r="AB131" s="51">
        <v>15.2</v>
      </c>
      <c r="AC131" s="51">
        <v>16</v>
      </c>
      <c r="AD131" s="51">
        <v>17.8</v>
      </c>
      <c r="AE131" s="51">
        <v>18.600000000000001</v>
      </c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21</v>
      </c>
      <c r="AQ131" s="89">
        <f t="shared" si="7"/>
        <v>16.714285714285715</v>
      </c>
      <c r="AR131" s="89">
        <f>IFERROR(VLOOKUP(A131,Climatologia!A:U,9+$E$2,FALSE),"")</f>
        <v>14.78700374480772</v>
      </c>
      <c r="AS131" s="89">
        <f t="shared" si="8"/>
        <v>1.9272819694779955</v>
      </c>
      <c r="AT131" s="90">
        <f t="shared" si="9"/>
        <v>15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</v>
      </c>
    </row>
    <row r="132" spans="1:49" ht="14.25" customHeight="1" x14ac:dyDescent="0.2">
      <c r="A132" s="48">
        <v>52045090</v>
      </c>
      <c r="B132" s="52" t="s">
        <v>284</v>
      </c>
      <c r="C132" s="52" t="s">
        <v>261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82</v>
      </c>
      <c r="J132" s="55" t="s">
        <v>285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>
        <v>4</v>
      </c>
      <c r="X132" s="51">
        <v>4.4000000000000004</v>
      </c>
      <c r="Y132" s="51">
        <v>5</v>
      </c>
      <c r="Z132" s="111">
        <v>5.8</v>
      </c>
      <c r="AA132" s="51">
        <v>6.2</v>
      </c>
      <c r="AB132" s="51">
        <v>5.2</v>
      </c>
      <c r="AC132" s="51">
        <v>5.2</v>
      </c>
      <c r="AD132" s="51">
        <v>6</v>
      </c>
      <c r="AE132" s="51">
        <v>6.2</v>
      </c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21</v>
      </c>
      <c r="AQ132" s="89">
        <f t="shared" si="7"/>
        <v>5.5571428571428569</v>
      </c>
      <c r="AR132" s="89">
        <f>IFERROR(VLOOKUP(A132,Climatologia!A:U,9+$E$2,FALSE),"")</f>
        <v>5.8955999815287932</v>
      </c>
      <c r="AS132" s="89">
        <f t="shared" si="8"/>
        <v>-0.33845712438593623</v>
      </c>
      <c r="AT132" s="90">
        <f t="shared" si="9"/>
        <v>4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2.8</v>
      </c>
    </row>
    <row r="133" spans="1:49" ht="14.25" customHeight="1" x14ac:dyDescent="0.2">
      <c r="A133" s="48">
        <v>52055030</v>
      </c>
      <c r="B133" s="52" t="s">
        <v>286</v>
      </c>
      <c r="C133" s="52" t="s">
        <v>261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82</v>
      </c>
      <c r="J133" s="55" t="s">
        <v>287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288</v>
      </c>
      <c r="C134" s="52" t="s">
        <v>261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82</v>
      </c>
      <c r="J134" s="55" t="s">
        <v>289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>
        <v>14.2</v>
      </c>
      <c r="X134" s="51">
        <v>15</v>
      </c>
      <c r="Y134" s="51">
        <v>15.6</v>
      </c>
      <c r="Z134" s="111">
        <v>14.8</v>
      </c>
      <c r="AA134" s="51">
        <v>15.4</v>
      </c>
      <c r="AB134" s="51">
        <v>16.8</v>
      </c>
      <c r="AC134" s="51">
        <v>16.2</v>
      </c>
      <c r="AD134" s="51">
        <v>15.8</v>
      </c>
      <c r="AE134" s="51">
        <v>17</v>
      </c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19</v>
      </c>
      <c r="AQ134" s="89">
        <f t="shared" si="12"/>
        <v>15.663157894736846</v>
      </c>
      <c r="AR134" s="89">
        <f>IFERROR(VLOOKUP(A134,Climatologia!A:U,9+$E$2,FALSE),"")</f>
        <v>13.620393029291799</v>
      </c>
      <c r="AS134" s="89">
        <f t="shared" si="13"/>
        <v>2.0427648654450472</v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6.1999999999999993</v>
      </c>
    </row>
    <row r="135" spans="1:49" ht="14.25" customHeight="1" x14ac:dyDescent="0.2">
      <c r="A135" s="48">
        <v>52055090</v>
      </c>
      <c r="B135" s="52" t="s">
        <v>290</v>
      </c>
      <c r="C135" s="52" t="s">
        <v>261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82</v>
      </c>
      <c r="J135" s="55" t="s">
        <v>291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>
        <v>9</v>
      </c>
      <c r="X135" s="51">
        <v>10.7</v>
      </c>
      <c r="Y135" s="51">
        <v>11</v>
      </c>
      <c r="Z135" s="111">
        <v>9</v>
      </c>
      <c r="AA135" s="51">
        <v>10</v>
      </c>
      <c r="AB135" s="51">
        <v>11</v>
      </c>
      <c r="AC135" s="51">
        <v>12</v>
      </c>
      <c r="AD135" s="51">
        <v>10.9</v>
      </c>
      <c r="AE135" s="51">
        <v>10</v>
      </c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21</v>
      </c>
      <c r="AQ135" s="89">
        <f t="shared" si="12"/>
        <v>10.795238095238094</v>
      </c>
      <c r="AR135" s="89">
        <f>IFERROR(VLOOKUP(A135,Climatologia!A:U,9+$E$2,FALSE),"")</f>
        <v>9.1065439288804146</v>
      </c>
      <c r="AS135" s="89">
        <f t="shared" si="13"/>
        <v>1.6886941663576795</v>
      </c>
      <c r="AT135" s="90">
        <f t="shared" si="14"/>
        <v>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4.0999999999999996</v>
      </c>
    </row>
    <row r="136" spans="1:49" ht="14.25" customHeight="1" x14ac:dyDescent="0.2">
      <c r="A136" s="48">
        <v>52055200</v>
      </c>
      <c r="B136" s="52" t="s">
        <v>292</v>
      </c>
      <c r="C136" s="52" t="s">
        <v>261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82</v>
      </c>
      <c r="J136" s="55" t="s">
        <v>292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>
        <v>13.8</v>
      </c>
      <c r="X136" s="51">
        <v>12.4</v>
      </c>
      <c r="Y136" s="51">
        <v>14.2</v>
      </c>
      <c r="Z136" s="111">
        <v>13.2</v>
      </c>
      <c r="AA136" s="51">
        <v>13.6</v>
      </c>
      <c r="AB136" s="51">
        <v>12.2</v>
      </c>
      <c r="AC136" s="51">
        <v>11.4</v>
      </c>
      <c r="AD136" s="51">
        <v>15</v>
      </c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20</v>
      </c>
      <c r="AQ136" s="89">
        <f t="shared" si="12"/>
        <v>13.77</v>
      </c>
      <c r="AR136" s="89">
        <f>IFERROR(VLOOKUP(A136,Climatologia!A:U,9+$E$2,FALSE),"")</f>
        <v>12.59594623655914</v>
      </c>
      <c r="AS136" s="89">
        <f t="shared" si="13"/>
        <v>1.1740537634408597</v>
      </c>
      <c r="AT136" s="90">
        <f t="shared" si="14"/>
        <v>11.4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3.6000000000000005</v>
      </c>
    </row>
    <row r="137" spans="1:49" ht="14.25" customHeight="1" x14ac:dyDescent="0.2">
      <c r="A137" s="48">
        <v>52055210</v>
      </c>
      <c r="B137" s="52" t="s">
        <v>293</v>
      </c>
      <c r="C137" s="52" t="s">
        <v>261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82</v>
      </c>
      <c r="J137" s="55" t="s">
        <v>271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>
        <v>5</v>
      </c>
      <c r="X137" s="51">
        <v>8.4</v>
      </c>
      <c r="Y137" s="51">
        <v>10.4</v>
      </c>
      <c r="Z137" s="111">
        <v>8.1999999999999993</v>
      </c>
      <c r="AA137" s="51">
        <v>10.199999999999999</v>
      </c>
      <c r="AB137" s="51">
        <v>8.6</v>
      </c>
      <c r="AC137" s="51">
        <v>11</v>
      </c>
      <c r="AD137" s="51">
        <v>10.8</v>
      </c>
      <c r="AE137" s="51">
        <v>10.6</v>
      </c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21</v>
      </c>
      <c r="AQ137" s="89">
        <f t="shared" si="12"/>
        <v>9.8285714285714274</v>
      </c>
      <c r="AR137" s="89">
        <f>IFERROR(VLOOKUP(A137,Climatologia!A:U,9+$E$2,FALSE),"")</f>
        <v>8.5766227213911144</v>
      </c>
      <c r="AS137" s="89">
        <f t="shared" si="13"/>
        <v>1.251948707180313</v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2.6</v>
      </c>
    </row>
    <row r="138" spans="1:49" ht="14.25" customHeight="1" x14ac:dyDescent="0.2">
      <c r="A138" s="48">
        <v>52055220</v>
      </c>
      <c r="B138" s="52" t="s">
        <v>294</v>
      </c>
      <c r="C138" s="52" t="s">
        <v>261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82</v>
      </c>
      <c r="J138" s="55" t="s">
        <v>295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>
        <v>7.6</v>
      </c>
      <c r="W138" s="51">
        <v>5.8</v>
      </c>
      <c r="X138" s="51">
        <v>6.4</v>
      </c>
      <c r="Y138" s="51">
        <v>7.8</v>
      </c>
      <c r="Z138" s="111">
        <v>8</v>
      </c>
      <c r="AA138" s="51">
        <v>9.6</v>
      </c>
      <c r="AB138" s="51">
        <v>8.8000000000000007</v>
      </c>
      <c r="AC138" s="51">
        <v>8</v>
      </c>
      <c r="AD138" s="51">
        <v>7.8</v>
      </c>
      <c r="AE138" s="51">
        <v>7.2</v>
      </c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21</v>
      </c>
      <c r="AQ138" s="89">
        <f t="shared" si="12"/>
        <v>7.666666666666667</v>
      </c>
      <c r="AR138" s="89">
        <f>IFERROR(VLOOKUP(A138,Climatologia!A:U,9+$E$2,FALSE),"")</f>
        <v>6.6337893956247704</v>
      </c>
      <c r="AS138" s="89">
        <f t="shared" si="13"/>
        <v>1.0328772710418965</v>
      </c>
      <c r="AT138" s="90">
        <f t="shared" si="14"/>
        <v>5.8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296</v>
      </c>
      <c r="C139" s="52" t="s">
        <v>261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181</v>
      </c>
      <c r="J139" s="55" t="s">
        <v>297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>
        <v>24.8</v>
      </c>
      <c r="X139" s="51">
        <v>25.2</v>
      </c>
      <c r="Y139" s="51">
        <v>25.4</v>
      </c>
      <c r="Z139" s="111">
        <v>24.4</v>
      </c>
      <c r="AA139" s="51">
        <v>23.6</v>
      </c>
      <c r="AB139" s="51">
        <v>24.4</v>
      </c>
      <c r="AC139" s="51">
        <v>24.2</v>
      </c>
      <c r="AD139" s="51">
        <v>24.8</v>
      </c>
      <c r="AE139" s="51">
        <v>25.4</v>
      </c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21</v>
      </c>
      <c r="AQ139" s="89">
        <f t="shared" si="12"/>
        <v>24.68571428571428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298</v>
      </c>
      <c r="C140" s="52" t="s">
        <v>299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300</v>
      </c>
      <c r="J140" s="55" t="s">
        <v>301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>
        <v>11.8</v>
      </c>
      <c r="X140" s="51">
        <v>11.6</v>
      </c>
      <c r="Y140" s="51">
        <v>12.2</v>
      </c>
      <c r="Z140" s="111">
        <v>13.2</v>
      </c>
      <c r="AA140" s="51">
        <v>13</v>
      </c>
      <c r="AB140" s="51">
        <v>12</v>
      </c>
      <c r="AC140" s="51">
        <v>12.8</v>
      </c>
      <c r="AD140" s="51">
        <v>13.2</v>
      </c>
      <c r="AE140" s="51">
        <v>13</v>
      </c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21</v>
      </c>
      <c r="AQ140" s="89">
        <f t="shared" si="12"/>
        <v>11.657142857142855</v>
      </c>
      <c r="AR140" s="89">
        <f>IFERROR(VLOOKUP(A140,Climatologia!A:U,9+$E$2,FALSE),"")</f>
        <v>11.08632974910395</v>
      </c>
      <c r="AS140" s="89">
        <f t="shared" si="13"/>
        <v>0.57081310803890517</v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302</v>
      </c>
      <c r="C141" s="52" t="s">
        <v>299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300</v>
      </c>
      <c r="J141" s="55" t="s">
        <v>302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>
        <v>15.8</v>
      </c>
      <c r="X141" s="51">
        <v>15.4</v>
      </c>
      <c r="Y141" s="51">
        <v>15.8</v>
      </c>
      <c r="Z141" s="111">
        <v>15</v>
      </c>
      <c r="AA141" s="51">
        <v>15.8</v>
      </c>
      <c r="AB141" s="51">
        <v>16</v>
      </c>
      <c r="AC141" s="51">
        <v>15.4</v>
      </c>
      <c r="AD141" s="51">
        <v>15.6</v>
      </c>
      <c r="AE141" s="51">
        <v>15</v>
      </c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21</v>
      </c>
      <c r="AQ141" s="89">
        <f t="shared" si="12"/>
        <v>15</v>
      </c>
      <c r="AR141" s="89">
        <f>IFERROR(VLOOKUP(A141,Climatologia!A:U,9+$E$2,FALSE),"")</f>
        <v>14.39065028161802</v>
      </c>
      <c r="AS141" s="89">
        <f t="shared" si="13"/>
        <v>0.6093497183819796</v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303</v>
      </c>
      <c r="C142" s="52" t="s">
        <v>299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300</v>
      </c>
      <c r="J142" s="55" t="s">
        <v>304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>
        <v>28</v>
      </c>
      <c r="X142" s="51">
        <v>24.4</v>
      </c>
      <c r="Y142" s="51">
        <v>23</v>
      </c>
      <c r="Z142" s="111">
        <v>23.2</v>
      </c>
      <c r="AA142" s="51">
        <v>24</v>
      </c>
      <c r="AB142" s="51">
        <v>24.8</v>
      </c>
      <c r="AC142" s="51">
        <v>26</v>
      </c>
      <c r="AD142" s="51">
        <v>25.2</v>
      </c>
      <c r="AE142" s="51">
        <v>25.4</v>
      </c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21</v>
      </c>
      <c r="AQ142" s="89">
        <f t="shared" si="12"/>
        <v>24.171428571428571</v>
      </c>
      <c r="AR142" s="89">
        <f>IFERROR(VLOOKUP(A142,Climatologia!A:U,9+$E$2,FALSE),"")</f>
        <v>22.55356989247311</v>
      </c>
      <c r="AS142" s="89">
        <f t="shared" si="13"/>
        <v>1.6178586789554608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305</v>
      </c>
      <c r="C143" s="52" t="s">
        <v>299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300</v>
      </c>
      <c r="J143" s="55" t="s">
        <v>305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>
        <v>21.6</v>
      </c>
      <c r="X143" s="51">
        <v>21.2</v>
      </c>
      <c r="Y143" s="51">
        <v>21</v>
      </c>
      <c r="Z143" s="111">
        <v>20.2</v>
      </c>
      <c r="AA143" s="51">
        <v>20.8</v>
      </c>
      <c r="AB143" s="51">
        <v>20.6</v>
      </c>
      <c r="AC143" s="51">
        <v>20.6</v>
      </c>
      <c r="AD143" s="51">
        <v>21.2</v>
      </c>
      <c r="AE143" s="51">
        <v>20.8</v>
      </c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21</v>
      </c>
      <c r="AQ143" s="89">
        <f t="shared" si="12"/>
        <v>20.409523809523812</v>
      </c>
      <c r="AR143" s="89">
        <f>IFERROR(VLOOKUP(A143,Climatologia!A:U,9+$E$2,FALSE),"")</f>
        <v>19.318198924731181</v>
      </c>
      <c r="AS143" s="89">
        <f t="shared" si="13"/>
        <v>1.0913248847926305</v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306</v>
      </c>
      <c r="C144" s="52" t="s">
        <v>299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300</v>
      </c>
      <c r="J144" s="55" t="s">
        <v>304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>
        <v>26</v>
      </c>
      <c r="X144" s="51">
        <v>24.6</v>
      </c>
      <c r="Y144" s="51">
        <v>24.4</v>
      </c>
      <c r="Z144" s="111">
        <v>24.2</v>
      </c>
      <c r="AA144" s="51">
        <v>24.8</v>
      </c>
      <c r="AB144" s="51">
        <v>24.4</v>
      </c>
      <c r="AC144" s="51">
        <v>25</v>
      </c>
      <c r="AD144" s="51">
        <v>26.2</v>
      </c>
      <c r="AE144" s="51">
        <v>25.4</v>
      </c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21</v>
      </c>
      <c r="AQ144" s="89">
        <f t="shared" si="12"/>
        <v>24.62857142857143</v>
      </c>
      <c r="AR144" s="89">
        <f>IFERROR(VLOOKUP(A144,Climatologia!A:U,9+$E$2,FALSE),"")</f>
        <v>23.19416875486397</v>
      </c>
      <c r="AS144" s="89">
        <f t="shared" si="13"/>
        <v>1.43440267370746</v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307</v>
      </c>
      <c r="C145" s="52" t="s">
        <v>299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300</v>
      </c>
      <c r="J145" s="55" t="s">
        <v>308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>
        <v>18</v>
      </c>
      <c r="X145" s="51">
        <v>18</v>
      </c>
      <c r="Y145" s="51">
        <v>18</v>
      </c>
      <c r="Z145" s="111">
        <v>19</v>
      </c>
      <c r="AA145" s="51">
        <v>18.600000000000001</v>
      </c>
      <c r="AB145" s="51">
        <v>18.600000000000001</v>
      </c>
      <c r="AC145" s="51">
        <v>17.8</v>
      </c>
      <c r="AD145" s="51">
        <v>16.399999999999999</v>
      </c>
      <c r="AE145" s="51">
        <v>17.8</v>
      </c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21</v>
      </c>
      <c r="AQ145" s="89">
        <f t="shared" si="12"/>
        <v>17.371428571428574</v>
      </c>
      <c r="AR145" s="89">
        <f>IFERROR(VLOOKUP(A145,Climatologia!A:U,9+$E$2,FALSE),"")</f>
        <v>15.79466943151284</v>
      </c>
      <c r="AS145" s="89">
        <f t="shared" si="13"/>
        <v>1.5767591399157332</v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309</v>
      </c>
      <c r="C146" s="52" t="s">
        <v>299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300</v>
      </c>
      <c r="J146" s="55" t="s">
        <v>310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>
        <v>14</v>
      </c>
      <c r="X146" s="51">
        <v>15.4</v>
      </c>
      <c r="Y146" s="51">
        <v>13</v>
      </c>
      <c r="Z146" s="111"/>
      <c r="AA146" s="51"/>
      <c r="AB146" s="51">
        <v>16.399999999999999</v>
      </c>
      <c r="AC146" s="51">
        <v>14.2</v>
      </c>
      <c r="AD146" s="51">
        <v>14.2</v>
      </c>
      <c r="AE146" s="51">
        <v>14.4</v>
      </c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19</v>
      </c>
      <c r="AQ146" s="89">
        <f t="shared" si="12"/>
        <v>13.610526315789471</v>
      </c>
      <c r="AR146" s="89">
        <f>IFERROR(VLOOKUP(A146,Climatologia!A:U,9+$E$2,FALSE),"")</f>
        <v>13.67439615180003</v>
      </c>
      <c r="AS146" s="89">
        <f t="shared" si="13"/>
        <v>-6.3869836010558956E-2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311</v>
      </c>
      <c r="C147" s="52" t="s">
        <v>299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49</v>
      </c>
      <c r="J147" s="55" t="s">
        <v>311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>
        <v>18.2</v>
      </c>
      <c r="X147" s="51">
        <v>17.399999999999999</v>
      </c>
      <c r="Y147" s="51">
        <v>16.399999999999999</v>
      </c>
      <c r="Z147" s="111">
        <v>16.600000000000001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>
        <v>18.399999999999999</v>
      </c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21</v>
      </c>
      <c r="AQ147" s="89">
        <f t="shared" si="12"/>
        <v>16.780952380952378</v>
      </c>
      <c r="AR147" s="89">
        <f>IFERROR(VLOOKUP(A147,Climatologia!A:U,9+$E$2,FALSE),"")</f>
        <v>14.54256377143717</v>
      </c>
      <c r="AS147" s="89">
        <f t="shared" si="13"/>
        <v>2.2383886095152086</v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312</v>
      </c>
      <c r="C148" s="52" t="s">
        <v>299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49</v>
      </c>
      <c r="J148" s="55" t="s">
        <v>312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313</v>
      </c>
      <c r="C149" s="52" t="s">
        <v>299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49</v>
      </c>
      <c r="J149" s="55" t="s">
        <v>314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315</v>
      </c>
      <c r="C150" s="52" t="s">
        <v>299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49</v>
      </c>
      <c r="J150" s="55" t="s">
        <v>50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>
        <v>26.2</v>
      </c>
      <c r="X150" s="51">
        <v>26</v>
      </c>
      <c r="Y150" s="51">
        <v>24.6</v>
      </c>
      <c r="Z150" s="111"/>
      <c r="AA150" s="51">
        <v>23.8</v>
      </c>
      <c r="AB150" s="51">
        <v>24.2</v>
      </c>
      <c r="AC150" s="51">
        <v>24.8</v>
      </c>
      <c r="AD150" s="51">
        <v>26</v>
      </c>
      <c r="AE150" s="51">
        <v>25.8</v>
      </c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20</v>
      </c>
      <c r="AQ150" s="89">
        <f t="shared" si="12"/>
        <v>24.91</v>
      </c>
      <c r="AR150" s="89">
        <f>IFERROR(VLOOKUP(A150,Climatologia!A:U,9+$E$2,FALSE),"")</f>
        <v>22.358974539611911</v>
      </c>
      <c r="AS150" s="89">
        <f t="shared" si="13"/>
        <v>2.5510254603880895</v>
      </c>
      <c r="AT150" s="90">
        <f t="shared" si="14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4.8000000000000007</v>
      </c>
    </row>
    <row r="151" spans="1:49" ht="14.25" customHeight="1" x14ac:dyDescent="0.2">
      <c r="A151" s="48">
        <v>23185010</v>
      </c>
      <c r="B151" s="52" t="s">
        <v>316</v>
      </c>
      <c r="C151" s="52" t="s">
        <v>299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49</v>
      </c>
      <c r="J151" s="55" t="s">
        <v>317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>
        <v>25.4</v>
      </c>
      <c r="X151" s="51">
        <v>24.2</v>
      </c>
      <c r="Y151" s="51">
        <v>25</v>
      </c>
      <c r="Z151" s="111">
        <v>25.4</v>
      </c>
      <c r="AA151" s="51">
        <v>23.8</v>
      </c>
      <c r="AB151" s="51">
        <v>23.2</v>
      </c>
      <c r="AC151" s="51"/>
      <c r="AD151" s="51">
        <v>25</v>
      </c>
      <c r="AE151" s="51">
        <v>25.6</v>
      </c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20</v>
      </c>
      <c r="AQ151" s="89">
        <f t="shared" si="12"/>
        <v>24.52</v>
      </c>
      <c r="AR151" s="89">
        <f>IFERROR(VLOOKUP(A151,Climatologia!A:U,9+$E$2,FALSE),"")</f>
        <v>23.435096179938832</v>
      </c>
      <c r="AS151" s="89">
        <f t="shared" si="13"/>
        <v>1.084903820061168</v>
      </c>
      <c r="AT151" s="90">
        <f t="shared" si="14"/>
        <v>23.2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6.1999999999999993</v>
      </c>
    </row>
    <row r="152" spans="1:49" ht="14.25" customHeight="1" x14ac:dyDescent="0.2">
      <c r="A152" s="48">
        <v>23195090</v>
      </c>
      <c r="B152" s="52" t="s">
        <v>318</v>
      </c>
      <c r="C152" s="52" t="s">
        <v>299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49</v>
      </c>
      <c r="J152" s="55" t="s">
        <v>319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>
        <v>15.4</v>
      </c>
      <c r="X152" s="51">
        <v>16.8</v>
      </c>
      <c r="Y152" s="51">
        <v>15.2</v>
      </c>
      <c r="Z152" s="111">
        <v>15</v>
      </c>
      <c r="AA152" s="51">
        <v>15</v>
      </c>
      <c r="AB152" s="51">
        <v>14.8</v>
      </c>
      <c r="AC152" s="51">
        <v>14.4</v>
      </c>
      <c r="AD152" s="51">
        <v>14.2</v>
      </c>
      <c r="AE152" s="51">
        <v>17</v>
      </c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21</v>
      </c>
      <c r="AQ152" s="89">
        <f t="shared" si="12"/>
        <v>14.980952380952379</v>
      </c>
      <c r="AR152" s="89">
        <f>IFERROR(VLOOKUP(A152,Climatologia!A:U,9+$E$2,FALSE),"")</f>
        <v>14.28172753446659</v>
      </c>
      <c r="AS152" s="89">
        <f t="shared" si="13"/>
        <v>0.69922484648578909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320</v>
      </c>
      <c r="C153" s="52" t="s">
        <v>299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49</v>
      </c>
      <c r="J153" s="55" t="s">
        <v>321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>
        <v>20.6</v>
      </c>
      <c r="X153" s="51">
        <v>22.2</v>
      </c>
      <c r="Y153" s="51">
        <v>21.4</v>
      </c>
      <c r="Z153" s="111">
        <v>22.6</v>
      </c>
      <c r="AA153" s="51">
        <v>22.2</v>
      </c>
      <c r="AB153" s="51">
        <v>21.8</v>
      </c>
      <c r="AC153" s="51">
        <v>19.399999999999999</v>
      </c>
      <c r="AD153" s="51">
        <v>20.6</v>
      </c>
      <c r="AE153" s="51">
        <v>21.6</v>
      </c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21</v>
      </c>
      <c r="AQ153" s="89">
        <f t="shared" si="12"/>
        <v>20.876190476190477</v>
      </c>
      <c r="AR153" s="89">
        <f>IFERROR(VLOOKUP(A153,Climatologia!A:U,9+$E$2,FALSE),"")</f>
        <v>19.33438505823419</v>
      </c>
      <c r="AS153" s="89">
        <f t="shared" si="13"/>
        <v>1.5418054179562866</v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322</v>
      </c>
      <c r="C154" s="52" t="s">
        <v>299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49</v>
      </c>
      <c r="J154" s="55" t="s">
        <v>323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>
        <v>16.399999999999999</v>
      </c>
      <c r="X154" s="51">
        <v>16</v>
      </c>
      <c r="Y154" s="51">
        <v>17</v>
      </c>
      <c r="Z154" s="111">
        <v>17</v>
      </c>
      <c r="AA154" s="51">
        <v>18</v>
      </c>
      <c r="AB154" s="51">
        <v>17.399999999999999</v>
      </c>
      <c r="AC154" s="51">
        <v>17</v>
      </c>
      <c r="AD154" s="51">
        <v>17</v>
      </c>
      <c r="AE154" s="51">
        <v>17.600000000000001</v>
      </c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21</v>
      </c>
      <c r="AQ154" s="89">
        <f t="shared" si="12"/>
        <v>16.390476190476189</v>
      </c>
      <c r="AR154" s="89">
        <f>IFERROR(VLOOKUP(A154,Climatologia!A:U,9+$E$2,FALSE),"")</f>
        <v>15.34016874367072</v>
      </c>
      <c r="AS154" s="89">
        <f t="shared" si="13"/>
        <v>1.0503074468054692</v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123</v>
      </c>
      <c r="C155" s="52" t="s">
        <v>299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49</v>
      </c>
      <c r="J155" s="55" t="s">
        <v>123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>
        <v>18.600000000000001</v>
      </c>
      <c r="X155" s="51">
        <v>19.399999999999999</v>
      </c>
      <c r="Y155" s="51">
        <v>19</v>
      </c>
      <c r="Z155" s="111">
        <v>18</v>
      </c>
      <c r="AA155" s="51">
        <v>18.8</v>
      </c>
      <c r="AB155" s="51">
        <v>18.600000000000001</v>
      </c>
      <c r="AC155" s="51">
        <v>19</v>
      </c>
      <c r="AD155" s="51">
        <v>19.399999999999999</v>
      </c>
      <c r="AE155" s="51">
        <v>19.2</v>
      </c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21</v>
      </c>
      <c r="AQ155" s="89">
        <f t="shared" si="12"/>
        <v>18.904761904761905</v>
      </c>
      <c r="AR155" s="89">
        <f>IFERROR(VLOOKUP(A155,Climatologia!A:U,9+$E$2,FALSE),"")</f>
        <v>17.753898511573709</v>
      </c>
      <c r="AS155" s="89">
        <f t="shared" si="13"/>
        <v>1.150863393188196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</v>
      </c>
    </row>
    <row r="156" spans="1:49" ht="14.25" customHeight="1" x14ac:dyDescent="0.2">
      <c r="A156" s="48">
        <v>24025040</v>
      </c>
      <c r="B156" s="52" t="s">
        <v>324</v>
      </c>
      <c r="C156" s="52" t="s">
        <v>299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49</v>
      </c>
      <c r="J156" s="55" t="s">
        <v>325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326</v>
      </c>
      <c r="C157" s="52" t="s">
        <v>299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49</v>
      </c>
      <c r="J157" s="55" t="s">
        <v>327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>
        <v>9.1999999999999993</v>
      </c>
      <c r="X157" s="51">
        <v>11.6</v>
      </c>
      <c r="Y157" s="51">
        <v>12</v>
      </c>
      <c r="Z157" s="111">
        <v>9.8000000000000007</v>
      </c>
      <c r="AA157" s="51">
        <v>12</v>
      </c>
      <c r="AB157" s="51">
        <v>11.4</v>
      </c>
      <c r="AC157" s="51">
        <v>7.8</v>
      </c>
      <c r="AD157" s="51">
        <v>6.8</v>
      </c>
      <c r="AE157" s="51">
        <v>8</v>
      </c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21</v>
      </c>
      <c r="AQ157" s="89">
        <f t="shared" si="12"/>
        <v>10.02857142857143</v>
      </c>
      <c r="AR157" s="89">
        <f>IFERROR(VLOOKUP(A157,Climatologia!A:U,9+$E$2,FALSE),"")</f>
        <v>9.0629738863287237</v>
      </c>
      <c r="AS157" s="89">
        <f t="shared" si="13"/>
        <v>0.96559754224270655</v>
      </c>
      <c r="AT157" s="90">
        <f t="shared" si="14"/>
        <v>6.8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0.79999999999999982</v>
      </c>
    </row>
    <row r="158" spans="1:49" ht="14.25" customHeight="1" x14ac:dyDescent="0.2">
      <c r="A158" s="48">
        <v>24055030</v>
      </c>
      <c r="B158" s="52" t="s">
        <v>328</v>
      </c>
      <c r="C158" s="52" t="s">
        <v>299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49</v>
      </c>
      <c r="J158" s="55" t="s">
        <v>328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>
        <v>13.4</v>
      </c>
      <c r="X158" s="51">
        <v>15.4</v>
      </c>
      <c r="Y158" s="51">
        <v>15</v>
      </c>
      <c r="Z158" s="111">
        <v>15.8</v>
      </c>
      <c r="AA158" s="51">
        <v>15.2</v>
      </c>
      <c r="AB158" s="51">
        <v>14.4</v>
      </c>
      <c r="AC158" s="51">
        <v>14.2</v>
      </c>
      <c r="AD158" s="51">
        <v>13.4</v>
      </c>
      <c r="AE158" s="51">
        <v>13.4</v>
      </c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21</v>
      </c>
      <c r="AQ158" s="89">
        <f t="shared" si="12"/>
        <v>13.942857142857141</v>
      </c>
      <c r="AR158" s="89">
        <f>IFERROR(VLOOKUP(A158,Climatologia!A:U,9+$E$2,FALSE),"")</f>
        <v>13.99486833930705</v>
      </c>
      <c r="AS158" s="89">
        <f t="shared" si="13"/>
        <v>-5.2011196449909036E-2</v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329</v>
      </c>
      <c r="C159" s="52" t="s">
        <v>299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49</v>
      </c>
      <c r="J159" s="55" t="s">
        <v>330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>
        <v>20</v>
      </c>
      <c r="X159" s="51">
        <v>21.6</v>
      </c>
      <c r="Y159" s="51">
        <v>21</v>
      </c>
      <c r="Z159" s="111">
        <v>21.4</v>
      </c>
      <c r="AA159" s="51">
        <v>22</v>
      </c>
      <c r="AB159" s="51">
        <v>20.6</v>
      </c>
      <c r="AC159" s="51">
        <v>21</v>
      </c>
      <c r="AD159" s="51">
        <v>20.8</v>
      </c>
      <c r="AE159" s="51">
        <v>22.4</v>
      </c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21</v>
      </c>
      <c r="AQ159" s="89">
        <f t="shared" si="12"/>
        <v>20.790476190476188</v>
      </c>
      <c r="AR159" s="89">
        <f>IFERROR(VLOOKUP(A159,Climatologia!A:U,9+$E$2,FALSE),"")</f>
        <v>19.80259102706712</v>
      </c>
      <c r="AS159" s="89">
        <f t="shared" si="13"/>
        <v>0.98788516340906796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331</v>
      </c>
      <c r="C160" s="52" t="s">
        <v>299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49</v>
      </c>
      <c r="J160" s="55" t="s">
        <v>332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>
        <v>6</v>
      </c>
      <c r="X160" s="51">
        <v>7.2</v>
      </c>
      <c r="Y160" s="51">
        <v>6</v>
      </c>
      <c r="Z160" s="111">
        <v>6.6</v>
      </c>
      <c r="AA160" s="51">
        <v>7.8</v>
      </c>
      <c r="AB160" s="51">
        <v>7.4</v>
      </c>
      <c r="AC160" s="51">
        <v>7</v>
      </c>
      <c r="AD160" s="51">
        <v>6.6</v>
      </c>
      <c r="AE160" s="51">
        <v>7.6</v>
      </c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21</v>
      </c>
      <c r="AQ160" s="89">
        <f t="shared" si="12"/>
        <v>6.1428571428571432</v>
      </c>
      <c r="AR160" s="89">
        <f>IFERROR(VLOOKUP(A160,Climatologia!A:U,9+$E$2,FALSE),"")</f>
        <v>5.545852566091324</v>
      </c>
      <c r="AS160" s="89">
        <f t="shared" si="13"/>
        <v>0.59700457676581919</v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333</v>
      </c>
      <c r="C161" s="52" t="s">
        <v>299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300</v>
      </c>
      <c r="J161" s="55" t="s">
        <v>334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>
        <v>22.2</v>
      </c>
      <c r="X161" s="51">
        <v>22</v>
      </c>
      <c r="Y161" s="51">
        <v>22</v>
      </c>
      <c r="Z161" s="111">
        <v>22.2</v>
      </c>
      <c r="AA161" s="51">
        <v>21.6</v>
      </c>
      <c r="AB161" s="51">
        <v>21.8</v>
      </c>
      <c r="AC161" s="51">
        <v>21.4</v>
      </c>
      <c r="AD161" s="51">
        <v>21.2</v>
      </c>
      <c r="AE161" s="51">
        <v>21.4</v>
      </c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21</v>
      </c>
      <c r="AQ161" s="89">
        <f t="shared" si="12"/>
        <v>21.228571428571428</v>
      </c>
      <c r="AR161" s="89">
        <f>IFERROR(VLOOKUP(A161,Climatologia!A:U,9+$E$2,FALSE),"")</f>
        <v>20.699024154274429</v>
      </c>
      <c r="AS161" s="89">
        <f t="shared" si="13"/>
        <v>0.52954727429699844</v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335</v>
      </c>
      <c r="C162" s="52" t="s">
        <v>336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181</v>
      </c>
      <c r="J162" s="55" t="s">
        <v>337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>
        <v>14.8</v>
      </c>
      <c r="X162" s="51">
        <v>14.4</v>
      </c>
      <c r="Y162" s="51">
        <v>15.6</v>
      </c>
      <c r="Z162" s="111">
        <v>16</v>
      </c>
      <c r="AA162" s="51">
        <v>13.4</v>
      </c>
      <c r="AB162" s="51">
        <v>14.6</v>
      </c>
      <c r="AC162" s="51">
        <v>14.4</v>
      </c>
      <c r="AD162" s="51">
        <v>14</v>
      </c>
      <c r="AE162" s="51">
        <v>14</v>
      </c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21</v>
      </c>
      <c r="AQ162" s="89">
        <f t="shared" si="12"/>
        <v>15.038095238095238</v>
      </c>
      <c r="AR162" s="89">
        <f>IFERROR(VLOOKUP(A162,Climatologia!A:U,9+$E$2,FALSE),"")</f>
        <v>13.81981919292388</v>
      </c>
      <c r="AS162" s="89">
        <f t="shared" si="13"/>
        <v>1.2182760451713577</v>
      </c>
      <c r="AT162" s="90">
        <f t="shared" si="14"/>
        <v>13.4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4.2000000000000011</v>
      </c>
    </row>
    <row r="163" spans="1:49" ht="14.25" customHeight="1" x14ac:dyDescent="0.2">
      <c r="A163" s="48">
        <v>26025110</v>
      </c>
      <c r="B163" s="52" t="s">
        <v>338</v>
      </c>
      <c r="C163" s="52" t="s">
        <v>336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181</v>
      </c>
      <c r="J163" s="55" t="s">
        <v>339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>
        <v>19</v>
      </c>
      <c r="X163" s="51">
        <v>18</v>
      </c>
      <c r="Y163" s="51">
        <v>19.600000000000001</v>
      </c>
      <c r="Z163" s="111">
        <v>18.2</v>
      </c>
      <c r="AA163" s="51">
        <v>17.600000000000001</v>
      </c>
      <c r="AB163" s="51">
        <v>18</v>
      </c>
      <c r="AC163" s="51">
        <v>18.600000000000001</v>
      </c>
      <c r="AD163" s="51">
        <v>18</v>
      </c>
      <c r="AE163" s="51">
        <v>18.600000000000001</v>
      </c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21</v>
      </c>
      <c r="AQ163" s="89">
        <f t="shared" si="12"/>
        <v>18.552380952380958</v>
      </c>
      <c r="AR163" s="89">
        <f>IFERROR(VLOOKUP(A163,Climatologia!A:U,9+$E$2,FALSE),"")</f>
        <v>17.92353706847765</v>
      </c>
      <c r="AS163" s="89">
        <f t="shared" si="13"/>
        <v>0.6288438839033077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340</v>
      </c>
      <c r="C164" s="52" t="s">
        <v>336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341</v>
      </c>
      <c r="J164" s="55" t="s">
        <v>77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>
        <v>19.399999999999999</v>
      </c>
      <c r="X164" s="51">
        <v>19.600000000000001</v>
      </c>
      <c r="Y164" s="51">
        <v>19.600000000000001</v>
      </c>
      <c r="Z164" s="111">
        <v>19.600000000000001</v>
      </c>
      <c r="AA164" s="51">
        <v>20.6</v>
      </c>
      <c r="AB164" s="51">
        <v>19.7</v>
      </c>
      <c r="AC164" s="51">
        <v>18.399999999999999</v>
      </c>
      <c r="AD164" s="51">
        <v>18.399999999999999</v>
      </c>
      <c r="AE164" s="51">
        <v>18.399999999999999</v>
      </c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21</v>
      </c>
      <c r="AQ164" s="89">
        <f t="shared" si="12"/>
        <v>19.195238095238096</v>
      </c>
      <c r="AR164" s="89">
        <f>IFERROR(VLOOKUP(A164,Climatologia!A:U,9+$E$2,FALSE),"")</f>
        <v>19.04428975316489</v>
      </c>
      <c r="AS164" s="89">
        <f t="shared" si="13"/>
        <v>0.15094834207320673</v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342</v>
      </c>
      <c r="C165" s="52" t="s">
        <v>336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341</v>
      </c>
      <c r="J165" s="55" t="s">
        <v>343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>
        <v>7.6</v>
      </c>
      <c r="X165" s="51">
        <v>10.8</v>
      </c>
      <c r="Y165" s="51">
        <v>9</v>
      </c>
      <c r="Z165" s="111">
        <v>9.8000000000000007</v>
      </c>
      <c r="AA165" s="51">
        <v>9.8000000000000007</v>
      </c>
      <c r="AB165" s="51">
        <v>10</v>
      </c>
      <c r="AC165" s="51">
        <v>10.8</v>
      </c>
      <c r="AD165" s="51">
        <v>8.6</v>
      </c>
      <c r="AE165" s="51">
        <v>6.6</v>
      </c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18</v>
      </c>
      <c r="AQ165" s="89">
        <f t="shared" si="12"/>
        <v>9.5111111111111111</v>
      </c>
      <c r="AR165" s="89">
        <f>IFERROR(VLOOKUP(A165,Climatologia!A:U,9+$E$2,FALSE),"")</f>
        <v>8.2009357976098798</v>
      </c>
      <c r="AS165" s="89">
        <f t="shared" si="13"/>
        <v>1.3101753135012313</v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344</v>
      </c>
      <c r="C166" s="52" t="s">
        <v>336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341</v>
      </c>
      <c r="J166" s="55" t="s">
        <v>345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>
        <v>18</v>
      </c>
      <c r="Q166" s="51">
        <v>20.6</v>
      </c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>
        <v>20</v>
      </c>
      <c r="AD166" s="51">
        <v>18.600000000000001</v>
      </c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7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346</v>
      </c>
      <c r="C167" s="52" t="s">
        <v>336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341</v>
      </c>
      <c r="J167" s="55" t="s">
        <v>343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347</v>
      </c>
      <c r="C168" s="52" t="s">
        <v>336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341</v>
      </c>
      <c r="J168" s="55" t="s">
        <v>348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349</v>
      </c>
      <c r="C169" s="52" t="s">
        <v>336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64</v>
      </c>
      <c r="J169" s="55" t="s">
        <v>65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>
        <v>20.2</v>
      </c>
      <c r="T169" s="51">
        <v>17.8</v>
      </c>
      <c r="U169" s="51">
        <v>18.600000000000001</v>
      </c>
      <c r="V169" s="51">
        <v>19.399999999999999</v>
      </c>
      <c r="W169" s="51">
        <v>19.2</v>
      </c>
      <c r="X169" s="51">
        <v>18.600000000000001</v>
      </c>
      <c r="Y169" s="51">
        <v>20.399999999999999</v>
      </c>
      <c r="Z169" s="111">
        <v>20.6</v>
      </c>
      <c r="AA169" s="51">
        <v>19.8</v>
      </c>
      <c r="AB169" s="51">
        <v>19.2</v>
      </c>
      <c r="AC169" s="51">
        <v>19.399999999999999</v>
      </c>
      <c r="AD169" s="51">
        <v>19.8</v>
      </c>
      <c r="AE169" s="51">
        <v>20.2</v>
      </c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21</v>
      </c>
      <c r="AQ169" s="89">
        <f t="shared" si="12"/>
        <v>19.604761904761901</v>
      </c>
      <c r="AR169" s="89">
        <f>IFERROR(VLOOKUP(A169,Climatologia!A:U,9+$E$2,FALSE),"")</f>
        <v>18.98804930581305</v>
      </c>
      <c r="AS169" s="89">
        <f t="shared" si="13"/>
        <v>0.61671259894885111</v>
      </c>
      <c r="AT169" s="90">
        <f t="shared" si="14"/>
        <v>17.8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2.8000000000000007</v>
      </c>
    </row>
    <row r="170" spans="1:49" ht="14.25" customHeight="1" x14ac:dyDescent="0.2">
      <c r="A170" s="48">
        <v>26145020</v>
      </c>
      <c r="B170" s="52" t="s">
        <v>350</v>
      </c>
      <c r="C170" s="52" t="s">
        <v>336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116</v>
      </c>
      <c r="J170" s="55" t="s">
        <v>351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>
        <v>13.2</v>
      </c>
      <c r="X170" s="51">
        <v>13.4</v>
      </c>
      <c r="Y170" s="51">
        <v>15.2</v>
      </c>
      <c r="Z170" s="111">
        <v>16.2</v>
      </c>
      <c r="AA170" s="51">
        <v>15.8</v>
      </c>
      <c r="AB170" s="51">
        <v>14.2</v>
      </c>
      <c r="AC170" s="51">
        <v>14</v>
      </c>
      <c r="AD170" s="51">
        <v>13.8</v>
      </c>
      <c r="AE170" s="51">
        <v>13.8</v>
      </c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21</v>
      </c>
      <c r="AQ170" s="89">
        <f t="shared" si="12"/>
        <v>14.238095238095241</v>
      </c>
      <c r="AR170" s="89">
        <f>IFERROR(VLOOKUP(A170,Climatologia!A:U,9+$E$2,FALSE),"")</f>
        <v>13.515835523098669</v>
      </c>
      <c r="AS170" s="89">
        <f t="shared" si="13"/>
        <v>0.72225971499657149</v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352</v>
      </c>
      <c r="C171" s="52" t="s">
        <v>336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116</v>
      </c>
      <c r="J171" s="55" t="s">
        <v>353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354</v>
      </c>
      <c r="C172" s="52" t="s">
        <v>355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70</v>
      </c>
      <c r="J172" s="55" t="s">
        <v>356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25.2</v>
      </c>
      <c r="R172" s="51">
        <v>25.8</v>
      </c>
      <c r="S172" s="51">
        <v>26.6</v>
      </c>
      <c r="T172" s="51">
        <v>25.2</v>
      </c>
      <c r="U172" s="51"/>
      <c r="V172" s="51">
        <v>26.2</v>
      </c>
      <c r="W172" s="51">
        <v>24.4</v>
      </c>
      <c r="X172" s="51">
        <v>25.4</v>
      </c>
      <c r="Y172" s="51">
        <v>26.2</v>
      </c>
      <c r="Z172" s="111">
        <v>26.8</v>
      </c>
      <c r="AA172" s="51">
        <v>24</v>
      </c>
      <c r="AB172" s="51">
        <v>24</v>
      </c>
      <c r="AC172" s="51">
        <v>23.2</v>
      </c>
      <c r="AD172" s="51"/>
      <c r="AE172" s="51">
        <v>23.8</v>
      </c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19</v>
      </c>
      <c r="AQ172" s="89">
        <f t="shared" si="12"/>
        <v>24.852631578947364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23.2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4.8000000000000007</v>
      </c>
    </row>
    <row r="173" spans="1:49" ht="14.25" customHeight="1" x14ac:dyDescent="0.2">
      <c r="A173" s="48">
        <v>21165010</v>
      </c>
      <c r="B173" s="52" t="s">
        <v>357</v>
      </c>
      <c r="C173" s="52" t="s">
        <v>355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70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359</v>
      </c>
      <c r="C174" s="52" t="s">
        <v>355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70</v>
      </c>
      <c r="J174" s="55" t="s">
        <v>359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360</v>
      </c>
      <c r="C175" s="52" t="s">
        <v>355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70</v>
      </c>
      <c r="J175" s="55" t="s">
        <v>360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>
        <v>20.2</v>
      </c>
      <c r="X175" s="51"/>
      <c r="Y175" s="51">
        <v>19.8</v>
      </c>
      <c r="Z175" s="111"/>
      <c r="AA175" s="51">
        <v>21.4</v>
      </c>
      <c r="AB175" s="51">
        <v>22.2</v>
      </c>
      <c r="AC175" s="51">
        <v>21.6</v>
      </c>
      <c r="AD175" s="51"/>
      <c r="AE175" s="51">
        <v>21.6</v>
      </c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16</v>
      </c>
      <c r="AQ175" s="89">
        <f t="shared" si="12"/>
        <v>21.675000000000001</v>
      </c>
      <c r="AR175" s="89">
        <f>IFERROR(VLOOKUP(A175,Climatologia!A:U,9+$E$2,FALSE),"")</f>
        <v>20.369629293079871</v>
      </c>
      <c r="AS175" s="89">
        <f t="shared" si="13"/>
        <v>1.3053707069201295</v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361</v>
      </c>
      <c r="C176" s="52" t="s">
        <v>355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70</v>
      </c>
      <c r="J176" s="55" t="s">
        <v>362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>
        <v>21.6</v>
      </c>
      <c r="X176" s="51"/>
      <c r="Y176" s="51">
        <v>22.2</v>
      </c>
      <c r="Z176" s="111"/>
      <c r="AA176" s="51">
        <v>22.8</v>
      </c>
      <c r="AB176" s="51">
        <v>23.2</v>
      </c>
      <c r="AC176" s="51">
        <v>22.6</v>
      </c>
      <c r="AD176" s="51">
        <v>22.8</v>
      </c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18</v>
      </c>
      <c r="AQ176" s="89">
        <f t="shared" si="12"/>
        <v>22.988888888888891</v>
      </c>
      <c r="AR176" s="89">
        <f>IFERROR(VLOOKUP(A176,Climatologia!A:U,9+$E$2,FALSE),"")</f>
        <v>21.653737839221709</v>
      </c>
      <c r="AS176" s="89">
        <f t="shared" si="13"/>
        <v>1.3351510496671821</v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363</v>
      </c>
      <c r="C177" s="52" t="s">
        <v>355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73</v>
      </c>
      <c r="J177" s="55" t="s">
        <v>364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365</v>
      </c>
      <c r="C178" s="52" t="s">
        <v>355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70</v>
      </c>
      <c r="J178" s="55" t="s">
        <v>71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366</v>
      </c>
      <c r="C179" s="52" t="s">
        <v>355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70</v>
      </c>
      <c r="J179" s="55" t="s">
        <v>366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>
        <v>13.8</v>
      </c>
      <c r="X179" s="51">
        <v>14.4</v>
      </c>
      <c r="Y179" s="51">
        <v>14.6</v>
      </c>
      <c r="Z179" s="111">
        <v>13.2</v>
      </c>
      <c r="AA179" s="51">
        <v>13.6</v>
      </c>
      <c r="AB179" s="51">
        <v>13</v>
      </c>
      <c r="AC179" s="51">
        <v>13.4</v>
      </c>
      <c r="AD179" s="51">
        <v>13.4</v>
      </c>
      <c r="AE179" s="51">
        <v>14.2</v>
      </c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21</v>
      </c>
      <c r="AQ179" s="89">
        <f t="shared" si="12"/>
        <v>13.638095238095234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367</v>
      </c>
      <c r="C180" s="52" t="s">
        <v>355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70</v>
      </c>
      <c r="J180" s="55" t="s">
        <v>368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>
        <v>25.8</v>
      </c>
      <c r="Z180" s="111"/>
      <c r="AA180" s="51">
        <v>24.8</v>
      </c>
      <c r="AB180" s="51">
        <v>24.8</v>
      </c>
      <c r="AC180" s="51">
        <v>24.6</v>
      </c>
      <c r="AD180" s="51">
        <v>24.6</v>
      </c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14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369</v>
      </c>
      <c r="C181" s="52" t="s">
        <v>355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70</v>
      </c>
      <c r="J181" s="55" t="s">
        <v>370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>
        <v>26.6</v>
      </c>
      <c r="X181" s="51">
        <v>24.2</v>
      </c>
      <c r="Y181" s="51">
        <v>22.2</v>
      </c>
      <c r="Z181" s="111">
        <v>25.4</v>
      </c>
      <c r="AA181" s="51">
        <v>24.8</v>
      </c>
      <c r="AB181" s="51">
        <v>24.4</v>
      </c>
      <c r="AC181" s="51">
        <v>22.8</v>
      </c>
      <c r="AD181" s="51">
        <v>23</v>
      </c>
      <c r="AE181" s="51">
        <v>23.8</v>
      </c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20</v>
      </c>
      <c r="AQ181" s="89">
        <f t="shared" si="12"/>
        <v>23.339999999999996</v>
      </c>
      <c r="AR181" s="89">
        <f>IFERROR(VLOOKUP(A181,Climatologia!A:U,9+$E$2,FALSE),"")</f>
        <v>21.70483579702303</v>
      </c>
      <c r="AS181" s="89">
        <f t="shared" si="13"/>
        <v>1.6351642029769664</v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371</v>
      </c>
      <c r="C182" s="52" t="s">
        <v>355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70</v>
      </c>
      <c r="J182" s="55" t="s">
        <v>371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>
        <v>14.8</v>
      </c>
      <c r="X182" s="51">
        <v>14</v>
      </c>
      <c r="Y182" s="51">
        <v>14</v>
      </c>
      <c r="Z182" s="111">
        <v>14.6</v>
      </c>
      <c r="AA182" s="51">
        <v>13.8</v>
      </c>
      <c r="AB182" s="51">
        <v>14</v>
      </c>
      <c r="AC182" s="51">
        <v>12</v>
      </c>
      <c r="AD182" s="51">
        <v>14</v>
      </c>
      <c r="AE182" s="51">
        <v>13.6</v>
      </c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21</v>
      </c>
      <c r="AQ182" s="89">
        <f t="shared" si="12"/>
        <v>13.590476190476192</v>
      </c>
      <c r="AR182" s="89">
        <f>IFERROR(VLOOKUP(A182,Climatologia!A:U,9+$E$2,FALSE),"")</f>
        <v>14.173503840245781</v>
      </c>
      <c r="AS182" s="89">
        <f t="shared" si="13"/>
        <v>-0.58302764976958876</v>
      </c>
      <c r="AT182" s="90">
        <f t="shared" si="14"/>
        <v>12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</v>
      </c>
    </row>
    <row r="183" spans="1:49" ht="14.25" customHeight="1" x14ac:dyDescent="0.2">
      <c r="A183" s="48">
        <v>22045010</v>
      </c>
      <c r="B183" s="52" t="s">
        <v>372</v>
      </c>
      <c r="C183" s="52" t="s">
        <v>355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70</v>
      </c>
      <c r="J183" s="55" t="s">
        <v>373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>
        <v>18</v>
      </c>
      <c r="X183" s="51">
        <v>19.2</v>
      </c>
      <c r="Y183" s="51">
        <v>18.2</v>
      </c>
      <c r="Z183" s="111">
        <v>19</v>
      </c>
      <c r="AA183" s="51">
        <v>18.8</v>
      </c>
      <c r="AB183" s="51">
        <v>18.2</v>
      </c>
      <c r="AC183" s="51">
        <v>19.2</v>
      </c>
      <c r="AD183" s="51">
        <v>18.2</v>
      </c>
      <c r="AE183" s="51">
        <v>19.8</v>
      </c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21</v>
      </c>
      <c r="AQ183" s="89">
        <f t="shared" si="12"/>
        <v>18.723809523809521</v>
      </c>
      <c r="AR183" s="89">
        <f>IFERROR(VLOOKUP(A183,Climatologia!A:U,9+$E$2,FALSE),"")</f>
        <v>20.070986681091949</v>
      </c>
      <c r="AS183" s="89">
        <f t="shared" si="13"/>
        <v>-1.3471771572824274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374</v>
      </c>
      <c r="C184" s="52" t="s">
        <v>355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70</v>
      </c>
      <c r="J184" s="55" t="s">
        <v>375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>
        <v>21.2</v>
      </c>
      <c r="X184" s="51">
        <v>22</v>
      </c>
      <c r="Y184" s="51">
        <v>23</v>
      </c>
      <c r="Z184" s="111">
        <v>23.4</v>
      </c>
      <c r="AA184" s="51"/>
      <c r="AB184" s="51">
        <v>20.399999999999999</v>
      </c>
      <c r="AC184" s="51">
        <v>20.399999999999999</v>
      </c>
      <c r="AD184" s="51">
        <v>23</v>
      </c>
      <c r="AE184" s="51">
        <v>22.8</v>
      </c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20</v>
      </c>
      <c r="AQ184" s="89">
        <f t="shared" si="12"/>
        <v>21.549999999999997</v>
      </c>
      <c r="AR184" s="89">
        <f>IFERROR(VLOOKUP(A184,Climatologia!A:U,9+$E$2,FALSE),"")</f>
        <v>20.076368634370251</v>
      </c>
      <c r="AS184" s="89">
        <f t="shared" si="13"/>
        <v>1.4736313656297462</v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376</v>
      </c>
      <c r="C185" s="52" t="s">
        <v>355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70</v>
      </c>
      <c r="J185" s="55" t="s">
        <v>377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>
        <v>15</v>
      </c>
      <c r="X185" s="51">
        <v>16.2</v>
      </c>
      <c r="Y185" s="51"/>
      <c r="Z185" s="111"/>
      <c r="AA185" s="51">
        <v>17</v>
      </c>
      <c r="AB185" s="51">
        <v>15</v>
      </c>
      <c r="AC185" s="51">
        <v>15.4</v>
      </c>
      <c r="AD185" s="51">
        <v>16.399999999999999</v>
      </c>
      <c r="AE185" s="51">
        <v>17.399999999999999</v>
      </c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19</v>
      </c>
      <c r="AQ185" s="89">
        <f t="shared" si="12"/>
        <v>16.189473684210522</v>
      </c>
      <c r="AR185" s="89">
        <f>IFERROR(VLOOKUP(A185,Climatologia!A:U,9+$E$2,FALSE),"")</f>
        <v>17.074088213241051</v>
      </c>
      <c r="AS185" s="89">
        <f t="shared" si="13"/>
        <v>-0.88461452903052873</v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311</v>
      </c>
      <c r="C186" s="52" t="s">
        <v>355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70</v>
      </c>
      <c r="J186" s="55" t="s">
        <v>378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>
        <v>24.4</v>
      </c>
      <c r="X186" s="51">
        <v>23.6</v>
      </c>
      <c r="Y186" s="51">
        <v>22</v>
      </c>
      <c r="Z186" s="111">
        <v>22.6</v>
      </c>
      <c r="AA186" s="51">
        <v>22</v>
      </c>
      <c r="AB186" s="51">
        <v>21.6</v>
      </c>
      <c r="AC186" s="51">
        <v>21.2</v>
      </c>
      <c r="AD186" s="51">
        <v>23.6</v>
      </c>
      <c r="AE186" s="51">
        <v>25.4</v>
      </c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20</v>
      </c>
      <c r="AQ186" s="89">
        <f t="shared" si="12"/>
        <v>22.42</v>
      </c>
      <c r="AR186" s="89">
        <f>IFERROR(VLOOKUP(A186,Climatologia!A:U,9+$E$2,FALSE),"")</f>
        <v>20.422025791399172</v>
      </c>
      <c r="AS186" s="89">
        <f t="shared" si="13"/>
        <v>1.9979742086008301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379</v>
      </c>
      <c r="C187" s="52" t="s">
        <v>355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116</v>
      </c>
      <c r="J187" s="55" t="s">
        <v>380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>
        <v>18.399999999999999</v>
      </c>
      <c r="Y187" s="51">
        <v>19.2</v>
      </c>
      <c r="Z187" s="111">
        <v>19</v>
      </c>
      <c r="AA187" s="51">
        <v>17.399999999999999</v>
      </c>
      <c r="AB187" s="51">
        <v>17.399999999999999</v>
      </c>
      <c r="AC187" s="51">
        <v>15</v>
      </c>
      <c r="AD187" s="51">
        <v>18.2</v>
      </c>
      <c r="AE187" s="51">
        <v>19.399999999999999</v>
      </c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18</v>
      </c>
      <c r="AQ187" s="89">
        <f t="shared" si="12"/>
        <v>17.955555555555556</v>
      </c>
      <c r="AR187" s="89">
        <f>IFERROR(VLOOKUP(A187,Climatologia!A:U,9+$E$2,FALSE),"")</f>
        <v>16.993025163915739</v>
      </c>
      <c r="AS187" s="89">
        <f t="shared" si="13"/>
        <v>0.96253039163981668</v>
      </c>
      <c r="AT187" s="90">
        <f t="shared" si="14"/>
        <v>15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1</v>
      </c>
    </row>
    <row r="188" spans="1:49" ht="14.25" customHeight="1" x14ac:dyDescent="0.2">
      <c r="A188" s="48">
        <v>21195060</v>
      </c>
      <c r="B188" s="52" t="s">
        <v>381</v>
      </c>
      <c r="C188" s="52" t="s">
        <v>382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73</v>
      </c>
      <c r="J188" s="55" t="s">
        <v>381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>
        <v>21.2</v>
      </c>
      <c r="X188" s="51">
        <v>22.8</v>
      </c>
      <c r="Y188" s="51">
        <v>23.2</v>
      </c>
      <c r="Z188" s="111">
        <v>21.8</v>
      </c>
      <c r="AA188" s="51">
        <v>20.6</v>
      </c>
      <c r="AB188" s="51">
        <v>20.8</v>
      </c>
      <c r="AC188" s="51">
        <v>21.4</v>
      </c>
      <c r="AD188" s="51">
        <v>23.2</v>
      </c>
      <c r="AE188" s="51">
        <v>22.8</v>
      </c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21</v>
      </c>
      <c r="AQ188" s="89">
        <f t="shared" si="12"/>
        <v>22.133333333333336</v>
      </c>
      <c r="AR188" s="89">
        <f>IFERROR(VLOOKUP(A188,Climatologia!A:U,9+$E$2,FALSE),"")</f>
        <v>20.28174546114397</v>
      </c>
      <c r="AS188" s="89">
        <f t="shared" si="13"/>
        <v>1.8515878721893664</v>
      </c>
      <c r="AT188" s="90">
        <f t="shared" si="14"/>
        <v>20.6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4.4000000000000021</v>
      </c>
    </row>
    <row r="189" spans="1:49" ht="14.25" customHeight="1" x14ac:dyDescent="0.2">
      <c r="A189" s="48">
        <v>21195120</v>
      </c>
      <c r="B189" s="52" t="s">
        <v>383</v>
      </c>
      <c r="C189" s="52" t="s">
        <v>382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73</v>
      </c>
      <c r="J189" s="55" t="s">
        <v>384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>
        <v>17.8</v>
      </c>
      <c r="X189" s="51">
        <v>19.399999999999999</v>
      </c>
      <c r="Y189" s="51">
        <v>19.600000000000001</v>
      </c>
      <c r="Z189" s="111">
        <v>19.399999999999999</v>
      </c>
      <c r="AA189" s="51">
        <v>17.600000000000001</v>
      </c>
      <c r="AB189" s="51">
        <v>19.2</v>
      </c>
      <c r="AC189" s="51">
        <v>18.8</v>
      </c>
      <c r="AD189" s="51">
        <v>19.399999999999999</v>
      </c>
      <c r="AE189" s="51">
        <v>18.600000000000001</v>
      </c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21</v>
      </c>
      <c r="AQ189" s="89">
        <f t="shared" si="12"/>
        <v>18.600000000000001</v>
      </c>
      <c r="AR189" s="89">
        <f>IFERROR(VLOOKUP(A189,Climatologia!A:U,9+$E$2,FALSE),"")</f>
        <v>15.63081985682097</v>
      </c>
      <c r="AS189" s="89">
        <f t="shared" si="13"/>
        <v>2.969180143179031</v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385</v>
      </c>
      <c r="C190" s="52" t="s">
        <v>382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73</v>
      </c>
      <c r="J190" s="55" t="s">
        <v>385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>
        <v>11.4</v>
      </c>
      <c r="X190" s="51">
        <v>15.2</v>
      </c>
      <c r="Y190" s="51">
        <v>15</v>
      </c>
      <c r="Z190" s="111">
        <v>14.8</v>
      </c>
      <c r="AA190" s="51">
        <v>14</v>
      </c>
      <c r="AB190" s="51">
        <v>13.8</v>
      </c>
      <c r="AC190" s="51">
        <v>13.2</v>
      </c>
      <c r="AD190" s="51">
        <v>14.8</v>
      </c>
      <c r="AE190" s="51">
        <v>14</v>
      </c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21</v>
      </c>
      <c r="AQ190" s="89">
        <f t="shared" si="12"/>
        <v>13.704761904761906</v>
      </c>
      <c r="AR190" s="89">
        <f>IFERROR(VLOOKUP(A190,Climatologia!A:U,9+$E$2,FALSE),"")</f>
        <v>11.261282597948339</v>
      </c>
      <c r="AS190" s="89">
        <f t="shared" si="13"/>
        <v>2.4434793068135665</v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386</v>
      </c>
      <c r="C191" s="52" t="s">
        <v>382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73</v>
      </c>
      <c r="J191" s="55" t="s">
        <v>387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>
        <v>10</v>
      </c>
      <c r="X191" s="51">
        <v>8</v>
      </c>
      <c r="Y191" s="51">
        <v>9</v>
      </c>
      <c r="Z191" s="111">
        <v>8</v>
      </c>
      <c r="AA191" s="51">
        <v>10</v>
      </c>
      <c r="AB191" s="51">
        <v>9</v>
      </c>
      <c r="AC191" s="51">
        <v>9.1999999999999993</v>
      </c>
      <c r="AD191" s="51">
        <v>7</v>
      </c>
      <c r="AE191" s="51">
        <v>11</v>
      </c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21</v>
      </c>
      <c r="AQ191" s="89">
        <f t="shared" si="12"/>
        <v>8.1904761904761898</v>
      </c>
      <c r="AR191" s="89">
        <f>IFERROR(VLOOKUP(A191,Climatologia!A:U,9+$E$2,FALSE),"")</f>
        <v>6.994628239761723</v>
      </c>
      <c r="AS191" s="89">
        <f t="shared" si="13"/>
        <v>1.1958479507144668</v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388</v>
      </c>
      <c r="C192" s="52" t="s">
        <v>382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73</v>
      </c>
      <c r="J192" s="55" t="s">
        <v>389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>
        <v>23.6</v>
      </c>
      <c r="W192" s="51">
        <v>21.8</v>
      </c>
      <c r="X192" s="51">
        <v>23.2</v>
      </c>
      <c r="Y192" s="51">
        <v>21.6</v>
      </c>
      <c r="Z192" s="111">
        <v>23.6</v>
      </c>
      <c r="AA192" s="51">
        <v>21.2</v>
      </c>
      <c r="AB192" s="51">
        <v>21.2</v>
      </c>
      <c r="AC192" s="51">
        <v>22.8</v>
      </c>
      <c r="AD192" s="51">
        <v>24.4</v>
      </c>
      <c r="AE192" s="51">
        <v>24.8</v>
      </c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21</v>
      </c>
      <c r="AQ192" s="89">
        <f t="shared" si="12"/>
        <v>22.638095238095239</v>
      </c>
      <c r="AR192" s="89">
        <f>IFERROR(VLOOKUP(A192,Climatologia!A:U,9+$E$2,FALSE),"")</f>
        <v>19.908691930571798</v>
      </c>
      <c r="AS192" s="89">
        <f t="shared" si="13"/>
        <v>2.729403307523441</v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390</v>
      </c>
      <c r="C193" s="52" t="s">
        <v>382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73</v>
      </c>
      <c r="J193" s="55" t="s">
        <v>390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>
        <v>9.1999999999999993</v>
      </c>
      <c r="X193" s="51">
        <v>10.4</v>
      </c>
      <c r="Y193" s="51">
        <v>10.199999999999999</v>
      </c>
      <c r="Z193" s="111">
        <v>10.199999999999999</v>
      </c>
      <c r="AA193" s="51">
        <v>10.6</v>
      </c>
      <c r="AB193" s="51">
        <v>8.8000000000000007</v>
      </c>
      <c r="AC193" s="51">
        <v>10.199999999999999</v>
      </c>
      <c r="AD193" s="51">
        <v>10.199999999999999</v>
      </c>
      <c r="AE193" s="51">
        <v>11.4</v>
      </c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21</v>
      </c>
      <c r="AQ193" s="89">
        <f t="shared" si="12"/>
        <v>9.6761904761904738</v>
      </c>
      <c r="AR193" s="89">
        <f>IFERROR(VLOOKUP(A193,Climatologia!A:U,9+$E$2,FALSE),"")</f>
        <v>8.0869853706863069</v>
      </c>
      <c r="AS193" s="89">
        <f t="shared" si="13"/>
        <v>1.5892051055041669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391</v>
      </c>
      <c r="C194" s="52" t="s">
        <v>382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73</v>
      </c>
      <c r="J194" s="55" t="s">
        <v>392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>
        <v>10.199999999999999</v>
      </c>
      <c r="T194" s="51">
        <v>8.6</v>
      </c>
      <c r="U194" s="51">
        <v>10.4</v>
      </c>
      <c r="V194" s="51">
        <v>9.8000000000000007</v>
      </c>
      <c r="W194" s="51">
        <v>8.4</v>
      </c>
      <c r="X194" s="51">
        <v>9.6</v>
      </c>
      <c r="Y194" s="51">
        <v>10.4</v>
      </c>
      <c r="Z194" s="111"/>
      <c r="AA194" s="51">
        <v>9</v>
      </c>
      <c r="AB194" s="51"/>
      <c r="AC194" s="51">
        <v>10.6</v>
      </c>
      <c r="AD194" s="51">
        <v>10.6</v>
      </c>
      <c r="AE194" s="51">
        <v>10.4</v>
      </c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19</v>
      </c>
      <c r="AQ194" s="89">
        <f t="shared" si="12"/>
        <v>9.3473684210526304</v>
      </c>
      <c r="AR194" s="89">
        <f>IFERROR(VLOOKUP(A194,Climatologia!A:U,9+$E$2,FALSE),"")</f>
        <v>7.6640343615186746</v>
      </c>
      <c r="AS194" s="89">
        <f t="shared" si="13"/>
        <v>1.6833340595339559</v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393</v>
      </c>
      <c r="C195" s="52" t="s">
        <v>382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73</v>
      </c>
      <c r="J195" s="55" t="s">
        <v>394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395</v>
      </c>
      <c r="C196" s="52" t="s">
        <v>382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73</v>
      </c>
      <c r="J196" s="55" t="s">
        <v>396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>
        <v>7.2</v>
      </c>
      <c r="X196" s="51">
        <v>8.4</v>
      </c>
      <c r="Y196" s="51">
        <v>8.5</v>
      </c>
      <c r="Z196" s="111">
        <v>7.6</v>
      </c>
      <c r="AA196" s="51">
        <v>8.4</v>
      </c>
      <c r="AB196" s="51">
        <v>8.1999999999999993</v>
      </c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18</v>
      </c>
      <c r="AQ196" s="89">
        <f t="shared" si="12"/>
        <v>7.5611111111111127</v>
      </c>
      <c r="AR196" s="89">
        <f>IFERROR(VLOOKUP(A196,Climatologia!A:U,9+$E$2,FALSE),"")</f>
        <v>7.3820830111058147</v>
      </c>
      <c r="AS196" s="89">
        <f t="shared" si="13"/>
        <v>0.17902810000529801</v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397</v>
      </c>
      <c r="C197" s="52" t="s">
        <v>382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73</v>
      </c>
      <c r="J197" s="55" t="s">
        <v>398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>
        <v>9.1999999999999993</v>
      </c>
      <c r="X197" s="51">
        <v>9</v>
      </c>
      <c r="Y197" s="51">
        <v>9.8000000000000007</v>
      </c>
      <c r="Z197" s="111">
        <v>6</v>
      </c>
      <c r="AA197" s="51">
        <v>10.199999999999999</v>
      </c>
      <c r="AB197" s="51">
        <v>8.8000000000000007</v>
      </c>
      <c r="AC197" s="51">
        <v>9</v>
      </c>
      <c r="AD197" s="51">
        <v>8</v>
      </c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20</v>
      </c>
      <c r="AQ197" s="89">
        <f t="shared" ref="AQ197:AQ260" si="17">IF(AP197&gt;14,AVERAGE(K197:AO197),"")</f>
        <v>8.4599999999999991</v>
      </c>
      <c r="AR197" s="89">
        <f>IFERROR(VLOOKUP(A197,Climatologia!A:U,9+$E$2,FALSE),"")</f>
        <v>6.382935282589119</v>
      </c>
      <c r="AS197" s="89">
        <f t="shared" ref="AS197:AS260" si="18">IF(OR(AQ197="",AR197=""),"",IFERROR(AQ197-AR197,""))</f>
        <v>2.0770647174108801</v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399</v>
      </c>
      <c r="C198" s="52" t="s">
        <v>382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73</v>
      </c>
      <c r="J198" s="55" t="s">
        <v>400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>
        <v>8.4</v>
      </c>
      <c r="X198" s="51">
        <v>10.199999999999999</v>
      </c>
      <c r="Y198" s="51">
        <v>10.8</v>
      </c>
      <c r="Z198" s="111">
        <v>8.4</v>
      </c>
      <c r="AA198" s="51">
        <v>9.8000000000000007</v>
      </c>
      <c r="AB198" s="51">
        <v>8.4</v>
      </c>
      <c r="AC198" s="51">
        <v>10.8</v>
      </c>
      <c r="AD198" s="51">
        <v>11.2</v>
      </c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20</v>
      </c>
      <c r="AQ198" s="89">
        <f t="shared" si="17"/>
        <v>9.0450000000000017</v>
      </c>
      <c r="AR198" s="89">
        <f>IFERROR(VLOOKUP(A198,Climatologia!A:U,9+$E$2,FALSE),"")</f>
        <v>7.491938037728997</v>
      </c>
      <c r="AS198" s="89">
        <f t="shared" si="18"/>
        <v>1.5530619622710047</v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401</v>
      </c>
      <c r="C199" s="52" t="s">
        <v>382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31</v>
      </c>
      <c r="J199" s="55" t="s">
        <v>402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>
        <v>10.199999999999999</v>
      </c>
      <c r="X199" s="51">
        <v>9</v>
      </c>
      <c r="Y199" s="51">
        <v>11</v>
      </c>
      <c r="Z199" s="111">
        <v>9.4</v>
      </c>
      <c r="AA199" s="51">
        <v>10.9</v>
      </c>
      <c r="AB199" s="51">
        <v>10.199999999999999</v>
      </c>
      <c r="AC199" s="51">
        <v>11.2</v>
      </c>
      <c r="AD199" s="51">
        <v>8.6</v>
      </c>
      <c r="AE199" s="51">
        <v>11.4</v>
      </c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21</v>
      </c>
      <c r="AQ199" s="89">
        <f t="shared" si="17"/>
        <v>9.7761904761904752</v>
      </c>
      <c r="AR199" s="89">
        <f>IFERROR(VLOOKUP(A199,Climatologia!A:U,9+$E$2,FALSE),"")</f>
        <v>7.4487940592962838</v>
      </c>
      <c r="AS199" s="89">
        <f t="shared" si="18"/>
        <v>2.3273964168941914</v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403</v>
      </c>
      <c r="C200" s="52" t="s">
        <v>382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73</v>
      </c>
      <c r="J200" s="55" t="s">
        <v>404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>
        <v>9.8000000000000007</v>
      </c>
      <c r="W200" s="51">
        <v>9</v>
      </c>
      <c r="X200" s="51">
        <v>11</v>
      </c>
      <c r="Y200" s="51">
        <v>11.6</v>
      </c>
      <c r="Z200" s="111"/>
      <c r="AA200" s="51">
        <v>10</v>
      </c>
      <c r="AB200" s="51">
        <v>10</v>
      </c>
      <c r="AC200" s="51">
        <v>10</v>
      </c>
      <c r="AD200" s="51">
        <v>8.1999999999999993</v>
      </c>
      <c r="AE200" s="51">
        <v>11</v>
      </c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18</v>
      </c>
      <c r="AQ200" s="89">
        <f t="shared" si="17"/>
        <v>9.6111111111111107</v>
      </c>
      <c r="AR200" s="89">
        <f>IFERROR(VLOOKUP(A200,Climatologia!A:U,9+$E$2,FALSE),"")</f>
        <v>7.107223600771988</v>
      </c>
      <c r="AS200" s="89">
        <f t="shared" si="18"/>
        <v>2.5038875103391227</v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405</v>
      </c>
      <c r="C201" s="52" t="s">
        <v>382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73</v>
      </c>
      <c r="J201" s="55" t="s">
        <v>406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>
        <v>10.199999999999999</v>
      </c>
      <c r="X201" s="51">
        <v>9</v>
      </c>
      <c r="Y201" s="51">
        <v>10.8</v>
      </c>
      <c r="Z201" s="111">
        <v>4.2</v>
      </c>
      <c r="AA201" s="51">
        <v>11</v>
      </c>
      <c r="AB201" s="51">
        <v>9.8000000000000007</v>
      </c>
      <c r="AC201" s="51">
        <v>8.4</v>
      </c>
      <c r="AD201" s="51">
        <v>7.6</v>
      </c>
      <c r="AE201" s="51">
        <v>11</v>
      </c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21</v>
      </c>
      <c r="AQ201" s="89">
        <f t="shared" si="17"/>
        <v>8.5047619047619065</v>
      </c>
      <c r="AR201" s="89">
        <f>IFERROR(VLOOKUP(A201,Climatologia!A:U,9+$E$2,FALSE),"")</f>
        <v>6.8025057736192744</v>
      </c>
      <c r="AS201" s="89">
        <f t="shared" si="18"/>
        <v>1.7022561311426321</v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407</v>
      </c>
      <c r="C202" s="52" t="s">
        <v>382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>
        <v>10</v>
      </c>
      <c r="X202" s="51">
        <v>10.199999999999999</v>
      </c>
      <c r="Y202" s="51">
        <v>10.6</v>
      </c>
      <c r="Z202" s="111"/>
      <c r="AA202" s="51"/>
      <c r="AB202" s="51">
        <v>9.6</v>
      </c>
      <c r="AC202" s="51">
        <v>10.4</v>
      </c>
      <c r="AD202" s="51">
        <v>9</v>
      </c>
      <c r="AE202" s="51">
        <v>11.2</v>
      </c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15</v>
      </c>
      <c r="AQ202" s="89">
        <f t="shared" si="17"/>
        <v>9.1866666666666656</v>
      </c>
      <c r="AR202" s="89">
        <f>IFERROR(VLOOKUP(A202,Climatologia!A:U,9+$E$2,FALSE),"")</f>
        <v>7.511127721466246</v>
      </c>
      <c r="AS202" s="89">
        <f t="shared" si="18"/>
        <v>1.6755389452004197</v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410</v>
      </c>
      <c r="C203" s="52" t="s">
        <v>382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>
        <v>9.1999999999999993</v>
      </c>
      <c r="X203" s="51">
        <v>9.1999999999999993</v>
      </c>
      <c r="Y203" s="51">
        <v>9.8000000000000007</v>
      </c>
      <c r="Z203" s="111">
        <v>10.199999999999999</v>
      </c>
      <c r="AA203" s="51">
        <v>8</v>
      </c>
      <c r="AB203" s="51">
        <v>9.8000000000000007</v>
      </c>
      <c r="AC203" s="51">
        <v>10.199999999999999</v>
      </c>
      <c r="AD203" s="51">
        <v>8.6</v>
      </c>
      <c r="AE203" s="51">
        <v>9.8000000000000007</v>
      </c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21</v>
      </c>
      <c r="AQ203" s="89">
        <f t="shared" si="17"/>
        <v>8.8095238095238102</v>
      </c>
      <c r="AR203" s="89">
        <f>IFERROR(VLOOKUP(A203,Climatologia!A:U,9+$E$2,FALSE),"")</f>
        <v>7.9932587877038674</v>
      </c>
      <c r="AS203" s="89">
        <f t="shared" si="18"/>
        <v>0.81626502181994276</v>
      </c>
      <c r="AT203" s="90">
        <f t="shared" si="19"/>
        <v>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5.0999999999999996</v>
      </c>
    </row>
    <row r="204" spans="1:49" ht="14.25" customHeight="1" x14ac:dyDescent="0.2">
      <c r="A204" s="48">
        <v>21206650</v>
      </c>
      <c r="B204" s="52" t="s">
        <v>411</v>
      </c>
      <c r="C204" s="52" t="s">
        <v>382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408</v>
      </c>
      <c r="J204" s="55" t="s">
        <v>409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>
        <v>4</v>
      </c>
      <c r="X204" s="51">
        <v>4.8</v>
      </c>
      <c r="Y204" s="51">
        <v>4.4000000000000004</v>
      </c>
      <c r="Z204" s="111">
        <v>5.2</v>
      </c>
      <c r="AA204" s="51">
        <v>4.5999999999999996</v>
      </c>
      <c r="AB204" s="51">
        <v>4.2</v>
      </c>
      <c r="AC204" s="51">
        <v>4.8</v>
      </c>
      <c r="AD204" s="51">
        <v>5.4</v>
      </c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20</v>
      </c>
      <c r="AQ204" s="89">
        <f t="shared" si="17"/>
        <v>4.8950000000000005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</v>
      </c>
    </row>
    <row r="205" spans="1:49" ht="14.25" customHeight="1" x14ac:dyDescent="0.2">
      <c r="A205" s="48">
        <v>23065110</v>
      </c>
      <c r="B205" s="52" t="s">
        <v>412</v>
      </c>
      <c r="C205" s="52" t="s">
        <v>382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73</v>
      </c>
      <c r="J205" s="55" t="s">
        <v>413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414</v>
      </c>
      <c r="C206" s="52" t="s">
        <v>382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73</v>
      </c>
      <c r="J206" s="55" t="s">
        <v>415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>
        <v>10.6</v>
      </c>
      <c r="X206" s="51">
        <v>10.8</v>
      </c>
      <c r="Y206" s="51">
        <v>11.6</v>
      </c>
      <c r="Z206" s="111">
        <v>10.4</v>
      </c>
      <c r="AA206" s="51">
        <v>12</v>
      </c>
      <c r="AB206" s="51">
        <v>11.6</v>
      </c>
      <c r="AC206" s="51">
        <v>12</v>
      </c>
      <c r="AD206" s="51">
        <v>10.6</v>
      </c>
      <c r="AE206" s="51">
        <v>10.6</v>
      </c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21</v>
      </c>
      <c r="AQ206" s="89">
        <f t="shared" si="17"/>
        <v>10.885714285714286</v>
      </c>
      <c r="AR206" s="89">
        <f>IFERROR(VLOOKUP(A206,Climatologia!A:U,9+$E$2,FALSE),"")</f>
        <v>9.3415228944019546</v>
      </c>
      <c r="AS206" s="89">
        <f t="shared" si="18"/>
        <v>1.5441913913123315</v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416</v>
      </c>
      <c r="C207" s="52" t="s">
        <v>382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73</v>
      </c>
      <c r="J207" s="55" t="s">
        <v>417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>
        <v>6.2</v>
      </c>
      <c r="X207" s="51">
        <v>6.6</v>
      </c>
      <c r="Y207" s="51">
        <v>7.2</v>
      </c>
      <c r="Z207" s="111">
        <v>7</v>
      </c>
      <c r="AA207" s="51">
        <v>7.4</v>
      </c>
      <c r="AB207" s="51">
        <v>6</v>
      </c>
      <c r="AC207" s="51">
        <v>6.6</v>
      </c>
      <c r="AD207" s="51">
        <v>6.4</v>
      </c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20</v>
      </c>
      <c r="AQ207" s="89">
        <f t="shared" si="17"/>
        <v>6.08</v>
      </c>
      <c r="AR207" s="89">
        <f>IFERROR(VLOOKUP(A207,Climatologia!A:U,9+$E$2,FALSE),"")</f>
        <v>5.0408940752175297</v>
      </c>
      <c r="AS207" s="89">
        <f t="shared" si="18"/>
        <v>1.0391059247824703</v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418</v>
      </c>
      <c r="C208" s="52" t="s">
        <v>382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98</v>
      </c>
      <c r="J208" s="55" t="s">
        <v>418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>
        <v>23.8</v>
      </c>
      <c r="W208" s="51">
        <v>24</v>
      </c>
      <c r="X208" s="51">
        <v>23</v>
      </c>
      <c r="Y208" s="51">
        <v>23.2</v>
      </c>
      <c r="Z208" s="111"/>
      <c r="AA208" s="51">
        <v>23.6</v>
      </c>
      <c r="AB208" s="51">
        <v>23</v>
      </c>
      <c r="AC208" s="51">
        <v>22.8</v>
      </c>
      <c r="AD208" s="51">
        <v>23.4</v>
      </c>
      <c r="AE208" s="51">
        <v>20.8</v>
      </c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20</v>
      </c>
      <c r="AQ208" s="89">
        <f t="shared" si="17"/>
        <v>22.89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autoFilter ref="AE1:AE209" xr:uid="{00000000-0001-0000-0000-000000000000}"/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421</v>
      </c>
      <c r="X1" s="120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4" t="s">
        <v>847</v>
      </c>
      <c r="B1" s="124" t="s">
        <v>7</v>
      </c>
      <c r="C1" s="124" t="s">
        <v>10</v>
      </c>
      <c r="D1" s="124" t="s">
        <v>9</v>
      </c>
      <c r="E1" s="124" t="s">
        <v>11</v>
      </c>
      <c r="F1" s="124" t="s">
        <v>15</v>
      </c>
      <c r="G1" s="124" t="s">
        <v>848</v>
      </c>
      <c r="H1" s="121" t="s">
        <v>849</v>
      </c>
      <c r="I1" s="122"/>
      <c r="J1" s="123"/>
      <c r="K1" s="121" t="s">
        <v>850</v>
      </c>
      <c r="L1" s="122"/>
      <c r="M1" s="123"/>
      <c r="N1" s="121" t="s">
        <v>851</v>
      </c>
      <c r="O1" s="122"/>
      <c r="P1" s="123"/>
      <c r="Q1" s="121" t="s">
        <v>852</v>
      </c>
      <c r="R1" s="122"/>
      <c r="S1" s="123"/>
      <c r="T1" s="121" t="s">
        <v>853</v>
      </c>
      <c r="U1" s="122"/>
      <c r="V1" s="123"/>
      <c r="W1" s="121" t="s">
        <v>854</v>
      </c>
      <c r="X1" s="122"/>
      <c r="Y1" s="123"/>
      <c r="Z1" s="121" t="s">
        <v>855</v>
      </c>
      <c r="AA1" s="122"/>
      <c r="AB1" s="123"/>
      <c r="AC1" s="121" t="s">
        <v>856</v>
      </c>
      <c r="AD1" s="122"/>
      <c r="AE1" s="123"/>
      <c r="AF1" s="121" t="s">
        <v>857</v>
      </c>
      <c r="AG1" s="122"/>
      <c r="AH1" s="123"/>
      <c r="AI1" s="121" t="s">
        <v>858</v>
      </c>
      <c r="AJ1" s="122"/>
      <c r="AK1" s="123"/>
      <c r="AL1" s="121" t="s">
        <v>859</v>
      </c>
      <c r="AM1" s="122"/>
      <c r="AN1" s="123"/>
      <c r="AO1" s="121" t="s">
        <v>860</v>
      </c>
      <c r="AP1" s="122"/>
      <c r="AQ1" s="123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2026-08-21T15:04:12Z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2026-08-21T15:03:04Z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480a84fc-d21b-461e-8b1a-c7f750b70f64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