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1_E811F9EE71D60E5264FEDA7AC54108DD7EB8245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/>
  <c r="AT288" i="1"/>
  <c r="AW288" i="1" s="1"/>
  <c r="AR288" i="1"/>
  <c r="AQ288" i="1"/>
  <c r="AS288" i="1" s="1"/>
  <c r="AP288" i="1"/>
  <c r="AV287" i="1" a="1"/>
  <c r="AV287" i="1" s="1"/>
  <c r="AU287" i="1" a="1"/>
  <c r="AU287" i="1" s="1"/>
  <c r="AT287" i="1"/>
  <c r="AR287" i="1"/>
  <c r="AQ287" i="1"/>
  <c r="AS287" i="1" s="1"/>
  <c r="AP287" i="1"/>
  <c r="AV286" i="1" a="1"/>
  <c r="AV286" i="1" s="1"/>
  <c r="AU286" i="1" a="1"/>
  <c r="AU286" i="1"/>
  <c r="AT286" i="1"/>
  <c r="AW286" i="1" s="1"/>
  <c r="AR286" i="1"/>
  <c r="AP286" i="1"/>
  <c r="AQ286" i="1" s="1"/>
  <c r="AS286" i="1" s="1"/>
  <c r="AV285" i="1" a="1"/>
  <c r="AV285" i="1"/>
  <c r="AU285" i="1" a="1"/>
  <c r="AU285" i="1"/>
  <c r="AT285" i="1"/>
  <c r="AW285" i="1" s="1"/>
  <c r="AR285" i="1"/>
  <c r="AP285" i="1"/>
  <c r="AQ285" i="1" s="1"/>
  <c r="AS285" i="1" s="1"/>
  <c r="AV284" i="1" a="1"/>
  <c r="AV284" i="1" s="1"/>
  <c r="AU284" i="1" a="1"/>
  <c r="AU284" i="1" s="1"/>
  <c r="AW284" i="1" s="1"/>
  <c r="AT284" i="1"/>
  <c r="AR284" i="1"/>
  <c r="AP284" i="1"/>
  <c r="AQ284" i="1" s="1"/>
  <c r="AS284" i="1" s="1"/>
  <c r="AV283" i="1" a="1"/>
  <c r="AV283" i="1"/>
  <c r="AU283" i="1" a="1"/>
  <c r="AU283" i="1"/>
  <c r="AT283" i="1"/>
  <c r="AW283" i="1" s="1"/>
  <c r="AR283" i="1"/>
  <c r="AP283" i="1"/>
  <c r="AQ283" i="1" s="1"/>
  <c r="AS283" i="1" s="1"/>
  <c r="AV282" i="1" a="1"/>
  <c r="AV282" i="1" s="1"/>
  <c r="AU282" i="1" a="1"/>
  <c r="AU282" i="1" s="1"/>
  <c r="AT282" i="1"/>
  <c r="AW282" i="1" s="1"/>
  <c r="AR282" i="1"/>
  <c r="AQ282" i="1"/>
  <c r="AS282" i="1" s="1"/>
  <c r="AP282" i="1"/>
  <c r="AV281" i="1" a="1"/>
  <c r="AV281" i="1"/>
  <c r="AU281" i="1" a="1"/>
  <c r="AU281" i="1" s="1"/>
  <c r="AT281" i="1"/>
  <c r="AW281" i="1" s="1"/>
  <c r="AR281" i="1"/>
  <c r="AQ281" i="1"/>
  <c r="AS281" i="1" s="1"/>
  <c r="AP281" i="1"/>
  <c r="AV280" i="1" a="1"/>
  <c r="AV280" i="1"/>
  <c r="AU280" i="1" a="1"/>
  <c r="AU280" i="1"/>
  <c r="AT280" i="1"/>
  <c r="AW280" i="1" s="1"/>
  <c r="AR280" i="1"/>
  <c r="AQ280" i="1"/>
  <c r="AS280" i="1" s="1"/>
  <c r="AP280" i="1"/>
  <c r="AV279" i="1" a="1"/>
  <c r="AV279" i="1"/>
  <c r="AU279" i="1" a="1"/>
  <c r="AU279" i="1"/>
  <c r="AT279" i="1"/>
  <c r="AW279" i="1" s="1"/>
  <c r="AR279" i="1"/>
  <c r="AP279" i="1"/>
  <c r="AQ279" i="1" s="1"/>
  <c r="AS279" i="1" s="1"/>
  <c r="AV278" i="1" a="1"/>
  <c r="AV278" i="1" s="1"/>
  <c r="AU278" i="1" a="1"/>
  <c r="AU278" i="1"/>
  <c r="AW278" i="1" s="1"/>
  <c r="AT278" i="1"/>
  <c r="AR278" i="1"/>
  <c r="AP278" i="1"/>
  <c r="AQ278" i="1" s="1"/>
  <c r="AS278" i="1" s="1"/>
  <c r="AV277" i="1" a="1"/>
  <c r="AV277" i="1" s="1"/>
  <c r="AU277" i="1" a="1"/>
  <c r="AU277" i="1" s="1"/>
  <c r="AW277" i="1" s="1"/>
  <c r="AT277" i="1"/>
  <c r="AR277" i="1"/>
  <c r="AP277" i="1"/>
  <c r="AQ277" i="1" s="1"/>
  <c r="AS277" i="1" s="1"/>
  <c r="AV276" i="1" a="1"/>
  <c r="AV276" i="1"/>
  <c r="AU276" i="1" a="1"/>
  <c r="AU276" i="1" s="1"/>
  <c r="AW276" i="1" s="1"/>
  <c r="AT276" i="1"/>
  <c r="AR276" i="1"/>
  <c r="AP276" i="1"/>
  <c r="AQ276" i="1" s="1"/>
  <c r="AS276" i="1" s="1"/>
  <c r="AV275" i="1" a="1"/>
  <c r="AV275" i="1"/>
  <c r="AU275" i="1" a="1"/>
  <c r="AU275" i="1" s="1"/>
  <c r="AT275" i="1"/>
  <c r="AW275" i="1" s="1"/>
  <c r="AR275" i="1"/>
  <c r="AP275" i="1"/>
  <c r="AQ275" i="1" s="1"/>
  <c r="AS275" i="1" s="1"/>
  <c r="AV274" i="1" a="1"/>
  <c r="AV274" i="1" s="1"/>
  <c r="AU274" i="1" a="1"/>
  <c r="AU274" i="1" s="1"/>
  <c r="AW274" i="1" s="1"/>
  <c r="AT274" i="1"/>
  <c r="AR274" i="1"/>
  <c r="AP274" i="1"/>
  <c r="AQ274" i="1" s="1"/>
  <c r="AS274" i="1" s="1"/>
  <c r="AV273" i="1" a="1"/>
  <c r="AV273" i="1"/>
  <c r="AU273" i="1" a="1"/>
  <c r="AU273" i="1" s="1"/>
  <c r="AW273" i="1" s="1"/>
  <c r="AT273" i="1"/>
  <c r="AR273" i="1"/>
  <c r="AQ273" i="1"/>
  <c r="AS273" i="1" s="1"/>
  <c r="AP273" i="1"/>
  <c r="AV272" i="1" a="1"/>
  <c r="AV272" i="1"/>
  <c r="AU272" i="1" a="1"/>
  <c r="AU272" i="1"/>
  <c r="AT272" i="1"/>
  <c r="AW272" i="1" s="1"/>
  <c r="AR272" i="1"/>
  <c r="AQ272" i="1"/>
  <c r="AS272" i="1" s="1"/>
  <c r="AP272" i="1"/>
  <c r="AV271" i="1" a="1"/>
  <c r="AV271" i="1" s="1"/>
  <c r="AU271" i="1" a="1"/>
  <c r="AU271" i="1"/>
  <c r="AT271" i="1"/>
  <c r="AW271" i="1" s="1"/>
  <c r="AR271" i="1"/>
  <c r="AQ271" i="1"/>
  <c r="AS271" i="1" s="1"/>
  <c r="AP271" i="1"/>
  <c r="AV270" i="1" a="1"/>
  <c r="AV270" i="1"/>
  <c r="AU270" i="1" a="1"/>
  <c r="AU270" i="1"/>
  <c r="AT270" i="1"/>
  <c r="AW270" i="1" s="1"/>
  <c r="AR270" i="1"/>
  <c r="AP270" i="1"/>
  <c r="AQ270" i="1" s="1"/>
  <c r="AS270" i="1" s="1"/>
  <c r="AV269" i="1" a="1"/>
  <c r="AV269" i="1" s="1"/>
  <c r="AU269" i="1" a="1"/>
  <c r="AU269" i="1" s="1"/>
  <c r="AT269" i="1"/>
  <c r="AW269" i="1" s="1"/>
  <c r="AR269" i="1"/>
  <c r="AP269" i="1"/>
  <c r="AQ269" i="1" s="1"/>
  <c r="AS269" i="1" s="1"/>
  <c r="AV268" i="1" a="1"/>
  <c r="AV268" i="1" s="1"/>
  <c r="AU268" i="1" a="1"/>
  <c r="AU268" i="1" s="1"/>
  <c r="AW268" i="1" s="1"/>
  <c r="AT268" i="1"/>
  <c r="AR268" i="1"/>
  <c r="AP268" i="1"/>
  <c r="AQ268" i="1" s="1"/>
  <c r="AS268" i="1" s="1"/>
  <c r="AV267" i="1" a="1"/>
  <c r="AV267" i="1"/>
  <c r="AU267" i="1" a="1"/>
  <c r="AU267" i="1" s="1"/>
  <c r="AT267" i="1"/>
  <c r="AW267" i="1" s="1"/>
  <c r="AR267" i="1"/>
  <c r="AP267" i="1"/>
  <c r="AQ267" i="1" s="1"/>
  <c r="AS267" i="1" s="1"/>
  <c r="AV266" i="1" a="1"/>
  <c r="AV266" i="1"/>
  <c r="AU266" i="1" a="1"/>
  <c r="AU266" i="1"/>
  <c r="AT266" i="1"/>
  <c r="AW266" i="1" s="1"/>
  <c r="AR266" i="1"/>
  <c r="AP266" i="1"/>
  <c r="AQ266" i="1" s="1"/>
  <c r="AS266" i="1" s="1"/>
  <c r="AV265" i="1" a="1"/>
  <c r="AV265" i="1"/>
  <c r="AU265" i="1" a="1"/>
  <c r="AU265" i="1" s="1"/>
  <c r="AW265" i="1" s="1"/>
  <c r="AT265" i="1"/>
  <c r="AR265" i="1"/>
  <c r="AP265" i="1"/>
  <c r="AQ265" i="1" s="1"/>
  <c r="AS265" i="1" s="1"/>
  <c r="AV264" i="1" a="1"/>
  <c r="AV264" i="1" s="1"/>
  <c r="AU264" i="1" a="1"/>
  <c r="AU264" i="1"/>
  <c r="AT264" i="1"/>
  <c r="AW264" i="1" s="1"/>
  <c r="AR264" i="1"/>
  <c r="AP264" i="1"/>
  <c r="AQ264" i="1" s="1"/>
  <c r="AS264" i="1" s="1"/>
  <c r="AV263" i="1" a="1"/>
  <c r="AV263" i="1" s="1"/>
  <c r="AU263" i="1" a="1"/>
  <c r="AU263" i="1" s="1"/>
  <c r="AW263" i="1" s="1"/>
  <c r="AT263" i="1"/>
  <c r="AR263" i="1"/>
  <c r="AP263" i="1"/>
  <c r="AQ263" i="1" s="1"/>
  <c r="AS263" i="1" s="1"/>
  <c r="AV262" i="1" a="1"/>
  <c r="AV262" i="1" s="1"/>
  <c r="AU262" i="1" a="1"/>
  <c r="AU262" i="1"/>
  <c r="AT262" i="1"/>
  <c r="AW262" i="1" s="1"/>
  <c r="AR262" i="1"/>
  <c r="AP262" i="1"/>
  <c r="AQ262" i="1" s="1"/>
  <c r="AS262" i="1" s="1"/>
  <c r="AV261" i="1" a="1"/>
  <c r="AV261" i="1" s="1"/>
  <c r="AU261" i="1" a="1"/>
  <c r="AU261" i="1"/>
  <c r="AW261" i="1" s="1"/>
  <c r="AT261" i="1"/>
  <c r="AR261" i="1"/>
  <c r="AP261" i="1"/>
  <c r="AQ261" i="1" s="1"/>
  <c r="AS261" i="1" s="1"/>
  <c r="AV260" i="1" a="1"/>
  <c r="AV260" i="1" s="1"/>
  <c r="AU260" i="1" a="1"/>
  <c r="AU260" i="1"/>
  <c r="AT260" i="1"/>
  <c r="AW260" i="1" s="1"/>
  <c r="AR260" i="1"/>
  <c r="AP260" i="1"/>
  <c r="AQ260" i="1" s="1"/>
  <c r="AS260" i="1" s="1"/>
  <c r="AV259" i="1" a="1"/>
  <c r="AV259" i="1"/>
  <c r="AU259" i="1" a="1"/>
  <c r="AU259" i="1" s="1"/>
  <c r="AT259" i="1"/>
  <c r="AR259" i="1"/>
  <c r="AP259" i="1"/>
  <c r="AQ259" i="1" s="1"/>
  <c r="AS259" i="1" s="1"/>
  <c r="AV258" i="1" a="1"/>
  <c r="AV258" i="1"/>
  <c r="AU258" i="1" a="1"/>
  <c r="AU258" i="1" s="1"/>
  <c r="AT258" i="1"/>
  <c r="AR258" i="1"/>
  <c r="AP258" i="1"/>
  <c r="AQ258" i="1" s="1"/>
  <c r="AS258" i="1" s="1"/>
  <c r="AV257" i="1" a="1"/>
  <c r="AV257" i="1"/>
  <c r="AU257" i="1" a="1"/>
  <c r="AU257" i="1"/>
  <c r="AT257" i="1"/>
  <c r="AW257" i="1" s="1"/>
  <c r="AR257" i="1"/>
  <c r="AP257" i="1"/>
  <c r="AQ257" i="1" s="1"/>
  <c r="AS257" i="1" s="1"/>
  <c r="AV256" i="1" a="1"/>
  <c r="AV256" i="1" s="1"/>
  <c r="AU256" i="1" a="1"/>
  <c r="AU256" i="1"/>
  <c r="AT256" i="1"/>
  <c r="AW256" i="1" s="1"/>
  <c r="AR256" i="1"/>
  <c r="AQ256" i="1"/>
  <c r="AS256" i="1" s="1"/>
  <c r="AP256" i="1"/>
  <c r="AV255" i="1" a="1"/>
  <c r="AV255" i="1" s="1"/>
  <c r="AU255" i="1" a="1"/>
  <c r="AU255" i="1" s="1"/>
  <c r="AT255" i="1"/>
  <c r="AW255" i="1" s="1"/>
  <c r="AR255" i="1"/>
  <c r="AQ255" i="1"/>
  <c r="AS255" i="1" s="1"/>
  <c r="AP255" i="1"/>
  <c r="AV254" i="1" a="1"/>
  <c r="AV254" i="1" s="1"/>
  <c r="AU254" i="1" a="1"/>
  <c r="AU254" i="1"/>
  <c r="AT254" i="1"/>
  <c r="AW254" i="1" s="1"/>
  <c r="AR254" i="1"/>
  <c r="AP254" i="1"/>
  <c r="AQ254" i="1" s="1"/>
  <c r="AS254" i="1" s="1"/>
  <c r="AV253" i="1" a="1"/>
  <c r="AV253" i="1"/>
  <c r="AU253" i="1" a="1"/>
  <c r="AU253" i="1"/>
  <c r="AT253" i="1"/>
  <c r="AW253" i="1" s="1"/>
  <c r="AR253" i="1"/>
  <c r="AP253" i="1"/>
  <c r="AQ253" i="1" s="1"/>
  <c r="AS253" i="1" s="1"/>
  <c r="AV252" i="1" a="1"/>
  <c r="AV252" i="1" s="1"/>
  <c r="AU252" i="1" a="1"/>
  <c r="AU252" i="1" s="1"/>
  <c r="AW252" i="1" s="1"/>
  <c r="AT252" i="1"/>
  <c r="AR252" i="1"/>
  <c r="AP252" i="1"/>
  <c r="AQ252" i="1" s="1"/>
  <c r="AS252" i="1" s="1"/>
  <c r="AV251" i="1" a="1"/>
  <c r="AV251" i="1"/>
  <c r="AU251" i="1" a="1"/>
  <c r="AU251" i="1"/>
  <c r="AT251" i="1"/>
  <c r="AW251" i="1" s="1"/>
  <c r="AR251" i="1"/>
  <c r="AP251" i="1"/>
  <c r="AQ251" i="1" s="1"/>
  <c r="AS251" i="1" s="1"/>
  <c r="AV250" i="1" a="1"/>
  <c r="AV250" i="1" s="1"/>
  <c r="AU250" i="1" a="1"/>
  <c r="AU250" i="1" s="1"/>
  <c r="AT250" i="1"/>
  <c r="AW250" i="1" s="1"/>
  <c r="AR250" i="1"/>
  <c r="AQ250" i="1"/>
  <c r="AS250" i="1" s="1"/>
  <c r="AP250" i="1"/>
  <c r="AV249" i="1" a="1"/>
  <c r="AV249" i="1"/>
  <c r="AU249" i="1" a="1"/>
  <c r="AU249" i="1" s="1"/>
  <c r="AT249" i="1"/>
  <c r="AW249" i="1" s="1"/>
  <c r="AR249" i="1"/>
  <c r="AP249" i="1"/>
  <c r="AQ249" i="1" s="1"/>
  <c r="AS249" i="1" s="1"/>
  <c r="AV248" i="1" a="1"/>
  <c r="AV248" i="1"/>
  <c r="AU248" i="1" a="1"/>
  <c r="AU248" i="1"/>
  <c r="AT248" i="1"/>
  <c r="AW248" i="1" s="1"/>
  <c r="AR248" i="1"/>
  <c r="AP248" i="1"/>
  <c r="AQ248" i="1" s="1"/>
  <c r="AS248" i="1" s="1"/>
  <c r="AV247" i="1" a="1"/>
  <c r="AV247" i="1"/>
  <c r="AU247" i="1" a="1"/>
  <c r="AU247" i="1"/>
  <c r="AT247" i="1"/>
  <c r="AW247" i="1" s="1"/>
  <c r="AR247" i="1"/>
  <c r="AP247" i="1"/>
  <c r="AQ247" i="1" s="1"/>
  <c r="AS247" i="1" s="1"/>
  <c r="AV246" i="1" a="1"/>
  <c r="AV246" i="1" s="1"/>
  <c r="AU246" i="1" a="1"/>
  <c r="AU246" i="1"/>
  <c r="AW246" i="1" s="1"/>
  <c r="AT246" i="1"/>
  <c r="AR246" i="1"/>
  <c r="AP246" i="1"/>
  <c r="AQ246" i="1" s="1"/>
  <c r="AS246" i="1" s="1"/>
  <c r="AV245" i="1" a="1"/>
  <c r="AV245" i="1" s="1"/>
  <c r="AU245" i="1" a="1"/>
  <c r="AU245" i="1" s="1"/>
  <c r="AT245" i="1"/>
  <c r="AW245" i="1" s="1"/>
  <c r="AR245" i="1"/>
  <c r="AP245" i="1"/>
  <c r="AQ245" i="1" s="1"/>
  <c r="AS245" i="1" s="1"/>
  <c r="AV244" i="1" a="1"/>
  <c r="AV244" i="1"/>
  <c r="AU244" i="1" a="1"/>
  <c r="AU244" i="1" s="1"/>
  <c r="AW244" i="1" s="1"/>
  <c r="AT244" i="1"/>
  <c r="AR244" i="1"/>
  <c r="AP244" i="1"/>
  <c r="AQ244" i="1" s="1"/>
  <c r="AS244" i="1" s="1"/>
  <c r="AV243" i="1" a="1"/>
  <c r="AV243" i="1" s="1"/>
  <c r="AU243" i="1" a="1"/>
  <c r="AU243" i="1" s="1"/>
  <c r="AT243" i="1"/>
  <c r="AR243" i="1"/>
  <c r="AP243" i="1"/>
  <c r="AQ243" i="1" s="1"/>
  <c r="AS243" i="1" s="1"/>
  <c r="AV242" i="1" a="1"/>
  <c r="AV242" i="1" s="1"/>
  <c r="AU242" i="1" a="1"/>
  <c r="AU242" i="1" s="1"/>
  <c r="AW242" i="1" s="1"/>
  <c r="AT242" i="1"/>
  <c r="AR242" i="1"/>
  <c r="AP242" i="1"/>
  <c r="AQ242" i="1" s="1"/>
  <c r="AS242" i="1" s="1"/>
  <c r="AV241" i="1" a="1"/>
  <c r="AV241" i="1"/>
  <c r="AU241" i="1" a="1"/>
  <c r="AU241" i="1" s="1"/>
  <c r="AW241" i="1" s="1"/>
  <c r="AT241" i="1"/>
  <c r="AR241" i="1"/>
  <c r="AP241" i="1"/>
  <c r="AQ241" i="1" s="1"/>
  <c r="AS241" i="1" s="1"/>
  <c r="AV240" i="1" a="1"/>
  <c r="AV240" i="1"/>
  <c r="AU240" i="1" a="1"/>
  <c r="AU240" i="1"/>
  <c r="AT240" i="1"/>
  <c r="AW240" i="1" s="1"/>
  <c r="AR240" i="1"/>
  <c r="AQ240" i="1"/>
  <c r="AS240" i="1" s="1"/>
  <c r="AP240" i="1"/>
  <c r="AV239" i="1" a="1"/>
  <c r="AV239" i="1" s="1"/>
  <c r="AU239" i="1" a="1"/>
  <c r="AU239" i="1"/>
  <c r="AT239" i="1"/>
  <c r="AW239" i="1" s="1"/>
  <c r="AR239" i="1"/>
  <c r="AQ239" i="1"/>
  <c r="AS239" i="1" s="1"/>
  <c r="AP239" i="1"/>
  <c r="AV238" i="1" a="1"/>
  <c r="AV238" i="1"/>
  <c r="AU238" i="1" a="1"/>
  <c r="AU238" i="1"/>
  <c r="AT238" i="1"/>
  <c r="AW238" i="1" s="1"/>
  <c r="AR238" i="1"/>
  <c r="AP238" i="1"/>
  <c r="AQ238" i="1" s="1"/>
  <c r="AS238" i="1" s="1"/>
  <c r="AV237" i="1" a="1"/>
  <c r="AV237" i="1" s="1"/>
  <c r="AU237" i="1" a="1"/>
  <c r="AU237" i="1" s="1"/>
  <c r="AT237" i="1"/>
  <c r="AR237" i="1"/>
  <c r="AP237" i="1"/>
  <c r="AQ237" i="1" s="1"/>
  <c r="AS237" i="1" s="1"/>
  <c r="AV236" i="1" a="1"/>
  <c r="AV236" i="1" s="1"/>
  <c r="AU236" i="1" a="1"/>
  <c r="AU236" i="1" s="1"/>
  <c r="AW236" i="1" s="1"/>
  <c r="AT236" i="1"/>
  <c r="AR236" i="1"/>
  <c r="AP236" i="1"/>
  <c r="AQ236" i="1" s="1"/>
  <c r="AS236" i="1" s="1"/>
  <c r="AV235" i="1" a="1"/>
  <c r="AV235" i="1"/>
  <c r="AU235" i="1" a="1"/>
  <c r="AU235" i="1" s="1"/>
  <c r="AT235" i="1"/>
  <c r="AW235" i="1" s="1"/>
  <c r="AR235" i="1"/>
  <c r="AP235" i="1"/>
  <c r="AQ235" i="1" s="1"/>
  <c r="AS235" i="1" s="1"/>
  <c r="AV234" i="1" a="1"/>
  <c r="AV234" i="1"/>
  <c r="AU234" i="1" a="1"/>
  <c r="AU234" i="1"/>
  <c r="AT234" i="1"/>
  <c r="AW234" i="1" s="1"/>
  <c r="AR234" i="1"/>
  <c r="AP234" i="1"/>
  <c r="AQ234" i="1" s="1"/>
  <c r="AS234" i="1" s="1"/>
  <c r="AV233" i="1" a="1"/>
  <c r="AV233" i="1"/>
  <c r="AU233" i="1" a="1"/>
  <c r="AU233" i="1" s="1"/>
  <c r="AW233" i="1" s="1"/>
  <c r="AT233" i="1"/>
  <c r="AR233" i="1"/>
  <c r="AP233" i="1"/>
  <c r="AQ233" i="1" s="1"/>
  <c r="AS233" i="1" s="1"/>
  <c r="AV232" i="1" a="1"/>
  <c r="AV232" i="1" s="1"/>
  <c r="AU232" i="1" a="1"/>
  <c r="AU232" i="1"/>
  <c r="AT232" i="1"/>
  <c r="AW232" i="1" s="1"/>
  <c r="AR232" i="1"/>
  <c r="AP232" i="1"/>
  <c r="AQ232" i="1" s="1"/>
  <c r="AS232" i="1" s="1"/>
  <c r="AV231" i="1" a="1"/>
  <c r="AV231" i="1" s="1"/>
  <c r="AU231" i="1" a="1"/>
  <c r="AU231" i="1" s="1"/>
  <c r="AW231" i="1" s="1"/>
  <c r="AT231" i="1"/>
  <c r="AR231" i="1"/>
  <c r="AP231" i="1"/>
  <c r="AQ231" i="1" s="1"/>
  <c r="AS231" i="1" s="1"/>
  <c r="AV230" i="1" a="1"/>
  <c r="AV230" i="1" s="1"/>
  <c r="AU230" i="1" a="1"/>
  <c r="AU230" i="1"/>
  <c r="AT230" i="1"/>
  <c r="AW230" i="1" s="1"/>
  <c r="AR230" i="1"/>
  <c r="AP230" i="1"/>
  <c r="AQ230" i="1" s="1"/>
  <c r="AS230" i="1" s="1"/>
  <c r="AV229" i="1" a="1"/>
  <c r="AV229" i="1" s="1"/>
  <c r="AU229" i="1" a="1"/>
  <c r="AU229" i="1"/>
  <c r="AW229" i="1" s="1"/>
  <c r="AT229" i="1"/>
  <c r="AR229" i="1"/>
  <c r="AP229" i="1"/>
  <c r="AQ229" i="1" s="1"/>
  <c r="AS229" i="1" s="1"/>
  <c r="AV228" i="1" a="1"/>
  <c r="AV228" i="1" s="1"/>
  <c r="AU228" i="1" a="1"/>
  <c r="AU228" i="1"/>
  <c r="AT228" i="1"/>
  <c r="AW228" i="1" s="1"/>
  <c r="AR228" i="1"/>
  <c r="AP228" i="1"/>
  <c r="AQ228" i="1" s="1"/>
  <c r="AS228" i="1" s="1"/>
  <c r="AV227" i="1" a="1"/>
  <c r="AV227" i="1"/>
  <c r="AU227" i="1" a="1"/>
  <c r="AU227" i="1"/>
  <c r="AT227" i="1"/>
  <c r="AW227" i="1" s="1"/>
  <c r="AR227" i="1"/>
  <c r="AP227" i="1"/>
  <c r="AQ227" i="1" s="1"/>
  <c r="AS227" i="1" s="1"/>
  <c r="AV226" i="1" a="1"/>
  <c r="AV226" i="1"/>
  <c r="AU226" i="1" a="1"/>
  <c r="AU226" i="1" s="1"/>
  <c r="AT226" i="1"/>
  <c r="AW226" i="1" s="1"/>
  <c r="AR226" i="1"/>
  <c r="AP226" i="1"/>
  <c r="AQ226" i="1" s="1"/>
  <c r="AS226" i="1" s="1"/>
  <c r="AV225" i="1" a="1"/>
  <c r="AV225" i="1"/>
  <c r="AU225" i="1" a="1"/>
  <c r="AU225" i="1"/>
  <c r="AT225" i="1"/>
  <c r="AW225" i="1" s="1"/>
  <c r="AR225" i="1"/>
  <c r="AP225" i="1"/>
  <c r="AQ225" i="1" s="1"/>
  <c r="AS225" i="1" s="1"/>
  <c r="AV224" i="1" a="1"/>
  <c r="AV224" i="1" s="1"/>
  <c r="AU224" i="1" a="1"/>
  <c r="AU224" i="1" s="1"/>
  <c r="AT224" i="1"/>
  <c r="AW224" i="1" s="1"/>
  <c r="AR224" i="1"/>
  <c r="AQ224" i="1"/>
  <c r="AS224" i="1" s="1"/>
  <c r="AP224" i="1"/>
  <c r="AV223" i="1" a="1"/>
  <c r="AV223" i="1" s="1"/>
  <c r="AU223" i="1" a="1"/>
  <c r="AU223" i="1" s="1"/>
  <c r="AT223" i="1"/>
  <c r="AW223" i="1" s="1"/>
  <c r="AR223" i="1"/>
  <c r="AQ223" i="1"/>
  <c r="AS223" i="1" s="1"/>
  <c r="AP223" i="1"/>
  <c r="AV222" i="1" a="1"/>
  <c r="AV222" i="1" s="1"/>
  <c r="AU222" i="1" a="1"/>
  <c r="AU222" i="1"/>
  <c r="AT222" i="1"/>
  <c r="AW222" i="1" s="1"/>
  <c r="AR222" i="1"/>
  <c r="AP222" i="1"/>
  <c r="AQ222" i="1" s="1"/>
  <c r="AS222" i="1" s="1"/>
  <c r="AV221" i="1" a="1"/>
  <c r="AV221" i="1"/>
  <c r="AU221" i="1" a="1"/>
  <c r="AU221" i="1"/>
  <c r="AT221" i="1"/>
  <c r="AW221" i="1" s="1"/>
  <c r="AR221" i="1"/>
  <c r="AP221" i="1"/>
  <c r="AQ221" i="1" s="1"/>
  <c r="AS221" i="1" s="1"/>
  <c r="AV220" i="1" a="1"/>
  <c r="AV220" i="1" s="1"/>
  <c r="AU220" i="1" a="1"/>
  <c r="AU220" i="1" s="1"/>
  <c r="AW220" i="1" s="1"/>
  <c r="AT220" i="1"/>
  <c r="AR220" i="1"/>
  <c r="AP220" i="1"/>
  <c r="AQ220" i="1" s="1"/>
  <c r="AS220" i="1" s="1"/>
  <c r="AV219" i="1" a="1"/>
  <c r="AV219" i="1" s="1"/>
  <c r="AU219" i="1" a="1"/>
  <c r="AU219" i="1"/>
  <c r="AT219" i="1"/>
  <c r="AW219" i="1" s="1"/>
  <c r="AR219" i="1"/>
  <c r="AP219" i="1"/>
  <c r="AQ219" i="1" s="1"/>
  <c r="AS219" i="1" s="1"/>
  <c r="AV218" i="1" a="1"/>
  <c r="AV218" i="1" s="1"/>
  <c r="AU218" i="1" a="1"/>
  <c r="AU218" i="1" s="1"/>
  <c r="AT218" i="1"/>
  <c r="AR218" i="1"/>
  <c r="AP218" i="1"/>
  <c r="AQ218" i="1" s="1"/>
  <c r="AS218" i="1" s="1"/>
  <c r="AV217" i="1" a="1"/>
  <c r="AV217" i="1"/>
  <c r="AU217" i="1" a="1"/>
  <c r="AU217" i="1" s="1"/>
  <c r="AT217" i="1"/>
  <c r="AR217" i="1"/>
  <c r="AP217" i="1"/>
  <c r="AQ217" i="1" s="1"/>
  <c r="AS217" i="1" s="1"/>
  <c r="AV216" i="1" a="1"/>
  <c r="AV216" i="1"/>
  <c r="AU216" i="1" a="1"/>
  <c r="AU216" i="1"/>
  <c r="AT216" i="1"/>
  <c r="AW216" i="1" s="1"/>
  <c r="AR216" i="1"/>
  <c r="AP216" i="1"/>
  <c r="AQ216" i="1" s="1"/>
  <c r="AS216" i="1" s="1"/>
  <c r="AV215" i="1" a="1"/>
  <c r="AV215" i="1"/>
  <c r="AU215" i="1" a="1"/>
  <c r="AU215" i="1" s="1"/>
  <c r="AT215" i="1"/>
  <c r="AR215" i="1"/>
  <c r="AP215" i="1"/>
  <c r="AQ215" i="1" s="1"/>
  <c r="AS215" i="1" s="1"/>
  <c r="AV214" i="1" a="1"/>
  <c r="AV214" i="1"/>
  <c r="AU214" i="1" a="1"/>
  <c r="AU214" i="1"/>
  <c r="AW214" i="1" s="1"/>
  <c r="AT214" i="1"/>
  <c r="AR214" i="1"/>
  <c r="AP214" i="1"/>
  <c r="AQ214" i="1" s="1"/>
  <c r="AS214" i="1" s="1"/>
  <c r="AV213" i="1" a="1"/>
  <c r="AV213" i="1" s="1"/>
  <c r="AU213" i="1" a="1"/>
  <c r="AU213" i="1" s="1"/>
  <c r="AT213" i="1"/>
  <c r="AW213" i="1" s="1"/>
  <c r="AR213" i="1"/>
  <c r="AP213" i="1"/>
  <c r="AQ213" i="1" s="1"/>
  <c r="AS213" i="1" s="1"/>
  <c r="AV212" i="1" a="1"/>
  <c r="AV212" i="1"/>
  <c r="AU212" i="1" a="1"/>
  <c r="AU212" i="1" s="1"/>
  <c r="AW212" i="1" s="1"/>
  <c r="AT212" i="1"/>
  <c r="AR212" i="1"/>
  <c r="AP212" i="1"/>
  <c r="AQ212" i="1" s="1"/>
  <c r="AS212" i="1" s="1"/>
  <c r="AV211" i="1" a="1"/>
  <c r="AV211" i="1" s="1"/>
  <c r="AU211" i="1" a="1"/>
  <c r="AU211" i="1" s="1"/>
  <c r="AT211" i="1"/>
  <c r="AW211" i="1" s="1"/>
  <c r="AR211" i="1"/>
  <c r="AP211" i="1"/>
  <c r="AQ211" i="1" s="1"/>
  <c r="AS211" i="1" s="1"/>
  <c r="AV210" i="1" a="1"/>
  <c r="AV210" i="1" s="1"/>
  <c r="AU210" i="1" a="1"/>
  <c r="AU210" i="1" s="1"/>
  <c r="AT210" i="1"/>
  <c r="AW210" i="1" s="1"/>
  <c r="AR210" i="1"/>
  <c r="AP210" i="1"/>
  <c r="AQ210" i="1" s="1"/>
  <c r="AS210" i="1" s="1"/>
  <c r="AV209" i="1" a="1"/>
  <c r="AV209" i="1"/>
  <c r="AU209" i="1" a="1"/>
  <c r="AU209" i="1" s="1"/>
  <c r="AW209" i="1" s="1"/>
  <c r="AT209" i="1"/>
  <c r="AR209" i="1"/>
  <c r="AP209" i="1"/>
  <c r="AQ209" i="1" s="1"/>
  <c r="AS209" i="1" s="1"/>
  <c r="AV208" i="1" a="1"/>
  <c r="AV208" i="1"/>
  <c r="AU208" i="1" a="1"/>
  <c r="AU208" i="1"/>
  <c r="AT208" i="1"/>
  <c r="AW208" i="1" s="1"/>
  <c r="AR208" i="1"/>
  <c r="AQ208" i="1"/>
  <c r="AS208" i="1" s="1"/>
  <c r="AP208" i="1"/>
  <c r="AV207" i="1" a="1"/>
  <c r="AV207" i="1" s="1"/>
  <c r="AU207" i="1" a="1"/>
  <c r="AU207" i="1"/>
  <c r="AT207" i="1"/>
  <c r="AW207" i="1" s="1"/>
  <c r="AR207" i="1"/>
  <c r="AP207" i="1"/>
  <c r="AQ207" i="1" s="1"/>
  <c r="AS207" i="1" s="1"/>
  <c r="AV206" i="1" a="1"/>
  <c r="AV206" i="1"/>
  <c r="AU206" i="1" a="1"/>
  <c r="AU206" i="1"/>
  <c r="AT206" i="1"/>
  <c r="AW206" i="1" s="1"/>
  <c r="AR206" i="1"/>
  <c r="AP206" i="1"/>
  <c r="AQ206" i="1" s="1"/>
  <c r="AS206" i="1" s="1"/>
  <c r="AV205" i="1" a="1"/>
  <c r="AV205" i="1" s="1"/>
  <c r="AU205" i="1" a="1"/>
  <c r="AU205" i="1" s="1"/>
  <c r="AT205" i="1"/>
  <c r="AW205" i="1" s="1"/>
  <c r="AR205" i="1"/>
  <c r="AP205" i="1"/>
  <c r="AQ205" i="1" s="1"/>
  <c r="AS205" i="1" s="1"/>
  <c r="AV204" i="1" a="1"/>
  <c r="AV204" i="1" s="1"/>
  <c r="AU204" i="1" a="1"/>
  <c r="AU204" i="1" s="1"/>
  <c r="AW204" i="1" s="1"/>
  <c r="AT204" i="1"/>
  <c r="AR204" i="1"/>
  <c r="AP204" i="1"/>
  <c r="AQ204" i="1" s="1"/>
  <c r="AS204" i="1" s="1"/>
  <c r="AV203" i="1" a="1"/>
  <c r="AV203" i="1"/>
  <c r="AU203" i="1" a="1"/>
  <c r="AU203" i="1" s="1"/>
  <c r="AT203" i="1"/>
  <c r="AR203" i="1"/>
  <c r="AP203" i="1"/>
  <c r="AQ203" i="1" s="1"/>
  <c r="AS203" i="1" s="1"/>
  <c r="AV202" i="1" a="1"/>
  <c r="AV202" i="1"/>
  <c r="AU202" i="1" a="1"/>
  <c r="AU202" i="1"/>
  <c r="AT202" i="1"/>
  <c r="AW202" i="1" s="1"/>
  <c r="AR202" i="1"/>
  <c r="AP202" i="1"/>
  <c r="AQ202" i="1" s="1"/>
  <c r="AS202" i="1" s="1"/>
  <c r="AV201" i="1" a="1"/>
  <c r="AV201" i="1"/>
  <c r="AU201" i="1" a="1"/>
  <c r="AU201" i="1" s="1"/>
  <c r="AW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W200" i="1" s="1"/>
  <c r="AR200" i="1"/>
  <c r="AP200" i="1"/>
  <c r="AQ200" i="1" s="1"/>
  <c r="AS200" i="1" s="1"/>
  <c r="AV199" i="1" a="1"/>
  <c r="AV199" i="1" s="1"/>
  <c r="AU199" i="1" a="1"/>
  <c r="AU199" i="1" s="1"/>
  <c r="AW199" i="1" s="1"/>
  <c r="AT199" i="1"/>
  <c r="AR199" i="1"/>
  <c r="AP199" i="1"/>
  <c r="AQ199" i="1" s="1"/>
  <c r="AS199" i="1" s="1"/>
  <c r="AV198" i="1" a="1"/>
  <c r="AV198" i="1" s="1"/>
  <c r="AU198" i="1" a="1"/>
  <c r="AU198" i="1"/>
  <c r="AT198" i="1"/>
  <c r="AW198" i="1" s="1"/>
  <c r="AR198" i="1"/>
  <c r="AP198" i="1"/>
  <c r="AQ198" i="1" s="1"/>
  <c r="AS198" i="1" s="1"/>
  <c r="AV197" i="1" a="1"/>
  <c r="AV197" i="1" s="1"/>
  <c r="AU197" i="1" a="1"/>
  <c r="AU197" i="1"/>
  <c r="AW197" i="1" s="1"/>
  <c r="AT197" i="1"/>
  <c r="AR197" i="1"/>
  <c r="AP197" i="1"/>
  <c r="AQ197" i="1" s="1"/>
  <c r="AS197" i="1" s="1"/>
  <c r="AV196" i="1" a="1"/>
  <c r="AV196" i="1" s="1"/>
  <c r="AU196" i="1" a="1"/>
  <c r="AU196" i="1"/>
  <c r="AT196" i="1"/>
  <c r="AW196" i="1" s="1"/>
  <c r="AR196" i="1"/>
  <c r="AP196" i="1"/>
  <c r="AQ196" i="1" s="1"/>
  <c r="AS196" i="1" s="1"/>
  <c r="AV195" i="1" a="1"/>
  <c r="AV195" i="1" s="1"/>
  <c r="AU195" i="1" a="1"/>
  <c r="AU195" i="1"/>
  <c r="AT195" i="1"/>
  <c r="AW195" i="1" s="1"/>
  <c r="AR195" i="1"/>
  <c r="AP195" i="1"/>
  <c r="AQ195" i="1" s="1"/>
  <c r="AS195" i="1" s="1"/>
  <c r="AV194" i="1" a="1"/>
  <c r="AV194" i="1"/>
  <c r="AU194" i="1" a="1"/>
  <c r="AU194" i="1" s="1"/>
  <c r="AT194" i="1"/>
  <c r="AW194" i="1" s="1"/>
  <c r="AR194" i="1"/>
  <c r="AP194" i="1"/>
  <c r="AQ194" i="1" s="1"/>
  <c r="AS194" i="1" s="1"/>
  <c r="AV193" i="1" a="1"/>
  <c r="AV193" i="1"/>
  <c r="AU193" i="1" a="1"/>
  <c r="AU193" i="1"/>
  <c r="AT193" i="1"/>
  <c r="AW193" i="1" s="1"/>
  <c r="AR193" i="1"/>
  <c r="AP193" i="1"/>
  <c r="AQ193" i="1" s="1"/>
  <c r="AS193" i="1" s="1"/>
  <c r="AV192" i="1" a="1"/>
  <c r="AV192" i="1" s="1"/>
  <c r="AU192" i="1" a="1"/>
  <c r="AU192" i="1" s="1"/>
  <c r="AT192" i="1"/>
  <c r="AW192" i="1" s="1"/>
  <c r="AR192" i="1"/>
  <c r="AQ192" i="1"/>
  <c r="AS192" i="1" s="1"/>
  <c r="AP192" i="1"/>
  <c r="AV191" i="1" a="1"/>
  <c r="AV191" i="1" s="1"/>
  <c r="AU191" i="1" a="1"/>
  <c r="AU191" i="1" s="1"/>
  <c r="AT191" i="1"/>
  <c r="AW191" i="1" s="1"/>
  <c r="AR191" i="1"/>
  <c r="AQ191" i="1"/>
  <c r="AS191" i="1" s="1"/>
  <c r="AP191" i="1"/>
  <c r="AV190" i="1" a="1"/>
  <c r="AV190" i="1" s="1"/>
  <c r="AU190" i="1" a="1"/>
  <c r="AU190" i="1"/>
  <c r="AT190" i="1"/>
  <c r="AW190" i="1" s="1"/>
  <c r="AR190" i="1"/>
  <c r="AP190" i="1"/>
  <c r="AQ190" i="1" s="1"/>
  <c r="AS190" i="1" s="1"/>
  <c r="AV189" i="1" a="1"/>
  <c r="AV189" i="1"/>
  <c r="AU189" i="1" a="1"/>
  <c r="AU189" i="1" s="1"/>
  <c r="AT189" i="1"/>
  <c r="AW189" i="1" s="1"/>
  <c r="AR189" i="1"/>
  <c r="AP189" i="1"/>
  <c r="AQ189" i="1" s="1"/>
  <c r="AS189" i="1" s="1"/>
  <c r="AV188" i="1" a="1"/>
  <c r="AV188" i="1" s="1"/>
  <c r="AU188" i="1" a="1"/>
  <c r="AU188" i="1" s="1"/>
  <c r="AW188" i="1" s="1"/>
  <c r="AT188" i="1"/>
  <c r="AR188" i="1"/>
  <c r="AP188" i="1"/>
  <c r="AQ188" i="1" s="1"/>
  <c r="AS188" i="1" s="1"/>
  <c r="AV187" i="1" a="1"/>
  <c r="AV187" i="1" s="1"/>
  <c r="AU187" i="1" a="1"/>
  <c r="AU187" i="1"/>
  <c r="AT187" i="1"/>
  <c r="AW187" i="1" s="1"/>
  <c r="AR187" i="1"/>
  <c r="AP187" i="1"/>
  <c r="AQ187" i="1" s="1"/>
  <c r="AS187" i="1" s="1"/>
  <c r="AV186" i="1" a="1"/>
  <c r="AV186" i="1" s="1"/>
  <c r="AU186" i="1" a="1"/>
  <c r="AU186" i="1" s="1"/>
  <c r="AT186" i="1"/>
  <c r="AW186" i="1" s="1"/>
  <c r="AR186" i="1"/>
  <c r="AP186" i="1"/>
  <c r="AQ186" i="1" s="1"/>
  <c r="AS186" i="1" s="1"/>
  <c r="AV185" i="1" a="1"/>
  <c r="AV185" i="1"/>
  <c r="AU185" i="1" a="1"/>
  <c r="AU185" i="1" s="1"/>
  <c r="AT185" i="1"/>
  <c r="AW185" i="1" s="1"/>
  <c r="AR185" i="1"/>
  <c r="AP185" i="1"/>
  <c r="AQ185" i="1" s="1"/>
  <c r="AS185" i="1" s="1"/>
  <c r="AV184" i="1" a="1"/>
  <c r="AV184" i="1"/>
  <c r="AU184" i="1" a="1"/>
  <c r="AU184" i="1"/>
  <c r="AT184" i="1"/>
  <c r="AW184" i="1" s="1"/>
  <c r="AR184" i="1"/>
  <c r="AP184" i="1"/>
  <c r="AQ184" i="1" s="1"/>
  <c r="AS184" i="1" s="1"/>
  <c r="AV183" i="1" a="1"/>
  <c r="AV183" i="1"/>
  <c r="AU183" i="1" a="1"/>
  <c r="AU183" i="1"/>
  <c r="AT183" i="1"/>
  <c r="AW183" i="1" s="1"/>
  <c r="AR183" i="1"/>
  <c r="AP183" i="1"/>
  <c r="AQ183" i="1" s="1"/>
  <c r="AS183" i="1" s="1"/>
  <c r="AV182" i="1" a="1"/>
  <c r="AV182" i="1"/>
  <c r="AU182" i="1" a="1"/>
  <c r="AU182" i="1" s="1"/>
  <c r="AW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/>
  <c r="AU180" i="1" a="1"/>
  <c r="AU180" i="1" s="1"/>
  <c r="AW180" i="1" s="1"/>
  <c r="AT180" i="1"/>
  <c r="AR180" i="1"/>
  <c r="AP180" i="1"/>
  <c r="AQ180" i="1" s="1"/>
  <c r="AS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/>
  <c r="AU177" i="1" a="1"/>
  <c r="AU177" i="1" s="1"/>
  <c r="AW177" i="1" s="1"/>
  <c r="AT177" i="1"/>
  <c r="AR177" i="1"/>
  <c r="AP177" i="1"/>
  <c r="AQ177" i="1" s="1"/>
  <c r="AS177" i="1" s="1"/>
  <c r="AV176" i="1" a="1"/>
  <c r="AV176" i="1"/>
  <c r="AU176" i="1" a="1"/>
  <c r="AU176" i="1"/>
  <c r="AT176" i="1"/>
  <c r="AW176" i="1" s="1"/>
  <c r="AR176" i="1"/>
  <c r="AQ176" i="1"/>
  <c r="AS176" i="1" s="1"/>
  <c r="AP176" i="1"/>
  <c r="AV175" i="1" a="1"/>
  <c r="AV175" i="1" s="1"/>
  <c r="AU175" i="1" a="1"/>
  <c r="AU175" i="1"/>
  <c r="AT175" i="1"/>
  <c r="AW175" i="1" s="1"/>
  <c r="AR175" i="1"/>
  <c r="AP175" i="1"/>
  <c r="AQ175" i="1" s="1"/>
  <c r="AS175" i="1" s="1"/>
  <c r="AV174" i="1" a="1"/>
  <c r="AV174" i="1"/>
  <c r="AU174" i="1" a="1"/>
  <c r="AU174" i="1"/>
  <c r="AT174" i="1"/>
  <c r="AW174" i="1" s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W172" i="1" s="1"/>
  <c r="AT172" i="1"/>
  <c r="AR172" i="1"/>
  <c r="AP172" i="1"/>
  <c r="AQ172" i="1" s="1"/>
  <c r="AS172" i="1" s="1"/>
  <c r="AV171" i="1" a="1"/>
  <c r="AV171" i="1"/>
  <c r="AU171" i="1" a="1"/>
  <c r="AU171" i="1" s="1"/>
  <c r="AT171" i="1"/>
  <c r="AW171" i="1" s="1"/>
  <c r="AR171" i="1"/>
  <c r="AP171" i="1"/>
  <c r="AQ171" i="1" s="1"/>
  <c r="AS171" i="1" s="1"/>
  <c r="AV170" i="1" a="1"/>
  <c r="AV170" i="1" s="1"/>
  <c r="AU170" i="1" a="1"/>
  <c r="AU170" i="1"/>
  <c r="AT170" i="1"/>
  <c r="AW170" i="1" s="1"/>
  <c r="AR170" i="1"/>
  <c r="AP170" i="1"/>
  <c r="AQ170" i="1" s="1"/>
  <c r="AS170" i="1" s="1"/>
  <c r="AV169" i="1" a="1"/>
  <c r="AV169" i="1"/>
  <c r="AU169" i="1" a="1"/>
  <c r="AU169" i="1" s="1"/>
  <c r="AW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W168" i="1" s="1"/>
  <c r="AR168" i="1"/>
  <c r="AP168" i="1"/>
  <c r="AQ168" i="1" s="1"/>
  <c r="AS168" i="1" s="1"/>
  <c r="AV167" i="1" a="1"/>
  <c r="AV167" i="1" s="1"/>
  <c r="AU167" i="1" a="1"/>
  <c r="AU167" i="1" s="1"/>
  <c r="AW167" i="1" s="1"/>
  <c r="AT167" i="1"/>
  <c r="AR167" i="1"/>
  <c r="AP167" i="1"/>
  <c r="AQ167" i="1" s="1"/>
  <c r="AS167" i="1" s="1"/>
  <c r="AV166" i="1" a="1"/>
  <c r="AV166" i="1" s="1"/>
  <c r="AU166" i="1" a="1"/>
  <c r="AU166" i="1"/>
  <c r="AT166" i="1"/>
  <c r="AW166" i="1" s="1"/>
  <c r="AR166" i="1"/>
  <c r="AP166" i="1"/>
  <c r="AQ166" i="1" s="1"/>
  <c r="AS166" i="1" s="1"/>
  <c r="AV165" i="1" a="1"/>
  <c r="AV165" i="1" s="1"/>
  <c r="AU165" i="1" a="1"/>
  <c r="AU165" i="1"/>
  <c r="AW165" i="1" s="1"/>
  <c r="AT165" i="1"/>
  <c r="AR165" i="1"/>
  <c r="AP165" i="1"/>
  <c r="AQ165" i="1" s="1"/>
  <c r="AS165" i="1" s="1"/>
  <c r="AV164" i="1" a="1"/>
  <c r="AV164" i="1" s="1"/>
  <c r="AU164" i="1" a="1"/>
  <c r="AU164" i="1"/>
  <c r="AT164" i="1"/>
  <c r="AW164" i="1" s="1"/>
  <c r="AR164" i="1"/>
  <c r="AP164" i="1"/>
  <c r="AQ164" i="1" s="1"/>
  <c r="AS164" i="1" s="1"/>
  <c r="AV163" i="1" a="1"/>
  <c r="AV163" i="1"/>
  <c r="AU163" i="1" a="1"/>
  <c r="AU163" i="1"/>
  <c r="AT163" i="1"/>
  <c r="AW163" i="1" s="1"/>
  <c r="AR163" i="1"/>
  <c r="AP163" i="1"/>
  <c r="AQ163" i="1" s="1"/>
  <c r="AS163" i="1" s="1"/>
  <c r="AV162" i="1" a="1"/>
  <c r="AV162" i="1"/>
  <c r="AU162" i="1" a="1"/>
  <c r="AU162" i="1" s="1"/>
  <c r="AT162" i="1"/>
  <c r="AR162" i="1"/>
  <c r="AP162" i="1"/>
  <c r="AQ162" i="1" s="1"/>
  <c r="AS162" i="1" s="1"/>
  <c r="AV161" i="1" a="1"/>
  <c r="AV161" i="1"/>
  <c r="AU161" i="1" a="1"/>
  <c r="AU161" i="1"/>
  <c r="AT161" i="1"/>
  <c r="AW161" i="1" s="1"/>
  <c r="AR161" i="1"/>
  <c r="AP161" i="1"/>
  <c r="AQ161" i="1" s="1"/>
  <c r="AS161" i="1" s="1"/>
  <c r="AV160" i="1" a="1"/>
  <c r="AV160" i="1" s="1"/>
  <c r="AU160" i="1" a="1"/>
  <c r="AU160" i="1" s="1"/>
  <c r="AT160" i="1"/>
  <c r="AW160" i="1" s="1"/>
  <c r="AR160" i="1"/>
  <c r="AQ160" i="1"/>
  <c r="AS160" i="1" s="1"/>
  <c r="AP160" i="1"/>
  <c r="AV159" i="1" a="1"/>
  <c r="AV159" i="1" s="1"/>
  <c r="AU159" i="1" a="1"/>
  <c r="AU159" i="1" s="1"/>
  <c r="AT159" i="1"/>
  <c r="AW159" i="1" s="1"/>
  <c r="AR159" i="1"/>
  <c r="AQ159" i="1"/>
  <c r="AS159" i="1" s="1"/>
  <c r="AP159" i="1"/>
  <c r="AV158" i="1" a="1"/>
  <c r="AV158" i="1" s="1"/>
  <c r="AU158" i="1" a="1"/>
  <c r="AU158" i="1"/>
  <c r="AT158" i="1"/>
  <c r="AW158" i="1" s="1"/>
  <c r="AR158" i="1"/>
  <c r="AP158" i="1"/>
  <c r="AQ158" i="1" s="1"/>
  <c r="AS158" i="1" s="1"/>
  <c r="AV157" i="1" a="1"/>
  <c r="AV157" i="1"/>
  <c r="AU157" i="1" a="1"/>
  <c r="AU157" i="1"/>
  <c r="AT157" i="1"/>
  <c r="AW157" i="1" s="1"/>
  <c r="AR157" i="1"/>
  <c r="AP157" i="1"/>
  <c r="AQ157" i="1" s="1"/>
  <c r="AS157" i="1" s="1"/>
  <c r="AV156" i="1" a="1"/>
  <c r="AV156" i="1" s="1"/>
  <c r="AU156" i="1" a="1"/>
  <c r="AU156" i="1" s="1"/>
  <c r="AW156" i="1" s="1"/>
  <c r="AT156" i="1"/>
  <c r="AR156" i="1"/>
  <c r="AP156" i="1"/>
  <c r="AQ156" i="1" s="1"/>
  <c r="AS156" i="1" s="1"/>
  <c r="AV155" i="1" a="1"/>
  <c r="AV155" i="1" s="1"/>
  <c r="AU155" i="1" a="1"/>
  <c r="AU155" i="1"/>
  <c r="AT155" i="1"/>
  <c r="AW155" i="1" s="1"/>
  <c r="AR155" i="1"/>
  <c r="AP155" i="1"/>
  <c r="AQ155" i="1" s="1"/>
  <c r="AS155" i="1" s="1"/>
  <c r="AV154" i="1" a="1"/>
  <c r="AV154" i="1" s="1"/>
  <c r="AU154" i="1" a="1"/>
  <c r="AU154" i="1" s="1"/>
  <c r="AT154" i="1"/>
  <c r="AW154" i="1" s="1"/>
  <c r="AR154" i="1"/>
  <c r="AP154" i="1"/>
  <c r="AQ154" i="1" s="1"/>
  <c r="AS154" i="1" s="1"/>
  <c r="AV153" i="1" a="1"/>
  <c r="AV153" i="1"/>
  <c r="AU153" i="1" a="1"/>
  <c r="AU153" i="1" s="1"/>
  <c r="AT153" i="1"/>
  <c r="AW153" i="1" s="1"/>
  <c r="AR153" i="1"/>
  <c r="AP153" i="1"/>
  <c r="AQ153" i="1" s="1"/>
  <c r="AS153" i="1" s="1"/>
  <c r="AV152" i="1" a="1"/>
  <c r="AV152" i="1"/>
  <c r="AU152" i="1" a="1"/>
  <c r="AU152" i="1"/>
  <c r="AT152" i="1"/>
  <c r="AW152" i="1" s="1"/>
  <c r="AR152" i="1"/>
  <c r="AP152" i="1"/>
  <c r="AQ152" i="1" s="1"/>
  <c r="AS152" i="1" s="1"/>
  <c r="AV151" i="1" a="1"/>
  <c r="AV151" i="1"/>
  <c r="AU151" i="1" a="1"/>
  <c r="AU151" i="1"/>
  <c r="AT151" i="1"/>
  <c r="AW151" i="1" s="1"/>
  <c r="AR151" i="1"/>
  <c r="AP151" i="1"/>
  <c r="AQ151" i="1" s="1"/>
  <c r="AS151" i="1" s="1"/>
  <c r="AV150" i="1" a="1"/>
  <c r="AV150" i="1"/>
  <c r="AU150" i="1" a="1"/>
  <c r="AU150" i="1"/>
  <c r="AW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/>
  <c r="AU148" i="1" a="1"/>
  <c r="AU148" i="1" s="1"/>
  <c r="AW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/>
  <c r="AU145" i="1" a="1"/>
  <c r="AU145" i="1" s="1"/>
  <c r="AT145" i="1"/>
  <c r="AR145" i="1"/>
  <c r="AP145" i="1"/>
  <c r="AQ145" i="1" s="1"/>
  <c r="AS145" i="1" s="1"/>
  <c r="AV144" i="1" a="1"/>
  <c r="AV144" i="1"/>
  <c r="AU144" i="1" a="1"/>
  <c r="AU144" i="1"/>
  <c r="AT144" i="1"/>
  <c r="AW144" i="1" s="1"/>
  <c r="AR144" i="1"/>
  <c r="AQ144" i="1"/>
  <c r="AS144" i="1" s="1"/>
  <c r="AP144" i="1"/>
  <c r="AV143" i="1" a="1"/>
  <c r="AV143" i="1" s="1"/>
  <c r="AU143" i="1" a="1"/>
  <c r="AU143" i="1"/>
  <c r="AT143" i="1"/>
  <c r="AW143" i="1" s="1"/>
  <c r="AR143" i="1"/>
  <c r="AP143" i="1"/>
  <c r="AQ143" i="1" s="1"/>
  <c r="AS143" i="1" s="1"/>
  <c r="AV142" i="1" a="1"/>
  <c r="AV142" i="1"/>
  <c r="AU142" i="1" a="1"/>
  <c r="AU142" i="1"/>
  <c r="AT142" i="1"/>
  <c r="AW142" i="1" s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W140" i="1" s="1"/>
  <c r="AT140" i="1"/>
  <c r="AR140" i="1"/>
  <c r="AP140" i="1"/>
  <c r="AQ140" i="1" s="1"/>
  <c r="AS140" i="1" s="1"/>
  <c r="AV139" i="1" a="1"/>
  <c r="AV139" i="1"/>
  <c r="AU139" i="1" a="1"/>
  <c r="AU139" i="1" s="1"/>
  <c r="AT139" i="1"/>
  <c r="AW139" i="1" s="1"/>
  <c r="AR139" i="1"/>
  <c r="AP139" i="1"/>
  <c r="AQ139" i="1" s="1"/>
  <c r="AS139" i="1" s="1"/>
  <c r="AV138" i="1" a="1"/>
  <c r="AV138" i="1"/>
  <c r="AU138" i="1" a="1"/>
  <c r="AU138" i="1"/>
  <c r="AT138" i="1"/>
  <c r="AW138" i="1" s="1"/>
  <c r="AR138" i="1"/>
  <c r="AP138" i="1"/>
  <c r="AQ138" i="1" s="1"/>
  <c r="AS138" i="1" s="1"/>
  <c r="AV137" i="1" a="1"/>
  <c r="AV137" i="1"/>
  <c r="AU137" i="1" a="1"/>
  <c r="AU137" i="1" s="1"/>
  <c r="AW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W136" i="1" s="1"/>
  <c r="AR136" i="1"/>
  <c r="AP136" i="1"/>
  <c r="AQ136" i="1" s="1"/>
  <c r="AS136" i="1" s="1"/>
  <c r="AV135" i="1" a="1"/>
  <c r="AV135" i="1" s="1"/>
  <c r="AU135" i="1" a="1"/>
  <c r="AU135" i="1" s="1"/>
  <c r="AW135" i="1" s="1"/>
  <c r="AT135" i="1"/>
  <c r="AR135" i="1"/>
  <c r="AP135" i="1"/>
  <c r="AQ135" i="1" s="1"/>
  <c r="AS135" i="1" s="1"/>
  <c r="AV134" i="1" a="1"/>
  <c r="AV134" i="1" s="1"/>
  <c r="AU134" i="1" a="1"/>
  <c r="AU134" i="1"/>
  <c r="AT134" i="1"/>
  <c r="AW134" i="1" s="1"/>
  <c r="AR134" i="1"/>
  <c r="AP134" i="1"/>
  <c r="AQ134" i="1" s="1"/>
  <c r="AS134" i="1" s="1"/>
  <c r="AV133" i="1" a="1"/>
  <c r="AV133" i="1" s="1"/>
  <c r="AU133" i="1" a="1"/>
  <c r="AU133" i="1"/>
  <c r="AW133" i="1" s="1"/>
  <c r="AT133" i="1"/>
  <c r="AR133" i="1"/>
  <c r="AP133" i="1"/>
  <c r="AQ133" i="1" s="1"/>
  <c r="AS133" i="1" s="1"/>
  <c r="AV132" i="1" a="1"/>
  <c r="AV132" i="1" s="1"/>
  <c r="AU132" i="1" a="1"/>
  <c r="AU132" i="1"/>
  <c r="AT132" i="1"/>
  <c r="AW132" i="1" s="1"/>
  <c r="AR132" i="1"/>
  <c r="AP132" i="1"/>
  <c r="AQ132" i="1" s="1"/>
  <c r="AS132" i="1" s="1"/>
  <c r="AV131" i="1" a="1"/>
  <c r="AV131" i="1"/>
  <c r="AU131" i="1" a="1"/>
  <c r="AU131" i="1" s="1"/>
  <c r="AT131" i="1"/>
  <c r="AW131" i="1" s="1"/>
  <c r="AR131" i="1"/>
  <c r="AP131" i="1"/>
  <c r="AQ131" i="1" s="1"/>
  <c r="AS131" i="1" s="1"/>
  <c r="AV130" i="1" a="1"/>
  <c r="AV130" i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/>
  <c r="AT129" i="1"/>
  <c r="AW129" i="1" s="1"/>
  <c r="AR129" i="1"/>
  <c r="AP129" i="1"/>
  <c r="AQ129" i="1" s="1"/>
  <c r="AS129" i="1" s="1"/>
  <c r="AV128" i="1" a="1"/>
  <c r="AV128" i="1" s="1"/>
  <c r="AU128" i="1" a="1"/>
  <c r="AU128" i="1" s="1"/>
  <c r="AT128" i="1"/>
  <c r="AW128" i="1" s="1"/>
  <c r="AR128" i="1"/>
  <c r="AQ128" i="1"/>
  <c r="AS128" i="1" s="1"/>
  <c r="AP128" i="1"/>
  <c r="AV127" i="1" a="1"/>
  <c r="AV127" i="1" s="1"/>
  <c r="AU127" i="1" a="1"/>
  <c r="AU127" i="1" s="1"/>
  <c r="AT127" i="1"/>
  <c r="AW127" i="1" s="1"/>
  <c r="AR127" i="1"/>
  <c r="AQ127" i="1"/>
  <c r="AS127" i="1" s="1"/>
  <c r="AP127" i="1"/>
  <c r="AV126" i="1" a="1"/>
  <c r="AV126" i="1" s="1"/>
  <c r="AU126" i="1" a="1"/>
  <c r="AU126" i="1"/>
  <c r="AT126" i="1"/>
  <c r="AW126" i="1" s="1"/>
  <c r="AR126" i="1"/>
  <c r="AP126" i="1"/>
  <c r="AQ126" i="1" s="1"/>
  <c r="AS126" i="1" s="1"/>
  <c r="AV125" i="1" a="1"/>
  <c r="AV125" i="1"/>
  <c r="AU125" i="1" a="1"/>
  <c r="AU125" i="1"/>
  <c r="AT125" i="1"/>
  <c r="AW125" i="1" s="1"/>
  <c r="AR125" i="1"/>
  <c r="AP125" i="1"/>
  <c r="AQ125" i="1" s="1"/>
  <c r="AS125" i="1" s="1"/>
  <c r="AV124" i="1" a="1"/>
  <c r="AV124" i="1" s="1"/>
  <c r="AU124" i="1" a="1"/>
  <c r="AU124" i="1" s="1"/>
  <c r="AW124" i="1" s="1"/>
  <c r="AT124" i="1"/>
  <c r="AR124" i="1"/>
  <c r="AP124" i="1"/>
  <c r="AQ124" i="1" s="1"/>
  <c r="AS124" i="1" s="1"/>
  <c r="AV123" i="1" a="1"/>
  <c r="AV123" i="1" s="1"/>
  <c r="AU123" i="1" a="1"/>
  <c r="AU123" i="1"/>
  <c r="AT123" i="1"/>
  <c r="AW123" i="1" s="1"/>
  <c r="AR123" i="1"/>
  <c r="AP123" i="1"/>
  <c r="AQ123" i="1" s="1"/>
  <c r="AS123" i="1" s="1"/>
  <c r="AV122" i="1" a="1"/>
  <c r="AV122" i="1" s="1"/>
  <c r="AU122" i="1" a="1"/>
  <c r="AU122" i="1" s="1"/>
  <c r="AT122" i="1"/>
  <c r="AW122" i="1" s="1"/>
  <c r="AR122" i="1"/>
  <c r="AP122" i="1"/>
  <c r="AQ122" i="1" s="1"/>
  <c r="AS122" i="1" s="1"/>
  <c r="AV121" i="1" a="1"/>
  <c r="AV121" i="1"/>
  <c r="AU121" i="1" a="1"/>
  <c r="AU121" i="1" s="1"/>
  <c r="AT121" i="1"/>
  <c r="AW121" i="1" s="1"/>
  <c r="AR121" i="1"/>
  <c r="AP121" i="1"/>
  <c r="AQ121" i="1" s="1"/>
  <c r="AS121" i="1" s="1"/>
  <c r="AV120" i="1" a="1"/>
  <c r="AV120" i="1" s="1"/>
  <c r="AU120" i="1" a="1"/>
  <c r="AU120" i="1"/>
  <c r="AT120" i="1"/>
  <c r="AW120" i="1" s="1"/>
  <c r="AR120" i="1"/>
  <c r="AP120" i="1"/>
  <c r="AQ120" i="1" s="1"/>
  <c r="AS120" i="1" s="1"/>
  <c r="AV119" i="1" a="1"/>
  <c r="AV119" i="1"/>
  <c r="AU119" i="1" a="1"/>
  <c r="AU119" i="1"/>
  <c r="AT119" i="1"/>
  <c r="AW119" i="1" s="1"/>
  <c r="AR119" i="1"/>
  <c r="AP119" i="1"/>
  <c r="AQ119" i="1" s="1"/>
  <c r="AS119" i="1" s="1"/>
  <c r="AV118" i="1" a="1"/>
  <c r="AV118" i="1"/>
  <c r="AU118" i="1" a="1"/>
  <c r="AU118" i="1" s="1"/>
  <c r="AW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W117" i="1" s="1"/>
  <c r="AR117" i="1"/>
  <c r="AP117" i="1"/>
  <c r="AQ117" i="1" s="1"/>
  <c r="AS117" i="1" s="1"/>
  <c r="AV116" i="1" a="1"/>
  <c r="AV116" i="1"/>
  <c r="AU116" i="1" a="1"/>
  <c r="AU116" i="1" s="1"/>
  <c r="AW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W115" i="1" s="1"/>
  <c r="AR115" i="1"/>
  <c r="AP115" i="1"/>
  <c r="AQ115" i="1" s="1"/>
  <c r="AS115" i="1" s="1"/>
  <c r="AV114" i="1" a="1"/>
  <c r="AV114" i="1" s="1"/>
  <c r="AU114" i="1" a="1"/>
  <c r="AU114" i="1" s="1"/>
  <c r="AT114" i="1"/>
  <c r="AW114" i="1" s="1"/>
  <c r="AR114" i="1"/>
  <c r="AP114" i="1"/>
  <c r="AQ114" i="1" s="1"/>
  <c r="AS114" i="1" s="1"/>
  <c r="AV113" i="1" a="1"/>
  <c r="AV113" i="1"/>
  <c r="AU113" i="1" a="1"/>
  <c r="AU113" i="1" s="1"/>
  <c r="AT113" i="1"/>
  <c r="AW113" i="1" s="1"/>
  <c r="AR113" i="1"/>
  <c r="AP113" i="1"/>
  <c r="AQ113" i="1" s="1"/>
  <c r="AS113" i="1" s="1"/>
  <c r="AV112" i="1" a="1"/>
  <c r="AV112" i="1" s="1"/>
  <c r="AU112" i="1" a="1"/>
  <c r="AU112" i="1"/>
  <c r="AT112" i="1"/>
  <c r="AW112" i="1" s="1"/>
  <c r="AR112" i="1"/>
  <c r="AQ112" i="1"/>
  <c r="AS112" i="1" s="1"/>
  <c r="AP112" i="1"/>
  <c r="AV111" i="1" a="1"/>
  <c r="AV111" i="1" s="1"/>
  <c r="AU111" i="1" a="1"/>
  <c r="AU111" i="1"/>
  <c r="AT111" i="1"/>
  <c r="AW111" i="1" s="1"/>
  <c r="AR111" i="1"/>
  <c r="AP111" i="1"/>
  <c r="AQ111" i="1" s="1"/>
  <c r="AS111" i="1" s="1"/>
  <c r="AV110" i="1" a="1"/>
  <c r="AV110" i="1"/>
  <c r="AU110" i="1" a="1"/>
  <c r="AU110" i="1"/>
  <c r="AT110" i="1"/>
  <c r="AW110" i="1" s="1"/>
  <c r="AR110" i="1"/>
  <c r="AP110" i="1"/>
  <c r="AQ110" i="1" s="1"/>
  <c r="AS110" i="1" s="1"/>
  <c r="AV109" i="1" a="1"/>
  <c r="AV109" i="1" s="1"/>
  <c r="AU109" i="1" a="1"/>
  <c r="AU109" i="1" s="1"/>
  <c r="AT109" i="1"/>
  <c r="AW109" i="1" s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/>
  <c r="AU107" i="1" a="1"/>
  <c r="AU107" i="1" s="1"/>
  <c r="AT107" i="1"/>
  <c r="AW107" i="1" s="1"/>
  <c r="AR107" i="1"/>
  <c r="AP107" i="1"/>
  <c r="AQ107" i="1" s="1"/>
  <c r="AS107" i="1" s="1"/>
  <c r="AV106" i="1" a="1"/>
  <c r="AV106" i="1"/>
  <c r="AU106" i="1" a="1"/>
  <c r="AU106" i="1"/>
  <c r="AT106" i="1"/>
  <c r="AW106" i="1" s="1"/>
  <c r="AR106" i="1"/>
  <c r="AP106" i="1"/>
  <c r="AQ106" i="1" s="1"/>
  <c r="AS106" i="1" s="1"/>
  <c r="AV105" i="1" a="1"/>
  <c r="AV105" i="1"/>
  <c r="AU105" i="1" a="1"/>
  <c r="AU105" i="1" s="1"/>
  <c r="AW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W104" i="1" s="1"/>
  <c r="AR104" i="1"/>
  <c r="AP104" i="1"/>
  <c r="AQ104" i="1" s="1"/>
  <c r="AS104" i="1" s="1"/>
  <c r="AV103" i="1" a="1"/>
  <c r="AV103" i="1" s="1"/>
  <c r="AU103" i="1" a="1"/>
  <c r="AU103" i="1" s="1"/>
  <c r="AW103" i="1" s="1"/>
  <c r="AT103" i="1"/>
  <c r="AR103" i="1"/>
  <c r="AP103" i="1"/>
  <c r="AQ103" i="1" s="1"/>
  <c r="AS103" i="1" s="1"/>
  <c r="AV102" i="1" a="1"/>
  <c r="AV102" i="1" s="1"/>
  <c r="AU102" i="1" a="1"/>
  <c r="AU102" i="1"/>
  <c r="AT102" i="1"/>
  <c r="AW102" i="1" s="1"/>
  <c r="AR102" i="1"/>
  <c r="AP102" i="1"/>
  <c r="AQ102" i="1" s="1"/>
  <c r="AS102" i="1" s="1"/>
  <c r="AV101" i="1" a="1"/>
  <c r="AV101" i="1" s="1"/>
  <c r="AU101" i="1" a="1"/>
  <c r="AU101" i="1" s="1"/>
  <c r="AW101" i="1" s="1"/>
  <c r="AT101" i="1"/>
  <c r="AR101" i="1"/>
  <c r="AP101" i="1"/>
  <c r="AQ101" i="1" s="1"/>
  <c r="AS101" i="1" s="1"/>
  <c r="AV100" i="1" a="1"/>
  <c r="AV100" i="1" s="1"/>
  <c r="AU100" i="1" a="1"/>
  <c r="AU100" i="1"/>
  <c r="AT100" i="1"/>
  <c r="AW100" i="1" s="1"/>
  <c r="AR100" i="1"/>
  <c r="AP100" i="1"/>
  <c r="AQ100" i="1" s="1"/>
  <c r="AS100" i="1" s="1"/>
  <c r="AV99" i="1" a="1"/>
  <c r="AV99" i="1"/>
  <c r="AU99" i="1" a="1"/>
  <c r="AU99" i="1"/>
  <c r="AT99" i="1"/>
  <c r="AW99" i="1" s="1"/>
  <c r="AR99" i="1"/>
  <c r="AP99" i="1"/>
  <c r="AQ99" i="1" s="1"/>
  <c r="AS99" i="1" s="1"/>
  <c r="AV98" i="1" a="1"/>
  <c r="AV98" i="1"/>
  <c r="AU98" i="1" a="1"/>
  <c r="AU98" i="1" s="1"/>
  <c r="AT98" i="1"/>
  <c r="AW98" i="1" s="1"/>
  <c r="AR98" i="1"/>
  <c r="AP98" i="1"/>
  <c r="AQ98" i="1" s="1"/>
  <c r="AS98" i="1" s="1"/>
  <c r="AV97" i="1" a="1"/>
  <c r="AV97" i="1"/>
  <c r="AU97" i="1" a="1"/>
  <c r="AU97" i="1"/>
  <c r="AT97" i="1"/>
  <c r="AW97" i="1" s="1"/>
  <c r="AR97" i="1"/>
  <c r="AP97" i="1"/>
  <c r="AQ97" i="1" s="1"/>
  <c r="AS97" i="1" s="1"/>
  <c r="AV96" i="1" a="1"/>
  <c r="AV96" i="1" s="1"/>
  <c r="AU96" i="1" a="1"/>
  <c r="AU96" i="1" s="1"/>
  <c r="AT96" i="1"/>
  <c r="AW96" i="1" s="1"/>
  <c r="AR96" i="1"/>
  <c r="AQ96" i="1"/>
  <c r="AS96" i="1" s="1"/>
  <c r="AP96" i="1"/>
  <c r="AV95" i="1" a="1"/>
  <c r="AV95" i="1" s="1"/>
  <c r="AU95" i="1" a="1"/>
  <c r="AU95" i="1" s="1"/>
  <c r="AT95" i="1"/>
  <c r="AR95" i="1"/>
  <c r="AQ95" i="1"/>
  <c r="AS95" i="1" s="1"/>
  <c r="AP95" i="1"/>
  <c r="AV94" i="1" a="1"/>
  <c r="AV94" i="1" s="1"/>
  <c r="AU94" i="1" a="1"/>
  <c r="AU94" i="1"/>
  <c r="AT94" i="1"/>
  <c r="AW94" i="1" s="1"/>
  <c r="AR94" i="1"/>
  <c r="AP94" i="1"/>
  <c r="AQ94" i="1" s="1"/>
  <c r="AS94" i="1" s="1"/>
  <c r="AV93" i="1" a="1"/>
  <c r="AV93" i="1"/>
  <c r="AU93" i="1" a="1"/>
  <c r="AU93" i="1"/>
  <c r="AT93" i="1"/>
  <c r="AW93" i="1" s="1"/>
  <c r="AR93" i="1"/>
  <c r="AP93" i="1"/>
  <c r="AQ93" i="1" s="1"/>
  <c r="AS93" i="1" s="1"/>
  <c r="AV92" i="1" a="1"/>
  <c r="AV92" i="1" s="1"/>
  <c r="AU92" i="1" a="1"/>
  <c r="AU92" i="1" s="1"/>
  <c r="AW92" i="1" s="1"/>
  <c r="AT92" i="1"/>
  <c r="AR92" i="1"/>
  <c r="AP92" i="1"/>
  <c r="AQ92" i="1" s="1"/>
  <c r="AS92" i="1" s="1"/>
  <c r="AV91" i="1" a="1"/>
  <c r="AV91" i="1" s="1"/>
  <c r="AU91" i="1" a="1"/>
  <c r="AU91" i="1"/>
  <c r="AT91" i="1"/>
  <c r="AW91" i="1" s="1"/>
  <c r="AR91" i="1"/>
  <c r="AP91" i="1"/>
  <c r="AQ91" i="1" s="1"/>
  <c r="AS91" i="1" s="1"/>
  <c r="AV90" i="1" a="1"/>
  <c r="AV90" i="1" s="1"/>
  <c r="AU90" i="1" a="1"/>
  <c r="AU90" i="1" s="1"/>
  <c r="AT90" i="1"/>
  <c r="AW90" i="1" s="1"/>
  <c r="AR90" i="1"/>
  <c r="AP90" i="1"/>
  <c r="AQ90" i="1" s="1"/>
  <c r="AS90" i="1" s="1"/>
  <c r="AV89" i="1" a="1"/>
  <c r="AV89" i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/>
  <c r="AT88" i="1"/>
  <c r="AW88" i="1" s="1"/>
  <c r="AR88" i="1"/>
  <c r="AP88" i="1"/>
  <c r="AQ88" i="1" s="1"/>
  <c r="AS88" i="1" s="1"/>
  <c r="AV87" i="1" a="1"/>
  <c r="AV87" i="1"/>
  <c r="AU87" i="1" a="1"/>
  <c r="AU87" i="1" s="1"/>
  <c r="AT87" i="1"/>
  <c r="AW87" i="1" s="1"/>
  <c r="AR87" i="1"/>
  <c r="AP87" i="1"/>
  <c r="AQ87" i="1" s="1"/>
  <c r="AS87" i="1" s="1"/>
  <c r="AV86" i="1" a="1"/>
  <c r="AV86" i="1" s="1"/>
  <c r="AU86" i="1" a="1"/>
  <c r="AU86" i="1"/>
  <c r="AW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W85" i="1" s="1"/>
  <c r="AR85" i="1"/>
  <c r="AP85" i="1"/>
  <c r="AQ85" i="1" s="1"/>
  <c r="AS85" i="1" s="1"/>
  <c r="AV84" i="1" a="1"/>
  <c r="AV84" i="1"/>
  <c r="AU84" i="1" a="1"/>
  <c r="AU84" i="1" s="1"/>
  <c r="AW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W83" i="1" s="1"/>
  <c r="AR83" i="1"/>
  <c r="AP83" i="1"/>
  <c r="AQ83" i="1" s="1"/>
  <c r="AS83" i="1" s="1"/>
  <c r="AV82" i="1" a="1"/>
  <c r="AV82" i="1" s="1"/>
  <c r="AU82" i="1" a="1"/>
  <c r="AU82" i="1" s="1"/>
  <c r="AT82" i="1"/>
  <c r="AW82" i="1" s="1"/>
  <c r="AR82" i="1"/>
  <c r="AP82" i="1"/>
  <c r="AQ82" i="1" s="1"/>
  <c r="AS82" i="1" s="1"/>
  <c r="AV81" i="1" a="1"/>
  <c r="AV81" i="1"/>
  <c r="AU81" i="1" a="1"/>
  <c r="AU81" i="1" s="1"/>
  <c r="AT81" i="1"/>
  <c r="AW81" i="1" s="1"/>
  <c r="AR81" i="1"/>
  <c r="AP81" i="1"/>
  <c r="AQ81" i="1" s="1"/>
  <c r="AS81" i="1" s="1"/>
  <c r="AV80" i="1" a="1"/>
  <c r="AV80" i="1"/>
  <c r="AU80" i="1" a="1"/>
  <c r="AU80" i="1"/>
  <c r="AT80" i="1"/>
  <c r="AW80" i="1" s="1"/>
  <c r="AR80" i="1"/>
  <c r="AQ80" i="1"/>
  <c r="AS80" i="1" s="1"/>
  <c r="AP80" i="1"/>
  <c r="AV79" i="1" a="1"/>
  <c r="AV79" i="1" s="1"/>
  <c r="AU79" i="1" a="1"/>
  <c r="AU79" i="1"/>
  <c r="AT79" i="1"/>
  <c r="AW79" i="1" s="1"/>
  <c r="AR79" i="1"/>
  <c r="AP79" i="1"/>
  <c r="AQ79" i="1" s="1"/>
  <c r="AS79" i="1" s="1"/>
  <c r="AV78" i="1" a="1"/>
  <c r="AV78" i="1"/>
  <c r="AU78" i="1" a="1"/>
  <c r="AU78" i="1"/>
  <c r="AT78" i="1"/>
  <c r="AW78" i="1" s="1"/>
  <c r="AR78" i="1"/>
  <c r="AP78" i="1"/>
  <c r="AQ78" i="1" s="1"/>
  <c r="AS78" i="1" s="1"/>
  <c r="AV77" i="1" a="1"/>
  <c r="AV77" i="1" s="1"/>
  <c r="AU77" i="1" a="1"/>
  <c r="AU77" i="1" s="1"/>
  <c r="AT77" i="1"/>
  <c r="AW77" i="1" s="1"/>
  <c r="AR77" i="1"/>
  <c r="AP77" i="1"/>
  <c r="AQ77" i="1" s="1"/>
  <c r="AS77" i="1" s="1"/>
  <c r="AV76" i="1" a="1"/>
  <c r="AV76" i="1" s="1"/>
  <c r="AU76" i="1" a="1"/>
  <c r="AU76" i="1" s="1"/>
  <c r="AT76" i="1"/>
  <c r="AW76" i="1" s="1"/>
  <c r="AR76" i="1"/>
  <c r="AP76" i="1"/>
  <c r="AQ76" i="1" s="1"/>
  <c r="AS76" i="1" s="1"/>
  <c r="AV75" i="1" a="1"/>
  <c r="AV75" i="1"/>
  <c r="AU75" i="1" a="1"/>
  <c r="AU75" i="1" s="1"/>
  <c r="AT75" i="1"/>
  <c r="AR75" i="1"/>
  <c r="AP75" i="1"/>
  <c r="AQ75" i="1" s="1"/>
  <c r="AS75" i="1" s="1"/>
  <c r="AV74" i="1" a="1"/>
  <c r="AV74" i="1"/>
  <c r="AU74" i="1" a="1"/>
  <c r="AU74" i="1"/>
  <c r="AT74" i="1"/>
  <c r="AW74" i="1" s="1"/>
  <c r="AR74" i="1"/>
  <c r="AP74" i="1"/>
  <c r="AQ74" i="1" s="1"/>
  <c r="AS74" i="1" s="1"/>
  <c r="AV73" i="1" a="1"/>
  <c r="AV73" i="1"/>
  <c r="AU73" i="1" a="1"/>
  <c r="AU73" i="1" s="1"/>
  <c r="AW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W72" i="1" s="1"/>
  <c r="AR72" i="1"/>
  <c r="AP72" i="1"/>
  <c r="AQ72" i="1" s="1"/>
  <c r="AS72" i="1" s="1"/>
  <c r="AV71" i="1" a="1"/>
  <c r="AV71" i="1" s="1"/>
  <c r="AU71" i="1" a="1"/>
  <c r="AU71" i="1" s="1"/>
  <c r="AW71" i="1" s="1"/>
  <c r="AT71" i="1"/>
  <c r="AR71" i="1"/>
  <c r="AP71" i="1"/>
  <c r="AQ71" i="1" s="1"/>
  <c r="AS71" i="1" s="1"/>
  <c r="AV70" i="1" a="1"/>
  <c r="AV70" i="1" s="1"/>
  <c r="AU70" i="1" a="1"/>
  <c r="AU70" i="1"/>
  <c r="AT70" i="1"/>
  <c r="AW70" i="1" s="1"/>
  <c r="AR70" i="1"/>
  <c r="AP70" i="1"/>
  <c r="AQ70" i="1" s="1"/>
  <c r="AS70" i="1" s="1"/>
  <c r="AV69" i="1" a="1"/>
  <c r="AV69" i="1" s="1"/>
  <c r="AU69" i="1" a="1"/>
  <c r="AU69" i="1" s="1"/>
  <c r="AW69" i="1" s="1"/>
  <c r="AT69" i="1"/>
  <c r="AR69" i="1"/>
  <c r="AP69" i="1"/>
  <c r="AQ69" i="1" s="1"/>
  <c r="AS69" i="1" s="1"/>
  <c r="AV68" i="1" a="1"/>
  <c r="AV68" i="1" s="1"/>
  <c r="AU68" i="1" a="1"/>
  <c r="AU68" i="1"/>
  <c r="AT68" i="1"/>
  <c r="AW68" i="1" s="1"/>
  <c r="AR68" i="1"/>
  <c r="AP68" i="1"/>
  <c r="AQ68" i="1" s="1"/>
  <c r="AS68" i="1" s="1"/>
  <c r="AV67" i="1" a="1"/>
  <c r="AV67" i="1"/>
  <c r="AU67" i="1" a="1"/>
  <c r="AU67" i="1"/>
  <c r="AT67" i="1"/>
  <c r="AW67" i="1" s="1"/>
  <c r="AR67" i="1"/>
  <c r="AP67" i="1"/>
  <c r="AQ67" i="1" s="1"/>
  <c r="AS67" i="1" s="1"/>
  <c r="AV66" i="1" a="1"/>
  <c r="AV66" i="1"/>
  <c r="AU66" i="1" a="1"/>
  <c r="AU66" i="1" s="1"/>
  <c r="AT66" i="1"/>
  <c r="AW66" i="1" s="1"/>
  <c r="AR66" i="1"/>
  <c r="AP66" i="1"/>
  <c r="AQ66" i="1" s="1"/>
  <c r="AS66" i="1" s="1"/>
  <c r="AV65" i="1" a="1"/>
  <c r="AV65" i="1"/>
  <c r="AU65" i="1" a="1"/>
  <c r="AU65" i="1"/>
  <c r="AT65" i="1"/>
  <c r="AW65" i="1" s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Q63" i="1"/>
  <c r="AS63" i="1" s="1"/>
  <c r="AP63" i="1"/>
  <c r="AV62" i="1" a="1"/>
  <c r="AV62" i="1" s="1"/>
  <c r="AU62" i="1" a="1"/>
  <c r="AU62" i="1"/>
  <c r="AT62" i="1"/>
  <c r="AW62" i="1" s="1"/>
  <c r="AR62" i="1"/>
  <c r="AP62" i="1"/>
  <c r="AQ62" i="1" s="1"/>
  <c r="AS62" i="1" s="1"/>
  <c r="AV61" i="1" a="1"/>
  <c r="AV61" i="1"/>
  <c r="AU61" i="1" a="1"/>
  <c r="AU61" i="1"/>
  <c r="AT61" i="1"/>
  <c r="AW61" i="1" s="1"/>
  <c r="AR61" i="1"/>
  <c r="AP61" i="1"/>
  <c r="AQ61" i="1" s="1"/>
  <c r="AS61" i="1" s="1"/>
  <c r="AV60" i="1" a="1"/>
  <c r="AV60" i="1" s="1"/>
  <c r="AU60" i="1" a="1"/>
  <c r="AU60" i="1" s="1"/>
  <c r="AW60" i="1" s="1"/>
  <c r="AT60" i="1"/>
  <c r="AR60" i="1"/>
  <c r="AP60" i="1"/>
  <c r="AQ60" i="1" s="1"/>
  <c r="AS60" i="1" s="1"/>
  <c r="AV59" i="1" a="1"/>
  <c r="AV59" i="1" s="1"/>
  <c r="AU59" i="1" a="1"/>
  <c r="AU59" i="1"/>
  <c r="AT59" i="1"/>
  <c r="AW59" i="1" s="1"/>
  <c r="AR59" i="1"/>
  <c r="AP59" i="1"/>
  <c r="AQ59" i="1" s="1"/>
  <c r="AS59" i="1" s="1"/>
  <c r="AV58" i="1" a="1"/>
  <c r="AV58" i="1" s="1"/>
  <c r="AU58" i="1" a="1"/>
  <c r="AU58" i="1" s="1"/>
  <c r="AT58" i="1"/>
  <c r="AW58" i="1" s="1"/>
  <c r="AR58" i="1"/>
  <c r="AP58" i="1"/>
  <c r="AQ58" i="1" s="1"/>
  <c r="AS58" i="1" s="1"/>
  <c r="AV57" i="1" a="1"/>
  <c r="AV57" i="1"/>
  <c r="AU57" i="1" a="1"/>
  <c r="AU57" i="1" s="1"/>
  <c r="AT57" i="1"/>
  <c r="AW57" i="1" s="1"/>
  <c r="AR57" i="1"/>
  <c r="AP57" i="1"/>
  <c r="AQ57" i="1" s="1"/>
  <c r="AS57" i="1" s="1"/>
  <c r="AV56" i="1" a="1"/>
  <c r="AV56" i="1" s="1"/>
  <c r="AU56" i="1" a="1"/>
  <c r="AU56" i="1"/>
  <c r="AT56" i="1"/>
  <c r="AW56" i="1" s="1"/>
  <c r="AR56" i="1"/>
  <c r="AP56" i="1"/>
  <c r="AQ56" i="1" s="1"/>
  <c r="AS56" i="1" s="1"/>
  <c r="AV55" i="1" a="1"/>
  <c r="AV55" i="1"/>
  <c r="AU55" i="1" a="1"/>
  <c r="AU55" i="1"/>
  <c r="AT55" i="1"/>
  <c r="AW55" i="1" s="1"/>
  <c r="AR55" i="1"/>
  <c r="AP55" i="1"/>
  <c r="AQ55" i="1" s="1"/>
  <c r="AS55" i="1" s="1"/>
  <c r="AV54" i="1" a="1"/>
  <c r="AV54" i="1" s="1"/>
  <c r="AU54" i="1" a="1"/>
  <c r="AU54" i="1"/>
  <c r="AW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/>
  <c r="AU52" i="1" a="1"/>
  <c r="AU52" i="1" s="1"/>
  <c r="AW52" i="1" s="1"/>
  <c r="AT52" i="1"/>
  <c r="AR52" i="1"/>
  <c r="AP52" i="1"/>
  <c r="AQ52" i="1" s="1"/>
  <c r="AS52" i="1" s="1"/>
  <c r="AV51" i="1" a="1"/>
  <c r="AV51" i="1" s="1"/>
  <c r="AU51" i="1" a="1"/>
  <c r="AU51" i="1" s="1"/>
  <c r="AT51" i="1"/>
  <c r="AW51" i="1" s="1"/>
  <c r="AR51" i="1"/>
  <c r="AP51" i="1"/>
  <c r="AQ51" i="1" s="1"/>
  <c r="AS51" i="1" s="1"/>
  <c r="AV50" i="1" a="1"/>
  <c r="AV50" i="1" s="1"/>
  <c r="AU50" i="1" a="1"/>
  <c r="AU50" i="1" s="1"/>
  <c r="AT50" i="1"/>
  <c r="AW50" i="1" s="1"/>
  <c r="AR50" i="1"/>
  <c r="AP50" i="1"/>
  <c r="AQ50" i="1" s="1"/>
  <c r="AS50" i="1" s="1"/>
  <c r="AV49" i="1" a="1"/>
  <c r="AV49" i="1" s="1"/>
  <c r="AU49" i="1" a="1"/>
  <c r="AU49" i="1" s="1"/>
  <c r="AT49" i="1"/>
  <c r="AW49" i="1" s="1"/>
  <c r="AR49" i="1"/>
  <c r="AP49" i="1"/>
  <c r="AQ49" i="1" s="1"/>
  <c r="AS49" i="1" s="1"/>
  <c r="AV48" i="1" a="1"/>
  <c r="AV48" i="1"/>
  <c r="AU48" i="1" a="1"/>
  <c r="AU48" i="1"/>
  <c r="AT48" i="1"/>
  <c r="AW48" i="1" s="1"/>
  <c r="AR48" i="1"/>
  <c r="AQ48" i="1"/>
  <c r="AS48" i="1" s="1"/>
  <c r="AP48" i="1"/>
  <c r="AV47" i="1" a="1"/>
  <c r="AV47" i="1" s="1"/>
  <c r="AU47" i="1" a="1"/>
  <c r="AU47" i="1"/>
  <c r="AT47" i="1"/>
  <c r="AW47" i="1" s="1"/>
  <c r="AR47" i="1"/>
  <c r="AP47" i="1"/>
  <c r="AQ47" i="1" s="1"/>
  <c r="AS47" i="1" s="1"/>
  <c r="AV46" i="1" a="1"/>
  <c r="AV46" i="1"/>
  <c r="AU46" i="1" a="1"/>
  <c r="AU46" i="1" s="1"/>
  <c r="AT46" i="1"/>
  <c r="AW46" i="1" s="1"/>
  <c r="AR46" i="1"/>
  <c r="AP46" i="1"/>
  <c r="AQ46" i="1" s="1"/>
  <c r="AS46" i="1" s="1"/>
  <c r="AV45" i="1" a="1"/>
  <c r="AV45" i="1" s="1"/>
  <c r="AU45" i="1" a="1"/>
  <c r="AU45" i="1" s="1"/>
  <c r="AT45" i="1"/>
  <c r="AW45" i="1" s="1"/>
  <c r="AR45" i="1"/>
  <c r="AP45" i="1"/>
  <c r="AQ45" i="1" s="1"/>
  <c r="AS45" i="1" s="1"/>
  <c r="AV44" i="1" a="1"/>
  <c r="AV44" i="1" s="1"/>
  <c r="AU44" i="1" a="1"/>
  <c r="AU44" i="1" s="1"/>
  <c r="AT44" i="1"/>
  <c r="AW44" i="1" s="1"/>
  <c r="AR44" i="1"/>
  <c r="AP44" i="1"/>
  <c r="AQ44" i="1" s="1"/>
  <c r="AS44" i="1" s="1"/>
  <c r="AV43" i="1" a="1"/>
  <c r="AV43" i="1" s="1"/>
  <c r="AU43" i="1" a="1"/>
  <c r="AU43" i="1" s="1"/>
  <c r="AT43" i="1"/>
  <c r="AW43" i="1" s="1"/>
  <c r="AR43" i="1"/>
  <c r="AP43" i="1"/>
  <c r="AQ43" i="1" s="1"/>
  <c r="AS43" i="1" s="1"/>
  <c r="AV42" i="1" a="1"/>
  <c r="AV42" i="1"/>
  <c r="AU42" i="1" a="1"/>
  <c r="AU42" i="1" s="1"/>
  <c r="AT42" i="1"/>
  <c r="AW42" i="1" s="1"/>
  <c r="AR42" i="1"/>
  <c r="AP42" i="1"/>
  <c r="AQ42" i="1" s="1"/>
  <c r="AS42" i="1" s="1"/>
  <c r="AV41" i="1" a="1"/>
  <c r="AV41" i="1"/>
  <c r="AU41" i="1" a="1"/>
  <c r="AU41" i="1" s="1"/>
  <c r="AW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W40" i="1" s="1"/>
  <c r="AR40" i="1"/>
  <c r="AP40" i="1"/>
  <c r="AQ40" i="1" s="1"/>
  <c r="AS40" i="1" s="1"/>
  <c r="AV39" i="1" a="1"/>
  <c r="AV39" i="1" s="1"/>
  <c r="AU39" i="1" a="1"/>
  <c r="AU39" i="1" s="1"/>
  <c r="AW39" i="1" s="1"/>
  <c r="AT39" i="1"/>
  <c r="AR39" i="1"/>
  <c r="AP39" i="1"/>
  <c r="AQ39" i="1" s="1"/>
  <c r="AS39" i="1" s="1"/>
  <c r="AV38" i="1" a="1"/>
  <c r="AV38" i="1" s="1"/>
  <c r="AU38" i="1" a="1"/>
  <c r="AU38" i="1"/>
  <c r="AT38" i="1"/>
  <c r="AW38" i="1" s="1"/>
  <c r="AR38" i="1"/>
  <c r="AP38" i="1"/>
  <c r="AQ38" i="1" s="1"/>
  <c r="AS38" i="1" s="1"/>
  <c r="AV37" i="1" a="1"/>
  <c r="AV37" i="1" s="1"/>
  <c r="AU37" i="1" a="1"/>
  <c r="AU37" i="1" s="1"/>
  <c r="AT37" i="1"/>
  <c r="AW37" i="1" s="1"/>
  <c r="AR37" i="1"/>
  <c r="AP37" i="1"/>
  <c r="AQ37" i="1" s="1"/>
  <c r="AS37" i="1" s="1"/>
  <c r="AV36" i="1" a="1"/>
  <c r="AV36" i="1" s="1"/>
  <c r="AU36" i="1" a="1"/>
  <c r="AU36" i="1"/>
  <c r="AT36" i="1"/>
  <c r="AW36" i="1" s="1"/>
  <c r="AR36" i="1"/>
  <c r="AP36" i="1"/>
  <c r="AQ36" i="1" s="1"/>
  <c r="AS36" i="1" s="1"/>
  <c r="AV35" i="1" a="1"/>
  <c r="AV35" i="1"/>
  <c r="AU35" i="1" a="1"/>
  <c r="AU35" i="1"/>
  <c r="AT35" i="1"/>
  <c r="AW35" i="1" s="1"/>
  <c r="AR35" i="1"/>
  <c r="AP35" i="1"/>
  <c r="AQ35" i="1" s="1"/>
  <c r="AS35" i="1" s="1"/>
  <c r="AV34" i="1" a="1"/>
  <c r="AV34" i="1"/>
  <c r="AU34" i="1" a="1"/>
  <c r="AU34" i="1" s="1"/>
  <c r="AT34" i="1"/>
  <c r="AW34" i="1" s="1"/>
  <c r="AR34" i="1"/>
  <c r="AP34" i="1"/>
  <c r="AQ34" i="1" s="1"/>
  <c r="AS34" i="1" s="1"/>
  <c r="AV33" i="1" a="1"/>
  <c r="AV33" i="1"/>
  <c r="AU33" i="1" a="1"/>
  <c r="AU33" i="1"/>
  <c r="AT33" i="1"/>
  <c r="AW33" i="1" s="1"/>
  <c r="AR33" i="1"/>
  <c r="AP33" i="1"/>
  <c r="AQ33" i="1" s="1"/>
  <c r="AS33" i="1" s="1"/>
  <c r="AV32" i="1" a="1"/>
  <c r="AV32" i="1" s="1"/>
  <c r="AU32" i="1" a="1"/>
  <c r="AU32" i="1" s="1"/>
  <c r="AT32" i="1"/>
  <c r="AW32" i="1" s="1"/>
  <c r="AR32" i="1"/>
  <c r="AP32" i="1"/>
  <c r="AQ32" i="1" s="1"/>
  <c r="AS32" i="1" s="1"/>
  <c r="AV31" i="1" a="1"/>
  <c r="AV31" i="1" s="1"/>
  <c r="AU31" i="1" a="1"/>
  <c r="AU31" i="1" s="1"/>
  <c r="AT31" i="1"/>
  <c r="AW31" i="1" s="1"/>
  <c r="AR31" i="1"/>
  <c r="AP31" i="1"/>
  <c r="AQ31" i="1" s="1"/>
  <c r="AS31" i="1" s="1"/>
  <c r="AV30" i="1" a="1"/>
  <c r="AV30" i="1" s="1"/>
  <c r="AU30" i="1" a="1"/>
  <c r="AU30" i="1"/>
  <c r="AT30" i="1"/>
  <c r="AW30" i="1" s="1"/>
  <c r="AR30" i="1"/>
  <c r="AP30" i="1"/>
  <c r="AQ30" i="1" s="1"/>
  <c r="AS30" i="1" s="1"/>
  <c r="AV29" i="1" a="1"/>
  <c r="AV29" i="1" s="1"/>
  <c r="AU29" i="1" a="1"/>
  <c r="AU29" i="1"/>
  <c r="AT29" i="1"/>
  <c r="AW29" i="1" s="1"/>
  <c r="AR29" i="1"/>
  <c r="AP29" i="1"/>
  <c r="AQ29" i="1" s="1"/>
  <c r="AS29" i="1" s="1"/>
  <c r="AV28" i="1" a="1"/>
  <c r="AV28" i="1" s="1"/>
  <c r="AU28" i="1" a="1"/>
  <c r="AU28" i="1" s="1"/>
  <c r="AW28" i="1" s="1"/>
  <c r="AT28" i="1"/>
  <c r="AR28" i="1"/>
  <c r="AP28" i="1"/>
  <c r="AQ28" i="1" s="1"/>
  <c r="AS28" i="1" s="1"/>
  <c r="AV27" i="1" a="1"/>
  <c r="AV27" i="1" s="1"/>
  <c r="AU27" i="1" a="1"/>
  <c r="AU27" i="1"/>
  <c r="AT27" i="1"/>
  <c r="AW27" i="1" s="1"/>
  <c r="AR27" i="1"/>
  <c r="AP27" i="1"/>
  <c r="AQ27" i="1" s="1"/>
  <c r="AS27" i="1" s="1"/>
  <c r="AV26" i="1" a="1"/>
  <c r="AV26" i="1" s="1"/>
  <c r="AU26" i="1" a="1"/>
  <c r="AU26" i="1" s="1"/>
  <c r="AT26" i="1"/>
  <c r="AW26" i="1" s="1"/>
  <c r="AR26" i="1"/>
  <c r="AP26" i="1"/>
  <c r="AQ26" i="1" s="1"/>
  <c r="AS26" i="1" s="1"/>
  <c r="AV25" i="1" a="1"/>
  <c r="AV25" i="1"/>
  <c r="AU25" i="1" a="1"/>
  <c r="AU25" i="1" s="1"/>
  <c r="AT25" i="1"/>
  <c r="AW25" i="1" s="1"/>
  <c r="AR25" i="1"/>
  <c r="AP25" i="1"/>
  <c r="AQ25" i="1" s="1"/>
  <c r="AS25" i="1" s="1"/>
  <c r="AV24" i="1" a="1"/>
  <c r="AV24" i="1" s="1"/>
  <c r="AU24" i="1" a="1"/>
  <c r="AU24" i="1"/>
  <c r="AT24" i="1"/>
  <c r="AW24" i="1" s="1"/>
  <c r="AR24" i="1"/>
  <c r="AP24" i="1"/>
  <c r="AQ24" i="1" s="1"/>
  <c r="AS24" i="1" s="1"/>
  <c r="AV23" i="1" a="1"/>
  <c r="AV23" i="1"/>
  <c r="AU23" i="1" a="1"/>
  <c r="AU23" i="1"/>
  <c r="AT23" i="1"/>
  <c r="AW23" i="1" s="1"/>
  <c r="AR23" i="1"/>
  <c r="AP23" i="1"/>
  <c r="AQ23" i="1" s="1"/>
  <c r="AS23" i="1" s="1"/>
  <c r="AV22" i="1" a="1"/>
  <c r="AV22" i="1"/>
  <c r="AU22" i="1" a="1"/>
  <c r="AU22" i="1"/>
  <c r="AT22" i="1"/>
  <c r="AW22" i="1" s="1"/>
  <c r="AR22" i="1"/>
  <c r="AP22" i="1"/>
  <c r="AQ22" i="1" s="1"/>
  <c r="AS22" i="1" s="1"/>
  <c r="AV21" i="1" a="1"/>
  <c r="AV21" i="1" s="1"/>
  <c r="AU21" i="1" a="1"/>
  <c r="AU21" i="1" s="1"/>
  <c r="AT21" i="1"/>
  <c r="AW21" i="1" s="1"/>
  <c r="AR21" i="1"/>
  <c r="AP21" i="1"/>
  <c r="AQ21" i="1" s="1"/>
  <c r="AS21" i="1" s="1"/>
  <c r="AV20" i="1" a="1"/>
  <c r="AV20" i="1"/>
  <c r="AU20" i="1" a="1"/>
  <c r="AU20" i="1" s="1"/>
  <c r="AW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W19" i="1" s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/>
  <c r="AU17" i="1" a="1"/>
  <c r="AU17" i="1" s="1"/>
  <c r="AT17" i="1"/>
  <c r="AR17" i="1"/>
  <c r="AP17" i="1"/>
  <c r="AQ17" i="1" s="1"/>
  <c r="AS17" i="1" s="1"/>
  <c r="AV16" i="1" a="1"/>
  <c r="AV16" i="1"/>
  <c r="AU16" i="1" a="1"/>
  <c r="AU16" i="1"/>
  <c r="AT16" i="1"/>
  <c r="AW16" i="1" s="1"/>
  <c r="AR16" i="1"/>
  <c r="AP16" i="1"/>
  <c r="AQ16" i="1" s="1"/>
  <c r="AS16" i="1" s="1"/>
  <c r="AV15" i="1" a="1"/>
  <c r="AV15" i="1" s="1"/>
  <c r="AU15" i="1" a="1"/>
  <c r="AU15" i="1"/>
  <c r="AT15" i="1"/>
  <c r="AW15" i="1" s="1"/>
  <c r="AR15" i="1"/>
  <c r="AP15" i="1"/>
  <c r="AQ15" i="1" s="1"/>
  <c r="AS15" i="1" s="1"/>
  <c r="AV14" i="1" a="1"/>
  <c r="AV14" i="1"/>
  <c r="AU14" i="1" a="1"/>
  <c r="AU14" i="1"/>
  <c r="AT14" i="1"/>
  <c r="AW14" i="1" s="1"/>
  <c r="AR14" i="1"/>
  <c r="AP14" i="1"/>
  <c r="AQ14" i="1" s="1"/>
  <c r="AS14" i="1" s="1"/>
  <c r="AV13" i="1" a="1"/>
  <c r="AV13" i="1" s="1"/>
  <c r="AU13" i="1" a="1"/>
  <c r="AU13" i="1" s="1"/>
  <c r="AT13" i="1"/>
  <c r="AW13" i="1" s="1"/>
  <c r="AR13" i="1"/>
  <c r="AP13" i="1"/>
  <c r="AQ13" i="1" s="1"/>
  <c r="AS13" i="1" s="1"/>
  <c r="AV12" i="1" a="1"/>
  <c r="AV12" i="1" s="1"/>
  <c r="AU12" i="1" a="1"/>
  <c r="AU12" i="1" s="1"/>
  <c r="AT12" i="1"/>
  <c r="AW12" i="1" s="1"/>
  <c r="AR12" i="1"/>
  <c r="AP12" i="1"/>
  <c r="AQ12" i="1" s="1"/>
  <c r="AS12" i="1" s="1"/>
  <c r="AV11" i="1" a="1"/>
  <c r="AV11" i="1" s="1"/>
  <c r="AU11" i="1" a="1"/>
  <c r="AU11" i="1" s="1"/>
  <c r="AT11" i="1"/>
  <c r="AW11" i="1" s="1"/>
  <c r="AR11" i="1"/>
  <c r="AP11" i="1"/>
  <c r="AQ11" i="1" s="1"/>
  <c r="AS11" i="1" s="1"/>
  <c r="AV10" i="1" a="1"/>
  <c r="AV10" i="1"/>
  <c r="AU10" i="1" a="1"/>
  <c r="AU10" i="1"/>
  <c r="AT10" i="1"/>
  <c r="AW10" i="1" s="1"/>
  <c r="AR10" i="1"/>
  <c r="AP10" i="1"/>
  <c r="AQ10" i="1" s="1"/>
  <c r="AS10" i="1" s="1"/>
  <c r="AV9" i="1" a="1"/>
  <c r="AV9" i="1"/>
  <c r="AU9" i="1" a="1"/>
  <c r="AU9" i="1" s="1"/>
  <c r="AW9" i="1" s="1"/>
  <c r="AT9" i="1"/>
  <c r="AR9" i="1"/>
  <c r="AP9" i="1"/>
  <c r="AQ9" i="1" s="1"/>
  <c r="AS9" i="1" s="1"/>
  <c r="AV8" i="1" a="1"/>
  <c r="AV8" i="1" s="1"/>
  <c r="AU8" i="1" a="1"/>
  <c r="AU8" i="1" s="1"/>
  <c r="AT8" i="1"/>
  <c r="AW8" i="1" s="1"/>
  <c r="AR8" i="1"/>
  <c r="AP8" i="1"/>
  <c r="AQ8" i="1" s="1"/>
  <c r="AS8" i="1" s="1"/>
  <c r="AV7" i="1" a="1"/>
  <c r="AV7" i="1" s="1"/>
  <c r="AU7" i="1" a="1"/>
  <c r="AU7" i="1" s="1"/>
  <c r="AW7" i="1" s="1"/>
  <c r="AT7" i="1"/>
  <c r="AR7" i="1"/>
  <c r="AP7" i="1"/>
  <c r="AQ7" i="1" s="1"/>
  <c r="AS7" i="1" s="1"/>
  <c r="AV6" i="1" a="1"/>
  <c r="AV6" i="1" s="1"/>
  <c r="AU6" i="1" a="1"/>
  <c r="AU6" i="1" s="1"/>
  <c r="AT6" i="1"/>
  <c r="AW6" i="1" s="1"/>
  <c r="AR6" i="1"/>
  <c r="AP6" i="1"/>
  <c r="AQ6" i="1" s="1"/>
  <c r="AS6" i="1" s="1"/>
  <c r="AV5" i="1" a="1"/>
  <c r="AV5" i="1" s="1"/>
  <c r="AU5" i="1" a="1"/>
  <c r="AU5" i="1" s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AP2" i="1" s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45" i="1" l="1"/>
  <c r="AW146" i="1"/>
  <c r="AW178" i="1"/>
  <c r="AW243" i="1"/>
  <c r="AW17" i="1"/>
  <c r="AW149" i="1"/>
  <c r="AW181" i="1"/>
  <c r="AW18" i="1"/>
  <c r="AW95" i="1"/>
  <c r="AW203" i="1"/>
  <c r="AW63" i="1"/>
  <c r="AW287" i="1"/>
  <c r="AW53" i="1"/>
  <c r="AW215" i="1"/>
  <c r="AW64" i="1"/>
  <c r="AW75" i="1"/>
  <c r="AW108" i="1"/>
  <c r="AW237" i="1"/>
  <c r="AW130" i="1"/>
  <c r="AW141" i="1"/>
  <c r="AW162" i="1"/>
  <c r="AW173" i="1"/>
  <c r="AW258" i="1"/>
  <c r="AW217" i="1"/>
  <c r="AW179" i="1"/>
  <c r="AW259" i="1"/>
  <c r="AW147" i="1"/>
  <c r="AW218" i="1"/>
  <c r="AW89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<sst xmlns="http://schemas.openxmlformats.org/spreadsheetml/2006/main" count="3701" uniqueCount="1289">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</sst>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7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I259" zoomScale="70" zoomScaleNormal="70" workbookViewId="0">
      <selection activeCell="AI295" sqref="AI295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72" width="32.42578125" style="51" customWidth="1"/>
    <col min="173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42.4</v>
      </c>
      <c r="V2" s="92">
        <f t="shared" si="0"/>
        <v>42</v>
      </c>
      <c r="W2" s="92">
        <f t="shared" si="0"/>
        <v>40.799999999999997</v>
      </c>
      <c r="X2" s="92">
        <f t="shared" si="0"/>
        <v>40.200000000000003</v>
      </c>
      <c r="Y2" s="92">
        <f t="shared" si="0"/>
        <v>40</v>
      </c>
      <c r="Z2" s="92">
        <f t="shared" si="0"/>
        <v>39.4</v>
      </c>
      <c r="AA2" s="92">
        <f t="shared" si="0"/>
        <v>38.200000000000003</v>
      </c>
      <c r="AB2" s="92">
        <f t="shared" si="0"/>
        <v>40</v>
      </c>
      <c r="AC2" s="92">
        <f t="shared" si="0"/>
        <v>40.799999999999997</v>
      </c>
      <c r="AD2" s="92">
        <f t="shared" si="0"/>
        <v>40.6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>
        <v>31.5</v>
      </c>
      <c r="V5" s="66">
        <v>32</v>
      </c>
      <c r="W5" s="66">
        <v>32.299999999999997</v>
      </c>
      <c r="X5" s="66">
        <v>32.799999999999997</v>
      </c>
      <c r="Y5" s="66">
        <v>32</v>
      </c>
      <c r="Z5" s="66">
        <v>32.6</v>
      </c>
      <c r="AA5" s="66">
        <v>30.4</v>
      </c>
      <c r="AB5" s="66">
        <v>29.3</v>
      </c>
      <c r="AC5" s="66">
        <v>31.7</v>
      </c>
      <c r="AD5" s="66">
        <v>32.1</v>
      </c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20</v>
      </c>
      <c r="AQ5" s="68">
        <f t="shared" ref="AQ5:AQ68" si="2">IF(AP5&gt;14,AVERAGE(K5:AO5),"")</f>
        <v>31.615000000000002</v>
      </c>
      <c r="AR5" s="68">
        <f>IFERROR(VLOOKUP(A5,Climatologia_TMAX!A:U,9+$E$2,FALSE),"")</f>
        <v>30.51594346942419</v>
      </c>
      <c r="AS5" s="68">
        <f t="shared" ref="AS5:AS68" si="3">IF(OR(AQ5="",AR5=""),"",IFERROR(AQ5-AR5,""))</f>
        <v>1.0990565305758118</v>
      </c>
      <c r="AT5" s="74">
        <f t="shared" ref="AT5:AT68" si="4">IF(COUNT(K5:AO5)=0,"",MAX(K5:AO5))</f>
        <v>32.799999999999997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-0.30000000000000426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>
        <v>32.700000000000003</v>
      </c>
      <c r="V6" s="66">
        <v>32</v>
      </c>
      <c r="W6" s="66">
        <v>32.700000000000003</v>
      </c>
      <c r="X6" s="66">
        <v>32.6</v>
      </c>
      <c r="Y6" s="66">
        <v>32.700000000000003</v>
      </c>
      <c r="Z6" s="66">
        <v>32</v>
      </c>
      <c r="AA6" s="66">
        <v>31.4</v>
      </c>
      <c r="AB6" s="66">
        <v>30.2</v>
      </c>
      <c r="AC6" s="66">
        <v>31.4</v>
      </c>
      <c r="AD6" s="66">
        <v>31.6</v>
      </c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20</v>
      </c>
      <c r="AQ6" s="68">
        <f t="shared" si="2"/>
        <v>31.725000000000001</v>
      </c>
      <c r="AR6" s="68">
        <f>IFERROR(VLOOKUP(A6,Climatologia_TMAX!A:U,9+$E$2,FALSE),"")</f>
        <v>31.046424304488809</v>
      </c>
      <c r="AS6" s="68">
        <f t="shared" si="3"/>
        <v>0.67857569551119212</v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-0.69999999999999574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>
        <v>37.799999999999997</v>
      </c>
      <c r="V7" s="66">
        <v>35.4</v>
      </c>
      <c r="W7" s="66">
        <v>33.799999999999997</v>
      </c>
      <c r="X7" s="66">
        <v>35.799999999999997</v>
      </c>
      <c r="Y7" s="66">
        <v>36.4</v>
      </c>
      <c r="Z7" s="66">
        <v>35</v>
      </c>
      <c r="AA7" s="66">
        <v>30.2</v>
      </c>
      <c r="AB7" s="66">
        <v>31.8</v>
      </c>
      <c r="AC7" s="66">
        <v>35</v>
      </c>
      <c r="AD7" s="66">
        <v>36.4</v>
      </c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20</v>
      </c>
      <c r="AQ7" s="68">
        <f t="shared" si="2"/>
        <v>35.18</v>
      </c>
      <c r="AR7" s="68">
        <f>IFERROR(VLOOKUP(A7,Climatologia_TMAX!A:U,9+$E$2,FALSE),"")</f>
        <v>33.115285708400279</v>
      </c>
      <c r="AS7" s="68">
        <f t="shared" si="3"/>
        <v>2.0647142915997208</v>
      </c>
      <c r="AT7" s="74">
        <f t="shared" si="4"/>
        <v>37.799999999999997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-0.60000000000000142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>
        <v>33.9</v>
      </c>
      <c r="V8" s="66">
        <v>33.799999999999997</v>
      </c>
      <c r="W8" s="66">
        <v>33.799999999999997</v>
      </c>
      <c r="X8" s="66">
        <v>33.6</v>
      </c>
      <c r="Y8" s="66">
        <v>34</v>
      </c>
      <c r="Z8" s="66">
        <v>35.1</v>
      </c>
      <c r="AA8" s="66">
        <v>30.8</v>
      </c>
      <c r="AB8" s="66">
        <v>33.200000000000003</v>
      </c>
      <c r="AC8" s="66">
        <v>32.9</v>
      </c>
      <c r="AD8" s="66">
        <v>33.299999999999997</v>
      </c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20</v>
      </c>
      <c r="AQ8" s="68">
        <f t="shared" si="2"/>
        <v>33.504999999999995</v>
      </c>
      <c r="AR8" s="68">
        <f>IFERROR(VLOOKUP(A8,Climatologia_TMAX!A:U,9+$E$2,FALSE),"")</f>
        <v>32.243805889046577</v>
      </c>
      <c r="AS8" s="68">
        <f t="shared" si="3"/>
        <v>1.2611941109534186</v>
      </c>
      <c r="AT8" s="74">
        <f t="shared" si="4"/>
        <v>35.1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-1.7999999999999972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>
        <v>34.9</v>
      </c>
      <c r="V9" s="66">
        <v>37.700000000000003</v>
      </c>
      <c r="W9" s="66">
        <v>36.700000000000003</v>
      </c>
      <c r="X9" s="66">
        <v>33.6</v>
      </c>
      <c r="Y9" s="66">
        <v>34.5</v>
      </c>
      <c r="Z9" s="66">
        <v>36.9</v>
      </c>
      <c r="AA9" s="66">
        <v>31</v>
      </c>
      <c r="AB9" s="66">
        <v>33</v>
      </c>
      <c r="AC9" s="66">
        <v>34.799999999999997</v>
      </c>
      <c r="AD9" s="66">
        <v>37.200000000000003</v>
      </c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20</v>
      </c>
      <c r="AQ9" s="68">
        <f t="shared" si="2"/>
        <v>34.839999999999996</v>
      </c>
      <c r="AR9" s="68">
        <f>IFERROR(VLOOKUP(A9,Climatologia_TMAX!A:U,9+$E$2,FALSE),"")</f>
        <v>33.507160697070823</v>
      </c>
      <c r="AS9" s="68">
        <f t="shared" si="3"/>
        <v>1.3328393029291732</v>
      </c>
      <c r="AT9" s="74">
        <f t="shared" si="4"/>
        <v>37.700000000000003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-1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>
        <v>37.9</v>
      </c>
      <c r="V10" s="66">
        <v>37.9</v>
      </c>
      <c r="W10" s="66">
        <v>38.5</v>
      </c>
      <c r="X10" s="66">
        <v>37.1</v>
      </c>
      <c r="Y10" s="66">
        <v>36.6</v>
      </c>
      <c r="Z10" s="66">
        <v>38</v>
      </c>
      <c r="AA10" s="66">
        <v>36.200000000000003</v>
      </c>
      <c r="AB10" s="66">
        <v>35.5</v>
      </c>
      <c r="AC10" s="66">
        <v>37.799999999999997</v>
      </c>
      <c r="AD10" s="66">
        <v>38.299999999999997</v>
      </c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20</v>
      </c>
      <c r="AQ10" s="68">
        <f t="shared" si="2"/>
        <v>36.909999999999997</v>
      </c>
      <c r="AR10" s="68">
        <f>IFERROR(VLOOKUP(A10,Climatologia_TMAX!A:U,9+$E$2,FALSE),"")</f>
        <v>35.037947033054557</v>
      </c>
      <c r="AS10" s="68">
        <f t="shared" si="3"/>
        <v>1.8720529669454393</v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>
        <v>42.4</v>
      </c>
      <c r="V11" s="66">
        <v>41.5</v>
      </c>
      <c r="W11" s="66">
        <v>39</v>
      </c>
      <c r="X11" s="66">
        <v>39.200000000000003</v>
      </c>
      <c r="Y11" s="66">
        <v>38.200000000000003</v>
      </c>
      <c r="Z11" s="66">
        <v>38.799999999999997</v>
      </c>
      <c r="AA11" s="66">
        <v>38.200000000000003</v>
      </c>
      <c r="AB11" s="66">
        <v>38.200000000000003</v>
      </c>
      <c r="AC11" s="66">
        <v>38.4</v>
      </c>
      <c r="AD11" s="66">
        <v>39.4</v>
      </c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20</v>
      </c>
      <c r="AQ11" s="68">
        <f t="shared" si="2"/>
        <v>39.305</v>
      </c>
      <c r="AR11" s="68">
        <f>IFERROR(VLOOKUP(A11,Climatologia_TMAX!A:U,9+$E$2,FALSE),"")</f>
        <v>35.179462365591398</v>
      </c>
      <c r="AS11" s="68">
        <f t="shared" si="3"/>
        <v>4.1255376344086017</v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116">
        <v>37.1</v>
      </c>
      <c r="V12" s="66">
        <v>37</v>
      </c>
      <c r="W12" s="66">
        <v>34.9</v>
      </c>
      <c r="X12" s="66">
        <v>35.5</v>
      </c>
      <c r="Y12" s="66">
        <v>35.799999999999997</v>
      </c>
      <c r="Z12" s="66">
        <v>33.299999999999997</v>
      </c>
      <c r="AA12" s="66">
        <v>30.1</v>
      </c>
      <c r="AB12" s="66">
        <v>32.4</v>
      </c>
      <c r="AC12" s="66">
        <v>36</v>
      </c>
      <c r="AD12" s="66">
        <v>35.200000000000003</v>
      </c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20</v>
      </c>
      <c r="AQ12" s="68">
        <f t="shared" si="2"/>
        <v>34.540000000000006</v>
      </c>
      <c r="AR12" s="68">
        <f>IFERROR(VLOOKUP(A12,Climatologia_TMAX!A:U,9+$E$2,FALSE),"")</f>
        <v>33.065084280874721</v>
      </c>
      <c r="AS12" s="68">
        <f t="shared" si="3"/>
        <v>1.4749157191252849</v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0.20000000000000284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>
        <v>38</v>
      </c>
      <c r="V13" s="66">
        <v>37.6</v>
      </c>
      <c r="W13" s="66">
        <v>37.4</v>
      </c>
      <c r="X13" s="66">
        <v>36</v>
      </c>
      <c r="Y13" s="66">
        <v>36.5</v>
      </c>
      <c r="Z13" s="66">
        <v>35.5</v>
      </c>
      <c r="AA13" s="66">
        <v>33</v>
      </c>
      <c r="AB13" s="66">
        <v>32.200000000000003</v>
      </c>
      <c r="AC13" s="66">
        <v>34.4</v>
      </c>
      <c r="AD13" s="66">
        <v>36</v>
      </c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20</v>
      </c>
      <c r="AQ13" s="68">
        <f t="shared" si="2"/>
        <v>35.565000000000005</v>
      </c>
      <c r="AR13" s="68">
        <f>IFERROR(VLOOKUP(A13,Climatologia_TMAX!A:U,9+$E$2,FALSE),"")</f>
        <v>32.703385242862417</v>
      </c>
      <c r="AS13" s="68">
        <f t="shared" si="3"/>
        <v>2.8616147571375876</v>
      </c>
      <c r="AT13" s="74">
        <f t="shared" si="4"/>
        <v>38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0.79999999999999716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>
        <v>31.4</v>
      </c>
      <c r="V14" s="66">
        <v>31.2</v>
      </c>
      <c r="W14" s="66">
        <v>30.2</v>
      </c>
      <c r="X14" s="66">
        <v>30.5</v>
      </c>
      <c r="Y14" s="66">
        <v>30</v>
      </c>
      <c r="Z14" s="66">
        <v>27.5</v>
      </c>
      <c r="AA14" s="66">
        <v>26.8</v>
      </c>
      <c r="AB14" s="66">
        <v>25.6</v>
      </c>
      <c r="AC14" s="66">
        <v>29</v>
      </c>
      <c r="AD14" s="66">
        <v>30.3</v>
      </c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20</v>
      </c>
      <c r="AQ14" s="68">
        <f t="shared" si="2"/>
        <v>29.145</v>
      </c>
      <c r="AR14" s="68">
        <f>IFERROR(VLOOKUP(A14,Climatologia_TMAX!A:U,9+$E$2,FALSE),"")</f>
        <v>26.343645559538029</v>
      </c>
      <c r="AS14" s="68">
        <f t="shared" si="3"/>
        <v>2.8013544404619708</v>
      </c>
      <c r="AT14" s="74">
        <f t="shared" si="4"/>
        <v>31.4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1.0999999999999979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>
        <v>35.200000000000003</v>
      </c>
      <c r="V15" s="66">
        <v>37.299999999999997</v>
      </c>
      <c r="W15" s="66">
        <v>37.6</v>
      </c>
      <c r="X15" s="66">
        <v>35.700000000000003</v>
      </c>
      <c r="Y15" s="66">
        <v>34.200000000000003</v>
      </c>
      <c r="Z15" s="66">
        <v>35.200000000000003</v>
      </c>
      <c r="AA15" s="66">
        <v>35.200000000000003</v>
      </c>
      <c r="AB15" s="66">
        <v>35.1</v>
      </c>
      <c r="AC15" s="66">
        <v>37.200000000000003</v>
      </c>
      <c r="AD15" s="66">
        <v>35.9</v>
      </c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20</v>
      </c>
      <c r="AQ15" s="68">
        <f t="shared" si="2"/>
        <v>35.660000000000011</v>
      </c>
      <c r="AR15" s="68">
        <f>IFERROR(VLOOKUP(A15,Climatologia_TMAX!A:U,9+$E$2,FALSE),"")</f>
        <v>34.207406451612897</v>
      </c>
      <c r="AS15" s="68">
        <f t="shared" si="3"/>
        <v>1.4525935483871137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-1.1000000000000014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>
        <v>34.299999999999997</v>
      </c>
      <c r="V16" s="66">
        <v>32.6</v>
      </c>
      <c r="W16" s="66">
        <v>33.200000000000003</v>
      </c>
      <c r="X16" s="66">
        <v>32.5</v>
      </c>
      <c r="Y16" s="66">
        <v>32.4</v>
      </c>
      <c r="Z16" s="66">
        <v>32</v>
      </c>
      <c r="AA16" s="66">
        <v>27.9</v>
      </c>
      <c r="AB16" s="66">
        <v>31.3</v>
      </c>
      <c r="AC16" s="66">
        <v>34.700000000000003</v>
      </c>
      <c r="AD16" s="66">
        <v>33.9</v>
      </c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20</v>
      </c>
      <c r="AQ16" s="68">
        <f t="shared" si="2"/>
        <v>32.054999999999993</v>
      </c>
      <c r="AR16" s="68">
        <f>IFERROR(VLOOKUP(A16,Climatologia_TMAX!A:U,9+$E$2,FALSE),"")</f>
        <v>31.919167946748601</v>
      </c>
      <c r="AS16" s="68">
        <f t="shared" si="3"/>
        <v>0.13583205325139147</v>
      </c>
      <c r="AT16" s="74">
        <f t="shared" si="4"/>
        <v>34.700000000000003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-0.29999999999999716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>
        <v>31.8</v>
      </c>
      <c r="V17" s="66">
        <v>31.8</v>
      </c>
      <c r="W17" s="66">
        <v>31.9</v>
      </c>
      <c r="X17" s="66">
        <v>32.299999999999997</v>
      </c>
      <c r="Y17" s="66">
        <v>32.5</v>
      </c>
      <c r="Z17" s="66">
        <v>30.6</v>
      </c>
      <c r="AA17" s="66">
        <v>26.1</v>
      </c>
      <c r="AB17" s="66">
        <v>27.9</v>
      </c>
      <c r="AC17" s="66">
        <v>32.299999999999997</v>
      </c>
      <c r="AD17" s="66">
        <v>31.8</v>
      </c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20</v>
      </c>
      <c r="AQ17" s="68">
        <f t="shared" si="2"/>
        <v>30.934999999999995</v>
      </c>
      <c r="AR17" s="68">
        <f>IFERROR(VLOOKUP(A17,Climatologia_TMAX!A:U,9+$E$2,FALSE),"")</f>
        <v>28.699699180747569</v>
      </c>
      <c r="AS17" s="68">
        <f t="shared" si="3"/>
        <v>2.2353008192524264</v>
      </c>
      <c r="AT17" s="74">
        <f t="shared" si="4"/>
        <v>32.5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-1.1000000000000014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>
        <v>25.2</v>
      </c>
      <c r="V18" s="66">
        <v>25.2</v>
      </c>
      <c r="W18" s="66">
        <v>25</v>
      </c>
      <c r="X18" s="66">
        <v>25.8</v>
      </c>
      <c r="Y18" s="66">
        <v>25.9</v>
      </c>
      <c r="Z18" s="66">
        <v>24.9</v>
      </c>
      <c r="AA18" s="66">
        <v>22.1</v>
      </c>
      <c r="AB18" s="66">
        <v>23</v>
      </c>
      <c r="AC18" s="66">
        <v>25</v>
      </c>
      <c r="AD18" s="66">
        <v>25.4</v>
      </c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20</v>
      </c>
      <c r="AQ18" s="68">
        <f t="shared" si="2"/>
        <v>24.529999999999998</v>
      </c>
      <c r="AR18" s="68">
        <f>IFERROR(VLOOKUP(A18,Climatologia_TMAX!A:U,9+$E$2,FALSE),"")</f>
        <v>22.70234743584826</v>
      </c>
      <c r="AS18" s="68">
        <f t="shared" si="3"/>
        <v>1.8276525641517374</v>
      </c>
      <c r="AT18" s="74">
        <f t="shared" si="4"/>
        <v>25.9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0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116">
        <v>35</v>
      </c>
      <c r="V19" s="66">
        <v>31.1</v>
      </c>
      <c r="W19" s="66">
        <v>31.2</v>
      </c>
      <c r="X19" s="66">
        <v>31</v>
      </c>
      <c r="Y19" s="66">
        <v>28.8</v>
      </c>
      <c r="Z19" s="66">
        <v>25.2</v>
      </c>
      <c r="AA19" s="66">
        <v>21.7</v>
      </c>
      <c r="AB19" s="66">
        <v>28.6</v>
      </c>
      <c r="AC19" s="66">
        <v>29.4</v>
      </c>
      <c r="AD19" s="66">
        <v>31.2</v>
      </c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20</v>
      </c>
      <c r="AQ19" s="68">
        <f t="shared" si="2"/>
        <v>29.53</v>
      </c>
      <c r="AR19" s="68">
        <f>IFERROR(VLOOKUP(A19,Climatologia_TMAX!A:U,9+$E$2,FALSE),"")</f>
        <v>27.308103225806452</v>
      </c>
      <c r="AS19" s="68">
        <f t="shared" si="3"/>
        <v>2.2218967741935494</v>
      </c>
      <c r="AT19" s="74">
        <f t="shared" si="4"/>
        <v>35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2.3999999999999986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>
        <v>33.299999999999997</v>
      </c>
      <c r="V20" s="66">
        <v>31.9</v>
      </c>
      <c r="W20" s="66">
        <v>33.9</v>
      </c>
      <c r="X20" s="66">
        <v>31.8</v>
      </c>
      <c r="Y20" s="66">
        <v>29.8</v>
      </c>
      <c r="Z20" s="66">
        <v>26.8</v>
      </c>
      <c r="AA20" s="66">
        <v>24</v>
      </c>
      <c r="AB20" s="66">
        <v>29.9</v>
      </c>
      <c r="AC20" s="66">
        <v>30.7</v>
      </c>
      <c r="AD20" s="66">
        <v>33.5</v>
      </c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20</v>
      </c>
      <c r="AQ20" s="68">
        <f t="shared" si="2"/>
        <v>30.790000000000003</v>
      </c>
      <c r="AR20" s="68">
        <f>IFERROR(VLOOKUP(A20,Climatologia_TMAX!A:U,9+$E$2,FALSE),"")</f>
        <v>28.821983273596171</v>
      </c>
      <c r="AS20" s="68">
        <f t="shared" si="3"/>
        <v>1.9680167264038317</v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>
        <v>35</v>
      </c>
      <c r="V21" s="66">
        <v>34.799999999999997</v>
      </c>
      <c r="W21" s="66">
        <v>35.799999999999997</v>
      </c>
      <c r="X21" s="66">
        <v>36.4</v>
      </c>
      <c r="Y21" s="66">
        <v>35.4</v>
      </c>
      <c r="Z21" s="66">
        <v>29</v>
      </c>
      <c r="AA21" s="66">
        <v>27.6</v>
      </c>
      <c r="AB21" s="66">
        <v>31.4</v>
      </c>
      <c r="AC21" s="66">
        <v>34.9</v>
      </c>
      <c r="AD21" s="66">
        <v>35.200000000000003</v>
      </c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20</v>
      </c>
      <c r="AQ21" s="68">
        <f t="shared" si="2"/>
        <v>34.174999999999997</v>
      </c>
      <c r="AR21" s="68">
        <f>IFERROR(VLOOKUP(A21,Climatologia_TMAX!A:U,9+$E$2,FALSE),"")</f>
        <v>31.558535251017972</v>
      </c>
      <c r="AS21" s="68">
        <f t="shared" si="3"/>
        <v>2.6164647489820254</v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>
        <v>19.600000000000001</v>
      </c>
      <c r="V22" s="66">
        <v>20</v>
      </c>
      <c r="W22" s="66">
        <v>19.899999999999999</v>
      </c>
      <c r="X22" s="66">
        <v>21.4</v>
      </c>
      <c r="Y22" s="66">
        <v>21.5</v>
      </c>
      <c r="Z22" s="66">
        <v>19.8</v>
      </c>
      <c r="AA22" s="66">
        <v>18.5</v>
      </c>
      <c r="AB22" s="66">
        <v>19.5</v>
      </c>
      <c r="AC22" s="66">
        <v>21.4</v>
      </c>
      <c r="AD22" s="66">
        <v>20.9</v>
      </c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20</v>
      </c>
      <c r="AQ22" s="68">
        <f t="shared" si="2"/>
        <v>20.009999999999998</v>
      </c>
      <c r="AR22" s="68">
        <f>IFERROR(VLOOKUP(A22,Climatologia_TMAX!A:U,9+$E$2,FALSE),"")</f>
        <v>18.772940161432931</v>
      </c>
      <c r="AS22" s="68">
        <f t="shared" si="3"/>
        <v>1.2370598385670668</v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>
        <v>35.4</v>
      </c>
      <c r="V23" s="66">
        <v>32.700000000000003</v>
      </c>
      <c r="W23" s="66">
        <v>34.799999999999997</v>
      </c>
      <c r="X23" s="66">
        <v>32.5</v>
      </c>
      <c r="Y23" s="66">
        <v>32</v>
      </c>
      <c r="Z23" s="66">
        <v>28.3</v>
      </c>
      <c r="AA23" s="66">
        <v>25.2</v>
      </c>
      <c r="AB23" s="66">
        <v>31.8</v>
      </c>
      <c r="AC23" s="66">
        <v>33.1</v>
      </c>
      <c r="AD23" s="66">
        <v>34.700000000000003</v>
      </c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20</v>
      </c>
      <c r="AQ23" s="68">
        <f t="shared" si="2"/>
        <v>32.380000000000003</v>
      </c>
      <c r="AR23" s="68">
        <f>IFERROR(VLOOKUP(A23,Climatologia_TMAX!A:U,9+$E$2,FALSE),"")</f>
        <v>31.11792011972717</v>
      </c>
      <c r="AS23" s="68">
        <f t="shared" si="3"/>
        <v>1.2620798802728324</v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>
        <v>36</v>
      </c>
      <c r="V24" s="66">
        <v>34.200000000000003</v>
      </c>
      <c r="W24" s="66">
        <v>36.700000000000003</v>
      </c>
      <c r="X24" s="66">
        <v>35</v>
      </c>
      <c r="Y24" s="66">
        <v>36.5</v>
      </c>
      <c r="Z24" s="66">
        <v>34.299999999999997</v>
      </c>
      <c r="AA24" s="66">
        <v>32.299999999999997</v>
      </c>
      <c r="AB24" s="66">
        <v>37</v>
      </c>
      <c r="AC24" s="66">
        <v>37.200000000000003</v>
      </c>
      <c r="AD24" s="66">
        <v>36.4</v>
      </c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20</v>
      </c>
      <c r="AQ24" s="68">
        <f t="shared" si="2"/>
        <v>36.019999999999996</v>
      </c>
      <c r="AR24" s="68">
        <f>IFERROR(VLOOKUP(A24,Climatologia_TMAX!A:U,9+$E$2,FALSE),"")</f>
        <v>34.619032258064507</v>
      </c>
      <c r="AS24" s="68">
        <f t="shared" si="3"/>
        <v>1.4009677419354887</v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>
        <v>26.5</v>
      </c>
      <c r="V25" s="66">
        <v>26.8</v>
      </c>
      <c r="W25" s="66">
        <v>27.6</v>
      </c>
      <c r="X25" s="66">
        <v>25.9</v>
      </c>
      <c r="Y25" s="66">
        <v>28.3</v>
      </c>
      <c r="Z25" s="66">
        <v>24.8</v>
      </c>
      <c r="AA25" s="66">
        <v>25.2</v>
      </c>
      <c r="AB25" s="66">
        <v>27.8</v>
      </c>
      <c r="AC25" s="66">
        <v>28.6</v>
      </c>
      <c r="AD25" s="66">
        <v>27.5</v>
      </c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20</v>
      </c>
      <c r="AQ25" s="68">
        <f t="shared" si="2"/>
        <v>27.130000000000003</v>
      </c>
      <c r="AR25" s="68">
        <f>IFERROR(VLOOKUP(A25,Climatologia_TMAX!A:U,9+$E$2,FALSE),"")</f>
        <v>26.14732965766952</v>
      </c>
      <c r="AS25" s="68">
        <f t="shared" si="3"/>
        <v>0.98267034233048278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>
        <v>13.6</v>
      </c>
      <c r="V26" s="66">
        <v>15.2</v>
      </c>
      <c r="W26" s="66">
        <v>15</v>
      </c>
      <c r="X26" s="66">
        <v>13.8</v>
      </c>
      <c r="Y26" s="66">
        <v>16</v>
      </c>
      <c r="Z26" s="66">
        <v>16.600000000000001</v>
      </c>
      <c r="AA26" s="66">
        <v>17.600000000000001</v>
      </c>
      <c r="AB26" s="66">
        <v>15.2</v>
      </c>
      <c r="AC26" s="66">
        <v>15.6</v>
      </c>
      <c r="AD26" s="66">
        <v>14.2</v>
      </c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20</v>
      </c>
      <c r="AQ26" s="68">
        <f t="shared" si="2"/>
        <v>15.419999999999998</v>
      </c>
      <c r="AR26" s="68">
        <f>IFERROR(VLOOKUP(A26,Climatologia_TMAX!A:U,9+$E$2,FALSE),"")</f>
        <v>14.98521690767519</v>
      </c>
      <c r="AS26" s="68">
        <f t="shared" si="3"/>
        <v>0.43478309232480861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116">
        <v>36</v>
      </c>
      <c r="V27" s="66">
        <v>31.8</v>
      </c>
      <c r="W27" s="66">
        <v>34.700000000000003</v>
      </c>
      <c r="X27" s="66">
        <v>32.799999999999997</v>
      </c>
      <c r="Y27" s="66">
        <v>30.4</v>
      </c>
      <c r="Z27" s="66">
        <v>29</v>
      </c>
      <c r="AA27" s="66">
        <v>28</v>
      </c>
      <c r="AB27" s="66">
        <v>33</v>
      </c>
      <c r="AC27" s="66">
        <v>33.700000000000003</v>
      </c>
      <c r="AD27" s="66">
        <v>32.799999999999997</v>
      </c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20</v>
      </c>
      <c r="AQ27" s="68">
        <f t="shared" si="2"/>
        <v>32.21</v>
      </c>
      <c r="AR27" s="68">
        <f>IFERROR(VLOOKUP(A27,Climatologia_TMAX!A:U,9+$E$2,FALSE),"")</f>
        <v>31.229699666295879</v>
      </c>
      <c r="AS27" s="68">
        <f t="shared" si="3"/>
        <v>0.98030033370412184</v>
      </c>
      <c r="AT27" s="74">
        <f t="shared" si="4"/>
        <v>36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>
        <v>32.4</v>
      </c>
      <c r="V28" s="66">
        <v>32.9</v>
      </c>
      <c r="W28" s="66">
        <v>32.700000000000003</v>
      </c>
      <c r="X28" s="66">
        <v>32.4</v>
      </c>
      <c r="Y28" s="66">
        <v>30.4</v>
      </c>
      <c r="Z28" s="66">
        <v>29.4</v>
      </c>
      <c r="AA28" s="66">
        <v>30.3</v>
      </c>
      <c r="AB28" s="66">
        <v>31.9</v>
      </c>
      <c r="AC28" s="66">
        <v>33.9</v>
      </c>
      <c r="AD28" s="66">
        <v>33</v>
      </c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20</v>
      </c>
      <c r="AQ28" s="68">
        <f t="shared" si="2"/>
        <v>32.29999999999999</v>
      </c>
      <c r="AR28" s="68">
        <f>IFERROR(VLOOKUP(A28,Climatologia_TMAX!A:U,9+$E$2,FALSE),"")</f>
        <v>30.80035842293907</v>
      </c>
      <c r="AS28" s="68">
        <f t="shared" si="3"/>
        <v>1.4996415770609204</v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>
        <v>34.799999999999997</v>
      </c>
      <c r="V29" s="66">
        <v>32.6</v>
      </c>
      <c r="W29" s="66">
        <v>28.4</v>
      </c>
      <c r="X29" s="66">
        <v>33</v>
      </c>
      <c r="Y29" s="66">
        <v>32.799999999999997</v>
      </c>
      <c r="Z29" s="66">
        <v>30.4</v>
      </c>
      <c r="AA29" s="66">
        <v>28.2</v>
      </c>
      <c r="AB29" s="66">
        <v>32.6</v>
      </c>
      <c r="AC29" s="66">
        <v>33</v>
      </c>
      <c r="AD29" s="66">
        <v>33.6</v>
      </c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20</v>
      </c>
      <c r="AQ29" s="68">
        <f t="shared" si="2"/>
        <v>32.165000000000006</v>
      </c>
      <c r="AR29" s="68">
        <f>IFERROR(VLOOKUP(A29,Climatologia_TMAX!A:U,9+$E$2,FALSE),"")</f>
        <v>31.513637374860959</v>
      </c>
      <c r="AS29" s="68">
        <f t="shared" si="3"/>
        <v>0.65136262513904697</v>
      </c>
      <c r="AT29" s="74">
        <f t="shared" si="4"/>
        <v>34.799999999999997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-1.3000000000000043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>
        <v>31.2</v>
      </c>
      <c r="V30" s="66">
        <v>32.799999999999997</v>
      </c>
      <c r="W30" s="66">
        <v>31.4</v>
      </c>
      <c r="X30" s="66">
        <v>25.8</v>
      </c>
      <c r="Y30" s="66">
        <v>29.4</v>
      </c>
      <c r="Z30" s="66">
        <v>31.3</v>
      </c>
      <c r="AA30" s="66">
        <v>26.3</v>
      </c>
      <c r="AB30" s="66">
        <v>33.200000000000003</v>
      </c>
      <c r="AC30" s="66">
        <v>32.6</v>
      </c>
      <c r="AD30" s="66">
        <v>32.6</v>
      </c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20</v>
      </c>
      <c r="AQ30" s="68">
        <f t="shared" si="2"/>
        <v>30.889999999999997</v>
      </c>
      <c r="AR30" s="68">
        <f>IFERROR(VLOOKUP(A30,Climatologia_TMAX!A:U,9+$E$2,FALSE),"")</f>
        <v>29.807563959955498</v>
      </c>
      <c r="AS30" s="68">
        <f t="shared" si="3"/>
        <v>1.0824360400444988</v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>
        <v>32</v>
      </c>
      <c r="V31" s="105">
        <v>32.6</v>
      </c>
      <c r="W31" s="105">
        <v>33.299999999999997</v>
      </c>
      <c r="X31" s="105">
        <v>33.299999999999997</v>
      </c>
      <c r="Y31" s="105">
        <v>30.5</v>
      </c>
      <c r="Z31" s="105">
        <v>32.4</v>
      </c>
      <c r="AA31" s="105">
        <v>31</v>
      </c>
      <c r="AB31" s="105">
        <v>30.8</v>
      </c>
      <c r="AC31" s="105">
        <v>31</v>
      </c>
      <c r="AD31" s="105">
        <v>33.6</v>
      </c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20</v>
      </c>
      <c r="AQ31" s="68">
        <f t="shared" si="2"/>
        <v>31.93</v>
      </c>
      <c r="AR31" s="68">
        <f>IFERROR(VLOOKUP(A31,Climatologia_TMAX!A:U,9+$E$2,FALSE),"")</f>
        <v>31.390004135649299</v>
      </c>
      <c r="AS31" s="68">
        <f t="shared" si="3"/>
        <v>0.53999586435070057</v>
      </c>
      <c r="AT31" s="74">
        <f t="shared" si="4"/>
        <v>33.6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-2.1000000000000014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>
        <v>26.4</v>
      </c>
      <c r="V33" s="66">
        <v>26.6</v>
      </c>
      <c r="W33" s="66">
        <v>27.2</v>
      </c>
      <c r="X33" s="66">
        <v>27.8</v>
      </c>
      <c r="Y33" s="66">
        <v>28</v>
      </c>
      <c r="Z33" s="66">
        <v>26</v>
      </c>
      <c r="AA33" s="66">
        <v>24</v>
      </c>
      <c r="AB33" s="66">
        <v>25</v>
      </c>
      <c r="AC33" s="66">
        <v>26</v>
      </c>
      <c r="AD33" s="66">
        <v>25.6</v>
      </c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20</v>
      </c>
      <c r="AQ33" s="68">
        <f t="shared" si="2"/>
        <v>26.159999999999997</v>
      </c>
      <c r="AR33" s="68">
        <f>IFERROR(VLOOKUP(A33,Climatologia_TMAX!A:U,9+$E$2,FALSE),"")</f>
        <v>24.65905872628246</v>
      </c>
      <c r="AS33" s="68">
        <f t="shared" si="3"/>
        <v>1.5009412737175367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>
        <v>40.4</v>
      </c>
      <c r="V36" s="66">
        <v>39.799999999999997</v>
      </c>
      <c r="W36" s="66">
        <v>40.4</v>
      </c>
      <c r="X36" s="66">
        <v>40.200000000000003</v>
      </c>
      <c r="Y36" s="66">
        <v>39.6</v>
      </c>
      <c r="Z36" s="66">
        <v>38</v>
      </c>
      <c r="AA36" s="66">
        <v>32.200000000000003</v>
      </c>
      <c r="AB36" s="66">
        <v>34.200000000000003</v>
      </c>
      <c r="AC36" s="66">
        <v>38</v>
      </c>
      <c r="AD36" s="66">
        <v>37.799999999999997</v>
      </c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20</v>
      </c>
      <c r="AQ36" s="68">
        <f t="shared" si="2"/>
        <v>37.83</v>
      </c>
      <c r="AR36" s="68">
        <f>IFERROR(VLOOKUP(A36,Climatologia_TMAX!A:U,9+$E$2,FALSE),"")</f>
        <v>34.16273657398132</v>
      </c>
      <c r="AS36" s="68">
        <f t="shared" si="3"/>
        <v>3.6672634260186783</v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>
        <v>30.2</v>
      </c>
      <c r="V38" s="66">
        <v>30</v>
      </c>
      <c r="W38" s="66">
        <v>30</v>
      </c>
      <c r="X38" s="66">
        <v>31</v>
      </c>
      <c r="Y38" s="66">
        <v>28.8</v>
      </c>
      <c r="Z38" s="66">
        <v>29.6</v>
      </c>
      <c r="AA38" s="66">
        <v>23</v>
      </c>
      <c r="AB38" s="66">
        <v>25.4</v>
      </c>
      <c r="AC38" s="66">
        <v>29.6</v>
      </c>
      <c r="AD38" s="66">
        <v>29.4</v>
      </c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20</v>
      </c>
      <c r="AQ38" s="68">
        <f t="shared" si="2"/>
        <v>28.7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>
        <v>28.2</v>
      </c>
      <c r="V39" s="109">
        <v>28</v>
      </c>
      <c r="W39" s="66">
        <v>28.2</v>
      </c>
      <c r="X39" s="66">
        <v>27.8</v>
      </c>
      <c r="Y39" s="66">
        <v>27.2</v>
      </c>
      <c r="Z39" s="66">
        <v>26.4</v>
      </c>
      <c r="AA39" s="66">
        <v>21.4</v>
      </c>
      <c r="AB39" s="66">
        <v>27.8</v>
      </c>
      <c r="AC39" s="66">
        <v>27.4</v>
      </c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19</v>
      </c>
      <c r="AQ39" s="68">
        <f t="shared" si="2"/>
        <v>27.152631578947368</v>
      </c>
      <c r="AR39" s="68">
        <f>IFERROR(VLOOKUP(A39,Climatologia_TMAX!A:U,9+$E$2,FALSE),"")</f>
        <v>23.769828120099859</v>
      </c>
      <c r="AS39" s="68">
        <f t="shared" si="3"/>
        <v>3.3828034588475084</v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>
        <v>22.8</v>
      </c>
      <c r="V40" s="66">
        <v>22</v>
      </c>
      <c r="W40" s="66">
        <v>22.8</v>
      </c>
      <c r="X40" s="66">
        <v>24</v>
      </c>
      <c r="Y40" s="66">
        <v>23.4</v>
      </c>
      <c r="Z40" s="66">
        <v>23.8</v>
      </c>
      <c r="AA40" s="66">
        <v>21.2</v>
      </c>
      <c r="AB40" s="66">
        <v>21.4</v>
      </c>
      <c r="AC40" s="66">
        <v>22.8</v>
      </c>
      <c r="AD40" s="66">
        <v>21.8</v>
      </c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20</v>
      </c>
      <c r="AQ40" s="68">
        <f t="shared" si="2"/>
        <v>22.19</v>
      </c>
      <c r="AR40" s="68">
        <f>IFERROR(VLOOKUP(A40,Climatologia_TMAX!A:U,9+$E$2,FALSE),"")</f>
        <v>20.644739340007408</v>
      </c>
      <c r="AS40" s="68">
        <f t="shared" si="3"/>
        <v>1.5452606599925929</v>
      </c>
      <c r="AT40" s="74">
        <f t="shared" si="4"/>
        <v>24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>
        <v>33.200000000000003</v>
      </c>
      <c r="V42" s="66">
        <v>33.799999999999997</v>
      </c>
      <c r="W42" s="66">
        <v>34</v>
      </c>
      <c r="X42" s="66">
        <v>34</v>
      </c>
      <c r="Y42" s="66">
        <v>34.6</v>
      </c>
      <c r="Z42" s="66">
        <v>32.799999999999997</v>
      </c>
      <c r="AA42" s="66">
        <v>27</v>
      </c>
      <c r="AB42" s="66">
        <v>28.8</v>
      </c>
      <c r="AC42" s="66">
        <v>33</v>
      </c>
      <c r="AD42" s="66">
        <v>31.6</v>
      </c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20</v>
      </c>
      <c r="AQ42" s="68">
        <f t="shared" si="2"/>
        <v>32.58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>
        <v>34.799999999999997</v>
      </c>
      <c r="V43" s="66">
        <v>34</v>
      </c>
      <c r="W43" s="66">
        <v>32.799999999999997</v>
      </c>
      <c r="X43" s="66">
        <v>32.6</v>
      </c>
      <c r="Y43" s="66">
        <v>32.4</v>
      </c>
      <c r="Z43" s="66">
        <v>33.200000000000003</v>
      </c>
      <c r="AA43" s="66">
        <v>28.8</v>
      </c>
      <c r="AB43" s="66">
        <v>32.6</v>
      </c>
      <c r="AC43" s="66">
        <v>34.200000000000003</v>
      </c>
      <c r="AD43" s="66">
        <v>35.200000000000003</v>
      </c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20</v>
      </c>
      <c r="AQ43" s="68">
        <f t="shared" si="2"/>
        <v>32.810000000000009</v>
      </c>
      <c r="AR43" s="68">
        <f>IFERROR(VLOOKUP(A43,Climatologia_TMAX!A:U,9+$E$2,FALSE),"")</f>
        <v>31.773456872106181</v>
      </c>
      <c r="AS43" s="68">
        <f t="shared" si="3"/>
        <v>1.0365431278938289</v>
      </c>
      <c r="AT43" s="74">
        <f t="shared" si="4"/>
        <v>35.200000000000003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-2.1999999999999957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>
        <v>29</v>
      </c>
      <c r="V44" s="66">
        <v>29</v>
      </c>
      <c r="W44" s="66"/>
      <c r="X44" s="66">
        <v>29.2</v>
      </c>
      <c r="Y44" s="66">
        <v>29</v>
      </c>
      <c r="Z44" s="66">
        <v>28</v>
      </c>
      <c r="AA44" s="66">
        <v>27.4</v>
      </c>
      <c r="AB44" s="66">
        <v>29</v>
      </c>
      <c r="AC44" s="66">
        <v>29</v>
      </c>
      <c r="AD44" s="66">
        <v>28.2</v>
      </c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19</v>
      </c>
      <c r="AQ44" s="68">
        <f t="shared" si="2"/>
        <v>28.021052631578947</v>
      </c>
      <c r="AR44" s="68">
        <f>IFERROR(VLOOKUP(A44,Climatologia_TMAX!A:U,9+$E$2,FALSE),"")</f>
        <v>23.004822024471629</v>
      </c>
      <c r="AS44" s="68">
        <f t="shared" si="3"/>
        <v>5.0162306071073175</v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>
        <v>37.4</v>
      </c>
      <c r="V45" s="66">
        <v>37</v>
      </c>
      <c r="W45" s="66">
        <v>36</v>
      </c>
      <c r="X45" s="66">
        <v>36.6</v>
      </c>
      <c r="Y45" s="66">
        <v>37.4</v>
      </c>
      <c r="Z45" s="66">
        <v>35</v>
      </c>
      <c r="AA45" s="66">
        <v>32.6</v>
      </c>
      <c r="AB45" s="66">
        <v>32.200000000000003</v>
      </c>
      <c r="AC45" s="66">
        <v>36</v>
      </c>
      <c r="AD45" s="66">
        <v>37</v>
      </c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20</v>
      </c>
      <c r="AQ45" s="68">
        <f t="shared" si="2"/>
        <v>35.350000000000009</v>
      </c>
      <c r="AR45" s="68">
        <f>IFERROR(VLOOKUP(A45,Climatologia_TMAX!A:U,9+$E$2,FALSE),"")</f>
        <v>32.923758320532507</v>
      </c>
      <c r="AS45" s="68">
        <f t="shared" si="3"/>
        <v>2.4262416794675019</v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-0.80000000000000426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>
        <v>32.200000000000003</v>
      </c>
      <c r="V46" s="66">
        <v>33</v>
      </c>
      <c r="W46" s="66">
        <v>32.200000000000003</v>
      </c>
      <c r="X46" s="66">
        <v>32.6</v>
      </c>
      <c r="Y46" s="66">
        <v>32.4</v>
      </c>
      <c r="Z46" s="66">
        <v>31</v>
      </c>
      <c r="AA46" s="66">
        <v>29.8</v>
      </c>
      <c r="AB46" s="66">
        <v>32.200000000000003</v>
      </c>
      <c r="AC46" s="66">
        <v>31.8</v>
      </c>
      <c r="AD46" s="66">
        <v>32.200000000000003</v>
      </c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20</v>
      </c>
      <c r="AQ46" s="68">
        <f t="shared" si="2"/>
        <v>31.669999999999998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-6.3999999999999986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>
        <v>36.799999999999997</v>
      </c>
      <c r="V49" s="66">
        <v>35.799999999999997</v>
      </c>
      <c r="W49" s="66">
        <v>34.4</v>
      </c>
      <c r="X49" s="66">
        <v>35.799999999999997</v>
      </c>
      <c r="Y49" s="66">
        <v>36.4</v>
      </c>
      <c r="Z49" s="66">
        <v>33.6</v>
      </c>
      <c r="AA49" s="66">
        <v>32</v>
      </c>
      <c r="AB49" s="66">
        <v>33.799999999999997</v>
      </c>
      <c r="AC49" s="66">
        <v>35.6</v>
      </c>
      <c r="AD49" s="66">
        <v>35.4</v>
      </c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20</v>
      </c>
      <c r="AQ49" s="68">
        <f t="shared" si="2"/>
        <v>34.655000000000001</v>
      </c>
      <c r="AR49" s="68">
        <f>IFERROR(VLOOKUP(A49,Climatologia_TMAX!A:U,9+$E$2,FALSE),"")</f>
        <v>32.535336464610658</v>
      </c>
      <c r="AS49" s="68">
        <f t="shared" si="3"/>
        <v>2.1196635353893427</v>
      </c>
      <c r="AT49" s="74">
        <f t="shared" si="4"/>
        <v>36.799999999999997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>
        <v>33.4</v>
      </c>
      <c r="V52" s="66">
        <v>33</v>
      </c>
      <c r="W52" s="66">
        <v>34.4</v>
      </c>
      <c r="X52" s="66">
        <v>34.200000000000003</v>
      </c>
      <c r="Y52" s="66">
        <v>32.6</v>
      </c>
      <c r="Z52" s="66">
        <v>31.2</v>
      </c>
      <c r="AA52" s="66">
        <v>29.4</v>
      </c>
      <c r="AB52" s="66">
        <v>31</v>
      </c>
      <c r="AC52" s="66">
        <v>33</v>
      </c>
      <c r="AD52" s="66">
        <v>33.200000000000003</v>
      </c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20</v>
      </c>
      <c r="AQ52" s="68">
        <f t="shared" si="2"/>
        <v>32.39</v>
      </c>
      <c r="AR52" s="68">
        <f>IFERROR(VLOOKUP(A52,Climatologia_TMAX!A:U,9+$E$2,FALSE),"")</f>
        <v>31.265434885322311</v>
      </c>
      <c r="AS52" s="68">
        <f t="shared" si="3"/>
        <v>1.12456511467769</v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>
        <v>36.799999999999997</v>
      </c>
      <c r="V53" s="66">
        <v>34.799999999999997</v>
      </c>
      <c r="W53" s="66">
        <v>35.200000000000003</v>
      </c>
      <c r="X53" s="66">
        <v>35</v>
      </c>
      <c r="Y53" s="66">
        <v>35.200000000000003</v>
      </c>
      <c r="Z53" s="66">
        <v>33</v>
      </c>
      <c r="AA53" s="66">
        <v>30.2</v>
      </c>
      <c r="AB53" s="66">
        <v>32.200000000000003</v>
      </c>
      <c r="AC53" s="66">
        <v>35.200000000000003</v>
      </c>
      <c r="AD53" s="66">
        <v>33.200000000000003</v>
      </c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20</v>
      </c>
      <c r="AQ53" s="68">
        <f t="shared" si="2"/>
        <v>33.850000000000009</v>
      </c>
      <c r="AR53" s="68">
        <f>IFERROR(VLOOKUP(A53,Climatologia_TMAX!A:U,9+$E$2,FALSE),"")</f>
        <v>32.397587365591413</v>
      </c>
      <c r="AS53" s="68">
        <f t="shared" si="3"/>
        <v>1.4524126344085957</v>
      </c>
      <c r="AT53" s="74">
        <f t="shared" si="4"/>
        <v>36.799999999999997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-0.40000000000000568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>
        <v>40.4</v>
      </c>
      <c r="V54" s="66">
        <v>40.6</v>
      </c>
      <c r="W54" s="66">
        <v>39</v>
      </c>
      <c r="X54" s="66">
        <v>37.200000000000003</v>
      </c>
      <c r="Y54" s="66">
        <v>36</v>
      </c>
      <c r="Z54" s="66">
        <v>37.6</v>
      </c>
      <c r="AA54" s="66">
        <v>32.4</v>
      </c>
      <c r="AB54" s="66">
        <v>34.6</v>
      </c>
      <c r="AC54" s="66">
        <v>39</v>
      </c>
      <c r="AD54" s="66">
        <v>39</v>
      </c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20</v>
      </c>
      <c r="AQ54" s="68">
        <f t="shared" si="2"/>
        <v>37.559999999999995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0.20000000000000284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>
        <v>38.6</v>
      </c>
      <c r="V55" s="66">
        <v>37.799999999999997</v>
      </c>
      <c r="W55" s="66"/>
      <c r="X55" s="66">
        <v>37</v>
      </c>
      <c r="Y55" s="66">
        <v>36.6</v>
      </c>
      <c r="Z55" s="66">
        <v>34.200000000000003</v>
      </c>
      <c r="AA55" s="66">
        <v>30.4</v>
      </c>
      <c r="AB55" s="66">
        <v>34.200000000000003</v>
      </c>
      <c r="AC55" s="66">
        <v>37.4</v>
      </c>
      <c r="AD55" s="66">
        <v>36.799999999999997</v>
      </c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19</v>
      </c>
      <c r="AQ55" s="68">
        <f t="shared" si="2"/>
        <v>35.673684210526311</v>
      </c>
      <c r="AR55" s="68">
        <f>IFERROR(VLOOKUP(A55,Climatologia_TMAX!A:U,9+$E$2,FALSE),"")</f>
        <v>32.916625540651467</v>
      </c>
      <c r="AS55" s="68">
        <f t="shared" si="3"/>
        <v>2.7570586698748443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>
        <v>35.1</v>
      </c>
      <c r="V67" s="66">
        <v>35.200000000000003</v>
      </c>
      <c r="W67" s="66">
        <v>35.200000000000003</v>
      </c>
      <c r="X67" s="66">
        <v>35</v>
      </c>
      <c r="Y67" s="114">
        <v>34.4</v>
      </c>
      <c r="Z67" s="66">
        <v>33.799999999999997</v>
      </c>
      <c r="AA67" s="66">
        <v>32</v>
      </c>
      <c r="AB67" s="66">
        <v>31</v>
      </c>
      <c r="AC67" s="66">
        <v>34.9</v>
      </c>
      <c r="AD67" s="66">
        <v>35</v>
      </c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20</v>
      </c>
      <c r="AQ67" s="68">
        <f t="shared" si="2"/>
        <v>33.524999999999999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-0.29999999999999716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>
        <v>37.4</v>
      </c>
      <c r="V74" s="66">
        <v>36.6</v>
      </c>
      <c r="W74" s="66">
        <v>37.200000000000003</v>
      </c>
      <c r="X74" s="66"/>
      <c r="Y74" s="66"/>
      <c r="Z74" s="66">
        <v>35.4</v>
      </c>
      <c r="AA74" s="66">
        <v>34.6</v>
      </c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15</v>
      </c>
      <c r="AQ74" s="68">
        <f t="shared" si="7"/>
        <v>35.886666666666663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-0.39999999999999858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>
        <v>37</v>
      </c>
      <c r="V76" s="66">
        <v>36.200000000000003</v>
      </c>
      <c r="W76" s="66">
        <v>34.799999999999997</v>
      </c>
      <c r="X76" s="66">
        <v>36</v>
      </c>
      <c r="Y76" s="66">
        <v>35.6</v>
      </c>
      <c r="Z76" s="66">
        <v>34.200000000000003</v>
      </c>
      <c r="AA76" s="66">
        <v>31.2</v>
      </c>
      <c r="AB76" s="66">
        <v>30.6</v>
      </c>
      <c r="AC76" s="66">
        <v>35.200000000000003</v>
      </c>
      <c r="AD76" s="66">
        <v>36.4</v>
      </c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20</v>
      </c>
      <c r="AQ76" s="68">
        <f t="shared" si="7"/>
        <v>34.640000000000008</v>
      </c>
      <c r="AR76" s="68">
        <f>IFERROR(VLOOKUP(A76,Climatologia_TMAX!A:U,9+$E$2,FALSE),"")</f>
        <v>32.131914371977928</v>
      </c>
      <c r="AS76" s="68">
        <f t="shared" si="8"/>
        <v>2.50808562802208</v>
      </c>
      <c r="AT76" s="74">
        <f t="shared" si="9"/>
        <v>37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>
        <v>33.200000000000003</v>
      </c>
      <c r="M77" s="66">
        <v>31.8</v>
      </c>
      <c r="N77" s="66">
        <v>30.2</v>
      </c>
      <c r="O77" s="66">
        <v>29.2</v>
      </c>
      <c r="P77" s="66">
        <v>32.4</v>
      </c>
      <c r="Q77" s="66">
        <v>28.6</v>
      </c>
      <c r="R77" s="66">
        <v>30.8</v>
      </c>
      <c r="S77" s="66">
        <v>33.200000000000003</v>
      </c>
      <c r="T77" s="66">
        <v>34</v>
      </c>
      <c r="U77" s="66">
        <v>32.799999999999997</v>
      </c>
      <c r="V77" s="66">
        <v>32.6</v>
      </c>
      <c r="W77" s="66">
        <v>31.4</v>
      </c>
      <c r="X77" s="66">
        <v>31</v>
      </c>
      <c r="Y77" s="66">
        <v>31.6</v>
      </c>
      <c r="Z77" s="66">
        <v>29.6</v>
      </c>
      <c r="AA77" s="66">
        <v>28.8</v>
      </c>
      <c r="AB77" s="66">
        <v>32.6</v>
      </c>
      <c r="AC77" s="66">
        <v>33.200000000000003</v>
      </c>
      <c r="AD77" s="66">
        <v>31.6</v>
      </c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20</v>
      </c>
      <c r="AQ77" s="68">
        <f t="shared" si="7"/>
        <v>31.460000000000008</v>
      </c>
      <c r="AR77" s="68">
        <f>IFERROR(VLOOKUP(A77,Climatologia_TMAX!A:U,9+$E$2,FALSE),"")</f>
        <v>30.717419354838722</v>
      </c>
      <c r="AS77" s="68">
        <f t="shared" si="8"/>
        <v>0.74258064516128641</v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32.799999999999997</v>
      </c>
      <c r="L79" s="66">
        <v>28.2</v>
      </c>
      <c r="M79" s="66">
        <v>28.2</v>
      </c>
      <c r="N79" s="66">
        <v>31.2</v>
      </c>
      <c r="O79" s="66">
        <v>26.8</v>
      </c>
      <c r="P79" s="66">
        <v>31.6</v>
      </c>
      <c r="Q79" s="66">
        <v>29</v>
      </c>
      <c r="R79" s="66">
        <v>31.6</v>
      </c>
      <c r="S79" s="66">
        <v>32.799999999999997</v>
      </c>
      <c r="T79" s="66">
        <v>32.6</v>
      </c>
      <c r="U79" s="66">
        <v>32</v>
      </c>
      <c r="V79" s="66">
        <v>31.6</v>
      </c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12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>
        <f t="shared" si="9"/>
        <v>32.799999999999997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-2.7000000000000028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>
        <v>31.6</v>
      </c>
      <c r="V80" s="66">
        <v>33.200000000000003</v>
      </c>
      <c r="W80" s="66">
        <v>32</v>
      </c>
      <c r="X80" s="66"/>
      <c r="Y80" s="66"/>
      <c r="Z80" s="66"/>
      <c r="AA80" s="66"/>
      <c r="AB80" s="66">
        <v>33.6</v>
      </c>
      <c r="AC80" s="66">
        <v>33.4</v>
      </c>
      <c r="AD80" s="66">
        <v>32.4</v>
      </c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15</v>
      </c>
      <c r="AQ80" s="68">
        <f t="shared" si="7"/>
        <v>32.093333333333334</v>
      </c>
      <c r="AR80" s="68">
        <f>IFERROR(VLOOKUP(A80,Climatologia_TMAX!A:U,9+$E$2,FALSE),"")</f>
        <v>30.68247751700186</v>
      </c>
      <c r="AS80" s="68">
        <f t="shared" si="8"/>
        <v>1.4108558163314733</v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>
        <v>31</v>
      </c>
      <c r="V81" s="66">
        <v>32.4</v>
      </c>
      <c r="W81" s="66">
        <v>31.6</v>
      </c>
      <c r="X81" s="66">
        <v>28.8</v>
      </c>
      <c r="Y81" s="66">
        <v>28</v>
      </c>
      <c r="Z81" s="66">
        <v>31.4</v>
      </c>
      <c r="AA81" s="66">
        <v>28</v>
      </c>
      <c r="AB81" s="66">
        <v>32.4</v>
      </c>
      <c r="AC81" s="66">
        <v>32.6</v>
      </c>
      <c r="AD81" s="66">
        <v>32.4</v>
      </c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20</v>
      </c>
      <c r="AQ81" s="68">
        <f t="shared" si="7"/>
        <v>31.074999999999999</v>
      </c>
      <c r="AR81" s="68">
        <f>IFERROR(VLOOKUP(A81,Climatologia_TMAX!A:U,9+$E$2,FALSE),"")</f>
        <v>30.066096038514271</v>
      </c>
      <c r="AS81" s="68">
        <f t="shared" si="8"/>
        <v>1.0089039614857285</v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>
        <v>32.200000000000003</v>
      </c>
      <c r="V83" s="66">
        <v>34.200000000000003</v>
      </c>
      <c r="W83" s="66">
        <v>32.799999999999997</v>
      </c>
      <c r="X83" s="66">
        <v>30</v>
      </c>
      <c r="Y83" s="66">
        <v>33</v>
      </c>
      <c r="Z83" s="66">
        <v>31.8</v>
      </c>
      <c r="AA83" s="66">
        <v>28.4</v>
      </c>
      <c r="AB83" s="66">
        <v>34.200000000000003</v>
      </c>
      <c r="AC83" s="66">
        <v>34</v>
      </c>
      <c r="AD83" s="66">
        <v>32.4</v>
      </c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20</v>
      </c>
      <c r="AQ83" s="68">
        <f t="shared" si="7"/>
        <v>32.410000000000004</v>
      </c>
      <c r="AR83" s="68">
        <f>IFERROR(VLOOKUP(A83,Climatologia_TMAX!A:U,9+$E$2,FALSE),"")</f>
        <v>30.100740998164522</v>
      </c>
      <c r="AS83" s="68">
        <f t="shared" si="8"/>
        <v>2.3092590018354819</v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>
        <v>32.200000000000003</v>
      </c>
      <c r="V85" s="66">
        <v>32.6</v>
      </c>
      <c r="W85" s="66">
        <v>31.4</v>
      </c>
      <c r="X85" s="66">
        <v>25.6</v>
      </c>
      <c r="Y85" s="66">
        <v>29.8</v>
      </c>
      <c r="Z85" s="66">
        <v>31</v>
      </c>
      <c r="AA85" s="66">
        <v>27.2</v>
      </c>
      <c r="AB85" s="66">
        <v>32.4</v>
      </c>
      <c r="AC85" s="66">
        <v>32.799999999999997</v>
      </c>
      <c r="AD85" s="66">
        <v>32.6</v>
      </c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20</v>
      </c>
      <c r="AQ85" s="68">
        <f t="shared" si="7"/>
        <v>31.130000000000003</v>
      </c>
      <c r="AR85" s="68">
        <f>IFERROR(VLOOKUP(A85,Climatologia_TMAX!A:U,9+$E$2,FALSE),"")</f>
        <v>30.126684246732939</v>
      </c>
      <c r="AS85" s="68">
        <f t="shared" si="8"/>
        <v>1.0033157532670636</v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>
        <v>29.6</v>
      </c>
      <c r="R86" s="66">
        <v>32.6</v>
      </c>
      <c r="S86" s="66">
        <v>33.200000000000003</v>
      </c>
      <c r="T86" s="66">
        <v>33.6</v>
      </c>
      <c r="U86" s="66">
        <v>32.200000000000003</v>
      </c>
      <c r="V86" s="66">
        <v>30.8</v>
      </c>
      <c r="W86" s="66">
        <v>32.6</v>
      </c>
      <c r="X86" s="66">
        <v>30.4</v>
      </c>
      <c r="Y86" s="66">
        <v>30.6</v>
      </c>
      <c r="Z86" s="66">
        <v>28.6</v>
      </c>
      <c r="AA86" s="66">
        <v>28.2</v>
      </c>
      <c r="AB86" s="66">
        <v>30.6</v>
      </c>
      <c r="AC86" s="66">
        <v>33</v>
      </c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19</v>
      </c>
      <c r="AQ86" s="68">
        <f t="shared" si="7"/>
        <v>31.294736842105266</v>
      </c>
      <c r="AR86" s="68">
        <f>IFERROR(VLOOKUP(A86,Climatologia_TMAX!A:U,9+$E$2,FALSE),"")</f>
        <v>30.211657926170119</v>
      </c>
      <c r="AS86" s="68">
        <f t="shared" si="8"/>
        <v>1.0830789159351468</v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>
        <v>33.4</v>
      </c>
      <c r="V87" s="66">
        <v>32.200000000000003</v>
      </c>
      <c r="W87" s="66">
        <v>32.4</v>
      </c>
      <c r="X87" s="66">
        <v>31.4</v>
      </c>
      <c r="Y87" s="66">
        <v>29.4</v>
      </c>
      <c r="Z87" s="66">
        <v>31.8</v>
      </c>
      <c r="AA87" s="66">
        <v>30</v>
      </c>
      <c r="AB87" s="66">
        <v>33</v>
      </c>
      <c r="AC87" s="66">
        <v>32.4</v>
      </c>
      <c r="AD87" s="66">
        <v>33.200000000000003</v>
      </c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20</v>
      </c>
      <c r="AQ87" s="68">
        <f t="shared" si="7"/>
        <v>31.839999999999993</v>
      </c>
      <c r="AR87" s="68">
        <f>IFERROR(VLOOKUP(A87,Climatologia_TMAX!A:U,9+$E$2,FALSE),"")</f>
        <v>30.420577139515899</v>
      </c>
      <c r="AS87" s="68">
        <f t="shared" si="8"/>
        <v>1.4194228604840937</v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>
        <v>32</v>
      </c>
      <c r="V90" s="66">
        <v>31.2</v>
      </c>
      <c r="W90" s="66">
        <v>32.1</v>
      </c>
      <c r="X90" s="66">
        <v>30.2</v>
      </c>
      <c r="Y90" s="66">
        <v>31.2</v>
      </c>
      <c r="Z90" s="66">
        <v>30.3</v>
      </c>
      <c r="AA90" s="66">
        <v>31.4</v>
      </c>
      <c r="AB90" s="66">
        <v>33.299999999999997</v>
      </c>
      <c r="AC90" s="66">
        <v>31</v>
      </c>
      <c r="AD90" s="66">
        <v>32.299999999999997</v>
      </c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20</v>
      </c>
      <c r="AQ90" s="68">
        <f t="shared" si="7"/>
        <v>31.414999999999992</v>
      </c>
      <c r="AR90" s="68">
        <f>IFERROR(VLOOKUP(A90,Climatologia_TMAX!A:U,9+$E$2,FALSE),"")</f>
        <v>30.14398006331821</v>
      </c>
      <c r="AS90" s="68">
        <f t="shared" si="8"/>
        <v>1.2710199366817818</v>
      </c>
      <c r="AT90" s="74">
        <f t="shared" si="9"/>
        <v>33.299999999999997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-1.1000000000000014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>
        <v>33</v>
      </c>
      <c r="V91" s="66">
        <v>33.299999999999997</v>
      </c>
      <c r="W91" s="66">
        <v>33</v>
      </c>
      <c r="X91" s="66">
        <v>32.1</v>
      </c>
      <c r="Y91" s="66">
        <v>30.3</v>
      </c>
      <c r="Z91" s="107">
        <v>31.1</v>
      </c>
      <c r="AA91" s="66">
        <v>30.2</v>
      </c>
      <c r="AB91" s="66">
        <v>33</v>
      </c>
      <c r="AC91" s="66">
        <v>33</v>
      </c>
      <c r="AD91" s="66">
        <v>32.1</v>
      </c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20</v>
      </c>
      <c r="AQ91" s="68">
        <f t="shared" si="7"/>
        <v>31.610000000000007</v>
      </c>
      <c r="AR91" s="68">
        <f>IFERROR(VLOOKUP(A91,Climatologia_TMAX!A:U,9+$E$2,FALSE),"")</f>
        <v>30.948480459796951</v>
      </c>
      <c r="AS91" s="68">
        <f t="shared" si="8"/>
        <v>0.66151954020305581</v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-2.9000000000000057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>
        <v>33.200000000000003</v>
      </c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>
        <v>24.4</v>
      </c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8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>
        <v>34.200000000000003</v>
      </c>
      <c r="V94" s="66">
        <v>31.2</v>
      </c>
      <c r="W94" s="66">
        <v>28.2</v>
      </c>
      <c r="X94" s="66">
        <v>32.4</v>
      </c>
      <c r="Y94" s="66">
        <v>31.2</v>
      </c>
      <c r="Z94" s="66">
        <v>31.8</v>
      </c>
      <c r="AA94" s="66">
        <v>26.6</v>
      </c>
      <c r="AB94" s="66">
        <v>32.799999999999997</v>
      </c>
      <c r="AC94" s="66">
        <v>32.200000000000003</v>
      </c>
      <c r="AD94" s="66">
        <v>33</v>
      </c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20</v>
      </c>
      <c r="AQ94" s="68">
        <f t="shared" si="7"/>
        <v>31.859999999999996</v>
      </c>
      <c r="AR94" s="68">
        <f>IFERROR(VLOOKUP(A94,Climatologia_TMAX!A:U,9+$E$2,FALSE),"")</f>
        <v>31.022074370307589</v>
      </c>
      <c r="AS94" s="68">
        <f t="shared" si="8"/>
        <v>0.83792562969240691</v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>
        <v>24</v>
      </c>
      <c r="V99" s="66">
        <v>23</v>
      </c>
      <c r="W99" s="66">
        <v>26</v>
      </c>
      <c r="X99" s="66">
        <v>27.4</v>
      </c>
      <c r="Y99" s="66">
        <v>25</v>
      </c>
      <c r="Z99" s="66">
        <v>27</v>
      </c>
      <c r="AA99" s="66">
        <v>25</v>
      </c>
      <c r="AB99" s="66">
        <v>26</v>
      </c>
      <c r="AC99" s="66">
        <v>28</v>
      </c>
      <c r="AD99" s="66">
        <v>26.4</v>
      </c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20</v>
      </c>
      <c r="AQ99" s="68">
        <f t="shared" si="7"/>
        <v>26.05</v>
      </c>
      <c r="AR99" s="68">
        <f>IFERROR(VLOOKUP(A99,Climatologia_TMAX!A:U,9+$E$2,FALSE),"")</f>
        <v>24.718314208501919</v>
      </c>
      <c r="AS99" s="68">
        <f t="shared" si="8"/>
        <v>1.3316857914980815</v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>
        <v>38.200000000000003</v>
      </c>
      <c r="V100" s="66">
        <v>37.799999999999997</v>
      </c>
      <c r="W100" s="66">
        <v>40.799999999999997</v>
      </c>
      <c r="X100" s="66">
        <v>38.799999999999997</v>
      </c>
      <c r="Y100" s="66">
        <v>39.4</v>
      </c>
      <c r="Z100" s="107">
        <v>35.4</v>
      </c>
      <c r="AA100" s="66">
        <v>34.799999999999997</v>
      </c>
      <c r="AB100" s="66">
        <v>40</v>
      </c>
      <c r="AC100" s="66">
        <v>40.200000000000003</v>
      </c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19</v>
      </c>
      <c r="AQ100" s="68">
        <f t="shared" si="7"/>
        <v>38.926315789473676</v>
      </c>
      <c r="AR100" s="68">
        <f>IFERROR(VLOOKUP(A100,Climatologia_TMAX!A:U,9+$E$2,FALSE),"")</f>
        <v>37.075361698510143</v>
      </c>
      <c r="AS100" s="68">
        <f t="shared" si="8"/>
        <v>1.8509540909635334</v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>
        <v>30</v>
      </c>
      <c r="V102" s="66">
        <v>30.2</v>
      </c>
      <c r="W102" s="66">
        <v>30.8</v>
      </c>
      <c r="X102" s="66">
        <v>28.6</v>
      </c>
      <c r="Y102" s="66">
        <v>30.2</v>
      </c>
      <c r="Z102" s="66">
        <v>27</v>
      </c>
      <c r="AA102" s="66">
        <v>25.2</v>
      </c>
      <c r="AB102" s="66">
        <v>29.2</v>
      </c>
      <c r="AC102" s="66">
        <v>31.8</v>
      </c>
      <c r="AD102" s="66">
        <v>31.6</v>
      </c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19</v>
      </c>
      <c r="AQ102" s="68">
        <f t="shared" si="7"/>
        <v>29.984210526315792</v>
      </c>
      <c r="AR102" s="68">
        <f>IFERROR(VLOOKUP(A102,Climatologia_TMAX!A:U,9+$E$2,FALSE),"")</f>
        <v>27.909677419354839</v>
      </c>
      <c r="AS102" s="68">
        <f t="shared" si="8"/>
        <v>2.0745331069609527</v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>
        <v>36.6</v>
      </c>
      <c r="V104" s="66">
        <v>37.6</v>
      </c>
      <c r="W104" s="66">
        <v>37.4</v>
      </c>
      <c r="X104" s="66">
        <v>36.799999999999997</v>
      </c>
      <c r="Y104" s="66">
        <v>38.4</v>
      </c>
      <c r="Z104" s="66">
        <v>35.4</v>
      </c>
      <c r="AA104" s="66">
        <v>33.6</v>
      </c>
      <c r="AB104" s="66">
        <v>38.4</v>
      </c>
      <c r="AC104" s="66">
        <v>39.200000000000003</v>
      </c>
      <c r="AD104" s="66">
        <v>39.4</v>
      </c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20</v>
      </c>
      <c r="AQ104" s="68">
        <f t="shared" si="7"/>
        <v>37.39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39.4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>
        <v>30.6</v>
      </c>
      <c r="V105" s="66">
        <v>28.8</v>
      </c>
      <c r="W105" s="66">
        <v>32.6</v>
      </c>
      <c r="X105" s="66">
        <v>25.4</v>
      </c>
      <c r="Y105" s="66">
        <v>30.4</v>
      </c>
      <c r="Z105" s="66">
        <v>25.6</v>
      </c>
      <c r="AA105" s="66">
        <v>28.8</v>
      </c>
      <c r="AB105" s="66">
        <v>32.200000000000003</v>
      </c>
      <c r="AC105" s="66">
        <v>30.4</v>
      </c>
      <c r="AD105" s="66">
        <v>29.4</v>
      </c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20</v>
      </c>
      <c r="AQ105" s="68">
        <f t="shared" si="7"/>
        <v>29.95</v>
      </c>
      <c r="AR105" s="68">
        <f>IFERROR(VLOOKUP(A105,Climatologia_TMAX!A:U,9+$E$2,FALSE),"")</f>
        <v>30.030668369518938</v>
      </c>
      <c r="AS105" s="68">
        <f t="shared" si="8"/>
        <v>-8.0668369518939187E-2</v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>
        <v>25.6</v>
      </c>
      <c r="V106" s="66">
        <v>27.4</v>
      </c>
      <c r="W106" s="66">
        <v>25.6</v>
      </c>
      <c r="X106" s="66">
        <v>25.6</v>
      </c>
      <c r="Y106" s="66">
        <v>26.2</v>
      </c>
      <c r="Z106" s="66">
        <v>23.8</v>
      </c>
      <c r="AA106" s="66">
        <v>22.8</v>
      </c>
      <c r="AB106" s="66">
        <v>26.6</v>
      </c>
      <c r="AC106" s="66">
        <v>27.8</v>
      </c>
      <c r="AD106" s="66">
        <v>27.6</v>
      </c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20</v>
      </c>
      <c r="AQ106" s="68">
        <f t="shared" si="7"/>
        <v>26.490000000000002</v>
      </c>
      <c r="AR106" s="68">
        <f>IFERROR(VLOOKUP(A106,Climatologia_TMAX!A:U,9+$E$2,FALSE),"")</f>
        <v>25.412337253032469</v>
      </c>
      <c r="AS106" s="68">
        <f t="shared" si="8"/>
        <v>1.0776627469675333</v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>
        <v>31.8</v>
      </c>
      <c r="V108" s="66">
        <v>30.2</v>
      </c>
      <c r="W108" s="66">
        <v>34</v>
      </c>
      <c r="X108" s="66">
        <v>27</v>
      </c>
      <c r="Y108" s="66">
        <v>31.6</v>
      </c>
      <c r="Z108" s="66">
        <v>26.6</v>
      </c>
      <c r="AA108" s="66">
        <v>30.4</v>
      </c>
      <c r="AB108" s="66"/>
      <c r="AC108" s="66">
        <v>31</v>
      </c>
      <c r="AD108" s="66">
        <v>30.6</v>
      </c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19</v>
      </c>
      <c r="AQ108" s="68">
        <f t="shared" si="7"/>
        <v>30.98947368421053</v>
      </c>
      <c r="AR108" s="68">
        <f>IFERROR(VLOOKUP(A108,Climatologia_TMAX!A:U,9+$E$2,FALSE),"")</f>
        <v>30.571207119021128</v>
      </c>
      <c r="AS108" s="68">
        <f t="shared" si="8"/>
        <v>0.41826656518940197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>
        <v>24.8</v>
      </c>
      <c r="V109" s="66">
        <v>24.8</v>
      </c>
      <c r="W109" s="66">
        <v>26.8</v>
      </c>
      <c r="X109" s="66">
        <v>23</v>
      </c>
      <c r="Y109" s="66">
        <v>28</v>
      </c>
      <c r="Z109" s="66">
        <v>23.2</v>
      </c>
      <c r="AA109" s="66">
        <v>23.8</v>
      </c>
      <c r="AB109" s="66">
        <v>28.2</v>
      </c>
      <c r="AC109" s="66">
        <v>28</v>
      </c>
      <c r="AD109" s="66">
        <v>27.2</v>
      </c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20</v>
      </c>
      <c r="AQ109" s="68">
        <f t="shared" si="7"/>
        <v>26.630000000000003</v>
      </c>
      <c r="AR109" s="68">
        <f>IFERROR(VLOOKUP(A109,Climatologia_TMAX!A:U,9+$E$2,FALSE),"")</f>
        <v>25.742317801672641</v>
      </c>
      <c r="AS109" s="68">
        <f t="shared" si="8"/>
        <v>0.8876821983273615</v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>
        <v>42.4</v>
      </c>
      <c r="V111" s="66">
        <v>42</v>
      </c>
      <c r="W111" s="66">
        <v>39.4</v>
      </c>
      <c r="X111" s="66">
        <v>39.6</v>
      </c>
      <c r="Y111" s="66">
        <v>38.4</v>
      </c>
      <c r="Z111" s="66">
        <v>39.4</v>
      </c>
      <c r="AA111" s="66">
        <v>37.799999999999997</v>
      </c>
      <c r="AB111" s="66">
        <v>35.6</v>
      </c>
      <c r="AC111" s="66">
        <v>38.200000000000003</v>
      </c>
      <c r="AD111" s="66">
        <v>39</v>
      </c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20</v>
      </c>
      <c r="AQ111" s="68">
        <f t="shared" si="7"/>
        <v>39.160000000000004</v>
      </c>
      <c r="AR111" s="68">
        <f>IFERROR(VLOOKUP(A111,Climatologia_TMAX!A:U,9+$E$2,FALSE),"")</f>
        <v>35.400483796811272</v>
      </c>
      <c r="AS111" s="68">
        <f t="shared" si="8"/>
        <v>3.7595162031887313</v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>
        <v>37.4</v>
      </c>
      <c r="V112" s="66">
        <v>38.4</v>
      </c>
      <c r="W112" s="66">
        <v>38.200000000000003</v>
      </c>
      <c r="X112" s="66">
        <v>35.799999999999997</v>
      </c>
      <c r="Y112" s="66">
        <v>36.6</v>
      </c>
      <c r="Z112" s="66">
        <v>37.799999999999997</v>
      </c>
      <c r="AA112" s="66"/>
      <c r="AB112" s="66">
        <v>36.799999999999997</v>
      </c>
      <c r="AC112" s="66">
        <v>38.6</v>
      </c>
      <c r="AD112" s="66">
        <v>38.200000000000003</v>
      </c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19</v>
      </c>
      <c r="AQ112" s="68">
        <f t="shared" si="7"/>
        <v>36.9578947368421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38.6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-2.1999999999999957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>
        <v>40</v>
      </c>
      <c r="V114" s="66">
        <v>39</v>
      </c>
      <c r="W114" s="66">
        <v>38.799999999999997</v>
      </c>
      <c r="X114" s="66">
        <v>37.200000000000003</v>
      </c>
      <c r="Y114" s="66">
        <v>39.4</v>
      </c>
      <c r="Z114" s="66">
        <v>36.4</v>
      </c>
      <c r="AA114" s="66"/>
      <c r="AB114" s="66"/>
      <c r="AC114" s="66">
        <v>35.4</v>
      </c>
      <c r="AD114" s="66">
        <v>36.6</v>
      </c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18</v>
      </c>
      <c r="AQ114" s="68">
        <f t="shared" si="7"/>
        <v>37.722222222222221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>
        <v>38.799999999999997</v>
      </c>
      <c r="V115" s="66">
        <v>39.200000000000003</v>
      </c>
      <c r="W115" s="66">
        <v>39.200000000000003</v>
      </c>
      <c r="X115" s="66">
        <v>38.799999999999997</v>
      </c>
      <c r="Y115" s="66">
        <v>37.200000000000003</v>
      </c>
      <c r="Z115" s="66">
        <v>38</v>
      </c>
      <c r="AA115" s="66">
        <v>36.799999999999997</v>
      </c>
      <c r="AB115" s="66">
        <v>33.6</v>
      </c>
      <c r="AC115" s="66">
        <v>38.799999999999997</v>
      </c>
      <c r="AD115" s="66">
        <v>39.799999999999997</v>
      </c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20</v>
      </c>
      <c r="AQ115" s="68">
        <f t="shared" si="7"/>
        <v>37.974999999999994</v>
      </c>
      <c r="AR115" s="68">
        <f>IFERROR(VLOOKUP(A115,Climatologia_TMAX!A:U,9+$E$2,FALSE),"")</f>
        <v>35.599806409679189</v>
      </c>
      <c r="AS115" s="68">
        <f t="shared" si="8"/>
        <v>2.375193590320805</v>
      </c>
      <c r="AT115" s="74">
        <f t="shared" si="9"/>
        <v>39.799999999999997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-1.6000000000000014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>
        <v>40.4</v>
      </c>
      <c r="V118" s="66">
        <v>40</v>
      </c>
      <c r="W118" s="66">
        <v>37.6</v>
      </c>
      <c r="X118" s="66">
        <v>38.6</v>
      </c>
      <c r="Y118" s="66">
        <v>37.4</v>
      </c>
      <c r="Z118" s="66">
        <v>37.4</v>
      </c>
      <c r="AA118" s="66">
        <v>37.4</v>
      </c>
      <c r="AB118" s="66">
        <v>39</v>
      </c>
      <c r="AC118" s="66">
        <v>39.4</v>
      </c>
      <c r="AD118" s="66">
        <v>39.200000000000003</v>
      </c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20</v>
      </c>
      <c r="AQ118" s="68">
        <f t="shared" si="7"/>
        <v>38.28</v>
      </c>
      <c r="AR118" s="68">
        <f>IFERROR(VLOOKUP(A118,Climatologia_TMAX!A:U,9+$E$2,FALSE),"")</f>
        <v>34.447006277967013</v>
      </c>
      <c r="AS118" s="68">
        <f t="shared" si="8"/>
        <v>3.8329937220329882</v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>
        <v>42</v>
      </c>
      <c r="V119" s="66">
        <v>41</v>
      </c>
      <c r="W119" s="66">
        <v>39.799999999999997</v>
      </c>
      <c r="X119" s="66">
        <v>39.6</v>
      </c>
      <c r="Y119" s="66">
        <v>39.6</v>
      </c>
      <c r="Z119" s="66">
        <v>38.799999999999997</v>
      </c>
      <c r="AA119" s="66">
        <v>34</v>
      </c>
      <c r="AB119" s="66">
        <v>33.6</v>
      </c>
      <c r="AC119" s="66">
        <v>37.799999999999997</v>
      </c>
      <c r="AD119" s="66">
        <v>39</v>
      </c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20</v>
      </c>
      <c r="AQ119" s="68">
        <f t="shared" si="7"/>
        <v>38.909999999999997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>
        <v>42.4</v>
      </c>
      <c r="V120" s="66">
        <v>41</v>
      </c>
      <c r="W120" s="66">
        <v>40</v>
      </c>
      <c r="X120" s="66">
        <v>40.200000000000003</v>
      </c>
      <c r="Y120" s="66">
        <v>40</v>
      </c>
      <c r="Z120" s="66">
        <v>39</v>
      </c>
      <c r="AA120" s="66">
        <v>36.6</v>
      </c>
      <c r="AB120" s="66">
        <v>33.4</v>
      </c>
      <c r="AC120" s="66">
        <v>35</v>
      </c>
      <c r="AD120" s="66">
        <v>37</v>
      </c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19</v>
      </c>
      <c r="AQ120" s="68">
        <f t="shared" si="7"/>
        <v>38.663157894736841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2.3999999999999986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>
        <v>33</v>
      </c>
      <c r="V122" s="66">
        <v>33.4</v>
      </c>
      <c r="W122" s="66">
        <v>32.200000000000003</v>
      </c>
      <c r="X122" s="66">
        <v>32.4</v>
      </c>
      <c r="Y122" s="66">
        <v>29.8</v>
      </c>
      <c r="Z122" s="66">
        <v>29.2</v>
      </c>
      <c r="AA122" s="66">
        <v>27.4</v>
      </c>
      <c r="AB122" s="66">
        <v>29.4</v>
      </c>
      <c r="AC122" s="66">
        <v>33.4</v>
      </c>
      <c r="AD122" s="66">
        <v>33.200000000000003</v>
      </c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20</v>
      </c>
      <c r="AQ122" s="68">
        <f t="shared" si="7"/>
        <v>30.78</v>
      </c>
      <c r="AR122" s="68">
        <f>IFERROR(VLOOKUP(A122,Climatologia_TMAX!A:U,9+$E$2,FALSE),"")</f>
        <v>28.13354838709677</v>
      </c>
      <c r="AS122" s="68">
        <f t="shared" si="8"/>
        <v>2.6464516129032312</v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>
        <v>32</v>
      </c>
      <c r="V123" s="66">
        <v>33.6</v>
      </c>
      <c r="W123" s="66">
        <v>32.6</v>
      </c>
      <c r="X123" s="66">
        <v>29.8</v>
      </c>
      <c r="Y123" s="66">
        <v>30.8</v>
      </c>
      <c r="Z123" s="66">
        <v>31.4</v>
      </c>
      <c r="AA123" s="66">
        <v>31.2</v>
      </c>
      <c r="AB123" s="66">
        <v>32.6</v>
      </c>
      <c r="AC123" s="66">
        <v>33.200000000000003</v>
      </c>
      <c r="AD123" s="66">
        <v>32.799999999999997</v>
      </c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20</v>
      </c>
      <c r="AQ123" s="68">
        <f t="shared" si="7"/>
        <v>32.13000000000001</v>
      </c>
      <c r="AR123" s="68">
        <f>IFERROR(VLOOKUP(A123,Climatologia_TMAX!A:U,9+$E$2,FALSE),"")</f>
        <v>29.851373954599769</v>
      </c>
      <c r="AS123" s="68">
        <f t="shared" si="8"/>
        <v>2.2786260454002409</v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>
        <v>32</v>
      </c>
      <c r="V124" s="66">
        <v>34.4</v>
      </c>
      <c r="W124" s="66">
        <v>33.4</v>
      </c>
      <c r="X124" s="66">
        <v>28.4</v>
      </c>
      <c r="Y124" s="66">
        <v>32.4</v>
      </c>
      <c r="Z124" s="66">
        <v>32.200000000000003</v>
      </c>
      <c r="AA124" s="66">
        <v>31.8</v>
      </c>
      <c r="AB124" s="66">
        <v>33.4</v>
      </c>
      <c r="AC124" s="66">
        <v>34.200000000000003</v>
      </c>
      <c r="AD124" s="66">
        <v>32.799999999999997</v>
      </c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20</v>
      </c>
      <c r="AQ124" s="68">
        <f t="shared" si="7"/>
        <v>32.47999999999999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>
        <v>26</v>
      </c>
      <c r="V127" s="66"/>
      <c r="W127" s="66"/>
      <c r="X127" s="66"/>
      <c r="Y127" s="66">
        <v>27.2</v>
      </c>
      <c r="Z127" s="66">
        <v>24</v>
      </c>
      <c r="AA127" s="66">
        <v>26.4</v>
      </c>
      <c r="AB127" s="66">
        <v>25</v>
      </c>
      <c r="AC127" s="66">
        <v>28.8</v>
      </c>
      <c r="AD127" s="66">
        <v>27</v>
      </c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17</v>
      </c>
      <c r="AQ127" s="68">
        <f t="shared" si="7"/>
        <v>26.494117647058822</v>
      </c>
      <c r="AR127" s="68">
        <f>IFERROR(VLOOKUP(A127,Climatologia_TMAX!A:U,9+$E$2,FALSE),"")</f>
        <v>23.873193546154688</v>
      </c>
      <c r="AS127" s="68">
        <f t="shared" si="8"/>
        <v>2.6209241009041335</v>
      </c>
      <c r="AT127" s="74">
        <f t="shared" si="9"/>
        <v>28.8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-0.80000000000000071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>
        <v>24.8</v>
      </c>
      <c r="V128" s="66">
        <v>24</v>
      </c>
      <c r="W128" s="115">
        <v>25.4</v>
      </c>
      <c r="X128" s="66">
        <v>23.2</v>
      </c>
      <c r="Y128" s="66">
        <v>22.6</v>
      </c>
      <c r="Z128" s="66">
        <v>21.8</v>
      </c>
      <c r="AA128" s="66">
        <v>19.8</v>
      </c>
      <c r="AB128" s="66">
        <v>20.399999999999999</v>
      </c>
      <c r="AC128" s="66">
        <v>25</v>
      </c>
      <c r="AD128" s="66">
        <v>24.6</v>
      </c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20</v>
      </c>
      <c r="AQ128" s="68">
        <f t="shared" si="7"/>
        <v>23.18</v>
      </c>
      <c r="AR128" s="68">
        <f>IFERROR(VLOOKUP(A128,Climatologia_TMAX!A:U,9+$E$2,FALSE),"")</f>
        <v>19.945241107257019</v>
      </c>
      <c r="AS128" s="68">
        <f t="shared" si="8"/>
        <v>3.2347588927429811</v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0.39999999999999858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>
        <v>26.2</v>
      </c>
      <c r="V129" s="66">
        <v>29</v>
      </c>
      <c r="W129" s="66">
        <v>27.4</v>
      </c>
      <c r="X129" s="66">
        <v>24.6</v>
      </c>
      <c r="Y129" s="66">
        <v>26</v>
      </c>
      <c r="Z129" s="66">
        <v>27.6</v>
      </c>
      <c r="AA129" s="66">
        <v>23.4</v>
      </c>
      <c r="AB129" s="66">
        <v>26.4</v>
      </c>
      <c r="AC129" s="66">
        <v>26.6</v>
      </c>
      <c r="AD129" s="66">
        <v>26.4</v>
      </c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20</v>
      </c>
      <c r="AQ129" s="68">
        <f t="shared" si="7"/>
        <v>26.630000000000003</v>
      </c>
      <c r="AR129" s="68">
        <f>IFERROR(VLOOKUP(A129,Climatologia_TMAX!A:U,9+$E$2,FALSE),"")</f>
        <v>24.697992831541221</v>
      </c>
      <c r="AS129" s="68">
        <f t="shared" si="8"/>
        <v>1.9320071684587816</v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>
        <v>19.2</v>
      </c>
      <c r="V131" s="66">
        <v>20.399999999999999</v>
      </c>
      <c r="W131" s="66">
        <v>22.4</v>
      </c>
      <c r="X131" s="66">
        <v>22</v>
      </c>
      <c r="Y131" s="66"/>
      <c r="Z131" s="66"/>
      <c r="AA131" s="66">
        <v>22</v>
      </c>
      <c r="AB131" s="66">
        <v>20.2</v>
      </c>
      <c r="AC131" s="66">
        <v>21.4</v>
      </c>
      <c r="AD131" s="66">
        <v>19.8</v>
      </c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16</v>
      </c>
      <c r="AQ131" s="68">
        <f t="shared" si="7"/>
        <v>20.774999999999999</v>
      </c>
      <c r="AR131" s="68">
        <f>IFERROR(VLOOKUP(A131,Climatologia_TMAX!A:U,9+$E$2,FALSE),"")</f>
        <v>20.475268817204299</v>
      </c>
      <c r="AS131" s="68">
        <f t="shared" si="8"/>
        <v>0.29973118279569988</v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>
        <v>17.600000000000001</v>
      </c>
      <c r="V133" s="66"/>
      <c r="W133" s="66">
        <v>17.399999999999999</v>
      </c>
      <c r="X133" s="66">
        <v>19.600000000000001</v>
      </c>
      <c r="Y133" s="66">
        <v>17.399999999999999</v>
      </c>
      <c r="Z133" s="66">
        <v>18</v>
      </c>
      <c r="AA133" s="66">
        <v>19</v>
      </c>
      <c r="AB133" s="66">
        <v>19</v>
      </c>
      <c r="AC133" s="66">
        <v>17.600000000000001</v>
      </c>
      <c r="AD133" s="66">
        <v>18.2</v>
      </c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18</v>
      </c>
      <c r="AQ133" s="68">
        <f t="shared" ref="AQ133:AQ196" si="12">IF(AP133&gt;14,AVERAGE(K133:AO133),"")</f>
        <v>17.677777777777777</v>
      </c>
      <c r="AR133" s="68">
        <f>IFERROR(VLOOKUP(A133,Climatologia_TMAX!A:U,9+$E$2,FALSE),"")</f>
        <v>16.170153546617101</v>
      </c>
      <c r="AS133" s="68">
        <f t="shared" ref="AS133:AS196" si="13">IF(OR(AQ133="",AR133=""),"",IFERROR(AQ133-AR133,""))</f>
        <v>1.5076242311606762</v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>
        <v>22.4</v>
      </c>
      <c r="V135" s="66">
        <v>24</v>
      </c>
      <c r="W135" s="66">
        <v>23.6</v>
      </c>
      <c r="X135" s="66">
        <v>22.8</v>
      </c>
      <c r="Y135" s="66">
        <v>23.4</v>
      </c>
      <c r="Z135" s="66">
        <v>22.8</v>
      </c>
      <c r="AA135" s="66">
        <v>23.6</v>
      </c>
      <c r="AB135" s="66">
        <v>23.8</v>
      </c>
      <c r="AC135" s="66">
        <v>23.4</v>
      </c>
      <c r="AD135" s="66">
        <v>24</v>
      </c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20</v>
      </c>
      <c r="AQ135" s="68">
        <f t="shared" si="12"/>
        <v>23.64</v>
      </c>
      <c r="AR135" s="68">
        <f>IFERROR(VLOOKUP(A135,Climatologia_TMAX!A:U,9+$E$2,FALSE),"")</f>
        <v>23.503001430160491</v>
      </c>
      <c r="AS135" s="68">
        <f t="shared" si="13"/>
        <v>0.13699856983950909</v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>
        <v>23.1</v>
      </c>
      <c r="U138" s="66">
        <v>22</v>
      </c>
      <c r="V138" s="66">
        <v>21.9</v>
      </c>
      <c r="W138" s="66">
        <v>22.6</v>
      </c>
      <c r="X138" s="66">
        <v>22.4</v>
      </c>
      <c r="Y138" s="66">
        <v>23.7</v>
      </c>
      <c r="Z138" s="66">
        <v>20</v>
      </c>
      <c r="AA138" s="66">
        <v>22</v>
      </c>
      <c r="AB138" s="66">
        <v>19.8</v>
      </c>
      <c r="AC138" s="66">
        <v>23</v>
      </c>
      <c r="AD138" s="66">
        <v>22.9</v>
      </c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20</v>
      </c>
      <c r="AQ138" s="68">
        <f t="shared" si="12"/>
        <v>21.835000000000001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23.7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1.5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>
        <v>20.6</v>
      </c>
      <c r="V139" s="66">
        <v>23.4</v>
      </c>
      <c r="W139" s="66">
        <v>23.4</v>
      </c>
      <c r="X139" s="66">
        <v>20</v>
      </c>
      <c r="Y139" s="66">
        <v>20.6</v>
      </c>
      <c r="Z139" s="66">
        <v>22.4</v>
      </c>
      <c r="AA139" s="66">
        <v>19</v>
      </c>
      <c r="AB139" s="66">
        <v>22.6</v>
      </c>
      <c r="AC139" s="66">
        <v>22.4</v>
      </c>
      <c r="AD139" s="66">
        <v>22</v>
      </c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20</v>
      </c>
      <c r="AQ139" s="68">
        <f t="shared" si="12"/>
        <v>21.694999999999997</v>
      </c>
      <c r="AR139" s="68">
        <f>IFERROR(VLOOKUP(A139,Climatologia_TMAX!A:U,9+$E$2,FALSE),"")</f>
        <v>20.714326639736161</v>
      </c>
      <c r="AS139" s="68">
        <f t="shared" si="13"/>
        <v>0.980673360263836</v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>
        <v>23.8</v>
      </c>
      <c r="W140" s="66">
        <v>23.8</v>
      </c>
      <c r="X140" s="66">
        <v>24.8</v>
      </c>
      <c r="Y140" s="66">
        <v>24.8</v>
      </c>
      <c r="Z140" s="66">
        <v>25.6</v>
      </c>
      <c r="AA140" s="66">
        <v>24.2</v>
      </c>
      <c r="AB140" s="66"/>
      <c r="AC140" s="66">
        <v>23</v>
      </c>
      <c r="AD140" s="66">
        <v>22.2</v>
      </c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18</v>
      </c>
      <c r="AQ140" s="68">
        <f t="shared" si="12"/>
        <v>23.533333333333335</v>
      </c>
      <c r="AR140" s="68">
        <f>IFERROR(VLOOKUP(A140,Climatologia_TMAX!A:U,9+$E$2,FALSE),"")</f>
        <v>21.647136438274369</v>
      </c>
      <c r="AS140" s="68">
        <f t="shared" si="13"/>
        <v>1.8861968950589656</v>
      </c>
      <c r="AT140" s="74">
        <f t="shared" si="14"/>
        <v>25.6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>
        <v>18.2</v>
      </c>
      <c r="V141" s="66">
        <v>20</v>
      </c>
      <c r="W141" s="66">
        <v>20.399999999999999</v>
      </c>
      <c r="X141" s="66">
        <v>20.2</v>
      </c>
      <c r="Y141" s="66">
        <v>19.2</v>
      </c>
      <c r="Z141" s="66">
        <v>22</v>
      </c>
      <c r="AA141" s="66">
        <v>19.8</v>
      </c>
      <c r="AB141" s="66">
        <v>19.2</v>
      </c>
      <c r="AC141" s="66">
        <v>19.8</v>
      </c>
      <c r="AD141" s="66">
        <v>19</v>
      </c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20</v>
      </c>
      <c r="AQ141" s="68">
        <f t="shared" si="12"/>
        <v>19.59</v>
      </c>
      <c r="AR141" s="68">
        <f>IFERROR(VLOOKUP(A141,Climatologia_TMAX!A:U,9+$E$2,FALSE),"")</f>
        <v>18.072580645161288</v>
      </c>
      <c r="AS141" s="68">
        <f t="shared" si="13"/>
        <v>1.5174193548387116</v>
      </c>
      <c r="AT141" s="74">
        <f t="shared" si="14"/>
        <v>22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-2.3999999999999986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>
        <v>17.399999999999999</v>
      </c>
      <c r="V142" s="66">
        <v>19</v>
      </c>
      <c r="W142" s="66">
        <v>19.600000000000001</v>
      </c>
      <c r="X142" s="66">
        <v>19</v>
      </c>
      <c r="Y142" s="66">
        <v>18.8</v>
      </c>
      <c r="Z142" s="66">
        <v>19</v>
      </c>
      <c r="AA142" s="66">
        <v>17.600000000000001</v>
      </c>
      <c r="AB142" s="66">
        <v>18</v>
      </c>
      <c r="AC142" s="66">
        <v>19.600000000000001</v>
      </c>
      <c r="AD142" s="66">
        <v>17</v>
      </c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20</v>
      </c>
      <c r="AQ142" s="68">
        <f t="shared" si="12"/>
        <v>18.440000000000005</v>
      </c>
      <c r="AR142" s="68">
        <f>IFERROR(VLOOKUP(A142,Climatologia_TMAX!A:U,9+$E$2,FALSE),"")</f>
        <v>17.502950587315588</v>
      </c>
      <c r="AS142" s="68">
        <f t="shared" si="13"/>
        <v>0.93704941268441644</v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>
        <v>32.799999999999997</v>
      </c>
      <c r="T143" s="66">
        <v>33.799999999999997</v>
      </c>
      <c r="U143" s="66">
        <v>30.2</v>
      </c>
      <c r="V143" s="66">
        <v>33.4</v>
      </c>
      <c r="W143" s="66">
        <v>33.6</v>
      </c>
      <c r="X143" s="66"/>
      <c r="Y143" s="66"/>
      <c r="Z143" s="66"/>
      <c r="AA143" s="66"/>
      <c r="AB143" s="66">
        <v>31.2</v>
      </c>
      <c r="AC143" s="66"/>
      <c r="AD143" s="66">
        <v>31</v>
      </c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15</v>
      </c>
      <c r="AQ143" s="68">
        <f t="shared" si="12"/>
        <v>32.506666666666668</v>
      </c>
      <c r="AR143" s="68">
        <f>IFERROR(VLOOKUP(A143,Climatologia_TMAX!A:U,9+$E$2,FALSE),"")</f>
        <v>30.587147942157952</v>
      </c>
      <c r="AS143" s="68">
        <f t="shared" si="13"/>
        <v>1.9195187245087162</v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>
        <v>23</v>
      </c>
      <c r="AD145" s="66">
        <v>22</v>
      </c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2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>
        <f t="shared" si="14"/>
        <v>23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>
        <f t="shared" si="15"/>
        <v>-1.8000000000000007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>
        <v>19.600000000000001</v>
      </c>
      <c r="V146" s="66">
        <v>20.6</v>
      </c>
      <c r="W146" s="66">
        <v>20.2</v>
      </c>
      <c r="X146" s="66">
        <v>22.2</v>
      </c>
      <c r="Y146" s="66">
        <v>22.6</v>
      </c>
      <c r="Z146" s="66">
        <v>23.6</v>
      </c>
      <c r="AA146" s="66">
        <v>22.8</v>
      </c>
      <c r="AB146" s="66">
        <v>20.6</v>
      </c>
      <c r="AC146" s="66">
        <v>22.4</v>
      </c>
      <c r="AD146" s="66">
        <v>21.4</v>
      </c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20</v>
      </c>
      <c r="AQ146" s="68">
        <f t="shared" si="12"/>
        <v>21.62</v>
      </c>
      <c r="AR146" s="68">
        <f>IFERROR(VLOOKUP(A146,Climatologia_TMAX!A:U,9+$E$2,FALSE),"")</f>
        <v>21.065636230144019</v>
      </c>
      <c r="AS146" s="68">
        <f t="shared" si="13"/>
        <v>0.55436376985598201</v>
      </c>
      <c r="AT146" s="74">
        <f t="shared" si="14"/>
        <v>23.6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>
        <v>21.4</v>
      </c>
      <c r="V147" s="66">
        <v>23</v>
      </c>
      <c r="W147" s="66">
        <v>22</v>
      </c>
      <c r="X147" s="66">
        <v>21</v>
      </c>
      <c r="Y147" s="66">
        <v>22</v>
      </c>
      <c r="Z147" s="66">
        <v>23.4</v>
      </c>
      <c r="AA147" s="66">
        <v>19</v>
      </c>
      <c r="AB147" s="66">
        <v>21.6</v>
      </c>
      <c r="AC147" s="66">
        <v>22.6</v>
      </c>
      <c r="AD147" s="66">
        <v>23.2</v>
      </c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18</v>
      </c>
      <c r="AQ147" s="68">
        <f t="shared" si="12"/>
        <v>21.822222222222223</v>
      </c>
      <c r="AR147" s="68">
        <f>IFERROR(VLOOKUP(A147,Climatologia_TMAX!A:U,9+$E$2,FALSE),"")</f>
        <v>21.75379211469534</v>
      </c>
      <c r="AS147" s="68">
        <f t="shared" si="13"/>
        <v>6.8430107526882722E-2</v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>
        <v>25.6</v>
      </c>
      <c r="T148" s="66">
        <v>26.2</v>
      </c>
      <c r="U148" s="66">
        <v>27.6</v>
      </c>
      <c r="V148" s="66">
        <v>26.4</v>
      </c>
      <c r="W148" s="66">
        <v>27.2</v>
      </c>
      <c r="X148" s="66">
        <v>26.2</v>
      </c>
      <c r="Y148" s="66">
        <v>27.2</v>
      </c>
      <c r="Z148" s="66">
        <v>25.6</v>
      </c>
      <c r="AA148" s="66">
        <v>26.4</v>
      </c>
      <c r="AB148" s="66">
        <v>27.4</v>
      </c>
      <c r="AC148" s="66">
        <v>28.4</v>
      </c>
      <c r="AD148" s="66">
        <v>26.4</v>
      </c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19</v>
      </c>
      <c r="AQ148" s="68">
        <f t="shared" si="12"/>
        <v>26.515789473684201</v>
      </c>
      <c r="AR148" s="68">
        <f>IFERROR(VLOOKUP(A148,Climatologia_TMAX!A:U,9+$E$2,FALSE),"")</f>
        <v>25.418951612903221</v>
      </c>
      <c r="AS148" s="68">
        <f t="shared" si="13"/>
        <v>1.0968378607809797</v>
      </c>
      <c r="AT148" s="74">
        <f t="shared" si="14"/>
        <v>28.4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-2.4000000000000021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>
        <v>34.799999999999997</v>
      </c>
      <c r="V151" s="66">
        <v>35.4</v>
      </c>
      <c r="W151" s="66">
        <v>34.6</v>
      </c>
      <c r="X151" s="66">
        <v>35</v>
      </c>
      <c r="Y151" s="66"/>
      <c r="Z151" s="107">
        <v>32.799999999999997</v>
      </c>
      <c r="AA151" s="66">
        <v>33</v>
      </c>
      <c r="AB151" s="66">
        <v>34.4</v>
      </c>
      <c r="AC151" s="66">
        <v>35.200000000000003</v>
      </c>
      <c r="AD151" s="66">
        <v>35.4</v>
      </c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19</v>
      </c>
      <c r="AQ151" s="68">
        <f t="shared" si="12"/>
        <v>34.347368421052636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>
        <v>19.399999999999999</v>
      </c>
      <c r="V153" s="66">
        <v>21</v>
      </c>
      <c r="W153" s="66">
        <v>21.6</v>
      </c>
      <c r="X153" s="110">
        <v>21.8</v>
      </c>
      <c r="Y153" s="114">
        <v>21.4</v>
      </c>
      <c r="Z153" s="66">
        <v>22.6</v>
      </c>
      <c r="AA153" s="66">
        <v>20</v>
      </c>
      <c r="AB153" s="66">
        <v>22</v>
      </c>
      <c r="AC153" s="66">
        <v>21.6</v>
      </c>
      <c r="AD153" s="66">
        <v>21</v>
      </c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20</v>
      </c>
      <c r="AQ153" s="68">
        <f t="shared" si="12"/>
        <v>20.740000000000002</v>
      </c>
      <c r="AR153" s="68">
        <f>IFERROR(VLOOKUP(A153,Climatologia_TMAX!A:U,9+$E$2,FALSE),"")</f>
        <v>17.087318670151451</v>
      </c>
      <c r="AS153" s="68">
        <f t="shared" si="13"/>
        <v>3.6526813298485514</v>
      </c>
      <c r="AT153" s="74">
        <f t="shared" si="14"/>
        <v>22.6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0.20000000000000284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>
        <v>16.600000000000001</v>
      </c>
      <c r="V154" s="66">
        <v>19</v>
      </c>
      <c r="W154" s="66">
        <v>19.600000000000001</v>
      </c>
      <c r="X154" s="66">
        <v>19.600000000000001</v>
      </c>
      <c r="Y154" s="66">
        <v>20.399999999999999</v>
      </c>
      <c r="Z154" s="66">
        <v>21</v>
      </c>
      <c r="AA154" s="66">
        <v>18.2</v>
      </c>
      <c r="AB154" s="66">
        <v>18</v>
      </c>
      <c r="AC154" s="66">
        <v>18.8</v>
      </c>
      <c r="AD154" s="66">
        <v>18.600000000000001</v>
      </c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20</v>
      </c>
      <c r="AQ154" s="68">
        <f t="shared" si="12"/>
        <v>19</v>
      </c>
      <c r="AR154" s="68">
        <f>IFERROR(VLOOKUP(A154,Climatologia_TMAX!A:U,9+$E$2,FALSE),"")</f>
        <v>17.894822708653351</v>
      </c>
      <c r="AS154" s="68">
        <f t="shared" si="13"/>
        <v>1.1051772913466493</v>
      </c>
      <c r="AT154" s="74">
        <f t="shared" si="14"/>
        <v>21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-2.3999999999999986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>
        <v>19.600000000000001</v>
      </c>
      <c r="V156" s="66">
        <v>21.8</v>
      </c>
      <c r="W156" s="66">
        <v>22</v>
      </c>
      <c r="X156" s="110">
        <v>21.8</v>
      </c>
      <c r="Y156" s="66">
        <v>22.6</v>
      </c>
      <c r="Z156" s="66">
        <v>23</v>
      </c>
      <c r="AA156" s="66">
        <v>19.8</v>
      </c>
      <c r="AB156" s="66">
        <v>21.2</v>
      </c>
      <c r="AC156" s="66">
        <v>21.4</v>
      </c>
      <c r="AD156" s="66">
        <v>22.2</v>
      </c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20</v>
      </c>
      <c r="AQ156" s="68">
        <f t="shared" si="12"/>
        <v>21.42</v>
      </c>
      <c r="AR156" s="68">
        <f>IFERROR(VLOOKUP(A156,Climatologia_TMAX!A:U,9+$E$2,FALSE),"")</f>
        <v>19.9787274899533</v>
      </c>
      <c r="AS156" s="68">
        <f t="shared" si="13"/>
        <v>1.4412725100467014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>
        <v>22.8</v>
      </c>
      <c r="V158" s="66">
        <v>24.4</v>
      </c>
      <c r="W158" s="66">
        <v>24.8</v>
      </c>
      <c r="X158" s="66">
        <v>23.6</v>
      </c>
      <c r="Y158" s="66">
        <v>23.2</v>
      </c>
      <c r="Z158" s="66">
        <v>25.4</v>
      </c>
      <c r="AA158" s="66">
        <v>21</v>
      </c>
      <c r="AB158" s="66">
        <v>23.6</v>
      </c>
      <c r="AC158" s="66">
        <v>25</v>
      </c>
      <c r="AD158" s="66">
        <v>24.2</v>
      </c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20</v>
      </c>
      <c r="AQ158" s="68">
        <f t="shared" si="12"/>
        <v>23.82</v>
      </c>
      <c r="AR158" s="68">
        <f>IFERROR(VLOOKUP(A158,Climatologia_TMAX!A:U,9+$E$2,FALSE),"")</f>
        <v>22.279202508960569</v>
      </c>
      <c r="AS158" s="68">
        <f t="shared" si="13"/>
        <v>1.5407974910394309</v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>
        <v>32.6</v>
      </c>
      <c r="V160" s="66">
        <v>31.6</v>
      </c>
      <c r="W160" s="66">
        <v>32.4</v>
      </c>
      <c r="X160" s="66">
        <v>32</v>
      </c>
      <c r="Y160" s="66">
        <v>31.8</v>
      </c>
      <c r="Z160" s="66">
        <v>29.8</v>
      </c>
      <c r="AA160" s="66">
        <v>31.6</v>
      </c>
      <c r="AB160" s="66">
        <v>33.200000000000003</v>
      </c>
      <c r="AC160" s="66">
        <v>32</v>
      </c>
      <c r="AD160" s="66">
        <v>32</v>
      </c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20</v>
      </c>
      <c r="AQ160" s="68">
        <f t="shared" si="12"/>
        <v>31.380000000000006</v>
      </c>
      <c r="AR160" s="68">
        <f>IFERROR(VLOOKUP(A160,Climatologia_TMAX!A:U,9+$E$2,FALSE),"")</f>
        <v>29.899582174638489</v>
      </c>
      <c r="AS160" s="68">
        <f t="shared" si="13"/>
        <v>1.480417825361517</v>
      </c>
      <c r="AT160" s="74">
        <f t="shared" si="14"/>
        <v>33.200000000000003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>
        <v>16.8</v>
      </c>
      <c r="V164" s="66">
        <v>15.6</v>
      </c>
      <c r="W164" s="66">
        <v>16.600000000000001</v>
      </c>
      <c r="X164" s="66">
        <v>16.2</v>
      </c>
      <c r="Y164" s="66">
        <v>16.600000000000001</v>
      </c>
      <c r="Z164" s="66">
        <v>17.600000000000001</v>
      </c>
      <c r="AA164" s="66">
        <v>16.399999999999999</v>
      </c>
      <c r="AB164" s="66">
        <v>17</v>
      </c>
      <c r="AC164" s="66">
        <v>17.2</v>
      </c>
      <c r="AD164" s="66">
        <v>15</v>
      </c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20</v>
      </c>
      <c r="AQ164" s="68">
        <f t="shared" si="12"/>
        <v>16.899999999999999</v>
      </c>
      <c r="AR164" s="68">
        <f>IFERROR(VLOOKUP(A164,Climatologia_TMAX!A:U,9+$E$2,FALSE),"")</f>
        <v>16.438135408145051</v>
      </c>
      <c r="AS164" s="68">
        <f t="shared" si="13"/>
        <v>0.46186459185494755</v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>
        <v>11.4</v>
      </c>
      <c r="V165" s="66">
        <v>12.4</v>
      </c>
      <c r="W165" s="66">
        <v>12.6</v>
      </c>
      <c r="X165" s="66">
        <v>11.2</v>
      </c>
      <c r="Y165" s="66">
        <v>14.2</v>
      </c>
      <c r="Z165" s="66">
        <v>15.4</v>
      </c>
      <c r="AA165" s="66">
        <v>15</v>
      </c>
      <c r="AB165" s="66">
        <v>13.6</v>
      </c>
      <c r="AC165" s="66"/>
      <c r="AD165" s="66">
        <v>10.4</v>
      </c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19</v>
      </c>
      <c r="AQ165" s="68">
        <f t="shared" si="12"/>
        <v>13.399999999999999</v>
      </c>
      <c r="AR165" s="68">
        <f>IFERROR(VLOOKUP(A165,Climatologia_TMAX!A:U,9+$E$2,FALSE),"")</f>
        <v>13.11626251390434</v>
      </c>
      <c r="AS165" s="68">
        <f t="shared" si="13"/>
        <v>0.2837374860956583</v>
      </c>
      <c r="AT165" s="74">
        <f t="shared" si="14"/>
        <v>15.4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-3.2000000000000011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>
        <v>13.8</v>
      </c>
      <c r="V166" s="66">
        <v>14.4</v>
      </c>
      <c r="W166" s="66">
        <v>15.6</v>
      </c>
      <c r="X166" s="66">
        <v>12.2</v>
      </c>
      <c r="Y166" s="66">
        <v>15.4</v>
      </c>
      <c r="Z166" s="66">
        <v>16.8</v>
      </c>
      <c r="AA166" s="66">
        <v>13.8</v>
      </c>
      <c r="AB166" s="66">
        <v>12.8</v>
      </c>
      <c r="AC166" s="66">
        <v>14.4</v>
      </c>
      <c r="AD166" s="66">
        <v>14</v>
      </c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20</v>
      </c>
      <c r="AQ166" s="68">
        <f t="shared" si="12"/>
        <v>14.4</v>
      </c>
      <c r="AR166" s="68">
        <f>IFERROR(VLOOKUP(A166,Climatologia_TMAX!A:U,9+$E$2,FALSE),"")</f>
        <v>14.28566120241295</v>
      </c>
      <c r="AS166" s="68">
        <f t="shared" si="13"/>
        <v>0.11433879758705068</v>
      </c>
      <c r="AT166" s="74">
        <f t="shared" si="14"/>
        <v>16.8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-3.1999999999999993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>
        <v>15.6</v>
      </c>
      <c r="V167" s="66">
        <v>15.2</v>
      </c>
      <c r="W167" s="66">
        <v>15.4</v>
      </c>
      <c r="X167" s="66">
        <v>14.6</v>
      </c>
      <c r="Y167" s="66">
        <v>19.2</v>
      </c>
      <c r="Z167" s="66">
        <v>15.8</v>
      </c>
      <c r="AA167" s="66">
        <v>14.6</v>
      </c>
      <c r="AB167" s="66">
        <v>16.600000000000001</v>
      </c>
      <c r="AC167" s="66">
        <v>18.399999999999999</v>
      </c>
      <c r="AD167" s="66">
        <v>14.2</v>
      </c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20</v>
      </c>
      <c r="AQ167" s="68">
        <f t="shared" si="12"/>
        <v>16.594999999999995</v>
      </c>
      <c r="AR167" s="68">
        <f>IFERROR(VLOOKUP(A167,Climatologia_TMAX!A:U,9+$E$2,FALSE),"")</f>
        <v>15.33697398819201</v>
      </c>
      <c r="AS167" s="68">
        <f t="shared" si="13"/>
        <v>1.2580260118079849</v>
      </c>
      <c r="AT167" s="74">
        <f t="shared" si="14"/>
        <v>19.2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>
        <v>20.8</v>
      </c>
      <c r="V168" s="66">
        <v>21</v>
      </c>
      <c r="W168" s="66">
        <v>21.6</v>
      </c>
      <c r="X168" s="66">
        <v>21.4</v>
      </c>
      <c r="Y168" s="66">
        <v>23.6</v>
      </c>
      <c r="Z168" s="66">
        <v>22.4</v>
      </c>
      <c r="AA168" s="66">
        <v>22</v>
      </c>
      <c r="AB168" s="66">
        <v>21.4</v>
      </c>
      <c r="AC168" s="66">
        <v>23.6</v>
      </c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19</v>
      </c>
      <c r="AQ168" s="68">
        <f t="shared" si="12"/>
        <v>22.263157894736842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>
        <v>26.4</v>
      </c>
      <c r="T172" s="66">
        <v>23.8</v>
      </c>
      <c r="U172" s="66">
        <v>23.4</v>
      </c>
      <c r="V172" s="66">
        <v>23.6</v>
      </c>
      <c r="W172" s="66">
        <v>21.6</v>
      </c>
      <c r="X172" s="66">
        <v>25.6</v>
      </c>
      <c r="Y172" s="66">
        <v>26.6</v>
      </c>
      <c r="Z172" s="66">
        <v>21.8</v>
      </c>
      <c r="AA172" s="66">
        <v>23.4</v>
      </c>
      <c r="AB172" s="66">
        <v>24.4</v>
      </c>
      <c r="AC172" s="66">
        <v>25.6</v>
      </c>
      <c r="AD172" s="66">
        <v>23</v>
      </c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20</v>
      </c>
      <c r="AQ172" s="68">
        <f t="shared" si="12"/>
        <v>24.040000000000003</v>
      </c>
      <c r="AR172" s="68">
        <f>IFERROR(VLOOKUP(A172,Climatologia_TMAX!A:U,9+$E$2,FALSE),"")</f>
        <v>21.606312954104371</v>
      </c>
      <c r="AS172" s="68">
        <f t="shared" si="13"/>
        <v>2.4336870458956312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0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>
        <v>19.600000000000001</v>
      </c>
      <c r="V173" s="66">
        <v>18.2</v>
      </c>
      <c r="W173" s="66">
        <v>19.2</v>
      </c>
      <c r="X173" s="66">
        <v>16</v>
      </c>
      <c r="Y173" s="66">
        <v>17.600000000000001</v>
      </c>
      <c r="Z173" s="66">
        <v>19.399999999999999</v>
      </c>
      <c r="AA173" s="66">
        <v>16.8</v>
      </c>
      <c r="AB173" s="66">
        <v>18.2</v>
      </c>
      <c r="AC173" s="66">
        <v>17.2</v>
      </c>
      <c r="AD173" s="66">
        <v>18.399999999999999</v>
      </c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19</v>
      </c>
      <c r="AQ173" s="68">
        <f t="shared" si="12"/>
        <v>18.526315789473678</v>
      </c>
      <c r="AR173" s="68">
        <f>IFERROR(VLOOKUP(A173,Climatologia_TMAX!A:U,9+$E$2,FALSE),"")</f>
        <v>19.144848035988591</v>
      </c>
      <c r="AS173" s="68">
        <f t="shared" si="13"/>
        <v>-0.61853224651491345</v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>
        <v>15.6</v>
      </c>
      <c r="V175" s="66">
        <v>17</v>
      </c>
      <c r="W175" s="66">
        <v>17.2</v>
      </c>
      <c r="X175" s="66">
        <v>16.399999999999999</v>
      </c>
      <c r="Y175" s="66">
        <v>16.600000000000001</v>
      </c>
      <c r="Z175" s="66">
        <v>18.600000000000001</v>
      </c>
      <c r="AA175" s="66">
        <v>16.399999999999999</v>
      </c>
      <c r="AB175" s="66">
        <v>17.399999999999999</v>
      </c>
      <c r="AC175" s="66">
        <v>16.8</v>
      </c>
      <c r="AD175" s="66">
        <v>16.399999999999999</v>
      </c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20</v>
      </c>
      <c r="AQ175" s="68">
        <f t="shared" si="12"/>
        <v>17.18</v>
      </c>
      <c r="AR175" s="68">
        <f>IFERROR(VLOOKUP(A175,Climatologia_TMAX!A:U,9+$E$2,FALSE),"")</f>
        <v>16.77337009846331</v>
      </c>
      <c r="AS175" s="68">
        <f t="shared" si="13"/>
        <v>0.40662990153668943</v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>
        <v>20.9</v>
      </c>
      <c r="U176" s="109">
        <v>18.8</v>
      </c>
      <c r="V176" s="109">
        <v>19.899999999999999</v>
      </c>
      <c r="W176" s="66">
        <v>19.8</v>
      </c>
      <c r="X176" s="66">
        <v>20.2</v>
      </c>
      <c r="Y176" s="66">
        <v>20.9</v>
      </c>
      <c r="Z176" s="66">
        <v>18.399999999999999</v>
      </c>
      <c r="AA176" s="66">
        <v>18.3</v>
      </c>
      <c r="AB176" s="66">
        <v>20.7</v>
      </c>
      <c r="AC176" s="66">
        <v>20.6</v>
      </c>
      <c r="AD176" s="66">
        <v>20.3</v>
      </c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20</v>
      </c>
      <c r="AQ176" s="68">
        <f t="shared" si="12"/>
        <v>19.884999999999998</v>
      </c>
      <c r="AR176" s="68">
        <f>IFERROR(VLOOKUP(A176,Climatologia_TMAX!A:U,9+$E$2,FALSE),"")</f>
        <v>18.929410456062289</v>
      </c>
      <c r="AS176" s="68">
        <f t="shared" si="13"/>
        <v>0.9555895439377089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>
        <v>24.8</v>
      </c>
      <c r="V180" s="66">
        <v>22.4</v>
      </c>
      <c r="W180" s="66">
        <v>23.4</v>
      </c>
      <c r="X180" s="66">
        <v>22.2</v>
      </c>
      <c r="Y180" s="66">
        <v>25</v>
      </c>
      <c r="Z180" s="66">
        <v>23.2</v>
      </c>
      <c r="AA180" s="66">
        <v>24.4</v>
      </c>
      <c r="AB180" s="66">
        <v>28.2</v>
      </c>
      <c r="AC180" s="66">
        <v>26.4</v>
      </c>
      <c r="AD180" s="66">
        <v>25.2</v>
      </c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20</v>
      </c>
      <c r="AQ180" s="68">
        <f t="shared" si="12"/>
        <v>24.489999999999991</v>
      </c>
      <c r="AR180" s="68">
        <f>IFERROR(VLOOKUP(A180,Climatologia_TMAX!A:U,9+$E$2,FALSE),"")</f>
        <v>22.045425414753339</v>
      </c>
      <c r="AS180" s="68">
        <f t="shared" si="13"/>
        <v>2.4445745852466523</v>
      </c>
      <c r="AT180" s="74">
        <f t="shared" si="14"/>
        <v>28.2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0.80000000000000071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>
        <v>17.8</v>
      </c>
      <c r="V181" s="66">
        <v>19.100000000000001</v>
      </c>
      <c r="W181" s="66">
        <v>17.5</v>
      </c>
      <c r="X181" s="66">
        <v>20</v>
      </c>
      <c r="Y181" s="66">
        <v>16.8</v>
      </c>
      <c r="Z181" s="66">
        <v>18.8</v>
      </c>
      <c r="AA181" s="66">
        <v>18</v>
      </c>
      <c r="AB181" s="66">
        <v>17.100000000000001</v>
      </c>
      <c r="AC181" s="66">
        <v>19.100000000000001</v>
      </c>
      <c r="AD181" s="66">
        <v>17</v>
      </c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20</v>
      </c>
      <c r="AQ181" s="68">
        <f t="shared" si="12"/>
        <v>18.305000000000003</v>
      </c>
      <c r="AR181" s="68">
        <f>IFERROR(VLOOKUP(A181,Climatologia_TMAX!A:U,9+$E$2,FALSE),"")</f>
        <v>17.645817781073621</v>
      </c>
      <c r="AS181" s="68">
        <f t="shared" si="13"/>
        <v>0.65918221892638229</v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>
        <v>29</v>
      </c>
      <c r="V182" s="66">
        <v>27</v>
      </c>
      <c r="W182" s="66">
        <v>27.4</v>
      </c>
      <c r="X182" s="66">
        <v>24.8</v>
      </c>
      <c r="Y182" s="66"/>
      <c r="Z182" s="66">
        <v>25</v>
      </c>
      <c r="AA182" s="66">
        <v>21.8</v>
      </c>
      <c r="AB182" s="66">
        <v>27.2</v>
      </c>
      <c r="AC182" s="66">
        <v>28</v>
      </c>
      <c r="AD182" s="66">
        <v>28.8</v>
      </c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19</v>
      </c>
      <c r="AQ182" s="68">
        <f t="shared" si="12"/>
        <v>27</v>
      </c>
      <c r="AR182" s="68">
        <f>IFERROR(VLOOKUP(A182,Climatologia_TMAX!A:U,9+$E$2,FALSE),"")</f>
        <v>25.244773595756431</v>
      </c>
      <c r="AS182" s="68">
        <f t="shared" si="13"/>
        <v>1.7552264042435688</v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>
        <v>31.2</v>
      </c>
      <c r="V183" s="66">
        <v>31.8</v>
      </c>
      <c r="W183" s="66">
        <v>30.4</v>
      </c>
      <c r="X183" s="66">
        <v>28.8</v>
      </c>
      <c r="Y183" s="66">
        <v>30</v>
      </c>
      <c r="Z183" s="66">
        <v>25.8</v>
      </c>
      <c r="AA183" s="66">
        <v>24.8</v>
      </c>
      <c r="AB183" s="66">
        <v>28.4</v>
      </c>
      <c r="AC183" s="109">
        <v>31.4</v>
      </c>
      <c r="AD183" s="66">
        <v>30</v>
      </c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20</v>
      </c>
      <c r="AQ183" s="68">
        <f t="shared" si="12"/>
        <v>29.73</v>
      </c>
      <c r="AR183" s="68">
        <f>IFERROR(VLOOKUP(A183,Climatologia_TMAX!A:U,9+$E$2,FALSE),"")</f>
        <v>27.239077646938501</v>
      </c>
      <c r="AS183" s="68">
        <f t="shared" si="13"/>
        <v>2.4909223530614995</v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>
        <v>15.4</v>
      </c>
      <c r="V184" s="66">
        <v>14.2</v>
      </c>
      <c r="W184" s="66">
        <v>14.6</v>
      </c>
      <c r="X184" s="66">
        <v>13.4</v>
      </c>
      <c r="Y184" s="66">
        <v>15.8</v>
      </c>
      <c r="Z184" s="66">
        <v>17.8</v>
      </c>
      <c r="AA184" s="66">
        <v>18.600000000000001</v>
      </c>
      <c r="AB184" s="66">
        <v>17</v>
      </c>
      <c r="AC184" s="66">
        <v>17.2</v>
      </c>
      <c r="AD184" s="66">
        <v>15.2</v>
      </c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20</v>
      </c>
      <c r="AQ184" s="68">
        <f t="shared" si="12"/>
        <v>16.47</v>
      </c>
      <c r="AR184" s="68">
        <f>IFERROR(VLOOKUP(A184,Climatologia_TMAX!A:U,9+$E$2,FALSE),"")</f>
        <v>14.56273340748981</v>
      </c>
      <c r="AS184" s="68">
        <f t="shared" si="13"/>
        <v>1.9072665925101884</v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>
        <v>33.6</v>
      </c>
      <c r="U185" s="66">
        <v>34</v>
      </c>
      <c r="V185" s="66">
        <v>33.6</v>
      </c>
      <c r="W185" s="66">
        <v>32.6</v>
      </c>
      <c r="X185" s="66">
        <v>33.6</v>
      </c>
      <c r="Y185" s="66"/>
      <c r="Z185" s="66"/>
      <c r="AA185" s="66"/>
      <c r="AB185" s="66">
        <v>29.6</v>
      </c>
      <c r="AC185" s="66">
        <v>31.8</v>
      </c>
      <c r="AD185" s="66">
        <v>32</v>
      </c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17</v>
      </c>
      <c r="AQ185" s="68">
        <f t="shared" si="12"/>
        <v>32.117647058823536</v>
      </c>
      <c r="AR185" s="68">
        <f>IFERROR(VLOOKUP(A185,Climatologia_TMAX!A:U,9+$E$2,FALSE),"")</f>
        <v>28.271515834024871</v>
      </c>
      <c r="AS185" s="68">
        <f t="shared" si="13"/>
        <v>3.8461312247986648</v>
      </c>
      <c r="AT185" s="74">
        <f t="shared" si="14"/>
        <v>34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1.2000000000000028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>
        <v>32.799999999999997</v>
      </c>
      <c r="V186" s="66">
        <v>32</v>
      </c>
      <c r="W186" s="66">
        <v>30.6</v>
      </c>
      <c r="X186" s="66">
        <v>32.6</v>
      </c>
      <c r="Y186" s="66">
        <v>28.8</v>
      </c>
      <c r="Z186" s="66">
        <v>28.8</v>
      </c>
      <c r="AA186" s="66">
        <v>29</v>
      </c>
      <c r="AB186" s="66">
        <v>26.2</v>
      </c>
      <c r="AC186" s="66">
        <v>31.4</v>
      </c>
      <c r="AD186" s="66">
        <v>30.4</v>
      </c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20</v>
      </c>
      <c r="AQ186" s="68">
        <f t="shared" si="12"/>
        <v>30.290000000000003</v>
      </c>
      <c r="AR186" s="68">
        <f>IFERROR(VLOOKUP(A186,Climatologia_TMAX!A:U,9+$E$2,FALSE),"")</f>
        <v>28.080800691244239</v>
      </c>
      <c r="AS186" s="68">
        <f t="shared" si="13"/>
        <v>2.209199308755764</v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>
        <v>28.6</v>
      </c>
      <c r="V187" s="66"/>
      <c r="W187" s="66">
        <v>27</v>
      </c>
      <c r="X187" s="66">
        <v>27.2</v>
      </c>
      <c r="Y187" s="66">
        <v>26.8</v>
      </c>
      <c r="Z187" s="66">
        <v>25.2</v>
      </c>
      <c r="AA187" s="66">
        <v>23.6</v>
      </c>
      <c r="AB187" s="66">
        <v>26</v>
      </c>
      <c r="AC187" s="66">
        <v>29.8</v>
      </c>
      <c r="AD187" s="66">
        <v>29.4</v>
      </c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18</v>
      </c>
      <c r="AQ187" s="68">
        <f t="shared" si="12"/>
        <v>26.977777777777774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29.8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0.40000000000000213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>
        <v>14</v>
      </c>
      <c r="V188" s="66">
        <v>14.2</v>
      </c>
      <c r="W188" s="66">
        <v>13.8</v>
      </c>
      <c r="X188" s="66">
        <v>12.2</v>
      </c>
      <c r="Y188" s="66">
        <v>13.4</v>
      </c>
      <c r="Z188" s="66">
        <v>16.399999999999999</v>
      </c>
      <c r="AA188" s="66">
        <v>14.8</v>
      </c>
      <c r="AB188" s="66">
        <v>11.6</v>
      </c>
      <c r="AC188" s="109">
        <v>14.4</v>
      </c>
      <c r="AD188" s="66">
        <v>14</v>
      </c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20</v>
      </c>
      <c r="AQ188" s="68">
        <f t="shared" si="12"/>
        <v>13.529999999999998</v>
      </c>
      <c r="AR188" s="68">
        <f>IFERROR(VLOOKUP(A188,Climatologia_TMAX!A:U,9+$E$2,FALSE),"")</f>
        <v>13.20223385477499</v>
      </c>
      <c r="AS188" s="68">
        <f t="shared" si="13"/>
        <v>0.32776614522500758</v>
      </c>
      <c r="AT188" s="74">
        <f t="shared" si="14"/>
        <v>16.399999999999999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-0.40000000000000213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>
        <v>36.200000000000003</v>
      </c>
      <c r="V191" s="66">
        <v>38</v>
      </c>
      <c r="W191" s="66">
        <v>38.200000000000003</v>
      </c>
      <c r="X191" s="66">
        <v>36.4</v>
      </c>
      <c r="Y191" s="66">
        <v>37</v>
      </c>
      <c r="Z191" s="66">
        <v>35.799999999999997</v>
      </c>
      <c r="AA191" s="66">
        <v>35.200000000000003</v>
      </c>
      <c r="AB191" s="66">
        <v>35</v>
      </c>
      <c r="AC191" s="66">
        <v>38</v>
      </c>
      <c r="AD191" s="66">
        <v>36.200000000000003</v>
      </c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20</v>
      </c>
      <c r="AQ191" s="68">
        <f t="shared" si="12"/>
        <v>36.700000000000003</v>
      </c>
      <c r="AR191" s="68">
        <f>IFERROR(VLOOKUP(A191,Climatologia_TMAX!A:U,9+$E$2,FALSE),"")</f>
        <v>34.386602574288887</v>
      </c>
      <c r="AS191" s="68">
        <f t="shared" si="13"/>
        <v>2.3133974257111163</v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>
        <v>32.4</v>
      </c>
      <c r="V192" s="66">
        <v>32.6</v>
      </c>
      <c r="W192" s="66">
        <v>34</v>
      </c>
      <c r="X192" s="66">
        <v>32.200000000000003</v>
      </c>
      <c r="Y192" s="66">
        <v>31.8</v>
      </c>
      <c r="Z192" s="66">
        <v>32</v>
      </c>
      <c r="AA192" s="66">
        <v>30</v>
      </c>
      <c r="AB192" s="66">
        <v>29.8</v>
      </c>
      <c r="AC192" s="66">
        <v>30.6</v>
      </c>
      <c r="AD192" s="66">
        <v>32.799999999999997</v>
      </c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20</v>
      </c>
      <c r="AQ192" s="68">
        <f t="shared" si="12"/>
        <v>31.77</v>
      </c>
      <c r="AR192" s="68">
        <f>IFERROR(VLOOKUP(A192,Climatologia_TMAX!A:U,9+$E$2,FALSE),"")</f>
        <v>30.53754007980649</v>
      </c>
      <c r="AS192" s="68">
        <f t="shared" si="13"/>
        <v>1.2324599201935094</v>
      </c>
      <c r="AT192" s="74">
        <f t="shared" si="14"/>
        <v>34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-1.5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116">
        <v>37.6</v>
      </c>
      <c r="V193" s="66">
        <v>37.4</v>
      </c>
      <c r="W193" s="66">
        <v>36.200000000000003</v>
      </c>
      <c r="X193" s="66">
        <v>36.799999999999997</v>
      </c>
      <c r="Y193" s="66">
        <v>34.799999999999997</v>
      </c>
      <c r="Z193" s="66">
        <v>34.6</v>
      </c>
      <c r="AA193" s="66">
        <v>32</v>
      </c>
      <c r="AB193" s="66">
        <v>32.6</v>
      </c>
      <c r="AC193" s="66">
        <v>34.6</v>
      </c>
      <c r="AD193" s="66">
        <v>35.799999999999997</v>
      </c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20</v>
      </c>
      <c r="AQ193" s="68">
        <f t="shared" si="12"/>
        <v>35.130000000000003</v>
      </c>
      <c r="AR193" s="68">
        <f>IFERROR(VLOOKUP(A193,Climatologia_TMAX!A:U,9+$E$2,FALSE),"")</f>
        <v>32.604882188186302</v>
      </c>
      <c r="AS193" s="68">
        <f t="shared" si="13"/>
        <v>2.5251178118137005</v>
      </c>
      <c r="AT193" s="74">
        <f t="shared" si="14"/>
        <v>37.6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0.80000000000000426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>
        <v>38</v>
      </c>
      <c r="V194" s="66">
        <v>40.200000000000003</v>
      </c>
      <c r="W194" s="66">
        <v>38.200000000000003</v>
      </c>
      <c r="X194" s="66">
        <v>35.6</v>
      </c>
      <c r="Y194" s="66">
        <v>36</v>
      </c>
      <c r="Z194" s="66">
        <v>35.799999999999997</v>
      </c>
      <c r="AA194" s="66">
        <v>35</v>
      </c>
      <c r="AB194" s="66">
        <v>32.6</v>
      </c>
      <c r="AC194" s="66">
        <v>35.200000000000003</v>
      </c>
      <c r="AD194" s="66">
        <v>36.200000000000003</v>
      </c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20</v>
      </c>
      <c r="AQ194" s="68">
        <f t="shared" si="12"/>
        <v>36.39</v>
      </c>
      <c r="AR194" s="68">
        <f>IFERROR(VLOOKUP(A194,Climatologia_TMAX!A:U,9+$E$2,FALSE),"")</f>
        <v>33.982628113224877</v>
      </c>
      <c r="AS194" s="68">
        <f t="shared" si="13"/>
        <v>2.4073718867751239</v>
      </c>
      <c r="AT194" s="74">
        <f t="shared" si="14"/>
        <v>40.200000000000003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0.80000000000000426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>
        <v>38.6</v>
      </c>
      <c r="V197" s="66">
        <v>38.799999999999997</v>
      </c>
      <c r="W197" s="66">
        <v>37.6</v>
      </c>
      <c r="X197" s="66"/>
      <c r="Y197" s="66"/>
      <c r="Z197" s="66"/>
      <c r="AA197" s="66">
        <v>33.200000000000003</v>
      </c>
      <c r="AB197" s="66">
        <v>32.6</v>
      </c>
      <c r="AC197" s="66">
        <v>35.4</v>
      </c>
      <c r="AD197" s="66">
        <v>36.200000000000003</v>
      </c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16</v>
      </c>
      <c r="AQ197" s="68">
        <f t="shared" ref="AQ197:AQ260" si="17">IF(AP197&gt;14,AVERAGE(K197:AO197),"")</f>
        <v>36.037500000000009</v>
      </c>
      <c r="AR197" s="68">
        <f>IFERROR(VLOOKUP(A197,Climatologia_TMAX!A:U,9+$E$2,FALSE),"")</f>
        <v>33.32113210309651</v>
      </c>
      <c r="AS197" s="68">
        <f t="shared" ref="AS197:AS260" si="18">IF(OR(AQ197="",AR197=""),"",IFERROR(AQ197-AR197,""))</f>
        <v>2.716367896903499</v>
      </c>
      <c r="AT197" s="74">
        <f t="shared" ref="AT197:AT260" si="19">IF(COUNT(K197:AO197)=0,"",MAX(K197:AO197))</f>
        <v>38.799999999999997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0.39999999999999858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>
        <v>38.200000000000003</v>
      </c>
      <c r="V199" s="66">
        <v>38</v>
      </c>
      <c r="W199" s="66">
        <v>37.6</v>
      </c>
      <c r="X199" s="66">
        <v>36.200000000000003</v>
      </c>
      <c r="Y199" s="66">
        <v>36</v>
      </c>
      <c r="Z199" s="66">
        <v>34.4</v>
      </c>
      <c r="AA199" s="66">
        <v>33.6</v>
      </c>
      <c r="AB199" s="66">
        <v>33</v>
      </c>
      <c r="AC199" s="66">
        <v>35</v>
      </c>
      <c r="AD199" s="66">
        <v>36.200000000000003</v>
      </c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20</v>
      </c>
      <c r="AQ199" s="68">
        <f t="shared" si="17"/>
        <v>35.86</v>
      </c>
      <c r="AR199" s="68">
        <f>IFERROR(VLOOKUP(A199,Climatologia_TMAX!A:U,9+$E$2,FALSE),"")</f>
        <v>32.492888905936347</v>
      </c>
      <c r="AS199" s="68">
        <f t="shared" si="18"/>
        <v>3.3671110940636524</v>
      </c>
      <c r="AT199" s="74">
        <f t="shared" si="19"/>
        <v>38.200000000000003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>
        <v>18.600000000000001</v>
      </c>
      <c r="V200" s="66">
        <v>19</v>
      </c>
      <c r="W200" s="66">
        <v>19.8</v>
      </c>
      <c r="X200" s="66">
        <v>18.2</v>
      </c>
      <c r="Y200" s="66">
        <v>19</v>
      </c>
      <c r="Z200" s="66">
        <v>18</v>
      </c>
      <c r="AA200" s="66">
        <v>20.2</v>
      </c>
      <c r="AB200" s="66">
        <v>18.600000000000001</v>
      </c>
      <c r="AC200" s="66">
        <v>20</v>
      </c>
      <c r="AD200" s="66">
        <v>19.8</v>
      </c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20</v>
      </c>
      <c r="AQ200" s="68">
        <f t="shared" si="17"/>
        <v>19.03</v>
      </c>
      <c r="AR200" s="68">
        <f>IFERROR(VLOOKUP(A200,Climatologia_TMAX!A:U,9+$E$2,FALSE),"")</f>
        <v>17.735029868578259</v>
      </c>
      <c r="AS200" s="68">
        <f t="shared" si="18"/>
        <v>1.2949701314217421</v>
      </c>
      <c r="AT200" s="74">
        <f t="shared" si="19"/>
        <v>20.2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-1.6000000000000014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>
        <v>26.4</v>
      </c>
      <c r="V201" s="66">
        <v>25.4</v>
      </c>
      <c r="W201" s="66">
        <v>26.2</v>
      </c>
      <c r="X201" s="66">
        <v>26.2</v>
      </c>
      <c r="Y201" s="66">
        <v>25</v>
      </c>
      <c r="Z201" s="66">
        <v>23.6</v>
      </c>
      <c r="AA201" s="66"/>
      <c r="AB201" s="66">
        <v>20.6</v>
      </c>
      <c r="AC201" s="66">
        <v>24</v>
      </c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18</v>
      </c>
      <c r="AQ201" s="68">
        <f t="shared" si="17"/>
        <v>24.944444444444443</v>
      </c>
      <c r="AR201" s="68">
        <f>IFERROR(VLOOKUP(A201,Climatologia_TMAX!A:U,9+$E$2,FALSE),"")</f>
        <v>22.75197498391692</v>
      </c>
      <c r="AS201" s="68">
        <f t="shared" si="18"/>
        <v>2.1924694605275228</v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>
        <v>20.2</v>
      </c>
      <c r="V203" s="66">
        <v>21.4</v>
      </c>
      <c r="W203" s="66">
        <v>20.6</v>
      </c>
      <c r="X203" s="66">
        <v>20</v>
      </c>
      <c r="Y203" s="66">
        <v>20.8</v>
      </c>
      <c r="Z203" s="66">
        <v>22</v>
      </c>
      <c r="AA203" s="66">
        <v>20.399999999999999</v>
      </c>
      <c r="AB203" s="66">
        <v>19.8</v>
      </c>
      <c r="AC203" s="66">
        <v>21.2</v>
      </c>
      <c r="AD203" s="66">
        <v>21.8</v>
      </c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20</v>
      </c>
      <c r="AQ203" s="68">
        <f t="shared" si="17"/>
        <v>20.85</v>
      </c>
      <c r="AR203" s="68">
        <f>IFERROR(VLOOKUP(A203,Climatologia_TMAX!A:U,9+$E$2,FALSE),"")</f>
        <v>19.985882256004611</v>
      </c>
      <c r="AS203" s="68">
        <f t="shared" si="18"/>
        <v>0.86411774399538999</v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>
        <v>30.2</v>
      </c>
      <c r="V205" s="66">
        <v>30</v>
      </c>
      <c r="W205" s="66">
        <v>29</v>
      </c>
      <c r="X205" s="66">
        <v>28.8</v>
      </c>
      <c r="Y205" s="66">
        <v>28.2</v>
      </c>
      <c r="Z205" s="66">
        <v>27.2</v>
      </c>
      <c r="AA205" s="66">
        <v>27.4</v>
      </c>
      <c r="AB205" s="66">
        <v>26</v>
      </c>
      <c r="AC205" s="66">
        <v>29.2</v>
      </c>
      <c r="AD205" s="66">
        <v>29.2</v>
      </c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20</v>
      </c>
      <c r="AQ205" s="68">
        <f t="shared" si="17"/>
        <v>28.560000000000002</v>
      </c>
      <c r="AR205" s="68">
        <f>IFERROR(VLOOKUP(A205,Climatologia_TMAX!A:U,9+$E$2,FALSE),"")</f>
        <v>26.486742471058381</v>
      </c>
      <c r="AS205" s="68">
        <f t="shared" si="18"/>
        <v>2.0732575289416211</v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>
        <v>36</v>
      </c>
      <c r="V208" s="66"/>
      <c r="W208" s="66">
        <v>34.4</v>
      </c>
      <c r="X208" s="66">
        <v>35</v>
      </c>
      <c r="Y208" s="113">
        <v>34.4</v>
      </c>
      <c r="Z208" s="66">
        <v>33.4</v>
      </c>
      <c r="AA208" s="66">
        <v>32.4</v>
      </c>
      <c r="AB208" s="66">
        <v>30.4</v>
      </c>
      <c r="AC208" s="66">
        <v>34.4</v>
      </c>
      <c r="AD208" s="66">
        <v>35.4</v>
      </c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19</v>
      </c>
      <c r="AQ208" s="68">
        <f t="shared" si="17"/>
        <v>33.957894736842093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>
        <v>25</v>
      </c>
      <c r="V209" s="66">
        <v>25.6</v>
      </c>
      <c r="W209" s="66">
        <v>25.4</v>
      </c>
      <c r="X209" s="66">
        <v>24.6</v>
      </c>
      <c r="Y209" s="66">
        <v>25</v>
      </c>
      <c r="Z209" s="66">
        <v>23.6</v>
      </c>
      <c r="AA209" s="66">
        <v>23.4</v>
      </c>
      <c r="AB209" s="66">
        <v>23.8</v>
      </c>
      <c r="AC209" s="66">
        <v>28</v>
      </c>
      <c r="AD209" s="66">
        <v>24.6</v>
      </c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20</v>
      </c>
      <c r="AQ209" s="68">
        <f t="shared" si="17"/>
        <v>24.910000000000004</v>
      </c>
      <c r="AR209" s="68">
        <f>IFERROR(VLOOKUP(A209,Climatologia_TMAX!A:U,9+$E$2,FALSE),"")</f>
        <v>24.015476455320719</v>
      </c>
      <c r="AS209" s="68">
        <f t="shared" si="18"/>
        <v>0.8945235446792843</v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>
        <v>32</v>
      </c>
      <c r="V210" s="66">
        <v>32.6</v>
      </c>
      <c r="W210" s="66">
        <v>33</v>
      </c>
      <c r="X210" s="66">
        <v>32</v>
      </c>
      <c r="Y210" s="66">
        <v>30.4</v>
      </c>
      <c r="Z210" s="66">
        <v>30.8</v>
      </c>
      <c r="AA210" s="66">
        <v>30.2</v>
      </c>
      <c r="AB210" s="66">
        <v>30.2</v>
      </c>
      <c r="AC210" s="66">
        <v>33.4</v>
      </c>
      <c r="AD210" s="66">
        <v>30.8</v>
      </c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20</v>
      </c>
      <c r="AQ210" s="68">
        <f t="shared" si="17"/>
        <v>31.55</v>
      </c>
      <c r="AR210" s="68">
        <f>IFERROR(VLOOKUP(A210,Climatologia_TMAX!A:U,9+$E$2,FALSE),"")</f>
        <v>29.654423963133631</v>
      </c>
      <c r="AS210" s="68">
        <f t="shared" si="18"/>
        <v>1.8955760368663697</v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>
        <v>30</v>
      </c>
      <c r="V214" s="66">
        <v>32</v>
      </c>
      <c r="W214" s="66">
        <v>32.200000000000003</v>
      </c>
      <c r="X214" s="66">
        <v>30.8</v>
      </c>
      <c r="Y214" s="66">
        <v>31.4</v>
      </c>
      <c r="Z214" s="66">
        <v>29.2</v>
      </c>
      <c r="AA214" s="66">
        <v>30.4</v>
      </c>
      <c r="AB214" s="66">
        <v>31.6</v>
      </c>
      <c r="AC214" s="66">
        <v>32</v>
      </c>
      <c r="AD214" s="66">
        <v>29.2</v>
      </c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20</v>
      </c>
      <c r="AQ214" s="68">
        <f t="shared" si="17"/>
        <v>30.790000000000003</v>
      </c>
      <c r="AR214" s="68">
        <f>IFERROR(VLOOKUP(A214,Climatologia_TMAX!A:U,9+$E$2,FALSE),"")</f>
        <v>29.107319792911181</v>
      </c>
      <c r="AS214" s="68">
        <f t="shared" si="18"/>
        <v>1.682680207088822</v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>
        <v>29.4</v>
      </c>
      <c r="V216" s="66">
        <v>29.8</v>
      </c>
      <c r="W216" s="66">
        <v>29.4</v>
      </c>
      <c r="X216" s="66">
        <v>29.4</v>
      </c>
      <c r="Y216" s="66">
        <v>29.6</v>
      </c>
      <c r="Z216" s="66">
        <v>28</v>
      </c>
      <c r="AA216" s="66">
        <v>27.2</v>
      </c>
      <c r="AB216" s="66">
        <v>27.2</v>
      </c>
      <c r="AC216" s="66">
        <v>27.4</v>
      </c>
      <c r="AD216" s="66">
        <v>28</v>
      </c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20</v>
      </c>
      <c r="AQ216" s="68">
        <f t="shared" si="17"/>
        <v>28.029999999999994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>
        <v>28.2</v>
      </c>
      <c r="V217" s="66">
        <v>28.4</v>
      </c>
      <c r="W217" s="66">
        <v>26.8</v>
      </c>
      <c r="X217" s="66">
        <v>27.4</v>
      </c>
      <c r="Y217" s="66">
        <v>26.4</v>
      </c>
      <c r="Z217" s="66">
        <v>25.6</v>
      </c>
      <c r="AA217" s="66">
        <v>25.6</v>
      </c>
      <c r="AB217" s="66">
        <v>25.6</v>
      </c>
      <c r="AC217" s="66">
        <v>26.6</v>
      </c>
      <c r="AD217" s="66">
        <v>26.8</v>
      </c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20</v>
      </c>
      <c r="AQ217" s="68">
        <f t="shared" si="17"/>
        <v>26.46</v>
      </c>
      <c r="AR217" s="68">
        <f>IFERROR(VLOOKUP(A217,Climatologia_TMAX!A:U,9+$E$2,FALSE),"")</f>
        <v>23.98799853208218</v>
      </c>
      <c r="AS217" s="68">
        <f t="shared" si="18"/>
        <v>2.4720014679178206</v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-3.2000000000000028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>
        <v>17.8</v>
      </c>
      <c r="V221" s="66"/>
      <c r="W221" s="66">
        <v>17.600000000000001</v>
      </c>
      <c r="X221" s="66">
        <v>19.8</v>
      </c>
      <c r="Y221" s="66">
        <v>16.600000000000001</v>
      </c>
      <c r="Z221" s="66">
        <v>17</v>
      </c>
      <c r="AA221" s="66">
        <v>14</v>
      </c>
      <c r="AB221" s="66">
        <v>16</v>
      </c>
      <c r="AC221" s="66">
        <v>18.600000000000001</v>
      </c>
      <c r="AD221" s="66">
        <v>19</v>
      </c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18</v>
      </c>
      <c r="AQ221" s="68">
        <f t="shared" si="17"/>
        <v>17.811111111111114</v>
      </c>
      <c r="AR221" s="68">
        <f>IFERROR(VLOOKUP(A221,Climatologia_TMAX!A:U,9+$E$2,FALSE),"")</f>
        <v>15.966759634455681</v>
      </c>
      <c r="AS221" s="68">
        <f t="shared" si="18"/>
        <v>1.844351476655433</v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>
        <v>28</v>
      </c>
      <c r="U222" s="66">
        <v>27.8</v>
      </c>
      <c r="V222" s="66">
        <v>24.8</v>
      </c>
      <c r="W222" s="66">
        <v>26.2</v>
      </c>
      <c r="X222" s="66">
        <v>24.4</v>
      </c>
      <c r="Y222" s="66">
        <v>24</v>
      </c>
      <c r="Z222" s="66">
        <v>25.8</v>
      </c>
      <c r="AA222" s="66">
        <v>18.600000000000001</v>
      </c>
      <c r="AB222" s="66">
        <v>23.2</v>
      </c>
      <c r="AC222" s="66">
        <v>26.2</v>
      </c>
      <c r="AD222" s="66">
        <v>26.4</v>
      </c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20</v>
      </c>
      <c r="AQ222" s="68">
        <f t="shared" si="17"/>
        <v>24.759999999999998</v>
      </c>
      <c r="AR222" s="68">
        <f>IFERROR(VLOOKUP(A222,Climatologia_TMAX!A:U,9+$E$2,FALSE),"")</f>
        <v>22.71125914315569</v>
      </c>
      <c r="AS222" s="68">
        <f t="shared" si="18"/>
        <v>2.048740856844308</v>
      </c>
      <c r="AT222" s="74">
        <f t="shared" si="19"/>
        <v>28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>
        <v>36.200000000000003</v>
      </c>
      <c r="U224" s="66">
        <v>36.200000000000003</v>
      </c>
      <c r="V224" s="66">
        <v>33</v>
      </c>
      <c r="W224" s="66">
        <v>34.799999999999997</v>
      </c>
      <c r="X224" s="66">
        <v>35</v>
      </c>
      <c r="Y224" s="66">
        <v>32.200000000000003</v>
      </c>
      <c r="Z224" s="66">
        <v>30</v>
      </c>
      <c r="AA224" s="66">
        <v>25.8</v>
      </c>
      <c r="AB224" s="66">
        <v>31.2</v>
      </c>
      <c r="AC224" s="66">
        <v>32.6</v>
      </c>
      <c r="AD224" s="66">
        <v>35.200000000000003</v>
      </c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20</v>
      </c>
      <c r="AQ224" s="68">
        <f t="shared" si="17"/>
        <v>32.75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>
        <v>33.4</v>
      </c>
      <c r="V231" s="66">
        <v>32.200000000000003</v>
      </c>
      <c r="W231" s="66">
        <v>34.200000000000003</v>
      </c>
      <c r="X231" s="66">
        <v>33.200000000000003</v>
      </c>
      <c r="Y231" s="114">
        <v>30.8</v>
      </c>
      <c r="Z231" s="66">
        <v>30.2</v>
      </c>
      <c r="AA231" s="66">
        <v>28.2</v>
      </c>
      <c r="AB231" s="66">
        <v>30.4</v>
      </c>
      <c r="AC231" s="66">
        <v>32.200000000000003</v>
      </c>
      <c r="AD231" s="66">
        <v>34</v>
      </c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20</v>
      </c>
      <c r="AQ231" s="68">
        <f t="shared" si="17"/>
        <v>32.03</v>
      </c>
      <c r="AR231" s="68">
        <f>IFERROR(VLOOKUP(A231,Climatologia_TMAX!A:U,9+$E$2,FALSE),"")</f>
        <v>30.333152235427281</v>
      </c>
      <c r="AS231" s="68">
        <f t="shared" si="18"/>
        <v>1.6968477645727198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>
        <v>35.4</v>
      </c>
      <c r="V235" s="66">
        <v>32.6</v>
      </c>
      <c r="W235" s="66">
        <v>35</v>
      </c>
      <c r="X235" s="66">
        <v>32.200000000000003</v>
      </c>
      <c r="Y235" s="66">
        <v>32.4</v>
      </c>
      <c r="Z235" s="66">
        <v>28.8</v>
      </c>
      <c r="AA235" s="66">
        <v>24.8</v>
      </c>
      <c r="AB235" s="66">
        <v>31.8</v>
      </c>
      <c r="AC235" s="66">
        <v>33.200000000000003</v>
      </c>
      <c r="AD235" s="66">
        <v>35</v>
      </c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20</v>
      </c>
      <c r="AQ235" s="68">
        <f t="shared" si="17"/>
        <v>32.349999999999994</v>
      </c>
      <c r="AR235" s="68">
        <f>IFERROR(VLOOKUP(A235,Climatologia_TMAX!A:U,9+$E$2,FALSE),"")</f>
        <v>30.387096774193552</v>
      </c>
      <c r="AS235" s="68">
        <f t="shared" si="18"/>
        <v>1.9629032258064427</v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>
        <v>28.6</v>
      </c>
      <c r="P238" s="66">
        <v>34.200000000000003</v>
      </c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>
        <v>31.2</v>
      </c>
      <c r="AC238" s="66">
        <v>28.4</v>
      </c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6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>
        <v>30</v>
      </c>
      <c r="V244" s="66">
        <v>27.2</v>
      </c>
      <c r="W244" s="66">
        <v>28.2</v>
      </c>
      <c r="X244" s="66">
        <v>29</v>
      </c>
      <c r="Y244" s="66">
        <v>29</v>
      </c>
      <c r="Z244" s="66">
        <v>24</v>
      </c>
      <c r="AA244" s="66">
        <v>23.8</v>
      </c>
      <c r="AB244" s="66">
        <v>26.4</v>
      </c>
      <c r="AC244" s="66">
        <v>28.2</v>
      </c>
      <c r="AD244" s="66">
        <v>28.6</v>
      </c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19</v>
      </c>
      <c r="AQ244" s="68">
        <f t="shared" si="17"/>
        <v>27.799999999999997</v>
      </c>
      <c r="AR244" s="68">
        <f>IFERROR(VLOOKUP(A244,Climatologia_TMAX!A:U,9+$E$2,FALSE),"")</f>
        <v>25.772090800477901</v>
      </c>
      <c r="AS244" s="68">
        <f t="shared" si="18"/>
        <v>2.0279091995220959</v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>
        <v>34</v>
      </c>
      <c r="V246" s="66">
        <v>35</v>
      </c>
      <c r="W246" s="66">
        <v>34.6</v>
      </c>
      <c r="X246" s="66">
        <v>35.200000000000003</v>
      </c>
      <c r="Y246" s="66">
        <v>34.200000000000003</v>
      </c>
      <c r="Z246" s="66">
        <v>32.200000000000003</v>
      </c>
      <c r="AA246" s="66">
        <v>28.8</v>
      </c>
      <c r="AB246" s="66">
        <v>31.2</v>
      </c>
      <c r="AC246" s="66">
        <v>36</v>
      </c>
      <c r="AD246" s="66">
        <v>35.4</v>
      </c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20</v>
      </c>
      <c r="AQ246" s="68">
        <f t="shared" si="17"/>
        <v>33.519999999999996</v>
      </c>
      <c r="AR246" s="68">
        <f>IFERROR(VLOOKUP(A246,Climatologia_TMAX!A:U,9+$E$2,FALSE),"")</f>
        <v>30.365280795815501</v>
      </c>
      <c r="AS246" s="68">
        <f t="shared" si="18"/>
        <v>3.1547192041844951</v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>
        <v>38.6</v>
      </c>
      <c r="V247" s="66">
        <v>38.4</v>
      </c>
      <c r="W247" s="66">
        <v>39</v>
      </c>
      <c r="X247" s="66">
        <v>38.4</v>
      </c>
      <c r="Y247" s="66">
        <v>38.6</v>
      </c>
      <c r="Z247" s="66">
        <v>35.200000000000003</v>
      </c>
      <c r="AA247" s="66"/>
      <c r="AB247" s="66">
        <v>35.6</v>
      </c>
      <c r="AC247" s="66">
        <v>40.6</v>
      </c>
      <c r="AD247" s="66">
        <v>40.200000000000003</v>
      </c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19</v>
      </c>
      <c r="AQ247" s="68">
        <f t="shared" si="17"/>
        <v>37.747368421052641</v>
      </c>
      <c r="AR247" s="68">
        <f>IFERROR(VLOOKUP(A247,Climatologia_TMAX!A:U,9+$E$2,FALSE),"")</f>
        <v>35.840573622107357</v>
      </c>
      <c r="AS247" s="68">
        <f t="shared" si="18"/>
        <v>1.9067947989452847</v>
      </c>
      <c r="AT247" s="74">
        <f t="shared" si="19"/>
        <v>40.6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-0.60000000000000142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>
        <v>37.200000000000003</v>
      </c>
      <c r="V248" s="66">
        <v>37.4</v>
      </c>
      <c r="W248" s="66">
        <v>37.6</v>
      </c>
      <c r="X248" s="66">
        <v>37.200000000000003</v>
      </c>
      <c r="Y248" s="66">
        <v>37.200000000000003</v>
      </c>
      <c r="Z248" s="66">
        <v>32</v>
      </c>
      <c r="AA248" s="66">
        <v>30.2</v>
      </c>
      <c r="AB248" s="66">
        <v>34</v>
      </c>
      <c r="AC248" s="66">
        <v>39</v>
      </c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19</v>
      </c>
      <c r="AQ248" s="68">
        <f t="shared" si="17"/>
        <v>36.484210526315792</v>
      </c>
      <c r="AR248" s="68">
        <f>IFERROR(VLOOKUP(A248,Climatologia_TMAX!A:U,9+$E$2,FALSE),"")</f>
        <v>34.327826313407613</v>
      </c>
      <c r="AS248" s="68">
        <f t="shared" si="18"/>
        <v>2.1563842129081792</v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>
        <v>32.799999999999997</v>
      </c>
      <c r="V249" s="66">
        <v>30.6</v>
      </c>
      <c r="W249" s="106">
        <v>30.6</v>
      </c>
      <c r="X249" s="66">
        <v>31.4</v>
      </c>
      <c r="Y249" s="106">
        <v>32.799999999999997</v>
      </c>
      <c r="Z249" s="66">
        <v>31.6</v>
      </c>
      <c r="AA249" s="66">
        <v>30.8</v>
      </c>
      <c r="AB249" s="66">
        <v>31.8</v>
      </c>
      <c r="AC249" s="66">
        <v>30.4</v>
      </c>
      <c r="AD249" s="66">
        <v>32.6</v>
      </c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20</v>
      </c>
      <c r="AQ249" s="68">
        <f t="shared" si="17"/>
        <v>31.68</v>
      </c>
      <c r="AR249" s="68">
        <f>IFERROR(VLOOKUP(A249,Climatologia_TMAX!A:U,9+$E$2,FALSE),"")</f>
        <v>31.369964157706089</v>
      </c>
      <c r="AS249" s="68">
        <f t="shared" si="18"/>
        <v>0.31003584229391024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-3.4000000000000057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>
        <v>39.200000000000003</v>
      </c>
      <c r="V250" s="66">
        <v>38.799999999999997</v>
      </c>
      <c r="W250" s="66">
        <v>39.6</v>
      </c>
      <c r="X250" s="66"/>
      <c r="Y250" s="66">
        <v>39</v>
      </c>
      <c r="Z250" s="66">
        <v>37</v>
      </c>
      <c r="AA250" s="66">
        <v>33</v>
      </c>
      <c r="AB250" s="66">
        <v>37.4</v>
      </c>
      <c r="AC250" s="66">
        <v>40.799999999999997</v>
      </c>
      <c r="AD250" s="66">
        <v>39.799999999999997</v>
      </c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19</v>
      </c>
      <c r="AQ250" s="68">
        <f t="shared" si="17"/>
        <v>38.621052631578941</v>
      </c>
      <c r="AR250" s="68">
        <f>IFERROR(VLOOKUP(A250,Climatologia_TMAX!A:U,9+$E$2,FALSE),"")</f>
        <v>36.452131073091188</v>
      </c>
      <c r="AS250" s="68">
        <f t="shared" si="18"/>
        <v>2.168921558487753</v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>
        <v>38.799999999999997</v>
      </c>
      <c r="V252" s="66">
        <v>39.4</v>
      </c>
      <c r="W252" s="66">
        <v>39.200000000000003</v>
      </c>
      <c r="X252" s="66">
        <v>38.200000000000003</v>
      </c>
      <c r="Y252" s="66">
        <v>39</v>
      </c>
      <c r="Z252" s="66">
        <v>36</v>
      </c>
      <c r="AA252" s="66">
        <v>35</v>
      </c>
      <c r="AB252" s="66">
        <v>37.200000000000003</v>
      </c>
      <c r="AC252" s="66">
        <v>40.799999999999997</v>
      </c>
      <c r="AD252" s="66">
        <v>40.6</v>
      </c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20</v>
      </c>
      <c r="AQ252" s="68">
        <f t="shared" si="17"/>
        <v>38.75</v>
      </c>
      <c r="AR252" s="68">
        <f>IFERROR(VLOOKUP(A252,Climatologia_TMAX!A:U,9+$E$2,FALSE),"")</f>
        <v>35.220558268183389</v>
      </c>
      <c r="AS252" s="68">
        <f t="shared" si="18"/>
        <v>3.5294417318166111</v>
      </c>
      <c r="AT252" s="74">
        <f t="shared" si="19"/>
        <v>41.2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1.2000000000000028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>
        <v>37.6</v>
      </c>
      <c r="V255" s="66">
        <v>34.4</v>
      </c>
      <c r="W255" s="66">
        <v>37.4</v>
      </c>
      <c r="X255" s="66">
        <v>34.799999999999997</v>
      </c>
      <c r="Y255" s="114">
        <v>37.4</v>
      </c>
      <c r="Z255" s="66">
        <v>32.200000000000003</v>
      </c>
      <c r="AA255" s="66">
        <v>32.799999999999997</v>
      </c>
      <c r="AB255" s="66">
        <v>36</v>
      </c>
      <c r="AC255" s="66">
        <v>37</v>
      </c>
      <c r="AD255" s="66">
        <v>36.799999999999997</v>
      </c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20</v>
      </c>
      <c r="AQ255" s="68">
        <f t="shared" si="17"/>
        <v>35.67</v>
      </c>
      <c r="AR255" s="68">
        <f>IFERROR(VLOOKUP(A255,Climatologia_TMAX!A:U,9+$E$2,FALSE),"")</f>
        <v>33.060314020206199</v>
      </c>
      <c r="AS255" s="68">
        <f t="shared" si="18"/>
        <v>2.6096859797938023</v>
      </c>
      <c r="AT255" s="74">
        <f t="shared" si="19"/>
        <v>37.799999999999997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>
        <v>27.4</v>
      </c>
      <c r="V258" s="66">
        <v>27.2</v>
      </c>
      <c r="W258" s="66">
        <v>27.8</v>
      </c>
      <c r="X258" s="66">
        <v>26.6</v>
      </c>
      <c r="Y258" s="66">
        <v>27.2</v>
      </c>
      <c r="Z258" s="66">
        <v>24.4</v>
      </c>
      <c r="AA258" s="66">
        <v>22.2</v>
      </c>
      <c r="AB258" s="66">
        <v>23.2</v>
      </c>
      <c r="AC258" s="66">
        <v>27.6</v>
      </c>
      <c r="AD258" s="66">
        <v>27.7</v>
      </c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20</v>
      </c>
      <c r="AQ258" s="68">
        <f t="shared" si="17"/>
        <v>26.034999999999997</v>
      </c>
      <c r="AR258" s="68">
        <f>IFERROR(VLOOKUP(A258,Climatologia_TMAX!A:U,9+$E$2,FALSE),"")</f>
        <v>23.450636822409319</v>
      </c>
      <c r="AS258" s="68">
        <f t="shared" si="18"/>
        <v>2.5843631775906779</v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>
        <v>26.6</v>
      </c>
      <c r="V259" s="66">
        <v>26</v>
      </c>
      <c r="W259" s="66">
        <v>27</v>
      </c>
      <c r="X259" s="66">
        <v>26.2</v>
      </c>
      <c r="Y259" s="66">
        <v>26.6</v>
      </c>
      <c r="Z259" s="66">
        <v>25.4</v>
      </c>
      <c r="AA259" s="66"/>
      <c r="AB259" s="66">
        <v>26.2</v>
      </c>
      <c r="AC259" s="66">
        <v>26.8</v>
      </c>
      <c r="AD259" s="66">
        <v>28.2</v>
      </c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19</v>
      </c>
      <c r="AQ259" s="68">
        <f t="shared" si="17"/>
        <v>27.184210526315791</v>
      </c>
      <c r="AR259" s="68">
        <f>IFERROR(VLOOKUP(A259,Climatologia_TMAX!A:U,9+$E$2,FALSE),"")</f>
        <v>26.859267723583631</v>
      </c>
      <c r="AS259" s="68">
        <f t="shared" si="18"/>
        <v>0.32494280273215992</v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>
        <v>23</v>
      </c>
      <c r="V260" s="66">
        <v>22</v>
      </c>
      <c r="W260" s="109">
        <v>23</v>
      </c>
      <c r="X260" s="66">
        <v>22</v>
      </c>
      <c r="Y260" s="66">
        <v>22.8</v>
      </c>
      <c r="Z260" s="66">
        <v>18.399999999999999</v>
      </c>
      <c r="AA260" s="66">
        <v>17.399999999999999</v>
      </c>
      <c r="AB260" s="66">
        <v>18.2</v>
      </c>
      <c r="AC260" s="66">
        <v>23.4</v>
      </c>
      <c r="AD260" s="66">
        <v>23.4</v>
      </c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20</v>
      </c>
      <c r="AQ260" s="68">
        <f t="shared" si="17"/>
        <v>21.739999999999995</v>
      </c>
      <c r="AR260" s="68">
        <f>IFERROR(VLOOKUP(A260,Climatologia_TMAX!A:U,9+$E$2,FALSE),"")</f>
        <v>18.882112739608111</v>
      </c>
      <c r="AS260" s="68">
        <f t="shared" si="18"/>
        <v>2.8578872603918839</v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>
        <v>36.4</v>
      </c>
      <c r="V261" s="66">
        <v>35.799999999999997</v>
      </c>
      <c r="W261" s="66">
        <v>36.4</v>
      </c>
      <c r="X261" s="66">
        <v>35.4</v>
      </c>
      <c r="Y261" s="66">
        <v>36.4</v>
      </c>
      <c r="Z261" s="66"/>
      <c r="AA261" s="66">
        <v>30.2</v>
      </c>
      <c r="AB261" s="66">
        <v>33.200000000000003</v>
      </c>
      <c r="AC261" s="66">
        <v>36.799999999999997</v>
      </c>
      <c r="AD261" s="66">
        <v>37.4</v>
      </c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19</v>
      </c>
      <c r="AQ261" s="68">
        <f t="shared" ref="AQ261:AQ324" si="22">IF(AP261&gt;14,AVERAGE(K261:AO261),"")</f>
        <v>35.90526315789473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>
        <v>24.2</v>
      </c>
      <c r="V262" s="66">
        <v>23</v>
      </c>
      <c r="W262" s="66">
        <v>24</v>
      </c>
      <c r="X262" s="66">
        <v>23.4</v>
      </c>
      <c r="Y262" s="66">
        <v>24.2</v>
      </c>
      <c r="Z262" s="66">
        <v>21</v>
      </c>
      <c r="AA262" s="66">
        <v>22</v>
      </c>
      <c r="AB262" s="66">
        <v>20.399999999999999</v>
      </c>
      <c r="AC262" s="66">
        <v>24.4</v>
      </c>
      <c r="AD262" s="66">
        <v>24.6</v>
      </c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20</v>
      </c>
      <c r="AQ262" s="68">
        <f t="shared" si="22"/>
        <v>23.119999999999997</v>
      </c>
      <c r="AR262" s="68">
        <f>IFERROR(VLOOKUP(A262,Climatologia_TMAX!A:U,9+$E$2,FALSE),"")</f>
        <v>21.05350412968302</v>
      </c>
      <c r="AS262" s="68">
        <f t="shared" si="23"/>
        <v>2.0664958703169773</v>
      </c>
      <c r="AT262" s="74">
        <f t="shared" si="24"/>
        <v>24.6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-0.19999999999999929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>
        <v>18.600000000000001</v>
      </c>
      <c r="V266" s="66">
        <v>19.399999999999999</v>
      </c>
      <c r="W266" s="66">
        <v>18.600000000000001</v>
      </c>
      <c r="X266" s="66">
        <v>20.2</v>
      </c>
      <c r="Y266" s="66"/>
      <c r="Z266" s="66"/>
      <c r="AA266" s="66">
        <v>21.2</v>
      </c>
      <c r="AB266" s="66">
        <v>18.2</v>
      </c>
      <c r="AC266" s="66">
        <v>19.600000000000001</v>
      </c>
      <c r="AD266" s="66">
        <v>19.399999999999999</v>
      </c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14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21.2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-2.6000000000000014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>
        <v>14.8</v>
      </c>
      <c r="V268" s="66">
        <v>15</v>
      </c>
      <c r="W268" s="66">
        <v>15.4</v>
      </c>
      <c r="X268" s="66">
        <v>15</v>
      </c>
      <c r="Y268" s="66">
        <v>15.4</v>
      </c>
      <c r="Z268" s="66">
        <v>15.2</v>
      </c>
      <c r="AA268" s="66">
        <v>15</v>
      </c>
      <c r="AB268" s="66">
        <v>15.2</v>
      </c>
      <c r="AC268" s="66">
        <v>15.4</v>
      </c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19</v>
      </c>
      <c r="AQ268" s="68">
        <f t="shared" si="22"/>
        <v>15.336842105263157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>
        <v>21</v>
      </c>
      <c r="V269" s="66">
        <v>21.2</v>
      </c>
      <c r="W269" s="66">
        <v>20.399999999999999</v>
      </c>
      <c r="X269" s="66">
        <v>21</v>
      </c>
      <c r="Y269" s="66">
        <v>22</v>
      </c>
      <c r="Z269" s="66">
        <v>21.4</v>
      </c>
      <c r="AA269" s="66">
        <v>19</v>
      </c>
      <c r="AB269" s="66">
        <v>20.2</v>
      </c>
      <c r="AC269" s="66">
        <v>21.4</v>
      </c>
      <c r="AD269" s="66">
        <v>21</v>
      </c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20</v>
      </c>
      <c r="AQ269" s="68">
        <f t="shared" si="22"/>
        <v>20.409999999999997</v>
      </c>
      <c r="AR269" s="68">
        <f>IFERROR(VLOOKUP(A269,Climatologia_TMAX!A:U,9+$E$2,FALSE),"")</f>
        <v>19.143200050320459</v>
      </c>
      <c r="AS269" s="68">
        <f t="shared" si="23"/>
        <v>1.2667999496795375</v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>
        <v>19.399999999999999</v>
      </c>
      <c r="S270" s="66">
        <v>19.399999999999999</v>
      </c>
      <c r="T270" s="66">
        <v>19.399999999999999</v>
      </c>
      <c r="U270" s="66">
        <v>18.600000000000001</v>
      </c>
      <c r="V270" s="66">
        <v>19</v>
      </c>
      <c r="W270" s="66">
        <v>18.399999999999999</v>
      </c>
      <c r="X270" s="66">
        <v>19</v>
      </c>
      <c r="Y270" s="66"/>
      <c r="Z270" s="66"/>
      <c r="AA270" s="66">
        <v>17.8</v>
      </c>
      <c r="AB270" s="66">
        <v>18</v>
      </c>
      <c r="AC270" s="66">
        <v>19.399999999999999</v>
      </c>
      <c r="AD270" s="66">
        <v>18</v>
      </c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18</v>
      </c>
      <c r="AQ270" s="68">
        <f t="shared" si="22"/>
        <v>18.522222222222226</v>
      </c>
      <c r="AR270" s="68">
        <f>IFERROR(VLOOKUP(A270,Climatologia_TMAX!A:U,9+$E$2,FALSE),"")</f>
        <v>16.385184798575551</v>
      </c>
      <c r="AS270" s="68">
        <f t="shared" si="23"/>
        <v>2.1370374236466745</v>
      </c>
      <c r="AT270" s="74">
        <f t="shared" si="24"/>
        <v>19.399999999999999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-2.6000000000000014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>
        <v>16.399999999999999</v>
      </c>
      <c r="V271" s="66">
        <v>17.8</v>
      </c>
      <c r="W271" s="66">
        <v>17.399999999999999</v>
      </c>
      <c r="X271" s="66">
        <v>16.600000000000001</v>
      </c>
      <c r="Y271" s="66">
        <v>17.2</v>
      </c>
      <c r="Z271" s="66">
        <v>18.399999999999999</v>
      </c>
      <c r="AA271" s="66">
        <v>17.399999999999999</v>
      </c>
      <c r="AB271" s="66">
        <v>16.399999999999999</v>
      </c>
      <c r="AC271" s="66">
        <v>18.2</v>
      </c>
      <c r="AD271" s="66">
        <v>16.8</v>
      </c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20</v>
      </c>
      <c r="AQ271" s="68">
        <f t="shared" si="22"/>
        <v>17.049999999999997</v>
      </c>
      <c r="AR271" s="68">
        <f>IFERROR(VLOOKUP(A271,Climatologia_TMAX!A:U,9+$E$2,FALSE),"")</f>
        <v>17.371682824188088</v>
      </c>
      <c r="AS271" s="68">
        <f t="shared" si="23"/>
        <v>-0.32168282418809113</v>
      </c>
      <c r="AT271" s="74">
        <f t="shared" si="24"/>
        <v>18.399999999999999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-4.2000000000000028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>
        <v>22.8</v>
      </c>
      <c r="U272" s="66">
        <v>22</v>
      </c>
      <c r="V272" s="66">
        <v>21</v>
      </c>
      <c r="W272" s="66">
        <v>23.6</v>
      </c>
      <c r="X272" s="66">
        <v>23</v>
      </c>
      <c r="Y272" s="66">
        <v>23.8</v>
      </c>
      <c r="Z272" s="66">
        <v>25.2</v>
      </c>
      <c r="AA272" s="66">
        <v>22</v>
      </c>
      <c r="AB272" s="66">
        <v>22.6</v>
      </c>
      <c r="AC272" s="66">
        <v>22.8</v>
      </c>
      <c r="AD272" s="66">
        <v>23.2</v>
      </c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20</v>
      </c>
      <c r="AQ272" s="68">
        <f t="shared" si="22"/>
        <v>22.730000000000004</v>
      </c>
      <c r="AR272" s="68">
        <f>IFERROR(VLOOKUP(A272,Climatologia_TMAX!A:U,9+$E$2,FALSE),"")</f>
        <v>20.524700215122909</v>
      </c>
      <c r="AS272" s="68">
        <f t="shared" si="23"/>
        <v>2.205299784877095</v>
      </c>
      <c r="AT272" s="74">
        <f t="shared" si="24"/>
        <v>25.2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>
        <v>28.2</v>
      </c>
      <c r="V273" s="66">
        <v>27.8</v>
      </c>
      <c r="W273" s="66">
        <v>27.6</v>
      </c>
      <c r="X273" s="66">
        <v>26.8</v>
      </c>
      <c r="Y273" s="66">
        <v>27</v>
      </c>
      <c r="Z273" s="66">
        <v>25</v>
      </c>
      <c r="AA273" s="66">
        <v>23.6</v>
      </c>
      <c r="AB273" s="66">
        <v>25.6</v>
      </c>
      <c r="AC273" s="66">
        <v>27.8</v>
      </c>
      <c r="AD273" s="66">
        <v>28.4</v>
      </c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20</v>
      </c>
      <c r="AQ273" s="68">
        <f t="shared" si="22"/>
        <v>27.130000000000003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>
        <v>10.6</v>
      </c>
      <c r="V275" s="66">
        <v>13.8</v>
      </c>
      <c r="W275" s="66">
        <v>11.6</v>
      </c>
      <c r="X275" s="66">
        <v>12</v>
      </c>
      <c r="Y275" s="66">
        <v>11.8</v>
      </c>
      <c r="Z275" s="66">
        <v>11.8</v>
      </c>
      <c r="AA275" s="66">
        <v>10.4</v>
      </c>
      <c r="AB275" s="66">
        <v>10.199999999999999</v>
      </c>
      <c r="AC275" s="66">
        <v>13.2</v>
      </c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19</v>
      </c>
      <c r="AQ275" s="68">
        <f t="shared" si="22"/>
        <v>11.642105263157896</v>
      </c>
      <c r="AR275" s="68">
        <f>IFERROR(VLOOKUP(A275,Climatologia_TMAX!A:U,9+$E$2,FALSE),"")</f>
        <v>11.567283004043301</v>
      </c>
      <c r="AS275" s="68">
        <f t="shared" si="23"/>
        <v>7.4822259114595724E-2</v>
      </c>
      <c r="AT275" s="74">
        <f t="shared" si="24"/>
        <v>13.8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-2.5999999999999979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>
        <v>35.200000000000003</v>
      </c>
      <c r="V278" s="66">
        <v>33.799999999999997</v>
      </c>
      <c r="W278" s="66">
        <v>33.799999999999997</v>
      </c>
      <c r="X278" s="66">
        <v>33</v>
      </c>
      <c r="Y278" s="66">
        <v>33.4</v>
      </c>
      <c r="Z278" s="66">
        <v>32.4</v>
      </c>
      <c r="AA278" s="66">
        <v>30.4</v>
      </c>
      <c r="AB278" s="66">
        <v>32.4</v>
      </c>
      <c r="AC278" s="66">
        <v>36</v>
      </c>
      <c r="AD278" s="66">
        <v>35</v>
      </c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20</v>
      </c>
      <c r="AQ278" s="68">
        <f t="shared" si="22"/>
        <v>33.649999999999991</v>
      </c>
      <c r="AR278" s="68">
        <f>IFERROR(VLOOKUP(A278,Climatologia_TMAX!A:U,9+$E$2,FALSE),"")</f>
        <v>31.62928722448812</v>
      </c>
      <c r="AS278" s="68">
        <f t="shared" si="23"/>
        <v>2.0207127755118712</v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>
        <v>20.2</v>
      </c>
      <c r="V279" s="66">
        <v>21.4</v>
      </c>
      <c r="W279" s="66">
        <v>19.8</v>
      </c>
      <c r="X279" s="66">
        <v>19.2</v>
      </c>
      <c r="Y279" s="66">
        <v>21.4</v>
      </c>
      <c r="Z279" s="66">
        <v>22.6</v>
      </c>
      <c r="AA279" s="66">
        <v>19.399999999999999</v>
      </c>
      <c r="AB279" s="66">
        <v>19.8</v>
      </c>
      <c r="AC279" s="66">
        <v>21.2</v>
      </c>
      <c r="AD279" s="66">
        <v>20.9</v>
      </c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20</v>
      </c>
      <c r="AQ279" s="68">
        <f t="shared" si="22"/>
        <v>20.924999999999997</v>
      </c>
      <c r="AR279" s="68">
        <f>IFERROR(VLOOKUP(A279,Climatologia_TMAX!A:U,9+$E$2,FALSE),"")</f>
        <v>20.492876344086021</v>
      </c>
      <c r="AS279" s="68">
        <f t="shared" si="23"/>
        <v>0.43212365591397628</v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>
        <v>33.6</v>
      </c>
      <c r="V280" s="66">
        <v>33.6</v>
      </c>
      <c r="W280" s="66">
        <v>34.799999999999997</v>
      </c>
      <c r="X280" s="66">
        <v>33.6</v>
      </c>
      <c r="Y280" s="66">
        <v>32.799999999999997</v>
      </c>
      <c r="Z280" s="66">
        <v>29.8</v>
      </c>
      <c r="AA280" s="66">
        <v>28.4</v>
      </c>
      <c r="AB280" s="66">
        <v>29.4</v>
      </c>
      <c r="AC280" s="66">
        <v>33.799999999999997</v>
      </c>
      <c r="AD280" s="66">
        <v>34.4</v>
      </c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20</v>
      </c>
      <c r="AQ280" s="68">
        <f t="shared" si="22"/>
        <v>32.709999999999994</v>
      </c>
      <c r="AR280" s="68">
        <f>IFERROR(VLOOKUP(A280,Climatologia_TMAX!A:U,9+$E$2,FALSE),"")</f>
        <v>29.755468215712931</v>
      </c>
      <c r="AS280" s="68">
        <f t="shared" si="23"/>
        <v>2.9545317842870631</v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>
        <v>22.8</v>
      </c>
      <c r="V281" s="66">
        <v>22.6</v>
      </c>
      <c r="W281" s="66">
        <v>22</v>
      </c>
      <c r="X281" s="66">
        <v>21.2</v>
      </c>
      <c r="Y281" s="66">
        <v>22</v>
      </c>
      <c r="Z281" s="66">
        <v>19</v>
      </c>
      <c r="AA281" s="66">
        <v>19.600000000000001</v>
      </c>
      <c r="AB281" s="66">
        <v>18.8</v>
      </c>
      <c r="AC281" s="66">
        <v>24.8</v>
      </c>
      <c r="AD281" s="66">
        <v>23</v>
      </c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20</v>
      </c>
      <c r="AQ281" s="68">
        <f t="shared" si="22"/>
        <v>22.090000000000003</v>
      </c>
      <c r="AR281" s="68">
        <f>IFERROR(VLOOKUP(A281,Climatologia_TMAX!A:U,9+$E$2,FALSE),"")</f>
        <v>19.62978110599078</v>
      </c>
      <c r="AS281" s="68">
        <f t="shared" si="23"/>
        <v>2.4602188940092233</v>
      </c>
      <c r="AT281" s="74">
        <f t="shared" si="24"/>
        <v>24.8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>
        <v>18.600000000000001</v>
      </c>
      <c r="V283" s="66">
        <v>18.600000000000001</v>
      </c>
      <c r="W283" s="66">
        <v>19.2</v>
      </c>
      <c r="X283" s="66">
        <v>18.600000000000001</v>
      </c>
      <c r="Y283" s="66">
        <v>19.600000000000001</v>
      </c>
      <c r="Z283" s="66">
        <v>18</v>
      </c>
      <c r="AA283" s="66">
        <v>18.600000000000001</v>
      </c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16</v>
      </c>
      <c r="AQ283" s="68">
        <f t="shared" si="22"/>
        <v>18.824999999999999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>
        <v>19.399999999999999</v>
      </c>
      <c r="V284" s="66">
        <v>19.8</v>
      </c>
      <c r="W284" s="66">
        <v>19.399999999999999</v>
      </c>
      <c r="X284" s="66">
        <v>19.8</v>
      </c>
      <c r="Y284" s="66">
        <v>19.2</v>
      </c>
      <c r="Z284" s="66">
        <v>21</v>
      </c>
      <c r="AA284" s="66">
        <v>17.399999999999999</v>
      </c>
      <c r="AB284" s="66">
        <v>18.399999999999999</v>
      </c>
      <c r="AC284" s="66">
        <v>19.600000000000001</v>
      </c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19</v>
      </c>
      <c r="AQ284" s="68">
        <f t="shared" si="22"/>
        <v>19.136842105263156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>
        <v>21</v>
      </c>
      <c r="V285" s="66">
        <v>20.8</v>
      </c>
      <c r="W285" s="66">
        <v>20</v>
      </c>
      <c r="X285" s="66">
        <v>22</v>
      </c>
      <c r="Y285" s="66">
        <v>20.6</v>
      </c>
      <c r="Z285" s="66">
        <v>19.2</v>
      </c>
      <c r="AA285" s="66">
        <v>19.600000000000001</v>
      </c>
      <c r="AB285" s="66">
        <v>21.6</v>
      </c>
      <c r="AC285" s="66">
        <v>22</v>
      </c>
      <c r="AD285" s="66">
        <v>21.8</v>
      </c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20</v>
      </c>
      <c r="AQ285" s="68">
        <f t="shared" si="22"/>
        <v>20.740000000000002</v>
      </c>
      <c r="AR285" s="68">
        <f>IFERROR(VLOOKUP(A285,Climatologia_TMAX!A:U,9+$E$2,FALSE),"")</f>
        <v>19.309961016360539</v>
      </c>
      <c r="AS285" s="68">
        <f t="shared" si="23"/>
        <v>1.4300389836394629</v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>
        <v>19.399999999999999</v>
      </c>
      <c r="V287" s="66">
        <v>20</v>
      </c>
      <c r="W287" s="66">
        <v>19.399999999999999</v>
      </c>
      <c r="X287" s="66">
        <v>18.2</v>
      </c>
      <c r="Y287" s="66">
        <v>21</v>
      </c>
      <c r="Z287" s="66">
        <v>19.399999999999999</v>
      </c>
      <c r="AA287" s="66">
        <v>18</v>
      </c>
      <c r="AB287" s="66">
        <v>18</v>
      </c>
      <c r="AC287" s="66">
        <v>20.2</v>
      </c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19</v>
      </c>
      <c r="AQ287" s="68">
        <f t="shared" si="22"/>
        <v>19.442105263157895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7" t="s">
        <v>540</v>
      </c>
      <c r="B1" s="118"/>
      <c r="C1" s="118"/>
      <c r="D1" s="118"/>
      <c r="E1" s="118"/>
      <c r="F1" s="118"/>
      <c r="G1" s="118"/>
      <c r="H1" s="118"/>
      <c r="I1" s="119"/>
      <c r="J1" s="120" t="s">
        <v>541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21" t="s">
        <v>542</v>
      </c>
      <c r="X1" s="119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5" t="s">
        <v>869</v>
      </c>
      <c r="B1" s="125" t="s">
        <v>7</v>
      </c>
      <c r="C1" s="125" t="s">
        <v>10</v>
      </c>
      <c r="D1" s="125" t="s">
        <v>9</v>
      </c>
      <c r="E1" s="125" t="s">
        <v>11</v>
      </c>
      <c r="F1" s="125" t="s">
        <v>15</v>
      </c>
      <c r="G1" s="125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6"/>
      <c r="B2" s="126"/>
      <c r="C2" s="126"/>
      <c r="D2" s="126"/>
      <c r="E2" s="126"/>
      <c r="F2" s="126"/>
      <c r="G2" s="126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20" width="11.42578125" style="42" customWidth="1"/>
    <col min="121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2026-08-21T15:02:05Z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2026-08-21T15:01:04Z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5b9e54f5-c7fc-4ee1-be80-c562046f3c72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