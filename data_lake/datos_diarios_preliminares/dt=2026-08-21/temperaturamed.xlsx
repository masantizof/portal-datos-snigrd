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8569E1FD53594AFEFF95C6D0A3003BD7DEF0FFA3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Q210" i="1"/>
  <c r="AS210" i="1" s="1"/>
  <c r="AP210" i="1"/>
  <c r="AR209" i="1"/>
  <c r="AP209" i="1"/>
  <c r="AQ209" i="1" s="1"/>
  <c r="AS209" i="1" s="1"/>
  <c r="AR208" i="1"/>
  <c r="AQ208" i="1"/>
  <c r="AS208" i="1" s="1"/>
  <c r="AP208" i="1"/>
  <c r="AS207" i="1"/>
  <c r="AR207" i="1"/>
  <c r="AQ207" i="1"/>
  <c r="AP207" i="1"/>
  <c r="AS206" i="1"/>
  <c r="AR206" i="1"/>
  <c r="AQ206" i="1"/>
  <c r="AP206" i="1"/>
  <c r="AR205" i="1"/>
  <c r="AP205" i="1"/>
  <c r="AQ205" i="1" s="1"/>
  <c r="AS205" i="1" s="1"/>
  <c r="AR204" i="1"/>
  <c r="AQ204" i="1"/>
  <c r="AS204" i="1" s="1"/>
  <c r="AP204" i="1"/>
  <c r="AR203" i="1"/>
  <c r="AS203" i="1" s="1"/>
  <c r="AQ203" i="1"/>
  <c r="AP203" i="1"/>
  <c r="AR202" i="1"/>
  <c r="AQ202" i="1"/>
  <c r="AS202" i="1" s="1"/>
  <c r="AP202" i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Q197" i="1"/>
  <c r="AS197" i="1" s="1"/>
  <c r="AP197" i="1"/>
  <c r="AR196" i="1"/>
  <c r="AP196" i="1"/>
  <c r="AQ196" i="1" s="1"/>
  <c r="AS196" i="1" s="1"/>
  <c r="AR195" i="1"/>
  <c r="AQ195" i="1"/>
  <c r="AS195" i="1" s="1"/>
  <c r="AP195" i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Q187" i="1"/>
  <c r="AS187" i="1" s="1"/>
  <c r="AP187" i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Q179" i="1"/>
  <c r="AS179" i="1" s="1"/>
  <c r="AP179" i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Q171" i="1"/>
  <c r="AS171" i="1" s="1"/>
  <c r="AP171" i="1"/>
  <c r="AR170" i="1"/>
  <c r="AQ170" i="1"/>
  <c r="AS170" i="1" s="1"/>
  <c r="AP170" i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P164" i="1"/>
  <c r="AQ164" i="1" s="1"/>
  <c r="AS164" i="1" s="1"/>
  <c r="AR163" i="1"/>
  <c r="AQ163" i="1"/>
  <c r="AS163" i="1" s="1"/>
  <c r="AP163" i="1"/>
  <c r="AR162" i="1"/>
  <c r="AQ162" i="1"/>
  <c r="AS162" i="1" s="1"/>
  <c r="AP162" i="1"/>
  <c r="AR161" i="1"/>
  <c r="AP161" i="1"/>
  <c r="AQ161" i="1" s="1"/>
  <c r="AS161" i="1" s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Q147" i="1"/>
  <c r="AS147" i="1" s="1"/>
  <c r="AP147" i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Q139" i="1"/>
  <c r="AS139" i="1" s="1"/>
  <c r="AP139" i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Q131" i="1"/>
  <c r="AS131" i="1" s="1"/>
  <c r="AP131" i="1"/>
  <c r="AR130" i="1"/>
  <c r="AQ130" i="1"/>
  <c r="AS130" i="1" s="1"/>
  <c r="AP130" i="1"/>
  <c r="AR129" i="1"/>
  <c r="AP129" i="1"/>
  <c r="AQ129" i="1" s="1"/>
  <c r="AS129" i="1" s="1"/>
  <c r="AR128" i="1"/>
  <c r="AP128" i="1"/>
  <c r="AQ128" i="1" s="1"/>
  <c r="AS128" i="1" s="1"/>
  <c r="AR127" i="1"/>
  <c r="AQ127" i="1"/>
  <c r="AS127" i="1" s="1"/>
  <c r="AP127" i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Q122" i="1"/>
  <c r="AS122" i="1" s="1"/>
  <c r="AP122" i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Q117" i="1"/>
  <c r="AS117" i="1" s="1"/>
  <c r="AP117" i="1"/>
  <c r="AR116" i="1"/>
  <c r="AP116" i="1"/>
  <c r="AQ116" i="1" s="1"/>
  <c r="AS116" i="1" s="1"/>
  <c r="AR115" i="1"/>
  <c r="AQ115" i="1"/>
  <c r="AS115" i="1" s="1"/>
  <c r="AP115" i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Q107" i="1"/>
  <c r="AS107" i="1" s="1"/>
  <c r="AP107" i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Q99" i="1"/>
  <c r="AS99" i="1" s="1"/>
  <c r="AP99" i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Q95" i="1"/>
  <c r="AS95" i="1" s="1"/>
  <c r="AP95" i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Q90" i="1"/>
  <c r="AS90" i="1" s="1"/>
  <c r="AP90" i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P84" i="1"/>
  <c r="AQ84" i="1" s="1"/>
  <c r="AS84" i="1" s="1"/>
  <c r="AR83" i="1"/>
  <c r="AP83" i="1"/>
  <c r="AQ83" i="1" s="1"/>
  <c r="AS83" i="1" s="1"/>
  <c r="AR82" i="1"/>
  <c r="AQ82" i="1"/>
  <c r="AS82" i="1" s="1"/>
  <c r="AP82" i="1"/>
  <c r="AR81" i="1"/>
  <c r="AP81" i="1"/>
  <c r="AQ81" i="1" s="1"/>
  <c r="AS81" i="1" s="1"/>
  <c r="AR80" i="1"/>
  <c r="AP80" i="1"/>
  <c r="AQ80" i="1" s="1"/>
  <c r="AS80" i="1" s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Q75" i="1"/>
  <c r="AS75" i="1" s="1"/>
  <c r="AP75" i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Q59" i="1"/>
  <c r="AS59" i="1" s="1"/>
  <c r="AP59" i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P49" i="1"/>
  <c r="AQ49" i="1" s="1"/>
  <c r="AS49" i="1" s="1"/>
  <c r="AR48" i="1"/>
  <c r="AP48" i="1"/>
  <c r="AQ48" i="1" s="1"/>
  <c r="AS48" i="1" s="1"/>
  <c r="AR47" i="1"/>
  <c r="AQ47" i="1"/>
  <c r="AS47" i="1" s="1"/>
  <c r="AP47" i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Q42" i="1"/>
  <c r="AS42" i="1" s="1"/>
  <c r="AP42" i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Q27" i="1"/>
  <c r="AS27" i="1" s="1"/>
  <c r="AP27" i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P16" i="1"/>
  <c r="AQ16" i="1" s="1"/>
  <c r="AS16" i="1" s="1"/>
  <c r="AR15" i="1"/>
  <c r="AQ15" i="1"/>
  <c r="AS15" i="1" s="1"/>
  <c r="AP15" i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Q10" i="1"/>
  <c r="AS10" i="1" s="1"/>
  <c r="AP10" i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<sst xmlns="http://schemas.openxmlformats.org/spreadsheetml/2006/main" count="3690" uniqueCount="1514">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</sst>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70" zoomScale="80" zoomScaleNormal="80" workbookViewId="0">
      <selection activeCell="AC1" sqref="AC1:AD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9" width="32.42578125" style="50" customWidth="1"/>
    <col min="14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20</v>
      </c>
      <c r="AQ5" s="71">
        <f t="shared" ref="AQ5:AQ68" si="1">IF(AP5&gt;14,AVERAGE(K5:AO5),"")</f>
        <v>29.594999999999999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1.3027949475886977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20</v>
      </c>
      <c r="AQ6" s="71">
        <f t="shared" si="1"/>
        <v>29.419999999999998</v>
      </c>
      <c r="AR6" s="71">
        <f>IFERROR(VLOOKUP(A6,Climatologia_TMED!A:U,9+$E$2,FALSE),"")</f>
        <v>28.542323510282561</v>
      </c>
      <c r="AS6" s="71">
        <f t="shared" si="2"/>
        <v>0.87767648971743739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20</v>
      </c>
      <c r="AQ7" s="71">
        <f t="shared" si="1"/>
        <v>31.135000000000002</v>
      </c>
      <c r="AR7" s="71">
        <f>IFERROR(VLOOKUP(A7,Climatologia_TMED!A:U,9+$E$2,FALSE),"")</f>
        <v>28.878924731182799</v>
      </c>
      <c r="AS7" s="71">
        <f t="shared" si="2"/>
        <v>2.2560752688172023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20</v>
      </c>
      <c r="AQ8" s="71">
        <f t="shared" si="1"/>
        <v>30.054999999999996</v>
      </c>
      <c r="AR8" s="71">
        <f>IFERROR(VLOOKUP(A8,Climatologia_TMED!A:U,9+$E$2,FALSE),"")</f>
        <v>28.663204007006499</v>
      </c>
      <c r="AS8" s="71">
        <f t="shared" si="2"/>
        <v>1.3917959929934973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20</v>
      </c>
      <c r="AQ9" s="71">
        <f t="shared" si="1"/>
        <v>30.055</v>
      </c>
      <c r="AR9" s="71">
        <f>IFERROR(VLOOKUP(A9,Climatologia_TMED!A:U,9+$E$2,FALSE),"")</f>
        <v>29.925161290322539</v>
      </c>
      <c r="AS9" s="71">
        <f t="shared" si="2"/>
        <v>0.12983870967746114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20</v>
      </c>
      <c r="AQ10" s="71">
        <f t="shared" si="1"/>
        <v>32.045000000000002</v>
      </c>
      <c r="AR10" s="71">
        <f>IFERROR(VLOOKUP(A10,Climatologia_TMED!A:U,9+$E$2,FALSE),"")</f>
        <v>29.55639347861802</v>
      </c>
      <c r="AS10" s="71">
        <f t="shared" si="2"/>
        <v>2.4886065213819819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20</v>
      </c>
      <c r="AQ11" s="71">
        <f t="shared" si="1"/>
        <v>33.14</v>
      </c>
      <c r="AR11" s="71">
        <f>IFERROR(VLOOKUP(A11,Climatologia_TMED!A:U,9+$E$2,FALSE),"")</f>
        <v>29.275519036173971</v>
      </c>
      <c r="AS11" s="71">
        <f t="shared" si="2"/>
        <v>3.8644809638260291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20</v>
      </c>
      <c r="AQ12" s="71">
        <f t="shared" si="1"/>
        <v>30.059999999999992</v>
      </c>
      <c r="AR12" s="71">
        <f>IFERROR(VLOOKUP(A12,Climatologia_TMED!A:U,9+$E$2,FALSE),"")</f>
        <v>28.08210560234475</v>
      </c>
      <c r="AS12" s="71">
        <f t="shared" si="2"/>
        <v>1.9778943976552412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20</v>
      </c>
      <c r="AQ13" s="71">
        <f t="shared" si="1"/>
        <v>30.979999999999997</v>
      </c>
      <c r="AR13" s="71">
        <f>IFERROR(VLOOKUP(A13,Climatologia_TMED!A:U,9+$E$2,FALSE),"")</f>
        <v>28.275630329996261</v>
      </c>
      <c r="AS13" s="71">
        <f t="shared" si="2"/>
        <v>2.7043696700037358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20</v>
      </c>
      <c r="AQ14" s="71">
        <f t="shared" si="1"/>
        <v>24.664999999999999</v>
      </c>
      <c r="AR14" s="71">
        <f>IFERROR(VLOOKUP(A14,Climatologia_TMED!A:U,9+$E$2,FALSE),"")</f>
        <v>21.814997932175341</v>
      </c>
      <c r="AS14" s="71">
        <f t="shared" si="2"/>
        <v>2.8500020678246578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20</v>
      </c>
      <c r="AQ15" s="71">
        <f t="shared" si="1"/>
        <v>30.895</v>
      </c>
      <c r="AR15" s="71">
        <f>IFERROR(VLOOKUP(A15,Climatologia_TMED!A:U,9+$E$2,FALSE),"")</f>
        <v>28.742611827956981</v>
      </c>
      <c r="AS15" s="71">
        <f t="shared" si="2"/>
        <v>2.1523881720430182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20</v>
      </c>
      <c r="AQ16" s="71">
        <f t="shared" si="1"/>
        <v>28.51</v>
      </c>
      <c r="AR16" s="71">
        <f>IFERROR(VLOOKUP(A16,Climatologia_TMED!A:U,9+$E$2,FALSE),"")</f>
        <v>27.745849035404088</v>
      </c>
      <c r="AS16" s="71">
        <f t="shared" si="2"/>
        <v>0.76415096459591325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20</v>
      </c>
      <c r="AQ17" s="71">
        <f t="shared" si="1"/>
        <v>25.804999999999996</v>
      </c>
      <c r="AR17" s="71">
        <f>IFERROR(VLOOKUP(A17,Climatologia_TMED!A:U,9+$E$2,FALSE),"")</f>
        <v>23.942684331797231</v>
      </c>
      <c r="AS17" s="71">
        <f t="shared" si="2"/>
        <v>1.8623156682027648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20</v>
      </c>
      <c r="AQ18" s="71">
        <f t="shared" si="1"/>
        <v>19.215000000000003</v>
      </c>
      <c r="AR18" s="71">
        <f>IFERROR(VLOOKUP(A18,Climatologia_TMED!A:U,9+$E$2,FALSE),"")</f>
        <v>17.429768704357489</v>
      </c>
      <c r="AS18" s="71">
        <f t="shared" si="2"/>
        <v>1.7852312956425145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20</v>
      </c>
      <c r="AQ19" s="71">
        <f t="shared" si="1"/>
        <v>24.59</v>
      </c>
      <c r="AR19" s="71">
        <f>IFERROR(VLOOKUP(A19,Climatologia_TMED!A:U,9+$E$2,FALSE),"")</f>
        <v>22.368290322580641</v>
      </c>
      <c r="AS19" s="71">
        <f t="shared" si="2"/>
        <v>2.2217096774193585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19</v>
      </c>
      <c r="AQ20" s="71">
        <f t="shared" si="1"/>
        <v>24.668421052631576</v>
      </c>
      <c r="AR20" s="71">
        <f>IFERROR(VLOOKUP(A20,Climatologia_TMED!A:U,9+$E$2,FALSE),"")</f>
        <v>22.807707609594701</v>
      </c>
      <c r="AS20" s="71">
        <f t="shared" si="2"/>
        <v>1.8607134430368752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20</v>
      </c>
      <c r="AQ21" s="71">
        <f t="shared" si="1"/>
        <v>28.315000000000005</v>
      </c>
      <c r="AR21" s="71">
        <f>IFERROR(VLOOKUP(A21,Climatologia_TMED!A:U,9+$E$2,FALSE),"")</f>
        <v>25.445872233516159</v>
      </c>
      <c r="AS21" s="71">
        <f t="shared" si="2"/>
        <v>2.8691277664838459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20</v>
      </c>
      <c r="AQ22" s="71">
        <f t="shared" si="1"/>
        <v>15.780000000000001</v>
      </c>
      <c r="AR22" s="71">
        <f>IFERROR(VLOOKUP(A22,Climatologia_TMED!A:U,9+$E$2,FALSE),"")</f>
        <v>13.827819728473219</v>
      </c>
      <c r="AS22" s="71">
        <f t="shared" si="2"/>
        <v>1.9521802715267818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19</v>
      </c>
      <c r="AQ23" s="71">
        <f t="shared" si="1"/>
        <v>26.226315789473684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20</v>
      </c>
      <c r="AQ24" s="71">
        <f t="shared" si="1"/>
        <v>30.630000000000006</v>
      </c>
      <c r="AR24" s="71">
        <f>IFERROR(VLOOKUP(A24,Climatologia_TMED!A:U,9+$E$2,FALSE),"")</f>
        <v>29.117078853046579</v>
      </c>
      <c r="AS24" s="71">
        <f t="shared" si="2"/>
        <v>1.5129211469534276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20</v>
      </c>
      <c r="AQ25" s="71">
        <f t="shared" si="1"/>
        <v>22.48</v>
      </c>
      <c r="AR25" s="71">
        <f>IFERROR(VLOOKUP(A25,Climatologia_TMED!A:U,9+$E$2,FALSE),"")</f>
        <v>20.318073144829391</v>
      </c>
      <c r="AS25" s="71">
        <f t="shared" si="2"/>
        <v>2.1619268551706092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20</v>
      </c>
      <c r="AQ26" s="71">
        <f t="shared" si="1"/>
        <v>11.514999999999997</v>
      </c>
      <c r="AR26" s="71">
        <f>IFERROR(VLOOKUP(A26,Climatologia_TMED!A:U,9+$E$2,FALSE),"")</f>
        <v>10.2499147200593</v>
      </c>
      <c r="AS26" s="71">
        <f t="shared" si="2"/>
        <v>1.2650852799406973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20</v>
      </c>
      <c r="AQ27" s="71">
        <f t="shared" si="1"/>
        <v>28.24</v>
      </c>
      <c r="AR27" s="71">
        <f>IFERROR(VLOOKUP(A27,Climatologia_TMED!A:U,9+$E$2,FALSE),"")</f>
        <v>26.978227598566299</v>
      </c>
      <c r="AS27" s="71">
        <f t="shared" si="2"/>
        <v>1.2617724014336993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20</v>
      </c>
      <c r="AQ28" s="71">
        <f t="shared" si="1"/>
        <v>27.809999999999995</v>
      </c>
      <c r="AR28" s="71">
        <f>IFERROR(VLOOKUP(A28,Climatologia_TMED!A:U,9+$E$2,FALSE),"")</f>
        <v>26.165451660622249</v>
      </c>
      <c r="AS28" s="71">
        <f t="shared" si="2"/>
        <v>1.6445483393777458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20</v>
      </c>
      <c r="AQ29" s="71">
        <f t="shared" si="1"/>
        <v>27.775000000000006</v>
      </c>
      <c r="AR29" s="71">
        <f>IFERROR(VLOOKUP(A29,Climatologia_TMED!A:U,9+$E$2,FALSE),"")</f>
        <v>27.268435099846361</v>
      </c>
      <c r="AS29" s="71">
        <f t="shared" si="2"/>
        <v>0.50656490015364497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20</v>
      </c>
      <c r="AQ30" s="71">
        <f t="shared" si="1"/>
        <v>26.125000000000007</v>
      </c>
      <c r="AR30" s="71">
        <f>IFERROR(VLOOKUP(A30,Climatologia_TMED!A:U,9+$E$2,FALSE),"")</f>
        <v>25.205756395995511</v>
      </c>
      <c r="AS30" s="71">
        <f t="shared" si="2"/>
        <v>0.91924360400449601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20</v>
      </c>
      <c r="AQ31" s="71">
        <f t="shared" si="1"/>
        <v>27.559999999999995</v>
      </c>
      <c r="AR31" s="71">
        <f>IFERROR(VLOOKUP(A31,Climatologia_TMED!A:U,9+$E$2,FALSE),"")</f>
        <v>25.960296951277201</v>
      </c>
      <c r="AS31" s="71">
        <f t="shared" si="2"/>
        <v>1.5997030487227946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20</v>
      </c>
      <c r="AQ32" s="71">
        <f t="shared" si="1"/>
        <v>20.226666666666667</v>
      </c>
      <c r="AR32" s="71">
        <f>IFERROR(VLOOKUP(A32,Climatologia_TMED!A:U,9+$E$2,FALSE),"")</f>
        <v>17.69892835396929</v>
      </c>
      <c r="AS32" s="71">
        <f t="shared" si="2"/>
        <v>2.5277383126973767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20</v>
      </c>
      <c r="AQ33" s="71">
        <f t="shared" si="1"/>
        <v>28.092500000000001</v>
      </c>
      <c r="AR33" s="71">
        <f>IFERROR(VLOOKUP(A33,Climatologia_TMED!A:U,9+$E$2,FALSE),"")</f>
        <v>26.885476337530289</v>
      </c>
      <c r="AS33" s="71">
        <f t="shared" si="2"/>
        <v>1.2070236624697124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19</v>
      </c>
      <c r="AQ34" s="71">
        <f t="shared" si="1"/>
        <v>21.624561403508768</v>
      </c>
      <c r="AR34" s="71">
        <f>IFERROR(VLOOKUP(A34,Climatologia_TMED!A:U,9+$E$2,FALSE),"")</f>
        <v>19.861806556333011</v>
      </c>
      <c r="AS34" s="71">
        <f t="shared" si="2"/>
        <v>1.7627548471757564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20</v>
      </c>
      <c r="AQ35" s="71">
        <f t="shared" si="1"/>
        <v>25.253750000000004</v>
      </c>
      <c r="AR35" s="71">
        <f>IFERROR(VLOOKUP(A35,Climatologia_TMED!A:U,9+$E$2,FALSE),"")</f>
        <v>24.163939937062029</v>
      </c>
      <c r="AS35" s="71">
        <f t="shared" si="2"/>
        <v>1.0898100629379748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20</v>
      </c>
      <c r="AQ36" s="71">
        <f t="shared" si="1"/>
        <v>20.115000000000002</v>
      </c>
      <c r="AR36" s="71">
        <f>IFERROR(VLOOKUP(A36,Climatologia_TMED!A:U,9+$E$2,FALSE),"")</f>
        <v>18.948390779307498</v>
      </c>
      <c r="AS36" s="71">
        <f t="shared" si="2"/>
        <v>1.1666092206925036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20</v>
      </c>
      <c r="AQ37" s="71">
        <f t="shared" si="1"/>
        <v>27.964999999999996</v>
      </c>
      <c r="AR37" s="71">
        <f>IFERROR(VLOOKUP(A37,Climatologia_TMED!A:U,9+$E$2,FALSE),"")</f>
        <v>26.09341273397051</v>
      </c>
      <c r="AS37" s="71">
        <f t="shared" si="2"/>
        <v>1.8715872660294863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19</v>
      </c>
      <c r="AQ38" s="71">
        <f t="shared" si="1"/>
        <v>16.181578947368422</v>
      </c>
      <c r="AR38" s="71">
        <f>IFERROR(VLOOKUP(A38,Climatologia_TMED!A:U,9+$E$2,FALSE),"")</f>
        <v>15.0852109133605</v>
      </c>
      <c r="AS38" s="71">
        <f t="shared" si="2"/>
        <v>1.0963680340079218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20</v>
      </c>
      <c r="AQ39" s="71">
        <f t="shared" si="1"/>
        <v>23.099999999999994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15</v>
      </c>
      <c r="AQ40" s="71">
        <f t="shared" si="1"/>
        <v>25.6</v>
      </c>
      <c r="AR40" s="71">
        <f>IFERROR(VLOOKUP(A40,Climatologia_TMED!A:U,9+$E$2,FALSE),"")</f>
        <v>22.98415856403572</v>
      </c>
      <c r="AS40" s="71">
        <f t="shared" si="2"/>
        <v>2.6158414359642812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20.568518518518516</v>
      </c>
      <c r="AR41" s="71">
        <f>IFERROR(VLOOKUP(A41,Climatologia_TMED!A:U,9+$E$2,FALSE),"")</f>
        <v>18.50720543555942</v>
      </c>
      <c r="AS41" s="71">
        <f t="shared" si="2"/>
        <v>2.0613130829590958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20</v>
      </c>
      <c r="AQ42" s="71">
        <f t="shared" si="1"/>
        <v>28.1</v>
      </c>
      <c r="AR42" s="71">
        <f>IFERROR(VLOOKUP(A42,Climatologia_TMED!A:U,9+$E$2,FALSE),"")</f>
        <v>27.517114695340499</v>
      </c>
      <c r="AS42" s="71">
        <f t="shared" si="2"/>
        <v>0.58288530465950217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20</v>
      </c>
      <c r="AQ43" s="71">
        <f t="shared" si="1"/>
        <v>29.445000000000004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20</v>
      </c>
      <c r="AQ44" s="71">
        <f t="shared" si="1"/>
        <v>28.727500000000003</v>
      </c>
      <c r="AR44" s="71">
        <f>IFERROR(VLOOKUP(A44,Climatologia_TMED!A:U,9+$E$2,FALSE),"")</f>
        <v>27.22851750737534</v>
      </c>
      <c r="AS44" s="71">
        <f t="shared" si="2"/>
        <v>1.4989824926246627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20</v>
      </c>
      <c r="AQ45" s="71">
        <f t="shared" si="1"/>
        <v>29.26</v>
      </c>
      <c r="AR45" s="71">
        <f>IFERROR(VLOOKUP(A45,Climatologia_TMED!A:U,9+$E$2,FALSE),"")</f>
        <v>27.597106102685618</v>
      </c>
      <c r="AS45" s="71">
        <f t="shared" si="2"/>
        <v>1.6628938973143832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20</v>
      </c>
      <c r="AQ46" s="71">
        <f t="shared" si="1"/>
        <v>28.948749999999997</v>
      </c>
      <c r="AR46" s="71">
        <f>IFERROR(VLOOKUP(A46,Climatologia_TMED!A:U,9+$E$2,FALSE),"")</f>
        <v>27.738976943755159</v>
      </c>
      <c r="AS46" s="71">
        <f t="shared" si="2"/>
        <v>1.2097730562448383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18</v>
      </c>
      <c r="AQ47" s="71">
        <f t="shared" si="1"/>
        <v>30.079629629629625</v>
      </c>
      <c r="AR47" s="71">
        <f>IFERROR(VLOOKUP(A47,Climatologia_TMED!A:U,9+$E$2,FALSE),"")</f>
        <v>27.87742247854888</v>
      </c>
      <c r="AS47" s="71">
        <f t="shared" si="2"/>
        <v>2.2022071510807457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20</v>
      </c>
      <c r="AQ50" s="71">
        <f t="shared" si="1"/>
        <v>29.182500000000005</v>
      </c>
      <c r="AR50" s="71">
        <f>IFERROR(VLOOKUP(A50,Climatologia_TMED!A:U,9+$E$2,FALSE),"")</f>
        <v>27.21920614995987</v>
      </c>
      <c r="AS50" s="71">
        <f t="shared" si="2"/>
        <v>1.9632938500401345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20</v>
      </c>
      <c r="AQ53" s="71">
        <f t="shared" si="1"/>
        <v>28.902499999999996</v>
      </c>
      <c r="AR53" s="71">
        <f>IFERROR(VLOOKUP(A53,Climatologia_TMED!A:U,9+$E$2,FALSE),"")</f>
        <v>27.2190910764708</v>
      </c>
      <c r="AS53" s="71">
        <f t="shared" si="2"/>
        <v>1.6834089235291962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20</v>
      </c>
      <c r="AQ54" s="71">
        <f t="shared" si="1"/>
        <v>30.1675</v>
      </c>
      <c r="AR54" s="71">
        <f>IFERROR(VLOOKUP(A54,Climatologia_TMED!A:U,9+$E$2,FALSE),"")</f>
        <v>28.41139216335926</v>
      </c>
      <c r="AS54" s="71">
        <f t="shared" si="2"/>
        <v>1.7561078366407408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19</v>
      </c>
      <c r="AQ55" s="71">
        <f t="shared" si="1"/>
        <v>30.586842105263155</v>
      </c>
      <c r="AR55" s="71">
        <f>IFERROR(VLOOKUP(A55,Climatologia_TMED!A:U,9+$E$2,FALSE),"")</f>
        <v>28.417502124868491</v>
      </c>
      <c r="AS55" s="71">
        <f t="shared" si="2"/>
        <v>2.169339980394664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20</v>
      </c>
      <c r="AQ59" s="71">
        <f t="shared" si="1"/>
        <v>28.972500000000004</v>
      </c>
      <c r="AR59" s="71">
        <f>IFERROR(VLOOKUP(A59,Climatologia_TMED!A:U,9+$E$2,FALSE),"")</f>
        <v>27.95576397141701</v>
      </c>
      <c r="AS59" s="71">
        <f t="shared" si="2"/>
        <v>1.0167360285829936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20</v>
      </c>
      <c r="AQ61" s="71">
        <f t="shared" si="1"/>
        <v>27.187500000000007</v>
      </c>
      <c r="AR61" s="71">
        <f>IFERROR(VLOOKUP(A61,Climatologia_TMED!A:U,9+$E$2,FALSE),"")</f>
        <v>26.14540821795481</v>
      </c>
      <c r="AS61" s="71">
        <f t="shared" si="2"/>
        <v>1.0420917820451976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19</v>
      </c>
      <c r="AQ62" s="71">
        <f t="shared" si="1"/>
        <v>26.698245614035084</v>
      </c>
      <c r="AR62" s="71">
        <f>IFERROR(VLOOKUP(A62,Climatologia_TMED!A:U,9+$E$2,FALSE),"")</f>
        <v>25.12904940316772</v>
      </c>
      <c r="AS62" s="71">
        <f t="shared" si="2"/>
        <v>1.5691962108673643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20</v>
      </c>
      <c r="AQ65" s="71">
        <f t="shared" si="1"/>
        <v>26.012499999999999</v>
      </c>
      <c r="AR65" s="71">
        <f>IFERROR(VLOOKUP(A65,Climatologia_TMED!A:U,9+$E$2,FALSE),"")</f>
        <v>25.359269039673709</v>
      </c>
      <c r="AS65" s="71">
        <f t="shared" si="2"/>
        <v>0.65323096032629024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20</v>
      </c>
      <c r="AQ66" s="71">
        <f t="shared" si="1"/>
        <v>26</v>
      </c>
      <c r="AR66" s="71">
        <f>IFERROR(VLOOKUP(A66,Climatologia_TMED!A:U,9+$E$2,FALSE),"")</f>
        <v>25.449219842417062</v>
      </c>
      <c r="AS66" s="71">
        <f t="shared" si="2"/>
        <v>0.5507801575829383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19</v>
      </c>
      <c r="AQ67" s="71">
        <f t="shared" si="1"/>
        <v>26.363157894736844</v>
      </c>
      <c r="AR67" s="71">
        <f>IFERROR(VLOOKUP(A67,Climatologia_TMED!A:U,9+$E$2,FALSE),"")</f>
        <v>25.277101656093599</v>
      </c>
      <c r="AS67" s="71">
        <f t="shared" si="2"/>
        <v>1.0860562386432449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20</v>
      </c>
      <c r="AQ68" s="71">
        <f t="shared" si="1"/>
        <v>25.757499999999993</v>
      </c>
      <c r="AR68" s="71">
        <f>IFERROR(VLOOKUP(A68,Climatologia_TMED!A:U,9+$E$2,FALSE),"")</f>
        <v>25.105050309426691</v>
      </c>
      <c r="AS68" s="71">
        <f t="shared" si="2"/>
        <v>0.65244969057330238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20</v>
      </c>
      <c r="AQ69" s="71">
        <f t="shared" ref="AQ69:AQ132" si="4">IF(AP69&gt;14,AVERAGE(K69:AO69),"")</f>
        <v>25.527499999999996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0.66776586578169628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16</v>
      </c>
      <c r="AQ70" s="71">
        <f t="shared" si="4"/>
        <v>27.46458333333333</v>
      </c>
      <c r="AR70" s="71">
        <f>IFERROR(VLOOKUP(A70,Climatologia_TMED!A:U,9+$E$2,FALSE),"")</f>
        <v>26.28861277959394</v>
      </c>
      <c r="AS70" s="71">
        <f t="shared" si="5"/>
        <v>1.1759705537393899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20</v>
      </c>
      <c r="AQ71" s="71">
        <f t="shared" si="4"/>
        <v>26.505000000000003</v>
      </c>
      <c r="AR71" s="71">
        <f>IFERROR(VLOOKUP(A71,Climatologia_TMED!A:U,9+$E$2,FALSE),"")</f>
        <v>26.117252164977831</v>
      </c>
      <c r="AS71" s="71">
        <f t="shared" si="5"/>
        <v>0.38774783502217147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19</v>
      </c>
      <c r="AQ72" s="71">
        <f t="shared" si="4"/>
        <v>25.996491228070177</v>
      </c>
      <c r="AR72" s="71">
        <f>IFERROR(VLOOKUP(A72,Climatologia_TMED!A:U,9+$E$2,FALSE),"")</f>
        <v>25.27783516958878</v>
      </c>
      <c r="AS72" s="71">
        <f t="shared" si="5"/>
        <v>0.7186560584813968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>
        <v>23.3</v>
      </c>
      <c r="AD74" s="56">
        <v>21.7</v>
      </c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19</v>
      </c>
      <c r="AQ74" s="71">
        <f t="shared" si="4"/>
        <v>21.36578947368421</v>
      </c>
      <c r="AR74" s="71">
        <f>IFERROR(VLOOKUP(A74,Climatologia_TMED!A:U,9+$E$2,FALSE),"")</f>
        <v>20.33780487249993</v>
      </c>
      <c r="AS74" s="71">
        <f t="shared" si="5"/>
        <v>1.0279846011842793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19</v>
      </c>
      <c r="AQ75" s="71">
        <f t="shared" si="4"/>
        <v>15.856140350877192</v>
      </c>
      <c r="AR75" s="71">
        <f>IFERROR(VLOOKUP(A75,Climatologia_TMED!A:U,9+$E$2,FALSE),"")</f>
        <v>15.196816531610249</v>
      </c>
      <c r="AS75" s="71">
        <f t="shared" si="5"/>
        <v>0.65932381926694283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20</v>
      </c>
      <c r="AQ76" s="71">
        <f t="shared" si="4"/>
        <v>20.767499999999995</v>
      </c>
      <c r="AR76" s="71">
        <f>IFERROR(VLOOKUP(A76,Climatologia_TMED!A:U,9+$E$2,FALSE),"")</f>
        <v>19.97314578052206</v>
      </c>
      <c r="AS76" s="71">
        <f t="shared" si="5"/>
        <v>0.79435421947793472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20</v>
      </c>
      <c r="AQ77" s="71">
        <f t="shared" si="4"/>
        <v>24.729999999999997</v>
      </c>
      <c r="AR77" s="71">
        <f>IFERROR(VLOOKUP(A77,Climatologia_TMED!A:U,9+$E$2,FALSE),"")</f>
        <v>23.041557017477079</v>
      </c>
      <c r="AS77" s="71">
        <f t="shared" si="5"/>
        <v>1.6884429825229184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19</v>
      </c>
      <c r="AQ78" s="71">
        <f t="shared" si="4"/>
        <v>32.099999999999994</v>
      </c>
      <c r="AR78" s="71">
        <f>IFERROR(VLOOKUP(A78,Climatologia_TMED!A:U,9+$E$2,FALSE),"")</f>
        <v>30.200545349460899</v>
      </c>
      <c r="AS78" s="71">
        <f t="shared" si="5"/>
        <v>1.899454650539095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20</v>
      </c>
      <c r="AQ79" s="71">
        <f t="shared" si="4"/>
        <v>31.75</v>
      </c>
      <c r="AR79" s="71">
        <f>IFERROR(VLOOKUP(A79,Climatologia_TMED!A:U,9+$E$2,FALSE),"")</f>
        <v>30.2833215669562</v>
      </c>
      <c r="AS79" s="71">
        <f t="shared" si="5"/>
        <v>1.4666784330437999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20</v>
      </c>
      <c r="AQ80" s="71">
        <f t="shared" si="4"/>
        <v>21.233333333333334</v>
      </c>
      <c r="AR80" s="71">
        <f>IFERROR(VLOOKUP(A80,Climatologia_TMED!A:U,9+$E$2,FALSE),"")</f>
        <v>19.906859619029429</v>
      </c>
      <c r="AS80" s="71">
        <f t="shared" si="5"/>
        <v>1.3264737143039049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20</v>
      </c>
      <c r="AQ81" s="71">
        <f t="shared" si="4"/>
        <v>25.052500000000002</v>
      </c>
      <c r="AR81" s="71">
        <f>IFERROR(VLOOKUP(A81,Climatologia_TMED!A:U,9+$E$2,FALSE),"")</f>
        <v>24.759854360077661</v>
      </c>
      <c r="AS81" s="71">
        <f t="shared" si="5"/>
        <v>0.29264563992234116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19</v>
      </c>
      <c r="AQ82" s="71">
        <f t="shared" si="4"/>
        <v>26.673684210526314</v>
      </c>
      <c r="AR82" s="71">
        <f>IFERROR(VLOOKUP(A82,Climatologia_TMED!A:U,9+$E$2,FALSE),"")</f>
        <v>25.773428481765642</v>
      </c>
      <c r="AS82" s="71">
        <f t="shared" si="5"/>
        <v>0.90025572876067272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20</v>
      </c>
      <c r="AQ85" s="71">
        <f t="shared" si="4"/>
        <v>32.055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18</v>
      </c>
      <c r="AQ86" s="71">
        <f t="shared" si="4"/>
        <v>30.399999999999995</v>
      </c>
      <c r="AR86" s="71">
        <f>IFERROR(VLOOKUP(A86,Climatologia_TMED!A:U,9+$E$2,FALSE),"")</f>
        <v>28.83382033964488</v>
      </c>
      <c r="AS86" s="71">
        <f t="shared" si="5"/>
        <v>1.5661796603551146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18</v>
      </c>
      <c r="AQ87" s="71">
        <f t="shared" si="4"/>
        <v>30.929166666666667</v>
      </c>
      <c r="AR87" s="71">
        <f>IFERROR(VLOOKUP(A87,Climatologia_TMED!A:U,9+$E$2,FALSE),"")</f>
        <v>28.894325312819621</v>
      </c>
      <c r="AS87" s="71">
        <f t="shared" si="5"/>
        <v>2.034841353847046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20</v>
      </c>
      <c r="AQ88" s="71">
        <f t="shared" si="4"/>
        <v>30.285000000000004</v>
      </c>
      <c r="AR88" s="71">
        <f>IFERROR(VLOOKUP(A88,Climatologia_TMED!A:U,9+$E$2,FALSE),"")</f>
        <v>28.344159946236552</v>
      </c>
      <c r="AS88" s="71">
        <f t="shared" si="5"/>
        <v>1.940840053763452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17</v>
      </c>
      <c r="AQ89" s="71">
        <f t="shared" si="4"/>
        <v>32.891176470588242</v>
      </c>
      <c r="AR89" s="71">
        <f>IFERROR(VLOOKUP(A89,Climatologia_TMED!A:U,9+$E$2,FALSE),"")</f>
        <v>29.044183635472439</v>
      </c>
      <c r="AS89" s="71">
        <f t="shared" si="5"/>
        <v>3.8469928351158025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20</v>
      </c>
      <c r="AQ90" s="71">
        <f t="shared" si="4"/>
        <v>32.383749999999999</v>
      </c>
      <c r="AR90" s="71">
        <f>IFERROR(VLOOKUP(A90,Climatologia_TMED!A:U,9+$E$2,FALSE),"")</f>
        <v>28.656630487957131</v>
      </c>
      <c r="AS90" s="71">
        <f t="shared" si="5"/>
        <v>3.7271195120428686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17</v>
      </c>
      <c r="AQ91" s="71">
        <f t="shared" si="4"/>
        <v>32.464705882352938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20</v>
      </c>
      <c r="AQ92" s="71">
        <f t="shared" si="4"/>
        <v>17.874999999999996</v>
      </c>
      <c r="AR92" s="71">
        <f>IFERROR(VLOOKUP(A92,Climatologia_TMED!A:U,9+$E$2,FALSE),"")</f>
        <v>16.21673046594978</v>
      </c>
      <c r="AS92" s="71">
        <f t="shared" si="5"/>
        <v>1.6582695340502163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20</v>
      </c>
      <c r="AQ93" s="71">
        <f t="shared" si="4"/>
        <v>24.848333333333336</v>
      </c>
      <c r="AR93" s="71">
        <f>IFERROR(VLOOKUP(A93,Climatologia_TMED!A:U,9+$E$2,FALSE),"")</f>
        <v>22.373011505376319</v>
      </c>
      <c r="AS93" s="71">
        <f t="shared" si="5"/>
        <v>2.4753218279570177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18</v>
      </c>
      <c r="AQ94" s="71">
        <f t="shared" si="4"/>
        <v>17.594444444444445</v>
      </c>
      <c r="AR94" s="71">
        <f>IFERROR(VLOOKUP(A94,Climatologia_TMED!A:U,9+$E$2,FALSE),"")</f>
        <v>16.186325847907689</v>
      </c>
      <c r="AS94" s="71">
        <f t="shared" si="5"/>
        <v>1.408118596536756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20</v>
      </c>
      <c r="AQ95" s="71">
        <f t="shared" si="4"/>
        <v>15.247500000000002</v>
      </c>
      <c r="AR95" s="71">
        <f>IFERROR(VLOOKUP(A95,Climatologia_TMED!A:U,9+$E$2,FALSE),"")</f>
        <v>13.65433628672837</v>
      </c>
      <c r="AS95" s="71">
        <f t="shared" si="5"/>
        <v>1.5931637132716325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2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20</v>
      </c>
      <c r="AQ98" s="71">
        <f t="shared" si="4"/>
        <v>13.115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20</v>
      </c>
      <c r="AQ99" s="71">
        <f t="shared" si="4"/>
        <v>15.175000000000002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19</v>
      </c>
      <c r="AQ100" s="71">
        <f t="shared" si="4"/>
        <v>16.112280701754386</v>
      </c>
      <c r="AR100" s="71">
        <f>IFERROR(VLOOKUP(A100,Climatologia_TMED!A:U,9+$E$2,FALSE),"")</f>
        <v>14.335275908930971</v>
      </c>
      <c r="AS100" s="71">
        <f t="shared" si="5"/>
        <v>1.7770047928234156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20</v>
      </c>
      <c r="AQ101" s="71">
        <f t="shared" si="4"/>
        <v>13.547499999999996</v>
      </c>
      <c r="AR101" s="71">
        <f>IFERROR(VLOOKUP(A101,Climatologia_TMED!A:U,9+$E$2,FALSE),"")</f>
        <v>12.395793750638649</v>
      </c>
      <c r="AS101" s="71">
        <f t="shared" si="5"/>
        <v>1.1517062493613466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17</v>
      </c>
      <c r="AQ102" s="71">
        <f t="shared" si="4"/>
        <v>13.113725490196078</v>
      </c>
      <c r="AR102" s="71">
        <f>IFERROR(VLOOKUP(A102,Climatologia_TMED!A:U,9+$E$2,FALSE),"")</f>
        <v>11.348393880387549</v>
      </c>
      <c r="AS102" s="71">
        <f t="shared" si="5"/>
        <v>1.7653316098085288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16</v>
      </c>
      <c r="AQ105" s="71">
        <f t="shared" si="4"/>
        <v>18.841666666666669</v>
      </c>
      <c r="AR105" s="71">
        <f>IFERROR(VLOOKUP(A105,Climatologia_TMED!A:U,9+$E$2,FALSE),"")</f>
        <v>17.222389051882701</v>
      </c>
      <c r="AS105" s="71">
        <f t="shared" si="5"/>
        <v>1.619277614783968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16</v>
      </c>
      <c r="AQ107" s="71">
        <f t="shared" si="4"/>
        <v>14.05625</v>
      </c>
      <c r="AR107" s="71">
        <f>IFERROR(VLOOKUP(A107,Climatologia_TMED!A:U,9+$E$2,FALSE),"")</f>
        <v>13.6270649143767</v>
      </c>
      <c r="AS107" s="71">
        <f t="shared" si="5"/>
        <v>0.42918508562330082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20</v>
      </c>
      <c r="AQ108" s="71">
        <f t="shared" si="4"/>
        <v>14.280000000000001</v>
      </c>
      <c r="AR108" s="71">
        <f>IFERROR(VLOOKUP(A108,Climatologia_TMED!A:U,9+$E$2,FALSE),"")</f>
        <v>14.24758963832916</v>
      </c>
      <c r="AS108" s="71">
        <f t="shared" si="5"/>
        <v>3.2410361670841326E-2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20</v>
      </c>
      <c r="AQ109" s="71">
        <f t="shared" si="4"/>
        <v>14.929999999999998</v>
      </c>
      <c r="AR109" s="71">
        <f>IFERROR(VLOOKUP(A109,Climatologia_TMED!A:U,9+$E$2,FALSE),"")</f>
        <v>13.718935791090621</v>
      </c>
      <c r="AS109" s="71">
        <f t="shared" si="5"/>
        <v>1.2110642089093773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16</v>
      </c>
      <c r="AQ110" s="71">
        <f t="shared" si="4"/>
        <v>17.637499999999999</v>
      </c>
      <c r="AR110" s="71">
        <f>IFERROR(VLOOKUP(A110,Climatologia_TMED!A:U,9+$E$2,FALSE),"")</f>
        <v>17.072890642646779</v>
      </c>
      <c r="AS110" s="71">
        <f t="shared" si="5"/>
        <v>0.56460935735321982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20</v>
      </c>
      <c r="AQ111" s="71">
        <f t="shared" si="4"/>
        <v>16.196666666666665</v>
      </c>
      <c r="AR111" s="71">
        <f>IFERROR(VLOOKUP(A111,Climatologia_TMED!A:U,9+$E$2,FALSE),"")</f>
        <v>15.45884618025514</v>
      </c>
      <c r="AS111" s="71">
        <f t="shared" si="5"/>
        <v>0.73782048641152542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20</v>
      </c>
      <c r="AQ112" s="71">
        <f t="shared" si="4"/>
        <v>18.445</v>
      </c>
      <c r="AR112" s="71">
        <f>IFERROR(VLOOKUP(A112,Climatologia_TMED!A:U,9+$E$2,FALSE),"")</f>
        <v>16.69989368729069</v>
      </c>
      <c r="AS112" s="71">
        <f t="shared" si="5"/>
        <v>1.7451063127093107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18</v>
      </c>
      <c r="AQ113" s="71">
        <f t="shared" si="4"/>
        <v>19.462962962962965</v>
      </c>
      <c r="AR113" s="71">
        <f>IFERROR(VLOOKUP(A113,Climatologia_TMED!A:U,9+$E$2,FALSE),"")</f>
        <v>18.084103151649959</v>
      </c>
      <c r="AS113" s="71">
        <f t="shared" si="5"/>
        <v>1.3788598113130064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17</v>
      </c>
      <c r="AQ114" s="71">
        <f t="shared" si="4"/>
        <v>22.501960784313724</v>
      </c>
      <c r="AR114" s="71">
        <f>IFERROR(VLOOKUP(A114,Climatologia_TMED!A:U,9+$E$2,FALSE),"")</f>
        <v>20.406627759107511</v>
      </c>
      <c r="AS114" s="71">
        <f t="shared" si="5"/>
        <v>2.0953330252062123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20</v>
      </c>
      <c r="AQ115" s="71">
        <f t="shared" si="4"/>
        <v>27.32</v>
      </c>
      <c r="AR115" s="71">
        <f>IFERROR(VLOOKUP(A115,Climatologia_TMED!A:U,9+$E$2,FALSE),"")</f>
        <v>26.548363201911549</v>
      </c>
      <c r="AS115" s="71">
        <f t="shared" si="5"/>
        <v>0.77163679808845131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20</v>
      </c>
      <c r="AQ116" s="71">
        <f t="shared" si="4"/>
        <v>19.52</v>
      </c>
      <c r="AR116" s="71">
        <f>IFERROR(VLOOKUP(A116,Climatologia_TMED!A:U,9+$E$2,FALSE),"")</f>
        <v>18.451479726130369</v>
      </c>
      <c r="AS116" s="71">
        <f t="shared" si="5"/>
        <v>1.0685202738696304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18</v>
      </c>
      <c r="AQ117" s="71">
        <f t="shared" si="4"/>
        <v>27.162962962962965</v>
      </c>
      <c r="AR117" s="71">
        <f>IFERROR(VLOOKUP(A117,Climatologia_TMED!A:U,9+$E$2,FALSE),"")</f>
        <v>25.726306451612881</v>
      </c>
      <c r="AS117" s="71">
        <f t="shared" si="5"/>
        <v>1.4366565113500833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18</v>
      </c>
      <c r="AQ118" s="71">
        <f t="shared" si="4"/>
        <v>30.159259259259258</v>
      </c>
      <c r="AR118" s="71">
        <f>IFERROR(VLOOKUP(A118,Climatologia_TMED!A:U,9+$E$2,FALSE),"")</f>
        <v>26.064774193548381</v>
      </c>
      <c r="AS118" s="71">
        <f t="shared" si="5"/>
        <v>4.0944850657108773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17</v>
      </c>
      <c r="AQ119" s="71">
        <f t="shared" si="4"/>
        <v>23.996078431372549</v>
      </c>
      <c r="AR119" s="71">
        <f>IFERROR(VLOOKUP(A119,Climatologia_TMED!A:U,9+$E$2,FALSE),"")</f>
        <v>22.097715053763402</v>
      </c>
      <c r="AS119" s="71">
        <f t="shared" si="5"/>
        <v>1.8983633776091473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20</v>
      </c>
      <c r="AQ122" s="71">
        <f t="shared" si="4"/>
        <v>12.620000000000001</v>
      </c>
      <c r="AR122" s="71">
        <f>IFERROR(VLOOKUP(A122,Climatologia_TMED!A:U,9+$E$2,FALSE),"")</f>
        <v>10.160420312062531</v>
      </c>
      <c r="AS122" s="71">
        <f t="shared" si="5"/>
        <v>2.4595796879374703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19</v>
      </c>
      <c r="AQ124" s="71">
        <f t="shared" si="4"/>
        <v>15.438596491228068</v>
      </c>
      <c r="AR124" s="71">
        <f>IFERROR(VLOOKUP(A124,Climatologia_TMED!A:U,9+$E$2,FALSE),"")</f>
        <v>15.061040072324371</v>
      </c>
      <c r="AS124" s="71">
        <f t="shared" si="5"/>
        <v>0.37755641890369773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14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20</v>
      </c>
      <c r="AQ130" s="71">
        <f t="shared" si="4"/>
        <v>15.625</v>
      </c>
      <c r="AR130" s="71">
        <f>IFERROR(VLOOKUP(A130,Climatologia_TMED!A:U,9+$E$2,FALSE),"")</f>
        <v>14.37068910561999</v>
      </c>
      <c r="AS130" s="71">
        <f t="shared" si="5"/>
        <v>1.2543108943800103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19</v>
      </c>
      <c r="AQ131" s="71">
        <f t="shared" si="4"/>
        <v>18.384210526315787</v>
      </c>
      <c r="AR131" s="71">
        <f>IFERROR(VLOOKUP(A131,Climatologia_TMED!A:U,9+$E$2,FALSE),"")</f>
        <v>17.018039759621502</v>
      </c>
      <c r="AS131" s="71">
        <f t="shared" si="5"/>
        <v>1.3661707666942853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20</v>
      </c>
      <c r="AQ133" s="71">
        <f t="shared" ref="AQ133:AQ196" si="7">IF(AP133&gt;14,AVERAGE(K133:AO133),"")</f>
        <v>13.631666666666669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0.99960221562640861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20</v>
      </c>
      <c r="AQ134" s="71">
        <f t="shared" si="7"/>
        <v>17.813333333333333</v>
      </c>
      <c r="AR134" s="71">
        <f>IFERROR(VLOOKUP(A134,Climatologia_TMED!A:U,9+$E$2,FALSE),"")</f>
        <v>15.77617103004156</v>
      </c>
      <c r="AS134" s="71">
        <f t="shared" si="8"/>
        <v>2.0371623032917725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19</v>
      </c>
      <c r="AQ135" s="71">
        <f t="shared" si="7"/>
        <v>20.90657894736842</v>
      </c>
      <c r="AR135" s="71">
        <f>IFERROR(VLOOKUP(A135,Climatologia_TMED!A:U,9+$E$2,FALSE),"")</f>
        <v>19.08404124452408</v>
      </c>
      <c r="AS135" s="71">
        <f t="shared" si="8"/>
        <v>1.8225377028443397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>
        <v>9.4666666666666668</v>
      </c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20</v>
      </c>
      <c r="AQ136" s="71">
        <f t="shared" si="7"/>
        <v>10.870000000000001</v>
      </c>
      <c r="AR136" s="71">
        <f>IFERROR(VLOOKUP(A136,Climatologia_TMED!A:U,9+$E$2,FALSE),"")</f>
        <v>10.862936379928311</v>
      </c>
      <c r="AS136" s="71">
        <f t="shared" si="8"/>
        <v>7.0636200716904796E-3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19</v>
      </c>
      <c r="AQ138" s="71">
        <f t="shared" si="7"/>
        <v>22.491228070175438</v>
      </c>
      <c r="AR138" s="71">
        <f>IFERROR(VLOOKUP(A138,Climatologia_TMED!A:U,9+$E$2,FALSE),"")</f>
        <v>20.235550356930549</v>
      </c>
      <c r="AS138" s="71">
        <f t="shared" si="8"/>
        <v>2.2556777132448893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20</v>
      </c>
      <c r="AQ139" s="71">
        <f t="shared" si="7"/>
        <v>13.7125</v>
      </c>
      <c r="AR139" s="71">
        <f>IFERROR(VLOOKUP(A139,Climatologia_TMED!A:U,9+$E$2,FALSE),"")</f>
        <v>12.97471752858849</v>
      </c>
      <c r="AS139" s="71">
        <f t="shared" si="8"/>
        <v>0.73778247141150999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19</v>
      </c>
      <c r="AQ140" s="71">
        <f t="shared" si="7"/>
        <v>16.418421052631579</v>
      </c>
      <c r="AR140" s="71">
        <f>IFERROR(VLOOKUP(A140,Climatologia_TMED!A:U,9+$E$2,FALSE),"")</f>
        <v>15.718876344086</v>
      </c>
      <c r="AS140" s="71">
        <f t="shared" si="8"/>
        <v>0.69954470854557904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20</v>
      </c>
      <c r="AQ141" s="71">
        <f t="shared" si="7"/>
        <v>13.156666666666666</v>
      </c>
      <c r="AR141" s="71">
        <f>IFERROR(VLOOKUP(A141,Climatologia_TMED!A:U,9+$E$2,FALSE),"")</f>
        <v>11.969387238873461</v>
      </c>
      <c r="AS141" s="71">
        <f t="shared" si="8"/>
        <v>1.1872794277932055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19</v>
      </c>
      <c r="AQ142" s="71">
        <f t="shared" si="7"/>
        <v>11.117105263157892</v>
      </c>
      <c r="AR142" s="71">
        <f>IFERROR(VLOOKUP(A142,Climatologia_TMED!A:U,9+$E$2,FALSE),"")</f>
        <v>10.49248004916649</v>
      </c>
      <c r="AS142" s="71">
        <f t="shared" si="8"/>
        <v>0.62462521399140236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20</v>
      </c>
      <c r="AQ143" s="71">
        <f t="shared" si="7"/>
        <v>27.870000000000005</v>
      </c>
      <c r="AR143" s="71">
        <f>IFERROR(VLOOKUP(A143,Climatologia_TMED!A:U,9+$E$2,FALSE),"")</f>
        <v>25.992543202764971</v>
      </c>
      <c r="AS143" s="71">
        <f t="shared" si="8"/>
        <v>1.877456797235034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20</v>
      </c>
      <c r="AQ144" s="71">
        <f t="shared" si="7"/>
        <v>16.41333333333333</v>
      </c>
      <c r="AR144" s="71">
        <f>IFERROR(VLOOKUP(A144,Climatologia_TMED!A:U,9+$E$2,FALSE),"")</f>
        <v>15.9826099414474</v>
      </c>
      <c r="AS144" s="71">
        <f t="shared" si="8"/>
        <v>0.43072339188593034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20</v>
      </c>
      <c r="AQ145" s="71">
        <f t="shared" si="7"/>
        <v>20.485000000000003</v>
      </c>
      <c r="AR145" s="71">
        <f>IFERROR(VLOOKUP(A145,Climatologia_TMED!A:U,9+$E$2,FALSE),"")</f>
        <v>19.40683329936412</v>
      </c>
      <c r="AS145" s="71">
        <f t="shared" si="8"/>
        <v>1.078166700635883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20</v>
      </c>
      <c r="AQ146" s="71">
        <f t="shared" si="7"/>
        <v>31.139999999999997</v>
      </c>
      <c r="AR146" s="71">
        <f>IFERROR(VLOOKUP(A146,Climatologia_TMED!A:U,9+$E$2,FALSE),"")</f>
        <v>29.306317625921391</v>
      </c>
      <c r="AS146" s="71">
        <f t="shared" si="8"/>
        <v>1.8336823740786059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20</v>
      </c>
      <c r="AQ147" s="71">
        <f t="shared" si="7"/>
        <v>26.446666666666669</v>
      </c>
      <c r="AR147" s="71">
        <f>IFERROR(VLOOKUP(A147,Climatologia_TMED!A:U,9+$E$2,FALSE),"")</f>
        <v>24.061574212155389</v>
      </c>
      <c r="AS147" s="71">
        <f t="shared" si="8"/>
        <v>2.3850924545112804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18</v>
      </c>
      <c r="AQ148" s="71">
        <f t="shared" si="7"/>
        <v>30.922222222222224</v>
      </c>
      <c r="AR148" s="71">
        <f>IFERROR(VLOOKUP(A148,Climatologia_TMED!A:U,9+$E$2,FALSE),"")</f>
        <v>29.17936497960693</v>
      </c>
      <c r="AS148" s="71">
        <f t="shared" si="8"/>
        <v>1.742857242615294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20</v>
      </c>
      <c r="AQ149" s="71">
        <f t="shared" si="7"/>
        <v>24.290000000000003</v>
      </c>
      <c r="AR149" s="71">
        <f>IFERROR(VLOOKUP(A149,Climatologia_TMED!A:U,9+$E$2,FALSE),"")</f>
        <v>21.98128955804011</v>
      </c>
      <c r="AS149" s="71">
        <f t="shared" si="8"/>
        <v>2.3087104419598923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17</v>
      </c>
      <c r="AQ151" s="71">
        <f t="shared" si="7"/>
        <v>24.3764705882353</v>
      </c>
      <c r="AR151" s="71">
        <f>IFERROR(VLOOKUP(A151,Climatologia_TMED!A:U,9+$E$2,FALSE),"")</f>
        <v>21.718227316119769</v>
      </c>
      <c r="AS151" s="71">
        <f t="shared" si="8"/>
        <v>2.6582432721155307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20</v>
      </c>
      <c r="AQ154" s="71">
        <f t="shared" si="7"/>
        <v>21.137499999999996</v>
      </c>
      <c r="AR154" s="71">
        <f>IFERROR(VLOOKUP(A154,Climatologia_TMED!A:U,9+$E$2,FALSE),"")</f>
        <v>19.603370199692769</v>
      </c>
      <c r="AS154" s="71">
        <f t="shared" si="8"/>
        <v>1.5341298003072268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19</v>
      </c>
      <c r="AQ155" s="71">
        <f t="shared" si="7"/>
        <v>29.08421052631579</v>
      </c>
      <c r="AR155" s="71">
        <f>IFERROR(VLOOKUP(A155,Climatologia_TMED!A:U,9+$E$2,FALSE),"")</f>
        <v>27.798082822950249</v>
      </c>
      <c r="AS155" s="71">
        <f t="shared" si="8"/>
        <v>1.2861277033655405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18</v>
      </c>
      <c r="AQ157" s="71">
        <f t="shared" si="7"/>
        <v>30.159259259259258</v>
      </c>
      <c r="AR157" s="71">
        <f>IFERROR(VLOOKUP(A157,Climatologia_TMED!A:U,9+$E$2,FALSE),"")</f>
        <v>27.586074724019738</v>
      </c>
      <c r="AS157" s="71">
        <f t="shared" si="8"/>
        <v>2.5731845352395197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30.722807017543861</v>
      </c>
      <c r="AR158" s="71">
        <f>IFERROR(VLOOKUP(A158,Climatologia_TMED!A:U,9+$E$2,FALSE),"")</f>
        <v>28.018688345149439</v>
      </c>
      <c r="AS158" s="71">
        <f t="shared" si="8"/>
        <v>2.7041186723944222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20</v>
      </c>
      <c r="AQ159" s="71">
        <f t="shared" si="7"/>
        <v>21.339999999999996</v>
      </c>
      <c r="AR159" s="71">
        <f>IFERROR(VLOOKUP(A159,Climatologia_TMED!A:U,9+$E$2,FALSE),"")</f>
        <v>19.083052786798319</v>
      </c>
      <c r="AS159" s="71">
        <f t="shared" si="8"/>
        <v>2.256947213201677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18</v>
      </c>
      <c r="AQ160" s="71">
        <f t="shared" si="7"/>
        <v>27.762962962962959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16</v>
      </c>
      <c r="AQ161" s="71">
        <f t="shared" si="7"/>
        <v>20.087499999999999</v>
      </c>
      <c r="AR161" s="71">
        <f>IFERROR(VLOOKUP(A161,Climatologia_TMED!A:U,9+$E$2,FALSE),"")</f>
        <v>17.518211901578969</v>
      </c>
      <c r="AS161" s="71">
        <f t="shared" si="8"/>
        <v>2.5692880984210298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20</v>
      </c>
      <c r="AQ162" s="71">
        <f t="shared" si="7"/>
        <v>28.948333333333334</v>
      </c>
      <c r="AR162" s="71">
        <f>IFERROR(VLOOKUP(A162,Climatologia_TMED!A:U,9+$E$2,FALSE),"")</f>
        <v>28.49681537062899</v>
      </c>
      <c r="AS162" s="71">
        <f t="shared" si="8"/>
        <v>0.45151796270434374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20</v>
      </c>
      <c r="AQ163" s="71">
        <f t="shared" si="7"/>
        <v>21.860000000000003</v>
      </c>
      <c r="AR163" s="71">
        <f>IFERROR(VLOOKUP(A163,Climatologia_TMED!A:U,9+$E$2,FALSE),"")</f>
        <v>21.304846458288491</v>
      </c>
      <c r="AS163" s="71">
        <f t="shared" si="8"/>
        <v>0.55515354171151188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20</v>
      </c>
      <c r="AQ164" s="71">
        <f t="shared" si="7"/>
        <v>25.842500000000001</v>
      </c>
      <c r="AR164" s="71">
        <f>IFERROR(VLOOKUP(A164,Climatologia_TMED!A:U,9+$E$2,FALSE),"")</f>
        <v>23.886011584659681</v>
      </c>
      <c r="AS164" s="71">
        <f t="shared" si="8"/>
        <v>1.9564884153403206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20</v>
      </c>
      <c r="AQ166" s="71">
        <f t="shared" si="7"/>
        <v>15.003333333333334</v>
      </c>
      <c r="AR166" s="71">
        <f>IFERROR(VLOOKUP(A166,Climatologia_TMED!A:U,9+$E$2,FALSE),"")</f>
        <v>13.59731182795695</v>
      </c>
      <c r="AS166" s="71">
        <f t="shared" si="8"/>
        <v>1.4060215053763834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20</v>
      </c>
      <c r="AQ167" s="71">
        <f t="shared" si="7"/>
        <v>21.14</v>
      </c>
      <c r="AR167" s="71">
        <f>IFERROR(VLOOKUP(A167,Climatologia_TMED!A:U,9+$E$2,FALSE),"")</f>
        <v>19.132762427527378</v>
      </c>
      <c r="AS167" s="71">
        <f t="shared" si="8"/>
        <v>2.0072375724726221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20</v>
      </c>
      <c r="AQ168" s="71">
        <f t="shared" si="7"/>
        <v>28.587500000000006</v>
      </c>
      <c r="AR168" s="71">
        <f>IFERROR(VLOOKUP(A168,Climatologia_TMED!A:U,9+$E$2,FALSE),"")</f>
        <v>26.11906044753972</v>
      </c>
      <c r="AS168" s="71">
        <f t="shared" si="8"/>
        <v>2.4684395524602856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20</v>
      </c>
      <c r="AQ169" s="71">
        <f t="shared" si="7"/>
        <v>9.4774999999999991</v>
      </c>
      <c r="AR169" s="71">
        <f>IFERROR(VLOOKUP(A169,Climatologia_TMED!A:U,9+$E$2,FALSE),"")</f>
        <v>8.9418110731500597</v>
      </c>
      <c r="AS169" s="71">
        <f t="shared" si="8"/>
        <v>0.53568892684993941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20</v>
      </c>
      <c r="AQ170" s="71">
        <f t="shared" si="7"/>
        <v>25.883333333333336</v>
      </c>
      <c r="AR170" s="71">
        <f>IFERROR(VLOOKUP(A170,Climatologia_TMED!A:U,9+$E$2,FALSE),"")</f>
        <v>24.395609944791921</v>
      </c>
      <c r="AS170" s="71">
        <f t="shared" si="8"/>
        <v>1.4877233885414149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18</v>
      </c>
      <c r="AQ171" s="71">
        <f t="shared" si="7"/>
        <v>21.811111111111114</v>
      </c>
      <c r="AR171" s="71">
        <f>IFERROR(VLOOKUP(A171,Climatologia_TMED!A:U,9+$E$2,FALSE),"")</f>
        <v>19.277535015015289</v>
      </c>
      <c r="AS171" s="71">
        <f t="shared" si="8"/>
        <v>2.5335760960958247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18</v>
      </c>
      <c r="AQ172" s="71">
        <f t="shared" si="7"/>
        <v>25.901388888888889</v>
      </c>
      <c r="AR172" s="71">
        <f>IFERROR(VLOOKUP(A172,Climatologia_TMED!A:U,9+$E$2,FALSE),"")</f>
        <v>24.578876627051489</v>
      </c>
      <c r="AS172" s="71">
        <f t="shared" si="8"/>
        <v>1.3225122618373994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20</v>
      </c>
      <c r="AQ173" s="71">
        <f t="shared" si="7"/>
        <v>25.14875</v>
      </c>
      <c r="AR173" s="71">
        <f>IFERROR(VLOOKUP(A173,Climatologia_TMED!A:U,9+$E$2,FALSE),"")</f>
        <v>24.24334341397849</v>
      </c>
      <c r="AS173" s="71">
        <f t="shared" si="8"/>
        <v>0.9054065860215097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20</v>
      </c>
      <c r="AQ174" s="71">
        <f t="shared" si="7"/>
        <v>13.306666666666668</v>
      </c>
      <c r="AR174" s="71">
        <f>IFERROR(VLOOKUP(A174,Climatologia_TMED!A:U,9+$E$2,FALSE),"")</f>
        <v>12.130348155415341</v>
      </c>
      <c r="AS174" s="71">
        <f t="shared" si="8"/>
        <v>1.1763185112513277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>
        <v>23.86666666666666</v>
      </c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4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20</v>
      </c>
      <c r="AQ178" s="71">
        <f t="shared" si="7"/>
        <v>25.593333333333327</v>
      </c>
      <c r="AR178" s="71">
        <f>IFERROR(VLOOKUP(A178,Climatologia_TMED!A:U,9+$E$2,FALSE),"")</f>
        <v>24.764281496732401</v>
      </c>
      <c r="AS178" s="71">
        <f t="shared" si="8"/>
        <v>0.82905183660092518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19</v>
      </c>
      <c r="AQ179" s="71">
        <f t="shared" si="7"/>
        <v>18.992105263157896</v>
      </c>
      <c r="AR179" s="71">
        <f>IFERROR(VLOOKUP(A179,Climatologia_TMED!A:U,9+$E$2,FALSE),"")</f>
        <v>17.52263018923631</v>
      </c>
      <c r="AS179" s="71">
        <f t="shared" si="8"/>
        <v>1.4694750739215863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20</v>
      </c>
      <c r="AQ181" s="71">
        <f t="shared" si="7"/>
        <v>32.06666666666667</v>
      </c>
      <c r="AR181" s="71">
        <f>IFERROR(VLOOKUP(A181,Climatologia_TMED!A:U,9+$E$2,FALSE),"")</f>
        <v>29.494520657328639</v>
      </c>
      <c r="AS181" s="71">
        <f t="shared" si="8"/>
        <v>2.5721460093380308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11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30.266666666666666</v>
      </c>
      <c r="AR185" s="71">
        <f>IFERROR(VLOOKUP(A185,Climatologia_TMED!A:U,9+$E$2,FALSE),"")</f>
        <v>28.426879526214119</v>
      </c>
      <c r="AS185" s="71">
        <f t="shared" si="8"/>
        <v>1.8397871404525468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18</v>
      </c>
      <c r="AQ188" s="71">
        <f t="shared" si="7"/>
        <v>17.833333333333332</v>
      </c>
      <c r="AR188" s="71">
        <f>IFERROR(VLOOKUP(A188,Climatologia_TMED!A:U,9+$E$2,FALSE),"")</f>
        <v>16.219992677735171</v>
      </c>
      <c r="AS188" s="71">
        <f t="shared" si="8"/>
        <v>1.6133406555981615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14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18</v>
      </c>
      <c r="AQ190" s="71">
        <f t="shared" si="7"/>
        <v>31.229629629629628</v>
      </c>
      <c r="AR190" s="71">
        <f>IFERROR(VLOOKUP(A190,Climatologia_TMED!A:U,9+$E$2,FALSE),"")</f>
        <v>29.552042558032198</v>
      </c>
      <c r="AS190" s="71">
        <f t="shared" si="8"/>
        <v>1.6775870715974293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20</v>
      </c>
      <c r="AQ191" s="71">
        <f t="shared" si="7"/>
        <v>19.300000000000004</v>
      </c>
      <c r="AR191" s="71">
        <f>IFERROR(VLOOKUP(A191,Climatologia_TMED!A:U,9+$E$2,FALSE),"")</f>
        <v>17.464112079265011</v>
      </c>
      <c r="AS191" s="71">
        <f t="shared" si="8"/>
        <v>1.8358879207349936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20</v>
      </c>
      <c r="AQ192" s="71">
        <f t="shared" si="7"/>
        <v>26.556666666666665</v>
      </c>
      <c r="AR192" s="71">
        <f>IFERROR(VLOOKUP(A192,Climatologia_TMED!A:U,9+$E$2,FALSE),"")</f>
        <v>25.598921067303831</v>
      </c>
      <c r="AS192" s="71">
        <f t="shared" si="8"/>
        <v>0.9577455993628341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20</v>
      </c>
      <c r="AQ193" s="71">
        <f t="shared" si="7"/>
        <v>28.817500000000003</v>
      </c>
      <c r="AR193" s="71">
        <f>IFERROR(VLOOKUP(A193,Climatologia_TMED!A:U,9+$E$2,FALSE),"")</f>
        <v>26.876419518290088</v>
      </c>
      <c r="AS193" s="71">
        <f t="shared" si="8"/>
        <v>1.9410804817099141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19</v>
      </c>
      <c r="AQ194" s="71">
        <f t="shared" si="7"/>
        <v>21.884210526315794</v>
      </c>
      <c r="AR194" s="71">
        <f>IFERROR(VLOOKUP(A194,Climatologia_TMED!A:U,9+$E$2,FALSE),"")</f>
        <v>21.92453935902186</v>
      </c>
      <c r="AS194" s="71">
        <f t="shared" si="8"/>
        <v>-4.0328832706066464E-2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16</v>
      </c>
      <c r="AQ195" s="71">
        <f t="shared" si="7"/>
        <v>28.874999999999996</v>
      </c>
      <c r="AR195" s="71">
        <f>IFERROR(VLOOKUP(A195,Climatologia_TMED!A:U,9+$E$2,FALSE),"")</f>
        <v>25.93887423035611</v>
      </c>
      <c r="AS195" s="71">
        <f t="shared" si="8"/>
        <v>2.9361257696438869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20</v>
      </c>
      <c r="AQ196" s="71">
        <f t="shared" si="7"/>
        <v>22.889999999999997</v>
      </c>
      <c r="AR196" s="71">
        <f>IFERROR(VLOOKUP(A196,Climatologia_TMED!A:U,9+$E$2,FALSE),"")</f>
        <v>20.501275507765811</v>
      </c>
      <c r="AS196" s="71">
        <f t="shared" si="8"/>
        <v>2.3887244922341857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20</v>
      </c>
      <c r="AQ197" s="71">
        <f t="shared" ref="AQ197:AQ212" si="10">IF(AP197&gt;14,AVERAGE(K197:AO197),"")</f>
        <v>27.431666666666665</v>
      </c>
      <c r="AR197" s="71">
        <f>IFERROR(VLOOKUP(A197,Climatologia_TMED!A:U,9+$E$2,FALSE),"")</f>
        <v>24.669620158482161</v>
      </c>
      <c r="AS197" s="71">
        <f t="shared" ref="AS197:AS212" si="11">IF(OR(AQ197="",AR197=""),"",IFERROR(AQ197-AR197,""))</f>
        <v>2.762046508184504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20</v>
      </c>
      <c r="AQ198" s="71">
        <f t="shared" si="10"/>
        <v>22.187500000000004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18</v>
      </c>
      <c r="AQ199" s="71">
        <f t="shared" si="10"/>
        <v>16.770370370370369</v>
      </c>
      <c r="AR199" s="71">
        <f>IFERROR(VLOOKUP(A199,Climatologia_TMED!A:U,9+$E$2,FALSE),"")</f>
        <v>15.9056050475294</v>
      </c>
      <c r="AS199" s="71">
        <f t="shared" si="11"/>
        <v>0.86476532284096841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19</v>
      </c>
      <c r="AQ200" s="71">
        <f t="shared" si="10"/>
        <v>14.371052631578948</v>
      </c>
      <c r="AR200" s="71">
        <f>IFERROR(VLOOKUP(A200,Climatologia_TMED!A:U,9+$E$2,FALSE),"")</f>
        <v>13.344977882388941</v>
      </c>
      <c r="AS200" s="71">
        <f t="shared" si="11"/>
        <v>1.0260747491900073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20</v>
      </c>
      <c r="AQ201" s="71">
        <f t="shared" si="10"/>
        <v>28.47</v>
      </c>
      <c r="AR201" s="71">
        <f>IFERROR(VLOOKUP(A201,Climatologia_TMED!A:U,9+$E$2,FALSE),"")</f>
        <v>26.42009640850436</v>
      </c>
      <c r="AS201" s="71">
        <f t="shared" si="11"/>
        <v>2.0499035914956387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20</v>
      </c>
      <c r="AQ202" s="71">
        <f t="shared" si="10"/>
        <v>12.977499999999997</v>
      </c>
      <c r="AR202" s="71">
        <f>IFERROR(VLOOKUP(A202,Climatologia_TMED!A:U,9+$E$2,FALSE),"")</f>
        <v>12.92387825817962</v>
      </c>
      <c r="AS202" s="71">
        <f t="shared" si="11"/>
        <v>5.3621741820377267E-2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17</v>
      </c>
      <c r="AQ203" s="71">
        <f t="shared" si="10"/>
        <v>14.176470588235295</v>
      </c>
      <c r="AR203" s="71">
        <f>IFERROR(VLOOKUP(A203,Climatologia_TMED!A:U,9+$E$2,FALSE),"")</f>
        <v>12.086069715466531</v>
      </c>
      <c r="AS203" s="71">
        <f t="shared" si="11"/>
        <v>2.0904008727687646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19</v>
      </c>
      <c r="AQ206" s="71">
        <f t="shared" si="10"/>
        <v>13.471052631578946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10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20</v>
      </c>
      <c r="AQ208" s="71">
        <f t="shared" si="10"/>
        <v>13.86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19</v>
      </c>
      <c r="AQ209" s="71">
        <f t="shared" si="10"/>
        <v>11.089473684210526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20</v>
      </c>
      <c r="AQ210" s="71">
        <f t="shared" si="10"/>
        <v>15.762499999999998</v>
      </c>
      <c r="AR210" s="71">
        <f>IFERROR(VLOOKUP(A210,Climatologia_TMED!A:U,9+$E$2,FALSE),"")</f>
        <v>14.343130840767889</v>
      </c>
      <c r="AS210" s="71">
        <f t="shared" si="11"/>
        <v>1.419369159232108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8.4184210526315777</v>
      </c>
      <c r="AR211" s="71">
        <f>IFERROR(VLOOKUP(A211,Climatologia_TMED!A:U,9+$E$2,FALSE),"")</f>
        <v>8.1491623782224423</v>
      </c>
      <c r="AS211" s="71">
        <f t="shared" si="11"/>
        <v>0.26925867440913542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18</v>
      </c>
      <c r="AQ212" s="71">
        <f t="shared" si="10"/>
        <v>27.666666666666668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2026-08-21T15:04:50Z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2026-08-21T15:02:33Z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34ccb452-2d4d-4286-9077-7f131b860bd9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