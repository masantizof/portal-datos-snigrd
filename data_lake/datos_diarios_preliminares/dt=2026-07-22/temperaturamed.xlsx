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4E68BE7-DAC6-4CF0-A5DC-915BFFCA193E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S207" i="1" s="1"/>
  <c r="AQ207" i="1"/>
  <c r="AP207" i="1"/>
  <c r="AR206" i="1"/>
  <c r="AQ206" i="1"/>
  <c r="AS206" i="1" s="1"/>
  <c r="AP206" i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Q202" i="1"/>
  <c r="AS202" i="1" s="1"/>
  <c r="AP202" i="1"/>
  <c r="AR201" i="1"/>
  <c r="AQ201" i="1"/>
  <c r="AS201" i="1" s="1"/>
  <c r="AP201" i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Q197" i="1"/>
  <c r="AS197" i="1" s="1"/>
  <c r="AP197" i="1"/>
  <c r="AR196" i="1"/>
  <c r="AQ196" i="1"/>
  <c r="AS196" i="1" s="1"/>
  <c r="AP196" i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Q192" i="1"/>
  <c r="AS192" i="1" s="1"/>
  <c r="AP192" i="1"/>
  <c r="AR191" i="1"/>
  <c r="AQ191" i="1"/>
  <c r="AS191" i="1" s="1"/>
  <c r="AP191" i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Q187" i="1"/>
  <c r="AS187" i="1" s="1"/>
  <c r="AP187" i="1"/>
  <c r="AR186" i="1"/>
  <c r="AQ186" i="1"/>
  <c r="AS186" i="1" s="1"/>
  <c r="AP186" i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Q182" i="1"/>
  <c r="AS182" i="1" s="1"/>
  <c r="AP182" i="1"/>
  <c r="AR181" i="1"/>
  <c r="AQ181" i="1"/>
  <c r="AS181" i="1" s="1"/>
  <c r="AP181" i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Q177" i="1"/>
  <c r="AS177" i="1" s="1"/>
  <c r="AP177" i="1"/>
  <c r="AR176" i="1"/>
  <c r="AQ176" i="1"/>
  <c r="AS176" i="1" s="1"/>
  <c r="AP176" i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Q172" i="1"/>
  <c r="AS172" i="1" s="1"/>
  <c r="AP172" i="1"/>
  <c r="AR171" i="1"/>
  <c r="AQ171" i="1"/>
  <c r="AS171" i="1" s="1"/>
  <c r="AP171" i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Q167" i="1"/>
  <c r="AS167" i="1" s="1"/>
  <c r="AP167" i="1"/>
  <c r="AR166" i="1"/>
  <c r="AQ166" i="1"/>
  <c r="AS166" i="1" s="1"/>
  <c r="AP166" i="1"/>
  <c r="AR165" i="1"/>
  <c r="AP165" i="1"/>
  <c r="AQ165" i="1" s="1"/>
  <c r="AS165" i="1" s="1"/>
  <c r="AR164" i="1"/>
  <c r="AP164" i="1"/>
  <c r="AQ164" i="1" s="1"/>
  <c r="AS164" i="1" s="1"/>
  <c r="AR163" i="1"/>
  <c r="AP163" i="1"/>
  <c r="AQ163" i="1" s="1"/>
  <c r="AS163" i="1" s="1"/>
  <c r="AR162" i="1"/>
  <c r="AQ162" i="1"/>
  <c r="AS162" i="1" s="1"/>
  <c r="AP162" i="1"/>
  <c r="AR161" i="1"/>
  <c r="AQ161" i="1"/>
  <c r="AS161" i="1" s="1"/>
  <c r="AP161" i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Q157" i="1"/>
  <c r="AS157" i="1" s="1"/>
  <c r="AP157" i="1"/>
  <c r="AR156" i="1"/>
  <c r="AQ156" i="1"/>
  <c r="AS156" i="1" s="1"/>
  <c r="AP156" i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Q151" i="1"/>
  <c r="AS151" i="1" s="1"/>
  <c r="AP151" i="1"/>
  <c r="AR150" i="1"/>
  <c r="AP150" i="1"/>
  <c r="AQ150" i="1" s="1"/>
  <c r="AS150" i="1" s="1"/>
  <c r="AR149" i="1"/>
  <c r="AP149" i="1"/>
  <c r="AQ149" i="1" s="1"/>
  <c r="AS149" i="1" s="1"/>
  <c r="AR148" i="1"/>
  <c r="AP148" i="1"/>
  <c r="AQ148" i="1" s="1"/>
  <c r="AS148" i="1" s="1"/>
  <c r="AR147" i="1"/>
  <c r="AP147" i="1"/>
  <c r="AQ147" i="1" s="1"/>
  <c r="AS147" i="1" s="1"/>
  <c r="AR146" i="1"/>
  <c r="AQ146" i="1"/>
  <c r="AS146" i="1" s="1"/>
  <c r="AP146" i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Q141" i="1"/>
  <c r="AS141" i="1" s="1"/>
  <c r="AP141" i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Q136" i="1"/>
  <c r="AS136" i="1" s="1"/>
  <c r="AP136" i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Q131" i="1"/>
  <c r="AS131" i="1" s="1"/>
  <c r="AP131" i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Q126" i="1"/>
  <c r="AS126" i="1" s="1"/>
  <c r="AP126" i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Q121" i="1"/>
  <c r="AS121" i="1" s="1"/>
  <c r="AP121" i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Q116" i="1"/>
  <c r="AS116" i="1" s="1"/>
  <c r="AP116" i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Q111" i="1"/>
  <c r="AS111" i="1" s="1"/>
  <c r="AP111" i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Q106" i="1"/>
  <c r="AS106" i="1" s="1"/>
  <c r="AP106" i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Q101" i="1"/>
  <c r="AS101" i="1" s="1"/>
  <c r="AP101" i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Q96" i="1"/>
  <c r="AS96" i="1" s="1"/>
  <c r="AP96" i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Q91" i="1"/>
  <c r="AS91" i="1" s="1"/>
  <c r="AP91" i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Q86" i="1"/>
  <c r="AS86" i="1" s="1"/>
  <c r="AP86" i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Q81" i="1"/>
  <c r="AS81" i="1" s="1"/>
  <c r="AP81" i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Q76" i="1"/>
  <c r="AS76" i="1" s="1"/>
  <c r="AP76" i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Q71" i="1"/>
  <c r="AS71" i="1" s="1"/>
  <c r="AP71" i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Q66" i="1"/>
  <c r="AS66" i="1" s="1"/>
  <c r="AP66" i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Q61" i="1"/>
  <c r="AS61" i="1" s="1"/>
  <c r="AP61" i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Q56" i="1"/>
  <c r="AS56" i="1" s="1"/>
  <c r="AP56" i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Q51" i="1"/>
  <c r="AS51" i="1" s="1"/>
  <c r="AP51" i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Q46" i="1"/>
  <c r="AS46" i="1" s="1"/>
  <c r="AP46" i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Q41" i="1"/>
  <c r="AS41" i="1" s="1"/>
  <c r="AP41" i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Q36" i="1"/>
  <c r="AS36" i="1" s="1"/>
  <c r="AP36" i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Q31" i="1"/>
  <c r="AS31" i="1" s="1"/>
  <c r="AP31" i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Q26" i="1"/>
  <c r="AS26" i="1" s="1"/>
  <c r="AP26" i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Q16" i="1"/>
  <c r="AS16" i="1" s="1"/>
  <c r="AP16" i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Q11" i="1"/>
  <c r="AS11" i="1" s="1"/>
  <c r="AP11" i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Q6" i="1"/>
  <c r="AS6" i="1" s="1"/>
  <c r="AP6" i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<sst xmlns="http://schemas.openxmlformats.org/spreadsheetml/2006/main" count="3682" uniqueCount="1512">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</sst>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H189" zoomScale="80" zoomScaleNormal="80" workbookViewId="0">
      <selection activeCell="AE7" sqref="AE7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07" width="32.42578125" style="50" customWidth="1"/>
    <col min="108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>
        <v>29.4</v>
      </c>
      <c r="AD5" s="56">
        <v>26.7</v>
      </c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20</v>
      </c>
      <c r="AQ5" s="71">
        <f t="shared" ref="AQ5:AQ68" si="1">IF(AP5&gt;14,AVERAGE(K5:AO5),"")</f>
        <v>28.835000000000001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0.68178511102873074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>
        <v>28.3</v>
      </c>
      <c r="AD6" s="56">
        <v>28.2</v>
      </c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20</v>
      </c>
      <c r="AQ6" s="71">
        <f t="shared" si="1"/>
        <v>28.864999999999998</v>
      </c>
      <c r="AR6" s="71">
        <f>IFERROR(VLOOKUP(A6,Climatologia_TMED!A:U,9+$E$2,FALSE),"")</f>
        <v>28.39523388894882</v>
      </c>
      <c r="AS6" s="71">
        <f t="shared" si="2"/>
        <v>0.46976611105117883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>
        <v>31.6</v>
      </c>
      <c r="AD7" s="56">
        <v>27.1</v>
      </c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20</v>
      </c>
      <c r="AQ7" s="71">
        <f t="shared" si="1"/>
        <v>31.774999999999999</v>
      </c>
      <c r="AR7" s="71">
        <f>IFERROR(VLOOKUP(A7,Climatologia_TMED!A:U,9+$E$2,FALSE),"")</f>
        <v>29.20018049155146</v>
      </c>
      <c r="AS7" s="71">
        <f t="shared" si="2"/>
        <v>2.5748195084485381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>
        <v>29.5</v>
      </c>
      <c r="AD8" s="56">
        <v>27.2</v>
      </c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20</v>
      </c>
      <c r="AQ8" s="71">
        <f t="shared" si="1"/>
        <v>29.905000000000001</v>
      </c>
      <c r="AR8" s="71">
        <f>IFERROR(VLOOKUP(A8,Climatologia_TMED!A:U,9+$E$2,FALSE),"")</f>
        <v>28.578539316171401</v>
      </c>
      <c r="AS8" s="71">
        <f t="shared" si="2"/>
        <v>1.3264606838285999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>
        <v>29.3</v>
      </c>
      <c r="AD9" s="56">
        <v>25.4</v>
      </c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20</v>
      </c>
      <c r="AQ9" s="71">
        <f t="shared" si="1"/>
        <v>29.47</v>
      </c>
      <c r="AR9" s="71">
        <f>IFERROR(VLOOKUP(A9,Climatologia_TMED!A:U,9+$E$2,FALSE),"")</f>
        <v>29.78746898263023</v>
      </c>
      <c r="AS9" s="71">
        <f t="shared" si="2"/>
        <v>-0.31746898263023127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>
        <v>30.6</v>
      </c>
      <c r="AD10" s="56">
        <v>32</v>
      </c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20</v>
      </c>
      <c r="AQ10" s="71">
        <f t="shared" si="1"/>
        <v>31.82</v>
      </c>
      <c r="AR10" s="71">
        <f>IFERROR(VLOOKUP(A10,Climatologia_TMED!A:U,9+$E$2,FALSE),"")</f>
        <v>30.079422034405059</v>
      </c>
      <c r="AS10" s="71">
        <f t="shared" si="2"/>
        <v>1.7405779655949409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>
        <v>32.5</v>
      </c>
      <c r="AD11" s="56">
        <v>29.2</v>
      </c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20</v>
      </c>
      <c r="AQ11" s="71">
        <f t="shared" si="1"/>
        <v>32.909999999999997</v>
      </c>
      <c r="AR11" s="71">
        <f>IFERROR(VLOOKUP(A11,Climatologia_TMED!A:U,9+$E$2,FALSE),"")</f>
        <v>30.003914077227851</v>
      </c>
      <c r="AS11" s="71">
        <f t="shared" si="2"/>
        <v>2.9060859227721458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>
        <v>28.5</v>
      </c>
      <c r="AD12" s="56">
        <v>27.9</v>
      </c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20</v>
      </c>
      <c r="AQ12" s="71">
        <f t="shared" si="1"/>
        <v>30.324999999999996</v>
      </c>
      <c r="AR12" s="71">
        <f>IFERROR(VLOOKUP(A12,Climatologia_TMED!A:U,9+$E$2,FALSE),"")</f>
        <v>28.26566638931558</v>
      </c>
      <c r="AS12" s="71">
        <f t="shared" si="2"/>
        <v>2.0593336106844156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>
        <v>28.6</v>
      </c>
      <c r="AD13" s="56">
        <v>27.8</v>
      </c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20</v>
      </c>
      <c r="AQ13" s="71">
        <f t="shared" si="1"/>
        <v>30.224999999999994</v>
      </c>
      <c r="AR13" s="71">
        <f>IFERROR(VLOOKUP(A13,Climatologia_TMED!A:U,9+$E$2,FALSE),"")</f>
        <v>28.329394697812361</v>
      </c>
      <c r="AS13" s="71">
        <f t="shared" si="2"/>
        <v>1.8956053021876329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>
        <v>22.9</v>
      </c>
      <c r="AD14" s="56">
        <v>21.9</v>
      </c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20</v>
      </c>
      <c r="AQ14" s="71">
        <f t="shared" si="1"/>
        <v>23.794999999999995</v>
      </c>
      <c r="AR14" s="71">
        <f>IFERROR(VLOOKUP(A14,Climatologia_TMED!A:U,9+$E$2,FALSE),"")</f>
        <v>21.72154002389485</v>
      </c>
      <c r="AS14" s="71">
        <f t="shared" si="2"/>
        <v>2.0734599761051449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>
        <v>28.5</v>
      </c>
      <c r="AD15" s="56">
        <v>26.2</v>
      </c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20</v>
      </c>
      <c r="AQ15" s="71">
        <f t="shared" si="1"/>
        <v>29.03</v>
      </c>
      <c r="AR15" s="71">
        <f>IFERROR(VLOOKUP(A15,Climatologia_TMED!A:U,9+$E$2,FALSE),"")</f>
        <v>28.235505376344079</v>
      </c>
      <c r="AS15" s="71">
        <f t="shared" si="2"/>
        <v>0.79449462365592183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>
        <v>26.9</v>
      </c>
      <c r="AD16" s="56">
        <v>27.5</v>
      </c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20</v>
      </c>
      <c r="AQ16" s="71">
        <f t="shared" si="1"/>
        <v>28.5</v>
      </c>
      <c r="AR16" s="71">
        <f>IFERROR(VLOOKUP(A16,Climatologia_TMED!A:U,9+$E$2,FALSE),"")</f>
        <v>27.637652848402979</v>
      </c>
      <c r="AS16" s="71">
        <f t="shared" si="2"/>
        <v>0.86234715159702091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>
        <v>24.4</v>
      </c>
      <c r="AD17" s="56">
        <v>22.7</v>
      </c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20</v>
      </c>
      <c r="AQ17" s="71">
        <f t="shared" si="1"/>
        <v>24.865000000000002</v>
      </c>
      <c r="AR17" s="71">
        <f>IFERROR(VLOOKUP(A17,Climatologia_TMED!A:U,9+$E$2,FALSE),"")</f>
        <v>23.983623669156199</v>
      </c>
      <c r="AS17" s="71">
        <f t="shared" si="2"/>
        <v>0.8813763308438034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>
        <v>19.399999999999999</v>
      </c>
      <c r="AD18" s="56">
        <v>16.2</v>
      </c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20</v>
      </c>
      <c r="AQ18" s="71">
        <f t="shared" si="1"/>
        <v>18.72</v>
      </c>
      <c r="AR18" s="71">
        <f>IFERROR(VLOOKUP(A18,Climatologia_TMED!A:U,9+$E$2,FALSE),"")</f>
        <v>17.418351254480282</v>
      </c>
      <c r="AS18" s="71">
        <f t="shared" si="2"/>
        <v>1.3016487455197172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>
        <v>21.6</v>
      </c>
      <c r="AD19" s="56">
        <v>22.4</v>
      </c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20</v>
      </c>
      <c r="AQ19" s="71">
        <f t="shared" si="1"/>
        <v>24.454999999999998</v>
      </c>
      <c r="AR19" s="71">
        <f>IFERROR(VLOOKUP(A19,Climatologia_TMED!A:U,9+$E$2,FALSE),"")</f>
        <v>22.133534946236551</v>
      </c>
      <c r="AS19" s="71">
        <f t="shared" si="2"/>
        <v>2.3214650537634469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>
        <v>21.5</v>
      </c>
      <c r="AD20" s="56">
        <v>22.5</v>
      </c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20</v>
      </c>
      <c r="AQ20" s="71">
        <f t="shared" si="1"/>
        <v>24.445</v>
      </c>
      <c r="AR20" s="71">
        <f>IFERROR(VLOOKUP(A20,Climatologia_TMED!A:U,9+$E$2,FALSE),"")</f>
        <v>22.60766542597187</v>
      </c>
      <c r="AS20" s="71">
        <f t="shared" si="2"/>
        <v>1.8373345740281302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>
        <v>26.9</v>
      </c>
      <c r="AD21" s="56">
        <v>26.5</v>
      </c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20</v>
      </c>
      <c r="AQ21" s="71">
        <f t="shared" si="1"/>
        <v>27.145</v>
      </c>
      <c r="AR21" s="71">
        <f>IFERROR(VLOOKUP(A21,Climatologia_TMED!A:U,9+$E$2,FALSE),"")</f>
        <v>24.690081891757131</v>
      </c>
      <c r="AS21" s="71">
        <f t="shared" si="2"/>
        <v>2.4549181082428682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>
        <v>15</v>
      </c>
      <c r="AD22" s="56">
        <v>14.5</v>
      </c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20</v>
      </c>
      <c r="AQ22" s="71">
        <f t="shared" si="1"/>
        <v>15.479999999999999</v>
      </c>
      <c r="AR22" s="71">
        <f>IFERROR(VLOOKUP(A22,Climatologia_TMED!A:U,9+$E$2,FALSE),"")</f>
        <v>13.7803329197684</v>
      </c>
      <c r="AS22" s="71">
        <f t="shared" si="2"/>
        <v>1.699667080231599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>
        <v>24.2</v>
      </c>
      <c r="AD23" s="56">
        <v>25.6</v>
      </c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20</v>
      </c>
      <c r="AQ23" s="71">
        <f t="shared" si="1"/>
        <v>26.169999999999995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>
        <v>28.2</v>
      </c>
      <c r="AD24" s="56">
        <v>30.6</v>
      </c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20</v>
      </c>
      <c r="AQ24" s="71">
        <f t="shared" si="1"/>
        <v>29.270000000000003</v>
      </c>
      <c r="AR24" s="71">
        <f>IFERROR(VLOOKUP(A24,Climatologia_TMED!A:U,9+$E$2,FALSE),"")</f>
        <v>28.36235848473612</v>
      </c>
      <c r="AS24" s="71">
        <f t="shared" si="2"/>
        <v>0.90764151526388304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>
        <v>18.899999999999999</v>
      </c>
      <c r="AD25" s="56">
        <v>19.5</v>
      </c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20</v>
      </c>
      <c r="AQ25" s="71">
        <f t="shared" si="1"/>
        <v>22.054999999999996</v>
      </c>
      <c r="AR25" s="71">
        <f>IFERROR(VLOOKUP(A25,Climatologia_TMED!A:U,9+$E$2,FALSE),"")</f>
        <v>19.9334244562022</v>
      </c>
      <c r="AS25" s="71">
        <f t="shared" si="2"/>
        <v>2.1215755437977961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>
        <v>11.6</v>
      </c>
      <c r="AD26" s="56">
        <v>10.5</v>
      </c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20</v>
      </c>
      <c r="AQ26" s="71">
        <f t="shared" si="1"/>
        <v>11.669999999999998</v>
      </c>
      <c r="AR26" s="71">
        <f>IFERROR(VLOOKUP(A26,Climatologia_TMED!A:U,9+$E$2,FALSE),"")</f>
        <v>10.370314900153589</v>
      </c>
      <c r="AS26" s="71">
        <f t="shared" si="2"/>
        <v>1.2996850998464087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>
        <v>25.5</v>
      </c>
      <c r="AD27" s="56">
        <v>26</v>
      </c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20</v>
      </c>
      <c r="AQ27" s="71">
        <f t="shared" si="1"/>
        <v>28.189999999999998</v>
      </c>
      <c r="AR27" s="71">
        <f>IFERROR(VLOOKUP(A27,Climatologia_TMED!A:U,9+$E$2,FALSE),"")</f>
        <v>26.988705969595848</v>
      </c>
      <c r="AS27" s="71">
        <f t="shared" si="2"/>
        <v>1.2012940304041493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>
        <v>27.5</v>
      </c>
      <c r="AD28" s="56">
        <v>24.1</v>
      </c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20</v>
      </c>
      <c r="AQ28" s="71">
        <f t="shared" si="1"/>
        <v>26.6</v>
      </c>
      <c r="AR28" s="71">
        <f>IFERROR(VLOOKUP(A28,Climatologia_TMED!A:U,9+$E$2,FALSE),"")</f>
        <v>25.751418551476942</v>
      </c>
      <c r="AS28" s="71">
        <f t="shared" si="2"/>
        <v>0.84858144852305983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>
        <v>26.1</v>
      </c>
      <c r="AD29" s="56">
        <v>27</v>
      </c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20</v>
      </c>
      <c r="AQ29" s="71">
        <f t="shared" si="1"/>
        <v>27.580000000000002</v>
      </c>
      <c r="AR29" s="71">
        <f>IFERROR(VLOOKUP(A29,Climatologia_TMED!A:U,9+$E$2,FALSE),"")</f>
        <v>26.954042214257239</v>
      </c>
      <c r="AS29" s="71">
        <f t="shared" si="2"/>
        <v>0.62595778574276295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>
        <v>24.9</v>
      </c>
      <c r="AD30" s="56">
        <v>25.4</v>
      </c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20</v>
      </c>
      <c r="AQ30" s="71">
        <f t="shared" si="1"/>
        <v>25.119999999999997</v>
      </c>
      <c r="AR30" s="71">
        <f>IFERROR(VLOOKUP(A30,Climatologia_TMED!A:U,9+$E$2,FALSE),"")</f>
        <v>24.518001483129371</v>
      </c>
      <c r="AS30" s="71">
        <f t="shared" si="2"/>
        <v>0.60199851687062633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>
        <v>27.7</v>
      </c>
      <c r="AD31" s="98">
        <v>28.4</v>
      </c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20</v>
      </c>
      <c r="AQ31" s="71">
        <f t="shared" si="1"/>
        <v>26.754999999999995</v>
      </c>
      <c r="AR31" s="71">
        <f>IFERROR(VLOOKUP(A31,Climatologia_TMED!A:U,9+$E$2,FALSE),"")</f>
        <v>25.368948626045398</v>
      </c>
      <c r="AS31" s="71">
        <f t="shared" si="2"/>
        <v>1.3860513739545972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20.5</v>
      </c>
      <c r="AB32" s="56">
        <v>20.266666666666669</v>
      </c>
      <c r="AC32" s="56">
        <v>20.966666666666669</v>
      </c>
      <c r="AD32" s="56">
        <v>20.533333333333331</v>
      </c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20</v>
      </c>
      <c r="AQ32" s="71">
        <f t="shared" si="1"/>
        <v>20.57833333333333</v>
      </c>
      <c r="AR32" s="71">
        <f>IFERROR(VLOOKUP(A32,Climatologia_TMED!A:U,9+$E$2,FALSE),"")</f>
        <v>17.656856052108839</v>
      </c>
      <c r="AS32" s="71">
        <f t="shared" si="2"/>
        <v>2.9214772812244902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>
        <v>27.25</v>
      </c>
      <c r="AD33" s="56">
        <v>27.75</v>
      </c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20</v>
      </c>
      <c r="AQ33" s="71">
        <f t="shared" si="1"/>
        <v>28.052499999999998</v>
      </c>
      <c r="AR33" s="71">
        <f>IFERROR(VLOOKUP(A33,Climatologia_TMED!A:U,9+$E$2,FALSE),"")</f>
        <v>26.827472081212552</v>
      </c>
      <c r="AS33" s="71">
        <f t="shared" si="2"/>
        <v>1.2250279187874469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>
        <v>21.06666666666667</v>
      </c>
      <c r="AD34" s="56">
        <v>20</v>
      </c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20</v>
      </c>
      <c r="AQ34" s="71">
        <f t="shared" si="1"/>
        <v>21.37</v>
      </c>
      <c r="AR34" s="71">
        <f>IFERROR(VLOOKUP(A34,Climatologia_TMED!A:U,9+$E$2,FALSE),"")</f>
        <v>19.787197591680322</v>
      </c>
      <c r="AS34" s="71">
        <f t="shared" si="2"/>
        <v>1.5828024083196794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>
        <v>26.15</v>
      </c>
      <c r="AD35" s="56">
        <v>23.55</v>
      </c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20</v>
      </c>
      <c r="AQ35" s="71">
        <f t="shared" si="1"/>
        <v>24.687500000000004</v>
      </c>
      <c r="AR35" s="71">
        <f>IFERROR(VLOOKUP(A35,Climatologia_TMED!A:U,9+$E$2,FALSE),"")</f>
        <v>24.038247899717401</v>
      </c>
      <c r="AS35" s="71">
        <f t="shared" si="2"/>
        <v>0.64925210028260238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>
        <v>19.850000000000001</v>
      </c>
      <c r="AD36" s="56">
        <v>17.899999999999999</v>
      </c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20</v>
      </c>
      <c r="AQ36" s="71">
        <f t="shared" si="1"/>
        <v>20.160000000000004</v>
      </c>
      <c r="AR36" s="71">
        <f>IFERROR(VLOOKUP(A36,Climatologia_TMED!A:U,9+$E$2,FALSE),"")</f>
        <v>18.99881106321839</v>
      </c>
      <c r="AS36" s="71">
        <f t="shared" si="2"/>
        <v>1.1611889367816133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>
        <v>26.85</v>
      </c>
      <c r="AD37" s="56">
        <v>27.7</v>
      </c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20</v>
      </c>
      <c r="AQ37" s="71">
        <f t="shared" si="1"/>
        <v>27.472500000000004</v>
      </c>
      <c r="AR37" s="71">
        <f>IFERROR(VLOOKUP(A37,Climatologia_TMED!A:U,9+$E$2,FALSE),"")</f>
        <v>25.886229873937381</v>
      </c>
      <c r="AS37" s="71">
        <f t="shared" si="2"/>
        <v>1.5862701260626224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>
        <v>15.5</v>
      </c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18</v>
      </c>
      <c r="AQ38" s="71">
        <f t="shared" si="1"/>
        <v>16.088888888888889</v>
      </c>
      <c r="AR38" s="71">
        <f>IFERROR(VLOOKUP(A38,Climatologia_TMED!A:U,9+$E$2,FALSE),"")</f>
        <v>15.017929006950681</v>
      </c>
      <c r="AS38" s="71">
        <f t="shared" si="2"/>
        <v>1.070959881938208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>
        <v>21.4</v>
      </c>
      <c r="AD39" s="56">
        <v>19.733333333333331</v>
      </c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19</v>
      </c>
      <c r="AQ39" s="71">
        <f t="shared" si="1"/>
        <v>22.628070175438598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>
        <v>24.8</v>
      </c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16</v>
      </c>
      <c r="AQ40" s="71">
        <f t="shared" si="1"/>
        <v>25.462499999999999</v>
      </c>
      <c r="AR40" s="71">
        <f>IFERROR(VLOOKUP(A40,Climatologia_TMED!A:U,9+$E$2,FALSE),"")</f>
        <v>22.851790748426971</v>
      </c>
      <c r="AS40" s="71">
        <f t="shared" si="2"/>
        <v>2.6107092515730272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>
        <v>17.899999999999999</v>
      </c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19</v>
      </c>
      <c r="AQ41" s="71">
        <f t="shared" si="1"/>
        <v>20.475438596491223</v>
      </c>
      <c r="AR41" s="71">
        <f>IFERROR(VLOOKUP(A41,Climatologia_TMED!A:U,9+$E$2,FALSE),"")</f>
        <v>18.492109191327739</v>
      </c>
      <c r="AS41" s="71">
        <f t="shared" si="2"/>
        <v>1.9833294051634844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>
        <v>28.5</v>
      </c>
      <c r="AD42" s="56">
        <v>26.55</v>
      </c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20</v>
      </c>
      <c r="AQ42" s="71">
        <f t="shared" si="1"/>
        <v>28.167499999999997</v>
      </c>
      <c r="AR42" s="71">
        <f>IFERROR(VLOOKUP(A42,Climatologia_TMED!A:U,9+$E$2,FALSE),"")</f>
        <v>27.752685517058271</v>
      </c>
      <c r="AS42" s="71">
        <f t="shared" si="2"/>
        <v>0.41481448294172552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>
        <v>29.4</v>
      </c>
      <c r="AD43" s="56">
        <v>27.25</v>
      </c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18</v>
      </c>
      <c r="AQ43" s="71">
        <f t="shared" si="1"/>
        <v>29.580555555555559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>
        <v>28.75</v>
      </c>
      <c r="AD44" s="56">
        <v>27.425000000000001</v>
      </c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20</v>
      </c>
      <c r="AQ44" s="71">
        <f t="shared" si="1"/>
        <v>28.617499999999996</v>
      </c>
      <c r="AR44" s="71">
        <f>IFERROR(VLOOKUP(A44,Climatologia_TMED!A:U,9+$E$2,FALSE),"")</f>
        <v>27.342343444282822</v>
      </c>
      <c r="AS44" s="71">
        <f t="shared" si="2"/>
        <v>1.2751565557171745</v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>
        <v>29.25</v>
      </c>
      <c r="P45" s="56">
        <v>29.65</v>
      </c>
      <c r="Q45" s="56">
        <v>29.8</v>
      </c>
      <c r="R45" s="56">
        <v>30.1</v>
      </c>
      <c r="S45" s="56">
        <v>28.2</v>
      </c>
      <c r="T45" s="56">
        <v>28.6</v>
      </c>
      <c r="U45" s="56">
        <v>28.8</v>
      </c>
      <c r="V45" s="56">
        <v>28.55</v>
      </c>
      <c r="W45" s="56">
        <v>28.15</v>
      </c>
      <c r="X45" s="56">
        <v>28.75</v>
      </c>
      <c r="Y45" s="56">
        <v>29.55</v>
      </c>
      <c r="Z45" s="56">
        <v>30.05</v>
      </c>
      <c r="AA45" s="56">
        <v>30.35</v>
      </c>
      <c r="AB45" s="56">
        <v>29.65</v>
      </c>
      <c r="AC45" s="56">
        <v>28.5</v>
      </c>
      <c r="AD45" s="56">
        <v>27</v>
      </c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20</v>
      </c>
      <c r="AQ45" s="71">
        <f t="shared" si="1"/>
        <v>29.041250000000002</v>
      </c>
      <c r="AR45" s="71">
        <f>IFERROR(VLOOKUP(A45,Climatologia_TMED!A:U,9+$E$2,FALSE),"")</f>
        <v>27.906197631897481</v>
      </c>
      <c r="AS45" s="71">
        <f t="shared" si="2"/>
        <v>1.1350523681025209</v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>
        <v>31</v>
      </c>
      <c r="P46" s="56">
        <v>30.86666666666666</v>
      </c>
      <c r="Q46" s="56">
        <v>31.13333333333334</v>
      </c>
      <c r="R46" s="56">
        <v>31.13333333333334</v>
      </c>
      <c r="S46" s="56">
        <v>26.8</v>
      </c>
      <c r="T46" s="56">
        <v>29.86666666666666</v>
      </c>
      <c r="U46" s="56">
        <v>30.333333333333329</v>
      </c>
      <c r="V46" s="56">
        <v>30.06666666666667</v>
      </c>
      <c r="W46" s="56">
        <v>29.2</v>
      </c>
      <c r="X46" s="56">
        <v>31.733333333333331</v>
      </c>
      <c r="Y46" s="56">
        <v>31.666666666666671</v>
      </c>
      <c r="Z46" s="56">
        <v>31.93333333333333</v>
      </c>
      <c r="AA46" s="56">
        <v>31.8</v>
      </c>
      <c r="AB46" s="56">
        <v>31.6</v>
      </c>
      <c r="AC46" s="56">
        <v>26.466666666666669</v>
      </c>
      <c r="AD46" s="56">
        <v>27.733333333333331</v>
      </c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20</v>
      </c>
      <c r="AQ46" s="71">
        <f t="shared" si="1"/>
        <v>30.135000000000002</v>
      </c>
      <c r="AR46" s="71">
        <f>IFERROR(VLOOKUP(A46,Climatologia_TMED!A:U,9+$E$2,FALSE),"")</f>
        <v>27.968875859317389</v>
      </c>
      <c r="AS46" s="71">
        <f t="shared" si="2"/>
        <v>2.1661241406826122</v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>
        <v>31.05</v>
      </c>
      <c r="P49" s="56">
        <v>31.2</v>
      </c>
      <c r="Q49" s="56">
        <v>31.05</v>
      </c>
      <c r="R49" s="56">
        <v>30.55</v>
      </c>
      <c r="S49" s="56">
        <v>26.4</v>
      </c>
      <c r="T49" s="56">
        <v>29.15</v>
      </c>
      <c r="U49" s="56">
        <v>30.9</v>
      </c>
      <c r="V49" s="56">
        <v>28.3</v>
      </c>
      <c r="W49" s="56">
        <v>28.4</v>
      </c>
      <c r="X49" s="56">
        <v>29.35</v>
      </c>
      <c r="Y49" s="56">
        <v>31.25</v>
      </c>
      <c r="Z49" s="56">
        <v>30.2</v>
      </c>
      <c r="AA49" s="56">
        <v>31.3</v>
      </c>
      <c r="AB49" s="56">
        <v>29.6</v>
      </c>
      <c r="AC49" s="56">
        <v>28.8</v>
      </c>
      <c r="AD49" s="56">
        <v>26.85</v>
      </c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20</v>
      </c>
      <c r="AQ49" s="71">
        <f t="shared" si="1"/>
        <v>29.5825</v>
      </c>
      <c r="AR49" s="71">
        <f>IFERROR(VLOOKUP(A49,Climatologia_TMED!A:U,9+$E$2,FALSE),"")</f>
        <v>27.288690346031821</v>
      </c>
      <c r="AS49" s="71">
        <f t="shared" si="2"/>
        <v>2.2938096539681787</v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>
        <v>29.8</v>
      </c>
      <c r="P50" s="56">
        <v>29.024999999999999</v>
      </c>
      <c r="Q50" s="56">
        <v>30.7</v>
      </c>
      <c r="R50" s="56">
        <v>31.55</v>
      </c>
      <c r="S50" s="56">
        <v>26.1</v>
      </c>
      <c r="T50" s="56">
        <v>29.4</v>
      </c>
      <c r="U50" s="56">
        <v>29.9</v>
      </c>
      <c r="V50" s="56">
        <v>28.05</v>
      </c>
      <c r="W50" s="56">
        <v>28.65</v>
      </c>
      <c r="X50" s="56">
        <v>30.85</v>
      </c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14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>
        <v>29.2</v>
      </c>
      <c r="P52" s="56">
        <v>30.1</v>
      </c>
      <c r="Q52" s="56">
        <v>31.15</v>
      </c>
      <c r="R52" s="56">
        <v>31.8</v>
      </c>
      <c r="S52" s="56">
        <v>26.65</v>
      </c>
      <c r="T52" s="56">
        <v>29.35</v>
      </c>
      <c r="U52" s="56">
        <v>29.6</v>
      </c>
      <c r="V52" s="56">
        <v>27.8</v>
      </c>
      <c r="W52" s="56">
        <v>27.8</v>
      </c>
      <c r="X52" s="56">
        <v>30.15</v>
      </c>
      <c r="Y52" s="56">
        <v>30.65</v>
      </c>
      <c r="Z52" s="56">
        <v>30.9</v>
      </c>
      <c r="AA52" s="56">
        <v>31.15</v>
      </c>
      <c r="AB52" s="56">
        <v>29.7</v>
      </c>
      <c r="AC52" s="56">
        <v>27.85</v>
      </c>
      <c r="AD52" s="56">
        <v>26.7</v>
      </c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20</v>
      </c>
      <c r="AQ52" s="71">
        <f t="shared" si="1"/>
        <v>29.267500000000002</v>
      </c>
      <c r="AR52" s="71">
        <f>IFERROR(VLOOKUP(A52,Climatologia_TMED!A:U,9+$E$2,FALSE),"")</f>
        <v>27.359246296590548</v>
      </c>
      <c r="AS52" s="71">
        <f t="shared" si="2"/>
        <v>1.9082537034094535</v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>
        <v>31.2</v>
      </c>
      <c r="P53" s="56">
        <v>31.65</v>
      </c>
      <c r="Q53" s="56">
        <v>31.7</v>
      </c>
      <c r="R53" s="56">
        <v>32.15</v>
      </c>
      <c r="S53" s="56">
        <v>27.35</v>
      </c>
      <c r="T53" s="56">
        <v>30.1</v>
      </c>
      <c r="U53" s="56">
        <v>30.1</v>
      </c>
      <c r="V53" s="56">
        <v>30.2</v>
      </c>
      <c r="W53" s="56">
        <v>29.15</v>
      </c>
      <c r="X53" s="56">
        <v>30.85</v>
      </c>
      <c r="Y53" s="56">
        <v>31.7</v>
      </c>
      <c r="Z53" s="56">
        <v>31.8</v>
      </c>
      <c r="AA53" s="56">
        <v>31.65</v>
      </c>
      <c r="AB53" s="56">
        <v>31.3</v>
      </c>
      <c r="AC53" s="56">
        <v>28.95</v>
      </c>
      <c r="AD53" s="56">
        <v>27.7</v>
      </c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20</v>
      </c>
      <c r="AQ53" s="71">
        <f t="shared" si="1"/>
        <v>30.335000000000001</v>
      </c>
      <c r="AR53" s="71">
        <f>IFERROR(VLOOKUP(A53,Climatologia_TMED!A:U,9+$E$2,FALSE),"")</f>
        <v>28.498226025066419</v>
      </c>
      <c r="AS53" s="71">
        <f t="shared" si="2"/>
        <v>1.8367739749335819</v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>
        <v>32.650000000000013</v>
      </c>
      <c r="S54" s="56">
        <v>30.35</v>
      </c>
      <c r="T54" s="56">
        <v>31.8</v>
      </c>
      <c r="U54" s="56">
        <v>30.5</v>
      </c>
      <c r="V54" s="56">
        <v>28.9</v>
      </c>
      <c r="W54" s="56">
        <v>29.55</v>
      </c>
      <c r="X54" s="56">
        <v>30.4</v>
      </c>
      <c r="Y54" s="56">
        <v>33.200000000000003</v>
      </c>
      <c r="Z54" s="56">
        <v>33.5</v>
      </c>
      <c r="AA54" s="56">
        <v>31.85</v>
      </c>
      <c r="AB54" s="56">
        <v>29.95</v>
      </c>
      <c r="AC54" s="56">
        <v>30.3</v>
      </c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13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>
        <v>30.25</v>
      </c>
      <c r="P55" s="56">
        <v>30.7</v>
      </c>
      <c r="Q55" s="56">
        <v>30.25</v>
      </c>
      <c r="R55" s="56">
        <v>30.8</v>
      </c>
      <c r="S55" s="56">
        <v>29.8</v>
      </c>
      <c r="T55" s="56">
        <v>30.4</v>
      </c>
      <c r="U55" s="56">
        <v>29.95</v>
      </c>
      <c r="V55" s="56">
        <v>29.25</v>
      </c>
      <c r="W55" s="56">
        <v>29.7</v>
      </c>
      <c r="X55" s="56">
        <v>30.55</v>
      </c>
      <c r="Y55" s="56">
        <v>30.25</v>
      </c>
      <c r="Z55" s="56">
        <v>29.95</v>
      </c>
      <c r="AA55" s="56">
        <v>29.9</v>
      </c>
      <c r="AB55" s="56">
        <v>30.45</v>
      </c>
      <c r="AC55" s="56">
        <v>29.25</v>
      </c>
      <c r="AD55" s="56">
        <v>29</v>
      </c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20</v>
      </c>
      <c r="AQ55" s="71">
        <f t="shared" si="1"/>
        <v>29.912500000000001</v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>
        <v>28.95</v>
      </c>
      <c r="P58" s="56">
        <v>29.9</v>
      </c>
      <c r="Q58" s="56">
        <v>28.3</v>
      </c>
      <c r="R58" s="56">
        <v>29.95</v>
      </c>
      <c r="S58" s="56">
        <v>29</v>
      </c>
      <c r="T58" s="56">
        <v>30.4</v>
      </c>
      <c r="U58" s="56">
        <v>29.1</v>
      </c>
      <c r="V58" s="56">
        <v>27.65</v>
      </c>
      <c r="W58" s="56">
        <v>27.7</v>
      </c>
      <c r="X58" s="56">
        <v>29.625</v>
      </c>
      <c r="Y58" s="56">
        <v>30.05</v>
      </c>
      <c r="Z58" s="56">
        <v>32.450000000000003</v>
      </c>
      <c r="AA58" s="56">
        <v>31.55</v>
      </c>
      <c r="AB58" s="56">
        <v>29.65</v>
      </c>
      <c r="AC58" s="99">
        <v>29</v>
      </c>
      <c r="AD58" s="56">
        <v>26.7</v>
      </c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20</v>
      </c>
      <c r="AQ58" s="71">
        <f t="shared" si="1"/>
        <v>29.28875</v>
      </c>
      <c r="AR58" s="71">
        <f>IFERROR(VLOOKUP(A58,Climatologia_TMED!A:U,9+$E$2,FALSE),"")</f>
        <v>28.11421982908216</v>
      </c>
      <c r="AS58" s="71">
        <f t="shared" si="2"/>
        <v>1.1745301709178406</v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>
        <v>25.5</v>
      </c>
      <c r="P59" s="56">
        <v>26</v>
      </c>
      <c r="Q59" s="56">
        <v>25</v>
      </c>
      <c r="R59" s="56"/>
      <c r="S59" s="56">
        <v>24.8</v>
      </c>
      <c r="T59" s="56">
        <v>26.25</v>
      </c>
      <c r="U59" s="56">
        <v>25.5</v>
      </c>
      <c r="V59" s="56">
        <v>24.9</v>
      </c>
      <c r="W59" s="56">
        <v>26.75</v>
      </c>
      <c r="X59" s="56">
        <v>25.55</v>
      </c>
      <c r="Y59" s="56"/>
      <c r="Z59" s="56">
        <v>26.5</v>
      </c>
      <c r="AA59" s="56">
        <v>26.9</v>
      </c>
      <c r="AB59" s="56">
        <v>26.3</v>
      </c>
      <c r="AC59" s="56">
        <v>25.1</v>
      </c>
      <c r="AD59" s="56">
        <v>27.4</v>
      </c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17</v>
      </c>
      <c r="AQ59" s="71">
        <f t="shared" si="1"/>
        <v>25.723529411764705</v>
      </c>
      <c r="AR59" s="71">
        <f>IFERROR(VLOOKUP(A59,Climatologia_TMED!A:U,9+$E$2,FALSE),"")</f>
        <v>24.144564214948328</v>
      </c>
      <c r="AS59" s="71">
        <f t="shared" si="2"/>
        <v>1.5789651968163767</v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>
        <v>24.05</v>
      </c>
      <c r="P60" s="56">
        <v>26.45</v>
      </c>
      <c r="Q60" s="56">
        <v>26.75</v>
      </c>
      <c r="R60" s="56">
        <v>25.8</v>
      </c>
      <c r="S60" s="56">
        <v>27.1</v>
      </c>
      <c r="T60" s="56">
        <v>27.05</v>
      </c>
      <c r="U60" s="56">
        <v>26.35</v>
      </c>
      <c r="V60" s="56">
        <v>26.8</v>
      </c>
      <c r="W60" s="56">
        <v>26.65</v>
      </c>
      <c r="X60" s="56">
        <v>27.45</v>
      </c>
      <c r="Y60" s="56">
        <v>27</v>
      </c>
      <c r="Z60" s="56">
        <v>27.3</v>
      </c>
      <c r="AA60" s="56">
        <v>27.85</v>
      </c>
      <c r="AB60" s="56">
        <v>27.05</v>
      </c>
      <c r="AC60" s="56">
        <v>25.45</v>
      </c>
      <c r="AD60" s="56">
        <v>26.3</v>
      </c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20</v>
      </c>
      <c r="AQ60" s="71">
        <f t="shared" si="1"/>
        <v>26.552500000000002</v>
      </c>
      <c r="AR60" s="71">
        <f>IFERROR(VLOOKUP(A60,Climatologia_TMED!A:U,9+$E$2,FALSE),"")</f>
        <v>25.706671681725961</v>
      </c>
      <c r="AS60" s="71">
        <f t="shared" si="2"/>
        <v>0.84582831827404092</v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>
        <v>25.733333333333331</v>
      </c>
      <c r="P61" s="56">
        <v>26.733333333333331</v>
      </c>
      <c r="Q61" s="56">
        <v>25.8</v>
      </c>
      <c r="R61" s="56">
        <v>24.8</v>
      </c>
      <c r="S61" s="56">
        <v>24.333333333333329</v>
      </c>
      <c r="T61" s="56">
        <v>26.06666666666667</v>
      </c>
      <c r="U61" s="56">
        <v>25.533333333333331</v>
      </c>
      <c r="V61" s="56">
        <v>25.866666666666671</v>
      </c>
      <c r="W61" s="56">
        <v>26.533333333333331</v>
      </c>
      <c r="X61" s="56">
        <v>25.2</v>
      </c>
      <c r="Y61" s="56">
        <v>26.6</v>
      </c>
      <c r="Z61" s="56">
        <v>26.733333333333331</v>
      </c>
      <c r="AA61" s="56">
        <v>25.933333333333341</v>
      </c>
      <c r="AB61" s="56">
        <v>25.4</v>
      </c>
      <c r="AC61" s="56">
        <v>26.333333333333329</v>
      </c>
      <c r="AD61" s="56">
        <v>27.4</v>
      </c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20</v>
      </c>
      <c r="AQ61" s="71">
        <f t="shared" si="1"/>
        <v>25.803333333333335</v>
      </c>
      <c r="AR61" s="71">
        <f>IFERROR(VLOOKUP(A61,Climatologia_TMED!A:U,9+$E$2,FALSE),"")</f>
        <v>24.539003939963891</v>
      </c>
      <c r="AS61" s="71">
        <f t="shared" si="2"/>
        <v>1.2643293933694437</v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>
        <v>25.1</v>
      </c>
      <c r="S64" s="56">
        <v>25</v>
      </c>
      <c r="T64" s="56"/>
      <c r="U64" s="56"/>
      <c r="V64" s="56">
        <v>26.4</v>
      </c>
      <c r="W64" s="56">
        <v>26.1</v>
      </c>
      <c r="X64" s="56">
        <v>26.6</v>
      </c>
      <c r="Y64" s="56">
        <v>25.8</v>
      </c>
      <c r="Z64" s="56">
        <v>28.3</v>
      </c>
      <c r="AA64" s="56"/>
      <c r="AB64" s="56"/>
      <c r="AC64" s="56">
        <v>24.8</v>
      </c>
      <c r="AD64" s="56">
        <v>27.1</v>
      </c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9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>
        <v>23.95</v>
      </c>
      <c r="P65" s="56">
        <v>26.1</v>
      </c>
      <c r="Q65" s="56">
        <v>25.15</v>
      </c>
      <c r="R65" s="56">
        <v>26.45</v>
      </c>
      <c r="S65" s="56">
        <v>25.05</v>
      </c>
      <c r="T65" s="56">
        <v>25.15</v>
      </c>
      <c r="U65" s="56">
        <v>26.4</v>
      </c>
      <c r="V65" s="56">
        <v>26.5</v>
      </c>
      <c r="W65" s="56">
        <v>26.75</v>
      </c>
      <c r="X65" s="56">
        <v>26.5</v>
      </c>
      <c r="Y65" s="56">
        <v>25.85</v>
      </c>
      <c r="Z65" s="56">
        <v>27.5</v>
      </c>
      <c r="AA65" s="56">
        <v>27.3</v>
      </c>
      <c r="AB65" s="56">
        <v>25.65</v>
      </c>
      <c r="AC65" s="56">
        <v>24.7</v>
      </c>
      <c r="AD65" s="56">
        <v>26.05</v>
      </c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20</v>
      </c>
      <c r="AQ65" s="71">
        <f t="shared" si="1"/>
        <v>25.695</v>
      </c>
      <c r="AR65" s="71">
        <f>IFERROR(VLOOKUP(A65,Climatologia_TMED!A:U,9+$E$2,FALSE),"")</f>
        <v>24.909114830278991</v>
      </c>
      <c r="AS65" s="71">
        <f t="shared" si="2"/>
        <v>0.78588516972100919</v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>
        <v>24.2</v>
      </c>
      <c r="P66" s="56">
        <v>27.45</v>
      </c>
      <c r="Q66" s="56">
        <v>24.9</v>
      </c>
      <c r="R66" s="56"/>
      <c r="S66" s="56">
        <v>24.15</v>
      </c>
      <c r="T66" s="56">
        <v>25.85</v>
      </c>
      <c r="U66" s="56"/>
      <c r="V66" s="56">
        <v>26.75</v>
      </c>
      <c r="W66" s="56">
        <v>25.95</v>
      </c>
      <c r="X66" s="56">
        <v>25.7</v>
      </c>
      <c r="Y66" s="56">
        <v>25.45</v>
      </c>
      <c r="Z66" s="56">
        <v>25.45</v>
      </c>
      <c r="AA66" s="56">
        <v>26.15</v>
      </c>
      <c r="AB66" s="56">
        <v>24.45</v>
      </c>
      <c r="AC66" s="56">
        <v>25.1</v>
      </c>
      <c r="AD66" s="56">
        <v>25.55</v>
      </c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18</v>
      </c>
      <c r="AQ66" s="71">
        <f t="shared" si="1"/>
        <v>25.31111111111111</v>
      </c>
      <c r="AR66" s="71">
        <f>IFERROR(VLOOKUP(A66,Climatologia_TMED!A:U,9+$E$2,FALSE),"")</f>
        <v>24.65120691183121</v>
      </c>
      <c r="AS66" s="71">
        <f t="shared" si="2"/>
        <v>0.65990419927990018</v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>
        <v>23.45</v>
      </c>
      <c r="P67" s="56">
        <v>25.4</v>
      </c>
      <c r="Q67" s="56">
        <v>24.05</v>
      </c>
      <c r="R67" s="56">
        <v>25.45</v>
      </c>
      <c r="S67" s="56">
        <v>24.5</v>
      </c>
      <c r="T67" s="56">
        <v>26.35</v>
      </c>
      <c r="U67" s="56">
        <v>27.3</v>
      </c>
      <c r="V67" s="56">
        <v>24.6</v>
      </c>
      <c r="W67" s="56">
        <v>27.45</v>
      </c>
      <c r="X67" s="56">
        <v>25.95</v>
      </c>
      <c r="Y67" s="56">
        <v>25.75</v>
      </c>
      <c r="Z67" s="56">
        <v>27.55</v>
      </c>
      <c r="AA67" s="56">
        <v>28.25</v>
      </c>
      <c r="AB67" s="56">
        <v>23.7</v>
      </c>
      <c r="AC67" s="56">
        <v>24.9</v>
      </c>
      <c r="AD67" s="56">
        <v>24.2</v>
      </c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20</v>
      </c>
      <c r="AQ67" s="71">
        <f t="shared" si="1"/>
        <v>25.327499999999997</v>
      </c>
      <c r="AR67" s="71">
        <f>IFERROR(VLOOKUP(A67,Climatologia_TMED!A:U,9+$E$2,FALSE),"")</f>
        <v>24.52508750274302</v>
      </c>
      <c r="AS67" s="71">
        <f t="shared" si="2"/>
        <v>0.80241249725697728</v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24.05</v>
      </c>
      <c r="N68" s="56">
        <v>24.4</v>
      </c>
      <c r="O68" s="56">
        <v>24.024999999999999</v>
      </c>
      <c r="P68" s="56">
        <v>25.75</v>
      </c>
      <c r="Q68" s="56">
        <v>23.65</v>
      </c>
      <c r="R68" s="56">
        <v>25.725000000000001</v>
      </c>
      <c r="S68" s="56">
        <v>23.8</v>
      </c>
      <c r="T68" s="56">
        <v>25.45</v>
      </c>
      <c r="U68" s="56">
        <v>26.35</v>
      </c>
      <c r="V68" s="56">
        <v>25.15</v>
      </c>
      <c r="W68" s="56">
        <v>25.65</v>
      </c>
      <c r="X68" s="56">
        <v>24.824999999999999</v>
      </c>
      <c r="Y68" s="56">
        <v>25.225000000000001</v>
      </c>
      <c r="Z68" s="56">
        <v>26.05</v>
      </c>
      <c r="AA68" s="56">
        <v>27.274999999999999</v>
      </c>
      <c r="AB68" s="56">
        <v>24.625</v>
      </c>
      <c r="AC68" s="56">
        <v>24.7</v>
      </c>
      <c r="AD68" s="56">
        <v>25.75</v>
      </c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20</v>
      </c>
      <c r="AQ68" s="71">
        <f t="shared" si="1"/>
        <v>25.029999999999998</v>
      </c>
      <c r="AR68" s="71">
        <f>IFERROR(VLOOKUP(A68,Climatologia_TMED!A:U,9+$E$2,FALSE),"")</f>
        <v>24.322397686632009</v>
      </c>
      <c r="AS68" s="71">
        <f t="shared" si="2"/>
        <v>0.70760231336798896</v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>
        <v>27</v>
      </c>
      <c r="Q69" s="56">
        <v>25.6</v>
      </c>
      <c r="R69" s="56">
        <v>27.13333333333334</v>
      </c>
      <c r="S69" s="56">
        <v>25.8</v>
      </c>
      <c r="T69" s="56">
        <v>26.86666666666666</v>
      </c>
      <c r="U69" s="56">
        <v>27.2</v>
      </c>
      <c r="V69" s="56"/>
      <c r="W69" s="56"/>
      <c r="X69" s="56">
        <v>25.4</v>
      </c>
      <c r="Y69" s="56">
        <v>26.333333333333329</v>
      </c>
      <c r="Z69" s="56">
        <v>27.333333333333329</v>
      </c>
      <c r="AA69" s="56">
        <v>27.93333333333333</v>
      </c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13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>
        <v>24.666666666666671</v>
      </c>
      <c r="P70" s="56">
        <v>26.8</v>
      </c>
      <c r="Q70" s="56">
        <v>24.3</v>
      </c>
      <c r="R70" s="56">
        <v>26.833333333333329</v>
      </c>
      <c r="S70" s="56">
        <v>24.5</v>
      </c>
      <c r="T70" s="56">
        <v>27.166666666666671</v>
      </c>
      <c r="U70" s="56">
        <v>26.833333333333329</v>
      </c>
      <c r="V70" s="56">
        <v>25.866666666666671</v>
      </c>
      <c r="W70" s="56">
        <v>26.233333333333331</v>
      </c>
      <c r="X70" s="56">
        <v>27.13333333333334</v>
      </c>
      <c r="Y70" s="56">
        <v>26.8</v>
      </c>
      <c r="Z70" s="56">
        <v>26.266666666666669</v>
      </c>
      <c r="AA70" s="56">
        <v>27.766666666666669</v>
      </c>
      <c r="AB70" s="56">
        <v>26.13333333333334</v>
      </c>
      <c r="AC70" s="56">
        <v>25.13333333333334</v>
      </c>
      <c r="AD70" s="56">
        <v>25.86666666666666</v>
      </c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20</v>
      </c>
      <c r="AQ70" s="71">
        <f t="shared" si="4"/>
        <v>25.939999999999998</v>
      </c>
      <c r="AR70" s="71">
        <f>IFERROR(VLOOKUP(A70,Climatologia_TMED!A:U,9+$E$2,FALSE),"")</f>
        <v>25.662442913653528</v>
      </c>
      <c r="AS70" s="71">
        <f t="shared" si="5"/>
        <v>0.27755708634646936</v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>
        <v>23.866666666666671</v>
      </c>
      <c r="P71" s="56">
        <v>24.166666666666671</v>
      </c>
      <c r="Q71" s="56">
        <v>24.433333333333341</v>
      </c>
      <c r="R71" s="56">
        <v>25.63333333333334</v>
      </c>
      <c r="S71" s="56">
        <v>25.566666666666659</v>
      </c>
      <c r="T71" s="56">
        <v>26.533333333333331</v>
      </c>
      <c r="U71" s="56">
        <v>25.63333333333334</v>
      </c>
      <c r="V71" s="56">
        <v>25.233333333333331</v>
      </c>
      <c r="W71" s="56">
        <v>25.833333333333329</v>
      </c>
      <c r="X71" s="56">
        <v>24.566666666666659</v>
      </c>
      <c r="Y71" s="56">
        <v>26.166666666666671</v>
      </c>
      <c r="Z71" s="56">
        <v>26.36666666666666</v>
      </c>
      <c r="AA71" s="56">
        <v>25.666666666666671</v>
      </c>
      <c r="AB71" s="56">
        <v>23</v>
      </c>
      <c r="AC71" s="56">
        <v>23.6</v>
      </c>
      <c r="AD71" s="56">
        <v>26.1</v>
      </c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20</v>
      </c>
      <c r="AQ71" s="71">
        <f t="shared" si="4"/>
        <v>25.255000000000006</v>
      </c>
      <c r="AR71" s="71">
        <f>IFERROR(VLOOKUP(A71,Climatologia_TMED!A:U,9+$E$2,FALSE),"")</f>
        <v>24.973208742959539</v>
      </c>
      <c r="AS71" s="71">
        <f t="shared" si="5"/>
        <v>0.28179125704046726</v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>
        <v>26.4</v>
      </c>
      <c r="Q72" s="56">
        <v>26.55</v>
      </c>
      <c r="R72" s="56">
        <v>26.55</v>
      </c>
      <c r="S72" s="56">
        <v>24.75</v>
      </c>
      <c r="T72" s="56">
        <v>25.75</v>
      </c>
      <c r="U72" s="56">
        <v>25.75</v>
      </c>
      <c r="V72" s="56"/>
      <c r="W72" s="56"/>
      <c r="X72" s="56">
        <v>25.2</v>
      </c>
      <c r="Y72" s="56">
        <v>26.3</v>
      </c>
      <c r="Z72" s="56">
        <v>26.15</v>
      </c>
      <c r="AA72" s="56">
        <v>26.5</v>
      </c>
      <c r="AB72" s="56"/>
      <c r="AC72" s="56"/>
      <c r="AD72" s="56">
        <v>25.95</v>
      </c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14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>
        <v>20.149999999999999</v>
      </c>
      <c r="O73" s="56">
        <v>20.05</v>
      </c>
      <c r="P73" s="56">
        <v>22.05</v>
      </c>
      <c r="Q73" s="56">
        <v>21.45</v>
      </c>
      <c r="R73" s="56">
        <v>18.850000000000001</v>
      </c>
      <c r="S73" s="56">
        <v>19.3</v>
      </c>
      <c r="T73" s="56">
        <v>20.85</v>
      </c>
      <c r="U73" s="56">
        <v>21.45</v>
      </c>
      <c r="V73" s="56">
        <v>19.55</v>
      </c>
      <c r="W73" s="56">
        <v>20.85</v>
      </c>
      <c r="X73" s="56">
        <v>19.600000000000001</v>
      </c>
      <c r="Y73" s="56">
        <v>21.6</v>
      </c>
      <c r="Z73" s="56">
        <v>21.35</v>
      </c>
      <c r="AA73" s="56">
        <v>21.45</v>
      </c>
      <c r="AB73" s="56">
        <v>19.75</v>
      </c>
      <c r="AC73" s="56">
        <v>19.95</v>
      </c>
      <c r="AD73" s="56">
        <v>22.3</v>
      </c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20</v>
      </c>
      <c r="AQ73" s="71">
        <f t="shared" si="4"/>
        <v>20.467500000000001</v>
      </c>
      <c r="AR73" s="71">
        <f>IFERROR(VLOOKUP(A73,Climatologia_TMED!A:U,9+$E$2,FALSE),"")</f>
        <v>19.99849874936011</v>
      </c>
      <c r="AS73" s="71">
        <f t="shared" si="5"/>
        <v>0.46900125063989151</v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>
        <v>15.6</v>
      </c>
      <c r="P74" s="56">
        <v>17.600000000000001</v>
      </c>
      <c r="Q74" s="56">
        <v>16.2</v>
      </c>
      <c r="R74" s="56">
        <v>14.33333333333333</v>
      </c>
      <c r="S74" s="56">
        <v>15.66666666666667</v>
      </c>
      <c r="T74" s="56">
        <v>15.06666666666667</v>
      </c>
      <c r="U74" s="56">
        <v>17.06666666666667</v>
      </c>
      <c r="V74" s="56">
        <v>14.733333333333331</v>
      </c>
      <c r="W74" s="56">
        <v>15</v>
      </c>
      <c r="X74" s="56">
        <v>14.06666666666667</v>
      </c>
      <c r="Y74" s="56">
        <v>15.56666666666667</v>
      </c>
      <c r="Z74" s="56">
        <v>15.66666666666667</v>
      </c>
      <c r="AA74" s="56">
        <v>16.600000000000001</v>
      </c>
      <c r="AB74" s="56">
        <v>15.4</v>
      </c>
      <c r="AC74" s="56">
        <v>15.06666666666667</v>
      </c>
      <c r="AD74" s="56">
        <v>17.133333333333329</v>
      </c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20</v>
      </c>
      <c r="AQ74" s="71">
        <f t="shared" si="4"/>
        <v>15.564999999999994</v>
      </c>
      <c r="AR74" s="71">
        <f>IFERROR(VLOOKUP(A74,Climatologia_TMED!A:U,9+$E$2,FALSE),"")</f>
        <v>15.18104369196679</v>
      </c>
      <c r="AS74" s="71">
        <f t="shared" si="5"/>
        <v>0.3839563080332038</v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>
        <v>20.5</v>
      </c>
      <c r="P75" s="56">
        <v>21.95</v>
      </c>
      <c r="Q75" s="56">
        <v>21.2</v>
      </c>
      <c r="R75" s="56">
        <v>19.45</v>
      </c>
      <c r="S75" s="56">
        <v>20</v>
      </c>
      <c r="T75" s="56">
        <v>20.399999999999999</v>
      </c>
      <c r="U75" s="56">
        <v>22.3</v>
      </c>
      <c r="V75" s="56">
        <v>20.6</v>
      </c>
      <c r="W75" s="56">
        <v>20.85</v>
      </c>
      <c r="X75" s="56">
        <v>19.850000000000001</v>
      </c>
      <c r="Y75" s="56">
        <v>20.65</v>
      </c>
      <c r="Z75" s="56">
        <v>20.45</v>
      </c>
      <c r="AA75" s="56">
        <v>21.55</v>
      </c>
      <c r="AB75" s="56">
        <v>20.2</v>
      </c>
      <c r="AC75" s="56">
        <v>20.45</v>
      </c>
      <c r="AD75" s="56">
        <v>21.75</v>
      </c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20</v>
      </c>
      <c r="AQ75" s="71">
        <f t="shared" si="4"/>
        <v>20.66375</v>
      </c>
      <c r="AR75" s="71">
        <f>IFERROR(VLOOKUP(A75,Climatologia_TMED!A:U,9+$E$2,FALSE),"")</f>
        <v>19.799966611526219</v>
      </c>
      <c r="AS75" s="71">
        <f t="shared" si="5"/>
        <v>0.86378338847378089</v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>
        <v>24.266666666666669</v>
      </c>
      <c r="P76" s="56">
        <v>25.266666666666669</v>
      </c>
      <c r="Q76" s="56">
        <v>25.733333333333331</v>
      </c>
      <c r="R76" s="56">
        <v>23.86666666666666</v>
      </c>
      <c r="S76" s="56">
        <v>23.266666666666669</v>
      </c>
      <c r="T76" s="56">
        <v>23.86666666666666</v>
      </c>
      <c r="U76" s="56">
        <v>25.2</v>
      </c>
      <c r="V76" s="56">
        <v>21.266666666666669</v>
      </c>
      <c r="W76" s="56">
        <v>24.533333333333331</v>
      </c>
      <c r="X76" s="56">
        <v>23.2</v>
      </c>
      <c r="Y76" s="56">
        <v>24.4</v>
      </c>
      <c r="Z76" s="56">
        <v>25.13333333333334</v>
      </c>
      <c r="AA76" s="56">
        <v>24.86666666666666</v>
      </c>
      <c r="AB76" s="56">
        <v>21.4</v>
      </c>
      <c r="AC76" s="56">
        <v>23.06666666666667</v>
      </c>
      <c r="AD76" s="56">
        <v>24.13333333333334</v>
      </c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20</v>
      </c>
      <c r="AQ76" s="71">
        <f t="shared" si="4"/>
        <v>23.799999999999994</v>
      </c>
      <c r="AR76" s="71">
        <f>IFERROR(VLOOKUP(A76,Climatologia_TMED!A:U,9+$E$2,FALSE),"")</f>
        <v>22.683240855978919</v>
      </c>
      <c r="AS76" s="71">
        <f t="shared" si="5"/>
        <v>1.1167591440210742</v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>
        <v>31.6</v>
      </c>
      <c r="P77" s="56">
        <v>32.65</v>
      </c>
      <c r="Q77" s="56">
        <v>32.75</v>
      </c>
      <c r="R77" s="56">
        <v>32.200000000000003</v>
      </c>
      <c r="S77" s="56">
        <v>30.4</v>
      </c>
      <c r="T77" s="56">
        <v>30</v>
      </c>
      <c r="U77" s="56">
        <v>32.4</v>
      </c>
      <c r="V77" s="56">
        <v>29.2</v>
      </c>
      <c r="W77" s="56">
        <v>32.1</v>
      </c>
      <c r="X77" s="56">
        <v>30.7</v>
      </c>
      <c r="Y77" s="56">
        <v>32.799999999999997</v>
      </c>
      <c r="Z77" s="56">
        <v>32.200000000000003</v>
      </c>
      <c r="AA77" s="56">
        <v>32.799999999999997</v>
      </c>
      <c r="AB77" s="56">
        <v>28.85</v>
      </c>
      <c r="AC77" s="56">
        <v>30.05</v>
      </c>
      <c r="AD77" s="56">
        <v>31.3</v>
      </c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20</v>
      </c>
      <c r="AQ77" s="71">
        <f t="shared" si="4"/>
        <v>31.047499999999992</v>
      </c>
      <c r="AR77" s="71">
        <f>IFERROR(VLOOKUP(A77,Climatologia_TMED!A:U,9+$E$2,FALSE),"")</f>
        <v>29.183929810522649</v>
      </c>
      <c r="AS77" s="71">
        <f t="shared" si="5"/>
        <v>1.8635701894773433</v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>
        <v>30.466666666666669</v>
      </c>
      <c r="P78" s="56">
        <v>32.866666666666667</v>
      </c>
      <c r="Q78" s="56">
        <v>32.066666666666663</v>
      </c>
      <c r="R78" s="56">
        <v>32.6</v>
      </c>
      <c r="S78" s="56">
        <v>31.86666666666666</v>
      </c>
      <c r="T78" s="56">
        <v>31.4</v>
      </c>
      <c r="U78" s="56"/>
      <c r="V78" s="56"/>
      <c r="W78" s="56"/>
      <c r="X78" s="56">
        <v>29.93333333333333</v>
      </c>
      <c r="Y78" s="56">
        <v>29.06666666666667</v>
      </c>
      <c r="Z78" s="56">
        <v>31.13333333333334</v>
      </c>
      <c r="AA78" s="56">
        <v>32</v>
      </c>
      <c r="AB78" s="56">
        <v>27.466666666666669</v>
      </c>
      <c r="AC78" s="56">
        <v>30.6</v>
      </c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16</v>
      </c>
      <c r="AQ78" s="71">
        <f t="shared" si="4"/>
        <v>30.99583333333333</v>
      </c>
      <c r="AR78" s="71">
        <f>IFERROR(VLOOKUP(A78,Climatologia_TMED!A:U,9+$E$2,FALSE),"")</f>
        <v>29.469052884450729</v>
      </c>
      <c r="AS78" s="71">
        <f t="shared" si="5"/>
        <v>1.5267804488826009</v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>
        <v>20.666666666666671</v>
      </c>
      <c r="L79" s="56">
        <v>18.86666666666666</v>
      </c>
      <c r="M79" s="56">
        <v>19.8</v>
      </c>
      <c r="N79" s="56">
        <v>20.333333333333329</v>
      </c>
      <c r="O79" s="56">
        <v>20.533333333333331</v>
      </c>
      <c r="P79" s="56">
        <v>20.333333333333329</v>
      </c>
      <c r="Q79" s="56">
        <v>20.466666666666669</v>
      </c>
      <c r="R79" s="56">
        <v>21.6</v>
      </c>
      <c r="S79" s="56">
        <v>20.6</v>
      </c>
      <c r="T79" s="56">
        <v>21.13333333333334</v>
      </c>
      <c r="U79" s="56">
        <v>21.6</v>
      </c>
      <c r="V79" s="56">
        <v>19.733333333333331</v>
      </c>
      <c r="W79" s="56">
        <v>20.466666666666669</v>
      </c>
      <c r="X79" s="56">
        <v>20.2</v>
      </c>
      <c r="Y79" s="56">
        <v>22.933333333333341</v>
      </c>
      <c r="Z79" s="56">
        <v>21.2</v>
      </c>
      <c r="AA79" s="56">
        <v>21.8</v>
      </c>
      <c r="AB79" s="56">
        <v>19.399999999999999</v>
      </c>
      <c r="AC79" s="56">
        <v>19.06666666666667</v>
      </c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19</v>
      </c>
      <c r="AQ79" s="71">
        <f t="shared" si="4"/>
        <v>20.564912280701751</v>
      </c>
      <c r="AR79" s="71">
        <f>IFERROR(VLOOKUP(A79,Climatologia_TMED!A:U,9+$E$2,FALSE),"")</f>
        <v>19.306579428930519</v>
      </c>
      <c r="AS79" s="71">
        <f t="shared" si="5"/>
        <v>1.2583328517712324</v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>
        <v>24.55</v>
      </c>
      <c r="P80" s="56"/>
      <c r="Q80" s="56">
        <v>23.5</v>
      </c>
      <c r="R80" s="56">
        <v>22.75</v>
      </c>
      <c r="S80" s="56">
        <v>23.65</v>
      </c>
      <c r="T80" s="56">
        <v>25.4</v>
      </c>
      <c r="U80" s="56">
        <v>25.25</v>
      </c>
      <c r="V80" s="56">
        <v>24.85</v>
      </c>
      <c r="W80" s="56">
        <v>22.8</v>
      </c>
      <c r="X80" s="56">
        <v>22.9</v>
      </c>
      <c r="Y80" s="56">
        <v>24.5</v>
      </c>
      <c r="Z80" s="56">
        <v>23.45</v>
      </c>
      <c r="AA80" s="56">
        <v>25.4</v>
      </c>
      <c r="AB80" s="56">
        <v>23</v>
      </c>
      <c r="AC80" s="56">
        <v>24.15</v>
      </c>
      <c r="AD80" s="56">
        <v>23.95</v>
      </c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19</v>
      </c>
      <c r="AQ80" s="71">
        <f t="shared" si="4"/>
        <v>23.878947368421048</v>
      </c>
      <c r="AR80" s="71">
        <f>IFERROR(VLOOKUP(A80,Climatologia_TMED!A:U,9+$E$2,FALSE),"")</f>
        <v>24.17462990609177</v>
      </c>
      <c r="AS80" s="71">
        <f t="shared" si="5"/>
        <v>-0.2956825376707215</v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>
        <v>25.833333333333329</v>
      </c>
      <c r="P81" s="56">
        <v>26.86666666666666</v>
      </c>
      <c r="Q81" s="56">
        <v>24.93333333333333</v>
      </c>
      <c r="R81" s="56">
        <v>23.93333333333333</v>
      </c>
      <c r="S81" s="56">
        <v>24.13333333333334</v>
      </c>
      <c r="T81" s="56">
        <v>27.06666666666667</v>
      </c>
      <c r="U81" s="56">
        <v>25.4</v>
      </c>
      <c r="V81" s="56">
        <v>26.13333333333334</v>
      </c>
      <c r="W81" s="56">
        <v>25.2</v>
      </c>
      <c r="X81" s="56">
        <v>26.333333333333329</v>
      </c>
      <c r="Y81" s="56">
        <v>26.133333333333329</v>
      </c>
      <c r="Z81" s="56">
        <v>25.6</v>
      </c>
      <c r="AA81" s="56">
        <v>27.13333333333334</v>
      </c>
      <c r="AB81" s="56">
        <v>28.066666666666659</v>
      </c>
      <c r="AC81" s="56">
        <v>26.266666666666669</v>
      </c>
      <c r="AD81" s="56">
        <v>27.466666666666669</v>
      </c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20</v>
      </c>
      <c r="AQ81" s="71">
        <f t="shared" si="4"/>
        <v>25.838333333333331</v>
      </c>
      <c r="AR81" s="71">
        <f>IFERROR(VLOOKUP(A81,Climatologia_TMED!A:U,9+$E$2,FALSE),"")</f>
        <v>25.173722457421579</v>
      </c>
      <c r="AS81" s="71">
        <f t="shared" si="5"/>
        <v>0.66461087591175172</v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>
        <v>30.7</v>
      </c>
      <c r="P84" s="56">
        <v>31.8</v>
      </c>
      <c r="Q84" s="56">
        <v>30.85</v>
      </c>
      <c r="R84" s="56"/>
      <c r="S84" s="56"/>
      <c r="T84" s="56">
        <v>30.5</v>
      </c>
      <c r="U84" s="56"/>
      <c r="V84" s="56"/>
      <c r="W84" s="56"/>
      <c r="X84" s="56"/>
      <c r="Y84" s="56"/>
      <c r="Z84" s="56">
        <v>31.8</v>
      </c>
      <c r="AA84" s="56"/>
      <c r="AB84" s="56"/>
      <c r="AC84" s="56">
        <v>30.55</v>
      </c>
      <c r="AD84" s="56">
        <v>31.05</v>
      </c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11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>
        <v>29.35</v>
      </c>
      <c r="P85" s="56">
        <v>29.6</v>
      </c>
      <c r="Q85" s="56">
        <v>29.95</v>
      </c>
      <c r="R85" s="56">
        <v>30.4</v>
      </c>
      <c r="S85" s="56">
        <v>29.75</v>
      </c>
      <c r="T85" s="56">
        <v>29.55</v>
      </c>
      <c r="U85" s="56">
        <v>29.75</v>
      </c>
      <c r="V85" s="56">
        <v>30.05</v>
      </c>
      <c r="W85" s="56">
        <v>29.4</v>
      </c>
      <c r="X85" s="56">
        <v>29.9</v>
      </c>
      <c r="Y85" s="56">
        <v>30.15</v>
      </c>
      <c r="Z85" s="56">
        <v>30.05</v>
      </c>
      <c r="AA85" s="56">
        <v>29.9</v>
      </c>
      <c r="AB85" s="56">
        <v>29.35</v>
      </c>
      <c r="AC85" s="56">
        <v>29.95</v>
      </c>
      <c r="AD85" s="56">
        <v>29.7</v>
      </c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20</v>
      </c>
      <c r="AQ85" s="71">
        <f t="shared" si="4"/>
        <v>29.77</v>
      </c>
      <c r="AR85" s="71">
        <f>IFERROR(VLOOKUP(A85,Climatologia_TMED!A:U,9+$E$2,FALSE),"")</f>
        <v>28.612083161554789</v>
      </c>
      <c r="AS85" s="71">
        <f t="shared" si="5"/>
        <v>1.1579168384452103</v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>
        <v>32.049999999999997</v>
      </c>
      <c r="P86" s="56">
        <v>33.4</v>
      </c>
      <c r="Q86" s="56">
        <v>33.849999999999987</v>
      </c>
      <c r="R86" s="56">
        <v>33.849999999999987</v>
      </c>
      <c r="S86" s="56">
        <v>29.55</v>
      </c>
      <c r="T86" s="56">
        <v>32.849999999999987</v>
      </c>
      <c r="U86" s="56">
        <v>32.650000000000013</v>
      </c>
      <c r="V86" s="56">
        <v>31.5</v>
      </c>
      <c r="W86" s="56">
        <v>31.75</v>
      </c>
      <c r="X86" s="56">
        <v>33.25</v>
      </c>
      <c r="Y86" s="56">
        <v>35.25</v>
      </c>
      <c r="Z86" s="56">
        <v>34.549999999999997</v>
      </c>
      <c r="AA86" s="56">
        <v>35.450000000000003</v>
      </c>
      <c r="AB86" s="56">
        <v>29.75</v>
      </c>
      <c r="AC86" s="56">
        <v>31.35</v>
      </c>
      <c r="AD86" s="56">
        <v>28.2</v>
      </c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20</v>
      </c>
      <c r="AQ86" s="71">
        <f t="shared" si="4"/>
        <v>32.234999999999999</v>
      </c>
      <c r="AR86" s="71">
        <f>IFERROR(VLOOKUP(A86,Climatologia_TMED!A:U,9+$E$2,FALSE),"")</f>
        <v>29.006189972462391</v>
      </c>
      <c r="AS86" s="71">
        <f t="shared" si="5"/>
        <v>3.2288100275376088</v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>
        <v>31</v>
      </c>
      <c r="P87" s="56">
        <v>30.8</v>
      </c>
      <c r="Q87" s="56">
        <v>31.55</v>
      </c>
      <c r="R87" s="56">
        <v>31.25</v>
      </c>
      <c r="S87" s="56">
        <v>30.8</v>
      </c>
      <c r="T87" s="56">
        <v>31.05</v>
      </c>
      <c r="U87" s="56">
        <v>30.6</v>
      </c>
      <c r="V87" s="56">
        <v>29.3</v>
      </c>
      <c r="W87" s="56">
        <v>28.25</v>
      </c>
      <c r="X87" s="56">
        <v>31.3</v>
      </c>
      <c r="Y87" s="56">
        <v>31.55</v>
      </c>
      <c r="Z87" s="56">
        <v>31.6</v>
      </c>
      <c r="AA87" s="56">
        <v>31.7</v>
      </c>
      <c r="AB87" s="56">
        <v>30.65</v>
      </c>
      <c r="AC87" s="56">
        <v>28.9</v>
      </c>
      <c r="AD87" s="56">
        <v>28.95</v>
      </c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20</v>
      </c>
      <c r="AQ87" s="71">
        <f t="shared" si="4"/>
        <v>30.337500000000006</v>
      </c>
      <c r="AR87" s="71">
        <f>IFERROR(VLOOKUP(A87,Climatologia_TMED!A:U,9+$E$2,FALSE),"")</f>
        <v>28.69087461597541</v>
      </c>
      <c r="AS87" s="71">
        <f t="shared" si="5"/>
        <v>1.6466253840245955</v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>
        <v>33.299999999999997</v>
      </c>
      <c r="P88" s="56">
        <v>34.1</v>
      </c>
      <c r="Q88" s="56">
        <v>34.75</v>
      </c>
      <c r="R88" s="56">
        <v>35.9</v>
      </c>
      <c r="S88" s="56">
        <v>31.05</v>
      </c>
      <c r="T88" s="56"/>
      <c r="U88" s="56">
        <v>34.950000000000003</v>
      </c>
      <c r="V88" s="56">
        <v>32.65</v>
      </c>
      <c r="W88" s="56"/>
      <c r="X88" s="56">
        <v>35.75</v>
      </c>
      <c r="Y88" s="56">
        <v>35.85</v>
      </c>
      <c r="Z88" s="56">
        <v>35.4</v>
      </c>
      <c r="AA88" s="56"/>
      <c r="AB88" s="56">
        <v>34.450000000000003</v>
      </c>
      <c r="AC88" s="56"/>
      <c r="AD88" s="56">
        <v>28.15</v>
      </c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15</v>
      </c>
      <c r="AQ88" s="71">
        <f t="shared" si="4"/>
        <v>33.713333333333331</v>
      </c>
      <c r="AR88" s="71">
        <f>IFERROR(VLOOKUP(A88,Climatologia_TMED!A:U,9+$E$2,FALSE),"")</f>
        <v>29.482499041646701</v>
      </c>
      <c r="AS88" s="71">
        <f t="shared" si="5"/>
        <v>4.2308342916866302</v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>
        <v>33</v>
      </c>
      <c r="P89" s="56">
        <v>30.7</v>
      </c>
      <c r="Q89" s="56">
        <v>33.4</v>
      </c>
      <c r="R89" s="56">
        <v>33.85</v>
      </c>
      <c r="S89" s="56">
        <v>32.049999999999997</v>
      </c>
      <c r="T89" s="56">
        <v>32.450000000000003</v>
      </c>
      <c r="U89" s="56">
        <v>32.1</v>
      </c>
      <c r="V89" s="56">
        <v>31.9</v>
      </c>
      <c r="W89" s="56">
        <v>31.6</v>
      </c>
      <c r="X89" s="56">
        <v>33.75</v>
      </c>
      <c r="Y89" s="56">
        <v>33.700000000000003</v>
      </c>
      <c r="Z89" s="56">
        <v>33</v>
      </c>
      <c r="AA89" s="56">
        <v>33.400000000000013</v>
      </c>
      <c r="AB89" s="56">
        <v>33.15</v>
      </c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18</v>
      </c>
      <c r="AQ89" s="71">
        <f t="shared" si="4"/>
        <v>32.336111111111109</v>
      </c>
      <c r="AR89" s="71">
        <f>IFERROR(VLOOKUP(A89,Climatologia_TMED!A:U,9+$E$2,FALSE),"")</f>
        <v>29.035060057912659</v>
      </c>
      <c r="AS89" s="71">
        <f t="shared" si="5"/>
        <v>3.3010510531984494</v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>
        <v>16.899999999999999</v>
      </c>
      <c r="P90" s="56">
        <v>19.2</v>
      </c>
      <c r="Q90" s="56">
        <v>19.25</v>
      </c>
      <c r="R90" s="56">
        <v>19.899999999999999</v>
      </c>
      <c r="S90" s="56">
        <v>15.65</v>
      </c>
      <c r="T90" s="56">
        <v>16.95</v>
      </c>
      <c r="U90" s="56">
        <v>18</v>
      </c>
      <c r="V90" s="56">
        <v>16.850000000000001</v>
      </c>
      <c r="W90" s="56">
        <v>17.95</v>
      </c>
      <c r="X90" s="56">
        <v>18.45</v>
      </c>
      <c r="Y90" s="56">
        <v>17.25</v>
      </c>
      <c r="Z90" s="56">
        <v>19.3</v>
      </c>
      <c r="AA90" s="56">
        <v>19.55</v>
      </c>
      <c r="AB90" s="56">
        <v>16.75</v>
      </c>
      <c r="AC90" s="56">
        <v>15.93333333333333</v>
      </c>
      <c r="AD90" s="56">
        <v>15.25</v>
      </c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20</v>
      </c>
      <c r="AQ90" s="71">
        <f t="shared" si="4"/>
        <v>17.664166666666667</v>
      </c>
      <c r="AR90" s="71">
        <f>IFERROR(VLOOKUP(A90,Climatologia_TMED!A:U,9+$E$2,FALSE),"")</f>
        <v>16.163344086021471</v>
      </c>
      <c r="AS90" s="71">
        <f t="shared" si="5"/>
        <v>1.5008225806451954</v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>
        <v>22.93333333333333</v>
      </c>
      <c r="P91" s="56">
        <v>24.2</v>
      </c>
      <c r="Q91" s="56">
        <v>24.466666666666669</v>
      </c>
      <c r="R91" s="56">
        <v>25.06666666666667</v>
      </c>
      <c r="S91" s="56">
        <v>22.333333333333329</v>
      </c>
      <c r="T91" s="56">
        <v>24.2</v>
      </c>
      <c r="U91" s="56">
        <v>24.2</v>
      </c>
      <c r="V91" s="56">
        <v>22.733333333333331</v>
      </c>
      <c r="W91" s="56">
        <v>23.333333333333329</v>
      </c>
      <c r="X91" s="56">
        <v>24.2</v>
      </c>
      <c r="Y91" s="56">
        <v>24.8</v>
      </c>
      <c r="Z91" s="56">
        <v>25.466666666666669</v>
      </c>
      <c r="AA91" s="56">
        <v>24.933333333333341</v>
      </c>
      <c r="AB91" s="56">
        <v>23.93333333333333</v>
      </c>
      <c r="AC91" s="56">
        <v>22</v>
      </c>
      <c r="AD91" s="56">
        <v>22</v>
      </c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20</v>
      </c>
      <c r="AQ91" s="71">
        <f t="shared" si="4"/>
        <v>23.676666666666666</v>
      </c>
      <c r="AR91" s="71">
        <f>IFERROR(VLOOKUP(A91,Climatologia_TMED!A:U,9+$E$2,FALSE),"")</f>
        <v>22.109487865869621</v>
      </c>
      <c r="AS91" s="71">
        <f t="shared" si="5"/>
        <v>1.5671788007970449</v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>
        <v>17.8</v>
      </c>
      <c r="P92" s="56">
        <v>18</v>
      </c>
      <c r="Q92" s="56">
        <v>17.2</v>
      </c>
      <c r="R92" s="56">
        <v>18.2</v>
      </c>
      <c r="S92" s="56">
        <v>17.55</v>
      </c>
      <c r="T92" s="56">
        <v>17.100000000000001</v>
      </c>
      <c r="U92" s="56">
        <v>17.45</v>
      </c>
      <c r="V92" s="56">
        <v>16.675000000000001</v>
      </c>
      <c r="W92" s="56">
        <v>17.399999999999999</v>
      </c>
      <c r="X92" s="56">
        <v>17.05</v>
      </c>
      <c r="Y92" s="56">
        <v>17.850000000000001</v>
      </c>
      <c r="Z92" s="56">
        <v>16.75</v>
      </c>
      <c r="AA92" s="56">
        <v>17.95</v>
      </c>
      <c r="AB92" s="56">
        <v>17.25</v>
      </c>
      <c r="AC92" s="56">
        <v>16.850000000000001</v>
      </c>
      <c r="AD92" s="56">
        <v>16.350000000000001</v>
      </c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20</v>
      </c>
      <c r="AQ92" s="71">
        <f t="shared" si="4"/>
        <v>17.383750000000003</v>
      </c>
      <c r="AR92" s="71">
        <f>IFERROR(VLOOKUP(A92,Climatologia_TMED!A:U,9+$E$2,FALSE),"")</f>
        <v>16.095227145934569</v>
      </c>
      <c r="AS92" s="71">
        <f t="shared" si="5"/>
        <v>1.2885228540654339</v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>
        <v>15.25</v>
      </c>
      <c r="P93" s="56">
        <v>14.4</v>
      </c>
      <c r="Q93" s="56">
        <v>14.75</v>
      </c>
      <c r="R93" s="56">
        <v>14.6</v>
      </c>
      <c r="S93" s="56">
        <v>13.1</v>
      </c>
      <c r="T93" s="56">
        <v>13.75</v>
      </c>
      <c r="U93" s="56">
        <v>15.45</v>
      </c>
      <c r="V93" s="56">
        <v>13.75</v>
      </c>
      <c r="W93" s="56">
        <v>14.5</v>
      </c>
      <c r="X93" s="56">
        <v>14.4</v>
      </c>
      <c r="Y93" s="56">
        <v>15.15</v>
      </c>
      <c r="Z93" s="56">
        <v>14.85</v>
      </c>
      <c r="AA93" s="56">
        <v>16</v>
      </c>
      <c r="AB93" s="56">
        <v>16.25</v>
      </c>
      <c r="AC93" s="56">
        <v>14.6</v>
      </c>
      <c r="AD93" s="56">
        <v>16.3</v>
      </c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20</v>
      </c>
      <c r="AQ93" s="71">
        <f t="shared" si="4"/>
        <v>14.717500000000001</v>
      </c>
      <c r="AR93" s="71">
        <f>IFERROR(VLOOKUP(A93,Climatologia_TMED!A:U,9+$E$2,FALSE),"")</f>
        <v>13.63280813615186</v>
      </c>
      <c r="AS93" s="71">
        <f t="shared" si="5"/>
        <v>1.0846918638481409</v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>
        <v>13.45</v>
      </c>
      <c r="P96" s="56">
        <v>14.25</v>
      </c>
      <c r="Q96" s="56">
        <v>13.95</v>
      </c>
      <c r="R96" s="56">
        <v>14.15</v>
      </c>
      <c r="S96" s="56">
        <v>11.65</v>
      </c>
      <c r="T96" s="56">
        <v>12.3</v>
      </c>
      <c r="U96" s="56">
        <v>13.85</v>
      </c>
      <c r="V96" s="56">
        <v>12.05</v>
      </c>
      <c r="W96" s="56">
        <v>11.7</v>
      </c>
      <c r="X96" s="56">
        <v>13.25</v>
      </c>
      <c r="Y96" s="56">
        <v>13.6</v>
      </c>
      <c r="Z96" s="56">
        <v>12.9</v>
      </c>
      <c r="AA96" s="56">
        <v>13.8</v>
      </c>
      <c r="AB96" s="56">
        <v>14.1</v>
      </c>
      <c r="AC96" s="56">
        <v>13.9</v>
      </c>
      <c r="AD96" s="56">
        <v>13.6</v>
      </c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20</v>
      </c>
      <c r="AQ96" s="71">
        <f t="shared" si="4"/>
        <v>13.275000000000002</v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>
        <v>14.366666666666671</v>
      </c>
      <c r="P97" s="56">
        <v>15.03333333333333</v>
      </c>
      <c r="Q97" s="56">
        <v>15.233333333333331</v>
      </c>
      <c r="R97" s="56"/>
      <c r="S97" s="56"/>
      <c r="T97" s="56">
        <v>13.03333333333333</v>
      </c>
      <c r="U97" s="56">
        <v>14.266666666666669</v>
      </c>
      <c r="V97" s="56">
        <v>14.93333333333333</v>
      </c>
      <c r="W97" s="56">
        <v>14.33333333333333</v>
      </c>
      <c r="X97" s="56">
        <v>14.266666666666669</v>
      </c>
      <c r="Y97" s="56">
        <v>15.46666666666667</v>
      </c>
      <c r="Z97" s="56">
        <v>14.83333333333333</v>
      </c>
      <c r="AA97" s="56">
        <v>15.96666666666667</v>
      </c>
      <c r="AB97" s="56">
        <v>15.83333333333333</v>
      </c>
      <c r="AC97" s="56">
        <v>13.633333333333329</v>
      </c>
      <c r="AD97" s="56">
        <v>13.366666666666671</v>
      </c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18</v>
      </c>
      <c r="AQ97" s="71">
        <f t="shared" si="4"/>
        <v>14.425925925925927</v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>
        <v>17.466666666666669</v>
      </c>
      <c r="P98" s="56">
        <v>17.733333333333331</v>
      </c>
      <c r="Q98" s="56">
        <v>16.8</v>
      </c>
      <c r="R98" s="56">
        <v>17.533333333333331</v>
      </c>
      <c r="S98" s="56">
        <v>14.33333333333333</v>
      </c>
      <c r="T98" s="56">
        <v>16.466666666666669</v>
      </c>
      <c r="U98" s="56">
        <v>15.9</v>
      </c>
      <c r="V98" s="56">
        <v>16.133333333333329</v>
      </c>
      <c r="W98" s="56">
        <v>16.3</v>
      </c>
      <c r="X98" s="56">
        <v>16.266666666666669</v>
      </c>
      <c r="Y98" s="56">
        <v>17.266666666666669</v>
      </c>
      <c r="Z98" s="56">
        <v>14.733333333333331</v>
      </c>
      <c r="AA98" s="56">
        <v>17.399999999999999</v>
      </c>
      <c r="AB98" s="56"/>
      <c r="AC98" s="56"/>
      <c r="AD98" s="56">
        <v>16.733333333333331</v>
      </c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15</v>
      </c>
      <c r="AQ98" s="71">
        <f t="shared" si="4"/>
        <v>16.36</v>
      </c>
      <c r="AR98" s="71">
        <f>IFERROR(VLOOKUP(A98,Climatologia_TMED!A:U,9+$E$2,FALSE),"")</f>
        <v>14.309357906107991</v>
      </c>
      <c r="AS98" s="71">
        <f t="shared" si="5"/>
        <v>2.0506420938920087</v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>
        <v>14</v>
      </c>
      <c r="P99" s="56">
        <v>13.8</v>
      </c>
      <c r="Q99" s="56">
        <v>13.85</v>
      </c>
      <c r="R99" s="56">
        <v>14.35</v>
      </c>
      <c r="S99" s="56">
        <v>11.75</v>
      </c>
      <c r="T99" s="56"/>
      <c r="U99" s="56"/>
      <c r="V99" s="56"/>
      <c r="W99" s="56"/>
      <c r="X99" s="56">
        <v>13.75</v>
      </c>
      <c r="Y99" s="56">
        <v>13.95</v>
      </c>
      <c r="Z99" s="56">
        <v>13.05</v>
      </c>
      <c r="AA99" s="56">
        <v>15.1</v>
      </c>
      <c r="AB99" s="56">
        <v>13.6</v>
      </c>
      <c r="AC99" s="56">
        <v>13.85</v>
      </c>
      <c r="AD99" s="56">
        <v>13.55</v>
      </c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15</v>
      </c>
      <c r="AQ99" s="71">
        <f t="shared" si="4"/>
        <v>13.556666666666667</v>
      </c>
      <c r="AR99" s="71">
        <f>IFERROR(VLOOKUP(A99,Climatologia_TMED!A:U,9+$E$2,FALSE),"")</f>
        <v>12.33240366261129</v>
      </c>
      <c r="AS99" s="71">
        <f t="shared" si="5"/>
        <v>1.224263004055377</v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>
        <v>13.933333333333341</v>
      </c>
      <c r="R100" s="56">
        <v>14.2</v>
      </c>
      <c r="S100" s="56">
        <v>10.4</v>
      </c>
      <c r="T100" s="56">
        <v>12.53333333333333</v>
      </c>
      <c r="U100" s="56">
        <v>13.06666666666667</v>
      </c>
      <c r="V100" s="56">
        <v>13.133333333333329</v>
      </c>
      <c r="W100" s="56">
        <v>13.33333333333333</v>
      </c>
      <c r="X100" s="56">
        <v>12.133333333333329</v>
      </c>
      <c r="Y100" s="56">
        <v>13.53333333333333</v>
      </c>
      <c r="Z100" s="56">
        <v>12.866666666666671</v>
      </c>
      <c r="AA100" s="56"/>
      <c r="AB100" s="56">
        <v>13.866666666666671</v>
      </c>
      <c r="AC100" s="56">
        <v>13.53333333333333</v>
      </c>
      <c r="AD100" s="56">
        <v>14.33333333333333</v>
      </c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17</v>
      </c>
      <c r="AQ100" s="71">
        <f t="shared" si="4"/>
        <v>13.117647058823531</v>
      </c>
      <c r="AR100" s="71">
        <f>IFERROR(VLOOKUP(A100,Climatologia_TMED!A:U,9+$E$2,FALSE),"")</f>
        <v>11.246995369385891</v>
      </c>
      <c r="AS100" s="71">
        <f t="shared" si="5"/>
        <v>1.8706516894376399</v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>
        <v>16.733333333333331</v>
      </c>
      <c r="P103" s="56"/>
      <c r="Q103" s="56"/>
      <c r="R103" s="56"/>
      <c r="S103" s="56">
        <v>16.06666666666667</v>
      </c>
      <c r="T103" s="56">
        <v>18.266666666666669</v>
      </c>
      <c r="U103" s="56">
        <v>17.600000000000001</v>
      </c>
      <c r="V103" s="56">
        <v>18.666666666666671</v>
      </c>
      <c r="W103" s="56">
        <v>16.93333333333333</v>
      </c>
      <c r="X103" s="56">
        <v>18.533333333333331</v>
      </c>
      <c r="Y103" s="56">
        <v>18.399999999999999</v>
      </c>
      <c r="Z103" s="56">
        <v>19.06666666666667</v>
      </c>
      <c r="AA103" s="56">
        <v>20.06666666666667</v>
      </c>
      <c r="AB103" s="56">
        <v>19.533333333333331</v>
      </c>
      <c r="AC103" s="56">
        <v>17.733333333333331</v>
      </c>
      <c r="AD103" s="56">
        <v>17.2</v>
      </c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17</v>
      </c>
      <c r="AQ103" s="71">
        <f t="shared" si="4"/>
        <v>17.898039215686278</v>
      </c>
      <c r="AR103" s="71">
        <f>IFERROR(VLOOKUP(A103,Climatologia_TMED!A:U,9+$E$2,FALSE),"")</f>
        <v>17.044537508476271</v>
      </c>
      <c r="AS103" s="71">
        <f t="shared" si="5"/>
        <v>0.85350170721000751</v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>
        <v>15.66666666666667</v>
      </c>
      <c r="Q105" s="56">
        <v>14.93333333333333</v>
      </c>
      <c r="R105" s="56"/>
      <c r="S105" s="56"/>
      <c r="T105" s="56"/>
      <c r="U105" s="56"/>
      <c r="V105" s="56"/>
      <c r="W105" s="56"/>
      <c r="X105" s="56">
        <v>14.93333333333333</v>
      </c>
      <c r="Y105" s="56">
        <v>15.866666666666671</v>
      </c>
      <c r="Z105" s="56">
        <v>14.733333333333331</v>
      </c>
      <c r="AA105" s="56">
        <v>14.866666666666671</v>
      </c>
      <c r="AB105" s="56">
        <v>15.33333333333333</v>
      </c>
      <c r="AC105" s="56">
        <v>13.866666666666671</v>
      </c>
      <c r="AD105" s="56">
        <v>16.399999999999999</v>
      </c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11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>
        <v>15.35</v>
      </c>
      <c r="P106" s="56">
        <v>15.55</v>
      </c>
      <c r="Q106" s="56">
        <v>15.65</v>
      </c>
      <c r="R106" s="56">
        <v>13.25</v>
      </c>
      <c r="S106" s="56">
        <v>12.3</v>
      </c>
      <c r="T106" s="56">
        <v>13</v>
      </c>
      <c r="U106" s="56">
        <v>13.7</v>
      </c>
      <c r="V106" s="56">
        <v>14.7</v>
      </c>
      <c r="W106" s="56">
        <v>13.9</v>
      </c>
      <c r="X106" s="56">
        <v>14.25</v>
      </c>
      <c r="Y106" s="56">
        <v>13.65</v>
      </c>
      <c r="Z106" s="56">
        <v>12.324999999999999</v>
      </c>
      <c r="AA106" s="56">
        <v>15.75</v>
      </c>
      <c r="AB106" s="56">
        <v>13.775</v>
      </c>
      <c r="AC106" s="56">
        <v>14.75</v>
      </c>
      <c r="AD106" s="56">
        <v>14.3</v>
      </c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20</v>
      </c>
      <c r="AQ106" s="71">
        <f t="shared" si="4"/>
        <v>13.952500000000001</v>
      </c>
      <c r="AR106" s="71">
        <f>IFERROR(VLOOKUP(A106,Climatologia_TMED!A:U,9+$E$2,FALSE),"")</f>
        <v>14.22903291473181</v>
      </c>
      <c r="AS106" s="71">
        <f t="shared" si="5"/>
        <v>-0.27653291473180985</v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>
        <v>14.7</v>
      </c>
      <c r="P107" s="56">
        <v>15.3</v>
      </c>
      <c r="Q107" s="56">
        <v>14.3</v>
      </c>
      <c r="R107" s="56">
        <v>15.05</v>
      </c>
      <c r="S107" s="56">
        <v>14.2</v>
      </c>
      <c r="T107" s="56">
        <v>14.25</v>
      </c>
      <c r="U107" s="56">
        <v>15.25</v>
      </c>
      <c r="V107" s="56">
        <v>14.3</v>
      </c>
      <c r="W107" s="56">
        <v>13.5</v>
      </c>
      <c r="X107" s="56">
        <v>14.35</v>
      </c>
      <c r="Y107" s="56">
        <v>14.65</v>
      </c>
      <c r="Z107" s="56">
        <v>14.7</v>
      </c>
      <c r="AA107" s="56">
        <v>16.05</v>
      </c>
      <c r="AB107" s="56">
        <v>14.65</v>
      </c>
      <c r="AC107" s="56">
        <v>14.75</v>
      </c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19</v>
      </c>
      <c r="AQ107" s="71">
        <f t="shared" si="4"/>
        <v>14.505263157894735</v>
      </c>
      <c r="AR107" s="71">
        <f>IFERROR(VLOOKUP(A107,Climatologia_TMED!A:U,9+$E$2,FALSE),"")</f>
        <v>13.71376308750779</v>
      </c>
      <c r="AS107" s="71">
        <f t="shared" si="5"/>
        <v>0.79150007038694525</v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>
        <v>17.93333333333333</v>
      </c>
      <c r="P108" s="56">
        <v>17.86666666666666</v>
      </c>
      <c r="Q108" s="56">
        <v>16.866666666666671</v>
      </c>
      <c r="R108" s="56">
        <v>18.06666666666667</v>
      </c>
      <c r="S108" s="56">
        <v>18.533333333333331</v>
      </c>
      <c r="T108" s="56">
        <v>17.533333333333331</v>
      </c>
      <c r="U108" s="56">
        <v>18</v>
      </c>
      <c r="V108" s="56">
        <v>16.93333333333333</v>
      </c>
      <c r="W108" s="56">
        <v>17.133333333333329</v>
      </c>
      <c r="X108" s="56">
        <v>17.2</v>
      </c>
      <c r="Y108" s="56">
        <v>17.866666666666671</v>
      </c>
      <c r="Z108" s="56">
        <v>18.333333333333329</v>
      </c>
      <c r="AA108" s="56">
        <v>18.466666666666669</v>
      </c>
      <c r="AB108" s="56">
        <v>17.533333333333331</v>
      </c>
      <c r="AC108" s="56">
        <v>17</v>
      </c>
      <c r="AD108" s="56">
        <v>18.13333333333334</v>
      </c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20</v>
      </c>
      <c r="AQ108" s="71">
        <f t="shared" si="4"/>
        <v>17.506666666666661</v>
      </c>
      <c r="AR108" s="71">
        <f>IFERROR(VLOOKUP(A108,Climatologia_TMED!A:U,9+$E$2,FALSE),"")</f>
        <v>16.934962038466889</v>
      </c>
      <c r="AS108" s="71">
        <f t="shared" si="5"/>
        <v>0.57170462819977175</v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>
        <v>16.666666666666671</v>
      </c>
      <c r="P109" s="56">
        <v>16.866666666666671</v>
      </c>
      <c r="Q109" s="56">
        <v>15.66666666666667</v>
      </c>
      <c r="R109" s="56">
        <v>16.466666666666669</v>
      </c>
      <c r="S109" s="56">
        <v>15.133333333333329</v>
      </c>
      <c r="T109" s="56">
        <v>15.4</v>
      </c>
      <c r="U109" s="56">
        <v>16.86666666666666</v>
      </c>
      <c r="V109" s="56">
        <v>15.8</v>
      </c>
      <c r="W109" s="56">
        <v>14.866666666666671</v>
      </c>
      <c r="X109" s="56">
        <v>15.66666666666667</v>
      </c>
      <c r="Y109" s="56">
        <v>16.333333333333329</v>
      </c>
      <c r="Z109" s="56">
        <v>16.133333333333329</v>
      </c>
      <c r="AA109" s="56">
        <v>17</v>
      </c>
      <c r="AB109" s="56">
        <v>15.866666666666671</v>
      </c>
      <c r="AC109" s="56">
        <v>16.733333333333331</v>
      </c>
      <c r="AD109" s="56">
        <v>17.06666666666667</v>
      </c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20</v>
      </c>
      <c r="AQ109" s="71">
        <f t="shared" si="4"/>
        <v>15.946666666666669</v>
      </c>
      <c r="AR109" s="71">
        <f>IFERROR(VLOOKUP(A109,Climatologia_TMED!A:U,9+$E$2,FALSE),"")</f>
        <v>15.502363523573189</v>
      </c>
      <c r="AS109" s="71">
        <f t="shared" si="5"/>
        <v>0.44430314309347985</v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>
        <v>17.13333333333334</v>
      </c>
      <c r="P110" s="56">
        <v>18.133333333333329</v>
      </c>
      <c r="Q110" s="56">
        <v>16.93333333333333</v>
      </c>
      <c r="R110" s="56">
        <v>19.399999999999999</v>
      </c>
      <c r="S110" s="56">
        <v>16.8</v>
      </c>
      <c r="T110" s="56">
        <v>18</v>
      </c>
      <c r="U110" s="56">
        <v>18.2</v>
      </c>
      <c r="V110" s="56">
        <v>18.06666666666667</v>
      </c>
      <c r="W110" s="56">
        <v>18</v>
      </c>
      <c r="X110" s="56">
        <v>17.600000000000001</v>
      </c>
      <c r="Y110" s="56">
        <v>17.266666666666669</v>
      </c>
      <c r="Z110" s="56">
        <v>19.2</v>
      </c>
      <c r="AA110" s="56">
        <v>19.266666666666669</v>
      </c>
      <c r="AB110" s="56">
        <v>18.2</v>
      </c>
      <c r="AC110" s="56">
        <v>18.266666666666669</v>
      </c>
      <c r="AD110" s="56">
        <v>18.666666666666671</v>
      </c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20</v>
      </c>
      <c r="AQ110" s="71">
        <f t="shared" si="4"/>
        <v>17.803333333333331</v>
      </c>
      <c r="AR110" s="71">
        <f>IFERROR(VLOOKUP(A110,Climatologia_TMED!A:U,9+$E$2,FALSE),"")</f>
        <v>16.37969626110208</v>
      </c>
      <c r="AS110" s="71">
        <f t="shared" si="5"/>
        <v>1.4236370722312515</v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>
        <v>19.2</v>
      </c>
      <c r="P111" s="56">
        <v>19.266666666666669</v>
      </c>
      <c r="Q111" s="56">
        <v>18.8</v>
      </c>
      <c r="R111" s="56">
        <v>19.86666666666666</v>
      </c>
      <c r="S111" s="56"/>
      <c r="T111" s="56">
        <v>19.06666666666667</v>
      </c>
      <c r="U111" s="56">
        <v>19.666666666666671</v>
      </c>
      <c r="V111" s="56">
        <v>17.93333333333333</v>
      </c>
      <c r="W111" s="56">
        <v>18.266666666666669</v>
      </c>
      <c r="X111" s="56">
        <v>18.8</v>
      </c>
      <c r="Y111" s="56">
        <v>19.93333333333333</v>
      </c>
      <c r="Z111" s="56">
        <v>19.86666666666666</v>
      </c>
      <c r="AA111" s="56">
        <v>21</v>
      </c>
      <c r="AB111" s="56">
        <v>19.466666666666669</v>
      </c>
      <c r="AC111" s="56">
        <v>19.2</v>
      </c>
      <c r="AD111" s="56">
        <v>21.06666666666667</v>
      </c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19</v>
      </c>
      <c r="AQ111" s="71">
        <f t="shared" si="4"/>
        <v>19.112280701754386</v>
      </c>
      <c r="AR111" s="71">
        <f>IFERROR(VLOOKUP(A111,Climatologia_TMED!A:U,9+$E$2,FALSE),"")</f>
        <v>18.124387467556531</v>
      </c>
      <c r="AS111" s="71">
        <f t="shared" si="5"/>
        <v>0.98789323419785546</v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>
        <v>20.399999999999999</v>
      </c>
      <c r="R112" s="56">
        <v>23.266666666666669</v>
      </c>
      <c r="S112" s="56">
        <v>19.600000000000001</v>
      </c>
      <c r="T112" s="56">
        <v>21.666666666666671</v>
      </c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6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>
        <v>24.7</v>
      </c>
      <c r="P113" s="56">
        <v>26.55</v>
      </c>
      <c r="Q113" s="56">
        <v>25.3</v>
      </c>
      <c r="R113" s="56">
        <v>25.95</v>
      </c>
      <c r="S113" s="56">
        <v>24.15</v>
      </c>
      <c r="T113" s="56">
        <v>26.8</v>
      </c>
      <c r="U113" s="56">
        <v>27.1</v>
      </c>
      <c r="V113" s="56">
        <v>26.35</v>
      </c>
      <c r="W113" s="56">
        <v>27.25</v>
      </c>
      <c r="X113" s="56">
        <v>27.75</v>
      </c>
      <c r="Y113" s="56">
        <v>27.4</v>
      </c>
      <c r="Z113" s="56">
        <v>28.2</v>
      </c>
      <c r="AA113" s="56">
        <v>29.5</v>
      </c>
      <c r="AB113" s="56">
        <v>25.7</v>
      </c>
      <c r="AC113" s="56">
        <v>25.95</v>
      </c>
      <c r="AD113" s="56">
        <v>26.25</v>
      </c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20</v>
      </c>
      <c r="AQ113" s="71">
        <f t="shared" si="4"/>
        <v>26.3</v>
      </c>
      <c r="AR113" s="71">
        <f>IFERROR(VLOOKUP(A113,Climatologia_TMED!A:U,9+$E$2,FALSE),"")</f>
        <v>25.844479977753021</v>
      </c>
      <c r="AS113" s="71">
        <f t="shared" si="5"/>
        <v>0.45552002224697929</v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>
        <v>19.533333333333331</v>
      </c>
      <c r="P114" s="56">
        <v>19.8</v>
      </c>
      <c r="Q114" s="56">
        <v>19.666666666666671</v>
      </c>
      <c r="R114" s="56">
        <v>19.733333333333331</v>
      </c>
      <c r="S114" s="56">
        <v>17.2</v>
      </c>
      <c r="T114" s="56">
        <v>19.06666666666667</v>
      </c>
      <c r="U114" s="56">
        <v>19.733333333333331</v>
      </c>
      <c r="V114" s="56">
        <v>19.93333333333333</v>
      </c>
      <c r="W114" s="56">
        <v>20</v>
      </c>
      <c r="X114" s="56">
        <v>18.533333333333331</v>
      </c>
      <c r="Y114" s="56">
        <v>19.600000000000001</v>
      </c>
      <c r="Z114" s="56">
        <v>19.8</v>
      </c>
      <c r="AA114" s="56">
        <v>20.266666666666669</v>
      </c>
      <c r="AB114" s="56">
        <v>19.666666666666671</v>
      </c>
      <c r="AC114" s="56">
        <v>18.399999999999999</v>
      </c>
      <c r="AD114" s="56">
        <v>19.06666666666667</v>
      </c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20</v>
      </c>
      <c r="AQ114" s="71">
        <f t="shared" si="4"/>
        <v>19.233333333333331</v>
      </c>
      <c r="AR114" s="71">
        <f>IFERROR(VLOOKUP(A114,Climatologia_TMED!A:U,9+$E$2,FALSE),"")</f>
        <v>18.39650516634082</v>
      </c>
      <c r="AS114" s="71">
        <f t="shared" si="5"/>
        <v>0.83682816699251106</v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>
        <v>24.2</v>
      </c>
      <c r="P115" s="56">
        <v>26.6</v>
      </c>
      <c r="Q115" s="56">
        <v>26.13333333333334</v>
      </c>
      <c r="R115" s="56">
        <v>27.666666666666671</v>
      </c>
      <c r="S115" s="56">
        <v>23.8</v>
      </c>
      <c r="T115" s="56">
        <v>27.13333333333334</v>
      </c>
      <c r="U115" s="56">
        <v>27</v>
      </c>
      <c r="V115" s="56">
        <v>26.06666666666667</v>
      </c>
      <c r="W115" s="56">
        <v>26.733333333333331</v>
      </c>
      <c r="X115" s="56">
        <v>27.666666666666671</v>
      </c>
      <c r="Y115" s="56">
        <v>28.733333333333331</v>
      </c>
      <c r="Z115" s="56">
        <v>27.933333333333341</v>
      </c>
      <c r="AA115" s="56">
        <v>29.266666666666669</v>
      </c>
      <c r="AB115" s="56">
        <v>25.266666666666669</v>
      </c>
      <c r="AC115" s="56">
        <v>25.533333333333331</v>
      </c>
      <c r="AD115" s="56">
        <v>25.733333333333331</v>
      </c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20</v>
      </c>
      <c r="AQ115" s="71">
        <f t="shared" si="4"/>
        <v>26.300000000000004</v>
      </c>
      <c r="AR115" s="71">
        <f>IFERROR(VLOOKUP(A115,Climatologia_TMED!A:U,9+$E$2,FALSE),"")</f>
        <v>25.368839605734749</v>
      </c>
      <c r="AS115" s="71">
        <f t="shared" si="5"/>
        <v>0.93116039426525532</v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>
        <v>28.533333333333331</v>
      </c>
      <c r="P116" s="56">
        <v>29.466666666666669</v>
      </c>
      <c r="Q116" s="56">
        <v>28.266666666666669</v>
      </c>
      <c r="R116" s="56">
        <v>28.13333333333334</v>
      </c>
      <c r="S116" s="56">
        <v>27.266666666666669</v>
      </c>
      <c r="T116" s="56">
        <v>28.4</v>
      </c>
      <c r="U116" s="56">
        <v>28.333333333333329</v>
      </c>
      <c r="V116" s="56">
        <v>27.733333333333331</v>
      </c>
      <c r="W116" s="56">
        <v>28.6</v>
      </c>
      <c r="X116" s="56">
        <v>28.666666666666671</v>
      </c>
      <c r="Y116" s="56">
        <v>29.6</v>
      </c>
      <c r="Z116" s="56">
        <v>29.666666666666671</v>
      </c>
      <c r="AA116" s="56">
        <v>30.13333333333334</v>
      </c>
      <c r="AB116" s="56">
        <v>29.066666666666659</v>
      </c>
      <c r="AC116" s="56">
        <v>28.4</v>
      </c>
      <c r="AD116" s="56">
        <v>28.733333333333331</v>
      </c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20</v>
      </c>
      <c r="AQ116" s="71">
        <f t="shared" si="4"/>
        <v>28.586666666666666</v>
      </c>
      <c r="AR116" s="71">
        <f>IFERROR(VLOOKUP(A116,Climatologia_TMED!A:U,9+$E$2,FALSE),"")</f>
        <v>25.753279569892459</v>
      </c>
      <c r="AS116" s="71">
        <f t="shared" si="5"/>
        <v>2.8333870967742065</v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>
        <v>23</v>
      </c>
      <c r="P117" s="56">
        <v>24.066666666666659</v>
      </c>
      <c r="Q117" s="56">
        <v>23.666666666666671</v>
      </c>
      <c r="R117" s="56">
        <v>23.333333333333329</v>
      </c>
      <c r="S117" s="56">
        <v>22.93333333333333</v>
      </c>
      <c r="T117" s="56">
        <v>24.333333333333329</v>
      </c>
      <c r="U117" s="56">
        <v>23.533333333333331</v>
      </c>
      <c r="V117" s="56">
        <v>22.13333333333334</v>
      </c>
      <c r="W117" s="56">
        <v>23</v>
      </c>
      <c r="X117" s="56">
        <v>24.13333333333334</v>
      </c>
      <c r="Y117" s="56">
        <v>23.666666666666671</v>
      </c>
      <c r="Z117" s="56">
        <v>24.733333333333331</v>
      </c>
      <c r="AA117" s="56">
        <v>24.8</v>
      </c>
      <c r="AB117" s="56">
        <v>23.533333333333331</v>
      </c>
      <c r="AC117" s="56">
        <v>24.733333333333331</v>
      </c>
      <c r="AD117" s="56">
        <v>23.666666666666671</v>
      </c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20</v>
      </c>
      <c r="AQ117" s="71">
        <f t="shared" si="4"/>
        <v>23.480000000000004</v>
      </c>
      <c r="AR117" s="71">
        <f>IFERROR(VLOOKUP(A117,Climatologia_TMED!A:U,9+$E$2,FALSE),"")</f>
        <v>21.728440860215009</v>
      </c>
      <c r="AS117" s="71">
        <f t="shared" si="5"/>
        <v>1.7515591397849946</v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>
        <v>26.466666666666669</v>
      </c>
      <c r="O118" s="56">
        <v>26.133333333333329</v>
      </c>
      <c r="P118" s="56"/>
      <c r="Q118" s="56"/>
      <c r="R118" s="56"/>
      <c r="S118" s="56">
        <v>23.666666666666671</v>
      </c>
      <c r="T118" s="56">
        <v>28.2</v>
      </c>
      <c r="U118" s="56">
        <v>27.93333333333333</v>
      </c>
      <c r="V118" s="56"/>
      <c r="W118" s="56">
        <v>28</v>
      </c>
      <c r="X118" s="56">
        <v>26.8</v>
      </c>
      <c r="Y118" s="56">
        <v>28</v>
      </c>
      <c r="Z118" s="56">
        <v>28.8</v>
      </c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11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>
        <v>10.33333333333333</v>
      </c>
      <c r="P120" s="56">
        <v>13</v>
      </c>
      <c r="Q120" s="56">
        <v>13.2</v>
      </c>
      <c r="R120" s="56">
        <v>12.633333333333329</v>
      </c>
      <c r="S120" s="56">
        <v>11.866666666666671</v>
      </c>
      <c r="T120" s="56">
        <v>12.46666666666667</v>
      </c>
      <c r="U120" s="56">
        <v>13.06666666666667</v>
      </c>
      <c r="V120" s="56">
        <v>12</v>
      </c>
      <c r="W120" s="56">
        <v>12</v>
      </c>
      <c r="X120" s="56">
        <v>12.866666666666671</v>
      </c>
      <c r="Y120" s="56">
        <v>12.733333333333331</v>
      </c>
      <c r="Z120" s="56">
        <v>13.133333333333329</v>
      </c>
      <c r="AA120" s="56">
        <v>13.133333333333329</v>
      </c>
      <c r="AB120" s="56">
        <v>12.2</v>
      </c>
      <c r="AC120" s="56">
        <v>11.133333333333329</v>
      </c>
      <c r="AD120" s="56">
        <v>11.46666666666667</v>
      </c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20</v>
      </c>
      <c r="AQ120" s="71">
        <f t="shared" si="4"/>
        <v>12.174999999999999</v>
      </c>
      <c r="AR120" s="71">
        <f>IFERROR(VLOOKUP(A120,Climatologia_TMED!A:U,9+$E$2,FALSE),"")</f>
        <v>10.302756995970279</v>
      </c>
      <c r="AS120" s="71">
        <f t="shared" si="5"/>
        <v>1.8722430040297198</v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>
        <v>15.53333333333333</v>
      </c>
      <c r="P122" s="56">
        <v>15.93333333333333</v>
      </c>
      <c r="Q122" s="56">
        <v>16.2</v>
      </c>
      <c r="R122" s="56">
        <v>15.8</v>
      </c>
      <c r="S122" s="56">
        <v>15.866666666666671</v>
      </c>
      <c r="T122" s="56">
        <v>14.66666666666667</v>
      </c>
      <c r="U122" s="56">
        <v>15.66666666666667</v>
      </c>
      <c r="V122" s="56"/>
      <c r="W122" s="56">
        <v>15.133333333333329</v>
      </c>
      <c r="X122" s="56">
        <v>16.133333333333329</v>
      </c>
      <c r="Y122" s="56">
        <v>15.866666666666671</v>
      </c>
      <c r="Z122" s="56">
        <v>16</v>
      </c>
      <c r="AA122" s="56">
        <v>17.8</v>
      </c>
      <c r="AB122" s="56">
        <v>15.66666666666667</v>
      </c>
      <c r="AC122" s="56">
        <v>15.33333333333333</v>
      </c>
      <c r="AD122" s="56">
        <v>17.93333333333333</v>
      </c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19</v>
      </c>
      <c r="AQ122" s="71">
        <f t="shared" si="4"/>
        <v>15.814035087719297</v>
      </c>
      <c r="AR122" s="71">
        <f>IFERROR(VLOOKUP(A122,Climatologia_TMED!A:U,9+$E$2,FALSE),"")</f>
        <v>15.04905895954351</v>
      </c>
      <c r="AS122" s="71">
        <f t="shared" si="5"/>
        <v>0.7649761281757872</v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>
        <v>12.6</v>
      </c>
      <c r="Q124" s="56"/>
      <c r="R124" s="56">
        <v>11.866666666666671</v>
      </c>
      <c r="S124" s="56"/>
      <c r="T124" s="56">
        <v>11.93333333333333</v>
      </c>
      <c r="U124" s="56">
        <v>11.733333333333331</v>
      </c>
      <c r="V124" s="56">
        <v>11.06666666666667</v>
      </c>
      <c r="W124" s="56">
        <v>11.133333333333329</v>
      </c>
      <c r="X124" s="56"/>
      <c r="Y124" s="56">
        <v>11.866666666666671</v>
      </c>
      <c r="Z124" s="56">
        <v>12.733333333333331</v>
      </c>
      <c r="AA124" s="56">
        <v>12.66666666666667</v>
      </c>
      <c r="AB124" s="56"/>
      <c r="AC124" s="56">
        <v>12.133333333333329</v>
      </c>
      <c r="AD124" s="56">
        <v>13.133333333333329</v>
      </c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14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>
        <v>16.06666666666667</v>
      </c>
      <c r="P128" s="56">
        <v>16.533333333333331</v>
      </c>
      <c r="Q128" s="56">
        <v>16.2</v>
      </c>
      <c r="R128" s="56">
        <v>16.600000000000001</v>
      </c>
      <c r="S128" s="56">
        <v>16.166666666666671</v>
      </c>
      <c r="T128" s="56">
        <v>15.56666666666667</v>
      </c>
      <c r="U128" s="56">
        <v>15.53333333333333</v>
      </c>
      <c r="V128" s="56">
        <v>15.266666666666669</v>
      </c>
      <c r="W128" s="56">
        <v>15.16666666666667</v>
      </c>
      <c r="X128" s="56">
        <v>16.36666666666666</v>
      </c>
      <c r="Y128" s="56">
        <v>16.333333333333329</v>
      </c>
      <c r="Z128" s="56">
        <v>16.533333333333331</v>
      </c>
      <c r="AA128" s="56">
        <v>16.7</v>
      </c>
      <c r="AB128" s="56">
        <v>16</v>
      </c>
      <c r="AC128" s="56">
        <v>14.233333333333331</v>
      </c>
      <c r="AD128" s="56">
        <v>14.066666666666659</v>
      </c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20</v>
      </c>
      <c r="AQ128" s="71">
        <f t="shared" si="4"/>
        <v>15.805000000000001</v>
      </c>
      <c r="AR128" s="71">
        <f>IFERROR(VLOOKUP(A128,Climatologia_TMED!A:U,9+$E$2,FALSE),"")</f>
        <v>14.253242374467449</v>
      </c>
      <c r="AS128" s="71">
        <f t="shared" si="5"/>
        <v>1.5517576255325523</v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>
        <v>18.7</v>
      </c>
      <c r="P129" s="56">
        <v>18.850000000000001</v>
      </c>
      <c r="Q129" s="56">
        <v>20.149999999999999</v>
      </c>
      <c r="R129" s="56">
        <v>18.850000000000001</v>
      </c>
      <c r="S129" s="56">
        <v>18.600000000000001</v>
      </c>
      <c r="T129" s="56">
        <v>18.75</v>
      </c>
      <c r="U129" s="56">
        <v>17.850000000000001</v>
      </c>
      <c r="V129" s="56">
        <v>17.3</v>
      </c>
      <c r="W129" s="56">
        <v>17.8</v>
      </c>
      <c r="X129" s="56">
        <v>18.850000000000001</v>
      </c>
      <c r="Y129" s="56">
        <v>18.7</v>
      </c>
      <c r="Z129" s="56">
        <v>19.5</v>
      </c>
      <c r="AA129" s="56">
        <v>18.55</v>
      </c>
      <c r="AB129" s="56">
        <v>18.55</v>
      </c>
      <c r="AC129" s="56">
        <v>17.5</v>
      </c>
      <c r="AD129" s="56">
        <v>16.649999999999999</v>
      </c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20</v>
      </c>
      <c r="AQ129" s="71">
        <f t="shared" si="4"/>
        <v>18.297499999999999</v>
      </c>
      <c r="AR129" s="71">
        <f>IFERROR(VLOOKUP(A129,Climatologia_TMED!A:U,9+$E$2,FALSE),"")</f>
        <v>16.792896998903949</v>
      </c>
      <c r="AS129" s="71">
        <f t="shared" si="5"/>
        <v>1.5046030010960507</v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>
        <v>14.33333333333333</v>
      </c>
      <c r="P131" s="56">
        <v>13.66666666666667</v>
      </c>
      <c r="Q131" s="56">
        <v>14.3</v>
      </c>
      <c r="R131" s="56">
        <v>15.3</v>
      </c>
      <c r="S131" s="56">
        <v>15.03333333333333</v>
      </c>
      <c r="T131" s="56">
        <v>13.66666666666667</v>
      </c>
      <c r="U131" s="56">
        <v>14.266666666666669</v>
      </c>
      <c r="V131" s="56">
        <v>12.6</v>
      </c>
      <c r="W131" s="56">
        <v>13.6</v>
      </c>
      <c r="X131" s="56">
        <v>13.8</v>
      </c>
      <c r="Y131" s="56">
        <v>14.1</v>
      </c>
      <c r="Z131" s="56">
        <v>15.133333333333329</v>
      </c>
      <c r="AA131" s="56">
        <v>14.366666666666671</v>
      </c>
      <c r="AB131" s="56">
        <v>13.93333333333333</v>
      </c>
      <c r="AC131" s="56">
        <v>13.46666666666667</v>
      </c>
      <c r="AD131" s="56">
        <v>14.266666666666669</v>
      </c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20</v>
      </c>
      <c r="AQ131" s="71">
        <f t="shared" si="4"/>
        <v>14.028333333333332</v>
      </c>
      <c r="AR131" s="71">
        <f>IFERROR(VLOOKUP(A131,Climatologia_TMED!A:U,9+$E$2,FALSE),"")</f>
        <v>12.63533977465384</v>
      </c>
      <c r="AS131" s="71">
        <f t="shared" si="5"/>
        <v>1.3929935586794926</v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>
        <v>17.399999999999999</v>
      </c>
      <c r="P132" s="56">
        <v>17.8</v>
      </c>
      <c r="Q132" s="56">
        <v>18.733333333333331</v>
      </c>
      <c r="R132" s="56">
        <v>18.06666666666667</v>
      </c>
      <c r="S132" s="56">
        <v>18.2</v>
      </c>
      <c r="T132" s="56">
        <v>18.533333333333331</v>
      </c>
      <c r="U132" s="56">
        <v>18.13333333333334</v>
      </c>
      <c r="V132" s="56">
        <v>17.8</v>
      </c>
      <c r="W132" s="56">
        <v>17.533333333333331</v>
      </c>
      <c r="X132" s="56">
        <v>17.93333333333333</v>
      </c>
      <c r="Y132" s="56">
        <v>18.466666666666669</v>
      </c>
      <c r="Z132" s="56">
        <v>18.2</v>
      </c>
      <c r="AA132" s="56">
        <v>18.266666666666669</v>
      </c>
      <c r="AB132" s="56">
        <v>18.266666666666669</v>
      </c>
      <c r="AC132" s="56">
        <v>17</v>
      </c>
      <c r="AD132" s="56">
        <v>17.600000000000001</v>
      </c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20</v>
      </c>
      <c r="AQ132" s="71">
        <f t="shared" si="4"/>
        <v>17.943333333333332</v>
      </c>
      <c r="AR132" s="71">
        <f>IFERROR(VLOOKUP(A132,Climatologia_TMED!A:U,9+$E$2,FALSE),"")</f>
        <v>15.582178842383669</v>
      </c>
      <c r="AS132" s="71">
        <f t="shared" si="5"/>
        <v>2.3611544909496622</v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>
        <v>21.8</v>
      </c>
      <c r="P133" s="56">
        <v>21.9</v>
      </c>
      <c r="Q133" s="56">
        <v>22.65</v>
      </c>
      <c r="R133" s="56">
        <v>21.7</v>
      </c>
      <c r="S133" s="56">
        <v>21.65</v>
      </c>
      <c r="T133" s="56">
        <v>22.3</v>
      </c>
      <c r="U133" s="56">
        <v>20.45</v>
      </c>
      <c r="V133" s="56">
        <v>19.649999999999999</v>
      </c>
      <c r="W133" s="56">
        <v>19.7</v>
      </c>
      <c r="X133" s="56">
        <v>22.4</v>
      </c>
      <c r="Y133" s="56">
        <v>22.55</v>
      </c>
      <c r="Z133" s="56">
        <v>22.3</v>
      </c>
      <c r="AA133" s="56">
        <v>23</v>
      </c>
      <c r="AB133" s="56">
        <v>19.55</v>
      </c>
      <c r="AC133" s="56">
        <v>18.25</v>
      </c>
      <c r="AD133" s="56">
        <v>18.05</v>
      </c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20</v>
      </c>
      <c r="AQ133" s="71">
        <f t="shared" ref="AQ133:AQ196" si="7">IF(AP133&gt;14,AVERAGE(K133:AO133),"")</f>
        <v>20.87</v>
      </c>
      <c r="AR133" s="71">
        <f>IFERROR(VLOOKUP(A133,Climatologia_TMED!A:U,9+$E$2,FALSE),"")</f>
        <v>18.681880637405129</v>
      </c>
      <c r="AS133" s="71">
        <f t="shared" ref="AS133:AS196" si="8">IF(OR(AQ133="",AR133=""),"",IFERROR(AQ133-AR133,""))</f>
        <v>2.1881193625948718</v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>
        <v>10.53333333333333</v>
      </c>
      <c r="P134" s="56">
        <v>10.866666666666671</v>
      </c>
      <c r="Q134" s="56">
        <v>11.06666666666667</v>
      </c>
      <c r="R134" s="56">
        <v>11.2</v>
      </c>
      <c r="S134" s="56">
        <v>11.53333333333333</v>
      </c>
      <c r="T134" s="56">
        <v>11.6</v>
      </c>
      <c r="U134" s="56">
        <v>12.133333333333329</v>
      </c>
      <c r="V134" s="56">
        <v>10.866666666666671</v>
      </c>
      <c r="W134" s="56">
        <v>10.46666666666667</v>
      </c>
      <c r="X134" s="56">
        <v>10.93333333333333</v>
      </c>
      <c r="Y134" s="56">
        <v>10.6</v>
      </c>
      <c r="Z134" s="56">
        <v>10.6</v>
      </c>
      <c r="AA134" s="56">
        <v>11.46666666666667</v>
      </c>
      <c r="AB134" s="56">
        <v>11.6</v>
      </c>
      <c r="AC134" s="56">
        <v>12</v>
      </c>
      <c r="AD134" s="56">
        <v>12.53333333333333</v>
      </c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20</v>
      </c>
      <c r="AQ134" s="71">
        <f t="shared" si="7"/>
        <v>11.153333333333332</v>
      </c>
      <c r="AR134" s="71">
        <f>IFERROR(VLOOKUP(A134,Climatologia_TMED!A:U,9+$E$2,FALSE),"")</f>
        <v>10.85765007415646</v>
      </c>
      <c r="AS134" s="71">
        <f t="shared" si="8"/>
        <v>0.29568325917687233</v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>
        <v>22.13333333333334</v>
      </c>
      <c r="P136" s="56">
        <v>22.533333333333331</v>
      </c>
      <c r="Q136" s="56">
        <v>23.733333333333331</v>
      </c>
      <c r="R136" s="56">
        <v>22.933333333333341</v>
      </c>
      <c r="S136" s="56">
        <v>21.266666666666669</v>
      </c>
      <c r="T136" s="56">
        <v>23.4</v>
      </c>
      <c r="U136" s="56">
        <v>22.666666666666671</v>
      </c>
      <c r="V136" s="56">
        <v>21.266666666666669</v>
      </c>
      <c r="W136" s="56">
        <v>21.533333333333331</v>
      </c>
      <c r="X136" s="56">
        <v>22.8</v>
      </c>
      <c r="Y136" s="56">
        <v>23.06666666666667</v>
      </c>
      <c r="Z136" s="56">
        <v>22.466666666666669</v>
      </c>
      <c r="AA136" s="56">
        <v>23.466666666666669</v>
      </c>
      <c r="AB136" s="56">
        <v>22.6</v>
      </c>
      <c r="AC136" s="56">
        <v>21.2</v>
      </c>
      <c r="AD136" s="56">
        <v>20.866666666666671</v>
      </c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20</v>
      </c>
      <c r="AQ136" s="71">
        <f t="shared" si="7"/>
        <v>22.213333333333335</v>
      </c>
      <c r="AR136" s="71">
        <f>IFERROR(VLOOKUP(A136,Climatologia_TMED!A:U,9+$E$2,FALSE),"")</f>
        <v>20.010221097348399</v>
      </c>
      <c r="AS136" s="71">
        <f t="shared" si="8"/>
        <v>2.2031122359849356</v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>
        <v>14.05</v>
      </c>
      <c r="P137" s="56">
        <v>14.675000000000001</v>
      </c>
      <c r="Q137" s="56">
        <v>15.074999999999999</v>
      </c>
      <c r="R137" s="56">
        <v>14.55</v>
      </c>
      <c r="S137" s="56">
        <v>14.775</v>
      </c>
      <c r="T137" s="56">
        <v>13.85</v>
      </c>
      <c r="U137" s="56">
        <v>13.3</v>
      </c>
      <c r="V137" s="56">
        <v>12.775</v>
      </c>
      <c r="W137" s="56">
        <v>13.95</v>
      </c>
      <c r="X137" s="56">
        <v>14.425000000000001</v>
      </c>
      <c r="Y137" s="56">
        <v>14.675000000000001</v>
      </c>
      <c r="Z137" s="56">
        <v>15.074999999999999</v>
      </c>
      <c r="AA137" s="56">
        <v>14.275</v>
      </c>
      <c r="AB137" s="56">
        <v>13.824999999999999</v>
      </c>
      <c r="AC137" s="56">
        <v>13.45</v>
      </c>
      <c r="AD137" s="56">
        <v>13.9</v>
      </c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20</v>
      </c>
      <c r="AQ137" s="71">
        <f t="shared" si="7"/>
        <v>14.053749999999999</v>
      </c>
      <c r="AR137" s="71">
        <f>IFERROR(VLOOKUP(A137,Climatologia_TMED!A:U,9+$E$2,FALSE),"")</f>
        <v>12.904217772834009</v>
      </c>
      <c r="AS137" s="71">
        <f t="shared" si="8"/>
        <v>1.1495322271659898</v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>
        <v>17.2</v>
      </c>
      <c r="P138" s="56">
        <v>16.95</v>
      </c>
      <c r="Q138" s="56">
        <v>17.2</v>
      </c>
      <c r="R138" s="56">
        <v>16.850000000000001</v>
      </c>
      <c r="S138" s="56">
        <v>17.899999999999999</v>
      </c>
      <c r="T138" s="56">
        <v>16.8</v>
      </c>
      <c r="U138" s="56">
        <v>15.85</v>
      </c>
      <c r="V138" s="56">
        <v>16.25</v>
      </c>
      <c r="W138" s="56">
        <v>16.850000000000001</v>
      </c>
      <c r="X138" s="56">
        <v>16.3</v>
      </c>
      <c r="Y138" s="56">
        <v>17.350000000000001</v>
      </c>
      <c r="Z138" s="56">
        <v>17.350000000000001</v>
      </c>
      <c r="AA138" s="56">
        <v>16.649999999999999</v>
      </c>
      <c r="AB138" s="56">
        <v>15.7</v>
      </c>
      <c r="AC138" s="56">
        <v>15.05</v>
      </c>
      <c r="AD138" s="56">
        <v>15.2</v>
      </c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20</v>
      </c>
      <c r="AQ138" s="71">
        <f t="shared" si="7"/>
        <v>16.615000000000002</v>
      </c>
      <c r="AR138" s="71">
        <f>IFERROR(VLOOKUP(A138,Climatologia_TMED!A:U,9+$E$2,FALSE),"")</f>
        <v>15.594350571769921</v>
      </c>
      <c r="AS138" s="71">
        <f t="shared" si="8"/>
        <v>1.0206494282300813</v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>
        <v>14.2</v>
      </c>
      <c r="P139" s="56">
        <v>13.33333333333333</v>
      </c>
      <c r="Q139" s="56">
        <v>14.46666666666667</v>
      </c>
      <c r="R139" s="56">
        <v>15</v>
      </c>
      <c r="S139" s="56">
        <v>14.66666666666667</v>
      </c>
      <c r="T139" s="56">
        <v>13.866666666666671</v>
      </c>
      <c r="U139" s="56">
        <v>12.733333333333331</v>
      </c>
      <c r="V139" s="56">
        <v>12.4</v>
      </c>
      <c r="W139" s="56">
        <v>13.266666666666669</v>
      </c>
      <c r="X139" s="56">
        <v>13.46666666666667</v>
      </c>
      <c r="Y139" s="56">
        <v>14.266666666666669</v>
      </c>
      <c r="Z139" s="56">
        <v>13.8</v>
      </c>
      <c r="AA139" s="56">
        <v>13.66666666666667</v>
      </c>
      <c r="AB139" s="56">
        <v>13.2</v>
      </c>
      <c r="AC139" s="56">
        <v>13.33333333333333</v>
      </c>
      <c r="AD139" s="56">
        <v>13.93333333333333</v>
      </c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20</v>
      </c>
      <c r="AQ139" s="71">
        <f t="shared" si="7"/>
        <v>13.586666666666668</v>
      </c>
      <c r="AR139" s="71">
        <f>IFERROR(VLOOKUP(A139,Climatologia_TMED!A:U,9+$E$2,FALSE),"")</f>
        <v>12.014029396838049</v>
      </c>
      <c r="AS139" s="71">
        <f t="shared" si="8"/>
        <v>1.5726372698286184</v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>
        <v>11.8</v>
      </c>
      <c r="P140" s="56">
        <v>12.15</v>
      </c>
      <c r="Q140" s="56">
        <v>12.8</v>
      </c>
      <c r="R140" s="56">
        <v>11.65</v>
      </c>
      <c r="S140" s="56">
        <v>13.3</v>
      </c>
      <c r="T140" s="56">
        <v>11.5</v>
      </c>
      <c r="U140" s="56">
        <v>11.4</v>
      </c>
      <c r="V140" s="56">
        <v>10.15</v>
      </c>
      <c r="W140" s="56">
        <v>10.9</v>
      </c>
      <c r="X140" s="56">
        <v>10.7</v>
      </c>
      <c r="Y140" s="56">
        <v>12.05</v>
      </c>
      <c r="Z140" s="56">
        <v>12.4</v>
      </c>
      <c r="AA140" s="56">
        <v>12.35</v>
      </c>
      <c r="AB140" s="56">
        <v>10.95</v>
      </c>
      <c r="AC140" s="56">
        <v>12.35</v>
      </c>
      <c r="AD140" s="56">
        <v>11.65</v>
      </c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19</v>
      </c>
      <c r="AQ140" s="71">
        <f t="shared" si="7"/>
        <v>11.671052631578947</v>
      </c>
      <c r="AR140" s="71">
        <f>IFERROR(VLOOKUP(A140,Climatologia_TMED!A:U,9+$E$2,FALSE),"")</f>
        <v>10.528985976481801</v>
      </c>
      <c r="AS140" s="71">
        <f t="shared" si="8"/>
        <v>1.1420666550971461</v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>
        <v>27.93333333333333</v>
      </c>
      <c r="P141" s="56">
        <v>28.6</v>
      </c>
      <c r="Q141" s="56">
        <v>28.666666666666671</v>
      </c>
      <c r="R141" s="56">
        <v>28.866666666666671</v>
      </c>
      <c r="S141" s="56">
        <v>27.733333333333331</v>
      </c>
      <c r="T141" s="56">
        <v>28.333333333333329</v>
      </c>
      <c r="U141" s="56">
        <v>27.8</v>
      </c>
      <c r="V141" s="56">
        <v>26</v>
      </c>
      <c r="W141" s="56">
        <v>27.466666666666669</v>
      </c>
      <c r="X141" s="56">
        <v>28.2</v>
      </c>
      <c r="Y141" s="56">
        <v>28.6</v>
      </c>
      <c r="Z141" s="56">
        <v>29.13333333333334</v>
      </c>
      <c r="AA141" s="56">
        <v>28.4</v>
      </c>
      <c r="AB141" s="56">
        <v>28</v>
      </c>
      <c r="AC141" s="56">
        <v>25.86666666666666</v>
      </c>
      <c r="AD141" s="56">
        <v>25.86666666666666</v>
      </c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20</v>
      </c>
      <c r="AQ141" s="71">
        <f t="shared" si="7"/>
        <v>27.726666666666667</v>
      </c>
      <c r="AR141" s="71">
        <f>IFERROR(VLOOKUP(A141,Climatologia_TMED!A:U,9+$E$2,FALSE),"")</f>
        <v>25.861940092165881</v>
      </c>
      <c r="AS141" s="71">
        <f t="shared" si="8"/>
        <v>1.8647265745007857</v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>
        <v>15.6</v>
      </c>
      <c r="P142" s="56">
        <v>15.866666666666671</v>
      </c>
      <c r="Q142" s="56">
        <v>17.399999999999999</v>
      </c>
      <c r="R142" s="56">
        <v>16.399999999999999</v>
      </c>
      <c r="S142" s="56">
        <v>14.6</v>
      </c>
      <c r="T142" s="56">
        <v>15.33333333333333</v>
      </c>
      <c r="U142" s="56">
        <v>14.8</v>
      </c>
      <c r="V142" s="56">
        <v>14.66666666666667</v>
      </c>
      <c r="W142" s="56">
        <v>15.733333333333331</v>
      </c>
      <c r="X142" s="56">
        <v>15.46666666666667</v>
      </c>
      <c r="Y142" s="56">
        <v>16.13333333333334</v>
      </c>
      <c r="Z142" s="56">
        <v>14.8</v>
      </c>
      <c r="AA142" s="56">
        <v>16.600000000000001</v>
      </c>
      <c r="AB142" s="56">
        <v>14.93333333333333</v>
      </c>
      <c r="AC142" s="56">
        <v>15.53333333333333</v>
      </c>
      <c r="AD142" s="56">
        <v>15.8</v>
      </c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20</v>
      </c>
      <c r="AQ142" s="71">
        <f t="shared" si="7"/>
        <v>15.623333333333335</v>
      </c>
      <c r="AR142" s="71">
        <f>IFERROR(VLOOKUP(A142,Climatologia_TMED!A:U,9+$E$2,FALSE),"")</f>
        <v>15.712885753914289</v>
      </c>
      <c r="AS142" s="71">
        <f t="shared" si="8"/>
        <v>-8.9552420580954362E-2</v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>
        <v>21</v>
      </c>
      <c r="P143" s="56">
        <v>19.93333333333333</v>
      </c>
      <c r="Q143" s="56">
        <v>21.2</v>
      </c>
      <c r="R143" s="56">
        <v>21.6</v>
      </c>
      <c r="S143" s="56">
        <v>18.2</v>
      </c>
      <c r="T143" s="56">
        <v>18</v>
      </c>
      <c r="U143" s="56">
        <v>19.8</v>
      </c>
      <c r="V143" s="56">
        <v>17.399999999999999</v>
      </c>
      <c r="W143" s="56">
        <v>18.86666666666666</v>
      </c>
      <c r="X143" s="56">
        <v>17.93333333333333</v>
      </c>
      <c r="Y143" s="56">
        <v>20.2</v>
      </c>
      <c r="Z143" s="56">
        <v>19.266666666666669</v>
      </c>
      <c r="AA143" s="56">
        <v>19.533333333333331</v>
      </c>
      <c r="AB143" s="56">
        <v>19.06666666666667</v>
      </c>
      <c r="AC143" s="56">
        <v>20.466666666666669</v>
      </c>
      <c r="AD143" s="56">
        <v>18.666666666666671</v>
      </c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20</v>
      </c>
      <c r="AQ143" s="71">
        <f t="shared" si="7"/>
        <v>19.38</v>
      </c>
      <c r="AR143" s="71">
        <f>IFERROR(VLOOKUP(A143,Climatologia_TMED!A:U,9+$E$2,FALSE),"")</f>
        <v>19.042016534498121</v>
      </c>
      <c r="AS143" s="71">
        <f t="shared" si="8"/>
        <v>0.3379834655018783</v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>
        <v>30.466666666666669</v>
      </c>
      <c r="P144" s="56">
        <v>30.733333333333331</v>
      </c>
      <c r="Q144" s="56">
        <v>31.13333333333334</v>
      </c>
      <c r="R144" s="56">
        <v>32.466666666666669</v>
      </c>
      <c r="S144" s="56">
        <v>28.333333333333329</v>
      </c>
      <c r="T144" s="56">
        <v>31.266666666666669</v>
      </c>
      <c r="U144" s="56">
        <v>30.666666666666671</v>
      </c>
      <c r="V144" s="56">
        <v>28</v>
      </c>
      <c r="W144" s="56">
        <v>31.333333333333329</v>
      </c>
      <c r="X144" s="56">
        <v>29.4</v>
      </c>
      <c r="Y144" s="56">
        <v>31.533333333333331</v>
      </c>
      <c r="Z144" s="56">
        <v>30.666666666666671</v>
      </c>
      <c r="AA144" s="56">
        <v>31.86666666666666</v>
      </c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17</v>
      </c>
      <c r="AQ144" s="71">
        <f t="shared" si="7"/>
        <v>30.207843137254901</v>
      </c>
      <c r="AR144" s="71">
        <f>IFERROR(VLOOKUP(A144,Climatologia_TMED!A:U,9+$E$2,FALSE),"")</f>
        <v>28.757199537797231</v>
      </c>
      <c r="AS144" s="71">
        <f t="shared" si="8"/>
        <v>1.4506435994576705</v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>
        <v>26.466666666666669</v>
      </c>
      <c r="P145" s="56">
        <v>26</v>
      </c>
      <c r="Q145" s="56">
        <v>25.93333333333333</v>
      </c>
      <c r="R145" s="56">
        <v>27</v>
      </c>
      <c r="S145" s="56">
        <v>22.4</v>
      </c>
      <c r="T145" s="56">
        <v>24.266666666666669</v>
      </c>
      <c r="U145" s="56">
        <v>25.666666666666671</v>
      </c>
      <c r="V145" s="56">
        <v>23.8</v>
      </c>
      <c r="W145" s="56">
        <v>25.8</v>
      </c>
      <c r="X145" s="56">
        <v>24.733333333333331</v>
      </c>
      <c r="Y145" s="56">
        <v>26</v>
      </c>
      <c r="Z145" s="56">
        <v>25.733333333333331</v>
      </c>
      <c r="AA145" s="56">
        <v>25.666666666666671</v>
      </c>
      <c r="AB145" s="56">
        <v>25.533333333333331</v>
      </c>
      <c r="AC145" s="56">
        <v>26.266666666666669</v>
      </c>
      <c r="AD145" s="56">
        <v>23.13333333333334</v>
      </c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20</v>
      </c>
      <c r="AQ145" s="71">
        <f t="shared" si="7"/>
        <v>25.103333333333335</v>
      </c>
      <c r="AR145" s="71">
        <f>IFERROR(VLOOKUP(A145,Climatologia_TMED!A:U,9+$E$2,FALSE),"")</f>
        <v>23.50405749186336</v>
      </c>
      <c r="AS145" s="71">
        <f t="shared" si="8"/>
        <v>1.599275841469975</v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>
        <v>30.8</v>
      </c>
      <c r="Q146" s="56">
        <v>31.13333333333334</v>
      </c>
      <c r="R146" s="56">
        <v>32.4</v>
      </c>
      <c r="S146" s="56">
        <v>27.93333333333333</v>
      </c>
      <c r="T146" s="56">
        <v>29.8</v>
      </c>
      <c r="U146" s="56">
        <v>29.86666666666666</v>
      </c>
      <c r="V146" s="56">
        <v>30.466666666666669</v>
      </c>
      <c r="W146" s="56">
        <v>30.13333333333334</v>
      </c>
      <c r="X146" s="56">
        <v>32.200000000000003</v>
      </c>
      <c r="Y146" s="56">
        <v>31.266666666666669</v>
      </c>
      <c r="Z146" s="56"/>
      <c r="AA146" s="56">
        <v>31.4</v>
      </c>
      <c r="AB146" s="56">
        <v>29.533333333333331</v>
      </c>
      <c r="AC146" s="56">
        <v>29.2</v>
      </c>
      <c r="AD146" s="56">
        <v>29.06666666666667</v>
      </c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18</v>
      </c>
      <c r="AQ146" s="71">
        <f t="shared" si="7"/>
        <v>30.455555555555559</v>
      </c>
      <c r="AR146" s="71">
        <f>IFERROR(VLOOKUP(A146,Climatologia_TMED!A:U,9+$E$2,FALSE),"")</f>
        <v>28.641531230854781</v>
      </c>
      <c r="AS146" s="71">
        <f t="shared" si="8"/>
        <v>1.8140243247007781</v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>
        <v>24.86666666666666</v>
      </c>
      <c r="P147" s="56">
        <v>23.266666666666669</v>
      </c>
      <c r="Q147" s="56">
        <v>24.8</v>
      </c>
      <c r="R147" s="56">
        <v>24.2</v>
      </c>
      <c r="S147" s="56">
        <v>22.533333333333331</v>
      </c>
      <c r="T147" s="56">
        <v>22.733333333333331</v>
      </c>
      <c r="U147" s="56">
        <v>22.93333333333333</v>
      </c>
      <c r="V147" s="56">
        <v>23.333333333333329</v>
      </c>
      <c r="W147" s="56">
        <v>22.86666666666666</v>
      </c>
      <c r="X147" s="56">
        <v>24.133333333333329</v>
      </c>
      <c r="Y147" s="56">
        <v>24.6</v>
      </c>
      <c r="Z147" s="56">
        <v>24.93333333333333</v>
      </c>
      <c r="AA147" s="56">
        <v>25.733333333333331</v>
      </c>
      <c r="AB147" s="56">
        <v>23.666666666666671</v>
      </c>
      <c r="AC147" s="56">
        <v>23.266666666666669</v>
      </c>
      <c r="AD147" s="56">
        <v>22.06666666666667</v>
      </c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20</v>
      </c>
      <c r="AQ147" s="71">
        <f t="shared" si="7"/>
        <v>23.686666666666667</v>
      </c>
      <c r="AR147" s="71">
        <f>IFERROR(VLOOKUP(A147,Climatologia_TMED!A:U,9+$E$2,FALSE),"")</f>
        <v>21.876067772952851</v>
      </c>
      <c r="AS147" s="71">
        <f t="shared" si="8"/>
        <v>1.8105988937138164</v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>
        <v>22</v>
      </c>
      <c r="O149" s="56">
        <v>23.666666666666671</v>
      </c>
      <c r="P149" s="56">
        <v>23.86666666666666</v>
      </c>
      <c r="Q149" s="56">
        <v>25.06666666666667</v>
      </c>
      <c r="R149" s="56">
        <v>24.866666666666671</v>
      </c>
      <c r="S149" s="56">
        <v>23.533333333333331</v>
      </c>
      <c r="T149" s="56">
        <v>22.266666666666669</v>
      </c>
      <c r="U149" s="56">
        <v>20.966666666666669</v>
      </c>
      <c r="V149" s="56">
        <v>22.266666666666669</v>
      </c>
      <c r="W149" s="56">
        <v>24.6</v>
      </c>
      <c r="X149" s="56">
        <v>23.4</v>
      </c>
      <c r="Y149" s="56">
        <v>24.933333333333341</v>
      </c>
      <c r="Z149" s="56">
        <v>23</v>
      </c>
      <c r="AA149" s="56">
        <v>24.266666666666669</v>
      </c>
      <c r="AB149" s="56">
        <v>23.333333333333329</v>
      </c>
      <c r="AC149" s="56">
        <v>23.4</v>
      </c>
      <c r="AD149" s="56">
        <v>21.733333333333331</v>
      </c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20</v>
      </c>
      <c r="AQ149" s="71">
        <f t="shared" si="7"/>
        <v>23.445</v>
      </c>
      <c r="AR149" s="71">
        <f>IFERROR(VLOOKUP(A149,Climatologia_TMED!A:U,9+$E$2,FALSE),"")</f>
        <v>21.81258727862064</v>
      </c>
      <c r="AS149" s="71">
        <f t="shared" si="8"/>
        <v>1.6324127213793602</v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>
        <v>19.850000000000001</v>
      </c>
      <c r="P152" s="56">
        <v>21.15</v>
      </c>
      <c r="Q152" s="56">
        <v>21.9</v>
      </c>
      <c r="R152" s="56">
        <v>21.6</v>
      </c>
      <c r="S152" s="56">
        <v>18.899999999999999</v>
      </c>
      <c r="T152" s="56">
        <v>20.350000000000001</v>
      </c>
      <c r="U152" s="56">
        <v>20.350000000000001</v>
      </c>
      <c r="V152" s="56">
        <v>19.850000000000001</v>
      </c>
      <c r="W152" s="56">
        <v>20.55</v>
      </c>
      <c r="X152" s="56">
        <v>21.25</v>
      </c>
      <c r="Y152" s="56">
        <v>21.05</v>
      </c>
      <c r="Z152" s="56">
        <v>21.4</v>
      </c>
      <c r="AA152" s="56">
        <v>21.85</v>
      </c>
      <c r="AB152" s="56">
        <v>19.95</v>
      </c>
      <c r="AC152" s="56">
        <v>19.05</v>
      </c>
      <c r="AD152" s="56">
        <v>19.600000000000001</v>
      </c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20</v>
      </c>
      <c r="AQ152" s="71">
        <f t="shared" si="7"/>
        <v>20.572500000000002</v>
      </c>
      <c r="AR152" s="71">
        <f>IFERROR(VLOOKUP(A152,Climatologia_TMED!A:U,9+$E$2,FALSE),"")</f>
        <v>19.513620754394939</v>
      </c>
      <c r="AS152" s="71">
        <f t="shared" si="8"/>
        <v>1.0588792456050626</v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>
        <v>27.8</v>
      </c>
      <c r="P153" s="56">
        <v>29.86666666666666</v>
      </c>
      <c r="Q153" s="56">
        <v>30.4</v>
      </c>
      <c r="R153" s="56">
        <v>29.466666666666669</v>
      </c>
      <c r="S153" s="56">
        <v>25.8</v>
      </c>
      <c r="T153" s="56">
        <v>29.4</v>
      </c>
      <c r="U153" s="56">
        <v>29.533333333333331</v>
      </c>
      <c r="V153" s="56">
        <v>27.666666666666671</v>
      </c>
      <c r="W153" s="56">
        <v>29.4</v>
      </c>
      <c r="X153" s="56">
        <v>30.06666666666667</v>
      </c>
      <c r="Y153" s="56">
        <v>30.666666666666671</v>
      </c>
      <c r="Z153" s="56">
        <v>31.466666666666669</v>
      </c>
      <c r="AA153" s="56">
        <v>31.8</v>
      </c>
      <c r="AB153" s="56">
        <v>29.466666666666669</v>
      </c>
      <c r="AC153" s="56">
        <v>28.8</v>
      </c>
      <c r="AD153" s="56">
        <v>29.86666666666666</v>
      </c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20</v>
      </c>
      <c r="AQ153" s="71">
        <f t="shared" si="7"/>
        <v>29.176666666666666</v>
      </c>
      <c r="AR153" s="71">
        <f>IFERROR(VLOOKUP(A153,Climatologia_TMED!A:U,9+$E$2,FALSE),"")</f>
        <v>27.722786560855798</v>
      </c>
      <c r="AS153" s="71">
        <f t="shared" si="8"/>
        <v>1.4538801058108675</v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>
        <v>29.06666666666667</v>
      </c>
      <c r="P155" s="56">
        <v>29.733333333333331</v>
      </c>
      <c r="Q155" s="56">
        <v>31.8</v>
      </c>
      <c r="R155" s="56">
        <v>32</v>
      </c>
      <c r="S155" s="56">
        <v>27.666666666666671</v>
      </c>
      <c r="T155" s="56"/>
      <c r="U155" s="56">
        <v>29.733333333333331</v>
      </c>
      <c r="V155" s="56"/>
      <c r="W155" s="56">
        <v>28.6</v>
      </c>
      <c r="X155" s="56">
        <v>29.6</v>
      </c>
      <c r="Y155" s="56">
        <v>31.333333333333329</v>
      </c>
      <c r="Z155" s="56">
        <v>31.866666666666671</v>
      </c>
      <c r="AA155" s="56">
        <v>31.733333333333331</v>
      </c>
      <c r="AB155" s="56"/>
      <c r="AC155" s="56">
        <v>28.06666666666667</v>
      </c>
      <c r="AD155" s="56">
        <v>28.06666666666667</v>
      </c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16</v>
      </c>
      <c r="AQ155" s="71">
        <f t="shared" si="7"/>
        <v>29.737500000000004</v>
      </c>
      <c r="AR155" s="71">
        <f>IFERROR(VLOOKUP(A155,Climatologia_TMED!A:U,9+$E$2,FALSE),"")</f>
        <v>27.584427496609401</v>
      </c>
      <c r="AS155" s="71">
        <f t="shared" si="8"/>
        <v>2.1530725033906037</v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>
        <v>30.333333333333329</v>
      </c>
      <c r="P156" s="56">
        <v>31.266666666666669</v>
      </c>
      <c r="Q156" s="56">
        <v>31.266666666666669</v>
      </c>
      <c r="R156" s="56">
        <v>32.06666666666667</v>
      </c>
      <c r="S156" s="56">
        <v>26.06666666666667</v>
      </c>
      <c r="T156" s="56">
        <v>29.86666666666666</v>
      </c>
      <c r="U156" s="56"/>
      <c r="V156" s="56">
        <v>28.86666666666666</v>
      </c>
      <c r="W156" s="56">
        <v>30</v>
      </c>
      <c r="X156" s="56">
        <v>31.466666666666669</v>
      </c>
      <c r="Y156" s="56">
        <v>31.266666666666669</v>
      </c>
      <c r="Z156" s="56">
        <v>32.266666666666673</v>
      </c>
      <c r="AA156" s="56">
        <v>31.86666666666666</v>
      </c>
      <c r="AB156" s="56">
        <v>30.86666666666666</v>
      </c>
      <c r="AC156" s="56">
        <v>29.933333333333341</v>
      </c>
      <c r="AD156" s="56">
        <v>29.266666666666669</v>
      </c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18</v>
      </c>
      <c r="AQ156" s="71">
        <f t="shared" si="7"/>
        <v>30.340740740740742</v>
      </c>
      <c r="AR156" s="71">
        <f>IFERROR(VLOOKUP(A156,Climatologia_TMED!A:U,9+$E$2,FALSE),"")</f>
        <v>28.0184121670802</v>
      </c>
      <c r="AS156" s="71">
        <f t="shared" si="8"/>
        <v>2.3223285736605419</v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>
        <v>20.333333333333329</v>
      </c>
      <c r="P157" s="56">
        <v>20.8</v>
      </c>
      <c r="Q157" s="56">
        <v>21.6</v>
      </c>
      <c r="R157" s="56">
        <v>22.466666666666669</v>
      </c>
      <c r="S157" s="56">
        <v>18.666666666666671</v>
      </c>
      <c r="T157" s="56">
        <v>20.266666666666669</v>
      </c>
      <c r="U157" s="56">
        <v>19.93333333333333</v>
      </c>
      <c r="V157" s="56">
        <v>20.2</v>
      </c>
      <c r="W157" s="56">
        <v>20.266666666666669</v>
      </c>
      <c r="X157" s="56">
        <v>20.6</v>
      </c>
      <c r="Y157" s="56">
        <v>22.06666666666667</v>
      </c>
      <c r="Z157" s="56">
        <v>21.466666666666669</v>
      </c>
      <c r="AA157" s="56">
        <v>22.533333333333331</v>
      </c>
      <c r="AB157" s="56">
        <v>20.6</v>
      </c>
      <c r="AC157" s="56"/>
      <c r="AD157" s="56">
        <v>18.8</v>
      </c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17</v>
      </c>
      <c r="AQ157" s="71">
        <f t="shared" si="7"/>
        <v>20.521568627450986</v>
      </c>
      <c r="AR157" s="71">
        <f>IFERROR(VLOOKUP(A157,Climatologia_TMED!A:U,9+$E$2,FALSE),"")</f>
        <v>18.9909371146904</v>
      </c>
      <c r="AS157" s="71">
        <f t="shared" si="8"/>
        <v>1.5306315127605856</v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>
        <v>28.133333333333329</v>
      </c>
      <c r="P158" s="56">
        <v>28.4</v>
      </c>
      <c r="Q158" s="56">
        <v>29.4</v>
      </c>
      <c r="R158" s="56">
        <v>28.266666666666669</v>
      </c>
      <c r="S158" s="56">
        <v>24.533333333333331</v>
      </c>
      <c r="T158" s="56">
        <v>27.466666666666669</v>
      </c>
      <c r="U158" s="56">
        <v>26.2</v>
      </c>
      <c r="V158" s="56">
        <v>25.6</v>
      </c>
      <c r="W158" s="56">
        <v>28</v>
      </c>
      <c r="X158" s="56">
        <v>27.2</v>
      </c>
      <c r="Y158" s="56">
        <v>27.466666666666669</v>
      </c>
      <c r="Z158" s="56">
        <v>28.733333333333331</v>
      </c>
      <c r="AA158" s="56">
        <v>28</v>
      </c>
      <c r="AB158" s="56">
        <v>28.06666666666667</v>
      </c>
      <c r="AC158" s="56">
        <v>26</v>
      </c>
      <c r="AD158" s="56">
        <v>25.6</v>
      </c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20</v>
      </c>
      <c r="AQ158" s="71">
        <f t="shared" si="7"/>
        <v>27.146666666666675</v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>
        <v>17.2</v>
      </c>
      <c r="P159" s="56"/>
      <c r="Q159" s="56">
        <v>19.733333333333331</v>
      </c>
      <c r="R159" s="56"/>
      <c r="S159" s="56">
        <v>17.93333333333333</v>
      </c>
      <c r="T159" s="56"/>
      <c r="U159" s="56"/>
      <c r="V159" s="56"/>
      <c r="W159" s="56">
        <v>19.600000000000001</v>
      </c>
      <c r="X159" s="56">
        <v>19.666666666666661</v>
      </c>
      <c r="Y159" s="56">
        <v>20.93333333333333</v>
      </c>
      <c r="Z159" s="56">
        <v>20.8</v>
      </c>
      <c r="AA159" s="56">
        <v>19.266666666666669</v>
      </c>
      <c r="AB159" s="56">
        <v>19.266666666666669</v>
      </c>
      <c r="AC159" s="56">
        <v>17.666666666666671</v>
      </c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11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>
        <v>29.06666666666667</v>
      </c>
      <c r="P160" s="56">
        <v>29.4</v>
      </c>
      <c r="Q160" s="56">
        <v>30.13333333333334</v>
      </c>
      <c r="R160" s="56">
        <v>30.13333333333334</v>
      </c>
      <c r="S160" s="56">
        <v>26.666666666666671</v>
      </c>
      <c r="T160" s="56">
        <v>28.266666666666669</v>
      </c>
      <c r="U160" s="56">
        <v>29.2</v>
      </c>
      <c r="V160" s="56">
        <v>27.733333333333331</v>
      </c>
      <c r="W160" s="56">
        <v>28.466666666666669</v>
      </c>
      <c r="X160" s="56">
        <v>30.06666666666667</v>
      </c>
      <c r="Y160" s="56">
        <v>29.466666666666669</v>
      </c>
      <c r="Z160" s="56">
        <v>30.466666666666669</v>
      </c>
      <c r="AA160" s="56">
        <v>29.6</v>
      </c>
      <c r="AB160" s="56">
        <v>29.06666666666667</v>
      </c>
      <c r="AC160" s="56">
        <v>29.333333333333329</v>
      </c>
      <c r="AD160" s="56">
        <v>27.06666666666667</v>
      </c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20</v>
      </c>
      <c r="AQ160" s="71">
        <f t="shared" si="7"/>
        <v>29.066666666666674</v>
      </c>
      <c r="AR160" s="71">
        <f>IFERROR(VLOOKUP(A160,Climatologia_TMED!A:U,9+$E$2,FALSE),"")</f>
        <v>28.573537387874278</v>
      </c>
      <c r="AS160" s="71">
        <f t="shared" si="8"/>
        <v>0.4931292787923951</v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>
        <v>21.93333333333333</v>
      </c>
      <c r="P161" s="56">
        <v>21.2</v>
      </c>
      <c r="Q161" s="56">
        <v>22.333333333333329</v>
      </c>
      <c r="R161" s="56">
        <v>22.333333333333329</v>
      </c>
      <c r="S161" s="56">
        <v>19</v>
      </c>
      <c r="T161" s="56">
        <v>21.466666666666669</v>
      </c>
      <c r="U161" s="56">
        <v>21.133333333333329</v>
      </c>
      <c r="V161" s="56">
        <v>20.533333333333331</v>
      </c>
      <c r="W161" s="56">
        <v>21.466666666666669</v>
      </c>
      <c r="X161" s="56">
        <v>21.666666666666671</v>
      </c>
      <c r="Y161" s="56">
        <v>22.13333333333334</v>
      </c>
      <c r="Z161" s="56">
        <v>22</v>
      </c>
      <c r="AA161" s="56">
        <v>21.86666666666666</v>
      </c>
      <c r="AB161" s="56">
        <v>21.266666666666669</v>
      </c>
      <c r="AC161" s="56">
        <v>21.6</v>
      </c>
      <c r="AD161" s="56">
        <v>20.86666666666666</v>
      </c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20</v>
      </c>
      <c r="AQ161" s="71">
        <f t="shared" si="7"/>
        <v>21.509999999999998</v>
      </c>
      <c r="AR161" s="71">
        <f>IFERROR(VLOOKUP(A161,Climatologia_TMED!A:U,9+$E$2,FALSE),"")</f>
        <v>21.249423815600579</v>
      </c>
      <c r="AS161" s="71">
        <f t="shared" si="8"/>
        <v>0.26057618439941876</v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>
        <v>25.45</v>
      </c>
      <c r="P162" s="56">
        <v>25.75</v>
      </c>
      <c r="Q162" s="56">
        <v>26.95</v>
      </c>
      <c r="R162" s="56">
        <v>26.65</v>
      </c>
      <c r="S162" s="56">
        <v>23.3</v>
      </c>
      <c r="T162" s="56">
        <v>24.9</v>
      </c>
      <c r="U162" s="56">
        <v>24.8</v>
      </c>
      <c r="V162" s="56">
        <v>24.35</v>
      </c>
      <c r="W162" s="56">
        <v>25.35</v>
      </c>
      <c r="X162" s="56">
        <v>25.8</v>
      </c>
      <c r="Y162" s="56">
        <v>26.3</v>
      </c>
      <c r="Z162" s="56">
        <v>25.9</v>
      </c>
      <c r="AA162" s="56">
        <v>26.35</v>
      </c>
      <c r="AB162" s="56">
        <v>25.75</v>
      </c>
      <c r="AC162" s="56">
        <v>25.95</v>
      </c>
      <c r="AD162" s="56">
        <v>24.85</v>
      </c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20</v>
      </c>
      <c r="AQ162" s="71">
        <f t="shared" si="7"/>
        <v>25.505000000000003</v>
      </c>
      <c r="AR162" s="71">
        <f>IFERROR(VLOOKUP(A162,Climatologia_TMED!A:U,9+$E$2,FALSE),"")</f>
        <v>23.79792760916008</v>
      </c>
      <c r="AS162" s="71">
        <f t="shared" si="8"/>
        <v>1.7070723908399223</v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>
        <v>14.93333333333333</v>
      </c>
      <c r="P164" s="56">
        <v>16.733333333333331</v>
      </c>
      <c r="Q164" s="56">
        <v>16</v>
      </c>
      <c r="R164" s="56">
        <v>16.466666666666669</v>
      </c>
      <c r="S164" s="56">
        <v>14.53333333333333</v>
      </c>
      <c r="T164" s="56">
        <v>14.93333333333333</v>
      </c>
      <c r="U164" s="56">
        <v>14.8</v>
      </c>
      <c r="V164" s="56">
        <v>13.93333333333333</v>
      </c>
      <c r="W164" s="56">
        <v>15.33333333333333</v>
      </c>
      <c r="X164" s="56">
        <v>15.66666666666667</v>
      </c>
      <c r="Y164" s="56">
        <v>15.266666666666669</v>
      </c>
      <c r="Z164" s="56"/>
      <c r="AA164" s="56"/>
      <c r="AB164" s="56">
        <v>15.133333333333329</v>
      </c>
      <c r="AC164" s="56">
        <v>12.733333333333331</v>
      </c>
      <c r="AD164" s="56">
        <v>14.8</v>
      </c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18</v>
      </c>
      <c r="AQ164" s="71">
        <f t="shared" si="7"/>
        <v>14.933333333333334</v>
      </c>
      <c r="AR164" s="71">
        <f>IFERROR(VLOOKUP(A164,Climatologia_TMED!A:U,9+$E$2,FALSE),"")</f>
        <v>13.598469534050141</v>
      </c>
      <c r="AS164" s="71">
        <f t="shared" si="8"/>
        <v>1.3348637992831929</v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>
        <v>20.6</v>
      </c>
      <c r="P165" s="56">
        <v>21.133333333333329</v>
      </c>
      <c r="Q165" s="56">
        <v>22.466666666666669</v>
      </c>
      <c r="R165" s="56"/>
      <c r="S165" s="56"/>
      <c r="T165" s="56">
        <v>19.93333333333333</v>
      </c>
      <c r="U165" s="56">
        <v>20.866666666666671</v>
      </c>
      <c r="V165" s="56">
        <v>19.93333333333333</v>
      </c>
      <c r="W165" s="56">
        <v>20.93333333333333</v>
      </c>
      <c r="X165" s="56">
        <v>20.8</v>
      </c>
      <c r="Y165" s="56">
        <v>22</v>
      </c>
      <c r="Z165" s="56">
        <v>22</v>
      </c>
      <c r="AA165" s="56">
        <v>21.06666666666667</v>
      </c>
      <c r="AB165" s="56">
        <v>20.666666666666671</v>
      </c>
      <c r="AC165" s="56">
        <v>20.399999999999999</v>
      </c>
      <c r="AD165" s="56">
        <v>20.06666666666667</v>
      </c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18</v>
      </c>
      <c r="AQ165" s="71">
        <f t="shared" si="7"/>
        <v>20.744444444444447</v>
      </c>
      <c r="AR165" s="71">
        <f>IFERROR(VLOOKUP(A165,Climatologia_TMED!A:U,9+$E$2,FALSE),"")</f>
        <v>19.03556780961064</v>
      </c>
      <c r="AS165" s="71">
        <f t="shared" si="8"/>
        <v>1.7088766348338069</v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>
        <v>29.2</v>
      </c>
      <c r="P166" s="56">
        <v>28.15</v>
      </c>
      <c r="Q166" s="56">
        <v>30.15</v>
      </c>
      <c r="R166" s="56">
        <v>30.7</v>
      </c>
      <c r="S166" s="56">
        <v>24.55</v>
      </c>
      <c r="T166" s="56">
        <v>28.4</v>
      </c>
      <c r="U166" s="56">
        <v>28</v>
      </c>
      <c r="V166" s="56">
        <v>26.95</v>
      </c>
      <c r="W166" s="56">
        <v>28.8</v>
      </c>
      <c r="X166" s="56">
        <v>29.65</v>
      </c>
      <c r="Y166" s="56">
        <v>29.15</v>
      </c>
      <c r="Z166" s="56">
        <v>30.3</v>
      </c>
      <c r="AA166" s="56"/>
      <c r="AB166" s="56"/>
      <c r="AC166" s="56">
        <v>25.75</v>
      </c>
      <c r="AD166" s="56">
        <v>26.15</v>
      </c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18</v>
      </c>
      <c r="AQ166" s="71">
        <f t="shared" si="7"/>
        <v>28.069444444444443</v>
      </c>
      <c r="AR166" s="71">
        <f>IFERROR(VLOOKUP(A166,Climatologia_TMED!A:U,9+$E$2,FALSE),"")</f>
        <v>26.065864466066579</v>
      </c>
      <c r="AS166" s="71">
        <f t="shared" si="8"/>
        <v>2.0035799783778643</v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>
        <v>8.15</v>
      </c>
      <c r="P167" s="56">
        <v>10.35</v>
      </c>
      <c r="Q167" s="56">
        <v>9.9499999999999993</v>
      </c>
      <c r="R167" s="56">
        <v>9.8999999999999986</v>
      </c>
      <c r="S167" s="56">
        <v>8.5500000000000007</v>
      </c>
      <c r="T167" s="56">
        <v>7.75</v>
      </c>
      <c r="U167" s="56">
        <v>7.75</v>
      </c>
      <c r="V167" s="56">
        <v>8.15</v>
      </c>
      <c r="W167" s="56">
        <v>8.1499999999999986</v>
      </c>
      <c r="X167" s="56">
        <v>9</v>
      </c>
      <c r="Y167" s="56">
        <v>8.8500000000000014</v>
      </c>
      <c r="Z167" s="56">
        <v>9</v>
      </c>
      <c r="AA167" s="56">
        <v>9.6</v>
      </c>
      <c r="AB167" s="56">
        <v>9.0500000000000007</v>
      </c>
      <c r="AC167" s="56">
        <v>8.5500000000000007</v>
      </c>
      <c r="AD167" s="56">
        <v>9.1000000000000014</v>
      </c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20</v>
      </c>
      <c r="AQ167" s="71">
        <f t="shared" si="7"/>
        <v>8.8475000000000001</v>
      </c>
      <c r="AR167" s="71">
        <f>IFERROR(VLOOKUP(A167,Climatologia_TMED!A:U,9+$E$2,FALSE),"")</f>
        <v>8.5421242813545373</v>
      </c>
      <c r="AS167" s="71">
        <f t="shared" si="8"/>
        <v>0.30537571864546287</v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>
        <v>26.4</v>
      </c>
      <c r="P168" s="56">
        <v>23.733333333333331</v>
      </c>
      <c r="Q168" s="56">
        <v>24.666666666666671</v>
      </c>
      <c r="R168" s="56">
        <v>26.733333333333331</v>
      </c>
      <c r="S168" s="56">
        <v>22.4</v>
      </c>
      <c r="T168" s="56">
        <v>23.6</v>
      </c>
      <c r="U168" s="56"/>
      <c r="V168" s="56"/>
      <c r="W168" s="56">
        <v>24.13333333333334</v>
      </c>
      <c r="X168" s="56">
        <v>24.733333333333331</v>
      </c>
      <c r="Y168" s="56">
        <v>26.266666666666669</v>
      </c>
      <c r="Z168" s="56">
        <v>24</v>
      </c>
      <c r="AA168" s="56"/>
      <c r="AB168" s="56"/>
      <c r="AC168" s="56"/>
      <c r="AD168" s="56">
        <v>23.666666666666671</v>
      </c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12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>
        <v>21</v>
      </c>
      <c r="P169" s="56">
        <v>22.13333333333334</v>
      </c>
      <c r="Q169" s="56">
        <v>23.86666666666666</v>
      </c>
      <c r="R169" s="56">
        <v>22.8</v>
      </c>
      <c r="S169" s="56">
        <v>19.266666666666669</v>
      </c>
      <c r="T169" s="56">
        <v>21.86666666666666</v>
      </c>
      <c r="U169" s="56">
        <v>19.866666666666671</v>
      </c>
      <c r="V169" s="56">
        <v>20.266666666666669</v>
      </c>
      <c r="W169" s="56">
        <v>20.666666666666671</v>
      </c>
      <c r="X169" s="56"/>
      <c r="Y169" s="56">
        <v>22.933333333333341</v>
      </c>
      <c r="Z169" s="56">
        <v>21.466666666666669</v>
      </c>
      <c r="AA169" s="56">
        <v>21.86666666666666</v>
      </c>
      <c r="AB169" s="56">
        <v>20</v>
      </c>
      <c r="AC169" s="56">
        <v>18.733333333333331</v>
      </c>
      <c r="AD169" s="56">
        <v>19.866666666666671</v>
      </c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19</v>
      </c>
      <c r="AQ169" s="71">
        <f t="shared" si="7"/>
        <v>20.89122807017544</v>
      </c>
      <c r="AR169" s="71">
        <f>IFERROR(VLOOKUP(A169,Climatologia_TMED!A:U,9+$E$2,FALSE),"")</f>
        <v>18.928926022251918</v>
      </c>
      <c r="AS169" s="71">
        <f t="shared" si="8"/>
        <v>1.9623020479235223</v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>
        <v>25.6</v>
      </c>
      <c r="P170" s="56">
        <v>26.4</v>
      </c>
      <c r="Q170" s="56">
        <v>26.8</v>
      </c>
      <c r="R170" s="56"/>
      <c r="S170" s="56"/>
      <c r="T170" s="56">
        <v>26.2</v>
      </c>
      <c r="U170" s="56">
        <v>25.35</v>
      </c>
      <c r="V170" s="56">
        <v>24.25</v>
      </c>
      <c r="W170" s="56">
        <v>25.75</v>
      </c>
      <c r="X170" s="56">
        <v>27.15</v>
      </c>
      <c r="Y170" s="56">
        <v>27.45</v>
      </c>
      <c r="Z170" s="56">
        <v>26.3</v>
      </c>
      <c r="AA170" s="56">
        <v>25.35</v>
      </c>
      <c r="AB170" s="56">
        <v>24.8</v>
      </c>
      <c r="AC170" s="56">
        <v>24.45</v>
      </c>
      <c r="AD170" s="56">
        <v>24.65</v>
      </c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18</v>
      </c>
      <c r="AQ170" s="71">
        <f t="shared" si="7"/>
        <v>25.580555555555556</v>
      </c>
      <c r="AR170" s="71">
        <f>IFERROR(VLOOKUP(A170,Climatologia_TMED!A:U,9+$E$2,FALSE),"")</f>
        <v>24.438628368511878</v>
      </c>
      <c r="AS170" s="71">
        <f t="shared" si="8"/>
        <v>1.1419271870436773</v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>
        <v>24.8</v>
      </c>
      <c r="P171" s="56">
        <v>26</v>
      </c>
      <c r="Q171" s="56">
        <v>26.55</v>
      </c>
      <c r="R171" s="56">
        <v>25.733333333333331</v>
      </c>
      <c r="S171" s="56">
        <v>25.25</v>
      </c>
      <c r="T171" s="56">
        <v>25.8</v>
      </c>
      <c r="U171" s="56">
        <v>24.7</v>
      </c>
      <c r="V171" s="56">
        <v>24.1</v>
      </c>
      <c r="W171" s="56">
        <v>25.55</v>
      </c>
      <c r="X171" s="56">
        <v>25.15</v>
      </c>
      <c r="Y171" s="56">
        <v>26.15</v>
      </c>
      <c r="Z171" s="56">
        <v>25.8</v>
      </c>
      <c r="AA171" s="56">
        <v>24.024999999999999</v>
      </c>
      <c r="AB171" s="56">
        <v>25.35</v>
      </c>
      <c r="AC171" s="56">
        <v>23.6</v>
      </c>
      <c r="AD171" s="56">
        <v>24.75</v>
      </c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20</v>
      </c>
      <c r="AQ171" s="71">
        <f t="shared" si="7"/>
        <v>25.145416666666669</v>
      </c>
      <c r="AR171" s="71">
        <f>IFERROR(VLOOKUP(A171,Climatologia_TMED!A:U,9+$E$2,FALSE),"")</f>
        <v>24.054408602150531</v>
      </c>
      <c r="AS171" s="71">
        <f t="shared" si="8"/>
        <v>1.0910080645161386</v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>
        <v>14.133333333333329</v>
      </c>
      <c r="P172" s="56">
        <v>15.866666666666671</v>
      </c>
      <c r="Q172" s="56">
        <v>15.33333333333333</v>
      </c>
      <c r="R172" s="56"/>
      <c r="S172" s="56">
        <v>13.866666666666671</v>
      </c>
      <c r="T172" s="56">
        <v>13.53333333333333</v>
      </c>
      <c r="U172" s="56">
        <v>15.4</v>
      </c>
      <c r="V172" s="56">
        <v>11.866666666666671</v>
      </c>
      <c r="W172" s="56">
        <v>13.933333333333341</v>
      </c>
      <c r="X172" s="56">
        <v>14.53333333333333</v>
      </c>
      <c r="Y172" s="56">
        <v>14.8</v>
      </c>
      <c r="Z172" s="56">
        <v>13.66666666666667</v>
      </c>
      <c r="AA172" s="56">
        <v>13</v>
      </c>
      <c r="AB172" s="56">
        <v>14.8</v>
      </c>
      <c r="AC172" s="56">
        <v>13.6</v>
      </c>
      <c r="AD172" s="56">
        <v>12.66666666666667</v>
      </c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19</v>
      </c>
      <c r="AQ172" s="71">
        <f t="shared" si="7"/>
        <v>13.828070175438597</v>
      </c>
      <c r="AR172" s="71">
        <f>IFERROR(VLOOKUP(A172,Climatologia_TMED!A:U,9+$E$2,FALSE),"")</f>
        <v>12.06075185767186</v>
      </c>
      <c r="AS172" s="71">
        <f t="shared" si="8"/>
        <v>1.7673183177667369</v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>
        <v>26.4</v>
      </c>
      <c r="R173" s="56">
        <v>25.266666666666669</v>
      </c>
      <c r="S173" s="56">
        <v>25</v>
      </c>
      <c r="T173" s="56">
        <v>24.666666666666671</v>
      </c>
      <c r="U173" s="56">
        <v>24.166666666666671</v>
      </c>
      <c r="V173" s="56">
        <v>23.6</v>
      </c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10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>
        <v>24.2</v>
      </c>
      <c r="O176" s="56"/>
      <c r="P176" s="56">
        <v>25.2</v>
      </c>
      <c r="Q176" s="56">
        <v>26.8</v>
      </c>
      <c r="R176" s="56">
        <v>25.933333333333341</v>
      </c>
      <c r="S176" s="56">
        <v>25.2</v>
      </c>
      <c r="T176" s="56">
        <v>26.533333333333331</v>
      </c>
      <c r="U176" s="56">
        <v>25.93333333333333</v>
      </c>
      <c r="V176" s="56">
        <v>24.8</v>
      </c>
      <c r="W176" s="56">
        <v>25.4</v>
      </c>
      <c r="X176" s="56">
        <v>26.13333333333334</v>
      </c>
      <c r="Y176" s="56"/>
      <c r="Z176" s="56"/>
      <c r="AA176" s="56">
        <v>25.466666666666669</v>
      </c>
      <c r="AB176" s="56"/>
      <c r="AC176" s="56"/>
      <c r="AD176" s="56">
        <v>22.8</v>
      </c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15</v>
      </c>
      <c r="AQ176" s="71">
        <f t="shared" si="7"/>
        <v>25.373333333333331</v>
      </c>
      <c r="AR176" s="71">
        <f>IFERROR(VLOOKUP(A176,Climatologia_TMED!A:U,9+$E$2,FALSE),"")</f>
        <v>24.552280346878891</v>
      </c>
      <c r="AS176" s="71">
        <f t="shared" si="8"/>
        <v>0.8210529864544398</v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>
        <v>18.8</v>
      </c>
      <c r="P177" s="56"/>
      <c r="Q177" s="56"/>
      <c r="R177" s="56">
        <v>19</v>
      </c>
      <c r="S177" s="56"/>
      <c r="T177" s="56"/>
      <c r="U177" s="56">
        <v>18.350000000000001</v>
      </c>
      <c r="V177" s="56">
        <v>17.850000000000001</v>
      </c>
      <c r="W177" s="56">
        <v>19.399999999999999</v>
      </c>
      <c r="X177" s="56">
        <v>19.7</v>
      </c>
      <c r="Y177" s="56">
        <v>20.149999999999999</v>
      </c>
      <c r="Z177" s="56">
        <v>19.899999999999999</v>
      </c>
      <c r="AA177" s="56">
        <v>19.8</v>
      </c>
      <c r="AB177" s="56">
        <v>18.850000000000001</v>
      </c>
      <c r="AC177" s="56">
        <v>16.95</v>
      </c>
      <c r="AD177" s="56">
        <v>16.899999999999999</v>
      </c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16</v>
      </c>
      <c r="AQ177" s="71">
        <f t="shared" si="7"/>
        <v>18.774999999999999</v>
      </c>
      <c r="AR177" s="71">
        <f>IFERROR(VLOOKUP(A177,Climatologia_TMED!A:U,9+$E$2,FALSE),"")</f>
        <v>17.587583683516652</v>
      </c>
      <c r="AS177" s="71">
        <f t="shared" si="8"/>
        <v>1.1874163164833469</v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>
        <v>30.066666666666659</v>
      </c>
      <c r="P179" s="56">
        <v>32.866666666666667</v>
      </c>
      <c r="Q179" s="56">
        <v>32.133333333333333</v>
      </c>
      <c r="R179" s="56">
        <v>33</v>
      </c>
      <c r="S179" s="56">
        <v>30.666666666666671</v>
      </c>
      <c r="T179" s="56">
        <v>31.06666666666667</v>
      </c>
      <c r="U179" s="56">
        <v>31.466666666666669</v>
      </c>
      <c r="V179" s="56">
        <v>29.666666666666671</v>
      </c>
      <c r="W179" s="56">
        <v>32.266666666666673</v>
      </c>
      <c r="X179" s="56">
        <v>30.8</v>
      </c>
      <c r="Y179" s="56">
        <v>31.6</v>
      </c>
      <c r="Z179" s="56">
        <v>32.533333333333331</v>
      </c>
      <c r="AA179" s="56">
        <v>31.8</v>
      </c>
      <c r="AB179" s="56">
        <v>29.4</v>
      </c>
      <c r="AC179" s="56">
        <v>29.93333333333333</v>
      </c>
      <c r="AD179" s="56">
        <v>30.866666666666671</v>
      </c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20</v>
      </c>
      <c r="AQ179" s="71">
        <f t="shared" si="7"/>
        <v>30.933333333333326</v>
      </c>
      <c r="AR179" s="71">
        <f>IFERROR(VLOOKUP(A179,Climatologia_TMED!A:U,9+$E$2,FALSE),"")</f>
        <v>28.533236387569811</v>
      </c>
      <c r="AS179" s="71">
        <f t="shared" si="8"/>
        <v>2.4000969457635151</v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>
        <v>28.066666666666659</v>
      </c>
      <c r="P182" s="56">
        <v>27.933333333333341</v>
      </c>
      <c r="Q182" s="56">
        <v>28.666666666666671</v>
      </c>
      <c r="R182" s="56">
        <v>29.86666666666666</v>
      </c>
      <c r="S182" s="56">
        <v>28.06666666666667</v>
      </c>
      <c r="T182" s="56">
        <v>27.6</v>
      </c>
      <c r="U182" s="56">
        <v>27.93333333333333</v>
      </c>
      <c r="V182" s="56">
        <v>26.733333333333331</v>
      </c>
      <c r="W182" s="56">
        <v>28.333333333333329</v>
      </c>
      <c r="X182" s="56">
        <v>27.733333333333331</v>
      </c>
      <c r="Y182" s="56">
        <v>29</v>
      </c>
      <c r="Z182" s="56">
        <v>28.6</v>
      </c>
      <c r="AA182" s="56">
        <v>28.4</v>
      </c>
      <c r="AB182" s="56">
        <v>27.2</v>
      </c>
      <c r="AC182" s="56">
        <v>27.13333333333334</v>
      </c>
      <c r="AD182" s="56">
        <v>29.2</v>
      </c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20</v>
      </c>
      <c r="AQ182" s="71">
        <f t="shared" si="7"/>
        <v>27.990000000000002</v>
      </c>
      <c r="AR182" s="71">
        <f>IFERROR(VLOOKUP(A182,Climatologia_TMED!A:U,9+$E$2,FALSE),"")</f>
        <v>26.638371217616989</v>
      </c>
      <c r="AS182" s="71">
        <f t="shared" si="8"/>
        <v>1.3516287823830133</v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>
        <v>28.6</v>
      </c>
      <c r="P183" s="56">
        <v>29.8</v>
      </c>
      <c r="Q183" s="56">
        <v>29.666666666666671</v>
      </c>
      <c r="R183" s="56">
        <v>31.13333333333334</v>
      </c>
      <c r="S183" s="56">
        <v>28.6</v>
      </c>
      <c r="T183" s="56">
        <v>28.2</v>
      </c>
      <c r="U183" s="56"/>
      <c r="V183" s="56"/>
      <c r="W183" s="56"/>
      <c r="X183" s="56"/>
      <c r="Y183" s="56">
        <v>29.93333333333333</v>
      </c>
      <c r="Z183" s="56">
        <v>30.4</v>
      </c>
      <c r="AA183" s="56">
        <v>29.666666666666671</v>
      </c>
      <c r="AB183" s="56">
        <v>28.13333333333334</v>
      </c>
      <c r="AC183" s="56">
        <v>28.93333333333333</v>
      </c>
      <c r="AD183" s="56">
        <v>30.266666666666669</v>
      </c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16</v>
      </c>
      <c r="AQ183" s="71">
        <f t="shared" si="7"/>
        <v>28.808333333333334</v>
      </c>
      <c r="AR183" s="71">
        <f>IFERROR(VLOOKUP(A183,Climatologia_TMED!A:U,9+$E$2,FALSE),"")</f>
        <v>27.608632285011371</v>
      </c>
      <c r="AS183" s="71">
        <f t="shared" si="8"/>
        <v>1.1997010483219626</v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>
        <v>17</v>
      </c>
      <c r="P186" s="56">
        <v>19.266666666666669</v>
      </c>
      <c r="Q186" s="56">
        <v>17.93333333333333</v>
      </c>
      <c r="R186" s="56">
        <v>19.2</v>
      </c>
      <c r="S186" s="56">
        <v>15.6</v>
      </c>
      <c r="T186" s="56">
        <v>18.13333333333334</v>
      </c>
      <c r="U186" s="56">
        <v>19</v>
      </c>
      <c r="V186" s="56">
        <v>15.866666666666671</v>
      </c>
      <c r="W186" s="56">
        <v>16.866666666666671</v>
      </c>
      <c r="X186" s="56">
        <v>17.86666666666666</v>
      </c>
      <c r="Y186" s="56">
        <v>17.733333333333331</v>
      </c>
      <c r="Z186" s="56">
        <v>18.666666666666671</v>
      </c>
      <c r="AA186" s="56">
        <v>19.266666666666669</v>
      </c>
      <c r="AB186" s="56">
        <v>17.600000000000001</v>
      </c>
      <c r="AC186" s="56">
        <v>16.733333333333331</v>
      </c>
      <c r="AD186" s="56">
        <v>16.06666666666667</v>
      </c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20</v>
      </c>
      <c r="AQ186" s="71">
        <f t="shared" si="7"/>
        <v>17.473333333333336</v>
      </c>
      <c r="AR186" s="71">
        <f>IFERROR(VLOOKUP(A186,Climatologia_TMED!A:U,9+$E$2,FALSE),"")</f>
        <v>15.99559198953173</v>
      </c>
      <c r="AS186" s="71">
        <f t="shared" si="8"/>
        <v>1.4777413438016058</v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>
        <v>32.200000000000003</v>
      </c>
      <c r="P187" s="56"/>
      <c r="Q187" s="56">
        <v>33</v>
      </c>
      <c r="R187" s="56">
        <v>34.133333333333333</v>
      </c>
      <c r="S187" s="56"/>
      <c r="T187" s="56">
        <v>32.93333333333333</v>
      </c>
      <c r="U187" s="56">
        <v>32</v>
      </c>
      <c r="V187" s="56">
        <v>30.93333333333333</v>
      </c>
      <c r="W187" s="56">
        <v>32.333333333333343</v>
      </c>
      <c r="X187" s="56"/>
      <c r="Y187" s="56">
        <v>34.06666666666667</v>
      </c>
      <c r="Z187" s="56">
        <v>32.93333333333333</v>
      </c>
      <c r="AA187" s="56">
        <v>33.533333333333339</v>
      </c>
      <c r="AB187" s="56">
        <v>31.666666666666671</v>
      </c>
      <c r="AC187" s="56"/>
      <c r="AD187" s="56">
        <v>30.06666666666667</v>
      </c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15</v>
      </c>
      <c r="AQ187" s="71">
        <f t="shared" si="7"/>
        <v>32.155555555555559</v>
      </c>
      <c r="AR187" s="71">
        <f>IFERROR(VLOOKUP(A187,Climatologia_TMED!A:U,9+$E$2,FALSE),"")</f>
        <v>29.85158435805279</v>
      </c>
      <c r="AS187" s="71">
        <f t="shared" si="8"/>
        <v>2.3039711975027686</v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>
        <v>31.2</v>
      </c>
      <c r="P188" s="56">
        <v>32.266666666666673</v>
      </c>
      <c r="Q188" s="56">
        <v>31.4</v>
      </c>
      <c r="R188" s="56">
        <v>32.266666666666673</v>
      </c>
      <c r="S188" s="56">
        <v>29.4</v>
      </c>
      <c r="T188" s="56">
        <v>32.066666666666663</v>
      </c>
      <c r="U188" s="56">
        <v>30.666666666666671</v>
      </c>
      <c r="V188" s="56">
        <v>28.266666666666669</v>
      </c>
      <c r="W188" s="56">
        <v>31.266666666666669</v>
      </c>
      <c r="X188" s="56">
        <v>31.066666666666659</v>
      </c>
      <c r="Y188" s="56">
        <v>32.200000000000003</v>
      </c>
      <c r="Z188" s="56">
        <v>32.266666666666673</v>
      </c>
      <c r="AA188" s="56">
        <v>32.799999999999997</v>
      </c>
      <c r="AB188" s="56">
        <v>31.6</v>
      </c>
      <c r="AC188" s="56">
        <v>28.733333333333331</v>
      </c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19</v>
      </c>
      <c r="AQ188" s="71">
        <f t="shared" si="7"/>
        <v>30.747368421052634</v>
      </c>
      <c r="AR188" s="71">
        <f>IFERROR(VLOOKUP(A188,Climatologia_TMED!A:U,9+$E$2,FALSE),"")</f>
        <v>28.916523661482469</v>
      </c>
      <c r="AS188" s="71">
        <f t="shared" si="8"/>
        <v>1.8308447595701658</v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>
        <v>18.600000000000001</v>
      </c>
      <c r="P189" s="56">
        <v>20.149999999999999</v>
      </c>
      <c r="Q189" s="56">
        <v>19</v>
      </c>
      <c r="R189" s="56">
        <v>19.399999999999999</v>
      </c>
      <c r="S189" s="56">
        <v>17.25</v>
      </c>
      <c r="T189" s="56">
        <v>18.100000000000001</v>
      </c>
      <c r="U189" s="56">
        <v>20.85</v>
      </c>
      <c r="V189" s="56">
        <v>17.850000000000001</v>
      </c>
      <c r="W189" s="56">
        <v>18.350000000000001</v>
      </c>
      <c r="X189" s="56">
        <v>18.149999999999999</v>
      </c>
      <c r="Y189" s="56">
        <v>18.850000000000001</v>
      </c>
      <c r="Z189" s="56">
        <v>19.05</v>
      </c>
      <c r="AA189" s="56">
        <v>19.95</v>
      </c>
      <c r="AB189" s="56">
        <v>19.399999999999999</v>
      </c>
      <c r="AC189" s="56">
        <v>18.5</v>
      </c>
      <c r="AD189" s="56">
        <v>17.05</v>
      </c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20</v>
      </c>
      <c r="AQ189" s="71">
        <f t="shared" si="7"/>
        <v>18.71</v>
      </c>
      <c r="AR189" s="71">
        <f>IFERROR(VLOOKUP(A189,Climatologia_TMED!A:U,9+$E$2,FALSE),"")</f>
        <v>17.387219014660609</v>
      </c>
      <c r="AS189" s="71">
        <f t="shared" si="8"/>
        <v>1.3227809853393921</v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>
        <v>25.8</v>
      </c>
      <c r="P190" s="56">
        <v>26.533333333333331</v>
      </c>
      <c r="Q190" s="56">
        <v>27.4</v>
      </c>
      <c r="R190" s="56">
        <v>27</v>
      </c>
      <c r="S190" s="56">
        <v>26.6</v>
      </c>
      <c r="T190" s="56">
        <v>26.533333333333331</v>
      </c>
      <c r="U190" s="56">
        <v>27.13333333333334</v>
      </c>
      <c r="V190" s="56">
        <v>25.666666666666671</v>
      </c>
      <c r="W190" s="56">
        <v>26.6</v>
      </c>
      <c r="X190" s="56">
        <v>26.06666666666667</v>
      </c>
      <c r="Y190" s="56">
        <v>26.666666666666671</v>
      </c>
      <c r="Z190" s="56">
        <v>24.733333333333331</v>
      </c>
      <c r="AA190" s="56">
        <v>25.333333333333329</v>
      </c>
      <c r="AB190" s="56">
        <v>26.333333333333329</v>
      </c>
      <c r="AC190" s="56">
        <v>24.533333333333331</v>
      </c>
      <c r="AD190" s="56">
        <v>26.933333333333341</v>
      </c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20</v>
      </c>
      <c r="AQ190" s="71">
        <f t="shared" si="7"/>
        <v>26.080000000000005</v>
      </c>
      <c r="AR190" s="71">
        <f>IFERROR(VLOOKUP(A190,Climatologia_TMED!A:U,9+$E$2,FALSE),"")</f>
        <v>25.244507180818172</v>
      </c>
      <c r="AS190" s="71">
        <f t="shared" si="8"/>
        <v>0.83549281918183382</v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>
        <v>25</v>
      </c>
      <c r="M191" s="56">
        <v>24.65</v>
      </c>
      <c r="N191" s="56">
        <v>25.6</v>
      </c>
      <c r="O191" s="56">
        <v>27.35</v>
      </c>
      <c r="P191" s="56">
        <v>29.1</v>
      </c>
      <c r="Q191" s="56">
        <v>29.05</v>
      </c>
      <c r="R191" s="56">
        <v>28.95</v>
      </c>
      <c r="S191" s="56">
        <v>27.25</v>
      </c>
      <c r="T191" s="56">
        <v>26.2</v>
      </c>
      <c r="U191" s="56">
        <v>27.9</v>
      </c>
      <c r="V191" s="56">
        <v>25.4</v>
      </c>
      <c r="W191" s="56">
        <v>27.6</v>
      </c>
      <c r="X191" s="56">
        <v>26.15</v>
      </c>
      <c r="Y191" s="56">
        <v>28.75</v>
      </c>
      <c r="Z191" s="56">
        <v>27.25</v>
      </c>
      <c r="AA191" s="56">
        <v>27.95</v>
      </c>
      <c r="AB191" s="56">
        <v>25.55</v>
      </c>
      <c r="AC191" s="56">
        <v>26.45</v>
      </c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18</v>
      </c>
      <c r="AQ191" s="71">
        <f t="shared" si="7"/>
        <v>27.008333333333329</v>
      </c>
      <c r="AR191" s="71">
        <f>IFERROR(VLOOKUP(A191,Climatologia_TMED!A:U,9+$E$2,FALSE),"")</f>
        <v>26.35276954000917</v>
      </c>
      <c r="AS191" s="71">
        <f t="shared" si="8"/>
        <v>0.65556379332415915</v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>
        <v>21.333333333333329</v>
      </c>
      <c r="P192" s="56">
        <v>22.6</v>
      </c>
      <c r="Q192" s="56">
        <v>22.8</v>
      </c>
      <c r="R192" s="56">
        <v>23.13333333333334</v>
      </c>
      <c r="S192" s="56">
        <v>20.6</v>
      </c>
      <c r="T192" s="56">
        <v>20.8</v>
      </c>
      <c r="U192" s="56">
        <v>22.13333333333334</v>
      </c>
      <c r="V192" s="56">
        <v>19.8</v>
      </c>
      <c r="W192" s="56">
        <v>20.93333333333333</v>
      </c>
      <c r="X192" s="56">
        <v>20.333333333333339</v>
      </c>
      <c r="Y192" s="56">
        <v>22.2</v>
      </c>
      <c r="Z192" s="56">
        <v>21.133333333333329</v>
      </c>
      <c r="AA192" s="56">
        <v>20.93333333333333</v>
      </c>
      <c r="AB192" s="56">
        <v>20.6</v>
      </c>
      <c r="AC192" s="56">
        <v>21.06666666666667</v>
      </c>
      <c r="AD192" s="56">
        <v>21.2</v>
      </c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20</v>
      </c>
      <c r="AQ192" s="71">
        <f t="shared" si="7"/>
        <v>21.226666666666667</v>
      </c>
      <c r="AR192" s="71">
        <f>IFERROR(VLOOKUP(A192,Climatologia_TMED!A:U,9+$E$2,FALSE),"")</f>
        <v>21.60766179705843</v>
      </c>
      <c r="AS192" s="71">
        <f t="shared" si="8"/>
        <v>-0.38099513039176358</v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>
        <v>28.666666666666671</v>
      </c>
      <c r="P193" s="56">
        <v>29.2</v>
      </c>
      <c r="Q193" s="56">
        <v>28.86666666666666</v>
      </c>
      <c r="R193" s="56">
        <v>28.066666666666659</v>
      </c>
      <c r="S193" s="56">
        <v>26.13333333333334</v>
      </c>
      <c r="T193" s="56">
        <v>28.4</v>
      </c>
      <c r="U193" s="56">
        <v>28.8</v>
      </c>
      <c r="V193" s="56">
        <v>26.13333333333334</v>
      </c>
      <c r="W193" s="56">
        <v>29.06666666666667</v>
      </c>
      <c r="X193" s="56">
        <v>27.533333333333331</v>
      </c>
      <c r="Y193" s="56">
        <v>28.86666666666666</v>
      </c>
      <c r="Z193" s="56">
        <v>30.13333333333334</v>
      </c>
      <c r="AA193" s="56">
        <v>30.13333333333334</v>
      </c>
      <c r="AB193" s="56">
        <v>29.533333333333331</v>
      </c>
      <c r="AC193" s="56">
        <v>27.666666666666671</v>
      </c>
      <c r="AD193" s="56">
        <v>26.2</v>
      </c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20</v>
      </c>
      <c r="AQ193" s="71">
        <f t="shared" si="7"/>
        <v>28.083333333333332</v>
      </c>
      <c r="AR193" s="71">
        <f>IFERROR(VLOOKUP(A193,Climatologia_TMED!A:U,9+$E$2,FALSE),"")</f>
        <v>25.687488209709759</v>
      </c>
      <c r="AS193" s="71">
        <f t="shared" si="8"/>
        <v>2.3958451236235732</v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>
        <v>21.86666666666666</v>
      </c>
      <c r="P194" s="56">
        <v>23.133333333333329</v>
      </c>
      <c r="Q194" s="56">
        <v>23.86666666666666</v>
      </c>
      <c r="R194" s="56">
        <v>24.466666666666669</v>
      </c>
      <c r="S194" s="56">
        <v>20.93333333333333</v>
      </c>
      <c r="T194" s="56">
        <v>22.733333333333331</v>
      </c>
      <c r="U194" s="56">
        <v>23.466666666666669</v>
      </c>
      <c r="V194" s="56">
        <v>20.666666666666671</v>
      </c>
      <c r="W194" s="56">
        <v>22.93333333333333</v>
      </c>
      <c r="X194" s="56">
        <v>22.8</v>
      </c>
      <c r="Y194" s="56">
        <v>22.6</v>
      </c>
      <c r="Z194" s="56">
        <v>23.93333333333333</v>
      </c>
      <c r="AA194" s="56">
        <v>23.4</v>
      </c>
      <c r="AB194" s="56">
        <v>22.86666666666666</v>
      </c>
      <c r="AC194" s="56">
        <v>21.6</v>
      </c>
      <c r="AD194" s="56">
        <v>20.133333333333329</v>
      </c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20</v>
      </c>
      <c r="AQ194" s="71">
        <f t="shared" si="7"/>
        <v>22.416666666666668</v>
      </c>
      <c r="AR194" s="71">
        <f>IFERROR(VLOOKUP(A194,Climatologia_TMED!A:U,9+$E$2,FALSE),"")</f>
        <v>20.22375647152527</v>
      </c>
      <c r="AS194" s="71">
        <f t="shared" si="8"/>
        <v>2.1929101951413976</v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>
        <v>24.466666666666669</v>
      </c>
      <c r="O195" s="56">
        <v>25.2</v>
      </c>
      <c r="P195" s="56">
        <v>27.266666666666669</v>
      </c>
      <c r="Q195" s="56">
        <v>27.06666666666667</v>
      </c>
      <c r="R195" s="56">
        <v>26.6</v>
      </c>
      <c r="S195" s="56">
        <v>25.266666666666669</v>
      </c>
      <c r="T195" s="56">
        <v>25.6</v>
      </c>
      <c r="U195" s="56">
        <v>26.333333333333329</v>
      </c>
      <c r="V195" s="56">
        <v>24.666666666666671</v>
      </c>
      <c r="W195" s="56">
        <v>26.466666666666669</v>
      </c>
      <c r="X195" s="56">
        <v>26.13333333333334</v>
      </c>
      <c r="Y195" s="56">
        <v>27.13333333333334</v>
      </c>
      <c r="Z195" s="56">
        <v>27.066666666666659</v>
      </c>
      <c r="AA195" s="56">
        <v>27.066666666666659</v>
      </c>
      <c r="AB195" s="56">
        <v>25.266666666666669</v>
      </c>
      <c r="AC195" s="56">
        <v>25.533333333333331</v>
      </c>
      <c r="AD195" s="56">
        <v>24.8</v>
      </c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20</v>
      </c>
      <c r="AQ195" s="71">
        <f t="shared" si="7"/>
        <v>25.869999999999994</v>
      </c>
      <c r="AR195" s="71">
        <f>IFERROR(VLOOKUP(A195,Climatologia_TMED!A:U,9+$E$2,FALSE),"")</f>
        <v>24.127383001170529</v>
      </c>
      <c r="AS195" s="71">
        <f t="shared" si="8"/>
        <v>1.7426169988294653</v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>
        <v>21.5</v>
      </c>
      <c r="P196" s="56">
        <v>22.9</v>
      </c>
      <c r="Q196" s="56">
        <v>22.35</v>
      </c>
      <c r="R196" s="56">
        <v>22.2</v>
      </c>
      <c r="S196" s="56">
        <v>21.25</v>
      </c>
      <c r="T196" s="56">
        <v>21.95</v>
      </c>
      <c r="U196" s="56">
        <v>22.65</v>
      </c>
      <c r="V196" s="56">
        <v>20.399999999999999</v>
      </c>
      <c r="W196" s="56">
        <v>21.4</v>
      </c>
      <c r="X196" s="56">
        <v>21.5</v>
      </c>
      <c r="Y196" s="56">
        <v>22.75</v>
      </c>
      <c r="Z196" s="56">
        <v>22.65</v>
      </c>
      <c r="AA196" s="56">
        <v>22.65</v>
      </c>
      <c r="AB196" s="56">
        <v>21.95</v>
      </c>
      <c r="AC196" s="56">
        <v>21</v>
      </c>
      <c r="AD196" s="56">
        <v>20.2</v>
      </c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20</v>
      </c>
      <c r="AQ196" s="71">
        <f t="shared" si="7"/>
        <v>21.702499999999993</v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>
        <v>16.466666666666669</v>
      </c>
      <c r="P197" s="56">
        <v>17.333333333333329</v>
      </c>
      <c r="Q197" s="56">
        <v>16.93333333333333</v>
      </c>
      <c r="R197" s="56">
        <v>16.93333333333333</v>
      </c>
      <c r="S197" s="56">
        <v>16.266666666666669</v>
      </c>
      <c r="T197" s="56">
        <v>16.666666666666671</v>
      </c>
      <c r="U197" s="56">
        <v>16.866666666666671</v>
      </c>
      <c r="V197" s="56">
        <v>16.666666666666671</v>
      </c>
      <c r="W197" s="56">
        <v>16</v>
      </c>
      <c r="X197" s="56">
        <v>16.399999999999999</v>
      </c>
      <c r="Y197" s="56">
        <v>17.13333333333334</v>
      </c>
      <c r="Z197" s="56">
        <v>17.333333333333329</v>
      </c>
      <c r="AA197" s="56">
        <v>17.06666666666667</v>
      </c>
      <c r="AB197" s="56">
        <v>15.66666666666667</v>
      </c>
      <c r="AC197" s="56">
        <v>16.466666666666669</v>
      </c>
      <c r="AD197" s="56">
        <v>16.333333333333329</v>
      </c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20</v>
      </c>
      <c r="AQ197" s="71">
        <f t="shared" ref="AQ197:AQ260" si="10">IF(AP197&gt;14,AVERAGE(K197:AO197),"")</f>
        <v>16.64</v>
      </c>
      <c r="AR197" s="71">
        <f>IFERROR(VLOOKUP(A197,Climatologia_TMED!A:U,9+$E$2,FALSE),"")</f>
        <v>15.78766040619119</v>
      </c>
      <c r="AS197" s="71">
        <f t="shared" ref="AS197:AS260" si="11">IF(OR(AQ197="",AR197=""),"",IFERROR(AQ197-AR197,""))</f>
        <v>0.85233959380881075</v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>
        <v>15.45</v>
      </c>
      <c r="P198" s="56">
        <v>13.7</v>
      </c>
      <c r="Q198" s="56">
        <v>17.100000000000001</v>
      </c>
      <c r="R198" s="56">
        <v>16.55</v>
      </c>
      <c r="S198" s="56">
        <v>14.6</v>
      </c>
      <c r="T198" s="56">
        <v>14.2</v>
      </c>
      <c r="U198" s="56">
        <v>13.85</v>
      </c>
      <c r="V198" s="56">
        <v>14.3</v>
      </c>
      <c r="W198" s="56">
        <v>13.4</v>
      </c>
      <c r="X198" s="56">
        <v>14.55</v>
      </c>
      <c r="Y198" s="56">
        <v>15.15</v>
      </c>
      <c r="Z198" s="56">
        <v>16</v>
      </c>
      <c r="AA198" s="56">
        <v>15.3</v>
      </c>
      <c r="AB198" s="56">
        <v>15.1</v>
      </c>
      <c r="AC198" s="56">
        <v>14.6</v>
      </c>
      <c r="AD198" s="56">
        <v>14.3</v>
      </c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20</v>
      </c>
      <c r="AQ198" s="71">
        <f t="shared" si="10"/>
        <v>14.735000000000005</v>
      </c>
      <c r="AR198" s="71">
        <f>IFERROR(VLOOKUP(A198,Climatologia_TMED!A:U,9+$E$2,FALSE),"")</f>
        <v>13.36561246778364</v>
      </c>
      <c r="AS198" s="71">
        <f t="shared" si="11"/>
        <v>1.3693875322163649</v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>
        <v>27.55</v>
      </c>
      <c r="P199" s="56">
        <v>28.9</v>
      </c>
      <c r="Q199" s="56">
        <v>28.7</v>
      </c>
      <c r="R199" s="56">
        <v>28</v>
      </c>
      <c r="S199" s="56">
        <v>26.2</v>
      </c>
      <c r="T199" s="56">
        <v>27.6</v>
      </c>
      <c r="U199" s="56">
        <v>27.4</v>
      </c>
      <c r="V199" s="56">
        <v>25.05</v>
      </c>
      <c r="W199" s="56">
        <v>27.8</v>
      </c>
      <c r="X199" s="56">
        <v>27.4</v>
      </c>
      <c r="Y199" s="56">
        <v>28.75</v>
      </c>
      <c r="Z199" s="56">
        <v>29.65</v>
      </c>
      <c r="AA199" s="56">
        <v>29</v>
      </c>
      <c r="AB199" s="56">
        <v>24.9</v>
      </c>
      <c r="AC199" s="56">
        <v>26.15</v>
      </c>
      <c r="AD199" s="56">
        <v>26.5</v>
      </c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20</v>
      </c>
      <c r="AQ199" s="71">
        <f t="shared" si="10"/>
        <v>27.167499999999997</v>
      </c>
      <c r="AR199" s="71">
        <f>IFERROR(VLOOKUP(A199,Climatologia_TMED!A:U,9+$E$2,FALSE),"")</f>
        <v>25.53752926833085</v>
      </c>
      <c r="AS199" s="71">
        <f t="shared" si="11"/>
        <v>1.6299707316691467</v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>
        <v>13.8</v>
      </c>
      <c r="P200" s="56">
        <v>13.4</v>
      </c>
      <c r="Q200" s="56">
        <v>13.65</v>
      </c>
      <c r="R200" s="56">
        <v>13.8</v>
      </c>
      <c r="S200" s="56">
        <v>13.75</v>
      </c>
      <c r="T200" s="56">
        <v>13.35</v>
      </c>
      <c r="U200" s="56">
        <v>13.05</v>
      </c>
      <c r="V200" s="56"/>
      <c r="W200" s="56"/>
      <c r="X200" s="56"/>
      <c r="Y200" s="56"/>
      <c r="Z200" s="56"/>
      <c r="AA200" s="56"/>
      <c r="AB200" s="56">
        <v>13.3</v>
      </c>
      <c r="AC200" s="56">
        <v>13.2</v>
      </c>
      <c r="AD200" s="56">
        <v>14.2</v>
      </c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14</v>
      </c>
      <c r="AQ200" s="71" t="str">
        <f t="shared" si="10"/>
        <v/>
      </c>
      <c r="AR200" s="71">
        <f>IFERROR(VLOOKUP(A200,Climatologia_TMED!A:U,9+$E$2,FALSE),"")</f>
        <v>12.80356395850392</v>
      </c>
      <c r="AS200" s="71" t="str">
        <f t="shared" si="11"/>
        <v/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>
        <v>14.33333333333333</v>
      </c>
      <c r="P201" s="56">
        <v>15.46666666666667</v>
      </c>
      <c r="Q201" s="56">
        <v>13.6</v>
      </c>
      <c r="R201" s="56">
        <v>14.733333333333331</v>
      </c>
      <c r="S201" s="56"/>
      <c r="T201" s="56"/>
      <c r="U201" s="56">
        <v>14.33333333333333</v>
      </c>
      <c r="V201" s="56">
        <v>13.733333333333331</v>
      </c>
      <c r="W201" s="56">
        <v>13.8</v>
      </c>
      <c r="X201" s="56">
        <v>14.066666666666659</v>
      </c>
      <c r="Y201" s="56">
        <v>14.53333333333333</v>
      </c>
      <c r="Z201" s="56">
        <v>12.53333333333333</v>
      </c>
      <c r="AA201" s="56">
        <v>14.6</v>
      </c>
      <c r="AB201" s="56">
        <v>13.66666666666667</v>
      </c>
      <c r="AC201" s="56">
        <v>14.46666666666667</v>
      </c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17</v>
      </c>
      <c r="AQ201" s="71">
        <f t="shared" si="10"/>
        <v>14.023529411764704</v>
      </c>
      <c r="AR201" s="71">
        <f>IFERROR(VLOOKUP(A201,Climatologia_TMED!A:U,9+$E$2,FALSE),"")</f>
        <v>11.97087485048104</v>
      </c>
      <c r="AS201" s="71">
        <f t="shared" si="11"/>
        <v>2.0526545612836635</v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>
        <v>11.95</v>
      </c>
      <c r="P202" s="56">
        <v>12.3</v>
      </c>
      <c r="Q202" s="56"/>
      <c r="R202" s="56">
        <v>12.05</v>
      </c>
      <c r="S202" s="56"/>
      <c r="T202" s="56">
        <v>13.3</v>
      </c>
      <c r="U202" s="56">
        <v>12.15</v>
      </c>
      <c r="V202" s="56">
        <v>10.3</v>
      </c>
      <c r="W202" s="56">
        <v>11.45</v>
      </c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11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>
        <v>14.85</v>
      </c>
      <c r="P203" s="56">
        <v>14.4</v>
      </c>
      <c r="Q203" s="56">
        <v>15.45</v>
      </c>
      <c r="R203" s="56">
        <v>15.2</v>
      </c>
      <c r="S203" s="56">
        <v>13.2</v>
      </c>
      <c r="T203" s="56">
        <v>14</v>
      </c>
      <c r="U203" s="56">
        <v>14.35</v>
      </c>
      <c r="V203" s="56">
        <v>14.5</v>
      </c>
      <c r="W203" s="56">
        <v>14.45</v>
      </c>
      <c r="X203" s="56">
        <v>14.65</v>
      </c>
      <c r="Y203" s="56">
        <v>13.85</v>
      </c>
      <c r="Z203" s="56">
        <v>14.6</v>
      </c>
      <c r="AA203" s="56">
        <v>15</v>
      </c>
      <c r="AB203" s="56">
        <v>15.2</v>
      </c>
      <c r="AC203" s="56">
        <v>13.45</v>
      </c>
      <c r="AD203" s="56">
        <v>14.45</v>
      </c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20</v>
      </c>
      <c r="AQ203" s="71">
        <f t="shared" si="10"/>
        <v>14.349999999999998</v>
      </c>
      <c r="AR203" s="71">
        <f>IFERROR(VLOOKUP(A203,Climatologia_TMED!A:U,9+$E$2,FALSE),"")</f>
        <v>13.414894116817671</v>
      </c>
      <c r="AS203" s="71">
        <f t="shared" si="11"/>
        <v>0.93510588318232735</v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>
        <v>14.25</v>
      </c>
      <c r="P204" s="56">
        <v>13.2</v>
      </c>
      <c r="Q204" s="56">
        <v>14.6</v>
      </c>
      <c r="R204" s="56">
        <v>14.9</v>
      </c>
      <c r="S204" s="56">
        <v>13.3</v>
      </c>
      <c r="T204" s="56">
        <v>13.45</v>
      </c>
      <c r="U204" s="56"/>
      <c r="V204" s="56">
        <v>13.8</v>
      </c>
      <c r="W204" s="56">
        <v>13.45</v>
      </c>
      <c r="X204" s="56">
        <v>12.4</v>
      </c>
      <c r="Y204" s="56">
        <v>14.05</v>
      </c>
      <c r="Z204" s="56">
        <v>12.9</v>
      </c>
      <c r="AA204" s="56">
        <v>14.7</v>
      </c>
      <c r="AB204" s="56">
        <v>13.7</v>
      </c>
      <c r="AC204" s="56">
        <v>13.75</v>
      </c>
      <c r="AD204" s="56">
        <v>13.2</v>
      </c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19</v>
      </c>
      <c r="AQ204" s="71">
        <f t="shared" si="10"/>
        <v>13.478947368421053</v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>
        <v>15.46666666666667</v>
      </c>
      <c r="Q205" s="56">
        <v>13.66666666666667</v>
      </c>
      <c r="R205" s="56">
        <v>14.6</v>
      </c>
      <c r="S205" s="56">
        <v>14.93333333333333</v>
      </c>
      <c r="T205" s="56">
        <v>13.53333333333333</v>
      </c>
      <c r="U205" s="56">
        <v>13.6</v>
      </c>
      <c r="V205" s="56"/>
      <c r="W205" s="56"/>
      <c r="X205" s="56">
        <v>13.2</v>
      </c>
      <c r="Y205" s="56">
        <v>14.4</v>
      </c>
      <c r="Z205" s="56">
        <v>14.93333333333333</v>
      </c>
      <c r="AA205" s="56">
        <v>15.06666666666667</v>
      </c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13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>
        <v>15.2</v>
      </c>
      <c r="P206" s="56">
        <v>15</v>
      </c>
      <c r="Q206" s="56">
        <v>13.55</v>
      </c>
      <c r="R206" s="56"/>
      <c r="S206" s="56">
        <v>14.2</v>
      </c>
      <c r="T206" s="56">
        <v>13.15</v>
      </c>
      <c r="U206" s="56">
        <v>13.6</v>
      </c>
      <c r="V206" s="56">
        <v>14.85</v>
      </c>
      <c r="W206" s="56">
        <v>16.05</v>
      </c>
      <c r="X206" s="56">
        <v>13.15</v>
      </c>
      <c r="Y206" s="56">
        <v>14.75</v>
      </c>
      <c r="Z206" s="56">
        <v>14.85</v>
      </c>
      <c r="AA206" s="56">
        <v>13.95</v>
      </c>
      <c r="AB206" s="56">
        <v>14.5</v>
      </c>
      <c r="AC206" s="56">
        <v>14.85</v>
      </c>
      <c r="AD206" s="56">
        <v>13.75</v>
      </c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19</v>
      </c>
      <c r="AQ206" s="71">
        <f t="shared" si="10"/>
        <v>14.394736842105264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>
        <v>11.6</v>
      </c>
      <c r="P207" s="56">
        <v>11.2</v>
      </c>
      <c r="Q207" s="56">
        <v>11.4</v>
      </c>
      <c r="R207" s="56">
        <v>11.4</v>
      </c>
      <c r="S207" s="56">
        <v>11.1</v>
      </c>
      <c r="T207" s="56">
        <v>10.9</v>
      </c>
      <c r="U207" s="56">
        <v>10.5</v>
      </c>
      <c r="V207" s="56">
        <v>11</v>
      </c>
      <c r="W207" s="56">
        <v>10.75</v>
      </c>
      <c r="X207" s="56">
        <v>10.35</v>
      </c>
      <c r="Y207" s="56">
        <v>10.8</v>
      </c>
      <c r="Z207" s="56">
        <v>11.3</v>
      </c>
      <c r="AA207" s="56">
        <v>11.65</v>
      </c>
      <c r="AB207" s="56">
        <v>11.65</v>
      </c>
      <c r="AC207" s="56">
        <v>11.2</v>
      </c>
      <c r="AD207" s="56">
        <v>10.85</v>
      </c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20</v>
      </c>
      <c r="AQ207" s="71">
        <f t="shared" si="10"/>
        <v>11.06</v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>
        <v>17</v>
      </c>
      <c r="P208" s="56">
        <v>16.350000000000001</v>
      </c>
      <c r="Q208" s="56">
        <v>15.9</v>
      </c>
      <c r="R208" s="56">
        <v>16.899999999999999</v>
      </c>
      <c r="S208" s="56">
        <v>14.8</v>
      </c>
      <c r="T208" s="56">
        <v>15.3</v>
      </c>
      <c r="U208" s="56">
        <v>17.399999999999999</v>
      </c>
      <c r="V208" s="56">
        <v>15.45</v>
      </c>
      <c r="W208" s="56">
        <v>15</v>
      </c>
      <c r="X208" s="56">
        <v>14.6</v>
      </c>
      <c r="Y208" s="56">
        <v>15.75</v>
      </c>
      <c r="Z208" s="56">
        <v>15.4</v>
      </c>
      <c r="AA208" s="56">
        <v>16.899999999999999</v>
      </c>
      <c r="AB208" s="56">
        <v>16</v>
      </c>
      <c r="AC208" s="56">
        <v>16.7</v>
      </c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19</v>
      </c>
      <c r="AQ208" s="71">
        <f t="shared" si="10"/>
        <v>15.805263157894737</v>
      </c>
      <c r="AR208" s="71">
        <f>IFERROR(VLOOKUP(A208,Climatologia_TMED!A:U,9+$E$2,FALSE),"")</f>
        <v>14.32967020528393</v>
      </c>
      <c r="AS208" s="71">
        <f t="shared" si="11"/>
        <v>1.4755929526108069</v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>
        <v>8.6999999999999993</v>
      </c>
      <c r="P209" s="56">
        <v>8.65</v>
      </c>
      <c r="Q209" s="56">
        <v>9.3999999999999986</v>
      </c>
      <c r="R209" s="56">
        <v>9.5</v>
      </c>
      <c r="S209" s="56">
        <v>8.8500000000000014</v>
      </c>
      <c r="T209" s="56">
        <v>8.5500000000000007</v>
      </c>
      <c r="U209" s="56">
        <v>8.5500000000000007</v>
      </c>
      <c r="V209" s="56">
        <v>9</v>
      </c>
      <c r="W209" s="56">
        <v>8.65</v>
      </c>
      <c r="X209" s="56">
        <v>8.5500000000000007</v>
      </c>
      <c r="Y209" s="56">
        <v>8.75</v>
      </c>
      <c r="Z209" s="56">
        <v>8.75</v>
      </c>
      <c r="AA209" s="56">
        <v>8.6999999999999993</v>
      </c>
      <c r="AB209" s="56">
        <v>8.6499999999999986</v>
      </c>
      <c r="AC209" s="56">
        <v>8.25</v>
      </c>
      <c r="AD209" s="56">
        <v>8.6999999999999993</v>
      </c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20</v>
      </c>
      <c r="AQ209" s="71">
        <f t="shared" si="10"/>
        <v>8.6849999999999987</v>
      </c>
      <c r="AR209" s="71">
        <f>IFERROR(VLOOKUP(A209,Climatologia_TMED!A:U,9+$E$2,FALSE),"")</f>
        <v>8.0801328816903997</v>
      </c>
      <c r="AS209" s="71">
        <f t="shared" si="11"/>
        <v>0.60486711830959905</v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>
        <v>24.25</v>
      </c>
      <c r="P210" s="56">
        <v>24.3</v>
      </c>
      <c r="Q210" s="56">
        <v>24.95</v>
      </c>
      <c r="R210" s="56">
        <v>25.2</v>
      </c>
      <c r="S210" s="56">
        <v>25.65</v>
      </c>
      <c r="T210" s="56">
        <v>25.85</v>
      </c>
      <c r="U210" s="56">
        <v>26.55</v>
      </c>
      <c r="V210" s="56">
        <v>26.65</v>
      </c>
      <c r="W210" s="56">
        <v>24.4</v>
      </c>
      <c r="X210" s="56">
        <v>24</v>
      </c>
      <c r="Y210" s="56">
        <v>25.4</v>
      </c>
      <c r="Z210" s="56">
        <v>26.15</v>
      </c>
      <c r="AA210" s="56">
        <v>26.55</v>
      </c>
      <c r="AB210" s="56">
        <v>26.15</v>
      </c>
      <c r="AC210" s="56">
        <v>26.3</v>
      </c>
      <c r="AD210" s="56">
        <v>27.35</v>
      </c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20</v>
      </c>
      <c r="AQ210" s="71">
        <f t="shared" si="10"/>
        <v>25.412499999999994</v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2026-07-21T15:16:39Z</dcterms:modified>
</cp:coreProperties>
</file>