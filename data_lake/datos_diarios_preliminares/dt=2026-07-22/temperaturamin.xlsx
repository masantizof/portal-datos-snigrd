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71A5489D-C4C8-48EC-96BF-A4051E08A55C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Temperatura!$AF$1:$AF$209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Q201" i="1"/>
  <c r="AP201" i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S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W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W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150" i="1" l="1"/>
  <c r="AS5" i="1"/>
  <c r="AS48" i="1"/>
  <c r="AS10" i="1"/>
  <c r="AW87" i="1"/>
  <c r="AW119" i="1"/>
  <c r="AW127" i="1"/>
  <c r="AW113" i="1"/>
  <c r="AS130" i="1"/>
  <c r="AS134" i="1"/>
  <c r="AS63" i="1"/>
  <c r="AS67" i="1"/>
  <c r="AS21" i="1"/>
  <c r="AS36" i="1"/>
  <c r="AS40" i="1"/>
  <c r="AW59" i="1"/>
  <c r="AW194" i="1"/>
  <c r="AS60" i="1"/>
  <c r="AS68" i="1"/>
  <c r="AS72" i="1"/>
  <c r="AW115" i="1"/>
  <c r="AS159" i="1"/>
  <c r="AW111" i="1"/>
  <c r="AS37" i="1"/>
  <c r="AS132" i="1"/>
  <c r="AS65" i="1"/>
  <c r="AS93" i="1"/>
  <c r="AS23" i="1"/>
  <c r="AS117" i="1"/>
  <c r="AW10" i="1"/>
  <c r="AW23" i="1"/>
  <c r="AS84" i="1"/>
  <c r="AS154" i="1"/>
  <c r="AS34" i="1"/>
  <c r="AS45" i="1"/>
  <c r="AS49" i="1"/>
  <c r="AS104" i="1"/>
  <c r="AW186" i="1"/>
  <c r="AW24" i="1"/>
  <c r="AS28" i="1"/>
  <c r="AS46" i="1"/>
  <c r="AS191" i="1"/>
  <c r="AS199" i="1"/>
  <c r="AS17" i="1"/>
  <c r="AS82" i="1"/>
  <c r="AS86" i="1"/>
  <c r="AS94" i="1"/>
  <c r="AS29" i="1"/>
  <c r="AW66" i="1"/>
  <c r="AW70" i="1"/>
  <c r="AW12" i="1"/>
  <c r="AS33" i="1"/>
  <c r="AS91" i="1"/>
  <c r="AS126" i="1"/>
  <c r="AS153" i="1"/>
  <c r="AW63" i="1"/>
  <c r="AW75" i="1"/>
  <c r="AW79" i="1"/>
  <c r="AS103" i="1"/>
  <c r="AS111" i="1"/>
  <c r="AS101" i="1"/>
  <c r="AS120" i="1"/>
  <c r="AW131" i="1"/>
  <c r="AS166" i="1"/>
  <c r="AS174" i="1"/>
  <c r="AS182" i="1"/>
  <c r="AS55" i="1"/>
  <c r="AS143" i="1"/>
  <c r="AW205" i="1"/>
  <c r="AW97" i="1"/>
  <c r="AS109" i="1"/>
  <c r="AS147" i="1"/>
  <c r="AS206" i="1"/>
  <c r="AS24" i="1"/>
  <c r="AS31" i="1"/>
  <c r="AS171" i="1"/>
  <c r="AS179" i="1"/>
  <c r="AS56" i="1"/>
  <c r="AW94" i="1"/>
  <c r="AW155" i="1"/>
  <c r="AS114" i="1"/>
  <c r="AS129" i="1"/>
  <c r="AS148" i="1"/>
  <c r="AS152" i="1"/>
  <c r="AW21" i="1"/>
  <c r="AW38" i="1"/>
  <c r="AS207" i="1"/>
  <c r="AW28" i="1"/>
  <c r="AW45" i="1"/>
  <c r="AW49" i="1"/>
  <c r="AS160" i="1"/>
  <c r="AS164" i="1"/>
  <c r="AS168" i="1"/>
  <c r="AS176" i="1"/>
  <c r="AS32" i="1"/>
  <c r="AW72" i="1"/>
  <c r="AS80" i="1"/>
  <c r="AW95" i="1"/>
  <c r="AW44" i="1"/>
  <c r="AW48" i="1"/>
  <c r="AW18" i="1"/>
  <c r="AW15" i="1"/>
  <c r="AS22" i="1"/>
  <c r="AS39" i="1"/>
  <c r="AW42" i="1"/>
  <c r="AW53" i="1"/>
  <c r="AW76" i="1"/>
  <c r="AW176" i="1"/>
  <c r="AW180" i="1"/>
  <c r="AS50" i="1"/>
  <c r="AW103" i="1"/>
  <c r="AS208" i="1"/>
  <c r="AW69" i="1"/>
  <c r="AS100" i="1"/>
  <c r="AS165" i="1"/>
  <c r="AS169" i="1"/>
  <c r="AS189" i="1"/>
  <c r="AW181" i="1"/>
  <c r="AS197" i="1"/>
  <c r="AS127" i="1"/>
  <c r="AS131" i="1"/>
  <c r="AW57" i="1"/>
  <c r="AW154" i="1"/>
  <c r="AS44" i="1"/>
  <c r="AS58" i="1"/>
  <c r="AS62" i="1"/>
  <c r="AS119" i="1"/>
  <c r="AW129" i="1"/>
  <c r="AW133" i="1"/>
  <c r="AW143" i="1"/>
  <c r="AW158" i="1"/>
  <c r="AS180" i="1"/>
  <c r="AS202" i="1"/>
  <c r="AW126" i="1"/>
  <c r="AS151" i="1"/>
  <c r="AS173" i="1"/>
  <c r="AW73" i="1"/>
  <c r="AS87" i="1"/>
  <c r="AW108" i="1"/>
  <c r="AS155" i="1"/>
  <c r="AW105" i="1"/>
  <c r="AS41" i="1"/>
  <c r="AS7" i="1"/>
  <c r="AS16" i="1"/>
  <c r="AS19" i="1"/>
  <c r="AW22" i="1"/>
  <c r="AS52" i="1"/>
  <c r="AS59" i="1"/>
  <c r="AS74" i="1"/>
  <c r="AW98" i="1"/>
  <c r="AW112" i="1"/>
  <c r="AW123" i="1"/>
  <c r="AW144" i="1"/>
  <c r="AS181" i="1"/>
  <c r="AW74" i="1"/>
  <c r="AS81" i="1"/>
  <c r="AW35" i="1"/>
  <c r="AW52" i="1"/>
  <c r="AS26" i="1"/>
  <c r="AW109" i="1"/>
  <c r="AS113" i="1"/>
  <c r="AW116" i="1"/>
  <c r="AS124" i="1"/>
  <c r="AS145" i="1"/>
  <c r="AS163" i="1"/>
  <c r="AS178" i="1"/>
  <c r="AW196" i="1"/>
  <c r="AW203" i="1"/>
  <c r="AS200" i="1"/>
  <c r="AS9" i="1"/>
  <c r="AS88" i="1"/>
  <c r="AW99" i="1"/>
  <c r="AW120" i="1"/>
  <c r="AS8" i="1"/>
  <c r="AS14" i="1"/>
  <c r="AS53" i="1"/>
  <c r="AS64" i="1"/>
  <c r="AW106" i="1"/>
  <c r="AS110" i="1"/>
  <c r="AS128" i="1"/>
  <c r="AW156" i="1"/>
  <c r="AS186" i="1"/>
  <c r="AS30" i="1"/>
  <c r="AS75" i="1"/>
  <c r="AS79" i="1"/>
  <c r="AW85" i="1"/>
  <c r="AW117" i="1"/>
  <c r="AS125" i="1"/>
  <c r="AW128" i="1"/>
  <c r="AS139" i="1"/>
  <c r="AS146" i="1"/>
  <c r="AS157" i="1"/>
  <c r="AS204" i="1"/>
  <c r="AW14" i="1"/>
  <c r="AW17" i="1"/>
  <c r="AW20" i="1"/>
  <c r="AS27" i="1"/>
  <c r="AS190" i="1"/>
  <c r="AS57" i="1"/>
  <c r="AS61" i="1"/>
  <c r="AW96" i="1"/>
  <c r="AS107" i="1"/>
  <c r="AS118" i="1"/>
  <c r="AW132" i="1"/>
  <c r="AS172" i="1"/>
  <c r="AW208" i="1"/>
  <c r="AW146" i="1"/>
  <c r="AS150" i="1"/>
  <c r="AW157" i="1"/>
  <c r="AS161" i="1"/>
  <c r="AS187" i="1"/>
  <c r="AS194" i="1"/>
  <c r="AW172" i="1"/>
  <c r="AS83" i="1"/>
  <c r="AS122" i="1"/>
  <c r="AW136" i="1"/>
  <c r="AW5" i="1"/>
  <c r="AS11" i="1"/>
  <c r="AS43" i="1"/>
  <c r="AS170" i="1"/>
  <c r="AW46" i="1"/>
  <c r="AW67" i="1"/>
  <c r="AW101" i="1"/>
  <c r="AW151" i="1"/>
  <c r="AW170" i="1"/>
  <c r="AW88" i="1"/>
  <c r="AW31" i="1"/>
  <c r="AW11" i="1"/>
  <c r="AS20" i="1"/>
  <c r="AW34" i="1"/>
  <c r="AW43" i="1"/>
  <c r="AW55" i="1"/>
  <c r="AW61" i="1"/>
  <c r="AS77" i="1"/>
  <c r="AW86" i="1"/>
  <c r="AS89" i="1"/>
  <c r="AW92" i="1"/>
  <c r="AW114" i="1"/>
  <c r="AS142" i="1"/>
  <c r="AW145" i="1"/>
  <c r="AS158" i="1"/>
  <c r="AS183" i="1"/>
  <c r="AS71" i="1"/>
  <c r="AW83" i="1"/>
  <c r="AS99" i="1"/>
  <c r="AS105" i="1"/>
  <c r="AS108" i="1"/>
  <c r="AS133" i="1"/>
  <c r="AS136" i="1"/>
  <c r="AW139" i="1"/>
  <c r="AW142" i="1"/>
  <c r="AW190" i="1"/>
  <c r="AS203" i="1"/>
  <c r="AW77" i="1"/>
  <c r="AW80" i="1"/>
  <c r="AW89" i="1"/>
  <c r="AS96" i="1"/>
  <c r="AS102" i="1"/>
  <c r="AW71" i="1"/>
  <c r="AW102" i="1"/>
  <c r="AW26" i="1"/>
  <c r="AP2" i="1"/>
  <c r="AW6" i="1"/>
  <c r="AS12" i="1"/>
  <c r="AW29" i="1"/>
  <c r="AS35" i="1"/>
  <c r="AS38" i="1"/>
  <c r="AW65" i="1"/>
  <c r="AS78" i="1"/>
  <c r="AS90" i="1"/>
  <c r="AW93" i="1"/>
  <c r="AS149" i="1"/>
  <c r="AS162" i="1"/>
  <c r="AS184" i="1"/>
  <c r="AS188" i="1"/>
  <c r="AW9" i="1"/>
  <c r="AS15" i="1"/>
  <c r="AS18" i="1"/>
  <c r="AW32" i="1"/>
  <c r="AW50" i="1"/>
  <c r="AW56" i="1"/>
  <c r="AW62" i="1"/>
  <c r="AS112" i="1"/>
  <c r="AS115" i="1"/>
  <c r="AS121" i="1"/>
  <c r="AS140" i="1"/>
  <c r="AS177" i="1"/>
  <c r="AW207" i="1"/>
  <c r="AW107" i="1"/>
  <c r="AW25" i="1"/>
  <c r="AW8" i="1"/>
  <c r="AW37" i="1"/>
  <c r="AW40" i="1"/>
  <c r="AW58" i="1"/>
  <c r="AS6" i="1"/>
  <c r="AW78" i="1"/>
  <c r="AW90" i="1"/>
  <c r="AS106" i="1"/>
  <c r="AW121" i="1"/>
  <c r="AW124" i="1"/>
  <c r="AS137" i="1"/>
  <c r="AW149" i="1"/>
  <c r="AW162" i="1"/>
  <c r="AW171" i="1"/>
  <c r="AW174" i="1"/>
  <c r="AW184" i="1"/>
  <c r="AW188" i="1"/>
  <c r="AW140" i="1"/>
  <c r="AW159" i="1"/>
  <c r="AS66" i="1"/>
  <c r="AS69" i="1"/>
  <c r="AW81" i="1"/>
  <c r="AS97" i="1"/>
  <c r="AS156" i="1"/>
  <c r="AS195" i="1"/>
  <c r="AS198" i="1"/>
  <c r="AS185" i="1"/>
  <c r="AS201" i="1"/>
  <c r="AW204" i="1"/>
  <c r="AW27" i="1"/>
  <c r="AW134" i="1"/>
  <c r="AW100" i="1"/>
  <c r="AW7" i="1"/>
  <c r="AS13" i="1"/>
  <c r="AW30" i="1"/>
  <c r="AS51" i="1"/>
  <c r="AS85" i="1"/>
  <c r="AS116" i="1"/>
  <c r="AW125" i="1"/>
  <c r="AW153" i="1"/>
  <c r="AW185" i="1"/>
  <c r="AW198" i="1"/>
  <c r="AW201" i="1"/>
  <c r="AW33" i="1"/>
  <c r="AS42" i="1"/>
  <c r="AW51" i="1"/>
  <c r="AS54" i="1"/>
  <c r="AW60" i="1"/>
  <c r="AW91" i="1"/>
  <c r="AS135" i="1"/>
  <c r="AS138" i="1"/>
  <c r="AS141" i="1"/>
  <c r="AS144" i="1"/>
  <c r="AW147" i="1"/>
  <c r="AS175" i="1"/>
  <c r="AW178" i="1"/>
  <c r="AW189" i="1"/>
  <c r="AW192" i="1"/>
  <c r="AS205" i="1"/>
  <c r="AW13" i="1"/>
  <c r="AW36" i="1"/>
  <c r="AW39" i="1"/>
  <c r="AS73" i="1"/>
  <c r="AS76" i="1"/>
  <c r="AW16" i="1"/>
  <c r="AW19" i="1"/>
  <c r="AS25" i="1"/>
  <c r="AW54" i="1"/>
  <c r="AS70" i="1"/>
  <c r="AS95" i="1"/>
  <c r="AS98" i="1"/>
  <c r="AW122" i="1"/>
  <c r="AW166" i="1"/>
  <c r="AW135" i="1"/>
  <c r="AW138" i="1"/>
  <c r="AW141" i="1"/>
  <c r="AW82" i="1"/>
  <c r="AS92" i="1"/>
  <c r="AW110" i="1"/>
  <c r="AS123" i="1"/>
  <c r="AW160" i="1"/>
  <c r="AS167" i="1"/>
  <c r="AW182" i="1"/>
  <c r="AS193" i="1"/>
  <c r="AW104" i="1"/>
  <c r="AW64" i="1"/>
  <c r="AW164" i="1"/>
  <c r="AW206" i="1"/>
  <c r="AW47" i="1"/>
  <c r="AW118" i="1"/>
  <c r="AW130" i="1"/>
  <c r="AW68" i="1"/>
  <c r="AW152" i="1"/>
  <c r="AW200" i="1"/>
  <c r="AW41" i="1"/>
  <c r="AW84" i="1"/>
  <c r="AW137" i="1"/>
  <c r="AW202" i="1"/>
  <c r="AW199" i="1"/>
  <c r="AW197" i="1"/>
  <c r="AW169" i="1"/>
  <c r="AW183" i="1"/>
  <c r="AW167" i="1"/>
  <c r="AW195" i="1"/>
  <c r="AW165" i="1"/>
  <c r="AW193" i="1"/>
  <c r="AW163" i="1"/>
  <c r="AW179" i="1"/>
  <c r="AW161" i="1"/>
  <c r="AW191" i="1"/>
  <c r="AW177" i="1"/>
  <c r="AW175" i="1"/>
  <c r="AW187" i="1"/>
  <c r="AW173" i="1"/>
</calcChain>
</file>

<file path=xl/sharedStrings.xml><?xml version="1.0" encoding="utf-8"?>
<sst xmlns="http://schemas.openxmlformats.org/spreadsheetml/2006/main" count="3544" uniqueCount="1272">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</sst>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O1" zoomScale="80" zoomScaleNormal="80" workbookViewId="0">
      <selection activeCell="AF1" sqref="AF1:AF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27" width="32.42578125" style="74" customWidth="1"/>
    <col min="128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si="0"/>
        <v>2</v>
      </c>
      <c r="AB2" s="89">
        <f t="shared" si="0"/>
        <v>3</v>
      </c>
      <c r="AC2" s="89">
        <f t="shared" si="0"/>
        <v>4.5999999999999996</v>
      </c>
      <c r="AD2" s="89">
        <f t="shared" si="0"/>
        <v>3</v>
      </c>
      <c r="AE2" s="89">
        <f t="shared" si="0"/>
        <v>3.4</v>
      </c>
      <c r="AF2" s="89">
        <f t="shared" si="0"/>
        <v>3.8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>
        <v>27.3</v>
      </c>
      <c r="W5" s="51">
        <v>25.7</v>
      </c>
      <c r="X5" s="51">
        <v>24</v>
      </c>
      <c r="Y5" s="51">
        <v>26.5</v>
      </c>
      <c r="Z5" s="111">
        <v>26.9</v>
      </c>
      <c r="AA5" s="51">
        <v>27.3</v>
      </c>
      <c r="AB5" s="51">
        <v>26.8</v>
      </c>
      <c r="AC5" s="51">
        <v>26.6</v>
      </c>
      <c r="AD5" s="51">
        <v>26.6</v>
      </c>
      <c r="AE5" s="51">
        <v>24.8</v>
      </c>
      <c r="AF5" s="51">
        <v>26.7</v>
      </c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22</v>
      </c>
      <c r="AQ5" s="89">
        <f t="shared" ref="AQ5:AQ68" si="2">IF(AP5&gt;14,AVERAGE(K5:AO5),"")</f>
        <v>26.536363636363635</v>
      </c>
      <c r="AR5" s="89">
        <f>IFERROR(VLOOKUP(A5,Climatologia!A:U,9+$E$2,FALSE),"")</f>
        <v>26.312994914330961</v>
      </c>
      <c r="AS5" s="89">
        <f t="shared" ref="AS5:AS68" si="3">IF(OR(AQ5="",AR5=""),"",IFERROR(AQ5-AR5,""))</f>
        <v>0.22336872203267433</v>
      </c>
      <c r="AT5" s="90">
        <f t="shared" ref="AT5:AT68" si="4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5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>
        <v>27.6</v>
      </c>
      <c r="W6" s="51">
        <v>27.1</v>
      </c>
      <c r="X6" s="51">
        <v>26.2</v>
      </c>
      <c r="Y6" s="51">
        <v>26.7</v>
      </c>
      <c r="Z6" s="111">
        <v>27.2</v>
      </c>
      <c r="AA6" s="51">
        <v>27.5</v>
      </c>
      <c r="AB6" s="51">
        <v>27.2</v>
      </c>
      <c r="AC6" s="51">
        <v>27.8</v>
      </c>
      <c r="AD6" s="51">
        <v>27.6</v>
      </c>
      <c r="AE6" s="51">
        <v>25.5</v>
      </c>
      <c r="AF6" s="51">
        <v>26.8</v>
      </c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22</v>
      </c>
      <c r="AQ6" s="89">
        <f t="shared" si="2"/>
        <v>26.804545454545451</v>
      </c>
      <c r="AR6" s="89">
        <f>IFERROR(VLOOKUP(A6,Climatologia!A:U,9+$E$2,FALSE),"")</f>
        <v>26.40894902444402</v>
      </c>
      <c r="AS6" s="89">
        <f t="shared" si="3"/>
        <v>0.3955964301014312</v>
      </c>
      <c r="AT6" s="90">
        <f t="shared" si="4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5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>
        <v>28.4</v>
      </c>
      <c r="W7" s="51">
        <v>27.6</v>
      </c>
      <c r="X7" s="51">
        <v>26.3</v>
      </c>
      <c r="Y7" s="51">
        <v>27.8</v>
      </c>
      <c r="Z7" s="111">
        <v>28.1</v>
      </c>
      <c r="AA7" s="51">
        <v>27.6</v>
      </c>
      <c r="AB7" s="51">
        <v>27.6</v>
      </c>
      <c r="AC7" s="51">
        <v>28.3</v>
      </c>
      <c r="AD7" s="51">
        <v>27.7</v>
      </c>
      <c r="AE7" s="51">
        <v>24.8</v>
      </c>
      <c r="AF7" s="51">
        <v>26.4</v>
      </c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22</v>
      </c>
      <c r="AQ7" s="89">
        <f t="shared" si="2"/>
        <v>27.35</v>
      </c>
      <c r="AR7" s="89">
        <f>IFERROR(VLOOKUP(A7,Climatologia!A:U,9+$E$2,FALSE),"")</f>
        <v>24.967211716722289</v>
      </c>
      <c r="AS7" s="89">
        <f t="shared" si="3"/>
        <v>2.3827882832777121</v>
      </c>
      <c r="AT7" s="90">
        <f t="shared" si="4"/>
        <v>24.8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5"/>
        <v>4.1999999999999993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>
        <v>25.9</v>
      </c>
      <c r="W8" s="51">
        <v>26.8</v>
      </c>
      <c r="X8" s="51">
        <v>25.6</v>
      </c>
      <c r="Y8" s="51">
        <v>26.6</v>
      </c>
      <c r="Z8" s="111">
        <v>26.4</v>
      </c>
      <c r="AA8" s="51">
        <v>26.2</v>
      </c>
      <c r="AB8" s="51">
        <v>27</v>
      </c>
      <c r="AC8" s="51">
        <v>26.8</v>
      </c>
      <c r="AD8" s="51">
        <v>26.8</v>
      </c>
      <c r="AE8" s="51">
        <v>25</v>
      </c>
      <c r="AF8" s="51">
        <v>25.3</v>
      </c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22</v>
      </c>
      <c r="AQ8" s="89">
        <f t="shared" si="2"/>
        <v>26.277272727272724</v>
      </c>
      <c r="AR8" s="89">
        <f>IFERROR(VLOOKUP(A8,Climatologia!A:U,9+$E$2,FALSE),"")</f>
        <v>25.731714029697901</v>
      </c>
      <c r="AS8" s="89">
        <f t="shared" si="3"/>
        <v>0.54555869757482256</v>
      </c>
      <c r="AT8" s="90">
        <f t="shared" si="4"/>
        <v>25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5"/>
        <v>4.6000000000000014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>
        <v>26.6</v>
      </c>
      <c r="W9" s="51">
        <v>25.5</v>
      </c>
      <c r="X9" s="51">
        <v>26.2</v>
      </c>
      <c r="Y9" s="51">
        <v>26.8</v>
      </c>
      <c r="Z9" s="111">
        <v>26.4</v>
      </c>
      <c r="AA9" s="51">
        <v>26.5</v>
      </c>
      <c r="AB9" s="51">
        <v>26.5</v>
      </c>
      <c r="AC9" s="51">
        <v>25.7</v>
      </c>
      <c r="AD9" s="51">
        <v>25.2</v>
      </c>
      <c r="AE9" s="51">
        <v>23.7</v>
      </c>
      <c r="AF9" s="51">
        <v>26.6</v>
      </c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22</v>
      </c>
      <c r="AQ9" s="89">
        <f t="shared" si="2"/>
        <v>26.059090909090912</v>
      </c>
      <c r="AR9" s="89">
        <f>IFERROR(VLOOKUP(A9,Climatologia!A:U,9+$E$2,FALSE),"")</f>
        <v>24.84616941928422</v>
      </c>
      <c r="AS9" s="89">
        <f t="shared" si="3"/>
        <v>1.2129214898066927</v>
      </c>
      <c r="AT9" s="90">
        <f t="shared" si="4"/>
        <v>23.7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5"/>
        <v>2.6999999999999993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>
        <v>27.8</v>
      </c>
      <c r="W10" s="51">
        <v>27.7</v>
      </c>
      <c r="X10" s="51">
        <v>27.9</v>
      </c>
      <c r="Y10" s="51">
        <v>27.8</v>
      </c>
      <c r="Z10" s="111">
        <v>27.4</v>
      </c>
      <c r="AA10" s="51">
        <v>27.5</v>
      </c>
      <c r="AB10" s="51">
        <v>27.7</v>
      </c>
      <c r="AC10" s="51">
        <v>27.7</v>
      </c>
      <c r="AD10" s="51">
        <v>27.8</v>
      </c>
      <c r="AE10" s="51">
        <v>27.8</v>
      </c>
      <c r="AF10" s="51">
        <v>27</v>
      </c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22</v>
      </c>
      <c r="AQ10" s="89">
        <f t="shared" si="2"/>
        <v>27.745454545454539</v>
      </c>
      <c r="AR10" s="89">
        <f>IFERROR(VLOOKUP(A10,Climatologia!A:U,9+$E$2,FALSE),"")</f>
        <v>25.91025682931615</v>
      </c>
      <c r="AS10" s="89">
        <f t="shared" si="3"/>
        <v>1.8351977161383886</v>
      </c>
      <c r="AT10" s="90">
        <f t="shared" si="4"/>
        <v>27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5"/>
        <v>6.8000000000000007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>
        <v>27</v>
      </c>
      <c r="W11" s="51">
        <v>26.6</v>
      </c>
      <c r="X11" s="51">
        <v>26.9</v>
      </c>
      <c r="Y11" s="51">
        <v>27.9</v>
      </c>
      <c r="Z11" s="111">
        <v>27.8</v>
      </c>
      <c r="AA11" s="51">
        <v>27.4</v>
      </c>
      <c r="AB11" s="51">
        <v>27.2</v>
      </c>
      <c r="AC11" s="51">
        <v>28</v>
      </c>
      <c r="AD11" s="51">
        <v>24.8</v>
      </c>
      <c r="AE11" s="51">
        <v>24</v>
      </c>
      <c r="AF11" s="51">
        <v>25.4</v>
      </c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22</v>
      </c>
      <c r="AQ11" s="89">
        <f t="shared" si="2"/>
        <v>27.022727272727266</v>
      </c>
      <c r="AR11" s="89">
        <f>IFERROR(VLOOKUP(A11,Climatologia!A:U,9+$E$2,FALSE),"")</f>
        <v>24.65002483348788</v>
      </c>
      <c r="AS11" s="89">
        <f t="shared" si="3"/>
        <v>2.3727024392393865</v>
      </c>
      <c r="AT11" s="90">
        <f t="shared" si="4"/>
        <v>24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5"/>
        <v>3.1999999999999993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>
        <v>25.3</v>
      </c>
      <c r="W12" s="51">
        <v>23.1</v>
      </c>
      <c r="X12" s="51">
        <v>25.7</v>
      </c>
      <c r="Y12" s="51">
        <v>26.7</v>
      </c>
      <c r="Z12" s="111">
        <v>26.8</v>
      </c>
      <c r="AA12" s="51">
        <v>26.9</v>
      </c>
      <c r="AB12" s="51">
        <v>27.1</v>
      </c>
      <c r="AC12" s="51">
        <v>22.9</v>
      </c>
      <c r="AD12" s="51">
        <v>26</v>
      </c>
      <c r="AE12" s="51">
        <v>24.4</v>
      </c>
      <c r="AF12" s="51">
        <v>26.4</v>
      </c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22</v>
      </c>
      <c r="AQ12" s="89">
        <f t="shared" si="2"/>
        <v>25.622727272727271</v>
      </c>
      <c r="AR12" s="89">
        <f>IFERROR(VLOOKUP(A12,Climatologia!A:U,9+$E$2,FALSE),"")</f>
        <v>23.380527878729861</v>
      </c>
      <c r="AS12" s="89">
        <f t="shared" si="3"/>
        <v>2.2421993939974101</v>
      </c>
      <c r="AT12" s="90">
        <f t="shared" si="4"/>
        <v>22.9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5"/>
        <v>3.0999999999999979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>
        <v>25.2</v>
      </c>
      <c r="W13" s="51">
        <v>24.8</v>
      </c>
      <c r="X13" s="51">
        <v>25.8</v>
      </c>
      <c r="Y13" s="51">
        <v>25.2</v>
      </c>
      <c r="Z13" s="111">
        <v>25.6</v>
      </c>
      <c r="AA13" s="51">
        <v>27.2</v>
      </c>
      <c r="AB13" s="51">
        <v>24.8</v>
      </c>
      <c r="AC13" s="51">
        <v>25</v>
      </c>
      <c r="AD13" s="51">
        <v>22.8</v>
      </c>
      <c r="AE13" s="51">
        <v>23</v>
      </c>
      <c r="AF13" s="51">
        <v>23.1</v>
      </c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22</v>
      </c>
      <c r="AQ13" s="89">
        <f t="shared" si="2"/>
        <v>24.677272727272733</v>
      </c>
      <c r="AR13" s="89">
        <f>IFERROR(VLOOKUP(A13,Climatologia!A:U,9+$E$2,FALSE),"")</f>
        <v>23.41727263096562</v>
      </c>
      <c r="AS13" s="89">
        <f t="shared" si="3"/>
        <v>1.2600000963071132</v>
      </c>
      <c r="AT13" s="90">
        <f t="shared" si="4"/>
        <v>22.8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5"/>
        <v>2.6999999999999993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>
        <v>20.399999999999999</v>
      </c>
      <c r="W14" s="51">
        <v>20.3</v>
      </c>
      <c r="X14" s="51">
        <v>20.3</v>
      </c>
      <c r="Y14" s="51">
        <v>21.1</v>
      </c>
      <c r="Z14" s="111">
        <v>20.9</v>
      </c>
      <c r="AA14" s="51">
        <v>21.4</v>
      </c>
      <c r="AB14" s="51">
        <v>20.9</v>
      </c>
      <c r="AC14" s="51">
        <v>20</v>
      </c>
      <c r="AD14" s="51">
        <v>19.2</v>
      </c>
      <c r="AE14" s="51">
        <v>18.899999999999999</v>
      </c>
      <c r="AF14" s="51">
        <v>18.7</v>
      </c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22</v>
      </c>
      <c r="AQ14" s="89">
        <f t="shared" si="2"/>
        <v>19.927272727272722</v>
      </c>
      <c r="AR14" s="89">
        <f>IFERROR(VLOOKUP(A14,Climatologia!A:U,9+$E$2,FALSE),"")</f>
        <v>18.607906136078171</v>
      </c>
      <c r="AS14" s="89">
        <f t="shared" si="3"/>
        <v>1.3193665911945516</v>
      </c>
      <c r="AT14" s="90">
        <f t="shared" si="4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5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>
        <v>24.8</v>
      </c>
      <c r="W15" s="51">
        <v>24.3</v>
      </c>
      <c r="X15" s="51">
        <v>25.4</v>
      </c>
      <c r="Y15" s="51">
        <v>26.8</v>
      </c>
      <c r="Z15" s="111">
        <v>26.4</v>
      </c>
      <c r="AA15" s="51">
        <v>24.4</v>
      </c>
      <c r="AB15" s="51">
        <v>25</v>
      </c>
      <c r="AC15" s="51">
        <v>22.8</v>
      </c>
      <c r="AD15" s="51">
        <v>23.1</v>
      </c>
      <c r="AE15" s="51">
        <v>22.6</v>
      </c>
      <c r="AF15" s="51">
        <v>23.8</v>
      </c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22</v>
      </c>
      <c r="AQ15" s="89">
        <f t="shared" si="2"/>
        <v>24.731818181818177</v>
      </c>
      <c r="AR15" s="89">
        <f>IFERROR(VLOOKUP(A15,Climatologia!A:U,9+$E$2,FALSE),"")</f>
        <v>23.779123470522801</v>
      </c>
      <c r="AS15" s="89">
        <f t="shared" si="3"/>
        <v>0.95269471129537564</v>
      </c>
      <c r="AT15" s="90">
        <f t="shared" si="4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5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>
        <v>23.7</v>
      </c>
      <c r="W16" s="51">
        <v>24.8</v>
      </c>
      <c r="X16" s="51">
        <v>25.2</v>
      </c>
      <c r="Y16" s="51">
        <v>27.3</v>
      </c>
      <c r="Z16" s="111">
        <v>27.2</v>
      </c>
      <c r="AA16" s="51">
        <v>25.6</v>
      </c>
      <c r="AB16" s="51">
        <v>23.2</v>
      </c>
      <c r="AC16" s="51">
        <v>24</v>
      </c>
      <c r="AD16" s="51">
        <v>24.2</v>
      </c>
      <c r="AE16" s="51">
        <v>24.1</v>
      </c>
      <c r="AF16" s="51">
        <v>24.4</v>
      </c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22</v>
      </c>
      <c r="AQ16" s="89">
        <f t="shared" si="2"/>
        <v>25.127272727272725</v>
      </c>
      <c r="AR16" s="89">
        <f>IFERROR(VLOOKUP(A16,Climatologia!A:U,9+$E$2,FALSE),"")</f>
        <v>23.317825682382139</v>
      </c>
      <c r="AS16" s="89">
        <f t="shared" si="3"/>
        <v>1.8094470448905859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>
        <v>18.5</v>
      </c>
      <c r="W17" s="51">
        <v>18.399999999999999</v>
      </c>
      <c r="X17" s="51">
        <v>17.399999999999999</v>
      </c>
      <c r="Y17" s="51">
        <v>17.899999999999999</v>
      </c>
      <c r="Z17" s="111">
        <v>18</v>
      </c>
      <c r="AA17" s="51">
        <v>17.2</v>
      </c>
      <c r="AB17" s="51">
        <v>19.7</v>
      </c>
      <c r="AC17" s="51">
        <v>20.6</v>
      </c>
      <c r="AD17" s="51">
        <v>18.600000000000001</v>
      </c>
      <c r="AE17" s="51">
        <v>18.2</v>
      </c>
      <c r="AF17" s="51">
        <v>19.3</v>
      </c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22</v>
      </c>
      <c r="AQ17" s="89">
        <f t="shared" si="2"/>
        <v>18.727272727272723</v>
      </c>
      <c r="AR17" s="89">
        <f>IFERROR(VLOOKUP(A17,Climatologia!A:U,9+$E$2,FALSE),"")</f>
        <v>17.48384501297738</v>
      </c>
      <c r="AS17" s="89">
        <f t="shared" si="3"/>
        <v>1.2434277142953434</v>
      </c>
      <c r="AT17" s="90">
        <f t="shared" si="4"/>
        <v>17.2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5"/>
        <v>6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>
        <v>10.4</v>
      </c>
      <c r="W18" s="51">
        <v>12</v>
      </c>
      <c r="X18" s="51">
        <v>10.6</v>
      </c>
      <c r="Y18" s="51">
        <v>10</v>
      </c>
      <c r="Z18" s="111">
        <v>10.3</v>
      </c>
      <c r="AA18" s="51">
        <v>9.4</v>
      </c>
      <c r="AB18" s="51">
        <v>11.8</v>
      </c>
      <c r="AC18" s="51">
        <v>13.3</v>
      </c>
      <c r="AD18" s="51">
        <v>13.1</v>
      </c>
      <c r="AE18" s="51">
        <v>12.7</v>
      </c>
      <c r="AF18" s="51">
        <v>10.6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22</v>
      </c>
      <c r="AQ18" s="89">
        <f t="shared" si="2"/>
        <v>11.740909090909092</v>
      </c>
      <c r="AR18" s="89">
        <f>IFERROR(VLOOKUP(A18,Climatologia!A:U,9+$E$2,FALSE),"")</f>
        <v>12.078935483870969</v>
      </c>
      <c r="AS18" s="89">
        <f t="shared" si="3"/>
        <v>-0.33802639296187742</v>
      </c>
      <c r="AT18" s="90">
        <f t="shared" si="4"/>
        <v>9.4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5"/>
        <v>3.8000000000000007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>
        <v>19.600000000000001</v>
      </c>
      <c r="W19" s="51">
        <v>18.3</v>
      </c>
      <c r="X19" s="51">
        <v>18.100000000000001</v>
      </c>
      <c r="Y19" s="51">
        <v>18.8</v>
      </c>
      <c r="Z19" s="111">
        <v>19</v>
      </c>
      <c r="AA19" s="51">
        <v>19</v>
      </c>
      <c r="AB19" s="51">
        <v>19.899999999999999</v>
      </c>
      <c r="AC19" s="51">
        <v>19.899999999999999</v>
      </c>
      <c r="AD19" s="51">
        <v>18.399999999999999</v>
      </c>
      <c r="AE19" s="51">
        <v>18.2</v>
      </c>
      <c r="AF19" s="51">
        <v>18.399999999999999</v>
      </c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22</v>
      </c>
      <c r="AQ19" s="89">
        <f t="shared" si="2"/>
        <v>19.072727272727271</v>
      </c>
      <c r="AR19" s="89">
        <f>IFERROR(VLOOKUP(A19,Climatologia!A:U,9+$E$2,FALSE),"")</f>
        <v>17.615136476426802</v>
      </c>
      <c r="AS19" s="89">
        <f t="shared" si="3"/>
        <v>1.4575907963004688</v>
      </c>
      <c r="AT19" s="90">
        <f t="shared" si="4"/>
        <v>17.8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5"/>
        <v>4.4000000000000004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>
        <v>16.8</v>
      </c>
      <c r="W20" s="51">
        <v>19</v>
      </c>
      <c r="X20" s="51">
        <v>14.7</v>
      </c>
      <c r="Y20" s="51">
        <v>16.3</v>
      </c>
      <c r="Z20" s="111">
        <v>18.100000000000001</v>
      </c>
      <c r="AA20" s="51">
        <v>16.8</v>
      </c>
      <c r="AB20" s="51">
        <v>17.8</v>
      </c>
      <c r="AC20" s="51">
        <v>18.600000000000001</v>
      </c>
      <c r="AD20" s="51">
        <v>17.100000000000001</v>
      </c>
      <c r="AE20" s="51">
        <v>17.7</v>
      </c>
      <c r="AF20" s="51">
        <v>17.2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22</v>
      </c>
      <c r="AQ20" s="89">
        <f t="shared" si="2"/>
        <v>17.813636363636366</v>
      </c>
      <c r="AR20" s="89">
        <f>IFERROR(VLOOKUP(A20,Climatologia!A:U,9+$E$2,FALSE),"")</f>
        <v>16.97514080901178</v>
      </c>
      <c r="AS20" s="89">
        <f t="shared" si="3"/>
        <v>0.83849555462458625</v>
      </c>
      <c r="AT20" s="90">
        <f t="shared" si="4"/>
        <v>14.7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5"/>
        <v>2.2999999999999989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>
        <v>20.100000000000001</v>
      </c>
      <c r="W21" s="51">
        <v>20</v>
      </c>
      <c r="X21" s="51">
        <v>21.3</v>
      </c>
      <c r="Y21" s="51">
        <v>21.4</v>
      </c>
      <c r="Z21" s="111">
        <v>21.2</v>
      </c>
      <c r="AA21" s="51">
        <v>21.1</v>
      </c>
      <c r="AB21" s="51">
        <v>21.2</v>
      </c>
      <c r="AC21" s="51">
        <v>22</v>
      </c>
      <c r="AD21" s="51">
        <v>20.399999999999999</v>
      </c>
      <c r="AE21" s="51">
        <v>19.2</v>
      </c>
      <c r="AF21" s="51">
        <v>19.600000000000001</v>
      </c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22</v>
      </c>
      <c r="AQ21" s="89">
        <f t="shared" si="2"/>
        <v>20.663636363636364</v>
      </c>
      <c r="AR21" s="89">
        <f>IFERROR(VLOOKUP(A21,Climatologia!A:U,9+$E$2,FALSE),"")</f>
        <v>19.23867916144334</v>
      </c>
      <c r="AS21" s="89">
        <f t="shared" si="3"/>
        <v>1.4249572021930241</v>
      </c>
      <c r="AT21" s="90">
        <f t="shared" si="4"/>
        <v>19.2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5"/>
        <v>4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>
        <v>10.3</v>
      </c>
      <c r="W22" s="51">
        <v>9.1999999999999993</v>
      </c>
      <c r="X22" s="51">
        <v>5.0999999999999996</v>
      </c>
      <c r="Y22" s="51">
        <v>10.199999999999999</v>
      </c>
      <c r="Z22" s="111">
        <v>9.3000000000000007</v>
      </c>
      <c r="AA22" s="51">
        <v>11.3</v>
      </c>
      <c r="AB22" s="51">
        <v>11.9</v>
      </c>
      <c r="AC22" s="51">
        <v>10.199999999999999</v>
      </c>
      <c r="AD22" s="51">
        <v>10</v>
      </c>
      <c r="AE22" s="51">
        <v>9</v>
      </c>
      <c r="AF22" s="51">
        <v>9.8000000000000007</v>
      </c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22</v>
      </c>
      <c r="AQ22" s="89">
        <f t="shared" si="2"/>
        <v>9.6363636363636367</v>
      </c>
      <c r="AR22" s="89">
        <f>IFERROR(VLOOKUP(A22,Climatologia!A:U,9+$E$2,FALSE),"")</f>
        <v>8.5669829725335838</v>
      </c>
      <c r="AS22" s="89">
        <f t="shared" si="3"/>
        <v>1.0693806638300529</v>
      </c>
      <c r="AT22" s="90">
        <f t="shared" si="4"/>
        <v>5.0999999999999996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5"/>
        <v>4.6999999999999993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>
        <v>20.6</v>
      </c>
      <c r="W23" s="51">
        <v>20.9</v>
      </c>
      <c r="X23" s="51">
        <v>16.2</v>
      </c>
      <c r="Y23" s="51">
        <v>16.899999999999999</v>
      </c>
      <c r="Z23" s="111">
        <v>19</v>
      </c>
      <c r="AA23" s="51">
        <v>20.3</v>
      </c>
      <c r="AB23" s="51">
        <v>20.8</v>
      </c>
      <c r="AC23" s="51">
        <v>19.5</v>
      </c>
      <c r="AD23" s="51">
        <v>19.7</v>
      </c>
      <c r="AE23" s="51">
        <v>20.7</v>
      </c>
      <c r="AF23" s="51">
        <v>18.7</v>
      </c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22</v>
      </c>
      <c r="AQ23" s="89">
        <f t="shared" si="2"/>
        <v>19.490909090909089</v>
      </c>
      <c r="AR23" s="89">
        <f>IFERROR(VLOOKUP(A23,Climatologia!A:U,9+$E$2,FALSE),"")</f>
        <v>18.632546225180629</v>
      </c>
      <c r="AS23" s="89">
        <f t="shared" si="3"/>
        <v>0.85836286572845921</v>
      </c>
      <c r="AT23" s="90">
        <f t="shared" si="4"/>
        <v>16.2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5"/>
        <v>2.5999999999999996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>
        <v>23.4</v>
      </c>
      <c r="W24" s="51">
        <v>23.2</v>
      </c>
      <c r="X24" s="51">
        <v>23.1</v>
      </c>
      <c r="Y24" s="51">
        <v>23.4</v>
      </c>
      <c r="Z24" s="111">
        <v>25.6</v>
      </c>
      <c r="AA24" s="51">
        <v>24.8</v>
      </c>
      <c r="AB24" s="51">
        <v>23</v>
      </c>
      <c r="AC24" s="51">
        <v>22.6</v>
      </c>
      <c r="AD24" s="51">
        <v>22.8</v>
      </c>
      <c r="AE24" s="51">
        <v>24.4</v>
      </c>
      <c r="AF24" s="51">
        <v>23.6</v>
      </c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22</v>
      </c>
      <c r="AQ24" s="89">
        <f t="shared" si="2"/>
        <v>23.836363636363636</v>
      </c>
      <c r="AR24" s="89">
        <f>IFERROR(VLOOKUP(A24,Climatologia!A:U,9+$E$2,FALSE),"")</f>
        <v>22.755698924731181</v>
      </c>
      <c r="AS24" s="89">
        <f t="shared" si="3"/>
        <v>1.0806647116324548</v>
      </c>
      <c r="AT24" s="90">
        <f t="shared" si="4"/>
        <v>22.6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5"/>
        <v>4.2000000000000028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>
        <v>13.8</v>
      </c>
      <c r="W25" s="51">
        <v>14.4</v>
      </c>
      <c r="X25" s="51">
        <v>16.100000000000001</v>
      </c>
      <c r="Y25" s="51">
        <v>15.2</v>
      </c>
      <c r="Z25" s="111">
        <v>15.6</v>
      </c>
      <c r="AA25" s="51">
        <v>17.8</v>
      </c>
      <c r="AB25" s="51">
        <v>17</v>
      </c>
      <c r="AC25" s="51">
        <v>13.2</v>
      </c>
      <c r="AD25" s="51">
        <v>13.2</v>
      </c>
      <c r="AE25" s="51">
        <v>13.2</v>
      </c>
      <c r="AF25" s="51">
        <v>14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22</v>
      </c>
      <c r="AQ25" s="89">
        <f t="shared" si="2"/>
        <v>14.899999999999999</v>
      </c>
      <c r="AR25" s="89">
        <f>IFERROR(VLOOKUP(A25,Climatologia!A:U,9+$E$2,FALSE),"")</f>
        <v>14.458778519342481</v>
      </c>
      <c r="AS25" s="89">
        <f t="shared" si="3"/>
        <v>0.44122148065751787</v>
      </c>
      <c r="AT25" s="90">
        <f t="shared" si="4"/>
        <v>13.2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5"/>
        <v>3.1999999999999993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>
        <v>5.8</v>
      </c>
      <c r="W26" s="51">
        <v>5.6</v>
      </c>
      <c r="X26" s="51">
        <v>7</v>
      </c>
      <c r="Y26" s="51">
        <v>5.6</v>
      </c>
      <c r="Z26" s="111">
        <v>7.8</v>
      </c>
      <c r="AA26" s="51">
        <v>9.4</v>
      </c>
      <c r="AB26" s="51">
        <v>8</v>
      </c>
      <c r="AC26" s="51">
        <v>6.4</v>
      </c>
      <c r="AD26" s="51">
        <v>3</v>
      </c>
      <c r="AE26" s="51">
        <v>3.4</v>
      </c>
      <c r="AF26" s="51">
        <v>5.4</v>
      </c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22</v>
      </c>
      <c r="AQ26" s="89">
        <f t="shared" si="2"/>
        <v>7.1000000000000005</v>
      </c>
      <c r="AR26" s="89">
        <f>IFERROR(VLOOKUP(A26,Climatologia!A:U,9+$E$2,FALSE),"")</f>
        <v>5.5482835334279477</v>
      </c>
      <c r="AS26" s="89">
        <f t="shared" si="3"/>
        <v>1.5517164665720529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>
        <v>23.4</v>
      </c>
      <c r="W27" s="51">
        <v>23.6</v>
      </c>
      <c r="X27" s="51">
        <v>24</v>
      </c>
      <c r="Y27" s="51">
        <v>26</v>
      </c>
      <c r="Z27" s="111">
        <v>26</v>
      </c>
      <c r="AA27" s="51">
        <v>26.2</v>
      </c>
      <c r="AB27" s="51">
        <v>25.6</v>
      </c>
      <c r="AC27" s="51">
        <v>23.6</v>
      </c>
      <c r="AD27" s="51">
        <v>22.8</v>
      </c>
      <c r="AE27" s="51">
        <v>23.4</v>
      </c>
      <c r="AF27" s="51">
        <v>24</v>
      </c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22</v>
      </c>
      <c r="AQ27" s="89">
        <f t="shared" si="2"/>
        <v>24.572727272727274</v>
      </c>
      <c r="AR27" s="89">
        <f>IFERROR(VLOOKUP(A27,Climatologia!A:U,9+$E$2,FALSE),"")</f>
        <v>23.205806451612911</v>
      </c>
      <c r="AS27" s="89">
        <f t="shared" si="3"/>
        <v>1.3669208211143626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>
        <v>24.1</v>
      </c>
      <c r="W28" s="51">
        <v>20.2</v>
      </c>
      <c r="X28" s="51">
        <v>23</v>
      </c>
      <c r="Y28" s="51">
        <v>22.9</v>
      </c>
      <c r="Z28" s="111">
        <v>24</v>
      </c>
      <c r="AA28" s="51">
        <v>24.9</v>
      </c>
      <c r="AB28" s="51">
        <v>25.3</v>
      </c>
      <c r="AC28" s="51">
        <v>23.9</v>
      </c>
      <c r="AD28" s="51">
        <v>23.1</v>
      </c>
      <c r="AE28" s="51">
        <v>22.6</v>
      </c>
      <c r="AF28" s="51">
        <v>24.3</v>
      </c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22</v>
      </c>
      <c r="AQ28" s="89">
        <f t="shared" si="2"/>
        <v>23.468181818181815</v>
      </c>
      <c r="AR28" s="89">
        <f>IFERROR(VLOOKUP(A28,Climatologia!A:U,9+$E$2,FALSE),"")</f>
        <v>22.637933865990991</v>
      </c>
      <c r="AS28" s="89">
        <f t="shared" si="3"/>
        <v>0.83024795219082392</v>
      </c>
      <c r="AT28" s="90">
        <f t="shared" si="4"/>
        <v>20.2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5"/>
        <v>1.3999999999999986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>
        <v>23.2</v>
      </c>
      <c r="W29" s="51">
        <v>24</v>
      </c>
      <c r="X29" s="51">
        <v>24.2</v>
      </c>
      <c r="Y29" s="51">
        <v>25.4</v>
      </c>
      <c r="Z29" s="111">
        <v>25.4</v>
      </c>
      <c r="AA29" s="51">
        <v>25.8</v>
      </c>
      <c r="AB29" s="51">
        <v>25.4</v>
      </c>
      <c r="AC29" s="51">
        <v>24.4</v>
      </c>
      <c r="AD29" s="51">
        <v>24.4</v>
      </c>
      <c r="AE29" s="51">
        <v>25</v>
      </c>
      <c r="AF29" s="51">
        <v>25.2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22</v>
      </c>
      <c r="AQ29" s="89">
        <f t="shared" si="2"/>
        <v>24.349999999999998</v>
      </c>
      <c r="AR29" s="89">
        <f>IFERROR(VLOOKUP(A29,Climatologia!A:U,9+$E$2,FALSE),"")</f>
        <v>23.3590368608799</v>
      </c>
      <c r="AS29" s="89">
        <f t="shared" si="3"/>
        <v>0.99096313912009748</v>
      </c>
      <c r="AT29" s="90">
        <f t="shared" si="4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5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>
        <v>22.1</v>
      </c>
      <c r="W30" s="51">
        <v>21</v>
      </c>
      <c r="X30" s="51">
        <v>21.5</v>
      </c>
      <c r="Y30" s="51">
        <v>22</v>
      </c>
      <c r="Z30" s="111">
        <v>21.1</v>
      </c>
      <c r="AA30" s="51">
        <v>22.2</v>
      </c>
      <c r="AB30" s="51">
        <v>21.7</v>
      </c>
      <c r="AC30" s="51">
        <v>20.8</v>
      </c>
      <c r="AD30" s="51">
        <v>21.6</v>
      </c>
      <c r="AE30" s="51">
        <v>19.8</v>
      </c>
      <c r="AF30" s="51">
        <v>21.1</v>
      </c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22</v>
      </c>
      <c r="AQ30" s="89">
        <f t="shared" si="2"/>
        <v>21.145454545454548</v>
      </c>
      <c r="AR30" s="89">
        <f>IFERROR(VLOOKUP(A30,Climatologia!A:U,9+$E$2,FALSE),"")</f>
        <v>20.397956989247309</v>
      </c>
      <c r="AS30" s="89">
        <f t="shared" si="3"/>
        <v>0.74749755620723946</v>
      </c>
      <c r="AT30" s="90">
        <f t="shared" si="4"/>
        <v>19.8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5"/>
        <v>3.8000000000000007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>
        <v>23</v>
      </c>
      <c r="W31" s="108">
        <v>23.8</v>
      </c>
      <c r="X31" s="108">
        <v>23</v>
      </c>
      <c r="Y31" s="108">
        <v>23.5</v>
      </c>
      <c r="Z31" s="115">
        <v>23.9</v>
      </c>
      <c r="AA31" s="108">
        <v>23.1</v>
      </c>
      <c r="AB31" s="108">
        <v>22.7</v>
      </c>
      <c r="AC31" s="108">
        <v>23.2</v>
      </c>
      <c r="AD31" s="108">
        <v>23</v>
      </c>
      <c r="AE31" s="108">
        <v>23.3</v>
      </c>
      <c r="AF31" s="108">
        <v>23.9</v>
      </c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22</v>
      </c>
      <c r="AQ31" s="89">
        <f t="shared" si="2"/>
        <v>23.095454545454544</v>
      </c>
      <c r="AR31" s="89">
        <f>IFERROR(VLOOKUP(A31,Climatologia!A:U,9+$E$2,FALSE),"")</f>
        <v>21.59281959378734</v>
      </c>
      <c r="AS31" s="89">
        <f t="shared" si="3"/>
        <v>1.5026349516672042</v>
      </c>
      <c r="AT31" s="90">
        <f t="shared" si="4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5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>
        <v>13.8</v>
      </c>
      <c r="W32" s="51">
        <v>15.6</v>
      </c>
      <c r="X32" s="51">
        <v>12</v>
      </c>
      <c r="Y32" s="51">
        <v>13.6</v>
      </c>
      <c r="Z32" s="111">
        <v>12</v>
      </c>
      <c r="AA32" s="51">
        <v>13</v>
      </c>
      <c r="AB32" s="51">
        <v>14.6</v>
      </c>
      <c r="AC32" s="51">
        <v>15</v>
      </c>
      <c r="AD32" s="51">
        <v>15.4</v>
      </c>
      <c r="AE32" s="51">
        <v>15.4</v>
      </c>
      <c r="AF32" s="51">
        <v>15</v>
      </c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22</v>
      </c>
      <c r="AQ32" s="89">
        <f t="shared" si="2"/>
        <v>14.263636363636362</v>
      </c>
      <c r="AR32" s="89">
        <f>IFERROR(VLOOKUP(A32,Climatologia!A:U,9+$E$2,FALSE),"")</f>
        <v>13.441294802867381</v>
      </c>
      <c r="AS32" s="89">
        <f t="shared" si="3"/>
        <v>0.82234156076898124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23.317238592830801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>
        <v>15.8</v>
      </c>
      <c r="W34" s="51">
        <v>16.600000000000001</v>
      </c>
      <c r="X34" s="51">
        <v>15.8</v>
      </c>
      <c r="Y34" s="51">
        <v>14</v>
      </c>
      <c r="Z34" s="111">
        <v>15</v>
      </c>
      <c r="AA34" s="51">
        <v>14.4</v>
      </c>
      <c r="AB34" s="51">
        <v>16</v>
      </c>
      <c r="AC34" s="51">
        <v>16.8</v>
      </c>
      <c r="AD34" s="51">
        <v>16.399999999999999</v>
      </c>
      <c r="AE34" s="51">
        <v>16.399999999999999</v>
      </c>
      <c r="AF34" s="51">
        <v>15</v>
      </c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22</v>
      </c>
      <c r="AQ34" s="89">
        <f t="shared" si="2"/>
        <v>15.518181818181818</v>
      </c>
      <c r="AR34" s="89">
        <f>IFERROR(VLOOKUP(A34,Climatologia!A:U,9+$E$2,FALSE),"")</f>
        <v>14.773956247682611</v>
      </c>
      <c r="AS34" s="89">
        <f t="shared" si="3"/>
        <v>0.74422557049920712</v>
      </c>
      <c r="AT34" s="90">
        <f t="shared" si="4"/>
        <v>14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>
        <v>14.8</v>
      </c>
      <c r="W35" s="51">
        <v>14.4</v>
      </c>
      <c r="X35" s="51">
        <v>14.8</v>
      </c>
      <c r="Y35" s="51">
        <v>13.8</v>
      </c>
      <c r="Z35" s="111">
        <v>14.8</v>
      </c>
      <c r="AA35" s="51">
        <v>15</v>
      </c>
      <c r="AB35" s="51">
        <v>14.8</v>
      </c>
      <c r="AC35" s="51">
        <v>14.6</v>
      </c>
      <c r="AD35" s="51">
        <v>14.8</v>
      </c>
      <c r="AE35" s="51">
        <v>13.6</v>
      </c>
      <c r="AF35" s="51">
        <v>14</v>
      </c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22</v>
      </c>
      <c r="AQ35" s="89">
        <f t="shared" si="2"/>
        <v>14.818181818181824</v>
      </c>
      <c r="AR35" s="89">
        <f>IFERROR(VLOOKUP(A35,Climatologia!A:U,9+$E$2,FALSE),"")</f>
        <v>13.253440860215051</v>
      </c>
      <c r="AS35" s="89">
        <f t="shared" si="3"/>
        <v>1.564740957966773</v>
      </c>
      <c r="AT35" s="90">
        <f t="shared" si="4"/>
        <v>13.6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5"/>
        <v>4.4000000000000004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>
        <v>19.2</v>
      </c>
      <c r="W36" s="51">
        <v>20.2</v>
      </c>
      <c r="X36" s="51">
        <v>17.2</v>
      </c>
      <c r="Y36" s="51">
        <v>18.600000000000001</v>
      </c>
      <c r="Z36" s="111">
        <v>18</v>
      </c>
      <c r="AA36" s="51">
        <v>17</v>
      </c>
      <c r="AB36" s="51">
        <v>18</v>
      </c>
      <c r="AC36" s="51">
        <v>19.399999999999999</v>
      </c>
      <c r="AD36" s="51">
        <v>20.2</v>
      </c>
      <c r="AE36" s="51">
        <v>20</v>
      </c>
      <c r="AF36" s="51">
        <v>20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22</v>
      </c>
      <c r="AQ36" s="89">
        <f t="shared" si="2"/>
        <v>19.172727272727272</v>
      </c>
      <c r="AR36" s="89">
        <f>IFERROR(VLOOKUP(A36,Climatologia!A:U,9+$E$2,FALSE),"")</f>
        <v>19.581162337847541</v>
      </c>
      <c r="AS36" s="89">
        <f t="shared" si="3"/>
        <v>-0.40843506512026906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>
        <v>10.6</v>
      </c>
      <c r="W37" s="51">
        <v>10.8</v>
      </c>
      <c r="X37" s="51">
        <v>10</v>
      </c>
      <c r="Y37" s="51">
        <v>9.4</v>
      </c>
      <c r="Z37" s="111">
        <v>8.6</v>
      </c>
      <c r="AA37" s="51">
        <v>12</v>
      </c>
      <c r="AB37" s="51">
        <v>7.8</v>
      </c>
      <c r="AC37" s="51">
        <v>9.4</v>
      </c>
      <c r="AD37" s="51">
        <v>8.1999999999999993</v>
      </c>
      <c r="AE37" s="51">
        <v>7.8</v>
      </c>
      <c r="AF37" s="51">
        <v>5.6</v>
      </c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22</v>
      </c>
      <c r="AQ37" s="89">
        <f t="shared" si="2"/>
        <v>9.1454545454545446</v>
      </c>
      <c r="AR37" s="89">
        <f>IFERROR(VLOOKUP(A37,Climatologia!A:U,9+$E$2,FALSE),"")</f>
        <v>9.3349769585253455</v>
      </c>
      <c r="AS37" s="89">
        <f t="shared" si="3"/>
        <v>-0.18952241307080087</v>
      </c>
      <c r="AT37" s="90">
        <f t="shared" si="4"/>
        <v>5.6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>
        <v>16.2</v>
      </c>
      <c r="W38" s="51">
        <v>16.399999999999999</v>
      </c>
      <c r="X38" s="51">
        <v>16.8</v>
      </c>
      <c r="Y38" s="51">
        <v>17.399999999999999</v>
      </c>
      <c r="Z38" s="111">
        <v>17.2</v>
      </c>
      <c r="AA38" s="51">
        <v>17.8</v>
      </c>
      <c r="AB38" s="51">
        <v>18</v>
      </c>
      <c r="AC38" s="51">
        <v>18.2</v>
      </c>
      <c r="AD38" s="51">
        <v>16.2</v>
      </c>
      <c r="AE38" s="51">
        <v>16.2</v>
      </c>
      <c r="AF38" s="51">
        <v>16.399999999999999</v>
      </c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22</v>
      </c>
      <c r="AQ38" s="89">
        <f t="shared" si="2"/>
        <v>17.118181818181817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5"/>
        <v>2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>
        <v>18.8</v>
      </c>
      <c r="W39" s="51">
        <v>18.600000000000001</v>
      </c>
      <c r="X39" s="51">
        <v>19</v>
      </c>
      <c r="Y39" s="51">
        <v>18.600000000000001</v>
      </c>
      <c r="Z39" s="111">
        <v>20</v>
      </c>
      <c r="AA39" s="51">
        <v>18.399999999999999</v>
      </c>
      <c r="AB39" s="51">
        <v>20.6</v>
      </c>
      <c r="AC39" s="51">
        <v>20.6</v>
      </c>
      <c r="AD39" s="51">
        <v>18.8</v>
      </c>
      <c r="AE39" s="51">
        <v>18.2</v>
      </c>
      <c r="AF39" s="51">
        <v>19</v>
      </c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22</v>
      </c>
      <c r="AQ39" s="89">
        <f t="shared" si="2"/>
        <v>19.209090909090911</v>
      </c>
      <c r="AR39" s="89">
        <f>IFERROR(VLOOKUP(A39,Climatologia!A:U,9+$E$2,FALSE),"")</f>
        <v>17.20506668314588</v>
      </c>
      <c r="AS39" s="89">
        <f t="shared" si="3"/>
        <v>2.0040242259450309</v>
      </c>
      <c r="AT39" s="90">
        <f t="shared" si="4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5"/>
        <v>6.8000000000000007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>
        <v>14.4</v>
      </c>
      <c r="W40" s="51">
        <v>14.6</v>
      </c>
      <c r="X40" s="51">
        <v>14.6</v>
      </c>
      <c r="Y40" s="51">
        <v>14.2</v>
      </c>
      <c r="Z40" s="111">
        <v>14.6</v>
      </c>
      <c r="AA40" s="51">
        <v>14</v>
      </c>
      <c r="AB40" s="51">
        <v>14.9</v>
      </c>
      <c r="AC40" s="51">
        <v>14.6</v>
      </c>
      <c r="AD40" s="51">
        <v>15.4</v>
      </c>
      <c r="AE40" s="51">
        <v>15</v>
      </c>
      <c r="AF40" s="51">
        <v>14.2</v>
      </c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22</v>
      </c>
      <c r="AQ40" s="89">
        <f t="shared" si="2"/>
        <v>14.459090909090907</v>
      </c>
      <c r="AR40" s="89">
        <f>IFERROR(VLOOKUP(A40,Climatologia!A:U,9+$E$2,FALSE),"")</f>
        <v>12.94546489563567</v>
      </c>
      <c r="AS40" s="89">
        <f t="shared" si="3"/>
        <v>1.5136260134552373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5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>
        <v>24.2</v>
      </c>
      <c r="W41" s="51">
        <v>22.6</v>
      </c>
      <c r="X41" s="51">
        <v>24.8</v>
      </c>
      <c r="Y41" s="51">
        <v>26.8</v>
      </c>
      <c r="Z41" s="111">
        <v>27</v>
      </c>
      <c r="AA41" s="51">
        <v>26.8</v>
      </c>
      <c r="AB41" s="51">
        <v>26.8</v>
      </c>
      <c r="AC41" s="51">
        <v>25</v>
      </c>
      <c r="AD41" s="51">
        <v>25</v>
      </c>
      <c r="AE41" s="51">
        <v>24</v>
      </c>
      <c r="AF41" s="51">
        <v>25</v>
      </c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22</v>
      </c>
      <c r="AQ41" s="89">
        <f t="shared" si="2"/>
        <v>24.981818181818188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>
        <v>25.2</v>
      </c>
      <c r="W42" s="51">
        <v>23.8</v>
      </c>
      <c r="X42" s="51">
        <v>25.6</v>
      </c>
      <c r="Y42" s="51">
        <v>27</v>
      </c>
      <c r="Z42" s="111">
        <v>27.2</v>
      </c>
      <c r="AA42" s="51">
        <v>26.8</v>
      </c>
      <c r="AB42" s="51">
        <v>27.2</v>
      </c>
      <c r="AC42" s="51">
        <v>25</v>
      </c>
      <c r="AD42" s="51">
        <v>25.2</v>
      </c>
      <c r="AE42" s="51">
        <v>24.2</v>
      </c>
      <c r="AF42" s="51">
        <v>26.6</v>
      </c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21</v>
      </c>
      <c r="AQ42" s="89">
        <f t="shared" si="2"/>
        <v>25.838095238095239</v>
      </c>
      <c r="AR42" s="89">
        <f>IFERROR(VLOOKUP(A42,Climatologia!A:U,9+$E$2,FALSE),"")</f>
        <v>24.432895496420521</v>
      </c>
      <c r="AS42" s="89">
        <f t="shared" si="3"/>
        <v>1.4051997416747177</v>
      </c>
      <c r="AT42" s="90">
        <f t="shared" si="4"/>
        <v>23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>
        <v>23.4</v>
      </c>
      <c r="W43" s="51">
        <v>24.2</v>
      </c>
      <c r="X43" s="51">
        <v>24</v>
      </c>
      <c r="Y43" s="51">
        <v>26.8</v>
      </c>
      <c r="Z43" s="111">
        <v>26</v>
      </c>
      <c r="AA43" s="51">
        <v>26.4</v>
      </c>
      <c r="AB43" s="51">
        <v>22.2</v>
      </c>
      <c r="AC43" s="51">
        <v>23.3</v>
      </c>
      <c r="AD43" s="51">
        <v>22.5</v>
      </c>
      <c r="AE43" s="51">
        <v>24.4</v>
      </c>
      <c r="AF43" s="51">
        <v>24</v>
      </c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22</v>
      </c>
      <c r="AQ43" s="89">
        <f t="shared" si="2"/>
        <v>24.304545454545451</v>
      </c>
      <c r="AR43" s="89">
        <f>IFERROR(VLOOKUP(A43,Climatologia!A:U,9+$E$2,FALSE),"")</f>
        <v>23.70475716371773</v>
      </c>
      <c r="AS43" s="89">
        <f t="shared" si="3"/>
        <v>0.59978829082772123</v>
      </c>
      <c r="AT43" s="90">
        <f t="shared" si="4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5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>
        <v>24.2</v>
      </c>
      <c r="W44" s="51">
        <v>23.6</v>
      </c>
      <c r="X44" s="51">
        <v>24.4</v>
      </c>
      <c r="Y44" s="51">
        <v>23.8</v>
      </c>
      <c r="Z44" s="111">
        <v>25.6</v>
      </c>
      <c r="AA44" s="51">
        <v>25.8</v>
      </c>
      <c r="AB44" s="51">
        <v>25.4</v>
      </c>
      <c r="AC44" s="51">
        <v>24.2</v>
      </c>
      <c r="AD44" s="51">
        <v>24.4</v>
      </c>
      <c r="AE44" s="51">
        <v>25</v>
      </c>
      <c r="AF44" s="51">
        <v>25</v>
      </c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22</v>
      </c>
      <c r="AQ44" s="89">
        <f t="shared" si="2"/>
        <v>24.727272727272727</v>
      </c>
      <c r="AR44" s="89">
        <f>IFERROR(VLOOKUP(A44,Climatologia!A:U,9+$E$2,FALSE),"")</f>
        <v>23.278211411491501</v>
      </c>
      <c r="AS44" s="89">
        <f t="shared" si="3"/>
        <v>1.4490613157812255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5"/>
        <v>6.1999999999999993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23.564830290111161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22.25813524492235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>
        <v>26.4</v>
      </c>
      <c r="W47" s="51">
        <v>23</v>
      </c>
      <c r="X47" s="51">
        <v>24</v>
      </c>
      <c r="Y47" s="51">
        <v>25.4</v>
      </c>
      <c r="Z47" s="111">
        <v>26.4</v>
      </c>
      <c r="AA47" s="51">
        <v>25.2</v>
      </c>
      <c r="AB47" s="51">
        <v>27</v>
      </c>
      <c r="AC47" s="51">
        <v>23.2</v>
      </c>
      <c r="AD47" s="51">
        <v>24</v>
      </c>
      <c r="AE47" s="51">
        <v>24.2</v>
      </c>
      <c r="AF47" s="51">
        <v>25</v>
      </c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22</v>
      </c>
      <c r="AQ47" s="89">
        <f t="shared" si="2"/>
        <v>25.245454545454546</v>
      </c>
      <c r="AR47" s="89">
        <f>IFERROR(VLOOKUP(A47,Climatologia!A:U,9+$E$2,FALSE),"")</f>
        <v>23.077912101041139</v>
      </c>
      <c r="AS47" s="89">
        <f t="shared" si="3"/>
        <v>2.1675424444134066</v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22.959666935925281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>
        <v>24.4</v>
      </c>
      <c r="W49" s="51">
        <v>22.4</v>
      </c>
      <c r="X49" s="51">
        <v>23.8</v>
      </c>
      <c r="Y49" s="51">
        <v>25.8</v>
      </c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15</v>
      </c>
      <c r="AQ49" s="89">
        <f t="shared" si="2"/>
        <v>24.346666666666668</v>
      </c>
      <c r="AR49" s="89">
        <f>IFERROR(VLOOKUP(A49,Climatologia!A:U,9+$E$2,FALSE),"")</f>
        <v>23.449985001525519</v>
      </c>
      <c r="AS49" s="89">
        <f t="shared" si="3"/>
        <v>0.89668166514114844</v>
      </c>
      <c r="AT49" s="90">
        <f t="shared" si="4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5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>
        <v>25.2</v>
      </c>
      <c r="W51" s="51">
        <v>22.8</v>
      </c>
      <c r="X51" s="51">
        <v>23.4</v>
      </c>
      <c r="Y51" s="51">
        <v>26</v>
      </c>
      <c r="Z51" s="111">
        <v>26.6</v>
      </c>
      <c r="AA51" s="51">
        <v>26.2</v>
      </c>
      <c r="AB51" s="51">
        <v>26.6</v>
      </c>
      <c r="AC51" s="51">
        <v>23</v>
      </c>
      <c r="AD51" s="51">
        <v>25</v>
      </c>
      <c r="AE51" s="51">
        <v>23.8</v>
      </c>
      <c r="AF51" s="51">
        <v>24.2</v>
      </c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22</v>
      </c>
      <c r="AQ51" s="89">
        <f t="shared" si="2"/>
        <v>25.109090909090909</v>
      </c>
      <c r="AR51" s="89">
        <f>IFERROR(VLOOKUP(A51,Climatologia!A:U,9+$E$2,FALSE),"")</f>
        <v>23.209114934289129</v>
      </c>
      <c r="AS51" s="89">
        <f t="shared" si="3"/>
        <v>1.8999759748017802</v>
      </c>
      <c r="AT51" s="90">
        <f t="shared" si="4"/>
        <v>22.8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5"/>
        <v>5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>
        <v>25.4</v>
      </c>
      <c r="W52" s="51">
        <v>24</v>
      </c>
      <c r="X52" s="51">
        <v>24</v>
      </c>
      <c r="Y52" s="51">
        <v>23.8</v>
      </c>
      <c r="Z52" s="111">
        <v>24</v>
      </c>
      <c r="AA52" s="51">
        <v>26.4</v>
      </c>
      <c r="AB52" s="51">
        <v>27.4</v>
      </c>
      <c r="AC52" s="51">
        <v>23.2</v>
      </c>
      <c r="AD52" s="51">
        <v>25.2</v>
      </c>
      <c r="AE52" s="51">
        <v>25</v>
      </c>
      <c r="AF52" s="51">
        <v>23.2</v>
      </c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22</v>
      </c>
      <c r="AQ52" s="89">
        <f t="shared" si="2"/>
        <v>25.227272727272727</v>
      </c>
      <c r="AR52" s="89">
        <f>IFERROR(VLOOKUP(A52,Climatologia!A:U,9+$E$2,FALSE),"")</f>
        <v>22.730537765699061</v>
      </c>
      <c r="AS52" s="89">
        <f t="shared" si="3"/>
        <v>2.4967349615736651</v>
      </c>
      <c r="AT52" s="90">
        <f t="shared" si="4"/>
        <v>23.2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5"/>
        <v>4.8000000000000007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>
        <v>25</v>
      </c>
      <c r="R53" s="51">
        <v>25.6</v>
      </c>
      <c r="S53" s="51"/>
      <c r="T53" s="51"/>
      <c r="U53" s="51">
        <v>25.2</v>
      </c>
      <c r="V53" s="51">
        <v>25.2</v>
      </c>
      <c r="W53" s="51">
        <v>25</v>
      </c>
      <c r="X53" s="51">
        <v>24.4</v>
      </c>
      <c r="Y53" s="51">
        <v>25.2</v>
      </c>
      <c r="Z53" s="111">
        <v>24.8</v>
      </c>
      <c r="AA53" s="51">
        <v>24.2</v>
      </c>
      <c r="AB53" s="51">
        <v>24.8</v>
      </c>
      <c r="AC53" s="51">
        <v>26.2</v>
      </c>
      <c r="AD53" s="51">
        <v>26.4</v>
      </c>
      <c r="AE53" s="51">
        <v>24.4</v>
      </c>
      <c r="AF53" s="51">
        <v>25.4</v>
      </c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17</v>
      </c>
      <c r="AQ53" s="89">
        <f t="shared" si="2"/>
        <v>25.223529411764702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24.2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5"/>
        <v>4.8000000000000007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>
        <v>24</v>
      </c>
      <c r="W54" s="51">
        <v>23.2</v>
      </c>
      <c r="X54" s="51">
        <v>24.4</v>
      </c>
      <c r="Y54" s="51">
        <v>23.8</v>
      </c>
      <c r="Z54" s="111">
        <v>24</v>
      </c>
      <c r="AA54" s="51">
        <v>23.6</v>
      </c>
      <c r="AB54" s="51">
        <v>23.4</v>
      </c>
      <c r="AC54" s="51">
        <v>24.2</v>
      </c>
      <c r="AD54" s="51">
        <v>23.6</v>
      </c>
      <c r="AE54" s="51">
        <v>23.2</v>
      </c>
      <c r="AF54" s="51">
        <v>21</v>
      </c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22</v>
      </c>
      <c r="AQ54" s="89">
        <f t="shared" si="2"/>
        <v>23.268181818181816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5"/>
        <v>1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24.29282246073495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>
        <v>25.6</v>
      </c>
      <c r="W57" s="51">
        <v>24.6</v>
      </c>
      <c r="X57" s="51">
        <v>25</v>
      </c>
      <c r="Y57" s="51">
        <v>24.4</v>
      </c>
      <c r="Z57" s="111">
        <v>25</v>
      </c>
      <c r="AA57" s="51">
        <v>24.6</v>
      </c>
      <c r="AB57" s="51">
        <v>24.4</v>
      </c>
      <c r="AC57" s="51">
        <v>24.6</v>
      </c>
      <c r="AD57" s="51">
        <v>25</v>
      </c>
      <c r="AE57" s="51">
        <v>23.8</v>
      </c>
      <c r="AF57" s="51">
        <v>24.2</v>
      </c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22</v>
      </c>
      <c r="AQ57" s="89">
        <f t="shared" si="2"/>
        <v>24.900000000000002</v>
      </c>
      <c r="AR57" s="89">
        <f>IFERROR(VLOOKUP(A57,Climatologia!A:U,9+$E$2,FALSE),"")</f>
        <v>23.929337221065921</v>
      </c>
      <c r="AS57" s="89">
        <f t="shared" si="3"/>
        <v>0.97066277893408071</v>
      </c>
      <c r="AT57" s="90">
        <f t="shared" si="4"/>
        <v>23.8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5"/>
        <v>5.8000000000000007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>
        <v>23.4</v>
      </c>
      <c r="V58" s="51">
        <v>23.2</v>
      </c>
      <c r="W58" s="51">
        <v>22.8</v>
      </c>
      <c r="X58" s="51">
        <v>23.6</v>
      </c>
      <c r="Y58" s="51">
        <v>23.4</v>
      </c>
      <c r="Z58" s="111">
        <v>24.8</v>
      </c>
      <c r="AA58" s="51">
        <v>23.4</v>
      </c>
      <c r="AB58" s="51">
        <v>20.6</v>
      </c>
      <c r="AC58" s="51">
        <v>22.4</v>
      </c>
      <c r="AD58" s="51">
        <v>21.8</v>
      </c>
      <c r="AE58" s="51">
        <v>22.4</v>
      </c>
      <c r="AF58" s="51">
        <v>23.6</v>
      </c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22</v>
      </c>
      <c r="AQ58" s="89">
        <f t="shared" si="2"/>
        <v>22.754545454545454</v>
      </c>
      <c r="AR58" s="89">
        <f>IFERROR(VLOOKUP(A58,Climatologia!A:U,9+$E$2,FALSE),"")</f>
        <v>21.121835024190759</v>
      </c>
      <c r="AS58" s="89">
        <f t="shared" si="3"/>
        <v>1.6327104303546953</v>
      </c>
      <c r="AT58" s="90">
        <f t="shared" si="4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5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22.316915376058869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>
        <v>22.4</v>
      </c>
      <c r="W60" s="51">
        <v>23</v>
      </c>
      <c r="X60" s="51">
        <v>22.2</v>
      </c>
      <c r="Y60" s="51">
        <v>22.2</v>
      </c>
      <c r="Z60" s="111">
        <v>22</v>
      </c>
      <c r="AA60" s="51">
        <v>23</v>
      </c>
      <c r="AB60" s="51">
        <v>21.6</v>
      </c>
      <c r="AC60" s="51">
        <v>22.6</v>
      </c>
      <c r="AD60" s="51">
        <v>23</v>
      </c>
      <c r="AE60" s="51">
        <v>22.2</v>
      </c>
      <c r="AF60" s="51">
        <v>22.4</v>
      </c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22</v>
      </c>
      <c r="AQ60" s="89">
        <f t="shared" si="2"/>
        <v>22.309090909090909</v>
      </c>
      <c r="AR60" s="89">
        <f>IFERROR(VLOOKUP(A60,Climatologia!A:U,9+$E$2,FALSE),"")</f>
        <v>21.335368281215381</v>
      </c>
      <c r="AS60" s="89">
        <f t="shared" si="3"/>
        <v>0.97372262787552799</v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19.17653476427855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21.93480657520702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>
        <v>22</v>
      </c>
      <c r="W63" s="51">
        <v>22.4</v>
      </c>
      <c r="X63" s="51">
        <v>22.6</v>
      </c>
      <c r="Y63" s="51">
        <v>23.2</v>
      </c>
      <c r="Z63" s="111">
        <v>22.8</v>
      </c>
      <c r="AA63" s="51">
        <v>23</v>
      </c>
      <c r="AB63" s="51"/>
      <c r="AC63" s="51">
        <v>22.6</v>
      </c>
      <c r="AD63" s="51">
        <v>22.8</v>
      </c>
      <c r="AE63" s="51">
        <v>23.4</v>
      </c>
      <c r="AF63" s="51">
        <v>22.6</v>
      </c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13</v>
      </c>
      <c r="AQ63" s="89" t="str">
        <f t="shared" si="2"/>
        <v/>
      </c>
      <c r="AR63" s="89">
        <f>IFERROR(VLOOKUP(A63,Climatologia!A:U,9+$E$2,FALSE),"")</f>
        <v>22.124788357434191</v>
      </c>
      <c r="AS63" s="89" t="str">
        <f t="shared" si="3"/>
        <v/>
      </c>
      <c r="AT63" s="90">
        <f t="shared" si="4"/>
        <v>22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5"/>
        <v>3.1999999999999993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>
        <v>23.2</v>
      </c>
      <c r="W64" s="51">
        <v>22</v>
      </c>
      <c r="X64" s="51">
        <v>22.4</v>
      </c>
      <c r="Y64" s="51">
        <v>23.6</v>
      </c>
      <c r="Z64" s="111">
        <v>22.4</v>
      </c>
      <c r="AA64" s="51">
        <v>24</v>
      </c>
      <c r="AB64" s="51">
        <v>22.2</v>
      </c>
      <c r="AC64" s="51">
        <v>23</v>
      </c>
      <c r="AD64" s="51">
        <v>22.4</v>
      </c>
      <c r="AE64" s="51">
        <v>22.2</v>
      </c>
      <c r="AF64" s="51">
        <v>22.2</v>
      </c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22</v>
      </c>
      <c r="AQ64" s="89">
        <f t="shared" si="2"/>
        <v>22.627272727272725</v>
      </c>
      <c r="AR64" s="89">
        <f>IFERROR(VLOOKUP(A64,Climatologia!A:U,9+$E$2,FALSE),"")</f>
        <v>21.690749245193071</v>
      </c>
      <c r="AS64" s="89">
        <f t="shared" si="3"/>
        <v>0.93652348207965375</v>
      </c>
      <c r="AT64" s="90">
        <f t="shared" si="4"/>
        <v>21.4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5"/>
        <v>4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>
        <v>22.2</v>
      </c>
      <c r="S65" s="51">
        <v>22.6</v>
      </c>
      <c r="T65" s="51">
        <v>21.8</v>
      </c>
      <c r="U65" s="51">
        <v>23</v>
      </c>
      <c r="V65" s="51">
        <v>23</v>
      </c>
      <c r="W65" s="51">
        <v>21.8</v>
      </c>
      <c r="X65" s="51">
        <v>22.4</v>
      </c>
      <c r="Y65" s="51">
        <v>22.8</v>
      </c>
      <c r="Z65" s="111">
        <v>22.4</v>
      </c>
      <c r="AA65" s="51">
        <v>23</v>
      </c>
      <c r="AB65" s="51">
        <v>22.2</v>
      </c>
      <c r="AC65" s="51">
        <v>22</v>
      </c>
      <c r="AD65" s="51">
        <v>22</v>
      </c>
      <c r="AE65" s="51">
        <v>21.8</v>
      </c>
      <c r="AF65" s="51">
        <v>23.2</v>
      </c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22</v>
      </c>
      <c r="AQ65" s="89">
        <f t="shared" si="2"/>
        <v>22.327272727272728</v>
      </c>
      <c r="AR65" s="89">
        <f>IFERROR(VLOOKUP(A65,Climatologia!A:U,9+$E$2,FALSE),"")</f>
        <v>21.403540366427119</v>
      </c>
      <c r="AS65" s="89">
        <f t="shared" si="3"/>
        <v>0.92373236084560872</v>
      </c>
      <c r="AT65" s="90">
        <f t="shared" si="4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5"/>
        <v>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20.397956989247309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>
        <v>20.8</v>
      </c>
      <c r="W67" s="51">
        <v>19.399999999999999</v>
      </c>
      <c r="X67" s="51">
        <v>20</v>
      </c>
      <c r="Y67" s="51">
        <v>20.8</v>
      </c>
      <c r="Z67" s="111">
        <v>20.2</v>
      </c>
      <c r="AA67" s="51">
        <v>21.2</v>
      </c>
      <c r="AB67" s="51">
        <v>20.2</v>
      </c>
      <c r="AC67" s="51">
        <v>20</v>
      </c>
      <c r="AD67" s="51">
        <v>20.8</v>
      </c>
      <c r="AE67" s="51">
        <v>19</v>
      </c>
      <c r="AF67" s="51">
        <v>21</v>
      </c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22</v>
      </c>
      <c r="AQ67" s="89">
        <f t="shared" si="2"/>
        <v>20.25</v>
      </c>
      <c r="AR67" s="89">
        <f>IFERROR(VLOOKUP(A67,Climatologia!A:U,9+$E$2,FALSE),"")</f>
        <v>21.093190044711658</v>
      </c>
      <c r="AS67" s="89">
        <f t="shared" si="3"/>
        <v>-0.84319004471165826</v>
      </c>
      <c r="AT67" s="90">
        <f t="shared" si="4"/>
        <v>19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5"/>
        <v>2.6999999999999993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>
        <v>20.3</v>
      </c>
      <c r="T68" s="51">
        <v>20</v>
      </c>
      <c r="U68" s="51">
        <v>21</v>
      </c>
      <c r="V68" s="51">
        <v>20</v>
      </c>
      <c r="W68" s="51">
        <v>20</v>
      </c>
      <c r="X68" s="51">
        <v>22.2</v>
      </c>
      <c r="Y68" s="51">
        <v>21.3</v>
      </c>
      <c r="Z68" s="111">
        <v>21.6</v>
      </c>
      <c r="AA68" s="51">
        <v>22.4</v>
      </c>
      <c r="AB68" s="51">
        <v>22</v>
      </c>
      <c r="AC68" s="51">
        <v>21</v>
      </c>
      <c r="AD68" s="51">
        <v>20.8</v>
      </c>
      <c r="AE68" s="51">
        <v>20.6</v>
      </c>
      <c r="AF68" s="51">
        <v>21.8</v>
      </c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22</v>
      </c>
      <c r="AQ68" s="89">
        <f t="shared" si="2"/>
        <v>20.931818181818183</v>
      </c>
      <c r="AR68" s="89">
        <f>IFERROR(VLOOKUP(A68,Climatologia!A:U,9+$E$2,FALSE),"")</f>
        <v>20.820880569459899</v>
      </c>
      <c r="AS68" s="89">
        <f t="shared" si="3"/>
        <v>0.11093761235828481</v>
      </c>
      <c r="AT68" s="90">
        <f t="shared" si="4"/>
        <v>20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>
        <v>23.6</v>
      </c>
      <c r="W69" s="51"/>
      <c r="X69" s="51">
        <v>21.2</v>
      </c>
      <c r="Y69" s="51">
        <v>22.8</v>
      </c>
      <c r="Z69" s="111">
        <v>23.6</v>
      </c>
      <c r="AA69" s="51">
        <v>23.4</v>
      </c>
      <c r="AB69" s="51">
        <v>22.4</v>
      </c>
      <c r="AC69" s="51"/>
      <c r="AD69" s="51"/>
      <c r="AE69" s="51">
        <v>21.8</v>
      </c>
      <c r="AF69" s="51">
        <v>22.4</v>
      </c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18</v>
      </c>
      <c r="AQ69" s="89">
        <f t="shared" ref="AQ69:AQ132" si="7">IF(AP69&gt;14,AVERAGE(K69:AO69),"")</f>
        <v>22.611111111111111</v>
      </c>
      <c r="AR69" s="89">
        <f>IFERROR(VLOOKUP(A69,Climatologia!A:U,9+$E$2,FALSE),"")</f>
        <v>20.779327975046829</v>
      </c>
      <c r="AS69" s="89">
        <f t="shared" ref="AS69:AS132" si="8">IF(OR(AQ69="",AR69=""),"",IFERROR(AQ69-AR69,""))</f>
        <v>1.8317831360642813</v>
      </c>
      <c r="AT69" s="90">
        <f t="shared" ref="AT69:AT132" si="9">IF(COUNT(K69:AO69)=0,"",MIN(K69:AO69))</f>
        <v>21.2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0">IF(OR(AT69="",AU69=""),"NA",IFERROR(AT69-AU69,"NA"))</f>
        <v>4.3999999999999986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>
        <v>24</v>
      </c>
      <c r="W70" s="51">
        <v>22.4</v>
      </c>
      <c r="X70" s="51">
        <v>23.1</v>
      </c>
      <c r="Y70" s="51">
        <v>23.3</v>
      </c>
      <c r="Z70" s="111">
        <v>23.3</v>
      </c>
      <c r="AA70" s="51">
        <v>23.3</v>
      </c>
      <c r="AB70" s="51">
        <v>23.3</v>
      </c>
      <c r="AC70" s="51">
        <v>23.2</v>
      </c>
      <c r="AD70" s="51">
        <v>22.1</v>
      </c>
      <c r="AE70" s="51">
        <v>22.3</v>
      </c>
      <c r="AF70" s="51">
        <v>23</v>
      </c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22</v>
      </c>
      <c r="AQ70" s="89">
        <f t="shared" si="7"/>
        <v>22.977272727272727</v>
      </c>
      <c r="AR70" s="89">
        <f>IFERROR(VLOOKUP(A70,Climatologia!A:U,9+$E$2,FALSE),"")</f>
        <v>22.364932118308101</v>
      </c>
      <c r="AS70" s="89">
        <f t="shared" si="8"/>
        <v>0.61234060896462594</v>
      </c>
      <c r="AT70" s="90">
        <f t="shared" si="9"/>
        <v>22.1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0"/>
        <v>6.3000000000000007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>
        <v>23</v>
      </c>
      <c r="W71" s="51">
        <v>23.1</v>
      </c>
      <c r="X71" s="51">
        <v>23</v>
      </c>
      <c r="Y71" s="51">
        <v>23</v>
      </c>
      <c r="Z71" s="111">
        <v>23.3</v>
      </c>
      <c r="AA71" s="51">
        <v>22.3</v>
      </c>
      <c r="AB71" s="51">
        <v>23.1</v>
      </c>
      <c r="AC71" s="51">
        <v>22.2</v>
      </c>
      <c r="AD71" s="51">
        <v>22.3</v>
      </c>
      <c r="AE71" s="51">
        <v>23</v>
      </c>
      <c r="AF71" s="51">
        <v>23.2</v>
      </c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22</v>
      </c>
      <c r="AQ71" s="89">
        <f t="shared" si="7"/>
        <v>22.877272727272732</v>
      </c>
      <c r="AR71" s="89">
        <f>IFERROR(VLOOKUP(A71,Climatologia!A:U,9+$E$2,FALSE),"")</f>
        <v>21.655481553578049</v>
      </c>
      <c r="AS71" s="89">
        <f t="shared" si="8"/>
        <v>1.2217911736946832</v>
      </c>
      <c r="AT71" s="90">
        <f t="shared" si="9"/>
        <v>22.2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>
        <v>21.3</v>
      </c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>
        <v>22</v>
      </c>
      <c r="W72" s="51"/>
      <c r="X72" s="51">
        <v>20.399999999999999</v>
      </c>
      <c r="Y72" s="51">
        <v>21.8</v>
      </c>
      <c r="Z72" s="111">
        <v>22.2</v>
      </c>
      <c r="AA72" s="51">
        <v>21.6</v>
      </c>
      <c r="AB72" s="51">
        <v>21.8</v>
      </c>
      <c r="AC72" s="51"/>
      <c r="AD72" s="51">
        <v>21.4</v>
      </c>
      <c r="AE72" s="51">
        <v>21.2</v>
      </c>
      <c r="AF72" s="51">
        <v>21.2</v>
      </c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19</v>
      </c>
      <c r="AQ72" s="89">
        <f t="shared" si="7"/>
        <v>21.468421052631577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0"/>
        <v>1.1999999999999993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>
        <v>17.399999999999999</v>
      </c>
      <c r="V73" s="51">
        <v>17</v>
      </c>
      <c r="W73" s="51">
        <v>17.2</v>
      </c>
      <c r="X73" s="51">
        <v>18</v>
      </c>
      <c r="Y73" s="51"/>
      <c r="Z73" s="111">
        <v>16.399999999999999</v>
      </c>
      <c r="AA73" s="51">
        <v>18</v>
      </c>
      <c r="AB73" s="51">
        <v>18</v>
      </c>
      <c r="AC73" s="51">
        <v>17</v>
      </c>
      <c r="AD73" s="51">
        <v>17</v>
      </c>
      <c r="AE73" s="51">
        <v>18.2</v>
      </c>
      <c r="AF73" s="51">
        <v>18.2</v>
      </c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21</v>
      </c>
      <c r="AQ73" s="89">
        <f t="shared" si="7"/>
        <v>17.314285714285713</v>
      </c>
      <c r="AR73" s="89">
        <f>IFERROR(VLOOKUP(A73,Climatologia!A:U,9+$E$2,FALSE),"")</f>
        <v>16.31980835849356</v>
      </c>
      <c r="AS73" s="89">
        <f t="shared" si="8"/>
        <v>0.99447735579215291</v>
      </c>
      <c r="AT73" s="90">
        <f t="shared" si="9"/>
        <v>16.2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0"/>
        <v>3.3999999999999986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>
        <v>12.6</v>
      </c>
      <c r="W74" s="51">
        <v>12.4</v>
      </c>
      <c r="X74" s="51">
        <v>10.199999999999999</v>
      </c>
      <c r="Y74" s="51">
        <v>11</v>
      </c>
      <c r="Z74" s="111">
        <v>12.4</v>
      </c>
      <c r="AA74" s="51">
        <v>12.2</v>
      </c>
      <c r="AB74" s="51">
        <v>12.8</v>
      </c>
      <c r="AC74" s="51">
        <v>13</v>
      </c>
      <c r="AD74" s="51">
        <v>13</v>
      </c>
      <c r="AE74" s="51">
        <v>12.2</v>
      </c>
      <c r="AF74" s="51">
        <v>11.6</v>
      </c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22</v>
      </c>
      <c r="AQ74" s="89">
        <f t="shared" si="7"/>
        <v>12.409090909090908</v>
      </c>
      <c r="AR74" s="89">
        <f>IFERROR(VLOOKUP(A74,Climatologia!A:U,9+$E$2,FALSE),"")</f>
        <v>11.80563736724846</v>
      </c>
      <c r="AS74" s="89">
        <f t="shared" si="8"/>
        <v>0.60345354184244826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>
        <v>17.399999999999999</v>
      </c>
      <c r="W75" s="51">
        <v>17</v>
      </c>
      <c r="X75" s="51">
        <v>14.8</v>
      </c>
      <c r="Y75" s="51">
        <v>15.8</v>
      </c>
      <c r="Z75" s="111">
        <v>17.2</v>
      </c>
      <c r="AA75" s="51">
        <v>16.2</v>
      </c>
      <c r="AB75" s="51">
        <v>16</v>
      </c>
      <c r="AC75" s="51">
        <v>15.2</v>
      </c>
      <c r="AD75" s="51">
        <v>17</v>
      </c>
      <c r="AE75" s="51">
        <v>15.2</v>
      </c>
      <c r="AF75" s="51">
        <v>14.8</v>
      </c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22</v>
      </c>
      <c r="AQ75" s="89">
        <f t="shared" si="7"/>
        <v>16.472727272727273</v>
      </c>
      <c r="AR75" s="89">
        <f>IFERROR(VLOOKUP(A75,Climatologia!A:U,9+$E$2,FALSE),"")</f>
        <v>15.64745715221115</v>
      </c>
      <c r="AS75" s="89">
        <f t="shared" si="8"/>
        <v>0.82527012051612303</v>
      </c>
      <c r="AT75" s="90">
        <f t="shared" si="9"/>
        <v>14.8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0"/>
        <v>4.4000000000000004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>
        <v>16.600000000000001</v>
      </c>
      <c r="W76" s="51">
        <v>16</v>
      </c>
      <c r="X76" s="51">
        <v>16.8</v>
      </c>
      <c r="Y76" s="51">
        <v>16.8</v>
      </c>
      <c r="Z76" s="111">
        <v>18.8</v>
      </c>
      <c r="AA76" s="51">
        <v>18.2</v>
      </c>
      <c r="AB76" s="51">
        <v>15.4</v>
      </c>
      <c r="AC76" s="51">
        <v>16.8</v>
      </c>
      <c r="AD76" s="51">
        <v>17</v>
      </c>
      <c r="AE76" s="51">
        <v>16.2</v>
      </c>
      <c r="AF76" s="51">
        <v>17.2</v>
      </c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22</v>
      </c>
      <c r="AQ76" s="89">
        <f t="shared" si="7"/>
        <v>16.781818181818178</v>
      </c>
      <c r="AR76" s="89">
        <f>IFERROR(VLOOKUP(A76,Climatologia!A:U,9+$E$2,FALSE),"")</f>
        <v>18.21514905534578</v>
      </c>
      <c r="AS76" s="89">
        <f t="shared" si="8"/>
        <v>-1.433330873527602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0"/>
        <v>0.80000000000000071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>
        <v>25.8</v>
      </c>
      <c r="W77" s="51">
        <v>25</v>
      </c>
      <c r="X77" s="51">
        <v>26.6</v>
      </c>
      <c r="Y77" s="51">
        <v>27</v>
      </c>
      <c r="Z77" s="111">
        <v>28.2</v>
      </c>
      <c r="AA77" s="51">
        <v>27.2</v>
      </c>
      <c r="AB77" s="51">
        <v>23.8</v>
      </c>
      <c r="AC77" s="51">
        <v>24</v>
      </c>
      <c r="AD77" s="51">
        <v>23.8</v>
      </c>
      <c r="AE77" s="51">
        <v>24.8</v>
      </c>
      <c r="AF77" s="51">
        <v>24.4</v>
      </c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22</v>
      </c>
      <c r="AQ77" s="89">
        <f t="shared" si="7"/>
        <v>25.654545454545453</v>
      </c>
      <c r="AR77" s="89">
        <f>IFERROR(VLOOKUP(A77,Climatologia!A:U,9+$E$2,FALSE),"")</f>
        <v>23.98594554377442</v>
      </c>
      <c r="AS77" s="89">
        <f t="shared" si="8"/>
        <v>1.6685999107710323</v>
      </c>
      <c r="AT77" s="90">
        <f t="shared" si="9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0"/>
        <v>4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/>
      <c r="X78" s="51">
        <v>25.2</v>
      </c>
      <c r="Y78" s="51">
        <v>25</v>
      </c>
      <c r="Z78" s="111">
        <v>25.2</v>
      </c>
      <c r="AA78" s="51">
        <v>25</v>
      </c>
      <c r="AB78" s="51">
        <v>23.6</v>
      </c>
      <c r="AC78" s="51">
        <v>23.6</v>
      </c>
      <c r="AD78" s="51">
        <v>24</v>
      </c>
      <c r="AE78" s="51">
        <v>24.4</v>
      </c>
      <c r="AF78" s="51">
        <v>25</v>
      </c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20</v>
      </c>
      <c r="AQ78" s="89">
        <f t="shared" si="7"/>
        <v>24.4</v>
      </c>
      <c r="AR78" s="89">
        <f>IFERROR(VLOOKUP(A78,Climatologia!A:U,9+$E$2,FALSE),"")</f>
        <v>23.030800614819611</v>
      </c>
      <c r="AS78" s="89">
        <f t="shared" si="8"/>
        <v>1.3691993851803872</v>
      </c>
      <c r="AT78" s="90">
        <f t="shared" si="9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0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>
        <v>15.6</v>
      </c>
      <c r="S79" s="51">
        <v>15.2</v>
      </c>
      <c r="T79" s="51">
        <v>15.4</v>
      </c>
      <c r="U79" s="51">
        <v>13.6</v>
      </c>
      <c r="V79" s="51">
        <v>15.2</v>
      </c>
      <c r="W79" s="51">
        <v>15</v>
      </c>
      <c r="X79" s="51">
        <v>14.8</v>
      </c>
      <c r="Y79" s="51">
        <v>14.8</v>
      </c>
      <c r="Z79" s="111">
        <v>14.6</v>
      </c>
      <c r="AA79" s="51">
        <v>14.4</v>
      </c>
      <c r="AB79" s="51">
        <v>15.8</v>
      </c>
      <c r="AC79" s="51">
        <v>14.4</v>
      </c>
      <c r="AD79" s="51">
        <v>14.6</v>
      </c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20</v>
      </c>
      <c r="AQ79" s="89">
        <f t="shared" si="7"/>
        <v>15.01</v>
      </c>
      <c r="AR79" s="89">
        <f>IFERROR(VLOOKUP(A79,Climatologia!A:U,9+$E$2,FALSE),"")</f>
        <v>15.20904351496088</v>
      </c>
      <c r="AS79" s="89">
        <f t="shared" si="8"/>
        <v>-0.19904351496088069</v>
      </c>
      <c r="AT79" s="90">
        <f t="shared" si="9"/>
        <v>13.6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20.420246040574181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>
        <v>22.4</v>
      </c>
      <c r="W81" s="51">
        <v>23</v>
      </c>
      <c r="X81" s="51">
        <v>22.6</v>
      </c>
      <c r="Y81" s="51">
        <v>22.2</v>
      </c>
      <c r="Z81" s="111">
        <v>22.4</v>
      </c>
      <c r="AA81" s="51">
        <v>23</v>
      </c>
      <c r="AB81" s="51">
        <v>22.2</v>
      </c>
      <c r="AC81" s="51">
        <v>22.8</v>
      </c>
      <c r="AD81" s="51">
        <v>22.6</v>
      </c>
      <c r="AE81" s="51">
        <v>22.8</v>
      </c>
      <c r="AF81" s="51">
        <v>23.2</v>
      </c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20</v>
      </c>
      <c r="AQ81" s="89">
        <f t="shared" si="7"/>
        <v>22.759999999999998</v>
      </c>
      <c r="AR81" s="89">
        <f>IFERROR(VLOOKUP(A81,Climatologia!A:U,9+$E$2,FALSE),"")</f>
        <v>21.607376978198339</v>
      </c>
      <c r="AS81" s="89">
        <f t="shared" si="8"/>
        <v>1.1526230218016593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0"/>
        <v>4.5999999999999979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>
        <v>27.4</v>
      </c>
      <c r="Y83" s="51"/>
      <c r="Z83" s="111">
        <v>27.2</v>
      </c>
      <c r="AA83" s="51">
        <v>27.4</v>
      </c>
      <c r="AB83" s="51"/>
      <c r="AC83" s="51">
        <v>26.8</v>
      </c>
      <c r="AD83" s="51">
        <v>27.2</v>
      </c>
      <c r="AE83" s="51">
        <v>26.2</v>
      </c>
      <c r="AF83" s="51">
        <v>27.2</v>
      </c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17</v>
      </c>
      <c r="AQ83" s="89">
        <f t="shared" si="7"/>
        <v>26.6235294117647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25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0"/>
        <v>7.3999999999999986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>
        <v>26.2</v>
      </c>
      <c r="W84" s="51">
        <v>25.8</v>
      </c>
      <c r="X84" s="51">
        <v>25.4</v>
      </c>
      <c r="Y84" s="51">
        <v>26.4</v>
      </c>
      <c r="Z84" s="111">
        <v>26.2</v>
      </c>
      <c r="AA84" s="51">
        <v>26</v>
      </c>
      <c r="AB84" s="51">
        <v>26.6</v>
      </c>
      <c r="AC84" s="51">
        <v>25.8</v>
      </c>
      <c r="AD84" s="51">
        <v>26.4</v>
      </c>
      <c r="AE84" s="51">
        <v>26.8</v>
      </c>
      <c r="AF84" s="51">
        <v>25.6</v>
      </c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22</v>
      </c>
      <c r="AQ84" s="89">
        <f t="shared" si="7"/>
        <v>26.16363636363636</v>
      </c>
      <c r="AR84" s="89">
        <f>IFERROR(VLOOKUP(A84,Climatologia!A:U,9+$E$2,FALSE),"")</f>
        <v>23.66046866958937</v>
      </c>
      <c r="AS84" s="89">
        <f t="shared" si="8"/>
        <v>2.50316769404699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0"/>
        <v>10.199999999999999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>
        <v>25.4</v>
      </c>
      <c r="W85" s="51">
        <v>25</v>
      </c>
      <c r="X85" s="51">
        <v>24.4</v>
      </c>
      <c r="Y85" s="51">
        <v>25.6</v>
      </c>
      <c r="Z85" s="111">
        <v>24.6</v>
      </c>
      <c r="AA85" s="51">
        <v>24</v>
      </c>
      <c r="AB85" s="51">
        <v>25</v>
      </c>
      <c r="AC85" s="51">
        <v>25.2</v>
      </c>
      <c r="AD85" s="51">
        <v>24.4</v>
      </c>
      <c r="AE85" s="51">
        <v>25.2</v>
      </c>
      <c r="AF85" s="51">
        <v>25.6</v>
      </c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22</v>
      </c>
      <c r="AQ85" s="89">
        <f t="shared" si="7"/>
        <v>25.145454545454548</v>
      </c>
      <c r="AR85" s="89">
        <f>IFERROR(VLOOKUP(A85,Climatologia!A:U,9+$E$2,FALSE),"")</f>
        <v>23.305497603590929</v>
      </c>
      <c r="AS85" s="89">
        <f t="shared" si="8"/>
        <v>1.839956941863619</v>
      </c>
      <c r="AT85" s="90">
        <f t="shared" si="9"/>
        <v>24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0"/>
        <v>5.1999999999999993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>
        <v>22.6</v>
      </c>
      <c r="W86" s="51">
        <v>20.8</v>
      </c>
      <c r="X86" s="51">
        <v>20.6</v>
      </c>
      <c r="Y86" s="51">
        <v>21.6</v>
      </c>
      <c r="Z86" s="111">
        <v>22.2</v>
      </c>
      <c r="AA86" s="51">
        <v>20.8</v>
      </c>
      <c r="AB86" s="51">
        <v>20.399999999999999</v>
      </c>
      <c r="AC86" s="51">
        <v>22.6</v>
      </c>
      <c r="AD86" s="51">
        <v>22</v>
      </c>
      <c r="AE86" s="51">
        <v>20</v>
      </c>
      <c r="AF86" s="51">
        <v>19.8</v>
      </c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22</v>
      </c>
      <c r="AQ86" s="89">
        <f t="shared" si="7"/>
        <v>21.518181818181823</v>
      </c>
      <c r="AR86" s="89">
        <f>IFERROR(VLOOKUP(A86,Climatologia!A:U,9+$E$2,FALSE),"")</f>
        <v>22.830460829493081</v>
      </c>
      <c r="AS86" s="89">
        <f t="shared" si="8"/>
        <v>-1.3122790113112579</v>
      </c>
      <c r="AT86" s="90">
        <f t="shared" si="9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0"/>
        <v>3.8000000000000007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>
        <v>27.6</v>
      </c>
      <c r="W87" s="51">
        <v>26.8</v>
      </c>
      <c r="X87" s="51">
        <v>27</v>
      </c>
      <c r="Y87" s="51">
        <v>27</v>
      </c>
      <c r="Z87" s="111">
        <v>28.4</v>
      </c>
      <c r="AA87" s="51">
        <v>27.8</v>
      </c>
      <c r="AB87" s="51">
        <v>29</v>
      </c>
      <c r="AC87" s="51">
        <v>28.8</v>
      </c>
      <c r="AD87" s="51">
        <v>27.2</v>
      </c>
      <c r="AE87" s="51">
        <v>24.2</v>
      </c>
      <c r="AF87" s="51">
        <v>24.2</v>
      </c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20</v>
      </c>
      <c r="AQ87" s="89">
        <f t="shared" si="7"/>
        <v>26.840000000000003</v>
      </c>
      <c r="AR87" s="89">
        <f>IFERROR(VLOOKUP(A87,Climatologia!A:U,9+$E$2,FALSE),"")</f>
        <v>23.82157476757439</v>
      </c>
      <c r="AS87" s="89">
        <f t="shared" si="8"/>
        <v>3.0184252324256136</v>
      </c>
      <c r="AT87" s="90">
        <f t="shared" si="9"/>
        <v>24.2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0"/>
        <v>6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>
        <v>27.6</v>
      </c>
      <c r="U88" s="51">
        <v>27.6</v>
      </c>
      <c r="V88" s="51">
        <v>27.4</v>
      </c>
      <c r="W88" s="51">
        <v>25.6</v>
      </c>
      <c r="X88" s="51">
        <v>26.6</v>
      </c>
      <c r="Y88" s="51">
        <v>27.6</v>
      </c>
      <c r="Z88" s="111">
        <v>27.4</v>
      </c>
      <c r="AA88" s="51">
        <v>27.6</v>
      </c>
      <c r="AB88" s="51">
        <v>27.8</v>
      </c>
      <c r="AC88" s="51">
        <v>28.4</v>
      </c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19</v>
      </c>
      <c r="AQ88" s="89">
        <f t="shared" si="7"/>
        <v>27.326315789473693</v>
      </c>
      <c r="AR88" s="89">
        <f>IFERROR(VLOOKUP(A88,Climatologia!A:U,9+$E$2,FALSE),"")</f>
        <v>23.447051220933311</v>
      </c>
      <c r="AS88" s="89">
        <f t="shared" si="8"/>
        <v>3.8792645685403819</v>
      </c>
      <c r="AT88" s="90">
        <f t="shared" si="9"/>
        <v>25.6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0"/>
        <v>9.6000000000000014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26.4</v>
      </c>
      <c r="L89" s="116">
        <v>26</v>
      </c>
      <c r="M89" s="116">
        <v>26.2</v>
      </c>
      <c r="N89" s="116">
        <v>26.2</v>
      </c>
      <c r="O89" s="116">
        <v>26.4</v>
      </c>
      <c r="P89" s="116">
        <v>25.4</v>
      </c>
      <c r="Q89" s="116">
        <v>25.6</v>
      </c>
      <c r="R89" s="116">
        <v>26.6</v>
      </c>
      <c r="S89" s="116">
        <v>25.2</v>
      </c>
      <c r="T89" s="116">
        <v>24.8</v>
      </c>
      <c r="U89" s="116">
        <v>24.4</v>
      </c>
      <c r="V89" s="116">
        <v>28</v>
      </c>
      <c r="W89" s="116">
        <v>25</v>
      </c>
      <c r="X89" s="116">
        <v>25</v>
      </c>
      <c r="Y89" s="116">
        <v>24.2</v>
      </c>
      <c r="Z89" s="117">
        <v>26.2</v>
      </c>
      <c r="AA89" s="116">
        <v>25.6</v>
      </c>
      <c r="AB89" s="116">
        <v>25.2</v>
      </c>
      <c r="AC89" s="116">
        <v>25</v>
      </c>
      <c r="AD89" s="116"/>
      <c r="AE89" s="116">
        <v>25.2</v>
      </c>
      <c r="AF89" s="116">
        <v>25</v>
      </c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21</v>
      </c>
      <c r="AQ89" s="89">
        <f t="shared" si="7"/>
        <v>25.599999999999994</v>
      </c>
      <c r="AR89" s="89">
        <f>IFERROR(VLOOKUP(A89,Climatologia!A:U,9+$E$2,FALSE),"")</f>
        <v>22.923826107655049</v>
      </c>
      <c r="AS89" s="89">
        <f t="shared" si="8"/>
        <v>2.676173892344945</v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17.600000000000001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33811</v>
      </c>
      <c r="AW89" s="92">
        <f t="shared" si="10"/>
        <v>6.5999999999999979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13.8</v>
      </c>
      <c r="L90" s="51">
        <v>12</v>
      </c>
      <c r="M90" s="51">
        <v>12</v>
      </c>
      <c r="N90" s="51">
        <v>11.4</v>
      </c>
      <c r="O90" s="51">
        <v>11.4</v>
      </c>
      <c r="P90" s="51">
        <v>12.2</v>
      </c>
      <c r="Q90" s="51">
        <v>11.2</v>
      </c>
      <c r="R90" s="51">
        <v>14</v>
      </c>
      <c r="S90" s="51">
        <v>13</v>
      </c>
      <c r="T90" s="51">
        <v>14.2</v>
      </c>
      <c r="U90" s="51">
        <v>13.2</v>
      </c>
      <c r="V90" s="51">
        <v>11.4</v>
      </c>
      <c r="W90" s="51">
        <v>14</v>
      </c>
      <c r="X90" s="51">
        <v>12.4</v>
      </c>
      <c r="Y90" s="51">
        <v>12.4</v>
      </c>
      <c r="Z90" s="111">
        <v>13</v>
      </c>
      <c r="AA90" s="51"/>
      <c r="AB90" s="51">
        <v>13</v>
      </c>
      <c r="AC90" s="51">
        <v>12.8</v>
      </c>
      <c r="AD90" s="51">
        <v>12.8</v>
      </c>
      <c r="AE90" s="51">
        <v>12</v>
      </c>
      <c r="AF90" s="51">
        <v>10.4</v>
      </c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21</v>
      </c>
      <c r="AQ90" s="89">
        <f t="shared" si="7"/>
        <v>12.504761904761907</v>
      </c>
      <c r="AR90" s="89">
        <f>IFERROR(VLOOKUP(A90,Climatologia!A:U,9+$E$2,FALSE),"")</f>
        <v>11.21</v>
      </c>
      <c r="AS90" s="89">
        <f t="shared" si="8"/>
        <v>1.2947619047619057</v>
      </c>
      <c r="AT90" s="90">
        <f t="shared" si="9"/>
        <v>10.4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4.4000000000000004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90" s="92">
        <f t="shared" si="10"/>
        <v>6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17.399999999999999</v>
      </c>
      <c r="L91" s="51">
        <v>18</v>
      </c>
      <c r="M91" s="51">
        <v>17.600000000000001</v>
      </c>
      <c r="N91" s="51">
        <v>17.399999999999999</v>
      </c>
      <c r="O91" s="51">
        <v>17.2</v>
      </c>
      <c r="P91" s="51">
        <v>17.399999999999999</v>
      </c>
      <c r="Q91" s="51">
        <v>18</v>
      </c>
      <c r="R91" s="51">
        <v>18.399999999999999</v>
      </c>
      <c r="S91" s="51">
        <v>19</v>
      </c>
      <c r="T91" s="51">
        <v>17</v>
      </c>
      <c r="U91" s="51">
        <v>18.399999999999999</v>
      </c>
      <c r="V91" s="51">
        <v>17.399999999999999</v>
      </c>
      <c r="W91" s="51">
        <v>17.2</v>
      </c>
      <c r="X91" s="51">
        <v>18</v>
      </c>
      <c r="Y91" s="51">
        <v>18.2</v>
      </c>
      <c r="Z91" s="111">
        <v>18.399999999999999</v>
      </c>
      <c r="AA91" s="51">
        <v>18.600000000000001</v>
      </c>
      <c r="AB91" s="51">
        <v>19</v>
      </c>
      <c r="AC91" s="51">
        <v>18</v>
      </c>
      <c r="AD91" s="51">
        <v>17.399999999999999</v>
      </c>
      <c r="AE91" s="51">
        <v>17.2</v>
      </c>
      <c r="AF91" s="51">
        <v>18.399999999999999</v>
      </c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22</v>
      </c>
      <c r="AQ91" s="89">
        <f t="shared" si="7"/>
        <v>17.890909090909091</v>
      </c>
      <c r="AR91" s="89">
        <f>IFERROR(VLOOKUP(A91,Climatologia!A:U,9+$E$2,FALSE),"")</f>
        <v>17.613159782779519</v>
      </c>
      <c r="AS91" s="89">
        <f t="shared" si="8"/>
        <v>0.27774930812957166</v>
      </c>
      <c r="AT91" s="90">
        <f t="shared" si="9"/>
        <v>17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14.2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1" s="92">
        <f t="shared" si="10"/>
        <v>2.8000000000000007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10.4</v>
      </c>
      <c r="L92" s="51">
        <v>10.6</v>
      </c>
      <c r="M92" s="51">
        <v>11.6</v>
      </c>
      <c r="N92" s="51">
        <v>11.8</v>
      </c>
      <c r="O92" s="51">
        <v>11.8</v>
      </c>
      <c r="P92" s="51">
        <v>11.6</v>
      </c>
      <c r="Q92" s="51">
        <v>11.6</v>
      </c>
      <c r="R92" s="51">
        <v>11.6</v>
      </c>
      <c r="S92" s="51">
        <v>11.4</v>
      </c>
      <c r="T92" s="51">
        <v>11.6</v>
      </c>
      <c r="U92" s="51">
        <v>11.4</v>
      </c>
      <c r="V92" s="51">
        <v>12.4</v>
      </c>
      <c r="W92" s="51">
        <v>10.4</v>
      </c>
      <c r="X92" s="51">
        <v>10.4</v>
      </c>
      <c r="Y92" s="51">
        <v>10.8</v>
      </c>
      <c r="Z92" s="111">
        <v>10.199999999999999</v>
      </c>
      <c r="AA92" s="51">
        <v>10.4</v>
      </c>
      <c r="AB92" s="51">
        <v>9.6</v>
      </c>
      <c r="AC92" s="51">
        <v>9.8000000000000007</v>
      </c>
      <c r="AD92" s="51">
        <v>10.6</v>
      </c>
      <c r="AE92" s="51">
        <v>9.8000000000000007</v>
      </c>
      <c r="AF92" s="51">
        <v>9.6</v>
      </c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22</v>
      </c>
      <c r="AQ92" s="89">
        <f t="shared" si="7"/>
        <v>10.881818181818183</v>
      </c>
      <c r="AR92" s="89">
        <f>IFERROR(VLOOKUP(A92,Climatologia!A:U,9+$E$2,FALSE),"")</f>
        <v>11.47881802826185</v>
      </c>
      <c r="AS92" s="89">
        <f t="shared" si="8"/>
        <v>-0.59699984644366744</v>
      </c>
      <c r="AT92" s="90">
        <f t="shared" si="9"/>
        <v>9.6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5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2" s="92">
        <f t="shared" si="10"/>
        <v>4.5999999999999996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10.6</v>
      </c>
      <c r="L93" s="51">
        <v>10</v>
      </c>
      <c r="M93" s="51">
        <v>10.6</v>
      </c>
      <c r="N93" s="51">
        <v>10.6</v>
      </c>
      <c r="O93" s="51">
        <v>9.6</v>
      </c>
      <c r="P93" s="51">
        <v>11</v>
      </c>
      <c r="Q93" s="51">
        <v>11.2</v>
      </c>
      <c r="R93" s="51">
        <v>11</v>
      </c>
      <c r="S93" s="51">
        <v>11.2</v>
      </c>
      <c r="T93" s="51">
        <v>10.199999999999999</v>
      </c>
      <c r="U93" s="51">
        <v>9.6</v>
      </c>
      <c r="V93" s="51">
        <v>9.8000000000000007</v>
      </c>
      <c r="W93" s="51">
        <v>9</v>
      </c>
      <c r="X93" s="51">
        <v>9.6</v>
      </c>
      <c r="Y93" s="51">
        <v>11.6</v>
      </c>
      <c r="Z93" s="111">
        <v>10.8</v>
      </c>
      <c r="AA93" s="51">
        <v>10.199999999999999</v>
      </c>
      <c r="AB93" s="51">
        <v>8.1999999999999993</v>
      </c>
      <c r="AC93" s="51">
        <v>10.6</v>
      </c>
      <c r="AD93" s="51">
        <v>11</v>
      </c>
      <c r="AE93" s="51">
        <v>9.8000000000000007</v>
      </c>
      <c r="AF93" s="51">
        <v>10.199999999999999</v>
      </c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22</v>
      </c>
      <c r="AQ93" s="89">
        <f t="shared" si="7"/>
        <v>10.290909090909089</v>
      </c>
      <c r="AR93" s="89">
        <f>IFERROR(VLOOKUP(A93,Climatologia!A:U,9+$E$2,FALSE),"")</f>
        <v>8.9015099398191726</v>
      </c>
      <c r="AS93" s="89">
        <f t="shared" si="8"/>
        <v>1.3893991510899166</v>
      </c>
      <c r="AT93" s="90">
        <f t="shared" si="9"/>
        <v>8.1999999999999993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-1.4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3" s="92">
        <f t="shared" si="10"/>
        <v>9.6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10.516628421304731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-0.6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</v>
      </c>
      <c r="L96" s="51">
        <v>5.8</v>
      </c>
      <c r="M96" s="51">
        <v>7</v>
      </c>
      <c r="N96" s="51">
        <v>10</v>
      </c>
      <c r="O96" s="51">
        <v>8</v>
      </c>
      <c r="P96" s="51">
        <v>9</v>
      </c>
      <c r="Q96" s="51">
        <v>7.8</v>
      </c>
      <c r="R96" s="51">
        <v>8.8000000000000007</v>
      </c>
      <c r="S96" s="51">
        <v>9.1999999999999993</v>
      </c>
      <c r="T96" s="51">
        <v>8.1999999999999993</v>
      </c>
      <c r="U96" s="51">
        <v>6</v>
      </c>
      <c r="V96" s="51">
        <v>10.199999999999999</v>
      </c>
      <c r="W96" s="51">
        <v>6.8</v>
      </c>
      <c r="X96" s="51">
        <v>6</v>
      </c>
      <c r="Y96" s="51">
        <v>10.8</v>
      </c>
      <c r="Z96" s="111">
        <v>5</v>
      </c>
      <c r="AA96" s="51">
        <v>6.4</v>
      </c>
      <c r="AB96" s="51">
        <v>6</v>
      </c>
      <c r="AC96" s="51">
        <v>10.8</v>
      </c>
      <c r="AD96" s="51">
        <v>10.4</v>
      </c>
      <c r="AE96" s="51">
        <v>8</v>
      </c>
      <c r="AF96" s="51">
        <v>6.6</v>
      </c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22</v>
      </c>
      <c r="AQ96" s="89">
        <f t="shared" si="7"/>
        <v>7.9909090909090912</v>
      </c>
      <c r="AR96" s="89">
        <f>IFERROR(VLOOKUP(A96,Climatologia!A:U,9+$E$2,FALSE),"")</f>
        <v>7.2926861266282854</v>
      </c>
      <c r="AS96" s="89">
        <f t="shared" si="8"/>
        <v>0.69822296428080577</v>
      </c>
      <c r="AT96" s="90">
        <f t="shared" si="9"/>
        <v>5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1.2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6" s="92">
        <f t="shared" si="10"/>
        <v>3.8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8.9</v>
      </c>
      <c r="L97" s="51">
        <v>9</v>
      </c>
      <c r="M97" s="51">
        <v>9.4</v>
      </c>
      <c r="N97" s="51">
        <v>9</v>
      </c>
      <c r="O97" s="51">
        <v>8</v>
      </c>
      <c r="P97" s="51">
        <v>8.4</v>
      </c>
      <c r="Q97" s="51">
        <v>8</v>
      </c>
      <c r="R97" s="51">
        <v>7.8</v>
      </c>
      <c r="S97" s="51"/>
      <c r="T97" s="51">
        <v>8.6</v>
      </c>
      <c r="U97" s="51">
        <v>9.1999999999999993</v>
      </c>
      <c r="V97" s="51">
        <v>11.4</v>
      </c>
      <c r="W97" s="51">
        <v>7.2</v>
      </c>
      <c r="X97" s="51">
        <v>6.3</v>
      </c>
      <c r="Y97" s="51">
        <v>8.8000000000000007</v>
      </c>
      <c r="Z97" s="111">
        <v>7</v>
      </c>
      <c r="AA97" s="51">
        <v>8.4</v>
      </c>
      <c r="AB97" s="51">
        <v>9</v>
      </c>
      <c r="AC97" s="51">
        <v>8</v>
      </c>
      <c r="AD97" s="51">
        <v>9.6</v>
      </c>
      <c r="AE97" s="51">
        <v>9</v>
      </c>
      <c r="AF97" s="51">
        <v>7</v>
      </c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21</v>
      </c>
      <c r="AQ97" s="89">
        <f t="shared" si="7"/>
        <v>8.4761904761904763</v>
      </c>
      <c r="AR97" s="89">
        <f>IFERROR(VLOOKUP(A97,Climatologia!A:U,9+$E$2,FALSE),"")</f>
        <v>8.3150202936469455</v>
      </c>
      <c r="AS97" s="89">
        <f t="shared" si="8"/>
        <v>0.16117018254353077</v>
      </c>
      <c r="AT97" s="90">
        <f t="shared" si="9"/>
        <v>6.3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3.6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7" s="92">
        <f t="shared" si="10"/>
        <v>2.6999999999999997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/>
      <c r="L98" s="51"/>
      <c r="M98" s="51"/>
      <c r="N98" s="51">
        <v>6.2</v>
      </c>
      <c r="O98" s="51">
        <v>9.6</v>
      </c>
      <c r="P98" s="51">
        <v>12.8</v>
      </c>
      <c r="Q98" s="51">
        <v>9.4</v>
      </c>
      <c r="R98" s="51">
        <v>9.6</v>
      </c>
      <c r="S98" s="51">
        <v>10.199999999999999</v>
      </c>
      <c r="T98" s="51">
        <v>8.6</v>
      </c>
      <c r="U98" s="51">
        <v>5.2</v>
      </c>
      <c r="V98" s="51">
        <v>9.4</v>
      </c>
      <c r="W98" s="51">
        <v>5.2</v>
      </c>
      <c r="X98" s="51">
        <v>8.6</v>
      </c>
      <c r="Y98" s="51">
        <v>12.8</v>
      </c>
      <c r="Z98" s="111">
        <v>4.2</v>
      </c>
      <c r="AA98" s="51">
        <v>5.8</v>
      </c>
      <c r="AB98" s="51">
        <v>5.4</v>
      </c>
      <c r="AC98" s="51"/>
      <c r="AD98" s="51"/>
      <c r="AE98" s="51">
        <v>9.8000000000000007</v>
      </c>
      <c r="AF98" s="51">
        <v>8.1999999999999993</v>
      </c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17</v>
      </c>
      <c r="AQ98" s="89">
        <f t="shared" si="7"/>
        <v>8.2941176470588243</v>
      </c>
      <c r="AR98" s="89">
        <f>IFERROR(VLOOKUP(A98,Climatologia!A:U,9+$E$2,FALSE),"")</f>
        <v>6.6085478664622164</v>
      </c>
      <c r="AS98" s="89">
        <f t="shared" si="8"/>
        <v>1.6855697805966079</v>
      </c>
      <c r="AT98" s="90">
        <f t="shared" si="9"/>
        <v>4.2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-1.4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0"/>
        <v>5.6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</v>
      </c>
      <c r="L99" s="51">
        <v>7.2</v>
      </c>
      <c r="M99" s="51">
        <v>10.199999999999999</v>
      </c>
      <c r="N99" s="51"/>
      <c r="O99" s="51">
        <v>10.199999999999999</v>
      </c>
      <c r="P99" s="51">
        <v>10</v>
      </c>
      <c r="Q99" s="51">
        <v>10.199999999999999</v>
      </c>
      <c r="R99" s="51">
        <v>10.199999999999999</v>
      </c>
      <c r="S99" s="51">
        <v>9.8000000000000007</v>
      </c>
      <c r="T99" s="51">
        <v>8.8000000000000007</v>
      </c>
      <c r="U99" s="51"/>
      <c r="V99" s="51"/>
      <c r="W99" s="51"/>
      <c r="X99" s="51">
        <v>6.4</v>
      </c>
      <c r="Y99" s="51">
        <v>10.4</v>
      </c>
      <c r="Z99" s="111">
        <v>7.8</v>
      </c>
      <c r="AA99" s="51">
        <v>8.6</v>
      </c>
      <c r="AB99" s="51">
        <v>6.4</v>
      </c>
      <c r="AC99" s="51">
        <v>10.199999999999999</v>
      </c>
      <c r="AD99" s="51">
        <v>11</v>
      </c>
      <c r="AE99" s="51">
        <v>9.1999999999999993</v>
      </c>
      <c r="AF99" s="51">
        <v>10.199999999999999</v>
      </c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18</v>
      </c>
      <c r="AQ99" s="89">
        <f t="shared" si="7"/>
        <v>9.2666666666666657</v>
      </c>
      <c r="AR99" s="89">
        <f>IFERROR(VLOOKUP(A99,Climatologia!A:U,9+$E$2,FALSE),"")</f>
        <v>8.6035988588983976</v>
      </c>
      <c r="AS99" s="89">
        <f t="shared" si="8"/>
        <v>0.66306780776826812</v>
      </c>
      <c r="AT99" s="90">
        <f t="shared" si="9"/>
        <v>6.4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1.8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9" s="92">
        <f t="shared" si="10"/>
        <v>4.6000000000000005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9.6</v>
      </c>
      <c r="L100" s="51">
        <v>7.8</v>
      </c>
      <c r="M100" s="51">
        <v>9</v>
      </c>
      <c r="N100" s="51">
        <v>8</v>
      </c>
      <c r="O100" s="51">
        <v>8.1999999999999993</v>
      </c>
      <c r="P100" s="51"/>
      <c r="Q100" s="51">
        <v>9</v>
      </c>
      <c r="R100" s="51">
        <v>9.1999999999999993</v>
      </c>
      <c r="S100" s="51">
        <v>8.8000000000000007</v>
      </c>
      <c r="T100" s="51">
        <v>9.4</v>
      </c>
      <c r="U100" s="51">
        <v>8</v>
      </c>
      <c r="V100" s="51">
        <v>8.8000000000000007</v>
      </c>
      <c r="W100" s="51">
        <v>5.2</v>
      </c>
      <c r="X100" s="51">
        <v>5.2</v>
      </c>
      <c r="Y100" s="51">
        <v>10.199999999999999</v>
      </c>
      <c r="Z100" s="111">
        <v>7.2</v>
      </c>
      <c r="AA100" s="51">
        <v>8.1999999999999993</v>
      </c>
      <c r="AB100" s="51">
        <v>8.1999999999999993</v>
      </c>
      <c r="AC100" s="51">
        <v>8</v>
      </c>
      <c r="AD100" s="51">
        <v>7.8</v>
      </c>
      <c r="AE100" s="51">
        <v>7.6</v>
      </c>
      <c r="AF100" s="51">
        <v>6.6</v>
      </c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21</v>
      </c>
      <c r="AQ100" s="89">
        <f t="shared" si="7"/>
        <v>8.0952380952380949</v>
      </c>
      <c r="AR100" s="89">
        <f>IFERROR(VLOOKUP(A100,Climatologia!A:U,9+$E$2,FALSE),"")</f>
        <v>7.1380787981158749</v>
      </c>
      <c r="AS100" s="89">
        <f t="shared" si="8"/>
        <v>0.95715929712222003</v>
      </c>
      <c r="AT100" s="90">
        <f t="shared" si="9"/>
        <v>5.2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17.58747112704102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12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10.726671292953201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5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12.2</v>
      </c>
      <c r="L103" s="51">
        <v>12</v>
      </c>
      <c r="M103" s="51">
        <v>12</v>
      </c>
      <c r="N103" s="51">
        <v>12</v>
      </c>
      <c r="O103" s="51">
        <v>12.4</v>
      </c>
      <c r="P103" s="51">
        <v>12</v>
      </c>
      <c r="Q103" s="51"/>
      <c r="R103" s="51"/>
      <c r="S103" s="51">
        <v>12</v>
      </c>
      <c r="T103" s="51">
        <v>12.6</v>
      </c>
      <c r="U103" s="51">
        <v>10.8</v>
      </c>
      <c r="V103" s="51">
        <v>12</v>
      </c>
      <c r="W103" s="51">
        <v>11</v>
      </c>
      <c r="X103" s="51">
        <v>11.2</v>
      </c>
      <c r="Y103" s="51">
        <v>12</v>
      </c>
      <c r="Z103" s="111">
        <v>11</v>
      </c>
      <c r="AA103" s="51">
        <v>11.2</v>
      </c>
      <c r="AB103" s="51">
        <v>11</v>
      </c>
      <c r="AC103" s="51">
        <v>14</v>
      </c>
      <c r="AD103" s="51">
        <v>14</v>
      </c>
      <c r="AE103" s="51">
        <v>14.8</v>
      </c>
      <c r="AF103" s="51">
        <v>11.2</v>
      </c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20</v>
      </c>
      <c r="AQ103" s="89">
        <f t="shared" si="7"/>
        <v>12.069999999999999</v>
      </c>
      <c r="AR103" s="89">
        <f>IFERROR(VLOOKUP(A103,Climatologia!A:U,9+$E$2,FALSE),"")</f>
        <v>11.27595769595214</v>
      </c>
      <c r="AS103" s="89">
        <f t="shared" si="8"/>
        <v>0.79404230404785814</v>
      </c>
      <c r="AT103" s="90">
        <f t="shared" si="9"/>
        <v>10.8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3" s="92">
        <f t="shared" si="10"/>
        <v>4.2000000000000011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7.8</v>
      </c>
      <c r="L104" s="109">
        <v>3.6</v>
      </c>
      <c r="M104" s="51"/>
      <c r="N104" s="51">
        <v>7</v>
      </c>
      <c r="O104" s="51"/>
      <c r="P104" s="51">
        <v>7.2</v>
      </c>
      <c r="Q104" s="51">
        <v>6.8</v>
      </c>
      <c r="R104" s="51">
        <v>7.4</v>
      </c>
      <c r="S104" s="51"/>
      <c r="T104" s="51"/>
      <c r="U104" s="51">
        <v>3.2</v>
      </c>
      <c r="V104" s="51"/>
      <c r="W104" s="51"/>
      <c r="X104" s="51">
        <v>4.2</v>
      </c>
      <c r="Y104" s="51">
        <v>7.2</v>
      </c>
      <c r="Z104" s="111">
        <v>1.4</v>
      </c>
      <c r="AA104" s="51">
        <v>2</v>
      </c>
      <c r="AB104" s="51">
        <v>3</v>
      </c>
      <c r="AC104" s="51">
        <v>7.8</v>
      </c>
      <c r="AD104" s="51">
        <v>8.6</v>
      </c>
      <c r="AE104" s="51">
        <v>6.2</v>
      </c>
      <c r="AF104" s="51">
        <v>3.8</v>
      </c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16</v>
      </c>
      <c r="AQ104" s="89">
        <f t="shared" si="7"/>
        <v>5.45</v>
      </c>
      <c r="AR104" s="89">
        <f>IFERROR(VLOOKUP(A104,Climatologia!A:U,9+$E$2,FALSE),"")</f>
        <v>5.4140939864595783</v>
      </c>
      <c r="AS104" s="89">
        <f t="shared" si="8"/>
        <v>3.5906013540421888E-2</v>
      </c>
      <c r="AT104" s="90">
        <f t="shared" si="9"/>
        <v>1.4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4" s="92">
        <f t="shared" si="10"/>
        <v>2.4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4.2</v>
      </c>
      <c r="L105" s="51">
        <v>4.2</v>
      </c>
      <c r="M105" s="51">
        <v>6.8</v>
      </c>
      <c r="N105" s="51">
        <v>8.1999999999999993</v>
      </c>
      <c r="O105" s="51">
        <v>8.1999999999999993</v>
      </c>
      <c r="P105" s="51">
        <v>8</v>
      </c>
      <c r="Q105" s="51">
        <v>7.6</v>
      </c>
      <c r="R105" s="51">
        <v>9.1999999999999993</v>
      </c>
      <c r="S105" s="51">
        <v>9</v>
      </c>
      <c r="T105" s="51">
        <v>6.4</v>
      </c>
      <c r="U105" s="51">
        <v>4.4000000000000004</v>
      </c>
      <c r="V105" s="51">
        <v>4.2</v>
      </c>
      <c r="W105" s="51">
        <v>4.2</v>
      </c>
      <c r="X105" s="51">
        <v>4.8</v>
      </c>
      <c r="Y105" s="51">
        <v>10</v>
      </c>
      <c r="Z105" s="111">
        <v>5.2</v>
      </c>
      <c r="AA105" s="51">
        <v>5.2</v>
      </c>
      <c r="AB105" s="51">
        <v>4.2</v>
      </c>
      <c r="AC105" s="51">
        <v>8.4</v>
      </c>
      <c r="AD105" s="51">
        <v>5.5</v>
      </c>
      <c r="AE105" s="51">
        <v>8</v>
      </c>
      <c r="AF105" s="51">
        <v>6.4</v>
      </c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22</v>
      </c>
      <c r="AQ105" s="89">
        <f t="shared" si="7"/>
        <v>6.4681818181818196</v>
      </c>
      <c r="AR105" s="89">
        <f>IFERROR(VLOOKUP(A105,Climatologia!A:U,9+$E$2,FALSE),"")</f>
        <v>6.7483058935476308</v>
      </c>
      <c r="AS105" s="89">
        <f t="shared" si="8"/>
        <v>-0.28012407536581119</v>
      </c>
      <c r="AT105" s="90">
        <f t="shared" si="9"/>
        <v>4.2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-1.4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5" s="92">
        <f t="shared" si="10"/>
        <v>5.6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11.2</v>
      </c>
      <c r="L106" s="51">
        <v>11.4</v>
      </c>
      <c r="M106" s="51">
        <v>11.2</v>
      </c>
      <c r="N106" s="51">
        <v>11</v>
      </c>
      <c r="O106" s="51">
        <v>11.2</v>
      </c>
      <c r="P106" s="51">
        <v>11.2</v>
      </c>
      <c r="Q106" s="51">
        <v>11</v>
      </c>
      <c r="R106" s="51">
        <v>11.8</v>
      </c>
      <c r="S106" s="51">
        <v>12.6</v>
      </c>
      <c r="T106" s="51">
        <v>11.2</v>
      </c>
      <c r="U106" s="51">
        <v>10.4</v>
      </c>
      <c r="V106" s="51">
        <v>11.4</v>
      </c>
      <c r="W106" s="51">
        <v>9.8000000000000007</v>
      </c>
      <c r="X106" s="51">
        <v>11.4</v>
      </c>
      <c r="Y106" s="51">
        <v>11.4</v>
      </c>
      <c r="Z106" s="111">
        <v>10.6</v>
      </c>
      <c r="AA106" s="51">
        <v>10.6</v>
      </c>
      <c r="AB106" s="51">
        <v>10.4</v>
      </c>
      <c r="AC106" s="51">
        <v>10.6</v>
      </c>
      <c r="AD106" s="51">
        <v>10.4</v>
      </c>
      <c r="AE106" s="51">
        <v>11</v>
      </c>
      <c r="AF106" s="51">
        <v>11</v>
      </c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22</v>
      </c>
      <c r="AQ106" s="89">
        <f t="shared" si="7"/>
        <v>11.036363636363637</v>
      </c>
      <c r="AR106" s="89">
        <f>IFERROR(VLOOKUP(A106,Climatologia!A:U,9+$E$2,FALSE),"")</f>
        <v>10.11868743047831</v>
      </c>
      <c r="AS106" s="89">
        <f t="shared" si="8"/>
        <v>0.91767620588532672</v>
      </c>
      <c r="AT106" s="90">
        <f t="shared" si="9"/>
        <v>9.8000000000000007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4.2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6" s="92">
        <f t="shared" si="10"/>
        <v>5.6000000000000005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14.2</v>
      </c>
      <c r="L107" s="51">
        <v>14</v>
      </c>
      <c r="M107" s="51">
        <v>14.2</v>
      </c>
      <c r="N107" s="51">
        <v>14.6</v>
      </c>
      <c r="O107" s="51">
        <v>14.2</v>
      </c>
      <c r="P107" s="51">
        <v>13.2</v>
      </c>
      <c r="Q107" s="51">
        <v>14.8</v>
      </c>
      <c r="R107" s="51">
        <v>14.8</v>
      </c>
      <c r="S107" s="51">
        <v>15.6</v>
      </c>
      <c r="T107" s="51">
        <v>13</v>
      </c>
      <c r="U107" s="51">
        <v>13.6</v>
      </c>
      <c r="V107" s="51">
        <v>13.2</v>
      </c>
      <c r="W107" s="51">
        <v>12.8</v>
      </c>
      <c r="X107" s="51">
        <v>14</v>
      </c>
      <c r="Y107" s="51">
        <v>14.4</v>
      </c>
      <c r="Z107" s="111">
        <v>14.8</v>
      </c>
      <c r="AA107" s="51">
        <v>15</v>
      </c>
      <c r="AB107" s="51">
        <v>15.2</v>
      </c>
      <c r="AC107" s="51">
        <v>14</v>
      </c>
      <c r="AD107" s="51">
        <v>15.8</v>
      </c>
      <c r="AE107" s="51">
        <v>14.6</v>
      </c>
      <c r="AF107" s="51">
        <v>14.2</v>
      </c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22</v>
      </c>
      <c r="AQ107" s="89">
        <f t="shared" si="7"/>
        <v>14.281818181818183</v>
      </c>
      <c r="AR107" s="89">
        <f>IFERROR(VLOOKUP(A107,Climatologia!A:U,9+$E$2,FALSE),"")</f>
        <v>13.701938132316331</v>
      </c>
      <c r="AS107" s="89">
        <f t="shared" si="8"/>
        <v>0.57988004950185257</v>
      </c>
      <c r="AT107" s="90">
        <f t="shared" si="9"/>
        <v>12.8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7.3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7" s="92">
        <f t="shared" si="10"/>
        <v>5.5000000000000009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12.4</v>
      </c>
      <c r="L108" s="51">
        <v>11.4</v>
      </c>
      <c r="M108" s="51">
        <v>13</v>
      </c>
      <c r="N108" s="51">
        <v>12.8</v>
      </c>
      <c r="O108" s="51">
        <v>13.6</v>
      </c>
      <c r="P108" s="51">
        <v>13.2</v>
      </c>
      <c r="Q108" s="51">
        <v>14.1</v>
      </c>
      <c r="R108" s="51">
        <v>12.6</v>
      </c>
      <c r="S108" s="51">
        <v>13.8</v>
      </c>
      <c r="T108" s="51">
        <v>11.8</v>
      </c>
      <c r="U108" s="51">
        <v>11.4</v>
      </c>
      <c r="V108" s="51">
        <v>12.6</v>
      </c>
      <c r="W108" s="51">
        <v>12</v>
      </c>
      <c r="X108" s="51">
        <v>10.8</v>
      </c>
      <c r="Y108" s="51">
        <v>13.2</v>
      </c>
      <c r="Z108" s="111">
        <v>13.8</v>
      </c>
      <c r="AA108" s="51">
        <v>11.4</v>
      </c>
      <c r="AB108" s="51">
        <v>9.8000000000000007</v>
      </c>
      <c r="AC108" s="51">
        <v>12</v>
      </c>
      <c r="AD108" s="51">
        <v>13.6</v>
      </c>
      <c r="AE108" s="51">
        <v>12.8</v>
      </c>
      <c r="AF108" s="51">
        <v>13.6</v>
      </c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22</v>
      </c>
      <c r="AQ108" s="89">
        <f t="shared" si="7"/>
        <v>12.531818181818183</v>
      </c>
      <c r="AR108" s="89">
        <f>IFERROR(VLOOKUP(A108,Climatologia!A:U,9+$E$2,FALSE),"")</f>
        <v>11.932798761909369</v>
      </c>
      <c r="AS108" s="89">
        <f t="shared" si="8"/>
        <v>0.59901941990881369</v>
      </c>
      <c r="AT108" s="90">
        <f t="shared" si="9"/>
        <v>9.8000000000000007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6.2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8" s="92">
        <f t="shared" si="10"/>
        <v>3.6000000000000005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14.6</v>
      </c>
      <c r="L109" s="51">
        <v>14.8</v>
      </c>
      <c r="M109" s="51">
        <v>14.4</v>
      </c>
      <c r="N109" s="51">
        <v>14.6</v>
      </c>
      <c r="O109" s="51">
        <v>14</v>
      </c>
      <c r="P109" s="51">
        <v>13.2</v>
      </c>
      <c r="Q109" s="51">
        <v>15</v>
      </c>
      <c r="R109" s="51">
        <v>14.4</v>
      </c>
      <c r="S109" s="51">
        <v>16.399999999999999</v>
      </c>
      <c r="T109" s="51">
        <v>13</v>
      </c>
      <c r="U109" s="51">
        <v>14</v>
      </c>
      <c r="V109" s="51">
        <v>15.4</v>
      </c>
      <c r="W109" s="51">
        <v>13.4</v>
      </c>
      <c r="X109" s="51">
        <v>14</v>
      </c>
      <c r="Y109" s="51">
        <v>15.2</v>
      </c>
      <c r="Z109" s="111">
        <v>15.4</v>
      </c>
      <c r="AA109" s="51">
        <v>15.8</v>
      </c>
      <c r="AB109" s="51">
        <v>16</v>
      </c>
      <c r="AC109" s="51">
        <v>14.6</v>
      </c>
      <c r="AD109" s="51">
        <v>15.8</v>
      </c>
      <c r="AE109" s="51">
        <v>14</v>
      </c>
      <c r="AF109" s="51">
        <v>14.6</v>
      </c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22</v>
      </c>
      <c r="AQ109" s="89">
        <f t="shared" si="7"/>
        <v>14.663636363636368</v>
      </c>
      <c r="AR109" s="89">
        <f>IFERROR(VLOOKUP(A109,Climatologia!A:U,9+$E$2,FALSE),"")</f>
        <v>13.551301836348379</v>
      </c>
      <c r="AS109" s="89">
        <f t="shared" si="8"/>
        <v>1.1123345272879881</v>
      </c>
      <c r="AT109" s="90">
        <f t="shared" si="9"/>
        <v>13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9.4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9" s="92">
        <f t="shared" si="10"/>
        <v>3.5999999999999996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15.2</v>
      </c>
      <c r="L110" s="51">
        <v>15.6</v>
      </c>
      <c r="M110" s="51">
        <v>15.4</v>
      </c>
      <c r="N110" s="51">
        <v>15.8</v>
      </c>
      <c r="O110" s="51">
        <v>15.8</v>
      </c>
      <c r="P110" s="51">
        <v>15.4</v>
      </c>
      <c r="Q110" s="51">
        <v>15.4</v>
      </c>
      <c r="R110" s="51">
        <v>15.6</v>
      </c>
      <c r="S110" s="51">
        <v>16.600000000000001</v>
      </c>
      <c r="T110" s="51">
        <v>14.6</v>
      </c>
      <c r="U110" s="51">
        <v>14.6</v>
      </c>
      <c r="V110" s="51">
        <v>16.2</v>
      </c>
      <c r="W110" s="51">
        <v>14.2</v>
      </c>
      <c r="X110" s="51">
        <v>15.2</v>
      </c>
      <c r="Y110" s="51">
        <v>15.2</v>
      </c>
      <c r="Z110" s="111">
        <v>16.8</v>
      </c>
      <c r="AA110" s="51">
        <v>16.8</v>
      </c>
      <c r="AB110" s="51">
        <v>16.399999999999999</v>
      </c>
      <c r="AC110" s="51">
        <v>15.6</v>
      </c>
      <c r="AD110" s="51">
        <v>16.399999999999999</v>
      </c>
      <c r="AE110" s="51">
        <v>15.6</v>
      </c>
      <c r="AF110" s="51">
        <v>16.2</v>
      </c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22</v>
      </c>
      <c r="AQ110" s="89">
        <f t="shared" si="7"/>
        <v>15.663636363636362</v>
      </c>
      <c r="AR110" s="89">
        <f>IFERROR(VLOOKUP(A110,Climatologia!A:U,9+$E$2,FALSE),"")</f>
        <v>13.61231765453679</v>
      </c>
      <c r="AS110" s="89">
        <f t="shared" si="8"/>
        <v>2.0513187090995721</v>
      </c>
      <c r="AT110" s="90">
        <f t="shared" si="9"/>
        <v>14.2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10" s="92">
        <f t="shared" si="10"/>
        <v>6.1999999999999993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18.2</v>
      </c>
      <c r="L111" s="51">
        <v>18.399999999999999</v>
      </c>
      <c r="M111" s="51">
        <v>17.600000000000001</v>
      </c>
      <c r="N111" s="51">
        <v>18.2</v>
      </c>
      <c r="O111" s="51"/>
      <c r="P111" s="51"/>
      <c r="Q111" s="51">
        <v>19.2</v>
      </c>
      <c r="R111" s="51">
        <v>17.8</v>
      </c>
      <c r="S111" s="51">
        <v>19.600000000000001</v>
      </c>
      <c r="T111" s="51">
        <v>16.600000000000001</v>
      </c>
      <c r="U111" s="51">
        <v>18</v>
      </c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9</v>
      </c>
      <c r="AQ111" s="89" t="str">
        <f t="shared" si="7"/>
        <v/>
      </c>
      <c r="AR111" s="89">
        <f>IFERROR(VLOOKUP(A111,Climatologia!A:U,9+$E$2,FALSE),"")</f>
        <v>16.896189639584598</v>
      </c>
      <c r="AS111" s="89" t="str">
        <f t="shared" si="8"/>
        <v/>
      </c>
      <c r="AT111" s="90">
        <f t="shared" si="9"/>
        <v>16.600000000000001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1" s="92">
        <f t="shared" si="10"/>
        <v>5.6000000000000014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22.4</v>
      </c>
      <c r="L112" s="51">
        <v>22.8</v>
      </c>
      <c r="M112" s="51">
        <v>22.8</v>
      </c>
      <c r="N112" s="51">
        <v>23.2</v>
      </c>
      <c r="O112" s="51">
        <v>22.1</v>
      </c>
      <c r="P112" s="51">
        <v>22.8</v>
      </c>
      <c r="Q112" s="51">
        <v>22.8</v>
      </c>
      <c r="R112" s="51">
        <v>23.4</v>
      </c>
      <c r="S112" s="51">
        <v>23.8</v>
      </c>
      <c r="T112" s="51">
        <v>21.8</v>
      </c>
      <c r="U112" s="51">
        <v>22</v>
      </c>
      <c r="V112" s="51">
        <v>22.4</v>
      </c>
      <c r="W112" s="51">
        <v>22.2</v>
      </c>
      <c r="X112" s="51">
        <v>24.2</v>
      </c>
      <c r="Y112" s="51">
        <v>24</v>
      </c>
      <c r="Z112" s="111">
        <v>24</v>
      </c>
      <c r="AA112" s="51">
        <v>24.4</v>
      </c>
      <c r="AB112" s="51">
        <v>24.4</v>
      </c>
      <c r="AC112" s="51">
        <v>22.6</v>
      </c>
      <c r="AD112" s="51">
        <v>21.9</v>
      </c>
      <c r="AE112" s="51">
        <v>22.6</v>
      </c>
      <c r="AF112" s="51">
        <v>23.6</v>
      </c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22</v>
      </c>
      <c r="AQ112" s="89">
        <f t="shared" si="7"/>
        <v>23.009090909090911</v>
      </c>
      <c r="AR112" s="89">
        <f>IFERROR(VLOOKUP(A112,Climatologia!A:U,9+$E$2,FALSE),"")</f>
        <v>22.231405456385989</v>
      </c>
      <c r="AS112" s="89">
        <f t="shared" si="8"/>
        <v>0.7776854527049224</v>
      </c>
      <c r="AT112" s="90">
        <f t="shared" si="9"/>
        <v>21.8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16.5</v>
      </c>
      <c r="L113" s="51">
        <v>14.8</v>
      </c>
      <c r="M113" s="51">
        <v>16.8</v>
      </c>
      <c r="N113" s="51">
        <v>14.6</v>
      </c>
      <c r="O113" s="51">
        <v>16</v>
      </c>
      <c r="P113" s="51">
        <v>14.6</v>
      </c>
      <c r="Q113" s="51">
        <v>14.4</v>
      </c>
      <c r="R113" s="51">
        <v>14.8</v>
      </c>
      <c r="S113" s="51">
        <v>14.6</v>
      </c>
      <c r="T113" s="51"/>
      <c r="U113" s="51">
        <v>15.8</v>
      </c>
      <c r="V113" s="51">
        <v>14.6</v>
      </c>
      <c r="W113" s="51">
        <v>14.4</v>
      </c>
      <c r="X113" s="51">
        <v>14.2</v>
      </c>
      <c r="Y113" s="51">
        <v>14.2</v>
      </c>
      <c r="Z113" s="111">
        <v>15.4</v>
      </c>
      <c r="AA113" s="51">
        <v>14.6</v>
      </c>
      <c r="AB113" s="51">
        <v>14.4</v>
      </c>
      <c r="AC113" s="51">
        <v>14.6</v>
      </c>
      <c r="AD113" s="51">
        <v>16.5</v>
      </c>
      <c r="AE113" s="51">
        <v>15.6</v>
      </c>
      <c r="AF113" s="51">
        <v>14.2</v>
      </c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21</v>
      </c>
      <c r="AQ113" s="89">
        <f t="shared" si="7"/>
        <v>15.02857142857143</v>
      </c>
      <c r="AR113" s="89">
        <f>IFERROR(VLOOKUP(A113,Climatologia!A:U,9+$E$2,FALSE),"")</f>
        <v>15.22725499231951</v>
      </c>
      <c r="AS113" s="89">
        <f t="shared" si="8"/>
        <v>-0.19868356374808016</v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9.8000000000000007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3" s="92">
        <f t="shared" si="10"/>
        <v>4.3999999999999986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19</v>
      </c>
      <c r="M114" s="51">
        <v>19.2</v>
      </c>
      <c r="N114" s="51">
        <v>19.600000000000001</v>
      </c>
      <c r="O114" s="51">
        <v>18.600000000000001</v>
      </c>
      <c r="P114" s="51">
        <v>19.2</v>
      </c>
      <c r="Q114" s="51">
        <v>20.8</v>
      </c>
      <c r="R114" s="51">
        <v>19.600000000000001</v>
      </c>
      <c r="S114" s="51">
        <v>19</v>
      </c>
      <c r="T114" s="51">
        <v>18.600000000000001</v>
      </c>
      <c r="U114" s="51">
        <v>19</v>
      </c>
      <c r="V114" s="51">
        <v>19.600000000000001</v>
      </c>
      <c r="W114" s="51">
        <v>18.8</v>
      </c>
      <c r="X114" s="51">
        <v>20.6</v>
      </c>
      <c r="Y114" s="51">
        <v>20.399999999999999</v>
      </c>
      <c r="Z114" s="111">
        <v>20.6</v>
      </c>
      <c r="AA114" s="51">
        <v>21.2</v>
      </c>
      <c r="AB114" s="51">
        <v>21</v>
      </c>
      <c r="AC114" s="51">
        <v>18.600000000000001</v>
      </c>
      <c r="AD114" s="51">
        <v>19</v>
      </c>
      <c r="AE114" s="51">
        <v>18.8</v>
      </c>
      <c r="AF114" s="51">
        <v>24</v>
      </c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22</v>
      </c>
      <c r="AQ114" s="89">
        <f t="shared" si="7"/>
        <v>19.763636363636365</v>
      </c>
      <c r="AR114" s="89">
        <f>IFERROR(VLOOKUP(A114,Climatologia!A:U,9+$E$2,FALSE),"")</f>
        <v>21.8744421098889</v>
      </c>
      <c r="AS114" s="89">
        <f t="shared" si="8"/>
        <v>-2.1108057462525345</v>
      </c>
      <c r="AT114" s="90">
        <f t="shared" si="9"/>
        <v>18.600000000000001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17.8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4" s="92">
        <f t="shared" si="10"/>
        <v>0.80000000000000071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22.4</v>
      </c>
      <c r="L115" s="51">
        <v>22</v>
      </c>
      <c r="M115" s="51">
        <v>22.8</v>
      </c>
      <c r="N115" s="51">
        <v>23</v>
      </c>
      <c r="O115" s="51">
        <v>22.2</v>
      </c>
      <c r="P115" s="51">
        <v>22.4</v>
      </c>
      <c r="Q115" s="51">
        <v>23.8</v>
      </c>
      <c r="R115" s="51">
        <v>23.4</v>
      </c>
      <c r="S115" s="51">
        <v>22.8</v>
      </c>
      <c r="T115" s="51">
        <v>23</v>
      </c>
      <c r="U115" s="51">
        <v>23.4</v>
      </c>
      <c r="V115" s="51">
        <v>23.2</v>
      </c>
      <c r="W115" s="51">
        <v>22.8</v>
      </c>
      <c r="X115" s="51">
        <v>24</v>
      </c>
      <c r="Y115" s="51">
        <v>23.6</v>
      </c>
      <c r="Z115" s="111">
        <v>22.8</v>
      </c>
      <c r="AA115" s="51">
        <v>23.8</v>
      </c>
      <c r="AB115" s="51">
        <v>25</v>
      </c>
      <c r="AC115" s="51">
        <v>22.4</v>
      </c>
      <c r="AD115" s="51">
        <v>21.6</v>
      </c>
      <c r="AE115" s="51">
        <v>23</v>
      </c>
      <c r="AF115" s="51">
        <v>23.2</v>
      </c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22</v>
      </c>
      <c r="AQ115" s="89">
        <f t="shared" si="7"/>
        <v>23.027272727272731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21.6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19.399999999999999</v>
      </c>
      <c r="L116" s="51">
        <v>19.2</v>
      </c>
      <c r="M116" s="51">
        <v>20.2</v>
      </c>
      <c r="N116" s="51">
        <v>19.600000000000001</v>
      </c>
      <c r="O116" s="51">
        <v>20.399999999999999</v>
      </c>
      <c r="P116" s="51">
        <v>21.4</v>
      </c>
      <c r="Q116" s="51">
        <v>20.2</v>
      </c>
      <c r="R116" s="51">
        <v>19.399999999999999</v>
      </c>
      <c r="S116" s="51">
        <v>20.2</v>
      </c>
      <c r="T116" s="51">
        <v>20.2</v>
      </c>
      <c r="U116" s="51">
        <v>21.6</v>
      </c>
      <c r="V116" s="51">
        <v>19.2</v>
      </c>
      <c r="W116" s="51">
        <v>20.399999999999999</v>
      </c>
      <c r="X116" s="51">
        <v>19.2</v>
      </c>
      <c r="Y116" s="51">
        <v>20.2</v>
      </c>
      <c r="Z116" s="111">
        <v>21.4</v>
      </c>
      <c r="AA116" s="51">
        <v>22.4</v>
      </c>
      <c r="AB116" s="51">
        <v>20.2</v>
      </c>
      <c r="AC116" s="51">
        <v>21.2</v>
      </c>
      <c r="AD116" s="51">
        <v>20.399999999999999</v>
      </c>
      <c r="AE116" s="51">
        <v>19.2</v>
      </c>
      <c r="AF116" s="51">
        <v>22.6</v>
      </c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22</v>
      </c>
      <c r="AQ116" s="89">
        <f t="shared" si="7"/>
        <v>20.372727272727268</v>
      </c>
      <c r="AR116" s="89">
        <f>IFERROR(VLOOKUP(A116,Climatologia!A:U,9+$E$2,FALSE),"")</f>
        <v>18.265873654442618</v>
      </c>
      <c r="AS116" s="89">
        <f t="shared" si="8"/>
        <v>2.1068536182846493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16.100000000000001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6" s="92">
        <f t="shared" si="10"/>
        <v>3.0999999999999979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/>
      <c r="L117" s="51">
        <v>22</v>
      </c>
      <c r="M117" s="51">
        <v>22.4</v>
      </c>
      <c r="N117" s="51">
        <v>23</v>
      </c>
      <c r="O117" s="51">
        <v>20.8</v>
      </c>
      <c r="P117" s="51">
        <v>23</v>
      </c>
      <c r="Q117" s="51"/>
      <c r="R117" s="51"/>
      <c r="S117" s="51">
        <v>20</v>
      </c>
      <c r="T117" s="51">
        <v>20</v>
      </c>
      <c r="U117" s="51">
        <v>23.2</v>
      </c>
      <c r="V117" s="51">
        <v>23.2</v>
      </c>
      <c r="W117" s="51">
        <v>22</v>
      </c>
      <c r="X117" s="51">
        <v>22.4</v>
      </c>
      <c r="Y117" s="51">
        <v>24.4</v>
      </c>
      <c r="Z117" s="111">
        <v>24.4</v>
      </c>
      <c r="AA117" s="51">
        <v>24.2</v>
      </c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14</v>
      </c>
      <c r="AQ117" s="89" t="str">
        <f t="shared" si="7"/>
        <v/>
      </c>
      <c r="AR117" s="89">
        <f>IFERROR(VLOOKUP(A117,Climatologia!A:U,9+$E$2,FALSE),"")</f>
        <v>22.029592386602399</v>
      </c>
      <c r="AS117" s="89" t="str">
        <f t="shared" si="8"/>
        <v/>
      </c>
      <c r="AT117" s="90">
        <f t="shared" si="9"/>
        <v>20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7" s="92">
        <f t="shared" si="10"/>
        <v>1.1999999999999993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21.674986479595521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13.2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9.1999999999999993</v>
      </c>
      <c r="L119" s="51">
        <v>10.4</v>
      </c>
      <c r="M119" s="51">
        <v>9.6</v>
      </c>
      <c r="N119" s="51">
        <v>8.6</v>
      </c>
      <c r="O119" s="51">
        <v>7</v>
      </c>
      <c r="P119" s="51">
        <v>6.2</v>
      </c>
      <c r="Q119" s="51">
        <v>7.6</v>
      </c>
      <c r="R119" s="51">
        <v>10</v>
      </c>
      <c r="S119" s="51">
        <v>8.4</v>
      </c>
      <c r="T119" s="51">
        <v>9.6</v>
      </c>
      <c r="U119" s="51">
        <v>9</v>
      </c>
      <c r="V119" s="51">
        <v>7.6</v>
      </c>
      <c r="W119" s="51">
        <v>9.4</v>
      </c>
      <c r="X119" s="51">
        <v>8.1999999999999993</v>
      </c>
      <c r="Y119" s="51">
        <v>7</v>
      </c>
      <c r="Z119" s="111">
        <v>10</v>
      </c>
      <c r="AA119" s="51">
        <v>10.6</v>
      </c>
      <c r="AB119" s="51">
        <v>9.1999999999999993</v>
      </c>
      <c r="AC119" s="51">
        <v>5.8</v>
      </c>
      <c r="AD119" s="51">
        <v>6.4</v>
      </c>
      <c r="AE119" s="51">
        <v>5.2</v>
      </c>
      <c r="AF119" s="51">
        <v>4</v>
      </c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22</v>
      </c>
      <c r="AQ119" s="89">
        <f t="shared" si="7"/>
        <v>8.1363636363636367</v>
      </c>
      <c r="AR119" s="89">
        <f>IFERROR(VLOOKUP(A119,Climatologia!A:U,9+$E$2,FALSE),"")</f>
        <v>6.6382228524164031</v>
      </c>
      <c r="AS119" s="89">
        <f t="shared" si="8"/>
        <v>1.4981407839472336</v>
      </c>
      <c r="AT119" s="90">
        <f t="shared" si="9"/>
        <v>4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-1.8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9" s="92">
        <f t="shared" si="10"/>
        <v>5.8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19.276408602150539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15.4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13.3</v>
      </c>
      <c r="L121" s="51">
        <v>12.7</v>
      </c>
      <c r="M121" s="51">
        <v>11.5</v>
      </c>
      <c r="N121" s="51">
        <v>12.1</v>
      </c>
      <c r="O121" s="51">
        <v>11.7</v>
      </c>
      <c r="P121" s="51">
        <v>12.8</v>
      </c>
      <c r="Q121" s="51">
        <v>13.5</v>
      </c>
      <c r="R121" s="51">
        <v>12.9</v>
      </c>
      <c r="S121" s="51">
        <v>13.2</v>
      </c>
      <c r="T121" s="51">
        <v>11.5</v>
      </c>
      <c r="U121" s="51">
        <v>12.3</v>
      </c>
      <c r="V121" s="51"/>
      <c r="W121" s="51">
        <v>11.7</v>
      </c>
      <c r="X121" s="51">
        <v>12.3</v>
      </c>
      <c r="Y121" s="51">
        <v>11.5</v>
      </c>
      <c r="Z121" s="111">
        <v>12.7</v>
      </c>
      <c r="AA121" s="51">
        <v>13.7</v>
      </c>
      <c r="AB121" s="51">
        <v>13</v>
      </c>
      <c r="AC121" s="51">
        <v>11.7</v>
      </c>
      <c r="AD121" s="51">
        <v>12.4</v>
      </c>
      <c r="AE121" s="51">
        <v>13</v>
      </c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20</v>
      </c>
      <c r="AQ121" s="89">
        <f t="shared" si="7"/>
        <v>12.474999999999998</v>
      </c>
      <c r="AR121" s="89">
        <f>IFERROR(VLOOKUP(A121,Climatologia!A:U,9+$E$2,FALSE),"")</f>
        <v>11.282109879431809</v>
      </c>
      <c r="AS121" s="89">
        <f t="shared" si="8"/>
        <v>1.1928901205681886</v>
      </c>
      <c r="AT121" s="90">
        <f t="shared" si="9"/>
        <v>11.5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2.5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1" s="92">
        <f t="shared" si="10"/>
        <v>9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13.328919783739719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8.5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10.199999999999999</v>
      </c>
      <c r="L123" s="51">
        <v>10</v>
      </c>
      <c r="M123" s="51">
        <v>9.8000000000000007</v>
      </c>
      <c r="N123" s="51">
        <v>9.6</v>
      </c>
      <c r="O123" s="51">
        <v>9.6</v>
      </c>
      <c r="P123" s="51">
        <v>10</v>
      </c>
      <c r="Q123" s="51">
        <v>10.199999999999999</v>
      </c>
      <c r="R123" s="51">
        <v>9.6</v>
      </c>
      <c r="S123" s="51">
        <v>10.4</v>
      </c>
      <c r="T123" s="51">
        <v>10.199999999999999</v>
      </c>
      <c r="U123" s="51">
        <v>9.4</v>
      </c>
      <c r="V123" s="51">
        <v>8.6</v>
      </c>
      <c r="W123" s="51">
        <v>6</v>
      </c>
      <c r="X123" s="51">
        <v>9</v>
      </c>
      <c r="Y123" s="51">
        <v>9.4</v>
      </c>
      <c r="Z123" s="111">
        <v>10</v>
      </c>
      <c r="AA123" s="51">
        <v>10</v>
      </c>
      <c r="AB123" s="51">
        <v>9.6</v>
      </c>
      <c r="AC123" s="51">
        <v>9.1999999999999993</v>
      </c>
      <c r="AD123" s="51">
        <v>8.1999999999999993</v>
      </c>
      <c r="AE123" s="51">
        <v>8.4</v>
      </c>
      <c r="AF123" s="51">
        <v>7.2</v>
      </c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22</v>
      </c>
      <c r="AQ123" s="89">
        <f t="shared" si="7"/>
        <v>9.2999999999999989</v>
      </c>
      <c r="AR123" s="89">
        <f>IFERROR(VLOOKUP(A123,Climatologia!A:U,9+$E$2,FALSE),"")</f>
        <v>8.088075663695717</v>
      </c>
      <c r="AS123" s="89">
        <f t="shared" si="8"/>
        <v>1.211924336304282</v>
      </c>
      <c r="AT123" s="90">
        <f t="shared" si="9"/>
        <v>6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0.8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3" s="92">
        <f t="shared" si="10"/>
        <v>5.2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20.704813297844161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16.5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23.186679533131141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13.6</v>
      </c>
      <c r="L126" s="51">
        <v>13.4</v>
      </c>
      <c r="M126" s="51">
        <v>12.5</v>
      </c>
      <c r="N126" s="51">
        <v>11.2</v>
      </c>
      <c r="O126" s="51">
        <v>12.5</v>
      </c>
      <c r="P126" s="51">
        <v>12.8</v>
      </c>
      <c r="Q126" s="51">
        <v>13.4</v>
      </c>
      <c r="R126" s="51">
        <v>13.9</v>
      </c>
      <c r="S126" s="51">
        <v>12.4</v>
      </c>
      <c r="T126" s="51">
        <v>14.2</v>
      </c>
      <c r="U126" s="51">
        <v>14.2</v>
      </c>
      <c r="V126" s="51">
        <v>12.6</v>
      </c>
      <c r="W126" s="51">
        <v>12.5</v>
      </c>
      <c r="X126" s="51">
        <v>12.3</v>
      </c>
      <c r="Y126" s="51">
        <v>13.2</v>
      </c>
      <c r="Z126" s="111">
        <v>14.3</v>
      </c>
      <c r="AA126" s="51">
        <v>14.2</v>
      </c>
      <c r="AB126" s="51">
        <v>13.3</v>
      </c>
      <c r="AC126" s="51">
        <v>11.4</v>
      </c>
      <c r="AD126" s="51">
        <v>10.3</v>
      </c>
      <c r="AE126" s="51">
        <v>10.8</v>
      </c>
      <c r="AF126" s="51">
        <v>11.2</v>
      </c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22</v>
      </c>
      <c r="AQ126" s="89">
        <f t="shared" si="7"/>
        <v>12.736363636363636</v>
      </c>
      <c r="AR126" s="89">
        <f>IFERROR(VLOOKUP(A126,Climatologia!A:U,9+$E$2,FALSE),"")</f>
        <v>11.599107526881721</v>
      </c>
      <c r="AS126" s="89">
        <f t="shared" si="8"/>
        <v>1.1372561094819158</v>
      </c>
      <c r="AT126" s="90">
        <f t="shared" si="9"/>
        <v>10.3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5.4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6" s="92">
        <f t="shared" si="10"/>
        <v>4.9000000000000004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15.2</v>
      </c>
      <c r="L127" s="51">
        <v>13.6</v>
      </c>
      <c r="M127" s="51">
        <v>14.2</v>
      </c>
      <c r="N127" s="51">
        <v>13.2</v>
      </c>
      <c r="O127" s="51">
        <v>13.6</v>
      </c>
      <c r="P127" s="51">
        <v>15.4</v>
      </c>
      <c r="Q127" s="51">
        <v>15</v>
      </c>
      <c r="R127" s="51">
        <v>15.2</v>
      </c>
      <c r="S127" s="51">
        <v>14.4</v>
      </c>
      <c r="T127" s="51">
        <v>15.6</v>
      </c>
      <c r="U127" s="51">
        <v>15.4</v>
      </c>
      <c r="V127" s="51">
        <v>13.6</v>
      </c>
      <c r="W127" s="51">
        <v>14.4</v>
      </c>
      <c r="X127" s="51">
        <v>13.8</v>
      </c>
      <c r="Y127" s="51">
        <v>14.2</v>
      </c>
      <c r="Z127" s="111">
        <v>15.2</v>
      </c>
      <c r="AA127" s="51">
        <v>15.6</v>
      </c>
      <c r="AB127" s="51">
        <v>16</v>
      </c>
      <c r="AC127" s="51">
        <v>13.4</v>
      </c>
      <c r="AD127" s="51">
        <v>12.4</v>
      </c>
      <c r="AE127" s="51">
        <v>12.6</v>
      </c>
      <c r="AF127" s="51">
        <v>13.2</v>
      </c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22</v>
      </c>
      <c r="AQ127" s="89">
        <f t="shared" si="7"/>
        <v>14.327272727272726</v>
      </c>
      <c r="AR127" s="89">
        <f>IFERROR(VLOOKUP(A127,Climatologia!A:U,9+$E$2,FALSE),"")</f>
        <v>13.19300778642936</v>
      </c>
      <c r="AS127" s="89">
        <f t="shared" si="8"/>
        <v>1.1342649408433658</v>
      </c>
      <c r="AT127" s="90">
        <f t="shared" si="9"/>
        <v>12.4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8.1999999999999993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7" s="92">
        <f t="shared" si="10"/>
        <v>4.2000000000000011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15.06265897802605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12</v>
      </c>
      <c r="L129" s="51">
        <v>11.4</v>
      </c>
      <c r="M129" s="51">
        <v>10.8</v>
      </c>
      <c r="N129" s="51">
        <v>11.4</v>
      </c>
      <c r="O129" s="51">
        <v>11.2</v>
      </c>
      <c r="P129" s="51">
        <v>12.4</v>
      </c>
      <c r="Q129" s="51">
        <v>11.8</v>
      </c>
      <c r="R129" s="51">
        <v>12.2</v>
      </c>
      <c r="S129" s="51">
        <v>11.6</v>
      </c>
      <c r="T129" s="51">
        <v>11.4</v>
      </c>
      <c r="U129" s="51">
        <v>11.6</v>
      </c>
      <c r="V129" s="51">
        <v>9.8000000000000007</v>
      </c>
      <c r="W129" s="51">
        <v>10.9</v>
      </c>
      <c r="X129" s="51">
        <v>10</v>
      </c>
      <c r="Y129" s="51">
        <v>11.8</v>
      </c>
      <c r="Z129" s="111">
        <v>12.1</v>
      </c>
      <c r="AA129" s="51">
        <v>11.1</v>
      </c>
      <c r="AB129" s="51">
        <v>10</v>
      </c>
      <c r="AC129" s="51">
        <v>9</v>
      </c>
      <c r="AD129" s="51">
        <v>8.6999999999999993</v>
      </c>
      <c r="AE129" s="51">
        <v>9.4</v>
      </c>
      <c r="AF129" s="51">
        <v>9.1999999999999993</v>
      </c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22</v>
      </c>
      <c r="AQ129" s="89">
        <f t="shared" si="7"/>
        <v>10.899999999999999</v>
      </c>
      <c r="AR129" s="89">
        <f>IFERROR(VLOOKUP(A129,Climatologia!A:U,9+$E$2,FALSE),"")</f>
        <v>9.339817613927293</v>
      </c>
      <c r="AS129" s="89">
        <f t="shared" si="8"/>
        <v>1.5601823860727055</v>
      </c>
      <c r="AT129" s="90">
        <f t="shared" si="9"/>
        <v>8.6999999999999993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4.5999999999999996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9" s="92">
        <f t="shared" si="10"/>
        <v>4.0999999999999996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12</v>
      </c>
      <c r="L130" s="51"/>
      <c r="M130" s="51">
        <v>11.6</v>
      </c>
      <c r="N130" s="51">
        <v>11</v>
      </c>
      <c r="O130" s="51">
        <v>10.8</v>
      </c>
      <c r="P130" s="51">
        <v>10.199999999999999</v>
      </c>
      <c r="Q130" s="51">
        <v>10</v>
      </c>
      <c r="R130" s="51">
        <v>10.4</v>
      </c>
      <c r="S130" s="51">
        <v>11</v>
      </c>
      <c r="T130" s="51">
        <v>13.4</v>
      </c>
      <c r="U130" s="51">
        <v>13.8</v>
      </c>
      <c r="V130" s="51">
        <v>12.8</v>
      </c>
      <c r="W130" s="51">
        <v>12.4</v>
      </c>
      <c r="X130" s="51">
        <v>10.4</v>
      </c>
      <c r="Y130" s="51">
        <v>11</v>
      </c>
      <c r="Z130" s="111">
        <v>10.199999999999999</v>
      </c>
      <c r="AA130" s="51">
        <v>11.8</v>
      </c>
      <c r="AB130" s="51">
        <v>12.2</v>
      </c>
      <c r="AC130" s="51">
        <v>11.6</v>
      </c>
      <c r="AD130" s="51">
        <v>10.4</v>
      </c>
      <c r="AE130" s="51">
        <v>11.2</v>
      </c>
      <c r="AF130" s="51">
        <v>10</v>
      </c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21</v>
      </c>
      <c r="AQ130" s="89">
        <f t="shared" si="7"/>
        <v>11.342857142857142</v>
      </c>
      <c r="AR130" s="89">
        <f>IFERROR(VLOOKUP(A130,Climatologia!A:U,9+$E$2,FALSE),"")</f>
        <v>10.61877774246517</v>
      </c>
      <c r="AS130" s="89">
        <f t="shared" si="8"/>
        <v>0.72407940039197172</v>
      </c>
      <c r="AT130" s="90">
        <f t="shared" si="9"/>
        <v>10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30" s="92">
        <f t="shared" si="10"/>
        <v>4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17.2</v>
      </c>
      <c r="L131" s="51">
        <v>16.399999999999999</v>
      </c>
      <c r="M131" s="51">
        <v>15.8</v>
      </c>
      <c r="N131" s="51">
        <v>15.4</v>
      </c>
      <c r="O131" s="51">
        <v>15.8</v>
      </c>
      <c r="P131" s="51">
        <v>16.399999999999999</v>
      </c>
      <c r="Q131" s="51">
        <v>17</v>
      </c>
      <c r="R131" s="51">
        <v>16.8</v>
      </c>
      <c r="S131" s="51">
        <v>16</v>
      </c>
      <c r="T131" s="51">
        <v>17.2</v>
      </c>
      <c r="U131" s="51">
        <v>16</v>
      </c>
      <c r="V131" s="51">
        <v>15</v>
      </c>
      <c r="W131" s="51">
        <v>15.2</v>
      </c>
      <c r="X131" s="51">
        <v>16.399999999999999</v>
      </c>
      <c r="Y131" s="51">
        <v>17</v>
      </c>
      <c r="Z131" s="111">
        <v>17.8</v>
      </c>
      <c r="AA131" s="51">
        <v>17</v>
      </c>
      <c r="AB131" s="51">
        <v>16.399999999999999</v>
      </c>
      <c r="AC131" s="51">
        <v>15.2</v>
      </c>
      <c r="AD131" s="51">
        <v>14.8</v>
      </c>
      <c r="AE131" s="51">
        <v>15</v>
      </c>
      <c r="AF131" s="51">
        <v>14.8</v>
      </c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22</v>
      </c>
      <c r="AQ131" s="89">
        <f t="shared" si="7"/>
        <v>16.118181818181817</v>
      </c>
      <c r="AR131" s="89">
        <f>IFERROR(VLOOKUP(A131,Climatologia!A:U,9+$E$2,FALSE),"")</f>
        <v>14.704271801089879</v>
      </c>
      <c r="AS131" s="89">
        <f t="shared" si="8"/>
        <v>1.4139100170919381</v>
      </c>
      <c r="AT131" s="90">
        <f t="shared" si="9"/>
        <v>14.8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1" s="92">
        <f t="shared" si="10"/>
        <v>3.8000000000000007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>
        <v>4.2</v>
      </c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1</v>
      </c>
      <c r="AQ132" s="89" t="str">
        <f t="shared" si="7"/>
        <v/>
      </c>
      <c r="AR132" s="89">
        <f>IFERROR(VLOOKUP(A132,Climatologia!A:U,9+$E$2,FALSE),"")</f>
        <v>6.2159888004715604</v>
      </c>
      <c r="AS132" s="89" t="str">
        <f t="shared" si="8"/>
        <v/>
      </c>
      <c r="AT132" s="90">
        <f t="shared" si="9"/>
        <v>4.2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0.1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2" s="92">
        <f t="shared" si="10"/>
        <v>4.1000000000000005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15.45201870390969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8.6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14.8</v>
      </c>
      <c r="L134" s="51">
        <v>15.8</v>
      </c>
      <c r="M134" s="51">
        <v>14.6</v>
      </c>
      <c r="N134" s="51">
        <v>16.2</v>
      </c>
      <c r="O134" s="51">
        <v>15.2</v>
      </c>
      <c r="P134" s="51">
        <v>14.2</v>
      </c>
      <c r="Q134" s="51">
        <v>15.8</v>
      </c>
      <c r="R134" s="51">
        <v>16</v>
      </c>
      <c r="S134" s="51">
        <v>15.6</v>
      </c>
      <c r="T134" s="51">
        <v>16.2</v>
      </c>
      <c r="U134" s="51">
        <v>15.8</v>
      </c>
      <c r="V134" s="51">
        <v>14.8</v>
      </c>
      <c r="W134" s="51">
        <v>15.2</v>
      </c>
      <c r="X134" s="51">
        <v>14.4</v>
      </c>
      <c r="Y134" s="51">
        <v>15</v>
      </c>
      <c r="Z134" s="111">
        <v>15.4</v>
      </c>
      <c r="AA134" s="51">
        <v>16.2</v>
      </c>
      <c r="AB134" s="51">
        <v>15.8</v>
      </c>
      <c r="AC134" s="51">
        <v>15.2</v>
      </c>
      <c r="AD134" s="51">
        <v>14.4</v>
      </c>
      <c r="AE134" s="51">
        <v>13.8</v>
      </c>
      <c r="AF134" s="51">
        <v>14.6</v>
      </c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22</v>
      </c>
      <c r="AQ134" s="89">
        <f t="shared" si="12"/>
        <v>15.22727272727273</v>
      </c>
      <c r="AR134" s="89">
        <f>IFERROR(VLOOKUP(A134,Climatologia!A:U,9+$E$2,FALSE),"")</f>
        <v>13.71360869121677</v>
      </c>
      <c r="AS134" s="89">
        <f t="shared" si="13"/>
        <v>1.5136640360559603</v>
      </c>
      <c r="AT134" s="90">
        <f t="shared" si="14"/>
        <v>13.8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6.8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4" s="92">
        <f t="shared" si="15"/>
        <v>7.0000000000000009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11.4</v>
      </c>
      <c r="L135" s="51">
        <v>10.199999999999999</v>
      </c>
      <c r="M135" s="51">
        <v>10.1</v>
      </c>
      <c r="N135" s="51">
        <v>10.199999999999999</v>
      </c>
      <c r="O135" s="51">
        <v>11</v>
      </c>
      <c r="P135" s="51">
        <v>12</v>
      </c>
      <c r="Q135" s="51">
        <v>10.199999999999999</v>
      </c>
      <c r="R135" s="51">
        <v>10</v>
      </c>
      <c r="S135" s="51">
        <v>10.199999999999999</v>
      </c>
      <c r="T135" s="51">
        <v>11.2</v>
      </c>
      <c r="U135" s="51">
        <v>11.2</v>
      </c>
      <c r="V135" s="51">
        <v>10.4</v>
      </c>
      <c r="W135" s="51">
        <v>10.1</v>
      </c>
      <c r="X135" s="51">
        <v>11.4</v>
      </c>
      <c r="Y135" s="51">
        <v>8.8000000000000007</v>
      </c>
      <c r="Z135" s="111">
        <v>12</v>
      </c>
      <c r="AA135" s="51">
        <v>12.2</v>
      </c>
      <c r="AB135" s="51">
        <v>11.4</v>
      </c>
      <c r="AC135" s="51">
        <v>10.1</v>
      </c>
      <c r="AD135" s="51">
        <v>10</v>
      </c>
      <c r="AE135" s="51">
        <v>10.199999999999999</v>
      </c>
      <c r="AF135" s="51">
        <v>10.1</v>
      </c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22</v>
      </c>
      <c r="AQ135" s="89">
        <f t="shared" si="12"/>
        <v>10.654545454545454</v>
      </c>
      <c r="AR135" s="89">
        <f>IFERROR(VLOOKUP(A135,Climatologia!A:U,9+$E$2,FALSE),"")</f>
        <v>9.1551700301922789</v>
      </c>
      <c r="AS135" s="89">
        <f t="shared" si="13"/>
        <v>1.4993754243531754</v>
      </c>
      <c r="AT135" s="90">
        <f t="shared" si="14"/>
        <v>8.8000000000000007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5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5" s="92">
        <f t="shared" si="15"/>
        <v>3.8000000000000007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</v>
      </c>
      <c r="L136" s="51">
        <v>15.4</v>
      </c>
      <c r="M136" s="51">
        <v>13</v>
      </c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3</v>
      </c>
      <c r="AQ136" s="89" t="str">
        <f t="shared" si="12"/>
        <v/>
      </c>
      <c r="AR136" s="89">
        <f>IFERROR(VLOOKUP(A136,Climatologia!A:U,9+$E$2,FALSE),"")</f>
        <v>12.553464872786339</v>
      </c>
      <c r="AS136" s="89" t="str">
        <f t="shared" si="13"/>
        <v/>
      </c>
      <c r="AT136" s="90">
        <f t="shared" si="14"/>
        <v>13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8.6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6" s="92">
        <f t="shared" si="15"/>
        <v>4.4000000000000004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12.2</v>
      </c>
      <c r="L137" s="51">
        <v>11</v>
      </c>
      <c r="M137" s="51">
        <v>10.6</v>
      </c>
      <c r="N137" s="51">
        <v>10.4</v>
      </c>
      <c r="O137" s="51">
        <v>10.8</v>
      </c>
      <c r="P137" s="51">
        <v>11.8</v>
      </c>
      <c r="Q137" s="51">
        <v>11.6</v>
      </c>
      <c r="R137" s="51">
        <v>11.4</v>
      </c>
      <c r="S137" s="51">
        <v>9.6</v>
      </c>
      <c r="T137" s="51">
        <v>11.6</v>
      </c>
      <c r="U137" s="51">
        <v>10.199999999999999</v>
      </c>
      <c r="V137" s="51">
        <v>9.6</v>
      </c>
      <c r="W137" s="51">
        <v>8</v>
      </c>
      <c r="X137" s="51">
        <v>10.4</v>
      </c>
      <c r="Y137" s="51">
        <v>11.6</v>
      </c>
      <c r="Z137" s="111">
        <v>11.8</v>
      </c>
      <c r="AA137" s="51">
        <v>11.4</v>
      </c>
      <c r="AB137" s="51">
        <v>10.199999999999999</v>
      </c>
      <c r="AC137" s="51">
        <v>9.1999999999999993</v>
      </c>
      <c r="AD137" s="51">
        <v>7.6</v>
      </c>
      <c r="AE137" s="51">
        <v>9.6</v>
      </c>
      <c r="AF137" s="51">
        <v>7.6</v>
      </c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22</v>
      </c>
      <c r="AQ137" s="89">
        <f t="shared" si="12"/>
        <v>10.372727272727271</v>
      </c>
      <c r="AR137" s="89">
        <f>IFERROR(VLOOKUP(A137,Climatologia!A:U,9+$E$2,FALSE),"")</f>
        <v>8.9132299851098509</v>
      </c>
      <c r="AS137" s="89">
        <f t="shared" si="13"/>
        <v>1.4594972876174204</v>
      </c>
      <c r="AT137" s="90">
        <f t="shared" si="14"/>
        <v>7.6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3.1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7" s="92">
        <f t="shared" si="15"/>
        <v>4.5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9</v>
      </c>
      <c r="L138" s="51">
        <v>9.4</v>
      </c>
      <c r="M138" s="51">
        <v>8.6</v>
      </c>
      <c r="N138" s="51">
        <v>9</v>
      </c>
      <c r="O138" s="51">
        <v>7.8</v>
      </c>
      <c r="P138" s="51">
        <v>9.1999999999999993</v>
      </c>
      <c r="Q138" s="51">
        <v>8</v>
      </c>
      <c r="R138" s="51">
        <v>8.4</v>
      </c>
      <c r="S138" s="51">
        <v>9</v>
      </c>
      <c r="T138" s="51">
        <v>9.8000000000000007</v>
      </c>
      <c r="U138" s="51">
        <v>7.8</v>
      </c>
      <c r="V138" s="51">
        <v>8</v>
      </c>
      <c r="W138" s="51">
        <v>7.6</v>
      </c>
      <c r="X138" s="51">
        <v>7.2</v>
      </c>
      <c r="Y138" s="51">
        <v>8.6</v>
      </c>
      <c r="Z138" s="111">
        <v>7.8</v>
      </c>
      <c r="AA138" s="51">
        <v>9</v>
      </c>
      <c r="AB138" s="51">
        <v>8.4</v>
      </c>
      <c r="AC138" s="51">
        <v>7.4</v>
      </c>
      <c r="AD138" s="51">
        <v>5</v>
      </c>
      <c r="AE138" s="51">
        <v>7.2</v>
      </c>
      <c r="AF138" s="51">
        <v>7.4</v>
      </c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22</v>
      </c>
      <c r="AQ138" s="89">
        <f t="shared" si="12"/>
        <v>8.163636363636364</v>
      </c>
      <c r="AR138" s="89">
        <f>IFERROR(VLOOKUP(A138,Climatologia!A:U,9+$E$2,FALSE),"")</f>
        <v>6.7529781105990789</v>
      </c>
      <c r="AS138" s="89">
        <f t="shared" si="13"/>
        <v>1.4106582530372851</v>
      </c>
      <c r="AT138" s="90">
        <f t="shared" si="14"/>
        <v>5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1.6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8" s="92">
        <f t="shared" si="15"/>
        <v>3.4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24.2</v>
      </c>
      <c r="L139" s="51">
        <v>24.2</v>
      </c>
      <c r="M139" s="51">
        <v>24.4</v>
      </c>
      <c r="N139" s="51">
        <v>24.6</v>
      </c>
      <c r="O139" s="51">
        <v>24.6</v>
      </c>
      <c r="P139" s="51">
        <v>25</v>
      </c>
      <c r="Q139" s="51">
        <v>25.8</v>
      </c>
      <c r="R139" s="51">
        <v>25.6</v>
      </c>
      <c r="S139" s="51">
        <v>25.6</v>
      </c>
      <c r="T139" s="51">
        <v>24.2</v>
      </c>
      <c r="U139" s="51">
        <v>24</v>
      </c>
      <c r="V139" s="51">
        <v>23.8</v>
      </c>
      <c r="W139" s="51">
        <v>23.6</v>
      </c>
      <c r="X139" s="51">
        <v>24.2</v>
      </c>
      <c r="Y139" s="51">
        <v>24.4</v>
      </c>
      <c r="Z139" s="111">
        <v>24.2</v>
      </c>
      <c r="AA139" s="51">
        <v>25.8</v>
      </c>
      <c r="AB139" s="51">
        <v>25</v>
      </c>
      <c r="AC139" s="51">
        <v>23.6</v>
      </c>
      <c r="AD139" s="51">
        <v>23</v>
      </c>
      <c r="AE139" s="51">
        <v>23.6</v>
      </c>
      <c r="AF139" s="51">
        <v>24.4</v>
      </c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22</v>
      </c>
      <c r="AQ139" s="89">
        <f t="shared" si="12"/>
        <v>24.445454545454542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23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10.8</v>
      </c>
      <c r="L140" s="51">
        <v>11</v>
      </c>
      <c r="M140" s="51">
        <v>12.2</v>
      </c>
      <c r="N140" s="51">
        <v>12.8</v>
      </c>
      <c r="O140" s="51">
        <v>10.6</v>
      </c>
      <c r="P140" s="51">
        <v>11.8</v>
      </c>
      <c r="Q140" s="51">
        <v>12</v>
      </c>
      <c r="R140" s="51">
        <v>12.6</v>
      </c>
      <c r="S140" s="51">
        <v>11.2</v>
      </c>
      <c r="T140" s="51">
        <v>10.8</v>
      </c>
      <c r="U140" s="51">
        <v>10</v>
      </c>
      <c r="V140" s="51">
        <v>11.6</v>
      </c>
      <c r="W140" s="51">
        <v>11.2</v>
      </c>
      <c r="X140" s="51">
        <v>10.4</v>
      </c>
      <c r="Y140" s="51">
        <v>11</v>
      </c>
      <c r="Z140" s="111">
        <v>9.8000000000000007</v>
      </c>
      <c r="AA140" s="51">
        <v>11.2</v>
      </c>
      <c r="AB140" s="51">
        <v>10.8</v>
      </c>
      <c r="AC140" s="51">
        <v>9.8000000000000007</v>
      </c>
      <c r="AD140" s="51">
        <v>11.4</v>
      </c>
      <c r="AE140" s="51">
        <v>11</v>
      </c>
      <c r="AF140" s="51">
        <v>12</v>
      </c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22</v>
      </c>
      <c r="AQ140" s="89">
        <f t="shared" si="12"/>
        <v>11.181818181818183</v>
      </c>
      <c r="AR140" s="89">
        <f>IFERROR(VLOOKUP(A140,Climatologia!A:U,9+$E$2,FALSE),"")</f>
        <v>11.20513978494624</v>
      </c>
      <c r="AS140" s="89">
        <f t="shared" si="13"/>
        <v>-2.3321603128056978E-2</v>
      </c>
      <c r="AT140" s="90">
        <f t="shared" si="14"/>
        <v>9.8000000000000007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2.6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40" s="92">
        <f t="shared" si="15"/>
        <v>7.2000000000000011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15</v>
      </c>
      <c r="L141" s="51">
        <v>15.4</v>
      </c>
      <c r="M141" s="51">
        <v>15.2</v>
      </c>
      <c r="N141" s="51">
        <v>15.8</v>
      </c>
      <c r="O141" s="51">
        <v>15</v>
      </c>
      <c r="P141" s="51">
        <v>14.8</v>
      </c>
      <c r="Q141" s="51">
        <v>15</v>
      </c>
      <c r="R141" s="51">
        <v>16.2</v>
      </c>
      <c r="S141" s="51">
        <v>17</v>
      </c>
      <c r="T141" s="51">
        <v>14.4</v>
      </c>
      <c r="U141" s="51">
        <v>13</v>
      </c>
      <c r="V141" s="51">
        <v>15.8</v>
      </c>
      <c r="W141" s="51">
        <v>14.2</v>
      </c>
      <c r="X141" s="51">
        <v>14.2</v>
      </c>
      <c r="Y141" s="51">
        <v>15.8</v>
      </c>
      <c r="Z141" s="111">
        <v>14.6</v>
      </c>
      <c r="AA141" s="51">
        <v>14.2</v>
      </c>
      <c r="AB141" s="51">
        <v>14.4</v>
      </c>
      <c r="AC141" s="51">
        <v>16</v>
      </c>
      <c r="AD141" s="51">
        <v>15.4</v>
      </c>
      <c r="AE141" s="51">
        <v>15</v>
      </c>
      <c r="AF141" s="51">
        <v>14.8</v>
      </c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22</v>
      </c>
      <c r="AQ141" s="89">
        <f t="shared" si="12"/>
        <v>15.054545454545451</v>
      </c>
      <c r="AR141" s="89">
        <f>IFERROR(VLOOKUP(A141,Climatologia!A:U,9+$E$2,FALSE),"")</f>
        <v>14.402137736815151</v>
      </c>
      <c r="AS141" s="89">
        <f t="shared" si="13"/>
        <v>0.65240771773030026</v>
      </c>
      <c r="AT141" s="90">
        <f t="shared" si="14"/>
        <v>13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11.8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1" s="92">
        <f t="shared" si="15"/>
        <v>1.1999999999999993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25.8</v>
      </c>
      <c r="L142" s="51">
        <v>24.2</v>
      </c>
      <c r="M142" s="51">
        <v>26</v>
      </c>
      <c r="N142" s="51">
        <v>23</v>
      </c>
      <c r="O142" s="51">
        <v>22.4</v>
      </c>
      <c r="P142" s="51">
        <v>24.6</v>
      </c>
      <c r="Q142" s="51">
        <v>25.4</v>
      </c>
      <c r="R142" s="51">
        <v>24.6</v>
      </c>
      <c r="S142" s="51">
        <v>24.8</v>
      </c>
      <c r="T142" s="51">
        <v>27.2</v>
      </c>
      <c r="U142" s="51">
        <v>23</v>
      </c>
      <c r="V142" s="51">
        <v>24.8</v>
      </c>
      <c r="W142" s="51">
        <v>25</v>
      </c>
      <c r="X142" s="51">
        <v>25.8</v>
      </c>
      <c r="Y142" s="51">
        <v>27.2</v>
      </c>
      <c r="Z142" s="111">
        <v>27</v>
      </c>
      <c r="AA142" s="51">
        <v>25.2</v>
      </c>
      <c r="AB142" s="51">
        <v>25</v>
      </c>
      <c r="AC142" s="51">
        <v>23.8</v>
      </c>
      <c r="AD142" s="51">
        <v>22.2</v>
      </c>
      <c r="AE142" s="51">
        <v>22.8</v>
      </c>
      <c r="AF142" s="51">
        <v>23.6</v>
      </c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22</v>
      </c>
      <c r="AQ142" s="89">
        <f t="shared" si="12"/>
        <v>24.7</v>
      </c>
      <c r="AR142" s="89">
        <f>IFERROR(VLOOKUP(A142,Climatologia!A:U,9+$E$2,FALSE),"")</f>
        <v>22.245834878259799</v>
      </c>
      <c r="AS142" s="89">
        <f t="shared" si="13"/>
        <v>2.4541651217401999</v>
      </c>
      <c r="AT142" s="90">
        <f t="shared" si="14"/>
        <v>22.2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17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2" s="92">
        <f t="shared" si="15"/>
        <v>5.1999999999999993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20.399999999999999</v>
      </c>
      <c r="L143" s="51">
        <v>19.8</v>
      </c>
      <c r="M143" s="51">
        <v>20</v>
      </c>
      <c r="N143" s="51">
        <v>19.600000000000001</v>
      </c>
      <c r="O143" s="51">
        <v>20</v>
      </c>
      <c r="P143" s="51">
        <v>19.8</v>
      </c>
      <c r="Q143" s="51">
        <v>19.2</v>
      </c>
      <c r="R143" s="51">
        <v>20.399999999999999</v>
      </c>
      <c r="S143" s="51">
        <v>20.6</v>
      </c>
      <c r="T143" s="51">
        <v>18.600000000000001</v>
      </c>
      <c r="U143" s="51">
        <v>19.8</v>
      </c>
      <c r="V143" s="51">
        <v>20.8</v>
      </c>
      <c r="W143" s="51">
        <v>19.2</v>
      </c>
      <c r="X143" s="51">
        <v>19.600000000000001</v>
      </c>
      <c r="Y143" s="51">
        <v>20.399999999999999</v>
      </c>
      <c r="Z143" s="111">
        <v>20</v>
      </c>
      <c r="AA143" s="51">
        <v>19.8</v>
      </c>
      <c r="AB143" s="51">
        <v>20.2</v>
      </c>
      <c r="AC143" s="51">
        <v>21.2</v>
      </c>
      <c r="AD143" s="51">
        <v>19</v>
      </c>
      <c r="AE143" s="51">
        <v>20.399999999999999</v>
      </c>
      <c r="AF143" s="51">
        <v>19.600000000000001</v>
      </c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22</v>
      </c>
      <c r="AQ143" s="89">
        <f t="shared" si="12"/>
        <v>19.927272727272729</v>
      </c>
      <c r="AR143" s="89">
        <f>IFERROR(VLOOKUP(A143,Climatologia!A:U,9+$E$2,FALSE),"")</f>
        <v>19.025806451612901</v>
      </c>
      <c r="AS143" s="89">
        <f t="shared" si="13"/>
        <v>0.9014662756598284</v>
      </c>
      <c r="AT143" s="90">
        <f t="shared" si="14"/>
        <v>18.600000000000001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13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3" s="92">
        <f t="shared" si="15"/>
        <v>5.6000000000000014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26.2</v>
      </c>
      <c r="L144" s="51">
        <v>23.4</v>
      </c>
      <c r="M144" s="51">
        <v>24.6</v>
      </c>
      <c r="N144" s="51">
        <v>23.4</v>
      </c>
      <c r="O144" s="51">
        <v>25</v>
      </c>
      <c r="P144" s="51">
        <v>23.4</v>
      </c>
      <c r="Q144" s="51">
        <v>25.2</v>
      </c>
      <c r="R144" s="51">
        <v>25</v>
      </c>
      <c r="S144" s="51">
        <v>26</v>
      </c>
      <c r="T144" s="51">
        <v>23.2</v>
      </c>
      <c r="U144" s="51">
        <v>22.6</v>
      </c>
      <c r="V144" s="51">
        <v>23.4</v>
      </c>
      <c r="W144" s="51">
        <v>22.6</v>
      </c>
      <c r="X144" s="51">
        <v>23.6</v>
      </c>
      <c r="Y144" s="51">
        <v>25.2</v>
      </c>
      <c r="Z144" s="111">
        <v>24.6</v>
      </c>
      <c r="AA144" s="51">
        <v>24.2</v>
      </c>
      <c r="AB144" s="51">
        <v>25.2</v>
      </c>
      <c r="AC144" s="51">
        <v>24</v>
      </c>
      <c r="AD144" s="51">
        <v>22.6</v>
      </c>
      <c r="AE144" s="51">
        <v>24.2</v>
      </c>
      <c r="AF144" s="51">
        <v>23.6</v>
      </c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22</v>
      </c>
      <c r="AQ144" s="89">
        <f t="shared" si="12"/>
        <v>24.145454545454548</v>
      </c>
      <c r="AR144" s="89">
        <f>IFERROR(VLOOKUP(A144,Climatologia!A:U,9+$E$2,FALSE),"")</f>
        <v>23.058077373350361</v>
      </c>
      <c r="AS144" s="89">
        <f t="shared" si="13"/>
        <v>1.0873771721041869</v>
      </c>
      <c r="AT144" s="90">
        <f t="shared" si="14"/>
        <v>22.6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16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4" s="92">
        <f t="shared" si="15"/>
        <v>6.6000000000000014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16.8</v>
      </c>
      <c r="L145" s="51">
        <v>18</v>
      </c>
      <c r="M145" s="51">
        <v>16.8</v>
      </c>
      <c r="N145" s="51">
        <v>17</v>
      </c>
      <c r="O145" s="51">
        <v>16.600000000000001</v>
      </c>
      <c r="P145" s="51">
        <v>16.399999999999999</v>
      </c>
      <c r="Q145" s="51">
        <v>17.600000000000001</v>
      </c>
      <c r="R145" s="51">
        <v>15.8</v>
      </c>
      <c r="S145" s="51">
        <v>19</v>
      </c>
      <c r="T145" s="51">
        <v>14.8</v>
      </c>
      <c r="U145" s="51">
        <v>16.2</v>
      </c>
      <c r="V145" s="51">
        <v>19</v>
      </c>
      <c r="W145" s="51">
        <v>16.8</v>
      </c>
      <c r="X145" s="51">
        <v>16.600000000000001</v>
      </c>
      <c r="Y145" s="51">
        <v>15.6</v>
      </c>
      <c r="Z145" s="111">
        <v>16.2</v>
      </c>
      <c r="AA145" s="51">
        <v>16.2</v>
      </c>
      <c r="AB145" s="51">
        <v>19.2</v>
      </c>
      <c r="AC145" s="51">
        <v>17.600000000000001</v>
      </c>
      <c r="AD145" s="51">
        <v>19</v>
      </c>
      <c r="AE145" s="51">
        <v>18.399999999999999</v>
      </c>
      <c r="AF145" s="51">
        <v>16.399999999999999</v>
      </c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22</v>
      </c>
      <c r="AQ145" s="89">
        <f t="shared" si="12"/>
        <v>17.09090909090909</v>
      </c>
      <c r="AR145" s="89">
        <f>IFERROR(VLOOKUP(A145,Climatologia!A:U,9+$E$2,FALSE),"")</f>
        <v>15.740161290322581</v>
      </c>
      <c r="AS145" s="89">
        <f t="shared" si="13"/>
        <v>1.3507478005865092</v>
      </c>
      <c r="AT145" s="90">
        <f t="shared" si="14"/>
        <v>14.8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10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5" s="92">
        <f t="shared" si="15"/>
        <v>4.8000000000000007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14</v>
      </c>
      <c r="L146" s="51">
        <v>14</v>
      </c>
      <c r="M146" s="51">
        <v>13.8</v>
      </c>
      <c r="N146" s="51">
        <v>13.8</v>
      </c>
      <c r="O146" s="51">
        <v>14</v>
      </c>
      <c r="P146" s="51">
        <v>12</v>
      </c>
      <c r="Q146" s="51">
        <v>13.2</v>
      </c>
      <c r="R146" s="51">
        <v>13.2</v>
      </c>
      <c r="S146" s="51">
        <v>14.8</v>
      </c>
      <c r="T146" s="51">
        <v>12.4</v>
      </c>
      <c r="U146" s="51">
        <v>11.4</v>
      </c>
      <c r="V146" s="51">
        <v>13.2</v>
      </c>
      <c r="W146" s="51">
        <v>13.4</v>
      </c>
      <c r="X146" s="51">
        <v>13.2</v>
      </c>
      <c r="Y146" s="51">
        <v>13.2</v>
      </c>
      <c r="Z146" s="111">
        <v>11.4</v>
      </c>
      <c r="AA146" s="51">
        <v>12.2</v>
      </c>
      <c r="AB146" s="51">
        <v>11.4</v>
      </c>
      <c r="AC146" s="51">
        <v>13.6</v>
      </c>
      <c r="AD146" s="51">
        <v>14.6</v>
      </c>
      <c r="AE146" s="51">
        <v>14.3</v>
      </c>
      <c r="AF146" s="51">
        <v>12.4</v>
      </c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22</v>
      </c>
      <c r="AQ146" s="89">
        <f t="shared" si="12"/>
        <v>13.159090909090907</v>
      </c>
      <c r="AR146" s="89">
        <f>IFERROR(VLOOKUP(A146,Climatologia!A:U,9+$E$2,FALSE),"")</f>
        <v>13.803722366927129</v>
      </c>
      <c r="AS146" s="89">
        <f t="shared" si="13"/>
        <v>-0.64463145783622267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8.1999999999999993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6" s="92">
        <f t="shared" si="15"/>
        <v>3.2000000000000011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17.399999999999999</v>
      </c>
      <c r="L147" s="51">
        <v>16</v>
      </c>
      <c r="M147" s="51">
        <v>16.399999999999999</v>
      </c>
      <c r="N147" s="51">
        <v>15.6</v>
      </c>
      <c r="O147" s="51">
        <v>16.2</v>
      </c>
      <c r="P147" s="51">
        <v>16.399999999999999</v>
      </c>
      <c r="Q147" s="51">
        <v>17.399999999999999</v>
      </c>
      <c r="R147" s="51">
        <v>17</v>
      </c>
      <c r="S147" s="51">
        <v>17.2</v>
      </c>
      <c r="T147" s="51">
        <v>15.4</v>
      </c>
      <c r="U147" s="51">
        <v>16.600000000000001</v>
      </c>
      <c r="V147" s="51">
        <v>16.399999999999999</v>
      </c>
      <c r="W147" s="51">
        <v>15</v>
      </c>
      <c r="X147" s="51">
        <v>16</v>
      </c>
      <c r="Y147" s="51">
        <v>17</v>
      </c>
      <c r="Z147" s="111">
        <v>14.6</v>
      </c>
      <c r="AA147" s="51">
        <v>16.399999999999999</v>
      </c>
      <c r="AB147" s="51">
        <v>17.2</v>
      </c>
      <c r="AC147" s="51">
        <v>16.2</v>
      </c>
      <c r="AD147" s="51">
        <v>16.600000000000001</v>
      </c>
      <c r="AE147" s="51">
        <v>17.399999999999999</v>
      </c>
      <c r="AF147" s="51">
        <v>15.2</v>
      </c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22</v>
      </c>
      <c r="AQ147" s="89">
        <f t="shared" si="12"/>
        <v>16.345454545454544</v>
      </c>
      <c r="AR147" s="89">
        <f>IFERROR(VLOOKUP(A147,Climatologia!A:U,9+$E$2,FALSE),"")</f>
        <v>14.51408071669195</v>
      </c>
      <c r="AS147" s="89">
        <f t="shared" si="13"/>
        <v>1.8313738287625938</v>
      </c>
      <c r="AT147" s="90">
        <f t="shared" si="14"/>
        <v>14.6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7" s="92">
        <f t="shared" si="15"/>
        <v>4.1999999999999993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>
        <v>35</v>
      </c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1</v>
      </c>
      <c r="AQ148" s="89" t="str">
        <f t="shared" si="12"/>
        <v/>
      </c>
      <c r="AR148" s="89">
        <f>IFERROR(VLOOKUP(A148,Climatologia!A:U,9+$E$2,FALSE),"")</f>
        <v>22.195180230256881</v>
      </c>
      <c r="AS148" s="89" t="str">
        <f t="shared" si="13"/>
        <v/>
      </c>
      <c r="AT148" s="90">
        <f t="shared" si="14"/>
        <v>35</v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8" s="92">
        <f t="shared" si="15"/>
        <v>19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19.655086355667251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24.2</v>
      </c>
      <c r="L150" s="51">
        <v>25.2</v>
      </c>
      <c r="M150" s="51">
        <v>24.2</v>
      </c>
      <c r="N150" s="51">
        <v>23.8</v>
      </c>
      <c r="O150" s="51">
        <v>23.8</v>
      </c>
      <c r="P150" s="51">
        <v>25</v>
      </c>
      <c r="Q150" s="51">
        <v>25.6</v>
      </c>
      <c r="R150" s="51">
        <v>26.7</v>
      </c>
      <c r="S150" s="51">
        <v>24.2</v>
      </c>
      <c r="T150" s="51">
        <v>24</v>
      </c>
      <c r="U150" s="51">
        <v>25.8</v>
      </c>
      <c r="V150" s="51">
        <v>24.6</v>
      </c>
      <c r="W150" s="51">
        <v>23.4</v>
      </c>
      <c r="X150" s="51">
        <v>25.8</v>
      </c>
      <c r="Y150" s="51">
        <v>25.8</v>
      </c>
      <c r="Z150" s="111">
        <v>26.4</v>
      </c>
      <c r="AA150" s="51">
        <v>26.8</v>
      </c>
      <c r="AB150" s="51">
        <v>24.8</v>
      </c>
      <c r="AC150" s="51">
        <v>24.8</v>
      </c>
      <c r="AD150" s="51">
        <v>24.2</v>
      </c>
      <c r="AE150" s="51">
        <v>23.2</v>
      </c>
      <c r="AF150" s="51">
        <v>23.8</v>
      </c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22</v>
      </c>
      <c r="AQ150" s="89">
        <f t="shared" si="12"/>
        <v>24.822727272727267</v>
      </c>
      <c r="AR150" s="89">
        <f>IFERROR(VLOOKUP(A150,Climatologia!A:U,9+$E$2,FALSE),"")</f>
        <v>22.18387110738724</v>
      </c>
      <c r="AS150" s="89">
        <f t="shared" si="13"/>
        <v>2.6388561653400266</v>
      </c>
      <c r="AT150" s="90">
        <f t="shared" si="14"/>
        <v>23.2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19.2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50" s="92">
        <f t="shared" si="15"/>
        <v>4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24</v>
      </c>
      <c r="L151" s="51">
        <v>26</v>
      </c>
      <c r="M151" s="51">
        <v>23.8</v>
      </c>
      <c r="N151" s="51"/>
      <c r="O151" s="51">
        <v>24.2</v>
      </c>
      <c r="P151" s="51">
        <v>25.4</v>
      </c>
      <c r="Q151" s="51">
        <v>24.8</v>
      </c>
      <c r="R151" s="51">
        <v>25.6</v>
      </c>
      <c r="S151" s="51">
        <v>23.6</v>
      </c>
      <c r="T151" s="51">
        <v>23.6</v>
      </c>
      <c r="U151" s="51"/>
      <c r="V151" s="51">
        <v>24.4</v>
      </c>
      <c r="W151" s="51">
        <v>24</v>
      </c>
      <c r="X151" s="51">
        <v>24</v>
      </c>
      <c r="Y151" s="51">
        <v>24</v>
      </c>
      <c r="Z151" s="111">
        <v>25.6</v>
      </c>
      <c r="AA151" s="51">
        <v>25.8</v>
      </c>
      <c r="AB151" s="51">
        <v>24</v>
      </c>
      <c r="AC151" s="51">
        <v>25</v>
      </c>
      <c r="AD151" s="51">
        <v>24.4</v>
      </c>
      <c r="AE151" s="51">
        <v>23.4</v>
      </c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19</v>
      </c>
      <c r="AQ151" s="89">
        <f t="shared" si="12"/>
        <v>24.505263157894735</v>
      </c>
      <c r="AR151" s="89">
        <f>IFERROR(VLOOKUP(A151,Climatologia!A:U,9+$E$2,FALSE),"")</f>
        <v>23.43347279820177</v>
      </c>
      <c r="AS151" s="89">
        <f t="shared" si="13"/>
        <v>1.0717903596929652</v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17.399999999999999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1" s="92">
        <f t="shared" si="15"/>
        <v>6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16</v>
      </c>
      <c r="L152" s="51"/>
      <c r="M152" s="51">
        <v>15.4</v>
      </c>
      <c r="N152" s="51">
        <v>15</v>
      </c>
      <c r="O152" s="51">
        <v>15.4</v>
      </c>
      <c r="P152" s="51">
        <v>14.4</v>
      </c>
      <c r="Q152" s="51">
        <v>15.8</v>
      </c>
      <c r="R152" s="51">
        <v>16</v>
      </c>
      <c r="S152" s="51">
        <v>16.8</v>
      </c>
      <c r="T152" s="51">
        <v>14.6</v>
      </c>
      <c r="U152" s="51">
        <v>15.6</v>
      </c>
      <c r="V152" s="51">
        <v>16.2</v>
      </c>
      <c r="W152" s="51">
        <v>14.8</v>
      </c>
      <c r="X152" s="51">
        <v>15</v>
      </c>
      <c r="Y152" s="51">
        <v>14.8</v>
      </c>
      <c r="Z152" s="111">
        <v>15.2</v>
      </c>
      <c r="AA152" s="51">
        <v>15.2</v>
      </c>
      <c r="AB152" s="51">
        <v>16</v>
      </c>
      <c r="AC152" s="51">
        <v>16.8</v>
      </c>
      <c r="AD152" s="51">
        <v>16</v>
      </c>
      <c r="AE152" s="51">
        <v>15.4</v>
      </c>
      <c r="AF152" s="51">
        <v>14.2</v>
      </c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21</v>
      </c>
      <c r="AQ152" s="89">
        <f t="shared" si="12"/>
        <v>15.457142857142856</v>
      </c>
      <c r="AR152" s="89">
        <f>IFERROR(VLOOKUP(A152,Climatologia!A:U,9+$E$2,FALSE),"")</f>
        <v>14.297625170572489</v>
      </c>
      <c r="AS152" s="89">
        <f t="shared" si="13"/>
        <v>1.159517686570366</v>
      </c>
      <c r="AT152" s="90">
        <f t="shared" si="14"/>
        <v>14.2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9.4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2" s="92">
        <f t="shared" si="15"/>
        <v>4.7999999999999989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21.4</v>
      </c>
      <c r="M153" s="51">
        <v>19.8</v>
      </c>
      <c r="N153" s="51">
        <v>20</v>
      </c>
      <c r="O153" s="51">
        <v>21</v>
      </c>
      <c r="P153" s="51">
        <v>21.4</v>
      </c>
      <c r="Q153" s="51">
        <v>21.2</v>
      </c>
      <c r="R153" s="51">
        <v>20.399999999999999</v>
      </c>
      <c r="S153" s="51">
        <v>22</v>
      </c>
      <c r="T153" s="51">
        <v>18.399999999999999</v>
      </c>
      <c r="U153" s="51">
        <v>18.8</v>
      </c>
      <c r="V153" s="51">
        <v>20.8</v>
      </c>
      <c r="W153" s="51">
        <v>19.399999999999999</v>
      </c>
      <c r="X153" s="51">
        <v>19.2</v>
      </c>
      <c r="Y153" s="51">
        <v>19.2</v>
      </c>
      <c r="Z153" s="111">
        <v>19.399999999999999</v>
      </c>
      <c r="AA153" s="51">
        <v>21.2</v>
      </c>
      <c r="AB153" s="51">
        <v>21.2</v>
      </c>
      <c r="AC153" s="51">
        <v>21.8</v>
      </c>
      <c r="AD153" s="51">
        <v>21.2</v>
      </c>
      <c r="AE153" s="51">
        <v>20.399999999999999</v>
      </c>
      <c r="AF153" s="51">
        <v>18.8</v>
      </c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22</v>
      </c>
      <c r="AQ153" s="89">
        <f t="shared" si="12"/>
        <v>20.354545454545452</v>
      </c>
      <c r="AR153" s="89">
        <f>IFERROR(VLOOKUP(A153,Climatologia!A:U,9+$E$2,FALSE),"")</f>
        <v>19.338408533503909</v>
      </c>
      <c r="AS153" s="89">
        <f t="shared" si="13"/>
        <v>1.016136921041543</v>
      </c>
      <c r="AT153" s="90">
        <f t="shared" si="14"/>
        <v>18.399999999999999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14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3" s="92">
        <f t="shared" si="15"/>
        <v>4.3999999999999986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16.8</v>
      </c>
      <c r="L154" s="51">
        <v>17</v>
      </c>
      <c r="M154" s="51">
        <v>15.8</v>
      </c>
      <c r="N154" s="51">
        <v>17.600000000000001</v>
      </c>
      <c r="O154" s="51">
        <v>17.600000000000001</v>
      </c>
      <c r="P154" s="51">
        <v>15.2</v>
      </c>
      <c r="Q154" s="51">
        <v>17</v>
      </c>
      <c r="R154" s="51">
        <v>17.2</v>
      </c>
      <c r="S154" s="51">
        <v>17</v>
      </c>
      <c r="T154" s="51">
        <v>15</v>
      </c>
      <c r="U154" s="51">
        <v>14.8</v>
      </c>
      <c r="V154" s="51">
        <v>16.8</v>
      </c>
      <c r="W154" s="51">
        <v>15</v>
      </c>
      <c r="X154" s="51">
        <v>13.2</v>
      </c>
      <c r="Y154" s="51">
        <v>16.600000000000001</v>
      </c>
      <c r="Z154" s="111">
        <v>15.2</v>
      </c>
      <c r="AA154" s="51">
        <v>16</v>
      </c>
      <c r="AB154" s="51">
        <v>16.399999999999999</v>
      </c>
      <c r="AC154" s="51">
        <v>16.8</v>
      </c>
      <c r="AD154" s="51">
        <v>16.2</v>
      </c>
      <c r="AE154" s="51">
        <v>17.8</v>
      </c>
      <c r="AF154" s="51">
        <v>16.2</v>
      </c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22</v>
      </c>
      <c r="AQ154" s="89">
        <f t="shared" si="12"/>
        <v>16.236363636363635</v>
      </c>
      <c r="AR154" s="89">
        <f>IFERROR(VLOOKUP(A154,Climatologia!A:U,9+$E$2,FALSE),"")</f>
        <v>15.46093670134405</v>
      </c>
      <c r="AS154" s="89">
        <f t="shared" si="13"/>
        <v>0.77542693501958482</v>
      </c>
      <c r="AT154" s="90">
        <f t="shared" si="14"/>
        <v>13.2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4" s="92">
        <f t="shared" si="15"/>
        <v>2.1999999999999993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18.399999999999999</v>
      </c>
      <c r="L155" s="51">
        <v>19</v>
      </c>
      <c r="M155" s="51">
        <v>18.8</v>
      </c>
      <c r="N155" s="51">
        <v>18.600000000000001</v>
      </c>
      <c r="O155" s="51">
        <v>18.2</v>
      </c>
      <c r="P155" s="51">
        <v>18.2</v>
      </c>
      <c r="Q155" s="51">
        <v>19</v>
      </c>
      <c r="R155" s="51">
        <v>19.399999999999999</v>
      </c>
      <c r="S155" s="51">
        <v>18.8</v>
      </c>
      <c r="T155" s="51">
        <v>18</v>
      </c>
      <c r="U155" s="51">
        <v>19</v>
      </c>
      <c r="V155" s="51">
        <v>18.600000000000001</v>
      </c>
      <c r="W155" s="51">
        <v>18.2</v>
      </c>
      <c r="X155" s="51">
        <v>19</v>
      </c>
      <c r="Y155" s="51">
        <v>18.399999999999999</v>
      </c>
      <c r="Z155" s="111">
        <v>18.8</v>
      </c>
      <c r="AA155" s="51">
        <v>18.600000000000001</v>
      </c>
      <c r="AB155" s="51">
        <v>19</v>
      </c>
      <c r="AC155" s="51">
        <v>19.2</v>
      </c>
      <c r="AD155" s="51">
        <v>18.8</v>
      </c>
      <c r="AE155" s="51">
        <v>18.2</v>
      </c>
      <c r="AF155" s="51">
        <v>19</v>
      </c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22</v>
      </c>
      <c r="AQ155" s="89">
        <f t="shared" si="12"/>
        <v>18.690909090909091</v>
      </c>
      <c r="AR155" s="89">
        <f>IFERROR(VLOOKUP(A155,Climatologia!A:U,9+$E$2,FALSE),"")</f>
        <v>17.87864592645921</v>
      </c>
      <c r="AS155" s="89">
        <f t="shared" si="13"/>
        <v>0.812263164449881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12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5" s="92">
        <f t="shared" si="15"/>
        <v>6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13.12444319775596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11.2</v>
      </c>
      <c r="L157" s="51">
        <v>11</v>
      </c>
      <c r="M157" s="51">
        <v>10.199999999999999</v>
      </c>
      <c r="N157" s="51">
        <v>10</v>
      </c>
      <c r="O157" s="51">
        <v>10.199999999999999</v>
      </c>
      <c r="P157" s="51">
        <v>10.6</v>
      </c>
      <c r="Q157" s="51">
        <v>10</v>
      </c>
      <c r="R157" s="51"/>
      <c r="S157" s="51">
        <v>10</v>
      </c>
      <c r="T157" s="51">
        <v>10.4</v>
      </c>
      <c r="U157" s="51">
        <v>11</v>
      </c>
      <c r="V157" s="51">
        <v>10.8</v>
      </c>
      <c r="W157" s="51">
        <v>9</v>
      </c>
      <c r="X157" s="51">
        <v>9.4</v>
      </c>
      <c r="Y157" s="51">
        <v>9.1999999999999993</v>
      </c>
      <c r="Z157" s="111">
        <v>9.6</v>
      </c>
      <c r="AA157" s="51"/>
      <c r="AB157" s="51">
        <v>10</v>
      </c>
      <c r="AC157" s="51">
        <v>10</v>
      </c>
      <c r="AD157" s="51">
        <v>9.8000000000000007</v>
      </c>
      <c r="AE157" s="51">
        <v>9.6</v>
      </c>
      <c r="AF157" s="51">
        <v>11</v>
      </c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20</v>
      </c>
      <c r="AQ157" s="89">
        <f t="shared" si="12"/>
        <v>10.149999999999999</v>
      </c>
      <c r="AR157" s="89">
        <f>IFERROR(VLOOKUP(A157,Climatologia!A:U,9+$E$2,FALSE),"")</f>
        <v>9.5855913978494645</v>
      </c>
      <c r="AS157" s="89">
        <f t="shared" si="13"/>
        <v>0.56440860215053412</v>
      </c>
      <c r="AT157" s="90">
        <f t="shared" si="14"/>
        <v>9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6.2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7" s="92">
        <f t="shared" si="15"/>
        <v>2.8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14.4</v>
      </c>
      <c r="L158" s="51">
        <v>14.8</v>
      </c>
      <c r="M158" s="51">
        <v>13</v>
      </c>
      <c r="N158" s="51">
        <v>14.2</v>
      </c>
      <c r="O158" s="51">
        <v>13.8</v>
      </c>
      <c r="P158" s="51">
        <v>13.8</v>
      </c>
      <c r="Q158" s="51">
        <v>15</v>
      </c>
      <c r="R158" s="51">
        <v>14.4</v>
      </c>
      <c r="S158" s="51"/>
      <c r="T158" s="51">
        <v>11.2</v>
      </c>
      <c r="U158" s="51">
        <v>13.2</v>
      </c>
      <c r="V158" s="51">
        <v>14.4</v>
      </c>
      <c r="W158" s="51">
        <v>13.2</v>
      </c>
      <c r="X158" s="51">
        <v>13.2</v>
      </c>
      <c r="Y158" s="51">
        <v>13.6</v>
      </c>
      <c r="Z158" s="111">
        <v>15</v>
      </c>
      <c r="AA158" s="51">
        <v>13</v>
      </c>
      <c r="AB158" s="51">
        <v>14.2</v>
      </c>
      <c r="AC158" s="51">
        <v>14.8</v>
      </c>
      <c r="AD158" s="51">
        <v>14.8</v>
      </c>
      <c r="AE158" s="51">
        <v>14.8</v>
      </c>
      <c r="AF158" s="51">
        <v>13</v>
      </c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21</v>
      </c>
      <c r="AQ158" s="89">
        <f t="shared" si="12"/>
        <v>13.895238095238096</v>
      </c>
      <c r="AR158" s="89">
        <f>IFERROR(VLOOKUP(A158,Climatologia!A:U,9+$E$2,FALSE),"")</f>
        <v>13.943843654075909</v>
      </c>
      <c r="AS158" s="89">
        <f t="shared" si="13"/>
        <v>-4.8605558837813589E-2</v>
      </c>
      <c r="AT158" s="90">
        <f t="shared" si="14"/>
        <v>11.2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8" s="92">
        <f t="shared" si="15"/>
        <v>0.19999999999999929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20.399999999999999</v>
      </c>
      <c r="L159" s="51">
        <v>22</v>
      </c>
      <c r="M159" s="51">
        <v>20.6</v>
      </c>
      <c r="N159" s="51">
        <v>21.8</v>
      </c>
      <c r="O159" s="51">
        <v>21.2</v>
      </c>
      <c r="P159" s="51">
        <v>20</v>
      </c>
      <c r="Q159" s="51">
        <v>21</v>
      </c>
      <c r="R159" s="51">
        <v>21.8</v>
      </c>
      <c r="S159" s="51">
        <v>20.8</v>
      </c>
      <c r="T159" s="51">
        <v>19.2</v>
      </c>
      <c r="U159" s="51">
        <v>20.399999999999999</v>
      </c>
      <c r="V159" s="51">
        <v>21.2</v>
      </c>
      <c r="W159" s="51">
        <v>21.6</v>
      </c>
      <c r="X159" s="51">
        <v>21.2</v>
      </c>
      <c r="Y159" s="51">
        <v>20.8</v>
      </c>
      <c r="Z159" s="111">
        <v>20.6</v>
      </c>
      <c r="AA159" s="51"/>
      <c r="AB159" s="51"/>
      <c r="AC159" s="51">
        <v>21.2</v>
      </c>
      <c r="AD159" s="51">
        <v>20.8</v>
      </c>
      <c r="AE159" s="51">
        <v>21.8</v>
      </c>
      <c r="AF159" s="51">
        <v>21</v>
      </c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20</v>
      </c>
      <c r="AQ159" s="89">
        <f t="shared" si="12"/>
        <v>20.970000000000002</v>
      </c>
      <c r="AR159" s="89">
        <f>IFERROR(VLOOKUP(A159,Climatologia!A:U,9+$E$2,FALSE),"")</f>
        <v>19.834386821064239</v>
      </c>
      <c r="AS159" s="89">
        <f t="shared" si="13"/>
        <v>1.1356131789357633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15.6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9" s="92">
        <f t="shared" si="15"/>
        <v>3.5999999999999996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6.8</v>
      </c>
      <c r="L160" s="51">
        <v>6.8</v>
      </c>
      <c r="M160" s="51">
        <v>7.8</v>
      </c>
      <c r="N160" s="51">
        <v>7</v>
      </c>
      <c r="O160" s="51">
        <v>6.8</v>
      </c>
      <c r="P160" s="51">
        <v>3.8</v>
      </c>
      <c r="Q160" s="51">
        <v>7.8</v>
      </c>
      <c r="R160" s="51">
        <v>7.4</v>
      </c>
      <c r="S160" s="51">
        <v>8.1999999999999993</v>
      </c>
      <c r="T160" s="51">
        <v>6</v>
      </c>
      <c r="U160" s="51">
        <v>6.4</v>
      </c>
      <c r="V160" s="51">
        <v>6.4</v>
      </c>
      <c r="W160" s="51">
        <v>5.4</v>
      </c>
      <c r="X160" s="51">
        <v>6.6</v>
      </c>
      <c r="Y160" s="51">
        <v>6.2</v>
      </c>
      <c r="Z160" s="111">
        <v>6.6</v>
      </c>
      <c r="AA160" s="51">
        <v>6.2</v>
      </c>
      <c r="AB160" s="51">
        <v>6.4</v>
      </c>
      <c r="AC160" s="51">
        <v>7.4</v>
      </c>
      <c r="AD160" s="51">
        <v>5.6</v>
      </c>
      <c r="AE160" s="51">
        <v>6.4</v>
      </c>
      <c r="AF160" s="51">
        <v>6.2</v>
      </c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22</v>
      </c>
      <c r="AQ160" s="89">
        <f t="shared" si="12"/>
        <v>6.5545454545454556</v>
      </c>
      <c r="AR160" s="89">
        <f>IFERROR(VLOOKUP(A160,Climatologia!A:U,9+$E$2,FALSE),"")</f>
        <v>5.6003137960461657</v>
      </c>
      <c r="AS160" s="89">
        <f t="shared" si="13"/>
        <v>0.95423165849928981</v>
      </c>
      <c r="AT160" s="90">
        <f t="shared" si="14"/>
        <v>3.8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-3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60" s="92">
        <f t="shared" si="15"/>
        <v>6.8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20.8</v>
      </c>
      <c r="L161" s="51"/>
      <c r="M161" s="51"/>
      <c r="N161" s="51">
        <v>20.6</v>
      </c>
      <c r="O161" s="51">
        <v>20.8</v>
      </c>
      <c r="P161" s="51">
        <v>21</v>
      </c>
      <c r="Q161" s="51">
        <v>20.6</v>
      </c>
      <c r="R161" s="51">
        <v>20.8</v>
      </c>
      <c r="S161" s="51">
        <v>21</v>
      </c>
      <c r="T161" s="51">
        <v>20.2</v>
      </c>
      <c r="U161" s="51">
        <v>20.2</v>
      </c>
      <c r="V161" s="51"/>
      <c r="W161" s="51">
        <v>20</v>
      </c>
      <c r="X161" s="51">
        <v>20.2</v>
      </c>
      <c r="Y161" s="51">
        <v>20</v>
      </c>
      <c r="Z161" s="111">
        <v>20.2</v>
      </c>
      <c r="AA161" s="51">
        <v>20.2</v>
      </c>
      <c r="AB161" s="51"/>
      <c r="AC161" s="51"/>
      <c r="AD161" s="51">
        <v>21.8</v>
      </c>
      <c r="AE161" s="51">
        <v>21</v>
      </c>
      <c r="AF161" s="51">
        <v>21.4</v>
      </c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17</v>
      </c>
      <c r="AQ161" s="89">
        <f t="shared" si="12"/>
        <v>20.635294117647057</v>
      </c>
      <c r="AR161" s="89">
        <f>IFERROR(VLOOKUP(A161,Climatologia!A:U,9+$E$2,FALSE),"")</f>
        <v>20.495547320475019</v>
      </c>
      <c r="AS161" s="89">
        <f t="shared" si="13"/>
        <v>0.13974679717203742</v>
      </c>
      <c r="AT161" s="90">
        <f t="shared" si="14"/>
        <v>20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1" s="92">
        <f t="shared" si="15"/>
        <v>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14.8</v>
      </c>
      <c r="L162" s="51">
        <v>15</v>
      </c>
      <c r="M162" s="51">
        <v>15.8</v>
      </c>
      <c r="N162" s="51">
        <v>14.6</v>
      </c>
      <c r="O162" s="51">
        <v>14.8</v>
      </c>
      <c r="P162" s="51">
        <v>14.6</v>
      </c>
      <c r="Q162" s="51">
        <v>14.8</v>
      </c>
      <c r="R162" s="51">
        <v>14.8</v>
      </c>
      <c r="S162" s="51">
        <v>15</v>
      </c>
      <c r="T162" s="51">
        <v>15</v>
      </c>
      <c r="U162" s="51">
        <v>15</v>
      </c>
      <c r="V162" s="51">
        <v>16</v>
      </c>
      <c r="W162" s="51">
        <v>15</v>
      </c>
      <c r="X162" s="51">
        <v>14.8</v>
      </c>
      <c r="Y162" s="51">
        <v>15</v>
      </c>
      <c r="Z162" s="111">
        <v>15</v>
      </c>
      <c r="AA162" s="51">
        <v>14.2</v>
      </c>
      <c r="AB162" s="51">
        <v>14.8</v>
      </c>
      <c r="AC162" s="51">
        <v>14.4</v>
      </c>
      <c r="AD162" s="51">
        <v>14.2</v>
      </c>
      <c r="AE162" s="51">
        <v>14.4</v>
      </c>
      <c r="AF162" s="51">
        <v>14.2</v>
      </c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22</v>
      </c>
      <c r="AQ162" s="89">
        <f t="shared" si="12"/>
        <v>14.827272727272724</v>
      </c>
      <c r="AR162" s="89">
        <f>IFERROR(VLOOKUP(A162,Climatologia!A:U,9+$E$2,FALSE),"")</f>
        <v>13.818785782119109</v>
      </c>
      <c r="AS162" s="89">
        <f t="shared" si="13"/>
        <v>1.0084869451536154</v>
      </c>
      <c r="AT162" s="90">
        <f t="shared" si="14"/>
        <v>14.2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10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2" s="92">
        <f t="shared" si="15"/>
        <v>4.1999999999999993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19</v>
      </c>
      <c r="L163" s="51">
        <v>18</v>
      </c>
      <c r="M163" s="51">
        <v>18.600000000000001</v>
      </c>
      <c r="N163" s="51">
        <v>18</v>
      </c>
      <c r="O163" s="51">
        <v>18.600000000000001</v>
      </c>
      <c r="P163" s="51">
        <v>19</v>
      </c>
      <c r="Q163" s="51">
        <v>17.600000000000001</v>
      </c>
      <c r="R163" s="51">
        <v>19.600000000000001</v>
      </c>
      <c r="S163" s="51"/>
      <c r="T163" s="51">
        <v>18</v>
      </c>
      <c r="U163" s="51">
        <v>20</v>
      </c>
      <c r="V163" s="51">
        <v>18.600000000000001</v>
      </c>
      <c r="W163" s="51">
        <v>18</v>
      </c>
      <c r="X163" s="51">
        <v>18.600000000000001</v>
      </c>
      <c r="Y163" s="51">
        <v>18</v>
      </c>
      <c r="Z163" s="111">
        <v>19</v>
      </c>
      <c r="AA163" s="51">
        <v>18.600000000000001</v>
      </c>
      <c r="AB163" s="51">
        <v>18</v>
      </c>
      <c r="AC163" s="51">
        <v>18.600000000000001</v>
      </c>
      <c r="AD163" s="51">
        <v>18</v>
      </c>
      <c r="AE163" s="51">
        <v>18.600000000000001</v>
      </c>
      <c r="AF163" s="51">
        <v>19.600000000000001</v>
      </c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21</v>
      </c>
      <c r="AQ163" s="89">
        <f t="shared" si="12"/>
        <v>18.571428571428573</v>
      </c>
      <c r="AR163" s="89">
        <f>IFERROR(VLOOKUP(A163,Climatologia!A:U,9+$E$2,FALSE),"")</f>
        <v>18.04587813620072</v>
      </c>
      <c r="AS163" s="89">
        <f t="shared" si="13"/>
        <v>0.52555043522785283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14.2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3" s="92">
        <f t="shared" si="15"/>
        <v>3.4000000000000021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19.8</v>
      </c>
      <c r="M164" s="51">
        <v>21.4</v>
      </c>
      <c r="N164" s="51">
        <v>20.6</v>
      </c>
      <c r="O164" s="51">
        <v>19.399999999999999</v>
      </c>
      <c r="P164" s="51">
        <v>19.3</v>
      </c>
      <c r="Q164" s="51">
        <v>19.2</v>
      </c>
      <c r="R164" s="51">
        <v>19</v>
      </c>
      <c r="S164" s="51">
        <v>20.6</v>
      </c>
      <c r="T164" s="51">
        <v>20.6</v>
      </c>
      <c r="U164" s="51">
        <v>19.7</v>
      </c>
      <c r="V164" s="51">
        <v>20.5</v>
      </c>
      <c r="W164" s="51">
        <v>21.1</v>
      </c>
      <c r="X164" s="51">
        <v>16.8</v>
      </c>
      <c r="Y164" s="51">
        <v>19</v>
      </c>
      <c r="Z164" s="111">
        <v>18.8</v>
      </c>
      <c r="AA164" s="51">
        <v>18.399999999999999</v>
      </c>
      <c r="AB164" s="51">
        <v>21.8</v>
      </c>
      <c r="AC164" s="51">
        <v>19.8</v>
      </c>
      <c r="AD164" s="51">
        <v>20</v>
      </c>
      <c r="AE164" s="51">
        <v>20.399999999999999</v>
      </c>
      <c r="AF164" s="51">
        <v>19.2</v>
      </c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22</v>
      </c>
      <c r="AQ164" s="89">
        <f t="shared" si="12"/>
        <v>19.818181818181817</v>
      </c>
      <c r="AR164" s="89">
        <f>IFERROR(VLOOKUP(A164,Climatologia!A:U,9+$E$2,FALSE),"")</f>
        <v>19.115674945265461</v>
      </c>
      <c r="AS164" s="89">
        <f t="shared" si="13"/>
        <v>0.70250687291635572</v>
      </c>
      <c r="AT164" s="90">
        <f t="shared" si="14"/>
        <v>16.8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14.7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4" s="92">
        <f t="shared" si="15"/>
        <v>2.1000000000000014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11.2</v>
      </c>
      <c r="L165" s="51">
        <v>11.2</v>
      </c>
      <c r="M165" s="51">
        <v>10</v>
      </c>
      <c r="N165" s="51">
        <v>9.8000000000000007</v>
      </c>
      <c r="O165" s="51">
        <v>10.6</v>
      </c>
      <c r="P165" s="51">
        <v>11.4</v>
      </c>
      <c r="Q165" s="51">
        <v>10.8</v>
      </c>
      <c r="R165" s="51">
        <v>11.2</v>
      </c>
      <c r="S165" s="51">
        <v>10.6</v>
      </c>
      <c r="T165" s="51">
        <v>10.199999999999999</v>
      </c>
      <c r="U165" s="51">
        <v>9</v>
      </c>
      <c r="V165" s="51">
        <v>8.6</v>
      </c>
      <c r="W165" s="51">
        <v>10</v>
      </c>
      <c r="X165" s="51">
        <v>11</v>
      </c>
      <c r="Y165" s="51">
        <v>10.8</v>
      </c>
      <c r="Z165" s="111">
        <v>9</v>
      </c>
      <c r="AA165" s="51">
        <v>10</v>
      </c>
      <c r="AB165" s="51">
        <v>10.8</v>
      </c>
      <c r="AC165" s="51">
        <v>11.8</v>
      </c>
      <c r="AD165" s="51">
        <v>9.8000000000000007</v>
      </c>
      <c r="AE165" s="51">
        <v>10.8</v>
      </c>
      <c r="AF165" s="51">
        <v>10</v>
      </c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22</v>
      </c>
      <c r="AQ165" s="89">
        <f t="shared" si="12"/>
        <v>10.390909090909092</v>
      </c>
      <c r="AR165" s="89">
        <f>IFERROR(VLOOKUP(A165,Climatologia!A:U,9+$E$2,FALSE),"")</f>
        <v>8.3170988717622762</v>
      </c>
      <c r="AS165" s="89">
        <f t="shared" si="13"/>
        <v>2.0738102191468162</v>
      </c>
      <c r="AT165" s="90">
        <f t="shared" si="14"/>
        <v>8.6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5" s="92">
        <f t="shared" si="15"/>
        <v>6.6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20.399999999999999</v>
      </c>
      <c r="L166" s="51">
        <v>19.2</v>
      </c>
      <c r="M166" s="51">
        <v>20</v>
      </c>
      <c r="N166" s="51">
        <v>19</v>
      </c>
      <c r="O166" s="51">
        <v>19.399999999999999</v>
      </c>
      <c r="P166" s="51"/>
      <c r="Q166" s="51">
        <v>19</v>
      </c>
      <c r="R166" s="51">
        <v>18.2</v>
      </c>
      <c r="S166" s="51">
        <v>20.2</v>
      </c>
      <c r="T166" s="51">
        <v>18</v>
      </c>
      <c r="U166" s="51">
        <v>19</v>
      </c>
      <c r="V166" s="51">
        <v>19.600000000000001</v>
      </c>
      <c r="W166" s="51">
        <v>20</v>
      </c>
      <c r="X166" s="51"/>
      <c r="Y166" s="51">
        <v>19</v>
      </c>
      <c r="Z166" s="111"/>
      <c r="AA166" s="51">
        <v>19.2</v>
      </c>
      <c r="AB166" s="51"/>
      <c r="AC166" s="51"/>
      <c r="AD166" s="51">
        <v>19</v>
      </c>
      <c r="AE166" s="51">
        <v>18</v>
      </c>
      <c r="AF166" s="51">
        <v>18.600000000000001</v>
      </c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17</v>
      </c>
      <c r="AQ166" s="89">
        <f t="shared" si="12"/>
        <v>19.164705882352941</v>
      </c>
      <c r="AR166" s="89">
        <f>IFERROR(VLOOKUP(A166,Climatologia!A:U,9+$E$2,FALSE),"")</f>
        <v>17.28229674415218</v>
      </c>
      <c r="AS166" s="89">
        <f t="shared" si="13"/>
        <v>1.8824091382007602</v>
      </c>
      <c r="AT166" s="90">
        <f t="shared" si="14"/>
        <v>18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12.2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17.38684419195932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15.704746922128139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6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20.399999999999999</v>
      </c>
      <c r="L169" s="51">
        <v>19.600000000000001</v>
      </c>
      <c r="M169" s="51">
        <v>19.8</v>
      </c>
      <c r="N169" s="51">
        <v>20.399999999999999</v>
      </c>
      <c r="O169" s="51">
        <v>19.2</v>
      </c>
      <c r="P169" s="51"/>
      <c r="Q169" s="51">
        <v>20.2</v>
      </c>
      <c r="R169" s="51">
        <v>20.6</v>
      </c>
      <c r="S169" s="51">
        <v>20.8</v>
      </c>
      <c r="T169" s="51">
        <v>20.399999999999999</v>
      </c>
      <c r="U169" s="51">
        <v>20.2</v>
      </c>
      <c r="V169" s="51">
        <v>20.399999999999999</v>
      </c>
      <c r="W169" s="51">
        <v>19.8</v>
      </c>
      <c r="X169" s="51">
        <v>18.600000000000001</v>
      </c>
      <c r="Y169" s="51">
        <v>18.8</v>
      </c>
      <c r="Z169" s="111"/>
      <c r="AA169" s="51">
        <v>19.600000000000001</v>
      </c>
      <c r="AB169" s="51">
        <v>19.8</v>
      </c>
      <c r="AC169" s="51"/>
      <c r="AD169" s="51">
        <v>19.8</v>
      </c>
      <c r="AE169" s="51">
        <v>19.399999999999999</v>
      </c>
      <c r="AF169" s="51">
        <v>19.600000000000001</v>
      </c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19</v>
      </c>
      <c r="AQ169" s="89">
        <f t="shared" si="12"/>
        <v>19.863157894736847</v>
      </c>
      <c r="AR169" s="89">
        <f>IFERROR(VLOOKUP(A169,Climatologia!A:U,9+$E$2,FALSE),"")</f>
        <v>19.124532286510789</v>
      </c>
      <c r="AS169" s="89">
        <f t="shared" si="13"/>
        <v>0.73862560822605872</v>
      </c>
      <c r="AT169" s="90">
        <f t="shared" si="14"/>
        <v>18.600000000000001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9" s="92">
        <f t="shared" si="15"/>
        <v>3.6000000000000014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14.8</v>
      </c>
      <c r="L170" s="51">
        <v>15.2</v>
      </c>
      <c r="M170" s="51">
        <v>14.8</v>
      </c>
      <c r="N170" s="51">
        <v>14.8</v>
      </c>
      <c r="O170" s="51">
        <v>14</v>
      </c>
      <c r="P170" s="51">
        <v>15.2</v>
      </c>
      <c r="Q170" s="51"/>
      <c r="R170" s="51">
        <v>15.4</v>
      </c>
      <c r="S170" s="51">
        <v>16</v>
      </c>
      <c r="T170" s="51"/>
      <c r="U170" s="51">
        <v>14.2</v>
      </c>
      <c r="V170" s="51">
        <v>15.8</v>
      </c>
      <c r="W170" s="51">
        <v>14.8</v>
      </c>
      <c r="X170" s="51">
        <v>13</v>
      </c>
      <c r="Y170" s="51">
        <v>15.4</v>
      </c>
      <c r="Z170" s="111">
        <v>13.8</v>
      </c>
      <c r="AA170" s="51">
        <v>15.4</v>
      </c>
      <c r="AB170" s="51">
        <v>15</v>
      </c>
      <c r="AC170" s="51">
        <v>15</v>
      </c>
      <c r="AD170" s="51">
        <v>15</v>
      </c>
      <c r="AE170" s="51">
        <v>14.2</v>
      </c>
      <c r="AF170" s="51">
        <v>14.2</v>
      </c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20</v>
      </c>
      <c r="AQ170" s="89">
        <f t="shared" si="12"/>
        <v>14.8</v>
      </c>
      <c r="AR170" s="89">
        <f>IFERROR(VLOOKUP(A170,Climatologia!A:U,9+$E$2,FALSE),"")</f>
        <v>13.62930109243467</v>
      </c>
      <c r="AS170" s="89">
        <f t="shared" si="13"/>
        <v>1.1706989075653311</v>
      </c>
      <c r="AT170" s="90">
        <f t="shared" si="14"/>
        <v>13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7.2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70" s="92">
        <f t="shared" si="15"/>
        <v>5.8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11.72508648901356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9.4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24</v>
      </c>
      <c r="L172" s="51">
        <v>23.2</v>
      </c>
      <c r="M172" s="51">
        <v>23.2</v>
      </c>
      <c r="N172" s="51">
        <v>23.4</v>
      </c>
      <c r="O172" s="51">
        <v>23</v>
      </c>
      <c r="P172" s="51">
        <v>24</v>
      </c>
      <c r="Q172" s="51">
        <v>24.2</v>
      </c>
      <c r="R172" s="51">
        <v>24.6</v>
      </c>
      <c r="S172" s="51">
        <v>25.6</v>
      </c>
      <c r="T172" s="51">
        <v>25.6</v>
      </c>
      <c r="U172" s="51">
        <v>23.6</v>
      </c>
      <c r="V172" s="51">
        <v>24.4</v>
      </c>
      <c r="W172" s="51">
        <v>24.8</v>
      </c>
      <c r="X172" s="51">
        <v>23.6</v>
      </c>
      <c r="Y172" s="51">
        <v>24</v>
      </c>
      <c r="Z172" s="111">
        <v>24.2</v>
      </c>
      <c r="AA172" s="51">
        <v>24.8</v>
      </c>
      <c r="AB172" s="51">
        <v>24.6</v>
      </c>
      <c r="AC172" s="51">
        <v>23.6</v>
      </c>
      <c r="AD172" s="51">
        <v>24.2</v>
      </c>
      <c r="AE172" s="51">
        <v>23.2</v>
      </c>
      <c r="AF172" s="51">
        <v>23.4</v>
      </c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22</v>
      </c>
      <c r="AQ172" s="89">
        <f t="shared" si="12"/>
        <v>24.054545454545458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18.600000000000001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2" s="92">
        <f t="shared" si="15"/>
        <v>4.3999999999999986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21.613415216113999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22.329466444879628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</v>
      </c>
      <c r="L175" s="51">
        <v>20.6</v>
      </c>
      <c r="M175" s="51">
        <v>20</v>
      </c>
      <c r="N175" s="51">
        <v>19.8</v>
      </c>
      <c r="O175" s="51">
        <v>21</v>
      </c>
      <c r="P175" s="51">
        <v>20.8</v>
      </c>
      <c r="Q175" s="51">
        <v>22</v>
      </c>
      <c r="R175" s="51">
        <v>23.8</v>
      </c>
      <c r="S175" s="51">
        <v>22</v>
      </c>
      <c r="T175" s="51">
        <v>21</v>
      </c>
      <c r="U175" s="51">
        <v>19.399999999999999</v>
      </c>
      <c r="V175" s="51">
        <v>22</v>
      </c>
      <c r="W175" s="51">
        <v>21</v>
      </c>
      <c r="X175" s="51">
        <v>19.2</v>
      </c>
      <c r="Y175" s="51">
        <v>21.2</v>
      </c>
      <c r="Z175" s="111">
        <v>21.4</v>
      </c>
      <c r="AA175" s="51">
        <v>21.6</v>
      </c>
      <c r="AB175" s="51">
        <v>21.8</v>
      </c>
      <c r="AC175" s="51">
        <v>21</v>
      </c>
      <c r="AD175" s="51">
        <v>22.8</v>
      </c>
      <c r="AE175" s="51">
        <v>21.2</v>
      </c>
      <c r="AF175" s="51">
        <v>21.4</v>
      </c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22</v>
      </c>
      <c r="AQ175" s="89">
        <f t="shared" si="12"/>
        <v>21.227272727272723</v>
      </c>
      <c r="AR175" s="89">
        <f>IFERROR(VLOOKUP(A175,Climatologia!A:U,9+$E$2,FALSE),"")</f>
        <v>20.105130783418979</v>
      </c>
      <c r="AS175" s="89">
        <f t="shared" si="13"/>
        <v>1.1221419438537446</v>
      </c>
      <c r="AT175" s="90">
        <f t="shared" si="14"/>
        <v>19.2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5" s="92">
        <f t="shared" si="15"/>
        <v>3.1999999999999993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22.6</v>
      </c>
      <c r="L176" s="51">
        <v>21.2</v>
      </c>
      <c r="M176" s="51">
        <v>21.2</v>
      </c>
      <c r="N176" s="51">
        <v>21.4</v>
      </c>
      <c r="O176" s="51">
        <v>22.6</v>
      </c>
      <c r="P176" s="51">
        <v>22.8</v>
      </c>
      <c r="Q176" s="51">
        <v>22</v>
      </c>
      <c r="R176" s="51">
        <v>22.4</v>
      </c>
      <c r="S176" s="51">
        <v>22.6</v>
      </c>
      <c r="T176" s="51">
        <v>23.4</v>
      </c>
      <c r="U176" s="51">
        <v>20.6</v>
      </c>
      <c r="V176" s="51"/>
      <c r="W176" s="51"/>
      <c r="X176" s="51"/>
      <c r="Y176" s="51">
        <v>23</v>
      </c>
      <c r="Z176" s="111">
        <v>22.8</v>
      </c>
      <c r="AA176" s="51">
        <v>22.2</v>
      </c>
      <c r="AB176" s="51">
        <v>24</v>
      </c>
      <c r="AC176" s="51">
        <v>22.2</v>
      </c>
      <c r="AD176" s="51">
        <v>24.4</v>
      </c>
      <c r="AE176" s="51">
        <v>23.6</v>
      </c>
      <c r="AF176" s="51">
        <v>23.6</v>
      </c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19</v>
      </c>
      <c r="AQ176" s="89">
        <f t="shared" si="12"/>
        <v>22.557894736842105</v>
      </c>
      <c r="AR176" s="89">
        <f>IFERROR(VLOOKUP(A176,Climatologia!A:U,9+$E$2,FALSE),"")</f>
        <v>21.16664011681932</v>
      </c>
      <c r="AS176" s="89">
        <f t="shared" si="13"/>
        <v>1.3912546200227851</v>
      </c>
      <c r="AT176" s="90">
        <f t="shared" si="14"/>
        <v>20.6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6" s="92">
        <f t="shared" si="15"/>
        <v>4.6000000000000014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15.4</v>
      </c>
      <c r="L179" s="51">
        <v>14</v>
      </c>
      <c r="M179" s="51">
        <v>14</v>
      </c>
      <c r="N179" s="51">
        <v>12</v>
      </c>
      <c r="O179" s="51">
        <v>13.2</v>
      </c>
      <c r="P179" s="51">
        <v>13.8</v>
      </c>
      <c r="Q179" s="51">
        <v>13.4</v>
      </c>
      <c r="R179" s="51">
        <v>13.8</v>
      </c>
      <c r="S179" s="51">
        <v>14</v>
      </c>
      <c r="T179" s="51">
        <v>14</v>
      </c>
      <c r="U179" s="51">
        <v>14.2</v>
      </c>
      <c r="V179" s="51">
        <v>13.6</v>
      </c>
      <c r="W179" s="51">
        <v>12.4</v>
      </c>
      <c r="X179" s="51">
        <v>12</v>
      </c>
      <c r="Y179" s="51">
        <v>14.4</v>
      </c>
      <c r="Z179" s="111">
        <v>14.6</v>
      </c>
      <c r="AA179" s="51">
        <v>15.2</v>
      </c>
      <c r="AB179" s="51">
        <v>16.600000000000001</v>
      </c>
      <c r="AC179" s="51">
        <v>14.2</v>
      </c>
      <c r="AD179" s="51">
        <v>13.6</v>
      </c>
      <c r="AE179" s="51">
        <v>13.2</v>
      </c>
      <c r="AF179" s="51">
        <v>13</v>
      </c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22</v>
      </c>
      <c r="AQ179" s="89">
        <f t="shared" si="12"/>
        <v>13.845454545454544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10.199999999999999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9" s="92">
        <f t="shared" si="15"/>
        <v>1.8000000000000007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23.8</v>
      </c>
      <c r="L180" s="51">
        <v>24</v>
      </c>
      <c r="M180" s="51">
        <v>24.8</v>
      </c>
      <c r="N180" s="51">
        <v>23.8</v>
      </c>
      <c r="O180" s="51">
        <v>24.2</v>
      </c>
      <c r="P180" s="51">
        <v>24.2</v>
      </c>
      <c r="Q180" s="51">
        <v>24.8</v>
      </c>
      <c r="R180" s="51">
        <v>24.6</v>
      </c>
      <c r="S180" s="51"/>
      <c r="T180" s="51">
        <v>25.6</v>
      </c>
      <c r="U180" s="51">
        <v>24.2</v>
      </c>
      <c r="V180" s="51">
        <v>25.6</v>
      </c>
      <c r="W180" s="51">
        <v>24.2</v>
      </c>
      <c r="X180" s="51">
        <v>23.2</v>
      </c>
      <c r="Y180" s="51">
        <v>23.8</v>
      </c>
      <c r="Z180" s="111">
        <v>25.8</v>
      </c>
      <c r="AA180" s="51"/>
      <c r="AB180" s="51"/>
      <c r="AC180" s="51">
        <v>25.4</v>
      </c>
      <c r="AD180" s="51">
        <v>24.8</v>
      </c>
      <c r="AE180" s="51">
        <v>22.8</v>
      </c>
      <c r="AF180" s="51">
        <v>23.2</v>
      </c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19</v>
      </c>
      <c r="AQ180" s="89">
        <f t="shared" si="12"/>
        <v>24.357894736842102</v>
      </c>
      <c r="AR180" s="89">
        <f>IFERROR(VLOOKUP(A180,Climatologia!A:U,9+$E$2,FALSE),"")</f>
        <v>22.996377049496669</v>
      </c>
      <c r="AS180" s="89">
        <f t="shared" si="13"/>
        <v>1.3615176873454331</v>
      </c>
      <c r="AT180" s="90">
        <f t="shared" si="14"/>
        <v>22.8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80" s="92">
        <f t="shared" si="15"/>
        <v>3.8000000000000007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24.6</v>
      </c>
      <c r="L181" s="51">
        <v>21.6</v>
      </c>
      <c r="M181" s="51">
        <v>22.4</v>
      </c>
      <c r="N181" s="51">
        <v>23.4</v>
      </c>
      <c r="O181" s="51">
        <v>23.6</v>
      </c>
      <c r="P181" s="51">
        <v>23.4</v>
      </c>
      <c r="Q181" s="51">
        <v>22.4</v>
      </c>
      <c r="R181" s="51">
        <v>25.4</v>
      </c>
      <c r="S181" s="51">
        <v>22.8</v>
      </c>
      <c r="T181" s="51">
        <v>26.4</v>
      </c>
      <c r="U181" s="51">
        <v>21.2</v>
      </c>
      <c r="V181" s="51">
        <v>24.6</v>
      </c>
      <c r="W181" s="51">
        <v>21.8</v>
      </c>
      <c r="X181" s="51">
        <v>22.2</v>
      </c>
      <c r="Y181" s="51">
        <v>24.6</v>
      </c>
      <c r="Z181" s="111">
        <v>22.8</v>
      </c>
      <c r="AA181" s="51">
        <v>25.4</v>
      </c>
      <c r="AB181" s="51">
        <v>25.2</v>
      </c>
      <c r="AC181" s="51">
        <v>23.2</v>
      </c>
      <c r="AD181" s="51">
        <v>24.2</v>
      </c>
      <c r="AE181" s="51">
        <v>22.6</v>
      </c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21</v>
      </c>
      <c r="AQ181" s="89">
        <f t="shared" si="12"/>
        <v>23.514285714285716</v>
      </c>
      <c r="AR181" s="89">
        <f>IFERROR(VLOOKUP(A181,Climatologia!A:U,9+$E$2,FALSE),"")</f>
        <v>21.595820289739919</v>
      </c>
      <c r="AS181" s="89">
        <f t="shared" si="13"/>
        <v>1.918465424545797</v>
      </c>
      <c r="AT181" s="90">
        <f t="shared" si="14"/>
        <v>21.2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16.8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1" s="92">
        <f t="shared" si="15"/>
        <v>4.3999999999999986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14.6</v>
      </c>
      <c r="L182" s="51">
        <v>13.6</v>
      </c>
      <c r="M182" s="51">
        <v>13.8</v>
      </c>
      <c r="N182" s="51">
        <v>13</v>
      </c>
      <c r="O182" s="51">
        <v>13</v>
      </c>
      <c r="P182" s="51">
        <v>14.4</v>
      </c>
      <c r="Q182" s="51">
        <v>13</v>
      </c>
      <c r="R182" s="51">
        <v>14.4</v>
      </c>
      <c r="S182" s="51">
        <v>14</v>
      </c>
      <c r="T182" s="51">
        <v>14.4</v>
      </c>
      <c r="U182" s="51">
        <v>13</v>
      </c>
      <c r="V182" s="51">
        <v>14.6</v>
      </c>
      <c r="W182" s="51">
        <v>12.8</v>
      </c>
      <c r="X182" s="51"/>
      <c r="Y182" s="51">
        <v>13.6</v>
      </c>
      <c r="Z182" s="111">
        <v>13.6</v>
      </c>
      <c r="AA182" s="51">
        <v>14.6</v>
      </c>
      <c r="AB182" s="51">
        <v>16.399999999999999</v>
      </c>
      <c r="AC182" s="51">
        <v>14.4</v>
      </c>
      <c r="AD182" s="51">
        <v>13.8</v>
      </c>
      <c r="AE182" s="51">
        <v>13.2</v>
      </c>
      <c r="AF182" s="51">
        <v>13</v>
      </c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21</v>
      </c>
      <c r="AQ182" s="89">
        <f t="shared" si="12"/>
        <v>13.866666666666665</v>
      </c>
      <c r="AR182" s="89">
        <f>IFERROR(VLOOKUP(A182,Climatologia!A:U,9+$E$2,FALSE),"")</f>
        <v>14.26104885770514</v>
      </c>
      <c r="AS182" s="89">
        <f t="shared" si="13"/>
        <v>-0.39438219103847416</v>
      </c>
      <c r="AT182" s="90">
        <f t="shared" si="14"/>
        <v>12.8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2" s="92">
        <f t="shared" si="15"/>
        <v>1.8000000000000007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18.8</v>
      </c>
      <c r="M183" s="51">
        <v>19.600000000000001</v>
      </c>
      <c r="N183" s="51">
        <v>19</v>
      </c>
      <c r="O183" s="51">
        <v>18.600000000000001</v>
      </c>
      <c r="P183" s="51">
        <v>19.600000000000001</v>
      </c>
      <c r="Q183" s="51">
        <v>19</v>
      </c>
      <c r="R183" s="51">
        <v>18.8</v>
      </c>
      <c r="S183" s="51">
        <v>19.399999999999999</v>
      </c>
      <c r="T183" s="51">
        <v>18.8</v>
      </c>
      <c r="U183" s="51">
        <v>17.8</v>
      </c>
      <c r="V183" s="51">
        <v>19.2</v>
      </c>
      <c r="W183" s="51">
        <v>18.8</v>
      </c>
      <c r="X183" s="51">
        <v>19.2</v>
      </c>
      <c r="Y183" s="51">
        <v>18.2</v>
      </c>
      <c r="Z183" s="111">
        <v>19.2</v>
      </c>
      <c r="AA183" s="51">
        <v>19.2</v>
      </c>
      <c r="AB183" s="51">
        <v>19.600000000000001</v>
      </c>
      <c r="AC183" s="51">
        <v>18.8</v>
      </c>
      <c r="AD183" s="51">
        <v>18.8</v>
      </c>
      <c r="AE183" s="51">
        <v>18</v>
      </c>
      <c r="AF183" s="51">
        <v>18.600000000000001</v>
      </c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22</v>
      </c>
      <c r="AQ183" s="89">
        <f t="shared" si="12"/>
        <v>18.872727272727275</v>
      </c>
      <c r="AR183" s="89">
        <f>IFERROR(VLOOKUP(A183,Climatologia!A:U,9+$E$2,FALSE),"")</f>
        <v>19.96734366044257</v>
      </c>
      <c r="AS183" s="89">
        <f t="shared" si="13"/>
        <v>-1.0946163877152948</v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/>
      <c r="L184" s="51">
        <v>22</v>
      </c>
      <c r="M184" s="51">
        <v>21</v>
      </c>
      <c r="N184" s="51">
        <v>21.2</v>
      </c>
      <c r="O184" s="51">
        <v>21.4</v>
      </c>
      <c r="P184" s="51">
        <v>21.6</v>
      </c>
      <c r="Q184" s="51">
        <v>21</v>
      </c>
      <c r="R184" s="51">
        <v>21.8</v>
      </c>
      <c r="S184" s="51">
        <v>22.2</v>
      </c>
      <c r="T184" s="51">
        <v>22</v>
      </c>
      <c r="U184" s="51">
        <v>20.2</v>
      </c>
      <c r="V184" s="51">
        <v>20.8</v>
      </c>
      <c r="W184" s="51">
        <v>21.4</v>
      </c>
      <c r="X184" s="51">
        <v>19</v>
      </c>
      <c r="Y184" s="51">
        <v>20.399999999999999</v>
      </c>
      <c r="Z184" s="111">
        <v>21</v>
      </c>
      <c r="AA184" s="51">
        <v>20.8</v>
      </c>
      <c r="AB184" s="51">
        <v>21</v>
      </c>
      <c r="AC184" s="51">
        <v>20.8</v>
      </c>
      <c r="AD184" s="51">
        <v>21.4</v>
      </c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19</v>
      </c>
      <c r="AQ184" s="89">
        <f t="shared" si="12"/>
        <v>21.105263157894733</v>
      </c>
      <c r="AR184" s="89">
        <f>IFERROR(VLOOKUP(A184,Climatologia!A:U,9+$E$2,FALSE),"")</f>
        <v>20.017642373556349</v>
      </c>
      <c r="AS184" s="89">
        <f t="shared" si="13"/>
        <v>1.0876207843383838</v>
      </c>
      <c r="AT184" s="90">
        <f t="shared" si="14"/>
        <v>19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4" s="92">
        <f t="shared" si="15"/>
        <v>2.6000000000000014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17.2</v>
      </c>
      <c r="L185" s="51">
        <v>16.2</v>
      </c>
      <c r="M185" s="51">
        <v>16.2</v>
      </c>
      <c r="N185" s="51">
        <v>16</v>
      </c>
      <c r="O185" s="51">
        <v>15.8</v>
      </c>
      <c r="P185" s="51">
        <v>17.399999999999999</v>
      </c>
      <c r="Q185" s="51">
        <v>16.399999999999999</v>
      </c>
      <c r="R185" s="51">
        <v>18.399999999999999</v>
      </c>
      <c r="S185" s="51">
        <v>18</v>
      </c>
      <c r="T185" s="51">
        <v>17</v>
      </c>
      <c r="U185" s="51">
        <v>15.6</v>
      </c>
      <c r="V185" s="51">
        <v>15.8</v>
      </c>
      <c r="W185" s="51">
        <v>16.2</v>
      </c>
      <c r="X185" s="51">
        <v>15.4</v>
      </c>
      <c r="Y185" s="51">
        <v>16.399999999999999</v>
      </c>
      <c r="Z185" s="111">
        <v>16.399999999999999</v>
      </c>
      <c r="AA185" s="51">
        <v>16.399999999999999</v>
      </c>
      <c r="AB185" s="51">
        <v>16.2</v>
      </c>
      <c r="AC185" s="51">
        <v>16.2</v>
      </c>
      <c r="AD185" s="51">
        <v>17</v>
      </c>
      <c r="AE185" s="51">
        <v>17</v>
      </c>
      <c r="AF185" s="51">
        <v>15.4</v>
      </c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22</v>
      </c>
      <c r="AQ185" s="89">
        <f t="shared" si="12"/>
        <v>16.481818181818177</v>
      </c>
      <c r="AR185" s="89">
        <f>IFERROR(VLOOKUP(A185,Climatologia!A:U,9+$E$2,FALSE),"")</f>
        <v>16.78927904074477</v>
      </c>
      <c r="AS185" s="89">
        <f t="shared" si="13"/>
        <v>-0.30746085892659281</v>
      </c>
      <c r="AT185" s="90">
        <f t="shared" si="14"/>
        <v>15.4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5" s="92">
        <f t="shared" si="15"/>
        <v>3.4000000000000004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24.2</v>
      </c>
      <c r="L186" s="51">
        <v>22.6</v>
      </c>
      <c r="M186" s="51">
        <v>23</v>
      </c>
      <c r="N186" s="51">
        <v>20.6</v>
      </c>
      <c r="O186" s="51">
        <v>21.8</v>
      </c>
      <c r="P186" s="51">
        <v>24</v>
      </c>
      <c r="Q186" s="51">
        <v>22.6</v>
      </c>
      <c r="R186" s="51">
        <v>24</v>
      </c>
      <c r="S186" s="51">
        <v>23.4</v>
      </c>
      <c r="T186" s="51">
        <v>22.6</v>
      </c>
      <c r="U186" s="51">
        <v>21.2</v>
      </c>
      <c r="V186" s="51">
        <v>22.8</v>
      </c>
      <c r="W186" s="51">
        <v>20.8</v>
      </c>
      <c r="X186" s="51">
        <v>21.6</v>
      </c>
      <c r="Y186" s="51">
        <v>22</v>
      </c>
      <c r="Z186" s="111">
        <v>24</v>
      </c>
      <c r="AA186" s="51">
        <v>25.6</v>
      </c>
      <c r="AB186" s="51">
        <v>25.6</v>
      </c>
      <c r="AC186" s="51">
        <v>21.6</v>
      </c>
      <c r="AD186" s="51">
        <v>21.4</v>
      </c>
      <c r="AE186" s="51">
        <v>20.6</v>
      </c>
      <c r="AF186" s="51">
        <v>21</v>
      </c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22</v>
      </c>
      <c r="AQ186" s="89">
        <f t="shared" si="12"/>
        <v>22.590909090909093</v>
      </c>
      <c r="AR186" s="89">
        <f>IFERROR(VLOOKUP(A186,Climatologia!A:U,9+$E$2,FALSE),"")</f>
        <v>20.659011266682761</v>
      </c>
      <c r="AS186" s="89">
        <f t="shared" si="13"/>
        <v>1.9318978242263327</v>
      </c>
      <c r="AT186" s="90">
        <f t="shared" si="14"/>
        <v>20.6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17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6" s="92">
        <f t="shared" si="15"/>
        <v>3.6000000000000014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18.600000000000001</v>
      </c>
      <c r="L187" s="51">
        <v>18.2</v>
      </c>
      <c r="M187" s="51">
        <v>17.2</v>
      </c>
      <c r="N187" s="51">
        <v>18</v>
      </c>
      <c r="O187" s="51">
        <v>18</v>
      </c>
      <c r="P187" s="51">
        <v>17.8</v>
      </c>
      <c r="Q187" s="51">
        <v>18</v>
      </c>
      <c r="R187" s="51">
        <v>15.4</v>
      </c>
      <c r="S187" s="51">
        <v>18.2</v>
      </c>
      <c r="T187" s="51">
        <v>19.2</v>
      </c>
      <c r="U187" s="51">
        <v>19.2</v>
      </c>
      <c r="V187" s="51">
        <v>17.8</v>
      </c>
      <c r="W187" s="51">
        <v>18.2</v>
      </c>
      <c r="X187" s="51">
        <v>17</v>
      </c>
      <c r="Y187" s="51">
        <v>19.399999999999999</v>
      </c>
      <c r="Z187" s="111">
        <v>19.8</v>
      </c>
      <c r="AA187" s="51"/>
      <c r="AB187" s="51">
        <v>19.8</v>
      </c>
      <c r="AC187" s="51">
        <v>18</v>
      </c>
      <c r="AD187" s="51">
        <v>17.2</v>
      </c>
      <c r="AE187" s="51">
        <v>16.8</v>
      </c>
      <c r="AF187" s="51">
        <v>16.600000000000001</v>
      </c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21</v>
      </c>
      <c r="AQ187" s="89">
        <f t="shared" si="12"/>
        <v>18.019047619047619</v>
      </c>
      <c r="AR187" s="89">
        <f>IFERROR(VLOOKUP(A187,Climatologia!A:U,9+$E$2,FALSE),"")</f>
        <v>16.78852483149106</v>
      </c>
      <c r="AS187" s="89">
        <f t="shared" si="13"/>
        <v>1.2305227875565592</v>
      </c>
      <c r="AT187" s="90">
        <f t="shared" si="14"/>
        <v>15.4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7" s="92">
        <f t="shared" si="15"/>
        <v>1.4000000000000004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20.6</v>
      </c>
      <c r="L188" s="51">
        <v>21.2</v>
      </c>
      <c r="M188" s="51">
        <v>21.6</v>
      </c>
      <c r="N188" s="51">
        <v>20.2</v>
      </c>
      <c r="O188" s="51">
        <v>20.399999999999999</v>
      </c>
      <c r="P188" s="51">
        <v>21.4</v>
      </c>
      <c r="Q188" s="51">
        <v>21.6</v>
      </c>
      <c r="R188" s="51">
        <v>22.8</v>
      </c>
      <c r="S188" s="51">
        <v>21.4</v>
      </c>
      <c r="T188" s="51">
        <v>20.8</v>
      </c>
      <c r="U188" s="51">
        <v>21.2</v>
      </c>
      <c r="V188" s="51">
        <v>22.6</v>
      </c>
      <c r="W188" s="51">
        <v>20.2</v>
      </c>
      <c r="X188" s="51">
        <v>21.2</v>
      </c>
      <c r="Y188" s="51">
        <v>21.8</v>
      </c>
      <c r="Z188" s="111">
        <v>22.6</v>
      </c>
      <c r="AA188" s="51">
        <v>22.2</v>
      </c>
      <c r="AB188" s="51">
        <v>21.8</v>
      </c>
      <c r="AC188" s="51">
        <v>22.2</v>
      </c>
      <c r="AD188" s="51">
        <v>20.8</v>
      </c>
      <c r="AE188" s="51">
        <v>20.2</v>
      </c>
      <c r="AF188" s="51">
        <v>21.2</v>
      </c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22</v>
      </c>
      <c r="AQ188" s="89">
        <f t="shared" si="12"/>
        <v>21.363636363636363</v>
      </c>
      <c r="AR188" s="89">
        <f>IFERROR(VLOOKUP(A188,Climatologia!A:U,9+$E$2,FALSE),"")</f>
        <v>20.02675378177625</v>
      </c>
      <c r="AS188" s="89">
        <f t="shared" si="13"/>
        <v>1.3368825818601131</v>
      </c>
      <c r="AT188" s="90">
        <f t="shared" si="14"/>
        <v>20.2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16.8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8" s="92">
        <f t="shared" si="15"/>
        <v>3.3999999999999986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18.399999999999999</v>
      </c>
      <c r="L189" s="51">
        <v>17.600000000000001</v>
      </c>
      <c r="M189" s="51">
        <v>18.399999999999999</v>
      </c>
      <c r="N189" s="51">
        <v>17.600000000000001</v>
      </c>
      <c r="O189" s="51">
        <v>18</v>
      </c>
      <c r="P189" s="51">
        <v>18.399999999999999</v>
      </c>
      <c r="Q189" s="51">
        <v>17.8</v>
      </c>
      <c r="R189" s="51">
        <v>19</v>
      </c>
      <c r="S189" s="51">
        <v>17.600000000000001</v>
      </c>
      <c r="T189" s="51">
        <v>18</v>
      </c>
      <c r="U189" s="51">
        <v>17.8</v>
      </c>
      <c r="V189" s="51">
        <v>18.8</v>
      </c>
      <c r="W189" s="51">
        <v>16.8</v>
      </c>
      <c r="X189" s="51">
        <v>18</v>
      </c>
      <c r="Y189" s="51">
        <v>18.2</v>
      </c>
      <c r="Z189" s="111">
        <v>19.2</v>
      </c>
      <c r="AA189" s="51">
        <v>19</v>
      </c>
      <c r="AB189" s="51">
        <v>18.600000000000001</v>
      </c>
      <c r="AC189" s="51">
        <v>18.399999999999999</v>
      </c>
      <c r="AD189" s="51">
        <v>17.8</v>
      </c>
      <c r="AE189" s="51">
        <v>16.8</v>
      </c>
      <c r="AF189" s="51">
        <v>18</v>
      </c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22</v>
      </c>
      <c r="AQ189" s="89">
        <f t="shared" si="12"/>
        <v>18.100000000000001</v>
      </c>
      <c r="AR189" s="89">
        <f>IFERROR(VLOOKUP(A189,Climatologia!A:U,9+$E$2,FALSE),"")</f>
        <v>15.545325140809011</v>
      </c>
      <c r="AS189" s="89">
        <f t="shared" si="13"/>
        <v>2.5546748591909907</v>
      </c>
      <c r="AT189" s="90">
        <f t="shared" si="14"/>
        <v>16.8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11.2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9" s="92">
        <f t="shared" si="15"/>
        <v>5.6000000000000014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14.8</v>
      </c>
      <c r="L190" s="51">
        <v>12.2</v>
      </c>
      <c r="M190" s="51">
        <v>14</v>
      </c>
      <c r="N190" s="51">
        <v>13.4</v>
      </c>
      <c r="O190" s="51">
        <v>13.4</v>
      </c>
      <c r="P190" s="51">
        <v>13.8</v>
      </c>
      <c r="Q190" s="51">
        <v>12.2</v>
      </c>
      <c r="R190" s="51">
        <v>14.2</v>
      </c>
      <c r="S190" s="51">
        <v>12.8</v>
      </c>
      <c r="T190" s="51">
        <v>14.4</v>
      </c>
      <c r="U190" s="51">
        <v>13.2</v>
      </c>
      <c r="V190" s="51">
        <v>13.4</v>
      </c>
      <c r="W190" s="51">
        <v>12.8</v>
      </c>
      <c r="X190" s="51">
        <v>12.2</v>
      </c>
      <c r="Y190" s="51">
        <v>14</v>
      </c>
      <c r="Z190" s="111">
        <v>14.4</v>
      </c>
      <c r="AA190" s="51">
        <v>13.8</v>
      </c>
      <c r="AB190" s="51">
        <v>13.6</v>
      </c>
      <c r="AC190" s="51">
        <v>14</v>
      </c>
      <c r="AD190" s="51">
        <v>12.6</v>
      </c>
      <c r="AE190" s="51">
        <v>11.8</v>
      </c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21</v>
      </c>
      <c r="AQ190" s="89">
        <f t="shared" si="12"/>
        <v>13.380952380952383</v>
      </c>
      <c r="AR190" s="89">
        <f>IFERROR(VLOOKUP(A190,Climatologia!A:U,9+$E$2,FALSE),"")</f>
        <v>11.488216794380589</v>
      </c>
      <c r="AS190" s="89">
        <f t="shared" si="13"/>
        <v>1.8927355865717939</v>
      </c>
      <c r="AT190" s="90">
        <f t="shared" si="14"/>
        <v>11.8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10</v>
      </c>
      <c r="L191" s="51">
        <v>6</v>
      </c>
      <c r="M191" s="51">
        <v>6</v>
      </c>
      <c r="N191" s="51">
        <v>7</v>
      </c>
      <c r="O191" s="51">
        <v>8</v>
      </c>
      <c r="P191" s="51">
        <v>9.1999999999999993</v>
      </c>
      <c r="Q191" s="51">
        <v>8.6</v>
      </c>
      <c r="R191" s="51">
        <v>9.8000000000000007</v>
      </c>
      <c r="S191" s="51">
        <v>8</v>
      </c>
      <c r="T191" s="51">
        <v>10.6</v>
      </c>
      <c r="U191" s="51">
        <v>4</v>
      </c>
      <c r="V191" s="51">
        <v>8.8000000000000007</v>
      </c>
      <c r="W191" s="51">
        <v>8</v>
      </c>
      <c r="X191" s="51">
        <v>4</v>
      </c>
      <c r="Y191" s="51">
        <v>8.8000000000000007</v>
      </c>
      <c r="Z191" s="111">
        <v>9</v>
      </c>
      <c r="AA191" s="51">
        <v>8</v>
      </c>
      <c r="AB191" s="51">
        <v>9</v>
      </c>
      <c r="AC191" s="51">
        <v>11.6</v>
      </c>
      <c r="AD191" s="51">
        <v>10.4</v>
      </c>
      <c r="AE191" s="51">
        <v>6.8</v>
      </c>
      <c r="AF191" s="51">
        <v>8</v>
      </c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22</v>
      </c>
      <c r="AQ191" s="89">
        <f t="shared" si="12"/>
        <v>8.163636363636364</v>
      </c>
      <c r="AR191" s="89">
        <f>IFERROR(VLOOKUP(A191,Climatologia!A:U,9+$E$2,FALSE),"")</f>
        <v>7.3708373411860384</v>
      </c>
      <c r="AS191" s="89">
        <f t="shared" si="13"/>
        <v>0.79279902245032563</v>
      </c>
      <c r="AT191" s="90">
        <f t="shared" si="14"/>
        <v>4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-1.8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1" s="92">
        <f t="shared" si="15"/>
        <v>5.8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21.2</v>
      </c>
      <c r="L192" s="51">
        <v>20.2</v>
      </c>
      <c r="M192" s="51">
        <v>21</v>
      </c>
      <c r="N192" s="51">
        <v>21.6</v>
      </c>
      <c r="O192" s="51">
        <v>21.4</v>
      </c>
      <c r="P192" s="51">
        <v>21.2</v>
      </c>
      <c r="Q192" s="51">
        <v>22.2</v>
      </c>
      <c r="R192" s="51">
        <v>22.4</v>
      </c>
      <c r="S192" s="51">
        <v>21.8</v>
      </c>
      <c r="T192" s="51">
        <v>22.6</v>
      </c>
      <c r="U192" s="51">
        <v>20.6</v>
      </c>
      <c r="V192" s="51">
        <v>22.8</v>
      </c>
      <c r="W192" s="51">
        <v>21.2</v>
      </c>
      <c r="X192" s="51">
        <v>20.8</v>
      </c>
      <c r="Y192" s="51">
        <v>22</v>
      </c>
      <c r="Z192" s="111">
        <v>22.8</v>
      </c>
      <c r="AA192" s="51">
        <v>22</v>
      </c>
      <c r="AB192" s="51">
        <v>22.6</v>
      </c>
      <c r="AC192" s="51">
        <v>21</v>
      </c>
      <c r="AD192" s="51">
        <v>21.6</v>
      </c>
      <c r="AE192" s="51">
        <v>21.2</v>
      </c>
      <c r="AF192" s="51">
        <v>21.6</v>
      </c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22</v>
      </c>
      <c r="AQ192" s="89">
        <f t="shared" si="12"/>
        <v>21.627272727272729</v>
      </c>
      <c r="AR192" s="89">
        <f>IFERROR(VLOOKUP(A192,Climatologia!A:U,9+$E$2,FALSE),"")</f>
        <v>19.76640571428571</v>
      </c>
      <c r="AS192" s="89">
        <f t="shared" si="13"/>
        <v>1.8608670129870184</v>
      </c>
      <c r="AT192" s="90">
        <f t="shared" si="14"/>
        <v>20.2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11.4</v>
      </c>
      <c r="L193" s="51">
        <v>10.199999999999999</v>
      </c>
      <c r="M193" s="51">
        <v>10.4</v>
      </c>
      <c r="N193" s="51">
        <v>9.6</v>
      </c>
      <c r="O193" s="51">
        <v>9</v>
      </c>
      <c r="P193" s="51">
        <v>9.6</v>
      </c>
      <c r="Q193" s="51">
        <v>10.4</v>
      </c>
      <c r="R193" s="51">
        <v>10.8</v>
      </c>
      <c r="S193" s="51">
        <v>10.199999999999999</v>
      </c>
      <c r="T193" s="51">
        <v>11.6</v>
      </c>
      <c r="U193" s="51">
        <v>9.6</v>
      </c>
      <c r="V193" s="51">
        <v>10.4</v>
      </c>
      <c r="W193" s="51">
        <v>9.4</v>
      </c>
      <c r="X193" s="51">
        <v>8.1999999999999993</v>
      </c>
      <c r="Y193" s="51">
        <v>10.4</v>
      </c>
      <c r="Z193" s="111">
        <v>10.4</v>
      </c>
      <c r="AA193" s="51">
        <v>10.199999999999999</v>
      </c>
      <c r="AB193" s="51">
        <v>10.199999999999999</v>
      </c>
      <c r="AC193" s="51">
        <v>10.199999999999999</v>
      </c>
      <c r="AD193" s="51">
        <v>10.4</v>
      </c>
      <c r="AE193" s="51">
        <v>9.4</v>
      </c>
      <c r="AF193" s="51">
        <v>9.6</v>
      </c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22</v>
      </c>
      <c r="AQ193" s="89">
        <f t="shared" si="12"/>
        <v>10.072727272727271</v>
      </c>
      <c r="AR193" s="89">
        <f>IFERROR(VLOOKUP(A193,Climatologia!A:U,9+$E$2,FALSE),"")</f>
        <v>8.3038288971873495</v>
      </c>
      <c r="AS193" s="89">
        <f t="shared" si="13"/>
        <v>1.768898375539921</v>
      </c>
      <c r="AT193" s="90">
        <f t="shared" si="14"/>
        <v>8.1999999999999993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2.4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3" s="92">
        <f t="shared" si="15"/>
        <v>5.7999999999999989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11.2</v>
      </c>
      <c r="L194" s="51">
        <v>10.199999999999999</v>
      </c>
      <c r="M194" s="51">
        <v>11</v>
      </c>
      <c r="N194" s="51">
        <v>8.6</v>
      </c>
      <c r="O194" s="51">
        <v>8</v>
      </c>
      <c r="P194" s="51">
        <v>11</v>
      </c>
      <c r="Q194" s="51">
        <v>9.8000000000000007</v>
      </c>
      <c r="R194" s="51">
        <v>11.2</v>
      </c>
      <c r="S194" s="51">
        <v>9</v>
      </c>
      <c r="T194" s="51"/>
      <c r="U194" s="51">
        <v>7.4</v>
      </c>
      <c r="V194" s="51">
        <v>9.6</v>
      </c>
      <c r="W194" s="51">
        <v>9.4</v>
      </c>
      <c r="X194" s="51">
        <v>5.6</v>
      </c>
      <c r="Y194" s="51">
        <v>11</v>
      </c>
      <c r="Z194" s="111">
        <v>10.199999999999999</v>
      </c>
      <c r="AA194" s="51">
        <v>10.4</v>
      </c>
      <c r="AB194" s="51">
        <v>9.4</v>
      </c>
      <c r="AC194" s="51">
        <v>10</v>
      </c>
      <c r="AD194" s="51">
        <v>9</v>
      </c>
      <c r="AE194" s="51">
        <v>7</v>
      </c>
      <c r="AF194" s="51">
        <v>8.1999999999999993</v>
      </c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21</v>
      </c>
      <c r="AQ194" s="89">
        <f t="shared" si="12"/>
        <v>9.3904761904761891</v>
      </c>
      <c r="AR194" s="89">
        <f>IFERROR(VLOOKUP(A194,Climatologia!A:U,9+$E$2,FALSE),"")</f>
        <v>7.7278206554291087</v>
      </c>
      <c r="AS194" s="89">
        <f t="shared" si="13"/>
        <v>1.6626555350470804</v>
      </c>
      <c r="AT194" s="90">
        <f t="shared" si="14"/>
        <v>5.6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1.2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4" s="92">
        <f t="shared" si="15"/>
        <v>4.3999999999999995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>
        <v>7.8</v>
      </c>
      <c r="L195" s="51">
        <v>8.1999999999999993</v>
      </c>
      <c r="M195" s="51">
        <v>8.6</v>
      </c>
      <c r="N195" s="51">
        <v>9.1999999999999993</v>
      </c>
      <c r="O195" s="51">
        <v>10</v>
      </c>
      <c r="P195" s="51">
        <v>10.4</v>
      </c>
      <c r="Q195" s="51">
        <v>10.6</v>
      </c>
      <c r="R195" s="51">
        <v>11</v>
      </c>
      <c r="S195" s="51">
        <v>11.2</v>
      </c>
      <c r="T195" s="51">
        <v>11.6</v>
      </c>
      <c r="U195" s="51">
        <v>6.4</v>
      </c>
      <c r="V195" s="51">
        <v>7.2</v>
      </c>
      <c r="W195" s="51">
        <v>7.4</v>
      </c>
      <c r="X195" s="51">
        <v>7.8</v>
      </c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14</v>
      </c>
      <c r="AQ195" s="89" t="str">
        <f t="shared" si="12"/>
        <v/>
      </c>
      <c r="AR195" s="89">
        <f>IFERROR(VLOOKUP(A195,Climatologia!A:U,9+$E$2,FALSE),"")</f>
        <v>8.1093100992191847</v>
      </c>
      <c r="AS195" s="89" t="str">
        <f t="shared" si="13"/>
        <v/>
      </c>
      <c r="AT195" s="90">
        <f t="shared" si="14"/>
        <v>6.4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5" s="92">
        <f t="shared" si="15"/>
        <v>6.4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5.6</v>
      </c>
      <c r="L196" s="51">
        <v>1.8</v>
      </c>
      <c r="M196" s="51">
        <v>3.8</v>
      </c>
      <c r="N196" s="51">
        <v>5.2</v>
      </c>
      <c r="O196" s="51">
        <v>6.4</v>
      </c>
      <c r="P196" s="51">
        <v>4.8</v>
      </c>
      <c r="Q196" s="51">
        <v>5.2</v>
      </c>
      <c r="R196" s="51">
        <v>5.8</v>
      </c>
      <c r="S196" s="51">
        <v>5.2</v>
      </c>
      <c r="T196" s="51">
        <v>7.2</v>
      </c>
      <c r="U196" s="51">
        <v>4.2</v>
      </c>
      <c r="V196" s="51">
        <v>6.2</v>
      </c>
      <c r="W196" s="51">
        <v>6</v>
      </c>
      <c r="X196" s="51">
        <v>3.8</v>
      </c>
      <c r="Y196" s="51">
        <v>7.1</v>
      </c>
      <c r="Z196" s="111">
        <v>4.8</v>
      </c>
      <c r="AA196" s="51">
        <v>8.1999999999999993</v>
      </c>
      <c r="AB196" s="51">
        <v>10.199999999999999</v>
      </c>
      <c r="AC196" s="51">
        <v>8.4</v>
      </c>
      <c r="AD196" s="51">
        <v>9.6</v>
      </c>
      <c r="AE196" s="51">
        <v>6.4</v>
      </c>
      <c r="AF196" s="51">
        <v>5.8</v>
      </c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22</v>
      </c>
      <c r="AQ196" s="89">
        <f t="shared" si="12"/>
        <v>5.9863636363636372</v>
      </c>
      <c r="AR196" s="89">
        <f>IFERROR(VLOOKUP(A196,Climatologia!A:U,9+$E$2,FALSE),"")</f>
        <v>7.7848444585694851</v>
      </c>
      <c r="AS196" s="89">
        <f t="shared" si="13"/>
        <v>-1.7984808222058479</v>
      </c>
      <c r="AT196" s="90">
        <f t="shared" si="14"/>
        <v>1.8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0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6" s="92">
        <f t="shared" si="15"/>
        <v>1.8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9.8000000000000007</v>
      </c>
      <c r="L197" s="51">
        <v>4.5999999999999996</v>
      </c>
      <c r="M197" s="51">
        <v>7.8</v>
      </c>
      <c r="N197" s="51">
        <v>10.4</v>
      </c>
      <c r="O197" s="51">
        <v>10.4</v>
      </c>
      <c r="P197" s="51">
        <v>10</v>
      </c>
      <c r="Q197" s="51">
        <v>10</v>
      </c>
      <c r="R197" s="51">
        <v>10.4</v>
      </c>
      <c r="S197" s="51">
        <v>9.8000000000000007</v>
      </c>
      <c r="T197" s="51">
        <v>9.8000000000000007</v>
      </c>
      <c r="U197" s="51">
        <v>3.4</v>
      </c>
      <c r="V197" s="51">
        <v>9.6</v>
      </c>
      <c r="W197" s="51">
        <v>8</v>
      </c>
      <c r="X197" s="51">
        <v>6</v>
      </c>
      <c r="Y197" s="51">
        <v>10</v>
      </c>
      <c r="Z197" s="111">
        <v>10</v>
      </c>
      <c r="AA197" s="51">
        <v>10</v>
      </c>
      <c r="AB197" s="51">
        <v>8.8000000000000007</v>
      </c>
      <c r="AC197" s="51">
        <v>11</v>
      </c>
      <c r="AD197" s="51">
        <v>9.8000000000000007</v>
      </c>
      <c r="AE197" s="51">
        <v>8.1999999999999993</v>
      </c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21</v>
      </c>
      <c r="AQ197" s="89">
        <f t="shared" ref="AQ197:AQ260" si="17">IF(AP197&gt;14,AVERAGE(K197:AO197),"")</f>
        <v>8.9428571428571431</v>
      </c>
      <c r="AR197" s="89">
        <f>IFERROR(VLOOKUP(A197,Climatologia!A:U,9+$E$2,FALSE),"")</f>
        <v>6.8173462365591373</v>
      </c>
      <c r="AS197" s="89">
        <f t="shared" ref="AS197:AS260" si="18">IF(OR(AQ197="",AR197=""),"",IFERROR(AQ197-AR197,""))</f>
        <v>2.1255109062980058</v>
      </c>
      <c r="AT197" s="90">
        <f t="shared" ref="AT197:AT208" si="19">IF(COUNT(K197:AO197)=0,"",MIN(K197:AO197))</f>
        <v>3.4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7" s="92">
        <f t="shared" ref="AW197:AW208" si="20">IF(OR(AT197="",AU197=""),"NA",IFERROR(AT197-AU197,"NA"))</f>
        <v>3.8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11.4</v>
      </c>
      <c r="L198" s="51">
        <v>9.1999999999999993</v>
      </c>
      <c r="M198" s="51">
        <v>7.8</v>
      </c>
      <c r="N198" s="51">
        <v>7.2</v>
      </c>
      <c r="O198" s="51">
        <v>6.8</v>
      </c>
      <c r="P198" s="51">
        <v>7.6</v>
      </c>
      <c r="Q198" s="51">
        <v>8.8000000000000007</v>
      </c>
      <c r="R198" s="51">
        <v>11.2</v>
      </c>
      <c r="S198" s="51">
        <v>8</v>
      </c>
      <c r="T198" s="51">
        <v>9.1999999999999993</v>
      </c>
      <c r="U198" s="51">
        <v>7.8</v>
      </c>
      <c r="V198" s="51">
        <v>9.6</v>
      </c>
      <c r="W198" s="51">
        <v>9.1999999999999993</v>
      </c>
      <c r="X198" s="51">
        <v>4</v>
      </c>
      <c r="Y198" s="51">
        <v>10.4</v>
      </c>
      <c r="Z198" s="111">
        <v>7.6</v>
      </c>
      <c r="AA198" s="51">
        <v>11.2</v>
      </c>
      <c r="AB198" s="51">
        <v>8.6</v>
      </c>
      <c r="AC198" s="51">
        <v>8.8000000000000007</v>
      </c>
      <c r="AD198" s="51">
        <v>9.6</v>
      </c>
      <c r="AE198" s="51">
        <v>7.8</v>
      </c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21</v>
      </c>
      <c r="AQ198" s="89">
        <f t="shared" si="17"/>
        <v>8.6571428571428566</v>
      </c>
      <c r="AR198" s="89">
        <f>IFERROR(VLOOKUP(A198,Climatologia!A:U,9+$E$2,FALSE),"")</f>
        <v>7.8933666539450718</v>
      </c>
      <c r="AS198" s="89">
        <f t="shared" si="18"/>
        <v>0.76377620319778483</v>
      </c>
      <c r="AT198" s="90">
        <f t="shared" si="19"/>
        <v>4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0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8" s="92">
        <f t="shared" si="20"/>
        <v>4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7.4</v>
      </c>
      <c r="M199" s="51">
        <v>11</v>
      </c>
      <c r="N199" s="51">
        <v>10</v>
      </c>
      <c r="O199" s="51">
        <v>8.1999999999999993</v>
      </c>
      <c r="P199" s="51">
        <v>10</v>
      </c>
      <c r="Q199" s="51">
        <v>11</v>
      </c>
      <c r="R199" s="51">
        <v>10.8</v>
      </c>
      <c r="S199" s="51">
        <v>10.4</v>
      </c>
      <c r="T199" s="51">
        <v>11.4</v>
      </c>
      <c r="U199" s="51">
        <v>4.2</v>
      </c>
      <c r="V199" s="51">
        <v>10.6</v>
      </c>
      <c r="W199" s="51">
        <v>9.1999999999999993</v>
      </c>
      <c r="X199" s="51">
        <v>6.4</v>
      </c>
      <c r="Y199" s="51">
        <v>10</v>
      </c>
      <c r="Z199" s="111">
        <v>10.199999999999999</v>
      </c>
      <c r="AA199" s="51">
        <v>9.4</v>
      </c>
      <c r="AB199" s="51">
        <v>11</v>
      </c>
      <c r="AC199" s="51">
        <v>11.6</v>
      </c>
      <c r="AD199" s="51">
        <v>10.4</v>
      </c>
      <c r="AE199" s="51">
        <v>9.6</v>
      </c>
      <c r="AF199" s="51">
        <v>9</v>
      </c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22</v>
      </c>
      <c r="AQ199" s="89">
        <f t="shared" si="17"/>
        <v>9.672727272727272</v>
      </c>
      <c r="AR199" s="89">
        <f>IFERROR(VLOOKUP(A199,Climatologia!A:U,9+$E$2,FALSE),"")</f>
        <v>7.7598125606935424</v>
      </c>
      <c r="AS199" s="89">
        <f t="shared" si="18"/>
        <v>1.9129147120337295</v>
      </c>
      <c r="AT199" s="90">
        <f t="shared" si="19"/>
        <v>4.2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-1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9" s="92">
        <f t="shared" si="20"/>
        <v>5.2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>
        <v>11</v>
      </c>
      <c r="L200" s="51">
        <v>7</v>
      </c>
      <c r="M200" s="51">
        <v>9.4</v>
      </c>
      <c r="N200" s="51">
        <v>9</v>
      </c>
      <c r="O200" s="51">
        <v>9.6</v>
      </c>
      <c r="P200" s="51">
        <v>9</v>
      </c>
      <c r="Q200" s="51">
        <v>10</v>
      </c>
      <c r="R200" s="51">
        <v>11</v>
      </c>
      <c r="S200" s="51">
        <v>10</v>
      </c>
      <c r="T200" s="51">
        <v>10.8</v>
      </c>
      <c r="U200" s="51">
        <v>7</v>
      </c>
      <c r="V200" s="51">
        <v>11</v>
      </c>
      <c r="W200" s="51">
        <v>9.8000000000000007</v>
      </c>
      <c r="X200" s="51">
        <v>6.8</v>
      </c>
      <c r="Y200" s="51">
        <v>12</v>
      </c>
      <c r="Z200" s="111">
        <v>9</v>
      </c>
      <c r="AA200" s="51">
        <v>9.8000000000000007</v>
      </c>
      <c r="AB200" s="51">
        <v>11</v>
      </c>
      <c r="AC200" s="51"/>
      <c r="AD200" s="51">
        <v>10</v>
      </c>
      <c r="AE200" s="51">
        <v>10.6</v>
      </c>
      <c r="AF200" s="51">
        <v>9</v>
      </c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21</v>
      </c>
      <c r="AQ200" s="89">
        <f t="shared" si="17"/>
        <v>9.6571428571428584</v>
      </c>
      <c r="AR200" s="89">
        <f>IFERROR(VLOOKUP(A200,Climatologia!A:U,9+$E$2,FALSE),"")</f>
        <v>7.4125279631689516</v>
      </c>
      <c r="AS200" s="89">
        <f t="shared" si="18"/>
        <v>2.2446148939739068</v>
      </c>
      <c r="AT200" s="90">
        <f t="shared" si="19"/>
        <v>6.8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0.5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200" s="92">
        <f t="shared" si="20"/>
        <v>6.3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8</v>
      </c>
      <c r="L201" s="51">
        <v>6.8</v>
      </c>
      <c r="M201" s="51">
        <v>11</v>
      </c>
      <c r="N201" s="51">
        <v>9.4</v>
      </c>
      <c r="O201" s="51">
        <v>10</v>
      </c>
      <c r="P201" s="51">
        <v>8</v>
      </c>
      <c r="Q201" s="51">
        <v>9.4</v>
      </c>
      <c r="R201" s="51">
        <v>10.199999999999999</v>
      </c>
      <c r="S201" s="51">
        <v>9</v>
      </c>
      <c r="T201" s="51">
        <v>11</v>
      </c>
      <c r="U201" s="51">
        <v>4</v>
      </c>
      <c r="V201" s="51">
        <v>9</v>
      </c>
      <c r="W201" s="51">
        <v>8.6</v>
      </c>
      <c r="X201" s="51">
        <v>4.4000000000000004</v>
      </c>
      <c r="Y201" s="51">
        <v>9.1999999999999993</v>
      </c>
      <c r="Z201" s="111">
        <v>9</v>
      </c>
      <c r="AA201" s="51">
        <v>7.2</v>
      </c>
      <c r="AB201" s="51">
        <v>10</v>
      </c>
      <c r="AC201" s="51">
        <v>8</v>
      </c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19</v>
      </c>
      <c r="AQ201" s="89">
        <f t="shared" si="17"/>
        <v>8.5368421052631565</v>
      </c>
      <c r="AR201" s="89">
        <f>IFERROR(VLOOKUP(A201,Climatologia!A:U,9+$E$2,FALSE),"")</f>
        <v>6.7196341375857118</v>
      </c>
      <c r="AS201" s="89">
        <f t="shared" si="18"/>
        <v>1.8172079676774446</v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1" s="92">
        <f t="shared" si="20"/>
        <v>4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9.8000000000000007</v>
      </c>
      <c r="L202" s="51">
        <v>7.8</v>
      </c>
      <c r="M202" s="51">
        <v>7.6</v>
      </c>
      <c r="N202" s="51">
        <v>9.1999999999999993</v>
      </c>
      <c r="O202" s="51"/>
      <c r="P202" s="51"/>
      <c r="Q202" s="51">
        <v>10</v>
      </c>
      <c r="R202" s="51">
        <v>9.4</v>
      </c>
      <c r="S202" s="51">
        <v>10.4</v>
      </c>
      <c r="T202" s="51">
        <v>10.199999999999999</v>
      </c>
      <c r="U202" s="51">
        <v>6.4</v>
      </c>
      <c r="V202" s="51"/>
      <c r="W202" s="51"/>
      <c r="X202" s="51">
        <v>6.4</v>
      </c>
      <c r="Y202" s="51">
        <v>10</v>
      </c>
      <c r="Z202" s="111">
        <v>10.6</v>
      </c>
      <c r="AA202" s="51">
        <v>10.4</v>
      </c>
      <c r="AB202" s="51"/>
      <c r="AC202" s="51"/>
      <c r="AD202" s="51"/>
      <c r="AE202" s="51">
        <v>10.199999999999999</v>
      </c>
      <c r="AF202" s="51">
        <v>9.4</v>
      </c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15</v>
      </c>
      <c r="AQ202" s="89">
        <f t="shared" si="17"/>
        <v>9.1866666666666674</v>
      </c>
      <c r="AR202" s="89">
        <f>IFERROR(VLOOKUP(A202,Climatologia!A:U,9+$E$2,FALSE),"")</f>
        <v>7.737258054422024</v>
      </c>
      <c r="AS202" s="89">
        <f t="shared" si="18"/>
        <v>1.4494086122446435</v>
      </c>
      <c r="AT202" s="90">
        <f t="shared" si="19"/>
        <v>6.4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0.1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2" s="92">
        <f t="shared" si="20"/>
        <v>6.3000000000000007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4.5</v>
      </c>
      <c r="L203" s="51">
        <v>4.2</v>
      </c>
      <c r="M203" s="51">
        <v>4.5999999999999996</v>
      </c>
      <c r="N203" s="51">
        <v>4.4000000000000004</v>
      </c>
      <c r="O203" s="51">
        <v>6.8</v>
      </c>
      <c r="P203" s="51">
        <v>4.5</v>
      </c>
      <c r="Q203" s="51">
        <v>4.2</v>
      </c>
      <c r="R203" s="51">
        <v>10.4</v>
      </c>
      <c r="S203" s="51">
        <v>10</v>
      </c>
      <c r="T203" s="51">
        <v>10.8</v>
      </c>
      <c r="U203" s="51">
        <v>9</v>
      </c>
      <c r="V203" s="51">
        <v>9.1999999999999993</v>
      </c>
      <c r="W203" s="51">
        <v>9.1999999999999993</v>
      </c>
      <c r="X203" s="51">
        <v>7.4</v>
      </c>
      <c r="Y203" s="51">
        <v>10.4</v>
      </c>
      <c r="Z203" s="111">
        <v>10.199999999999999</v>
      </c>
      <c r="AA203" s="51">
        <v>8.4</v>
      </c>
      <c r="AB203" s="51">
        <v>10.4</v>
      </c>
      <c r="AC203" s="51">
        <v>11</v>
      </c>
      <c r="AD203" s="51">
        <v>11.2</v>
      </c>
      <c r="AE203" s="51">
        <v>9.8000000000000007</v>
      </c>
      <c r="AF203" s="51">
        <v>9</v>
      </c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22</v>
      </c>
      <c r="AQ203" s="89">
        <f t="shared" si="17"/>
        <v>8.163636363636364</v>
      </c>
      <c r="AR203" s="89">
        <f>IFERROR(VLOOKUP(A203,Climatologia!A:U,9+$E$2,FALSE),"")</f>
        <v>8.0131665360709121</v>
      </c>
      <c r="AS203" s="89">
        <f t="shared" si="18"/>
        <v>0.15046982756545191</v>
      </c>
      <c r="AT203" s="90">
        <f t="shared" si="19"/>
        <v>4.2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-0.4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3" s="92">
        <f t="shared" si="20"/>
        <v>4.6000000000000005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5</v>
      </c>
      <c r="L204" s="51">
        <v>5.4</v>
      </c>
      <c r="M204" s="51">
        <v>5.8</v>
      </c>
      <c r="N204" s="51">
        <v>5.2</v>
      </c>
      <c r="O204" s="51">
        <v>5.6</v>
      </c>
      <c r="P204" s="51">
        <v>5</v>
      </c>
      <c r="Q204" s="51">
        <v>4.8</v>
      </c>
      <c r="R204" s="51">
        <v>4.4000000000000004</v>
      </c>
      <c r="S204" s="51">
        <v>4.8</v>
      </c>
      <c r="T204" s="51">
        <v>4.4000000000000004</v>
      </c>
      <c r="U204" s="51">
        <v>5.2</v>
      </c>
      <c r="V204" s="51">
        <v>5.6</v>
      </c>
      <c r="W204" s="51">
        <v>5.2</v>
      </c>
      <c r="X204" s="51">
        <v>5.4</v>
      </c>
      <c r="Y204" s="51">
        <v>5.8</v>
      </c>
      <c r="Z204" s="111">
        <v>5</v>
      </c>
      <c r="AA204" s="51">
        <v>5.2</v>
      </c>
      <c r="AB204" s="51">
        <v>5</v>
      </c>
      <c r="AC204" s="51">
        <v>4.5999999999999996</v>
      </c>
      <c r="AD204" s="51">
        <v>5.4</v>
      </c>
      <c r="AE204" s="51">
        <v>6</v>
      </c>
      <c r="AF204" s="51">
        <v>6.4</v>
      </c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22</v>
      </c>
      <c r="AQ204" s="89">
        <f t="shared" si="17"/>
        <v>5.2363636363636363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4.4000000000000004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4" s="92">
        <f t="shared" si="20"/>
        <v>2.4000000000000004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17.563073923478811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11.4</v>
      </c>
      <c r="L206" s="51">
        <v>10</v>
      </c>
      <c r="M206" s="51">
        <v>11.2</v>
      </c>
      <c r="N206" s="51">
        <v>11.6</v>
      </c>
      <c r="O206" s="51">
        <v>11.2</v>
      </c>
      <c r="P206" s="51">
        <v>11.6</v>
      </c>
      <c r="Q206" s="51">
        <v>12</v>
      </c>
      <c r="R206" s="51">
        <v>11.6</v>
      </c>
      <c r="S206" s="51">
        <v>11.8</v>
      </c>
      <c r="T206" s="51">
        <v>12.2</v>
      </c>
      <c r="U206" s="51">
        <v>10.199999999999999</v>
      </c>
      <c r="V206" s="51">
        <v>12</v>
      </c>
      <c r="W206" s="51">
        <v>10.199999999999999</v>
      </c>
      <c r="X206" s="51">
        <v>10.199999999999999</v>
      </c>
      <c r="Y206" s="51">
        <v>11.8</v>
      </c>
      <c r="Z206" s="111">
        <v>11.6</v>
      </c>
      <c r="AA206" s="51">
        <v>11</v>
      </c>
      <c r="AB206" s="51">
        <v>10.199999999999999</v>
      </c>
      <c r="AC206" s="51">
        <v>11.8</v>
      </c>
      <c r="AD206" s="51">
        <v>12.2</v>
      </c>
      <c r="AE206" s="51">
        <v>10.8</v>
      </c>
      <c r="AF206" s="51">
        <v>11.4</v>
      </c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22</v>
      </c>
      <c r="AQ206" s="89">
        <f t="shared" si="17"/>
        <v>11.272727272727272</v>
      </c>
      <c r="AR206" s="89">
        <f>IFERROR(VLOOKUP(A206,Climatologia!A:U,9+$E$2,FALSE),"")</f>
        <v>9.4398271387109567</v>
      </c>
      <c r="AS206" s="89">
        <f t="shared" si="18"/>
        <v>1.8329001340163149</v>
      </c>
      <c r="AT206" s="90">
        <f t="shared" si="19"/>
        <v>10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6" s="92">
        <f t="shared" si="20"/>
        <v>8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6.8</v>
      </c>
      <c r="L207" s="51">
        <v>6.6</v>
      </c>
      <c r="M207" s="51">
        <v>7</v>
      </c>
      <c r="N207" s="51">
        <v>6.2</v>
      </c>
      <c r="O207" s="51">
        <v>6.4</v>
      </c>
      <c r="P207" s="51">
        <v>6.6</v>
      </c>
      <c r="Q207" s="51">
        <v>7.4</v>
      </c>
      <c r="R207" s="51">
        <v>7</v>
      </c>
      <c r="S207" s="51">
        <v>7.6</v>
      </c>
      <c r="T207" s="51">
        <v>6</v>
      </c>
      <c r="U207" s="51">
        <v>6</v>
      </c>
      <c r="V207" s="51">
        <v>6.6</v>
      </c>
      <c r="W207" s="51">
        <v>4.5999999999999996</v>
      </c>
      <c r="X207" s="51">
        <v>5.2</v>
      </c>
      <c r="Y207" s="51">
        <v>7</v>
      </c>
      <c r="Z207" s="111">
        <v>6.8</v>
      </c>
      <c r="AA207" s="51">
        <v>6.4</v>
      </c>
      <c r="AB207" s="51">
        <v>7.4</v>
      </c>
      <c r="AC207" s="51">
        <v>6.4</v>
      </c>
      <c r="AD207" s="51">
        <v>6.6</v>
      </c>
      <c r="AE207" s="51">
        <v>5</v>
      </c>
      <c r="AF207" s="51">
        <v>6.4</v>
      </c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22</v>
      </c>
      <c r="AQ207" s="89">
        <f t="shared" si="17"/>
        <v>6.4545454545454541</v>
      </c>
      <c r="AR207" s="89">
        <f>IFERROR(VLOOKUP(A207,Climatologia!A:U,9+$E$2,FALSE),"")</f>
        <v>5.2432824793440451</v>
      </c>
      <c r="AS207" s="89">
        <f t="shared" si="18"/>
        <v>1.211262975201409</v>
      </c>
      <c r="AT207" s="90">
        <f t="shared" si="19"/>
        <v>4.5999999999999996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7" s="92">
        <f t="shared" si="20"/>
        <v>3.3999999999999995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</v>
      </c>
      <c r="L208" s="51">
        <v>20.399999999999999</v>
      </c>
      <c r="M208" s="51">
        <v>19.8</v>
      </c>
      <c r="N208" s="51">
        <v>19.600000000000001</v>
      </c>
      <c r="O208" s="51">
        <v>20.399999999999999</v>
      </c>
      <c r="P208" s="51">
        <v>20.6</v>
      </c>
      <c r="Q208" s="51">
        <v>20.399999999999999</v>
      </c>
      <c r="R208" s="51">
        <v>20</v>
      </c>
      <c r="S208" s="51">
        <v>20.8</v>
      </c>
      <c r="T208" s="51">
        <v>21</v>
      </c>
      <c r="U208" s="51">
        <v>21.2</v>
      </c>
      <c r="V208" s="51">
        <v>21</v>
      </c>
      <c r="W208" s="51">
        <v>20</v>
      </c>
      <c r="X208" s="51">
        <v>19</v>
      </c>
      <c r="Y208" s="51">
        <v>20</v>
      </c>
      <c r="Z208" s="111">
        <v>20.399999999999999</v>
      </c>
      <c r="AA208" s="51">
        <v>20.8</v>
      </c>
      <c r="AB208" s="51">
        <v>20.2</v>
      </c>
      <c r="AC208" s="51">
        <v>20.8</v>
      </c>
      <c r="AD208" s="51">
        <v>21.4</v>
      </c>
      <c r="AE208" s="51">
        <v>20.8</v>
      </c>
      <c r="AF208" s="51">
        <v>21</v>
      </c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22</v>
      </c>
      <c r="AQ208" s="89">
        <f t="shared" si="17"/>
        <v>20.436363636363637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19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8" s="92">
        <f t="shared" si="20"/>
        <v>1.8000000000000007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848</v>
      </c>
      <c r="B1" s="121" t="s">
        <v>8</v>
      </c>
      <c r="C1" s="121" t="s">
        <v>11</v>
      </c>
      <c r="D1" s="121" t="s">
        <v>10</v>
      </c>
      <c r="E1" s="121" t="s">
        <v>12</v>
      </c>
      <c r="F1" s="121" t="s">
        <v>16</v>
      </c>
      <c r="G1" s="121" t="s">
        <v>849</v>
      </c>
      <c r="H1" s="123" t="s">
        <v>850</v>
      </c>
      <c r="I1" s="124"/>
      <c r="J1" s="125"/>
      <c r="K1" s="123" t="s">
        <v>851</v>
      </c>
      <c r="L1" s="124"/>
      <c r="M1" s="125"/>
      <c r="N1" s="123" t="s">
        <v>852</v>
      </c>
      <c r="O1" s="124"/>
      <c r="P1" s="125"/>
      <c r="Q1" s="123" t="s">
        <v>853</v>
      </c>
      <c r="R1" s="124"/>
      <c r="S1" s="125"/>
      <c r="T1" s="123" t="s">
        <v>854</v>
      </c>
      <c r="U1" s="124"/>
      <c r="V1" s="125"/>
      <c r="W1" s="123" t="s">
        <v>855</v>
      </c>
      <c r="X1" s="124"/>
      <c r="Y1" s="125"/>
      <c r="Z1" s="123" t="s">
        <v>856</v>
      </c>
      <c r="AA1" s="124"/>
      <c r="AB1" s="125"/>
      <c r="AC1" s="123" t="s">
        <v>857</v>
      </c>
      <c r="AD1" s="124"/>
      <c r="AE1" s="125"/>
      <c r="AF1" s="123" t="s">
        <v>858</v>
      </c>
      <c r="AG1" s="124"/>
      <c r="AH1" s="125"/>
      <c r="AI1" s="123" t="s">
        <v>859</v>
      </c>
      <c r="AJ1" s="124"/>
      <c r="AK1" s="125"/>
      <c r="AL1" s="123" t="s">
        <v>860</v>
      </c>
      <c r="AM1" s="124"/>
      <c r="AN1" s="125"/>
      <c r="AO1" s="123" t="s">
        <v>861</v>
      </c>
      <c r="AP1" s="124"/>
      <c r="AQ1" s="125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2026-07-22T15:07:44Z</dcterms:modified>
</cp:coreProperties>
</file>