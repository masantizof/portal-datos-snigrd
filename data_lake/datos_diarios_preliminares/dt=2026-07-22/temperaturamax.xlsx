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8504BC0-AE72-4C92-B7F9-B045D7926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Temperatura!$AD$1:$AD$287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S276" i="1" s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/>
  <c r="AU271" i="1" a="1"/>
  <c r="AU271" i="1"/>
  <c r="AT271" i="1"/>
  <c r="AR271" i="1"/>
  <c r="AP271" i="1"/>
  <c r="AQ271" i="1" s="1"/>
  <c r="AV270" i="1" a="1"/>
  <c r="AV270" i="1" s="1"/>
  <c r="AU270" i="1" a="1"/>
  <c r="AU270" i="1" s="1"/>
  <c r="AT270" i="1"/>
  <c r="AW270" i="1" s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S254" i="1" s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W250" i="1" s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S234" i="1" s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S232" i="1" s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/>
  <c r="AU224" i="1" a="1"/>
  <c r="AU224" i="1" s="1"/>
  <c r="AT224" i="1"/>
  <c r="AW224" i="1" s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S216" i="1" s="1"/>
  <c r="AP216" i="1"/>
  <c r="AQ216" i="1" s="1"/>
  <c r="AV215" i="1" a="1"/>
  <c r="AV215" i="1" s="1"/>
  <c r="AU215" i="1" a="1"/>
  <c r="AU215" i="1"/>
  <c r="AT215" i="1"/>
  <c r="AR215" i="1"/>
  <c r="AP215" i="1"/>
  <c r="AQ215" i="1" s="1"/>
  <c r="AV214" i="1" a="1"/>
  <c r="AV214" i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 s="1"/>
  <c r="AT212" i="1"/>
  <c r="AW212" i="1" s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S188" i="1" s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/>
  <c r="AU185" i="1" a="1"/>
  <c r="AU185" i="1" s="1"/>
  <c r="AT185" i="1"/>
  <c r="AR185" i="1"/>
  <c r="AP185" i="1"/>
  <c r="AQ185" i="1" s="1"/>
  <c r="AV184" i="1" a="1"/>
  <c r="AV184" i="1"/>
  <c r="AU184" i="1" a="1"/>
  <c r="AU184" i="1" s="1"/>
  <c r="AT184" i="1"/>
  <c r="AR184" i="1"/>
  <c r="AP184" i="1"/>
  <c r="AQ184" i="1" s="1"/>
  <c r="AS184" i="1" s="1"/>
  <c r="AV183" i="1" a="1"/>
  <c r="AV183" i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W180" i="1" s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/>
  <c r="AU178" i="1" a="1"/>
  <c r="AU178" i="1" s="1"/>
  <c r="AT178" i="1"/>
  <c r="AR178" i="1"/>
  <c r="AP178" i="1"/>
  <c r="AQ178" i="1" s="1"/>
  <c r="AV177" i="1" a="1"/>
  <c r="AV177" i="1" s="1"/>
  <c r="AU177" i="1" a="1"/>
  <c r="AU177" i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S176" i="1" s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S174" i="1" s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S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S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S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/>
  <c r="AU118" i="1" a="1"/>
  <c r="AU118" i="1" s="1"/>
  <c r="AT118" i="1"/>
  <c r="AW118" i="1" s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W112" i="1" s="1"/>
  <c r="AT112" i="1"/>
  <c r="AR112" i="1"/>
  <c r="AP112" i="1"/>
  <c r="AQ112" i="1" s="1"/>
  <c r="AS112" i="1" s="1"/>
  <c r="AV111" i="1" a="1"/>
  <c r="AV111" i="1" s="1"/>
  <c r="AU111" i="1" a="1"/>
  <c r="AU111" i="1" s="1"/>
  <c r="AW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W105" i="1" s="1"/>
  <c r="AT105" i="1"/>
  <c r="AR105" i="1"/>
  <c r="AP105" i="1"/>
  <c r="AQ105" i="1" s="1"/>
  <c r="AV104" i="1" a="1"/>
  <c r="AV104" i="1" s="1"/>
  <c r="AU104" i="1" a="1"/>
  <c r="AU104" i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/>
  <c r="AT100" i="1"/>
  <c r="AR100" i="1"/>
  <c r="AP100" i="1"/>
  <c r="AQ100" i="1" s="1"/>
  <c r="AS100" i="1" s="1"/>
  <c r="AV99" i="1" a="1"/>
  <c r="AV99" i="1" s="1"/>
  <c r="AU99" i="1" a="1"/>
  <c r="AU99" i="1" s="1"/>
  <c r="AW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W87" i="1" s="1"/>
  <c r="AT87" i="1"/>
  <c r="AR87" i="1"/>
  <c r="AP87" i="1"/>
  <c r="AQ87" i="1" s="1"/>
  <c r="AS87" i="1" s="1"/>
  <c r="AV86" i="1" a="1"/>
  <c r="AV86" i="1" s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/>
  <c r="AW84" i="1" s="1"/>
  <c r="AT84" i="1"/>
  <c r="AR84" i="1"/>
  <c r="AP84" i="1"/>
  <c r="AQ84" i="1" s="1"/>
  <c r="AV83" i="1" a="1"/>
  <c r="AV83" i="1" s="1"/>
  <c r="AU83" i="1" a="1"/>
  <c r="AU83" i="1" s="1"/>
  <c r="AT83" i="1"/>
  <c r="AR83" i="1"/>
  <c r="AQ83" i="1"/>
  <c r="AP83" i="1"/>
  <c r="AV82" i="1" a="1"/>
  <c r="AV82" i="1" s="1"/>
  <c r="AU82" i="1" a="1"/>
  <c r="AU82" i="1" s="1"/>
  <c r="AW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W80" i="1" s="1"/>
  <c r="AT80" i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/>
  <c r="AT78" i="1"/>
  <c r="AW78" i="1" s="1"/>
  <c r="AR78" i="1"/>
  <c r="AP78" i="1"/>
  <c r="AQ78" i="1" s="1"/>
  <c r="AV77" i="1" a="1"/>
  <c r="AV77" i="1" s="1"/>
  <c r="AU77" i="1" a="1"/>
  <c r="AU77" i="1" s="1"/>
  <c r="AW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W73" i="1" s="1"/>
  <c r="AR73" i="1"/>
  <c r="AP73" i="1"/>
  <c r="AQ73" i="1" s="1"/>
  <c r="AV72" i="1" a="1"/>
  <c r="AV72" i="1" s="1"/>
  <c r="AU72" i="1" a="1"/>
  <c r="AU72" i="1"/>
  <c r="AW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W66" i="1" s="1"/>
  <c r="AT66" i="1"/>
  <c r="AR66" i="1"/>
  <c r="AP66" i="1"/>
  <c r="AQ66" i="1" s="1"/>
  <c r="AV65" i="1" a="1"/>
  <c r="AV65" i="1" s="1"/>
  <c r="AU65" i="1" a="1"/>
  <c r="AU65" i="1" s="1"/>
  <c r="AW65" i="1" s="1"/>
  <c r="AT65" i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/>
  <c r="AW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/>
  <c r="AT58" i="1"/>
  <c r="AW58" i="1" s="1"/>
  <c r="AR58" i="1"/>
  <c r="AP58" i="1"/>
  <c r="AQ58" i="1" s="1"/>
  <c r="AV57" i="1" a="1"/>
  <c r="AV57" i="1"/>
  <c r="AU57" i="1" a="1"/>
  <c r="AU57" i="1" s="1"/>
  <c r="AT57" i="1"/>
  <c r="AW57" i="1" s="1"/>
  <c r="AR57" i="1"/>
  <c r="AP57" i="1"/>
  <c r="AQ57" i="1" s="1"/>
  <c r="AV56" i="1" a="1"/>
  <c r="AV56" i="1" s="1"/>
  <c r="AU56" i="1" a="1"/>
  <c r="AU56" i="1" s="1"/>
  <c r="AW56" i="1" s="1"/>
  <c r="AT56" i="1"/>
  <c r="AR56" i="1"/>
  <c r="AP56" i="1"/>
  <c r="AQ56" i="1" s="1"/>
  <c r="AV55" i="1" a="1"/>
  <c r="AV55" i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/>
  <c r="AW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/>
  <c r="AW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/>
  <c r="AT38" i="1"/>
  <c r="AW38" i="1" s="1"/>
  <c r="AR38" i="1"/>
  <c r="AP38" i="1"/>
  <c r="AQ38" i="1" s="1"/>
  <c r="AV37" i="1" a="1"/>
  <c r="AV37" i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/>
  <c r="AW36" i="1" s="1"/>
  <c r="AT36" i="1"/>
  <c r="AR36" i="1"/>
  <c r="AP36" i="1"/>
  <c r="AQ36" i="1" s="1"/>
  <c r="AS36" i="1" s="1"/>
  <c r="AV35" i="1" a="1"/>
  <c r="AV35" i="1"/>
  <c r="AU35" i="1" a="1"/>
  <c r="AU35" i="1" s="1"/>
  <c r="AT35" i="1"/>
  <c r="AR35" i="1"/>
  <c r="AP35" i="1"/>
  <c r="AQ35" i="1" s="1"/>
  <c r="AV34" i="1" a="1"/>
  <c r="AV34" i="1" s="1"/>
  <c r="AU34" i="1" a="1"/>
  <c r="AU34" i="1" s="1"/>
  <c r="AW34" i="1" s="1"/>
  <c r="AT34" i="1"/>
  <c r="AR34" i="1"/>
  <c r="AQ34" i="1"/>
  <c r="AP34" i="1"/>
  <c r="AV33" i="1" a="1"/>
  <c r="AV33" i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W30" i="1" s="1"/>
  <c r="AT30" i="1"/>
  <c r="AR30" i="1"/>
  <c r="AP30" i="1"/>
  <c r="AQ30" i="1" s="1"/>
  <c r="AS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V24" i="1" a="1"/>
  <c r="AV24" i="1" s="1"/>
  <c r="AU24" i="1" a="1"/>
  <c r="AU24" i="1" s="1"/>
  <c r="AW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V19" i="1" a="1"/>
  <c r="AV19" i="1" s="1"/>
  <c r="AU19" i="1" a="1"/>
  <c r="AU19" i="1" s="1"/>
  <c r="AT19" i="1"/>
  <c r="AR19" i="1"/>
  <c r="AQ19" i="1"/>
  <c r="AP19" i="1"/>
  <c r="AV18" i="1" a="1"/>
  <c r="AV18" i="1" s="1"/>
  <c r="AU18" i="1" a="1"/>
  <c r="AU18" i="1" s="1"/>
  <c r="AT18" i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/>
  <c r="AT12" i="1"/>
  <c r="AW12" i="1" s="1"/>
  <c r="AR12" i="1"/>
  <c r="AP12" i="1"/>
  <c r="AQ12" i="1" s="1"/>
  <c r="AS12" i="1" s="1"/>
  <c r="AV11" i="1" a="1"/>
  <c r="AV11" i="1" s="1"/>
  <c r="AU11" i="1" a="1"/>
  <c r="AU11" i="1" s="1"/>
  <c r="AW11" i="1" s="1"/>
  <c r="AT11" i="1"/>
  <c r="AR11" i="1"/>
  <c r="AP11" i="1"/>
  <c r="AQ11" i="1" s="1"/>
  <c r="AV10" i="1" a="1"/>
  <c r="AV10" i="1" s="1"/>
  <c r="AU10" i="1" a="1"/>
  <c r="AU10" i="1" s="1"/>
  <c r="AT10" i="1"/>
  <c r="AR10" i="1"/>
  <c r="AQ10" i="1"/>
  <c r="AP10" i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98" i="1" l="1"/>
  <c r="AW33" i="1"/>
  <c r="AW43" i="1"/>
  <c r="AS144" i="1"/>
  <c r="AS214" i="1"/>
  <c r="AW110" i="1"/>
  <c r="AW68" i="1"/>
  <c r="AW85" i="1"/>
  <c r="AS44" i="1"/>
  <c r="AS65" i="1"/>
  <c r="AS72" i="1"/>
  <c r="AW89" i="1"/>
  <c r="AW100" i="1"/>
  <c r="AW114" i="1"/>
  <c r="AW129" i="1"/>
  <c r="AS218" i="1"/>
  <c r="AS222" i="1"/>
  <c r="AW232" i="1"/>
  <c r="AW240" i="1"/>
  <c r="AW244" i="1"/>
  <c r="AS26" i="1"/>
  <c r="AW8" i="1"/>
  <c r="AW27" i="1"/>
  <c r="AS41" i="1"/>
  <c r="AS48" i="1"/>
  <c r="AS69" i="1"/>
  <c r="AS86" i="1"/>
  <c r="AS104" i="1"/>
  <c r="AS126" i="1"/>
  <c r="AS156" i="1"/>
  <c r="AW211" i="1"/>
  <c r="AW6" i="1"/>
  <c r="AW13" i="1"/>
  <c r="AS17" i="1"/>
  <c r="AS55" i="1"/>
  <c r="AW86" i="1"/>
  <c r="AS101" i="1"/>
  <c r="AW104" i="1"/>
  <c r="AW156" i="1"/>
  <c r="AS164" i="1"/>
  <c r="AS245" i="1"/>
  <c r="AS260" i="1"/>
  <c r="AS282" i="1"/>
  <c r="AW10" i="1"/>
  <c r="AW17" i="1"/>
  <c r="AS21" i="1"/>
  <c r="AW28" i="1"/>
  <c r="AW31" i="1"/>
  <c r="AS73" i="1"/>
  <c r="AW215" i="1"/>
  <c r="AS230" i="1"/>
  <c r="AS264" i="1"/>
  <c r="AS209" i="1"/>
  <c r="AS238" i="1"/>
  <c r="AS257" i="1"/>
  <c r="AS95" i="1"/>
  <c r="AS116" i="1"/>
  <c r="AW52" i="1"/>
  <c r="AW14" i="1"/>
  <c r="AS18" i="1"/>
  <c r="AW32" i="1"/>
  <c r="AW35" i="1"/>
  <c r="AW59" i="1"/>
  <c r="AS63" i="1"/>
  <c r="AS77" i="1"/>
  <c r="AS84" i="1"/>
  <c r="AS172" i="1"/>
  <c r="AS220" i="1"/>
  <c r="AW101" i="1"/>
  <c r="AW115" i="1"/>
  <c r="AS14" i="1"/>
  <c r="AW83" i="1"/>
  <c r="AW7" i="1"/>
  <c r="AS8" i="1"/>
  <c r="AS67" i="1"/>
  <c r="AW116" i="1"/>
  <c r="AS150" i="1"/>
  <c r="AS198" i="1"/>
  <c r="AW268" i="1"/>
  <c r="AS272" i="1"/>
  <c r="AW76" i="1"/>
  <c r="AW18" i="1"/>
  <c r="AS46" i="1"/>
  <c r="AS53" i="1"/>
  <c r="AS106" i="1"/>
  <c r="AS113" i="1"/>
  <c r="AS124" i="1"/>
  <c r="AW150" i="1"/>
  <c r="AS258" i="1"/>
  <c r="AW272" i="1"/>
  <c r="AW60" i="1"/>
  <c r="AW67" i="1"/>
  <c r="AS117" i="1"/>
  <c r="AW26" i="1"/>
  <c r="AS57" i="1"/>
  <c r="AS64" i="1"/>
  <c r="AS78" i="1"/>
  <c r="AW81" i="1"/>
  <c r="AW88" i="1"/>
  <c r="AW92" i="1"/>
  <c r="AW106" i="1"/>
  <c r="AS217" i="1"/>
  <c r="AS221" i="1"/>
  <c r="AS228" i="1"/>
  <c r="AW195" i="1"/>
  <c r="AW15" i="1"/>
  <c r="AW96" i="1"/>
  <c r="AW117" i="1"/>
  <c r="AS159" i="1"/>
  <c r="AS170" i="1"/>
  <c r="AW210" i="1"/>
  <c r="AW228" i="1"/>
  <c r="AW40" i="1"/>
  <c r="AW16" i="1"/>
  <c r="AW54" i="1"/>
  <c r="AW46" i="1"/>
  <c r="AW74" i="1"/>
  <c r="AS19" i="1"/>
  <c r="AS25" i="1"/>
  <c r="AS40" i="1"/>
  <c r="AS90" i="1"/>
  <c r="AW121" i="1"/>
  <c r="AS128" i="1"/>
  <c r="AS146" i="1"/>
  <c r="AW152" i="1"/>
  <c r="AW193" i="1"/>
  <c r="AS173" i="1"/>
  <c r="AW190" i="1"/>
  <c r="AS197" i="1"/>
  <c r="AS132" i="1"/>
  <c r="AW251" i="1"/>
  <c r="AS5" i="1"/>
  <c r="AS11" i="1"/>
  <c r="AW19" i="1"/>
  <c r="AW25" i="1"/>
  <c r="AS43" i="1"/>
  <c r="AS81" i="1"/>
  <c r="AW93" i="1"/>
  <c r="AS109" i="1"/>
  <c r="AS153" i="1"/>
  <c r="AW173" i="1"/>
  <c r="AS177" i="1"/>
  <c r="AS201" i="1"/>
  <c r="AW204" i="1"/>
  <c r="AS262" i="1"/>
  <c r="AS34" i="1"/>
  <c r="AS66" i="1"/>
  <c r="AS115" i="1"/>
  <c r="AW231" i="1"/>
  <c r="AW275" i="1"/>
  <c r="AS20" i="1"/>
  <c r="AW37" i="1"/>
  <c r="AW49" i="1"/>
  <c r="AS58" i="1"/>
  <c r="AW69" i="1"/>
  <c r="AS94" i="1"/>
  <c r="AS97" i="1"/>
  <c r="AS122" i="1"/>
  <c r="AS129" i="1"/>
  <c r="AW153" i="1"/>
  <c r="AS157" i="1"/>
  <c r="AW160" i="1"/>
  <c r="AS181" i="1"/>
  <c r="AW184" i="1"/>
  <c r="AS194" i="1"/>
  <c r="AS242" i="1"/>
  <c r="AW248" i="1"/>
  <c r="AS269" i="1"/>
  <c r="AS286" i="1"/>
  <c r="AS133" i="1"/>
  <c r="AW136" i="1"/>
  <c r="AW55" i="1"/>
  <c r="AW75" i="1"/>
  <c r="AW103" i="1"/>
  <c r="AW191" i="1"/>
  <c r="AW255" i="1"/>
  <c r="AS35" i="1"/>
  <c r="AS38" i="1"/>
  <c r="AS82" i="1"/>
  <c r="AW97" i="1"/>
  <c r="AW140" i="1"/>
  <c r="AS161" i="1"/>
  <c r="AW164" i="1"/>
  <c r="AS202" i="1"/>
  <c r="AW208" i="1"/>
  <c r="AS249" i="1"/>
  <c r="AS259" i="1"/>
  <c r="AS266" i="1"/>
  <c r="AS178" i="1"/>
  <c r="AS185" i="1"/>
  <c r="AW235" i="1"/>
  <c r="AS9" i="1"/>
  <c r="AW23" i="1"/>
  <c r="AW29" i="1"/>
  <c r="AS56" i="1"/>
  <c r="AS76" i="1"/>
  <c r="AS79" i="1"/>
  <c r="AW91" i="1"/>
  <c r="AS130" i="1"/>
  <c r="AS154" i="1"/>
  <c r="AW171" i="1"/>
  <c r="AS182" i="1"/>
  <c r="AW188" i="1"/>
  <c r="AS229" i="1"/>
  <c r="AS239" i="1"/>
  <c r="AS246" i="1"/>
  <c r="AW252" i="1"/>
  <c r="AS273" i="1"/>
  <c r="AW276" i="1"/>
  <c r="AS280" i="1"/>
  <c r="AS287" i="1"/>
  <c r="AS141" i="1"/>
  <c r="AW144" i="1"/>
  <c r="AS158" i="1"/>
  <c r="AW61" i="1"/>
  <c r="AW47" i="1"/>
  <c r="AW107" i="1"/>
  <c r="AW113" i="1"/>
  <c r="AW151" i="1"/>
  <c r="AS256" i="1"/>
  <c r="AS270" i="1"/>
  <c r="AW273" i="1"/>
  <c r="AW280" i="1"/>
  <c r="AW287" i="1"/>
  <c r="AP2" i="1"/>
  <c r="AW9" i="1"/>
  <c r="AS24" i="1"/>
  <c r="AS27" i="1"/>
  <c r="AS33" i="1"/>
  <c r="AS127" i="1"/>
  <c r="AS134" i="1"/>
  <c r="AS162" i="1"/>
  <c r="AW168" i="1"/>
  <c r="AS236" i="1"/>
  <c r="AW21" i="1"/>
  <c r="AS39" i="1"/>
  <c r="AS45" i="1"/>
  <c r="AS51" i="1"/>
  <c r="AW95" i="1"/>
  <c r="AW127" i="1"/>
  <c r="AS131" i="1"/>
  <c r="AS138" i="1"/>
  <c r="AW148" i="1"/>
  <c r="AS179" i="1"/>
  <c r="AS186" i="1"/>
  <c r="AW192" i="1"/>
  <c r="AS233" i="1"/>
  <c r="AS240" i="1"/>
  <c r="AS250" i="1"/>
  <c r="AW253" i="1"/>
  <c r="AW260" i="1"/>
  <c r="AW284" i="1"/>
  <c r="AS10" i="1"/>
  <c r="AS42" i="1"/>
  <c r="AS71" i="1"/>
  <c r="AS80" i="1"/>
  <c r="AS83" i="1"/>
  <c r="AS102" i="1"/>
  <c r="AS105" i="1"/>
  <c r="AS108" i="1"/>
  <c r="AS111" i="1"/>
  <c r="AS7" i="1"/>
  <c r="AS196" i="1"/>
  <c r="AW233" i="1"/>
  <c r="AS274" i="1"/>
  <c r="AW39" i="1"/>
  <c r="AW51" i="1"/>
  <c r="AS60" i="1"/>
  <c r="AS96" i="1"/>
  <c r="AS99" i="1"/>
  <c r="AS121" i="1"/>
  <c r="AW124" i="1"/>
  <c r="AS135" i="1"/>
  <c r="AS149" i="1"/>
  <c r="AS166" i="1"/>
  <c r="AW172" i="1"/>
  <c r="AS193" i="1"/>
  <c r="AW196" i="1"/>
  <c r="AS200" i="1"/>
  <c r="AS210" i="1"/>
  <c r="AS237" i="1"/>
  <c r="AS261" i="1"/>
  <c r="AW264" i="1"/>
  <c r="AS28" i="1"/>
  <c r="AS190" i="1"/>
  <c r="AW213" i="1"/>
  <c r="AW220" i="1"/>
  <c r="AW230" i="1"/>
  <c r="AW271" i="1"/>
  <c r="AS278" i="1"/>
  <c r="AS285" i="1"/>
  <c r="AS125" i="1"/>
  <c r="AS29" i="1"/>
  <c r="AW125" i="1"/>
  <c r="AW119" i="1"/>
  <c r="AW126" i="1"/>
  <c r="AW120" i="1"/>
  <c r="AW123" i="1"/>
  <c r="AS118" i="1"/>
  <c r="AW128" i="1"/>
  <c r="AW131" i="1"/>
  <c r="AS123" i="1"/>
  <c r="AW134" i="1"/>
  <c r="AW137" i="1"/>
  <c r="AS143" i="1"/>
  <c r="AW154" i="1"/>
  <c r="AW157" i="1"/>
  <c r="AS163" i="1"/>
  <c r="AW174" i="1"/>
  <c r="AW177" i="1"/>
  <c r="AS183" i="1"/>
  <c r="AW194" i="1"/>
  <c r="AW197" i="1"/>
  <c r="AS203" i="1"/>
  <c r="AW214" i="1"/>
  <c r="AW217" i="1"/>
  <c r="AS223" i="1"/>
  <c r="AW234" i="1"/>
  <c r="AW237" i="1"/>
  <c r="AS243" i="1"/>
  <c r="AW254" i="1"/>
  <c r="AW257" i="1"/>
  <c r="AS263" i="1"/>
  <c r="AW274" i="1"/>
  <c r="AW277" i="1"/>
  <c r="AW143" i="1"/>
  <c r="AW163" i="1"/>
  <c r="AW183" i="1"/>
  <c r="AW203" i="1"/>
  <c r="AW223" i="1"/>
  <c r="AW243" i="1"/>
  <c r="AW263" i="1"/>
  <c r="AW283" i="1"/>
  <c r="AW146" i="1"/>
  <c r="AW149" i="1"/>
  <c r="AS155" i="1"/>
  <c r="AW166" i="1"/>
  <c r="AW169" i="1"/>
  <c r="AS175" i="1"/>
  <c r="AW186" i="1"/>
  <c r="AW189" i="1"/>
  <c r="AS195" i="1"/>
  <c r="AW206" i="1"/>
  <c r="AW209" i="1"/>
  <c r="AS215" i="1"/>
  <c r="AW226" i="1"/>
  <c r="AW229" i="1"/>
  <c r="AS235" i="1"/>
  <c r="AW246" i="1"/>
  <c r="AW249" i="1"/>
  <c r="AS255" i="1"/>
  <c r="AW266" i="1"/>
  <c r="AW269" i="1"/>
  <c r="AS275" i="1"/>
  <c r="AW286" i="1"/>
  <c r="AW132" i="1"/>
  <c r="AW135" i="1"/>
  <c r="AW155" i="1"/>
  <c r="AW175" i="1"/>
  <c r="AS281" i="1"/>
  <c r="AW138" i="1"/>
  <c r="AW141" i="1"/>
  <c r="AS147" i="1"/>
  <c r="AW158" i="1"/>
  <c r="AW161" i="1"/>
  <c r="AS167" i="1"/>
  <c r="AW178" i="1"/>
  <c r="AW181" i="1"/>
  <c r="AS187" i="1"/>
  <c r="AW198" i="1"/>
  <c r="AW201" i="1"/>
  <c r="AS207" i="1"/>
  <c r="AW218" i="1"/>
  <c r="AW221" i="1"/>
  <c r="AS227" i="1"/>
  <c r="AW238" i="1"/>
  <c r="AW241" i="1"/>
  <c r="AS247" i="1"/>
  <c r="AW258" i="1"/>
  <c r="AW261" i="1"/>
  <c r="AS267" i="1"/>
  <c r="AW278" i="1"/>
  <c r="AW281" i="1"/>
  <c r="AW147" i="1"/>
  <c r="AW167" i="1"/>
  <c r="AW187" i="1"/>
  <c r="AW207" i="1"/>
  <c r="AW227" i="1"/>
  <c r="AW247" i="1"/>
  <c r="AW267" i="1"/>
  <c r="AS119" i="1"/>
  <c r="AW130" i="1"/>
  <c r="AW133" i="1"/>
  <c r="AS139" i="1"/>
  <c r="AW139" i="1"/>
  <c r="AW159" i="1"/>
  <c r="AW179" i="1"/>
  <c r="AW199" i="1"/>
  <c r="AW219" i="1"/>
  <c r="AW236" i="1"/>
  <c r="AW239" i="1"/>
  <c r="AW256" i="1"/>
  <c r="AW259" i="1"/>
  <c r="AS265" i="1"/>
  <c r="AW279" i="1"/>
  <c r="AW142" i="1"/>
  <c r="AW145" i="1"/>
  <c r="AS151" i="1"/>
  <c r="AW162" i="1"/>
  <c r="AW165" i="1"/>
  <c r="AS171" i="1"/>
  <c r="AW182" i="1"/>
  <c r="AW185" i="1"/>
  <c r="AS191" i="1"/>
  <c r="AW202" i="1"/>
  <c r="AW205" i="1"/>
  <c r="AS211" i="1"/>
  <c r="AW222" i="1"/>
  <c r="AW225" i="1"/>
  <c r="AS231" i="1"/>
  <c r="AW242" i="1"/>
  <c r="AW245" i="1"/>
  <c r="AS251" i="1"/>
  <c r="AW262" i="1"/>
  <c r="AW265" i="1"/>
  <c r="AS271" i="1"/>
  <c r="AW282" i="1"/>
  <c r="AW285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<sst xmlns="http://schemas.openxmlformats.org/spreadsheetml/2006/main" count="3697" uniqueCount="1288">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</sst>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71" zoomScaleNormal="71" workbookViewId="0">
      <selection activeCell="AG13" sqref="AG13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0" width="32.42578125" style="51" customWidth="1"/>
    <col min="14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41.2</v>
      </c>
      <c r="Z2" s="92">
        <f t="shared" si="0"/>
        <v>41.2</v>
      </c>
      <c r="AA2" s="92">
        <f t="shared" si="0"/>
        <v>42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20</v>
      </c>
      <c r="AQ5" s="68">
        <f t="shared" ref="AQ5:AQ68" si="2">IF(AP5&gt;14,AVERAGE(K5:AO5),"")</f>
        <v>31.090000000000003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0.89262822399177466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20</v>
      </c>
      <c r="AQ6" s="68">
        <f t="shared" si="2"/>
        <v>30.614999999999998</v>
      </c>
      <c r="AR6" s="68">
        <f>IFERROR(VLOOKUP(A6,Climatologia_TMAX!A:U,9+$E$2,FALSE),"")</f>
        <v>30.65428039702234</v>
      </c>
      <c r="AS6" s="68">
        <f t="shared" si="3"/>
        <v>-3.9280397022341873E-2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20</v>
      </c>
      <c r="AQ7" s="68">
        <f t="shared" si="2"/>
        <v>35.89</v>
      </c>
      <c r="AR7" s="68">
        <f>IFERROR(VLOOKUP(A7,Climatologia_TMAX!A:U,9+$E$2,FALSE),"")</f>
        <v>33.366016007569073</v>
      </c>
      <c r="AS7" s="68">
        <f t="shared" si="3"/>
        <v>2.523983992430928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20</v>
      </c>
      <c r="AQ8" s="68">
        <f t="shared" si="2"/>
        <v>33.270000000000003</v>
      </c>
      <c r="AR8" s="68">
        <f>IFERROR(VLOOKUP(A8,Climatologia_TMAX!A:U,9+$E$2,FALSE),"")</f>
        <v>32.249043010752693</v>
      </c>
      <c r="AS8" s="68">
        <f t="shared" si="3"/>
        <v>1.0209569892473098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20</v>
      </c>
      <c r="AQ9" s="68">
        <f t="shared" si="2"/>
        <v>33.774999999999999</v>
      </c>
      <c r="AR9" s="68">
        <f>IFERROR(VLOOKUP(A9,Climatologia_TMAX!A:U,9+$E$2,FALSE),"")</f>
        <v>33.091246137683846</v>
      </c>
      <c r="AS9" s="68">
        <f t="shared" si="3"/>
        <v>0.68375386231615209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20</v>
      </c>
      <c r="AQ10" s="68">
        <f t="shared" si="2"/>
        <v>35.784999999999997</v>
      </c>
      <c r="AR10" s="68">
        <f>IFERROR(VLOOKUP(A10,Climatologia_TMAX!A:U,9+$E$2,FALSE),"")</f>
        <v>35.380238227660357</v>
      </c>
      <c r="AS10" s="68">
        <f t="shared" si="3"/>
        <v>0.40476177233963995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20</v>
      </c>
      <c r="AQ11" s="68">
        <f t="shared" si="2"/>
        <v>38.184999999999988</v>
      </c>
      <c r="AR11" s="68">
        <f>IFERROR(VLOOKUP(A11,Climatologia_TMAX!A:U,9+$E$2,FALSE),"")</f>
        <v>35.537284092848601</v>
      </c>
      <c r="AS11" s="68">
        <f t="shared" si="3"/>
        <v>2.6477159071513867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20</v>
      </c>
      <c r="AQ12" s="68">
        <f t="shared" si="2"/>
        <v>35.049999999999997</v>
      </c>
      <c r="AR12" s="68">
        <f>IFERROR(VLOOKUP(A12,Climatologia_TMAX!A:U,9+$E$2,FALSE),"")</f>
        <v>33.224936599214232</v>
      </c>
      <c r="AS12" s="68">
        <f t="shared" si="3"/>
        <v>1.8250634007857656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20</v>
      </c>
      <c r="AQ13" s="68">
        <f t="shared" si="2"/>
        <v>34.439999999999991</v>
      </c>
      <c r="AR13" s="68">
        <f>IFERROR(VLOOKUP(A13,Climatologia_TMAX!A:U,9+$E$2,FALSE),"")</f>
        <v>32.673982202447156</v>
      </c>
      <c r="AS13" s="68">
        <f t="shared" si="3"/>
        <v>1.7660177975528342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20</v>
      </c>
      <c r="AQ14" s="68">
        <f t="shared" si="2"/>
        <v>27.970000000000006</v>
      </c>
      <c r="AR14" s="68">
        <f>IFERROR(VLOOKUP(A14,Climatologia_TMAX!A:U,9+$E$2,FALSE),"")</f>
        <v>26.05987085395687</v>
      </c>
      <c r="AS14" s="68">
        <f t="shared" si="3"/>
        <v>1.9101291460431362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20</v>
      </c>
      <c r="AQ15" s="68">
        <f t="shared" si="2"/>
        <v>33.584999999999994</v>
      </c>
      <c r="AR15" s="68">
        <f>IFERROR(VLOOKUP(A15,Climatologia_TMAX!A:U,9+$E$2,FALSE),"")</f>
        <v>33.250962402669643</v>
      </c>
      <c r="AS15" s="68">
        <f t="shared" si="3"/>
        <v>0.33403759733035088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20</v>
      </c>
      <c r="AQ16" s="68">
        <f t="shared" si="2"/>
        <v>31.82</v>
      </c>
      <c r="AR16" s="68">
        <f>IFERROR(VLOOKUP(A16,Climatologia_TMAX!A:U,9+$E$2,FALSE),"")</f>
        <v>31.73533745607995</v>
      </c>
      <c r="AS16" s="68">
        <f t="shared" si="3"/>
        <v>8.4662543920050126E-2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20</v>
      </c>
      <c r="AQ17" s="68">
        <f t="shared" si="2"/>
        <v>30.385000000000002</v>
      </c>
      <c r="AR17" s="68">
        <f>IFERROR(VLOOKUP(A17,Climatologia_TMAX!A:U,9+$E$2,FALSE),"")</f>
        <v>28.640804597701148</v>
      </c>
      <c r="AS17" s="68">
        <f t="shared" si="3"/>
        <v>1.7441954022988533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20</v>
      </c>
      <c r="AQ18" s="68">
        <f t="shared" si="2"/>
        <v>24.289999999999996</v>
      </c>
      <c r="AR18" s="68">
        <f>IFERROR(VLOOKUP(A18,Climatologia_TMAX!A:U,9+$E$2,FALSE),"")</f>
        <v>22.609503151649971</v>
      </c>
      <c r="AS18" s="68">
        <f t="shared" si="3"/>
        <v>1.6804968483500247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20</v>
      </c>
      <c r="AQ19" s="68">
        <f t="shared" si="2"/>
        <v>28.645000000000003</v>
      </c>
      <c r="AR19" s="68">
        <f>IFERROR(VLOOKUP(A19,Climatologia_TMAX!A:U,9+$E$2,FALSE),"")</f>
        <v>26.8683870967742</v>
      </c>
      <c r="AS19" s="68">
        <f t="shared" si="3"/>
        <v>1.7766129032258036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20</v>
      </c>
      <c r="AQ20" s="68">
        <f t="shared" si="2"/>
        <v>29.685000000000002</v>
      </c>
      <c r="AR20" s="68">
        <f>IFERROR(VLOOKUP(A20,Climatologia_TMAX!A:U,9+$E$2,FALSE),"")</f>
        <v>28.251824116743482</v>
      </c>
      <c r="AS20" s="68">
        <f t="shared" si="3"/>
        <v>1.4331758832565207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20</v>
      </c>
      <c r="AQ21" s="68">
        <f t="shared" si="2"/>
        <v>32.25500000000001</v>
      </c>
      <c r="AR21" s="68">
        <f>IFERROR(VLOOKUP(A21,Climatologia_TMAX!A:U,9+$E$2,FALSE),"")</f>
        <v>30.375865393221069</v>
      </c>
      <c r="AS21" s="68">
        <f t="shared" si="3"/>
        <v>1.8791346067789405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20</v>
      </c>
      <c r="AQ22" s="68">
        <f t="shared" si="2"/>
        <v>19.650000000000002</v>
      </c>
      <c r="AR22" s="68">
        <f>IFERROR(VLOOKUP(A22,Climatologia_TMAX!A:U,9+$E$2,FALSE),"")</f>
        <v>18.542871607443359</v>
      </c>
      <c r="AS22" s="68">
        <f t="shared" si="3"/>
        <v>1.1071283925566426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20</v>
      </c>
      <c r="AQ23" s="68">
        <f t="shared" si="2"/>
        <v>31.895000000000003</v>
      </c>
      <c r="AR23" s="68">
        <f>IFERROR(VLOOKUP(A23,Climatologia_TMAX!A:U,9+$E$2,FALSE),"")</f>
        <v>30.528452601656159</v>
      </c>
      <c r="AS23" s="68">
        <f t="shared" si="3"/>
        <v>1.3665473983438439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20</v>
      </c>
      <c r="AQ24" s="68">
        <f t="shared" si="2"/>
        <v>34.540000000000006</v>
      </c>
      <c r="AR24" s="68">
        <f>IFERROR(VLOOKUP(A24,Climatologia_TMAX!A:U,9+$E$2,FALSE),"")</f>
        <v>33.74225089605735</v>
      </c>
      <c r="AS24" s="68">
        <f t="shared" si="3"/>
        <v>0.79774910394265675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20</v>
      </c>
      <c r="AQ25" s="68">
        <f t="shared" si="2"/>
        <v>27.409999999999997</v>
      </c>
      <c r="AR25" s="68">
        <f>IFERROR(VLOOKUP(A25,Climatologia_TMAX!A:U,9+$E$2,FALSE),"")</f>
        <v>25.387424837120619</v>
      </c>
      <c r="AS25" s="68">
        <f t="shared" si="3"/>
        <v>2.0225751628793773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20</v>
      </c>
      <c r="AQ26" s="68">
        <f t="shared" si="2"/>
        <v>15.754999999999999</v>
      </c>
      <c r="AR26" s="68">
        <f>IFERROR(VLOOKUP(A26,Climatologia_TMAX!A:U,9+$E$2,FALSE),"")</f>
        <v>14.744612532443449</v>
      </c>
      <c r="AS26" s="68">
        <f t="shared" si="3"/>
        <v>1.0103874675565496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20</v>
      </c>
      <c r="AQ27" s="68">
        <f t="shared" si="2"/>
        <v>31.989999999999991</v>
      </c>
      <c r="AR27" s="68">
        <f>IFERROR(VLOOKUP(A27,Climatologia_TMAX!A:U,9+$E$2,FALSE),"")</f>
        <v>31.072695852534562</v>
      </c>
      <c r="AS27" s="68">
        <f t="shared" si="3"/>
        <v>0.91730414746542976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20</v>
      </c>
      <c r="AQ28" s="68">
        <f t="shared" si="2"/>
        <v>30.044999999999995</v>
      </c>
      <c r="AR28" s="68">
        <f>IFERROR(VLOOKUP(A28,Climatologia_TMAX!A:U,9+$E$2,FALSE),"")</f>
        <v>30.029026223392581</v>
      </c>
      <c r="AS28" s="68">
        <f t="shared" si="3"/>
        <v>1.5973776607413726E-2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20</v>
      </c>
      <c r="AQ29" s="68">
        <f t="shared" si="2"/>
        <v>31.27</v>
      </c>
      <c r="AR29" s="68">
        <f>IFERROR(VLOOKUP(A29,Climatologia_TMAX!A:U,9+$E$2,FALSE),"")</f>
        <v>30.843133110863921</v>
      </c>
      <c r="AS29" s="68">
        <f t="shared" si="3"/>
        <v>0.42686688913607895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20</v>
      </c>
      <c r="AQ30" s="68">
        <f t="shared" si="2"/>
        <v>29.540000000000003</v>
      </c>
      <c r="AR30" s="68">
        <f>IFERROR(VLOOKUP(A30,Climatologia_TMAX!A:U,9+$E$2,FALSE),"")</f>
        <v>28.947548387096781</v>
      </c>
      <c r="AS30" s="68">
        <f t="shared" si="3"/>
        <v>0.59245161290322201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20</v>
      </c>
      <c r="AQ31" s="68">
        <f t="shared" si="2"/>
        <v>30.494999999999997</v>
      </c>
      <c r="AR31" s="68">
        <f>IFERROR(VLOOKUP(A31,Climatologia_TMAX!A:U,9+$E$2,FALSE),"")</f>
        <v>30.34253285543608</v>
      </c>
      <c r="AS31" s="68">
        <f t="shared" si="3"/>
        <v>0.15246714456391786</v>
      </c>
      <c r="AT31" s="74">
        <f t="shared" si="4"/>
        <v>32.9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-2.3000000000000043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20</v>
      </c>
      <c r="AQ33" s="68">
        <f t="shared" si="2"/>
        <v>26.220000000000006</v>
      </c>
      <c r="AR33" s="68">
        <f>IFERROR(VLOOKUP(A33,Climatologia_TMAX!A:U,9+$E$2,FALSE),"")</f>
        <v>24.63366101619717</v>
      </c>
      <c r="AS33" s="68">
        <f t="shared" si="3"/>
        <v>1.5863389838028361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20</v>
      </c>
      <c r="AQ36" s="68">
        <f t="shared" si="2"/>
        <v>35.909999999999997</v>
      </c>
      <c r="AR36" s="68">
        <f>IFERROR(VLOOKUP(A36,Climatologia_TMAX!A:U,9+$E$2,FALSE),"")</f>
        <v>33.669529909436747</v>
      </c>
      <c r="AS36" s="68">
        <f t="shared" si="3"/>
        <v>2.2404700905632495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20</v>
      </c>
      <c r="AQ38" s="68">
        <f t="shared" si="2"/>
        <v>27.74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20</v>
      </c>
      <c r="AQ39" s="68">
        <f t="shared" si="2"/>
        <v>26.639999999999997</v>
      </c>
      <c r="AR39" s="68">
        <f>IFERROR(VLOOKUP(A39,Climatologia_TMAX!A:U,9+$E$2,FALSE),"")</f>
        <v>23.752466703156351</v>
      </c>
      <c r="AS39" s="68">
        <f t="shared" si="3"/>
        <v>2.887533296843646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20</v>
      </c>
      <c r="AQ40" s="68">
        <f t="shared" si="2"/>
        <v>21.509999999999998</v>
      </c>
      <c r="AR40" s="68">
        <f>IFERROR(VLOOKUP(A40,Climatologia_TMAX!A:U,9+$E$2,FALSE),"")</f>
        <v>20.412982326041281</v>
      </c>
      <c r="AS40" s="68">
        <f t="shared" si="3"/>
        <v>1.0970176739587174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20</v>
      </c>
      <c r="AQ42" s="68">
        <f t="shared" si="2"/>
        <v>32.139999999999993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20</v>
      </c>
      <c r="AQ43" s="68">
        <f t="shared" si="2"/>
        <v>32.299999999999997</v>
      </c>
      <c r="AR43" s="68">
        <f>IFERROR(VLOOKUP(A43,Climatologia_TMAX!A:U,9+$E$2,FALSE),"")</f>
        <v>31.60886672633503</v>
      </c>
      <c r="AS43" s="68">
        <f t="shared" si="3"/>
        <v>0.69113327366496691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20</v>
      </c>
      <c r="AQ44" s="68">
        <f t="shared" si="2"/>
        <v>27.52</v>
      </c>
      <c r="AR44" s="68">
        <f>IFERROR(VLOOKUP(A44,Climatologia_TMAX!A:U,9+$E$2,FALSE),"")</f>
        <v>22.96179749103943</v>
      </c>
      <c r="AS44" s="68">
        <f t="shared" si="3"/>
        <v>4.5582025089605693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20</v>
      </c>
      <c r="AQ45" s="68">
        <f t="shared" si="2"/>
        <v>35.96</v>
      </c>
      <c r="AR45" s="68">
        <f>IFERROR(VLOOKUP(A45,Climatologia_TMAX!A:U,9+$E$2,FALSE),"")</f>
        <v>33.381792114695337</v>
      </c>
      <c r="AS45" s="68">
        <f t="shared" si="3"/>
        <v>2.5782078853046642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20</v>
      </c>
      <c r="AQ46" s="68">
        <f t="shared" si="2"/>
        <v>31.82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20</v>
      </c>
      <c r="AQ49" s="68">
        <f t="shared" si="2"/>
        <v>35.029999999999994</v>
      </c>
      <c r="AR49" s="68">
        <f>IFERROR(VLOOKUP(A49,Climatologia_TMAX!A:U,9+$E$2,FALSE),"")</f>
        <v>32.8234456183622</v>
      </c>
      <c r="AS49" s="68">
        <f t="shared" si="3"/>
        <v>2.2065543816377939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19</v>
      </c>
      <c r="AQ52" s="68">
        <f t="shared" si="2"/>
        <v>32.09473684210527</v>
      </c>
      <c r="AR52" s="68">
        <f>IFERROR(VLOOKUP(A52,Climatologia_TMAX!A:U,9+$E$2,FALSE),"")</f>
        <v>31.351722385882571</v>
      </c>
      <c r="AS52" s="68">
        <f t="shared" si="3"/>
        <v>0.74301445622269924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20</v>
      </c>
      <c r="AQ53" s="68">
        <f t="shared" si="2"/>
        <v>34.339999999999989</v>
      </c>
      <c r="AR53" s="68">
        <f>IFERROR(VLOOKUP(A53,Climatologia_TMAX!A:U,9+$E$2,FALSE),"")</f>
        <v>32.406928995179832</v>
      </c>
      <c r="AS53" s="68">
        <f t="shared" si="3"/>
        <v>1.9330710048201567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15</v>
      </c>
      <c r="AQ54" s="68">
        <f t="shared" si="2"/>
        <v>38.373333333333335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20</v>
      </c>
      <c r="AQ55" s="68">
        <f t="shared" si="2"/>
        <v>35.605000000000004</v>
      </c>
      <c r="AR55" s="68">
        <f>IFERROR(VLOOKUP(A55,Climatologia_TMAX!A:U,9+$E$2,FALSE),"")</f>
        <v>33.028858295246998</v>
      </c>
      <c r="AS55" s="68">
        <f t="shared" si="3"/>
        <v>2.576141704753006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20</v>
      </c>
      <c r="AQ67" s="68">
        <f t="shared" si="2"/>
        <v>33.665000000000006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20</v>
      </c>
      <c r="AQ74" s="68">
        <f t="shared" si="7"/>
        <v>36.244999999999997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20</v>
      </c>
      <c r="AQ76" s="68">
        <f t="shared" si="7"/>
        <v>34.739999999999995</v>
      </c>
      <c r="AR76" s="68">
        <f>IFERROR(VLOOKUP(A76,Climatologia_TMAX!A:U,9+$E$2,FALSE),"")</f>
        <v>32.188624146173737</v>
      </c>
      <c r="AS76" s="68">
        <f t="shared" si="8"/>
        <v>2.5513758538262579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>
        <v>30.8</v>
      </c>
      <c r="AC77" s="66">
        <v>28.4</v>
      </c>
      <c r="AD77" s="66">
        <v>32</v>
      </c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12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20</v>
      </c>
      <c r="AQ79" s="68">
        <f t="shared" si="7"/>
        <v>30.500000000000007</v>
      </c>
      <c r="AR79" s="68">
        <f>IFERROR(VLOOKUP(A79,Climatologia_TMAX!A:U,9+$E$2,FALSE),"")</f>
        <v>29.544674995207899</v>
      </c>
      <c r="AS79" s="68">
        <f t="shared" si="8"/>
        <v>0.95532500479210825</v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20</v>
      </c>
      <c r="AQ81" s="68">
        <f t="shared" si="7"/>
        <v>30.049999999999994</v>
      </c>
      <c r="AR81" s="68">
        <f>IFERROR(VLOOKUP(A81,Climatologia_TMAX!A:U,9+$E$2,FALSE),"")</f>
        <v>29.131406078560449</v>
      </c>
      <c r="AS81" s="68">
        <f t="shared" si="8"/>
        <v>0.91859392143954466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18</v>
      </c>
      <c r="AQ83" s="68">
        <f t="shared" si="7"/>
        <v>30.355555555555554</v>
      </c>
      <c r="AR83" s="68">
        <f>IFERROR(VLOOKUP(A83,Climatologia_TMAX!A:U,9+$E$2,FALSE),"")</f>
        <v>29.283968683114491</v>
      </c>
      <c r="AS83" s="68">
        <f t="shared" si="8"/>
        <v>1.0715868724410633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20</v>
      </c>
      <c r="AQ85" s="68">
        <f t="shared" si="7"/>
        <v>29.99</v>
      </c>
      <c r="AR85" s="68">
        <f>IFERROR(VLOOKUP(A85,Climatologia_TMAX!A:U,9+$E$2,FALSE),"")</f>
        <v>29.391449466603099</v>
      </c>
      <c r="AS85" s="68">
        <f t="shared" si="8"/>
        <v>0.59855053339689945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20</v>
      </c>
      <c r="AQ86" s="68">
        <f t="shared" si="7"/>
        <v>30.1</v>
      </c>
      <c r="AR86" s="68">
        <f>IFERROR(VLOOKUP(A86,Climatologia_TMAX!A:U,9+$E$2,FALSE),"")</f>
        <v>29.45927642223533</v>
      </c>
      <c r="AS86" s="68">
        <f t="shared" si="8"/>
        <v>0.64072357776467115</v>
      </c>
      <c r="AT86" s="74">
        <f t="shared" si="9"/>
        <v>32.6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-0.60000000000000142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20</v>
      </c>
      <c r="AQ87" s="68">
        <f t="shared" si="7"/>
        <v>30.310000000000009</v>
      </c>
      <c r="AR87" s="68">
        <f>IFERROR(VLOOKUP(A87,Climatologia_TMAX!A:U,9+$E$2,FALSE),"")</f>
        <v>29.54581639287883</v>
      </c>
      <c r="AS87" s="68">
        <f t="shared" si="8"/>
        <v>0.76418360712117916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20</v>
      </c>
      <c r="AQ90" s="68">
        <f t="shared" si="7"/>
        <v>31.234999999999996</v>
      </c>
      <c r="AR90" s="68">
        <f>IFERROR(VLOOKUP(A90,Climatologia_TMAX!A:U,9+$E$2,FALSE),"")</f>
        <v>29.043187205360461</v>
      </c>
      <c r="AS90" s="68">
        <f t="shared" si="8"/>
        <v>2.1918127946395352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20</v>
      </c>
      <c r="AQ91" s="68">
        <f t="shared" si="7"/>
        <v>30.295000000000005</v>
      </c>
      <c r="AR91" s="68">
        <f>IFERROR(VLOOKUP(A91,Climatologia_TMAX!A:U,9+$E$2,FALSE),"")</f>
        <v>30.168933517456878</v>
      </c>
      <c r="AS91" s="68">
        <f t="shared" si="8"/>
        <v>0.12606648254312702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15</v>
      </c>
      <c r="AQ92" s="68">
        <f t="shared" si="7"/>
        <v>30.6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20</v>
      </c>
      <c r="AQ94" s="68">
        <f t="shared" si="7"/>
        <v>30.850000000000005</v>
      </c>
      <c r="AR94" s="68">
        <f>IFERROR(VLOOKUP(A94,Climatologia_TMAX!A:U,9+$E$2,FALSE),"")</f>
        <v>30.061061827956991</v>
      </c>
      <c r="AS94" s="68">
        <f t="shared" si="8"/>
        <v>0.78893817204301442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20</v>
      </c>
      <c r="AQ99" s="68">
        <f t="shared" si="7"/>
        <v>24.529999999999994</v>
      </c>
      <c r="AR99" s="68">
        <f>IFERROR(VLOOKUP(A99,Climatologia_TMAX!A:U,9+$E$2,FALSE),"")</f>
        <v>24.239088972462049</v>
      </c>
      <c r="AS99" s="68">
        <f t="shared" si="8"/>
        <v>0.29091102753794473</v>
      </c>
      <c r="AT99" s="74">
        <f t="shared" si="9"/>
        <v>28.4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20</v>
      </c>
      <c r="AQ100" s="68">
        <f t="shared" si="7"/>
        <v>37.199999999999996</v>
      </c>
      <c r="AR100" s="68">
        <f>IFERROR(VLOOKUP(A100,Climatologia_TMAX!A:U,9+$E$2,FALSE),"")</f>
        <v>35.854842588404878</v>
      </c>
      <c r="AS100" s="68">
        <f t="shared" si="8"/>
        <v>1.3451574115951175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20</v>
      </c>
      <c r="AQ102" s="68">
        <f t="shared" si="7"/>
        <v>28.35</v>
      </c>
      <c r="AR102" s="68">
        <f>IFERROR(VLOOKUP(A102,Climatologia_TMAX!A:U,9+$E$2,FALSE),"")</f>
        <v>27.486459028550239</v>
      </c>
      <c r="AS102" s="68">
        <f t="shared" si="8"/>
        <v>0.86354097144976194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16</v>
      </c>
      <c r="AQ104" s="68">
        <f t="shared" si="7"/>
        <v>36.912500000000001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20</v>
      </c>
      <c r="AQ105" s="68">
        <f t="shared" si="7"/>
        <v>28.350000000000005</v>
      </c>
      <c r="AR105" s="68">
        <f>IFERROR(VLOOKUP(A105,Climatologia_TMAX!A:U,9+$E$2,FALSE),"")</f>
        <v>28.80830593663741</v>
      </c>
      <c r="AS105" s="68">
        <f t="shared" si="8"/>
        <v>-0.45830593663740515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19</v>
      </c>
      <c r="AQ106" s="68">
        <f t="shared" si="7"/>
        <v>25.231578947368416</v>
      </c>
      <c r="AR106" s="68">
        <f>IFERROR(VLOOKUP(A106,Climatologia_TMAX!A:U,9+$E$2,FALSE),"")</f>
        <v>24.258263255469039</v>
      </c>
      <c r="AS106" s="68">
        <f t="shared" si="8"/>
        <v>0.97331569189937639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19</v>
      </c>
      <c r="AQ108" s="68">
        <f t="shared" si="7"/>
        <v>29.368421052631572</v>
      </c>
      <c r="AR108" s="68">
        <f>IFERROR(VLOOKUP(A108,Climatologia_TMAX!A:U,9+$E$2,FALSE),"")</f>
        <v>29.378447243270202</v>
      </c>
      <c r="AS108" s="68">
        <f t="shared" si="8"/>
        <v>-1.0026190638630084E-2</v>
      </c>
      <c r="AT108" s="74">
        <f t="shared" si="9"/>
        <v>33.799999999999997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20</v>
      </c>
      <c r="AQ109" s="68">
        <f t="shared" si="7"/>
        <v>25.98</v>
      </c>
      <c r="AR109" s="68">
        <f>IFERROR(VLOOKUP(A109,Climatologia_TMAX!A:U,9+$E$2,FALSE),"")</f>
        <v>25.24188769414576</v>
      </c>
      <c r="AS109" s="68">
        <f t="shared" si="8"/>
        <v>0.7381123058542407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18</v>
      </c>
      <c r="AQ111" s="68">
        <f t="shared" si="7"/>
        <v>37.977777777777774</v>
      </c>
      <c r="AR111" s="68">
        <f>IFERROR(VLOOKUP(A111,Climatologia_TMAX!A:U,9+$E$2,FALSE),"")</f>
        <v>35.374911033986344</v>
      </c>
      <c r="AS111" s="68">
        <f t="shared" si="8"/>
        <v>2.6028667437914308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20</v>
      </c>
      <c r="AQ112" s="68">
        <f t="shared" si="7"/>
        <v>35.359999999999992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20</v>
      </c>
      <c r="AQ114" s="68">
        <f t="shared" si="7"/>
        <v>38.74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15</v>
      </c>
      <c r="AQ115" s="68">
        <f t="shared" si="7"/>
        <v>36.76</v>
      </c>
      <c r="AR115" s="68">
        <f>IFERROR(VLOOKUP(A115,Climatologia_TMAX!A:U,9+$E$2,FALSE),"")</f>
        <v>35.904703383898273</v>
      </c>
      <c r="AS115" s="68">
        <f t="shared" si="8"/>
        <v>0.85529661610172525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20</v>
      </c>
      <c r="AQ118" s="68">
        <f t="shared" si="7"/>
        <v>37.929999999999993</v>
      </c>
      <c r="AR118" s="68">
        <f>IFERROR(VLOOKUP(A118,Climatologia_TMAX!A:U,9+$E$2,FALSE),"")</f>
        <v>34.902965072302557</v>
      </c>
      <c r="AS118" s="68">
        <f t="shared" si="8"/>
        <v>3.0270349276974358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20</v>
      </c>
      <c r="AQ119" s="68">
        <f t="shared" si="7"/>
        <v>38.96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>
        <v>30.4</v>
      </c>
      <c r="Z121" s="66">
        <v>31.8</v>
      </c>
      <c r="AA121" s="66">
        <v>30.2</v>
      </c>
      <c r="AB121" s="66">
        <v>28.4</v>
      </c>
      <c r="AC121" s="66">
        <v>25.6</v>
      </c>
      <c r="AD121" s="66">
        <v>26.4</v>
      </c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20</v>
      </c>
      <c r="AQ121" s="68">
        <f t="shared" si="7"/>
        <v>28.77</v>
      </c>
      <c r="AR121" s="68">
        <f>IFERROR(VLOOKUP(A121,Climatologia_TMAX!A:U,9+$E$2,FALSE),"")</f>
        <v>27.695483870967738</v>
      </c>
      <c r="AS121" s="68">
        <f t="shared" si="8"/>
        <v>1.0745161290322613</v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>
        <v>33.4</v>
      </c>
      <c r="Z122" s="66">
        <v>33.200000000000003</v>
      </c>
      <c r="AA122" s="66">
        <v>33.799999999999997</v>
      </c>
      <c r="AB122" s="66">
        <v>29.6</v>
      </c>
      <c r="AC122" s="66">
        <v>29.2</v>
      </c>
      <c r="AD122" s="66">
        <v>29.6</v>
      </c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20</v>
      </c>
      <c r="AQ122" s="68">
        <f t="shared" si="7"/>
        <v>30.350000000000005</v>
      </c>
      <c r="AR122" s="68">
        <f>IFERROR(VLOOKUP(A122,Climatologia_TMAX!A:U,9+$E$2,FALSE),"")</f>
        <v>29.366308243727591</v>
      </c>
      <c r="AS122" s="68">
        <f t="shared" si="8"/>
        <v>0.9836917562724139</v>
      </c>
      <c r="AT122" s="74">
        <f t="shared" si="9"/>
        <v>33.799999999999997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-0.60000000000000142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>
        <v>32.799999999999997</v>
      </c>
      <c r="Z123" s="66">
        <v>33</v>
      </c>
      <c r="AA123" s="66">
        <v>34.200000000000003</v>
      </c>
      <c r="AB123" s="66">
        <v>29.6</v>
      </c>
      <c r="AC123" s="66">
        <v>30.2</v>
      </c>
      <c r="AD123" s="66">
        <v>29.8</v>
      </c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20</v>
      </c>
      <c r="AQ123" s="68">
        <f t="shared" si="7"/>
        <v>30.475000000000001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34.200000000000003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-2.7999999999999972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>
        <v>26.6</v>
      </c>
      <c r="Z126" s="66">
        <v>26.6</v>
      </c>
      <c r="AA126" s="66">
        <v>27</v>
      </c>
      <c r="AB126" s="66">
        <v>26.8</v>
      </c>
      <c r="AC126" s="66">
        <v>23</v>
      </c>
      <c r="AD126" s="66">
        <v>21.6</v>
      </c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18</v>
      </c>
      <c r="AQ126" s="68">
        <f t="shared" si="7"/>
        <v>24.122222222222227</v>
      </c>
      <c r="AR126" s="68">
        <f>IFERROR(VLOOKUP(A126,Climatologia_TMAX!A:U,9+$E$2,FALSE),"")</f>
        <v>23.534082478068139</v>
      </c>
      <c r="AS126" s="68">
        <f t="shared" si="8"/>
        <v>0.58813974415408765</v>
      </c>
      <c r="AT126" s="74">
        <f t="shared" si="9"/>
        <v>27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>
        <v>22.4</v>
      </c>
      <c r="Z127" s="66">
        <v>24.8</v>
      </c>
      <c r="AA127" s="66">
        <v>25.2</v>
      </c>
      <c r="AB127" s="66">
        <v>20.399999999999999</v>
      </c>
      <c r="AC127" s="66">
        <v>19.8</v>
      </c>
      <c r="AD127" s="66">
        <v>18.8</v>
      </c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20</v>
      </c>
      <c r="AQ127" s="68">
        <f t="shared" si="7"/>
        <v>22.18</v>
      </c>
      <c r="AR127" s="68">
        <f>IFERROR(VLOOKUP(A127,Climatologia_TMAX!A:U,9+$E$2,FALSE),"")</f>
        <v>19.631024170572559</v>
      </c>
      <c r="AS127" s="68">
        <f t="shared" si="8"/>
        <v>2.5489758294274409</v>
      </c>
      <c r="AT127" s="74">
        <f t="shared" si="9"/>
        <v>25.2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1.1999999999999993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>
        <v>21.2</v>
      </c>
      <c r="Z130" s="66">
        <v>20.399999999999999</v>
      </c>
      <c r="AA130" s="66">
        <v>22.2</v>
      </c>
      <c r="AB130" s="66">
        <v>20.8</v>
      </c>
      <c r="AC130" s="66">
        <v>21</v>
      </c>
      <c r="AD130" s="66">
        <v>20.2</v>
      </c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13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>
        <v>19.399999999999999</v>
      </c>
      <c r="Z132" s="66">
        <v>17.8</v>
      </c>
      <c r="AA132" s="66"/>
      <c r="AB132" s="66">
        <v>19</v>
      </c>
      <c r="AC132" s="66">
        <v>19.399999999999999</v>
      </c>
      <c r="AD132" s="66">
        <v>19.399999999999999</v>
      </c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18</v>
      </c>
      <c r="AQ132" s="68">
        <f t="shared" si="7"/>
        <v>17.766666666666666</v>
      </c>
      <c r="AR132" s="68">
        <f>IFERROR(VLOOKUP(A132,Climatologia_TMAX!A:U,9+$E$2,FALSE),"")</f>
        <v>15.83566774324839</v>
      </c>
      <c r="AS132" s="68">
        <f t="shared" si="8"/>
        <v>1.9309989234182758</v>
      </c>
      <c r="AT132" s="74">
        <f t="shared" si="9"/>
        <v>19.399999999999999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>
        <v>23.8</v>
      </c>
      <c r="Z134" s="66">
        <v>23.6</v>
      </c>
      <c r="AA134" s="66">
        <v>24.2</v>
      </c>
      <c r="AB134" s="66">
        <v>23</v>
      </c>
      <c r="AC134" s="66">
        <v>21.2</v>
      </c>
      <c r="AD134" s="66">
        <v>22.6</v>
      </c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20</v>
      </c>
      <c r="AQ134" s="68">
        <f t="shared" si="12"/>
        <v>22.72</v>
      </c>
      <c r="AR134" s="68">
        <f>IFERROR(VLOOKUP(A134,Climatologia_TMAX!A:U,9+$E$2,FALSE),"")</f>
        <v>23.062270114942532</v>
      </c>
      <c r="AS134" s="68">
        <f t="shared" si="13"/>
        <v>-0.3422701149425329</v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>
        <v>21.4</v>
      </c>
      <c r="Z137" s="66">
        <v>22</v>
      </c>
      <c r="AA137" s="66">
        <v>23</v>
      </c>
      <c r="AB137" s="66">
        <v>22</v>
      </c>
      <c r="AC137" s="66">
        <v>18.2</v>
      </c>
      <c r="AD137" s="66">
        <v>18</v>
      </c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18</v>
      </c>
      <c r="AQ137" s="68">
        <f t="shared" si="12"/>
        <v>20.11666666666666</v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23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0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>
        <v>21</v>
      </c>
      <c r="Z138" s="66">
        <v>22.6</v>
      </c>
      <c r="AA138" s="66">
        <v>23.4</v>
      </c>
      <c r="AB138" s="66">
        <v>20.399999999999999</v>
      </c>
      <c r="AC138" s="66">
        <v>21</v>
      </c>
      <c r="AD138" s="66">
        <v>22.4</v>
      </c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20</v>
      </c>
      <c r="AQ138" s="68">
        <f t="shared" si="12"/>
        <v>20.599999999999994</v>
      </c>
      <c r="AR138" s="68">
        <f>IFERROR(VLOOKUP(A138,Climatologia_TMAX!A:U,9+$E$2,FALSE),"")</f>
        <v>20.14919071873231</v>
      </c>
      <c r="AS138" s="68">
        <f t="shared" si="13"/>
        <v>0.45080928126768427</v>
      </c>
      <c r="AT138" s="74">
        <f t="shared" si="14"/>
        <v>23.4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-5.2000000000000028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>
        <v>23.4</v>
      </c>
      <c r="Z139" s="66">
        <v>22.6</v>
      </c>
      <c r="AA139" s="66">
        <v>25</v>
      </c>
      <c r="AB139" s="66">
        <v>26</v>
      </c>
      <c r="AC139" s="66">
        <v>22.2</v>
      </c>
      <c r="AD139" s="66">
        <v>22.8</v>
      </c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20</v>
      </c>
      <c r="AQ139" s="68">
        <f t="shared" si="12"/>
        <v>23.240000000000002</v>
      </c>
      <c r="AR139" s="68">
        <f>IFERROR(VLOOKUP(A139,Climatologia_TMAX!A:U,9+$E$2,FALSE),"")</f>
        <v>21.34563346802684</v>
      </c>
      <c r="AS139" s="68">
        <f t="shared" si="13"/>
        <v>1.8943665319731622</v>
      </c>
      <c r="AT139" s="74">
        <f t="shared" si="14"/>
        <v>26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-1.8000000000000007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>
        <v>20.2</v>
      </c>
      <c r="Z140" s="66">
        <v>19.399999999999999</v>
      </c>
      <c r="AA140" s="66">
        <v>20.8</v>
      </c>
      <c r="AB140" s="66">
        <v>21.6</v>
      </c>
      <c r="AC140" s="66">
        <v>18.399999999999999</v>
      </c>
      <c r="AD140" s="66">
        <v>19</v>
      </c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20</v>
      </c>
      <c r="AQ140" s="68">
        <f t="shared" si="12"/>
        <v>18.98</v>
      </c>
      <c r="AR140" s="68">
        <f>IFERROR(VLOOKUP(A140,Climatologia_TMAX!A:U,9+$E$2,FALSE),"")</f>
        <v>17.924274193548381</v>
      </c>
      <c r="AS140" s="68">
        <f t="shared" si="13"/>
        <v>1.0557258064516191</v>
      </c>
      <c r="AT140" s="74">
        <f t="shared" si="14"/>
        <v>21.6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0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>
        <v>18.2</v>
      </c>
      <c r="Z141" s="66">
        <v>19</v>
      </c>
      <c r="AA141" s="66">
        <v>20.399999999999999</v>
      </c>
      <c r="AB141" s="66">
        <v>20</v>
      </c>
      <c r="AC141" s="66">
        <v>19</v>
      </c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19</v>
      </c>
      <c r="AQ141" s="68">
        <f t="shared" si="12"/>
        <v>17.936842105263157</v>
      </c>
      <c r="AR141" s="68">
        <f>IFERROR(VLOOKUP(A141,Climatologia_TMAX!A:U,9+$E$2,FALSE),"")</f>
        <v>17.294555679149671</v>
      </c>
      <c r="AS141" s="68">
        <f t="shared" si="13"/>
        <v>0.64228642611348619</v>
      </c>
      <c r="AT141" s="74">
        <f t="shared" si="14"/>
        <v>20.399999999999999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-2.2000000000000028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>
        <v>33.200000000000003</v>
      </c>
      <c r="Z142" s="66">
        <v>33.200000000000003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33.200000000000003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>
        <v>21.6</v>
      </c>
      <c r="Z145" s="66">
        <v>21.6</v>
      </c>
      <c r="AA145" s="66">
        <v>22.2</v>
      </c>
      <c r="AB145" s="66"/>
      <c r="AC145" s="66"/>
      <c r="AD145" s="66">
        <v>22</v>
      </c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16</v>
      </c>
      <c r="AQ145" s="68">
        <f t="shared" si="12"/>
        <v>21.712499999999999</v>
      </c>
      <c r="AR145" s="68">
        <f>IFERROR(VLOOKUP(A145,Climatologia_TMAX!A:U,9+$E$2,FALSE),"")</f>
        <v>20.927355094854001</v>
      </c>
      <c r="AS145" s="68">
        <f t="shared" si="13"/>
        <v>0.785144905145998</v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>
        <v>21.8</v>
      </c>
      <c r="Z146" s="66">
        <v>22</v>
      </c>
      <c r="AA146" s="66">
        <v>23</v>
      </c>
      <c r="AB146" s="66">
        <v>21.4</v>
      </c>
      <c r="AC146" s="66">
        <v>20.8</v>
      </c>
      <c r="AD146" s="66">
        <v>22.4</v>
      </c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20</v>
      </c>
      <c r="AQ146" s="68">
        <f t="shared" si="12"/>
        <v>21.29</v>
      </c>
      <c r="AR146" s="68">
        <f>IFERROR(VLOOKUP(A146,Climatologia_TMAX!A:U,9+$E$2,FALSE),"")</f>
        <v>21.257146953405019</v>
      </c>
      <c r="AS146" s="68">
        <f t="shared" si="13"/>
        <v>3.2853046594979674E-2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>
        <v>26.6</v>
      </c>
      <c r="Z147" s="66">
        <v>27.2</v>
      </c>
      <c r="AA147" s="66">
        <v>26.2</v>
      </c>
      <c r="AB147" s="66">
        <v>25.4</v>
      </c>
      <c r="AC147" s="66">
        <v>27.2</v>
      </c>
      <c r="AD147" s="66">
        <v>26.2</v>
      </c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20</v>
      </c>
      <c r="AQ147" s="68">
        <f t="shared" si="12"/>
        <v>25.809999999999995</v>
      </c>
      <c r="AR147" s="68">
        <f>IFERROR(VLOOKUP(A147,Climatologia_TMAX!A:U,9+$E$2,FALSE),"")</f>
        <v>24.958892473118279</v>
      </c>
      <c r="AS147" s="68">
        <f t="shared" si="13"/>
        <v>0.85110752688171587</v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>
        <v>31.4</v>
      </c>
      <c r="Y150" s="66">
        <v>33.799999999999997</v>
      </c>
      <c r="Z150" s="107">
        <v>33</v>
      </c>
      <c r="AA150" s="66">
        <v>34.200000000000003</v>
      </c>
      <c r="AB150" s="66">
        <v>32.4</v>
      </c>
      <c r="AC150" s="66">
        <v>31.6</v>
      </c>
      <c r="AD150" s="66">
        <v>32</v>
      </c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20</v>
      </c>
      <c r="AQ150" s="68">
        <f t="shared" si="12"/>
        <v>32.04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34.200000000000003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>
        <v>24.2</v>
      </c>
      <c r="Z151" s="66">
        <v>24</v>
      </c>
      <c r="AA151" s="66">
        <v>25</v>
      </c>
      <c r="AB151" s="66">
        <v>24</v>
      </c>
      <c r="AC151" s="66">
        <v>22.4</v>
      </c>
      <c r="AD151" s="66">
        <v>22</v>
      </c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20</v>
      </c>
      <c r="AQ151" s="68">
        <f t="shared" si="12"/>
        <v>22.66</v>
      </c>
      <c r="AR151" s="68">
        <f>IFERROR(VLOOKUP(A151,Climatologia_TMAX!A:U,9+$E$2,FALSE),"")</f>
        <v>20.826350237314909</v>
      </c>
      <c r="AS151" s="68">
        <f t="shared" si="13"/>
        <v>1.8336497626850914</v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114">
        <v>21.6</v>
      </c>
      <c r="Z152" s="66">
        <v>19.399999999999999</v>
      </c>
      <c r="AA152" s="66">
        <v>21</v>
      </c>
      <c r="AB152" s="66">
        <v>21.8</v>
      </c>
      <c r="AC152" s="66">
        <v>20.399999999999999</v>
      </c>
      <c r="AD152" s="66">
        <v>20</v>
      </c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16</v>
      </c>
      <c r="AQ152" s="68">
        <f t="shared" si="12"/>
        <v>20.05</v>
      </c>
      <c r="AR152" s="68">
        <f>IFERROR(VLOOKUP(A152,Climatologia_TMAX!A:U,9+$E$2,FALSE),"")</f>
        <v>16.682050544108389</v>
      </c>
      <c r="AS152" s="68">
        <f t="shared" si="13"/>
        <v>3.3679494558916119</v>
      </c>
      <c r="AT152" s="74">
        <f t="shared" si="14"/>
        <v>21.8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0.40000000000000213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>
        <v>18.399999999999999</v>
      </c>
      <c r="Z153" s="66">
        <v>18</v>
      </c>
      <c r="AA153" s="66">
        <v>20.399999999999999</v>
      </c>
      <c r="AB153" s="66">
        <v>20.6</v>
      </c>
      <c r="AC153" s="66">
        <v>18.8</v>
      </c>
      <c r="AD153" s="66">
        <v>20.2</v>
      </c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20</v>
      </c>
      <c r="AQ153" s="68">
        <f t="shared" si="12"/>
        <v>18.54</v>
      </c>
      <c r="AR153" s="68">
        <f>IFERROR(VLOOKUP(A153,Climatologia_TMAX!A:U,9+$E$2,FALSE),"")</f>
        <v>17.74207636891661</v>
      </c>
      <c r="AS153" s="68">
        <f t="shared" si="13"/>
        <v>0.79792363108338904</v>
      </c>
      <c r="AT153" s="74">
        <f t="shared" si="14"/>
        <v>20.6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-2.1999999999999993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>
        <v>22.4</v>
      </c>
      <c r="Z155" s="66">
        <v>23.2</v>
      </c>
      <c r="AA155" s="66">
        <v>23.6</v>
      </c>
      <c r="AB155" s="66">
        <v>22.2</v>
      </c>
      <c r="AC155" s="66">
        <v>21</v>
      </c>
      <c r="AD155" s="66">
        <v>21.2</v>
      </c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20</v>
      </c>
      <c r="AQ155" s="68">
        <f t="shared" si="12"/>
        <v>20.86</v>
      </c>
      <c r="AR155" s="68">
        <f>IFERROR(VLOOKUP(A155,Climatologia_TMAX!A:U,9+$E$2,FALSE),"")</f>
        <v>19.979731688407991</v>
      </c>
      <c r="AS155" s="68">
        <f t="shared" si="13"/>
        <v>0.88026831159200825</v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>
        <v>23.4</v>
      </c>
      <c r="Z157" s="66">
        <v>24.2</v>
      </c>
      <c r="AA157" s="66">
        <v>25.6</v>
      </c>
      <c r="AB157" s="66">
        <v>23.8</v>
      </c>
      <c r="AC157" s="66">
        <v>23.6</v>
      </c>
      <c r="AD157" s="66">
        <v>23.4</v>
      </c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20</v>
      </c>
      <c r="AQ157" s="68">
        <f t="shared" si="12"/>
        <v>22.580000000000002</v>
      </c>
      <c r="AR157" s="68">
        <f>IFERROR(VLOOKUP(A157,Climatologia_TMAX!A:U,9+$E$2,FALSE),"")</f>
        <v>22.235245771655119</v>
      </c>
      <c r="AS157" s="68">
        <f t="shared" si="13"/>
        <v>0.34475422834488256</v>
      </c>
      <c r="AT157" s="74">
        <f t="shared" si="14"/>
        <v>25.6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-4.1999999999999993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>
        <v>32</v>
      </c>
      <c r="Z159" s="66">
        <v>32.799999999999997</v>
      </c>
      <c r="AA159" s="66">
        <v>33</v>
      </c>
      <c r="AB159" s="66">
        <v>31.2</v>
      </c>
      <c r="AC159" s="66">
        <v>29.2</v>
      </c>
      <c r="AD159" s="66">
        <v>31</v>
      </c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20</v>
      </c>
      <c r="AQ159" s="68">
        <f t="shared" si="12"/>
        <v>31.380000000000006</v>
      </c>
      <c r="AR159" s="68">
        <f>IFERROR(VLOOKUP(A159,Climatologia_TMAX!A:U,9+$E$2,FALSE),"")</f>
        <v>29.869247988652891</v>
      </c>
      <c r="AS159" s="68">
        <f t="shared" si="13"/>
        <v>1.5107520113471153</v>
      </c>
      <c r="AT159" s="74">
        <f t="shared" si="14"/>
        <v>33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>
        <v>18.2</v>
      </c>
      <c r="Z163" s="66">
        <v>18</v>
      </c>
      <c r="AA163" s="66">
        <v>17.8</v>
      </c>
      <c r="AB163" s="66">
        <v>18.2</v>
      </c>
      <c r="AC163" s="66">
        <v>17.600000000000001</v>
      </c>
      <c r="AD163" s="66">
        <v>19.399999999999999</v>
      </c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20</v>
      </c>
      <c r="AQ163" s="68">
        <f t="shared" si="12"/>
        <v>17.940000000000001</v>
      </c>
      <c r="AR163" s="68">
        <f>IFERROR(VLOOKUP(A163,Climatologia_TMAX!A:U,9+$E$2,FALSE),"")</f>
        <v>16.329537773261251</v>
      </c>
      <c r="AS163" s="68">
        <f t="shared" si="13"/>
        <v>1.6104622267387505</v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>
        <v>13.6</v>
      </c>
      <c r="Z164" s="66">
        <v>13.8</v>
      </c>
      <c r="AA164" s="66">
        <v>13.6</v>
      </c>
      <c r="AB164" s="66">
        <v>14.2</v>
      </c>
      <c r="AC164" s="66">
        <v>14.4</v>
      </c>
      <c r="AD164" s="66">
        <v>15</v>
      </c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20</v>
      </c>
      <c r="AQ164" s="68">
        <f t="shared" si="12"/>
        <v>13.45</v>
      </c>
      <c r="AR164" s="68">
        <f>IFERROR(VLOOKUP(A164,Climatologia_TMAX!A:U,9+$E$2,FALSE),"")</f>
        <v>12.99240860215054</v>
      </c>
      <c r="AS164" s="68">
        <f t="shared" si="13"/>
        <v>0.45759139784945901</v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>
        <v>15.4</v>
      </c>
      <c r="Z165" s="66">
        <v>16</v>
      </c>
      <c r="AA165" s="66">
        <v>15.6</v>
      </c>
      <c r="AB165" s="66">
        <v>13.6</v>
      </c>
      <c r="AC165" s="66">
        <v>15</v>
      </c>
      <c r="AD165" s="66">
        <v>17</v>
      </c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20</v>
      </c>
      <c r="AQ165" s="68">
        <f t="shared" si="12"/>
        <v>14.8</v>
      </c>
      <c r="AR165" s="68">
        <f>IFERROR(VLOOKUP(A165,Climatologia_TMAX!A:U,9+$E$2,FALSE),"")</f>
        <v>14.233020730924361</v>
      </c>
      <c r="AS165" s="68">
        <f t="shared" si="13"/>
        <v>0.56697926907563989</v>
      </c>
      <c r="AT165" s="74">
        <f t="shared" si="14"/>
        <v>17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>
        <v>17.8</v>
      </c>
      <c r="Z166" s="66">
        <v>17.399999999999999</v>
      </c>
      <c r="AA166" s="66">
        <v>17.8</v>
      </c>
      <c r="AB166" s="66">
        <v>16.600000000000001</v>
      </c>
      <c r="AC166" s="66">
        <v>21.6</v>
      </c>
      <c r="AD166" s="66">
        <v>17.2</v>
      </c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20</v>
      </c>
      <c r="AQ166" s="68">
        <f t="shared" si="12"/>
        <v>17.010000000000002</v>
      </c>
      <c r="AR166" s="68">
        <f>IFERROR(VLOOKUP(A166,Climatologia_TMAX!A:U,9+$E$2,FALSE),"")</f>
        <v>15.20642771804062</v>
      </c>
      <c r="AS166" s="68">
        <f t="shared" si="13"/>
        <v>1.8035722819593811</v>
      </c>
      <c r="AT166" s="74">
        <f t="shared" si="14"/>
        <v>21.6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2.2000000000000028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>
        <v>21.8</v>
      </c>
      <c r="Z167" s="66">
        <v>23.2</v>
      </c>
      <c r="AA167" s="66">
        <v>23.2</v>
      </c>
      <c r="AB167" s="66">
        <v>22.6</v>
      </c>
      <c r="AC167" s="66">
        <v>23.2</v>
      </c>
      <c r="AD167" s="66">
        <v>23.8</v>
      </c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20</v>
      </c>
      <c r="AQ167" s="68">
        <f t="shared" si="12"/>
        <v>23.07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>
        <v>23.6</v>
      </c>
      <c r="Z171" s="66">
        <v>25.4</v>
      </c>
      <c r="AA171" s="66">
        <v>23.6</v>
      </c>
      <c r="AB171" s="66">
        <v>23.2</v>
      </c>
      <c r="AC171" s="66">
        <v>22.6</v>
      </c>
      <c r="AD171" s="66">
        <v>22.6</v>
      </c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20</v>
      </c>
      <c r="AQ171" s="68">
        <f t="shared" si="12"/>
        <v>24.07</v>
      </c>
      <c r="AR171" s="68">
        <f>IFERROR(VLOOKUP(A171,Climatologia_TMAX!A:U,9+$E$2,FALSE),"")</f>
        <v>21.37397849462366</v>
      </c>
      <c r="AS171" s="68">
        <f t="shared" si="13"/>
        <v>2.6960215053763399</v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>
        <v>18.600000000000001</v>
      </c>
      <c r="Z172" s="66">
        <v>19.2</v>
      </c>
      <c r="AA172" s="66">
        <v>21.2</v>
      </c>
      <c r="AB172" s="66">
        <v>17.399999999999999</v>
      </c>
      <c r="AC172" s="66">
        <v>17.8</v>
      </c>
      <c r="AD172" s="66">
        <v>22.2</v>
      </c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19</v>
      </c>
      <c r="AQ172" s="68">
        <f t="shared" si="12"/>
        <v>18.457894736842103</v>
      </c>
      <c r="AR172" s="68">
        <f>IFERROR(VLOOKUP(A172,Climatologia_TMAX!A:U,9+$E$2,FALSE),"")</f>
        <v>18.960986089776409</v>
      </c>
      <c r="AS172" s="68">
        <f t="shared" si="13"/>
        <v>-0.50309135293430529</v>
      </c>
      <c r="AT172" s="74">
        <f t="shared" si="14"/>
        <v>22.2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-2.8000000000000007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>
        <v>18.399999999999999</v>
      </c>
      <c r="Z174" s="66">
        <v>20.399999999999999</v>
      </c>
      <c r="AA174" s="66">
        <v>18</v>
      </c>
      <c r="AB174" s="66">
        <v>17.399999999999999</v>
      </c>
      <c r="AC174" s="66">
        <v>17.600000000000001</v>
      </c>
      <c r="AD174" s="66">
        <v>19.600000000000001</v>
      </c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20</v>
      </c>
      <c r="AQ174" s="68">
        <f t="shared" si="12"/>
        <v>17.895</v>
      </c>
      <c r="AR174" s="68">
        <f>IFERROR(VLOOKUP(A174,Climatologia_TMAX!A:U,9+$E$2,FALSE),"")</f>
        <v>16.556385496150121</v>
      </c>
      <c r="AS174" s="68">
        <f t="shared" si="13"/>
        <v>1.3386145038498789</v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>
        <v>19.600000000000001</v>
      </c>
      <c r="Z175" s="66">
        <v>22.2</v>
      </c>
      <c r="AA175" s="66">
        <v>20.3</v>
      </c>
      <c r="AB175" s="66">
        <v>20.399999999999999</v>
      </c>
      <c r="AC175" s="66">
        <v>17.8</v>
      </c>
      <c r="AD175" s="66">
        <v>17.7</v>
      </c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20</v>
      </c>
      <c r="AQ175" s="68">
        <f t="shared" si="12"/>
        <v>20.154999999999998</v>
      </c>
      <c r="AR175" s="68">
        <f>IFERROR(VLOOKUP(A175,Climatologia_TMAX!A:U,9+$E$2,FALSE),"")</f>
        <v>18.845440860215049</v>
      </c>
      <c r="AS175" s="68">
        <f t="shared" si="13"/>
        <v>1.3095591397849482</v>
      </c>
      <c r="AT175" s="74">
        <f t="shared" si="14"/>
        <v>22.2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-0.30000000000000071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>
        <v>25.4</v>
      </c>
      <c r="Z179" s="66">
        <v>25</v>
      </c>
      <c r="AA179" s="66">
        <v>24.4</v>
      </c>
      <c r="AB179" s="66">
        <v>23.8</v>
      </c>
      <c r="AC179" s="66">
        <v>23</v>
      </c>
      <c r="AD179" s="66">
        <v>25</v>
      </c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18</v>
      </c>
      <c r="AQ179" s="68">
        <f t="shared" si="12"/>
        <v>24.477777777777774</v>
      </c>
      <c r="AR179" s="68">
        <f>IFERROR(VLOOKUP(A179,Climatologia_TMAX!A:U,9+$E$2,FALSE),"")</f>
        <v>21.704538720271199</v>
      </c>
      <c r="AS179" s="68">
        <f t="shared" si="13"/>
        <v>2.7732390575065757</v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>
        <v>20.399999999999999</v>
      </c>
      <c r="Z180" s="66">
        <v>19.399999999999999</v>
      </c>
      <c r="AA180" s="66">
        <v>18.100000000000001</v>
      </c>
      <c r="AB180" s="66">
        <v>19</v>
      </c>
      <c r="AC180" s="66">
        <v>19.100000000000001</v>
      </c>
      <c r="AD180" s="66">
        <v>20</v>
      </c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20</v>
      </c>
      <c r="AQ180" s="68">
        <f t="shared" si="12"/>
        <v>19.03</v>
      </c>
      <c r="AR180" s="68">
        <f>IFERROR(VLOOKUP(A180,Climatologia_TMAX!A:U,9+$E$2,FALSE),"")</f>
        <v>17.347963765614409</v>
      </c>
      <c r="AS180" s="68">
        <f t="shared" si="13"/>
        <v>1.6820362343855919</v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>
        <v>28.6</v>
      </c>
      <c r="Z181" s="66">
        <v>28.4</v>
      </c>
      <c r="AA181" s="66">
        <v>28</v>
      </c>
      <c r="AB181" s="66">
        <v>25.2</v>
      </c>
      <c r="AC181" s="66">
        <v>22.4</v>
      </c>
      <c r="AD181" s="66">
        <v>23.8</v>
      </c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20</v>
      </c>
      <c r="AQ181" s="68">
        <f t="shared" si="12"/>
        <v>26.369999999999997</v>
      </c>
      <c r="AR181" s="68">
        <f>IFERROR(VLOOKUP(A181,Climatologia_TMAX!A:U,9+$E$2,FALSE),"")</f>
        <v>24.30997741990134</v>
      </c>
      <c r="AS181" s="68">
        <f t="shared" si="13"/>
        <v>2.0600225800986571</v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>
        <v>31.6</v>
      </c>
      <c r="Z182" s="66">
        <v>30</v>
      </c>
      <c r="AA182" s="66">
        <v>30.6</v>
      </c>
      <c r="AB182" s="66">
        <v>29</v>
      </c>
      <c r="AC182" s="109">
        <v>25.4</v>
      </c>
      <c r="AD182" s="66">
        <v>27</v>
      </c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20</v>
      </c>
      <c r="AQ182" s="68">
        <f t="shared" si="12"/>
        <v>28.990000000000002</v>
      </c>
      <c r="AR182" s="68">
        <f>IFERROR(VLOOKUP(A182,Climatologia_TMAX!A:U,9+$E$2,FALSE),"")</f>
        <v>26.548927953153569</v>
      </c>
      <c r="AS182" s="68">
        <f t="shared" si="13"/>
        <v>2.4410720468464326</v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>
        <v>16.8</v>
      </c>
      <c r="Z183" s="66">
        <v>15.6</v>
      </c>
      <c r="AA183" s="66">
        <v>17.2</v>
      </c>
      <c r="AB183" s="66">
        <v>15.4</v>
      </c>
      <c r="AC183" s="66">
        <v>15.8</v>
      </c>
      <c r="AD183" s="66">
        <v>17.600000000000001</v>
      </c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20</v>
      </c>
      <c r="AQ183" s="68">
        <f t="shared" si="12"/>
        <v>16.100000000000001</v>
      </c>
      <c r="AR183" s="68">
        <f>IFERROR(VLOOKUP(A183,Climatologia_TMAX!A:U,9+$E$2,FALSE),"")</f>
        <v>14.413290322580639</v>
      </c>
      <c r="AS183" s="68">
        <f t="shared" si="13"/>
        <v>1.686709677419362</v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>
        <v>30.8</v>
      </c>
      <c r="Z184" s="66">
        <v>30.6</v>
      </c>
      <c r="AA184" s="66">
        <v>32.200000000000003</v>
      </c>
      <c r="AB184" s="66">
        <v>30.6</v>
      </c>
      <c r="AC184" s="66">
        <v>30.2</v>
      </c>
      <c r="AD184" s="66">
        <v>26.4</v>
      </c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20</v>
      </c>
      <c r="AQ184" s="68">
        <f t="shared" si="12"/>
        <v>30.490000000000002</v>
      </c>
      <c r="AR184" s="68">
        <f>IFERROR(VLOOKUP(A184,Climatologia_TMAX!A:U,9+$E$2,FALSE),"")</f>
        <v>28.305306586427651</v>
      </c>
      <c r="AS184" s="68">
        <f t="shared" si="13"/>
        <v>2.1846934135723508</v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>
        <v>31</v>
      </c>
      <c r="Z185" s="66">
        <v>31</v>
      </c>
      <c r="AA185" s="66">
        <v>32.4</v>
      </c>
      <c r="AB185" s="66">
        <v>27.8</v>
      </c>
      <c r="AC185" s="66">
        <v>28.8</v>
      </c>
      <c r="AD185" s="66">
        <v>24.8</v>
      </c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20</v>
      </c>
      <c r="AQ185" s="68">
        <f t="shared" si="12"/>
        <v>29.439999999999998</v>
      </c>
      <c r="AR185" s="68">
        <f>IFERROR(VLOOKUP(A185,Climatologia_TMAX!A:U,9+$E$2,FALSE),"")</f>
        <v>28.17490975422427</v>
      </c>
      <c r="AS185" s="68">
        <f t="shared" si="13"/>
        <v>1.2650902457757276</v>
      </c>
      <c r="AT185" s="74">
        <f t="shared" si="14"/>
        <v>32.4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0.19999999999999574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>
        <v>26.6</v>
      </c>
      <c r="Z186" s="66">
        <v>28</v>
      </c>
      <c r="AA186" s="66">
        <v>28.4</v>
      </c>
      <c r="AB186" s="66">
        <v>24.6</v>
      </c>
      <c r="AC186" s="66">
        <v>24.6</v>
      </c>
      <c r="AD186" s="66">
        <v>23.6</v>
      </c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20</v>
      </c>
      <c r="AQ186" s="68">
        <f t="shared" si="12"/>
        <v>26.080000000000002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>
        <v>12.2</v>
      </c>
      <c r="Z187" s="66">
        <v>12.6</v>
      </c>
      <c r="AA187" s="66">
        <v>14</v>
      </c>
      <c r="AB187" s="66">
        <v>13.2</v>
      </c>
      <c r="AC187" s="109">
        <v>10.199999999999999</v>
      </c>
      <c r="AD187" s="66">
        <v>13.6</v>
      </c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20</v>
      </c>
      <c r="AQ187" s="68">
        <f t="shared" si="12"/>
        <v>11.979999999999999</v>
      </c>
      <c r="AR187" s="68">
        <f>IFERROR(VLOOKUP(A187,Climatologia_TMAX!A:U,9+$E$2,FALSE),"")</f>
        <v>12.467666540959829</v>
      </c>
      <c r="AS187" s="68">
        <f t="shared" si="13"/>
        <v>-0.48766654095983064</v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>
        <v>34</v>
      </c>
      <c r="Y190" s="66">
        <v>36</v>
      </c>
      <c r="Z190" s="66">
        <v>35.799999999999997</v>
      </c>
      <c r="AA190" s="66">
        <v>36.799999999999997</v>
      </c>
      <c r="AB190" s="66"/>
      <c r="AC190" s="66">
        <v>36</v>
      </c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18</v>
      </c>
      <c r="AQ190" s="68">
        <f t="shared" si="12"/>
        <v>35.166666666666657</v>
      </c>
      <c r="AR190" s="68">
        <f>IFERROR(VLOOKUP(A190,Climatologia_TMAX!A:U,9+$E$2,FALSE),"")</f>
        <v>33.566923401480572</v>
      </c>
      <c r="AS190" s="68">
        <f t="shared" si="13"/>
        <v>1.5997432651860848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>
        <v>32.6</v>
      </c>
      <c r="Z191" s="66">
        <v>32</v>
      </c>
      <c r="AA191" s="66">
        <v>33</v>
      </c>
      <c r="AB191" s="66">
        <v>32.799999999999997</v>
      </c>
      <c r="AC191" s="66">
        <v>31.8</v>
      </c>
      <c r="AD191" s="66">
        <v>29.8</v>
      </c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20</v>
      </c>
      <c r="AQ191" s="68">
        <f t="shared" si="12"/>
        <v>31.339999999999996</v>
      </c>
      <c r="AR191" s="68">
        <f>IFERROR(VLOOKUP(A191,Climatologia_TMAX!A:U,9+$E$2,FALSE),"")</f>
        <v>30.282678784775559</v>
      </c>
      <c r="AS191" s="68">
        <f t="shared" si="13"/>
        <v>1.0573212152244373</v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>
        <v>36.4</v>
      </c>
      <c r="Z192" s="66">
        <v>37.200000000000003</v>
      </c>
      <c r="AA192" s="66">
        <v>38</v>
      </c>
      <c r="AB192" s="66">
        <v>35</v>
      </c>
      <c r="AC192" s="66">
        <v>34.6</v>
      </c>
      <c r="AD192" s="66">
        <v>33.6</v>
      </c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20</v>
      </c>
      <c r="AQ192" s="68">
        <f t="shared" si="12"/>
        <v>34.410000000000004</v>
      </c>
      <c r="AR192" s="68">
        <f>IFERROR(VLOOKUP(A192,Climatologia_TMAX!A:U,9+$E$2,FALSE),"")</f>
        <v>32.385684601765163</v>
      </c>
      <c r="AS192" s="68">
        <f t="shared" si="13"/>
        <v>2.0243153982348403</v>
      </c>
      <c r="AT192" s="74">
        <f t="shared" si="14"/>
        <v>38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0.20000000000000284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>
        <v>36</v>
      </c>
      <c r="Z193" s="66">
        <v>36.4</v>
      </c>
      <c r="AA193" s="66">
        <v>37</v>
      </c>
      <c r="AB193" s="66">
        <v>32.4</v>
      </c>
      <c r="AC193" s="66">
        <v>33</v>
      </c>
      <c r="AD193" s="66">
        <v>34.6</v>
      </c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20</v>
      </c>
      <c r="AQ193" s="68">
        <f t="shared" si="12"/>
        <v>34.949999999999996</v>
      </c>
      <c r="AR193" s="68">
        <f>IFERROR(VLOOKUP(A193,Climatologia_TMAX!A:U,9+$E$2,FALSE),"")</f>
        <v>33.2712702861986</v>
      </c>
      <c r="AS193" s="68">
        <f t="shared" si="13"/>
        <v>1.6787297138013955</v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>
        <v>37.4</v>
      </c>
      <c r="Z196" s="66">
        <v>37.799999999999997</v>
      </c>
      <c r="AA196" s="66">
        <v>38</v>
      </c>
      <c r="AB196" s="66"/>
      <c r="AC196" s="66">
        <v>33.4</v>
      </c>
      <c r="AD196" s="66">
        <v>32.799999999999997</v>
      </c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19</v>
      </c>
      <c r="AQ196" s="68">
        <f t="shared" si="12"/>
        <v>35.178947368421042</v>
      </c>
      <c r="AR196" s="68">
        <f>IFERROR(VLOOKUP(A196,Climatologia_TMAX!A:U,9+$E$2,FALSE),"")</f>
        <v>33.366042996244893</v>
      </c>
      <c r="AS196" s="68">
        <f t="shared" si="13"/>
        <v>1.8129043721761491</v>
      </c>
      <c r="AT196" s="74">
        <f t="shared" si="14"/>
        <v>38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0.20000000000000284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>
        <v>37</v>
      </c>
      <c r="Z198" s="66">
        <v>37.6</v>
      </c>
      <c r="AA198" s="66"/>
      <c r="AB198" s="66">
        <v>36.799999999999997</v>
      </c>
      <c r="AC198" s="66">
        <v>30.8</v>
      </c>
      <c r="AD198" s="66">
        <v>35.200000000000003</v>
      </c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19</v>
      </c>
      <c r="AQ198" s="68">
        <f t="shared" si="17"/>
        <v>35.05263157894737</v>
      </c>
      <c r="AR198" s="68">
        <f>IFERROR(VLOOKUP(A198,Climatologia_TMAX!A:U,9+$E$2,FALSE),"")</f>
        <v>32.247721945302388</v>
      </c>
      <c r="AS198" s="68">
        <f t="shared" si="18"/>
        <v>2.8049096336449821</v>
      </c>
      <c r="AT198" s="74">
        <f t="shared" si="19"/>
        <v>37.6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0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>
        <v>19.2</v>
      </c>
      <c r="Z199" s="66"/>
      <c r="AA199" s="66">
        <v>20</v>
      </c>
      <c r="AB199" s="66">
        <v>19</v>
      </c>
      <c r="AC199" s="66">
        <v>15.6</v>
      </c>
      <c r="AD199" s="66">
        <v>18</v>
      </c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19</v>
      </c>
      <c r="AQ199" s="68">
        <f t="shared" si="17"/>
        <v>18.515789473684212</v>
      </c>
      <c r="AR199" s="68">
        <f>IFERROR(VLOOKUP(A199,Climatologia_TMAX!A:U,9+$E$2,FALSE),"")</f>
        <v>17.595698924731181</v>
      </c>
      <c r="AS199" s="68">
        <f t="shared" si="18"/>
        <v>0.92009054895303066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>
        <v>24.8</v>
      </c>
      <c r="Z200" s="66">
        <v>25.4</v>
      </c>
      <c r="AA200" s="66">
        <v>25</v>
      </c>
      <c r="AB200" s="66">
        <v>24.6</v>
      </c>
      <c r="AC200" s="66">
        <v>21.2</v>
      </c>
      <c r="AD200" s="66">
        <v>20.6</v>
      </c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17</v>
      </c>
      <c r="AQ200" s="68">
        <f t="shared" si="17"/>
        <v>23.158823529411762</v>
      </c>
      <c r="AR200" s="68">
        <f>IFERROR(VLOOKUP(A200,Climatologia_TMAX!A:U,9+$E$2,FALSE),"")</f>
        <v>22.545313159242191</v>
      </c>
      <c r="AS200" s="68">
        <f t="shared" si="18"/>
        <v>0.61351037016957122</v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>
        <v>19.399999999999999</v>
      </c>
      <c r="Z202" s="66">
        <v>18</v>
      </c>
      <c r="AA202" s="66">
        <v>19.399999999999999</v>
      </c>
      <c r="AB202" s="66">
        <v>20</v>
      </c>
      <c r="AC202" s="66">
        <v>19.600000000000001</v>
      </c>
      <c r="AD202" s="66">
        <v>20.8</v>
      </c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20</v>
      </c>
      <c r="AQ202" s="68">
        <f t="shared" si="17"/>
        <v>19.440000000000001</v>
      </c>
      <c r="AR202" s="68">
        <f>IFERROR(VLOOKUP(A202,Climatologia_TMAX!A:U,9+$E$2,FALSE),"")</f>
        <v>19.408677967961381</v>
      </c>
      <c r="AS202" s="68">
        <f t="shared" si="18"/>
        <v>3.1322032038620051E-2</v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>
        <v>28.8</v>
      </c>
      <c r="Z204" s="66">
        <v>29.2</v>
      </c>
      <c r="AA204" s="66">
        <v>29</v>
      </c>
      <c r="AB204" s="66">
        <v>27.8</v>
      </c>
      <c r="AC204" s="66">
        <v>28</v>
      </c>
      <c r="AD204" s="66">
        <v>26</v>
      </c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20</v>
      </c>
      <c r="AQ204" s="68">
        <f t="shared" si="17"/>
        <v>27.8</v>
      </c>
      <c r="AR204" s="68">
        <f>IFERROR(VLOOKUP(A204,Climatologia_TMAX!A:U,9+$E$2,FALSE),"")</f>
        <v>26.493225806451608</v>
      </c>
      <c r="AS204" s="68">
        <f t="shared" si="18"/>
        <v>1.3067741935483923</v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113">
        <v>35.4</v>
      </c>
      <c r="Z207" s="66">
        <v>35.200000000000003</v>
      </c>
      <c r="AA207" s="66">
        <v>35.6</v>
      </c>
      <c r="AB207" s="66">
        <v>34.6</v>
      </c>
      <c r="AC207" s="66">
        <v>30.6</v>
      </c>
      <c r="AD207" s="66">
        <v>31.2</v>
      </c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20</v>
      </c>
      <c r="AQ207" s="68">
        <f t="shared" si="17"/>
        <v>33.060000000000009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35.6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0.60000000000000142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>
        <v>24.6</v>
      </c>
      <c r="Z208" s="66">
        <v>25.6</v>
      </c>
      <c r="AA208" s="66">
        <v>24.6</v>
      </c>
      <c r="AB208" s="66">
        <v>23.6</v>
      </c>
      <c r="AC208" s="66">
        <v>24</v>
      </c>
      <c r="AD208" s="66">
        <v>21.2</v>
      </c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20</v>
      </c>
      <c r="AQ208" s="68">
        <f t="shared" si="17"/>
        <v>23.42</v>
      </c>
      <c r="AR208" s="68">
        <f>IFERROR(VLOOKUP(A208,Climatologia_TMAX!A:U,9+$E$2,FALSE),"")</f>
        <v>23.463917315535781</v>
      </c>
      <c r="AS208" s="68">
        <f t="shared" si="18"/>
        <v>-4.3917315535779267E-2</v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>
        <v>30.2</v>
      </c>
      <c r="Z209" s="66">
        <v>30</v>
      </c>
      <c r="AA209" s="66">
        <v>31.4</v>
      </c>
      <c r="AB209" s="66">
        <v>28.8</v>
      </c>
      <c r="AC209" s="66">
        <v>30.6</v>
      </c>
      <c r="AD209" s="66">
        <v>27</v>
      </c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20</v>
      </c>
      <c r="AQ209" s="68">
        <f t="shared" si="17"/>
        <v>29.369999999999997</v>
      </c>
      <c r="AR209" s="68">
        <f>IFERROR(VLOOKUP(A209,Climatologia_TMAX!A:U,9+$E$2,FALSE),"")</f>
        <v>28.857991979167998</v>
      </c>
      <c r="AS209" s="68">
        <f t="shared" si="18"/>
        <v>0.51200802083199903</v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>
        <v>31</v>
      </c>
      <c r="Z213" s="66">
        <v>30.8</v>
      </c>
      <c r="AA213" s="66"/>
      <c r="AB213" s="66"/>
      <c r="AC213" s="66">
        <v>28</v>
      </c>
      <c r="AD213" s="66">
        <v>27</v>
      </c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13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>
        <v>28</v>
      </c>
      <c r="Z215" s="66">
        <v>27.8</v>
      </c>
      <c r="AA215" s="66">
        <v>29.8</v>
      </c>
      <c r="AB215" s="66">
        <v>26.6</v>
      </c>
      <c r="AC215" s="66">
        <v>24</v>
      </c>
      <c r="AD215" s="66">
        <v>23.6</v>
      </c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19</v>
      </c>
      <c r="AQ215" s="68">
        <f t="shared" si="17"/>
        <v>26.189473684210526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29.8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-0.19999999999999929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>
        <v>26.8</v>
      </c>
      <c r="Z216" s="66">
        <v>26.8</v>
      </c>
      <c r="AA216" s="66">
        <v>27</v>
      </c>
      <c r="AB216" s="66">
        <v>26.2</v>
      </c>
      <c r="AC216" s="66">
        <v>26.2</v>
      </c>
      <c r="AD216" s="66">
        <v>26</v>
      </c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19</v>
      </c>
      <c r="AQ216" s="68">
        <f t="shared" si="17"/>
        <v>25.615789473684213</v>
      </c>
      <c r="AR216" s="68">
        <f>IFERROR(VLOOKUP(A216,Climatologia_TMAX!A:U,9+$E$2,FALSE),"")</f>
        <v>23.708222693998628</v>
      </c>
      <c r="AS216" s="68">
        <f t="shared" si="18"/>
        <v>1.9075667796855846</v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>
        <v>20</v>
      </c>
      <c r="Z220" s="66">
        <v>18.600000000000001</v>
      </c>
      <c r="AA220" s="66">
        <v>16.600000000000001</v>
      </c>
      <c r="AB220" s="66">
        <v>18.8</v>
      </c>
      <c r="AC220" s="66">
        <v>17.600000000000001</v>
      </c>
      <c r="AD220" s="66">
        <v>18</v>
      </c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19</v>
      </c>
      <c r="AQ220" s="68">
        <f t="shared" si="17"/>
        <v>17.96842105263158</v>
      </c>
      <c r="AR220" s="68">
        <f>IFERROR(VLOOKUP(A220,Climatologia_TMAX!A:U,9+$E$2,FALSE),"")</f>
        <v>15.77183842348882</v>
      </c>
      <c r="AS220" s="68">
        <f t="shared" si="18"/>
        <v>2.1965826291427604</v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>
        <v>25.8</v>
      </c>
      <c r="Z221" s="66">
        <v>26</v>
      </c>
      <c r="AA221" s="66">
        <v>27.2</v>
      </c>
      <c r="AB221" s="66">
        <v>24.2</v>
      </c>
      <c r="AC221" s="66">
        <v>20</v>
      </c>
      <c r="AD221" s="66">
        <v>21.4</v>
      </c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18</v>
      </c>
      <c r="AQ221" s="68">
        <f t="shared" si="17"/>
        <v>24</v>
      </c>
      <c r="AR221" s="68">
        <f>IFERROR(VLOOKUP(A221,Climatologia_TMAX!A:U,9+$E$2,FALSE),"")</f>
        <v>22.577401658408331</v>
      </c>
      <c r="AS221" s="68">
        <f t="shared" si="18"/>
        <v>1.4225983415916694</v>
      </c>
      <c r="AT221" s="74">
        <f t="shared" si="19"/>
        <v>27.2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-1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>
        <v>34.200000000000003</v>
      </c>
      <c r="Z223" s="66">
        <v>32</v>
      </c>
      <c r="AA223" s="66">
        <v>30.4</v>
      </c>
      <c r="AB223" s="66">
        <v>29.6</v>
      </c>
      <c r="AC223" s="66">
        <v>30.2</v>
      </c>
      <c r="AD223" s="66">
        <v>29.4</v>
      </c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16</v>
      </c>
      <c r="AQ223" s="68">
        <f t="shared" si="17"/>
        <v>32.125</v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114">
        <v>34.200000000000003</v>
      </c>
      <c r="Z230" s="66">
        <v>32.6</v>
      </c>
      <c r="AA230" s="66">
        <v>30.6</v>
      </c>
      <c r="AB230" s="66">
        <v>29.6</v>
      </c>
      <c r="AC230" s="66">
        <v>29</v>
      </c>
      <c r="AD230" s="66">
        <v>29.6</v>
      </c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19</v>
      </c>
      <c r="AQ230" s="68">
        <f t="shared" si="17"/>
        <v>31.094736842105267</v>
      </c>
      <c r="AR230" s="68">
        <f>IFERROR(VLOOKUP(A230,Climatologia_TMAX!A:U,9+$E$2,FALSE),"")</f>
        <v>30.05920303605313</v>
      </c>
      <c r="AS230" s="68">
        <f t="shared" si="18"/>
        <v>1.0355338060521362</v>
      </c>
      <c r="AT230" s="74">
        <f t="shared" si="19"/>
        <v>34.200000000000003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>
        <v>34.200000000000003</v>
      </c>
      <c r="Z234" s="66">
        <v>32</v>
      </c>
      <c r="AA234" s="66">
        <v>31.6</v>
      </c>
      <c r="AB234" s="66">
        <v>30.4</v>
      </c>
      <c r="AC234" s="66">
        <v>29.2</v>
      </c>
      <c r="AD234" s="66">
        <v>29.2</v>
      </c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20</v>
      </c>
      <c r="AQ234" s="68">
        <f t="shared" si="17"/>
        <v>31.605</v>
      </c>
      <c r="AR234" s="68">
        <f>IFERROR(VLOOKUP(A234,Climatologia_TMAX!A:U,9+$E$2,FALSE),"")</f>
        <v>30.007526881720441</v>
      </c>
      <c r="AS234" s="68">
        <f t="shared" si="18"/>
        <v>1.5974731182795594</v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>
        <v>32</v>
      </c>
      <c r="AA237" s="66"/>
      <c r="AB237" s="66"/>
      <c r="AC237" s="66">
        <v>27.6</v>
      </c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14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>
        <v>28.2</v>
      </c>
      <c r="Z243" s="66">
        <v>28.4</v>
      </c>
      <c r="AA243" s="66">
        <v>27.4</v>
      </c>
      <c r="AB243" s="66">
        <v>24.6</v>
      </c>
      <c r="AC243" s="66">
        <v>25</v>
      </c>
      <c r="AD243" s="66">
        <v>24.2</v>
      </c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19</v>
      </c>
      <c r="AQ243" s="68">
        <f t="shared" si="17"/>
        <v>26.94736842105263</v>
      </c>
      <c r="AR243" s="68">
        <f>IFERROR(VLOOKUP(A243,Climatologia_TMAX!A:U,9+$E$2,FALSE),"")</f>
        <v>25.185936967000369</v>
      </c>
      <c r="AS243" s="68">
        <f t="shared" si="18"/>
        <v>1.7614314540522606</v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>
        <v>33.4</v>
      </c>
      <c r="Z245" s="66">
        <v>34.200000000000003</v>
      </c>
      <c r="AA245" s="66">
        <v>34.6</v>
      </c>
      <c r="AB245" s="66">
        <v>33</v>
      </c>
      <c r="AC245" s="66">
        <v>30</v>
      </c>
      <c r="AD245" s="66">
        <v>30.6</v>
      </c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20</v>
      </c>
      <c r="AQ245" s="68">
        <f t="shared" si="17"/>
        <v>31.98</v>
      </c>
      <c r="AR245" s="68">
        <f>IFERROR(VLOOKUP(A245,Climatologia_TMAX!A:U,9+$E$2,FALSE),"")</f>
        <v>29.837016579267971</v>
      </c>
      <c r="AS245" s="68">
        <f t="shared" si="18"/>
        <v>2.1429834207320297</v>
      </c>
      <c r="AT245" s="74">
        <f t="shared" si="19"/>
        <v>34.6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-0.39999999999999858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>
        <v>38.4</v>
      </c>
      <c r="Z246" s="66">
        <v>39.799999999999997</v>
      </c>
      <c r="AA246" s="66">
        <v>39</v>
      </c>
      <c r="AB246" s="66">
        <v>37</v>
      </c>
      <c r="AC246" s="66">
        <v>34.6</v>
      </c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19</v>
      </c>
      <c r="AQ246" s="68">
        <f t="shared" si="17"/>
        <v>36.705263157894734</v>
      </c>
      <c r="AR246" s="68">
        <f>IFERROR(VLOOKUP(A246,Climatologia_TMAX!A:U,9+$E$2,FALSE),"")</f>
        <v>34.589235433370753</v>
      </c>
      <c r="AS246" s="68">
        <f t="shared" si="18"/>
        <v>2.1160277245239811</v>
      </c>
      <c r="AT246" s="74">
        <f t="shared" si="19"/>
        <v>39.799999999999997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0.19999999999999574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>
        <v>37.4</v>
      </c>
      <c r="Z247" s="66">
        <v>37</v>
      </c>
      <c r="AA247" s="66">
        <v>35.200000000000003</v>
      </c>
      <c r="AB247" s="66">
        <v>33.200000000000003</v>
      </c>
      <c r="AC247" s="66">
        <v>34.4</v>
      </c>
      <c r="AD247" s="66">
        <v>35.6</v>
      </c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16</v>
      </c>
      <c r="AQ247" s="68">
        <f t="shared" si="17"/>
        <v>34.637500000000003</v>
      </c>
      <c r="AR247" s="68">
        <f>IFERROR(VLOOKUP(A247,Climatologia_TMAX!A:U,9+$E$2,FALSE),"")</f>
        <v>33.055274477310391</v>
      </c>
      <c r="AS247" s="68">
        <f t="shared" si="18"/>
        <v>1.5822255226896118</v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-1.2000000000000028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>
        <v>32.4</v>
      </c>
      <c r="Z248" s="66">
        <v>30</v>
      </c>
      <c r="AA248" s="66">
        <v>29.8</v>
      </c>
      <c r="AB248" s="66">
        <v>30.4</v>
      </c>
      <c r="AC248" s="66">
        <v>29.8</v>
      </c>
      <c r="AD248" s="66">
        <v>31.8</v>
      </c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20</v>
      </c>
      <c r="AQ248" s="68">
        <f t="shared" si="17"/>
        <v>31.349999999999994</v>
      </c>
      <c r="AR248" s="68">
        <f>IFERROR(VLOOKUP(A248,Climatologia_TMAX!A:U,9+$E$2,FALSE),"")</f>
        <v>30.878774770320931</v>
      </c>
      <c r="AS248" s="68">
        <f t="shared" si="18"/>
        <v>0.47122522967906377</v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>
        <v>38.4</v>
      </c>
      <c r="Z249" s="66">
        <v>38.200000000000003</v>
      </c>
      <c r="AA249" s="66">
        <v>38.6</v>
      </c>
      <c r="AB249" s="66">
        <v>36.200000000000003</v>
      </c>
      <c r="AC249" s="66"/>
      <c r="AD249" s="66">
        <v>35.799999999999997</v>
      </c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18</v>
      </c>
      <c r="AQ249" s="68">
        <f t="shared" si="17"/>
        <v>37.211111111111116</v>
      </c>
      <c r="AR249" s="68">
        <f>IFERROR(VLOOKUP(A249,Climatologia_TMAX!A:U,9+$E$2,FALSE),"")</f>
        <v>35.594967029941238</v>
      </c>
      <c r="AS249" s="68">
        <f t="shared" si="18"/>
        <v>1.6161440811698782</v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>
        <v>38.6</v>
      </c>
      <c r="Z251" s="66">
        <v>38.6</v>
      </c>
      <c r="AA251" s="66">
        <v>37.4</v>
      </c>
      <c r="AB251" s="66">
        <v>33</v>
      </c>
      <c r="AC251" s="66">
        <v>35.200000000000003</v>
      </c>
      <c r="AD251" s="66">
        <v>37</v>
      </c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20</v>
      </c>
      <c r="AQ251" s="68">
        <f t="shared" si="17"/>
        <v>36.49</v>
      </c>
      <c r="AR251" s="68">
        <f>IFERROR(VLOOKUP(A251,Climatologia_TMAX!A:U,9+$E$2,FALSE),"")</f>
        <v>34.166488485337432</v>
      </c>
      <c r="AS251" s="68">
        <f t="shared" si="18"/>
        <v>2.3235115146625702</v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114">
        <v>36.799999999999997</v>
      </c>
      <c r="Z254" s="66">
        <v>33.799999999999997</v>
      </c>
      <c r="AA254" s="66">
        <v>33.4</v>
      </c>
      <c r="AB254" s="66">
        <v>31</v>
      </c>
      <c r="AC254" s="66">
        <v>31.4</v>
      </c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19</v>
      </c>
      <c r="AQ254" s="68">
        <f t="shared" si="17"/>
        <v>33.157894736842103</v>
      </c>
      <c r="AR254" s="68">
        <f>IFERROR(VLOOKUP(A254,Climatologia_TMAX!A:U,9+$E$2,FALSE),"")</f>
        <v>32.101564904411298</v>
      </c>
      <c r="AS254" s="68">
        <f t="shared" si="18"/>
        <v>1.056329832430805</v>
      </c>
      <c r="AT254" s="74">
        <f t="shared" si="19"/>
        <v>36.799999999999997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0.59999999999999432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>
        <v>26.2</v>
      </c>
      <c r="Z257" s="66">
        <v>27.2</v>
      </c>
      <c r="AA257" s="66">
        <v>27.6</v>
      </c>
      <c r="AB257" s="66">
        <v>26.6</v>
      </c>
      <c r="AC257" s="66">
        <v>23.8</v>
      </c>
      <c r="AD257" s="66">
        <v>23.4</v>
      </c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20</v>
      </c>
      <c r="AQ257" s="68">
        <f t="shared" si="17"/>
        <v>25.610000000000003</v>
      </c>
      <c r="AR257" s="68">
        <f>IFERROR(VLOOKUP(A257,Climatologia_TMAX!A:U,9+$E$2,FALSE),"")</f>
        <v>23.031672231617851</v>
      </c>
      <c r="AS257" s="68">
        <f t="shared" si="18"/>
        <v>2.5783277683821524</v>
      </c>
      <c r="AT257" s="74">
        <f t="shared" si="19"/>
        <v>27.6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-1.5999999999999979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>
        <v>27.2</v>
      </c>
      <c r="Z258" s="66">
        <v>26.2</v>
      </c>
      <c r="AA258" s="66">
        <v>25.2</v>
      </c>
      <c r="AB258" s="66">
        <v>24.6</v>
      </c>
      <c r="AC258" s="66">
        <v>24.6</v>
      </c>
      <c r="AD258" s="66">
        <v>26.4</v>
      </c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20</v>
      </c>
      <c r="AQ258" s="68">
        <f t="shared" si="17"/>
        <v>25.52</v>
      </c>
      <c r="AR258" s="68">
        <f>IFERROR(VLOOKUP(A258,Climatologia_TMAX!A:U,9+$E$2,FALSE),"")</f>
        <v>26.17729236188358</v>
      </c>
      <c r="AS258" s="68">
        <f t="shared" si="18"/>
        <v>-0.65729236188358087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>
        <v>20.8</v>
      </c>
      <c r="Z259" s="66">
        <v>22.2</v>
      </c>
      <c r="AA259" s="66">
        <v>22.8</v>
      </c>
      <c r="AB259" s="66">
        <v>21</v>
      </c>
      <c r="AC259" s="66">
        <v>19.399999999999999</v>
      </c>
      <c r="AD259" s="66">
        <v>20</v>
      </c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20</v>
      </c>
      <c r="AQ259" s="68">
        <f t="shared" si="17"/>
        <v>20.57</v>
      </c>
      <c r="AR259" s="68">
        <f>IFERROR(VLOOKUP(A259,Climatologia_TMAX!A:U,9+$E$2,FALSE),"")</f>
        <v>18.964877782721398</v>
      </c>
      <c r="AS259" s="68">
        <f t="shared" si="18"/>
        <v>1.6051222172786019</v>
      </c>
      <c r="AT259" s="74">
        <f t="shared" si="19"/>
        <v>22.8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-0.39999999999999858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>
        <v>36.200000000000003</v>
      </c>
      <c r="Z260" s="66">
        <v>35.4</v>
      </c>
      <c r="AA260" s="66">
        <v>35.200000000000003</v>
      </c>
      <c r="AB260" s="66">
        <v>31.8</v>
      </c>
      <c r="AC260" s="66">
        <v>33</v>
      </c>
      <c r="AD260" s="66">
        <v>35.4</v>
      </c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20</v>
      </c>
      <c r="AQ260" s="68">
        <f t="shared" si="17"/>
        <v>34.489999999999995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36.200000000000003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>
        <v>22.4</v>
      </c>
      <c r="Z261" s="66">
        <v>23.2</v>
      </c>
      <c r="AA261" s="66">
        <v>23.6</v>
      </c>
      <c r="AB261" s="66">
        <v>23.4</v>
      </c>
      <c r="AC261" s="66">
        <v>21.2</v>
      </c>
      <c r="AD261" s="66">
        <v>21.6</v>
      </c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20</v>
      </c>
      <c r="AQ261" s="68">
        <f t="shared" ref="AQ261:AQ324" si="22">IF(AP261&gt;14,AVERAGE(K261:AO261),"")</f>
        <v>22.339999999999996</v>
      </c>
      <c r="AR261" s="68">
        <f>IFERROR(VLOOKUP(A261,Climatologia_TMAX!A:U,9+$E$2,FALSE),"")</f>
        <v>20.885706399035701</v>
      </c>
      <c r="AS261" s="68">
        <f t="shared" ref="AS261:AS324" si="23">IF(OR(AQ261="",AR261=""),"",IFERROR(AQ261-AR261,""))</f>
        <v>1.4542936009642951</v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>
        <v>19.8</v>
      </c>
      <c r="Z265" s="66">
        <v>20</v>
      </c>
      <c r="AA265" s="66"/>
      <c r="AB265" s="66"/>
      <c r="AC265" s="66"/>
      <c r="AD265" s="66">
        <v>20.2</v>
      </c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13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>
        <v>15.2</v>
      </c>
      <c r="Z267" s="66">
        <v>15.6</v>
      </c>
      <c r="AA267" s="66">
        <v>15.2</v>
      </c>
      <c r="AB267" s="66">
        <v>14.8</v>
      </c>
      <c r="AC267" s="66">
        <v>15.2</v>
      </c>
      <c r="AD267" s="66">
        <v>15.8</v>
      </c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20</v>
      </c>
      <c r="AQ267" s="68">
        <f t="shared" si="22"/>
        <v>15.310000000000002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>
        <v>20.399999999999999</v>
      </c>
      <c r="Z268" s="66">
        <v>21.6</v>
      </c>
      <c r="AA268" s="66">
        <v>21.2</v>
      </c>
      <c r="AB268" s="66">
        <v>21.2</v>
      </c>
      <c r="AC268" s="66">
        <v>18.600000000000001</v>
      </c>
      <c r="AD268" s="66">
        <v>20</v>
      </c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20</v>
      </c>
      <c r="AQ268" s="68">
        <f t="shared" si="22"/>
        <v>20.18</v>
      </c>
      <c r="AR268" s="68">
        <f>IFERROR(VLOOKUP(A268,Climatologia_TMAX!A:U,9+$E$2,FALSE),"")</f>
        <v>18.914438253180371</v>
      </c>
      <c r="AS268" s="68">
        <f t="shared" si="23"/>
        <v>1.2655617468196283</v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>
        <v>19.399999999999999</v>
      </c>
      <c r="Z269" s="66">
        <v>15.6</v>
      </c>
      <c r="AA269" s="66">
        <v>18.600000000000001</v>
      </c>
      <c r="AB269" s="66">
        <v>18</v>
      </c>
      <c r="AC269" s="66">
        <v>18.8</v>
      </c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18</v>
      </c>
      <c r="AQ269" s="68">
        <f t="shared" si="22"/>
        <v>17.988888888888894</v>
      </c>
      <c r="AR269" s="68">
        <f>IFERROR(VLOOKUP(A269,Climatologia_TMAX!A:U,9+$E$2,FALSE),"")</f>
        <v>16.09168553853759</v>
      </c>
      <c r="AS269" s="68">
        <f t="shared" si="23"/>
        <v>1.8972033503513046</v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>
        <v>15.8</v>
      </c>
      <c r="Z270" s="66">
        <v>17.399999999999999</v>
      </c>
      <c r="AA270" s="66">
        <v>17.399999999999999</v>
      </c>
      <c r="AB270" s="66">
        <v>16.600000000000001</v>
      </c>
      <c r="AC270" s="66">
        <v>17.399999999999999</v>
      </c>
      <c r="AD270" s="66">
        <v>19.399999999999999</v>
      </c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20</v>
      </c>
      <c r="AQ270" s="68">
        <f t="shared" si="22"/>
        <v>17.889999999999993</v>
      </c>
      <c r="AR270" s="68">
        <f>IFERROR(VLOOKUP(A270,Climatologia_TMAX!A:U,9+$E$2,FALSE),"")</f>
        <v>17.216948903833771</v>
      </c>
      <c r="AS270" s="68">
        <f t="shared" si="23"/>
        <v>0.67305109616622261</v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>
        <v>22.2</v>
      </c>
      <c r="Y271" s="66">
        <v>22</v>
      </c>
      <c r="Z271" s="66">
        <v>21</v>
      </c>
      <c r="AA271" s="66">
        <v>23.4</v>
      </c>
      <c r="AB271" s="66">
        <v>23.6</v>
      </c>
      <c r="AC271" s="66">
        <v>22.6</v>
      </c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19</v>
      </c>
      <c r="AQ271" s="68">
        <f t="shared" si="22"/>
        <v>21.8</v>
      </c>
      <c r="AR271" s="68">
        <f>IFERROR(VLOOKUP(A271,Climatologia_TMAX!A:U,9+$E$2,FALSE),"")</f>
        <v>20.066417437381329</v>
      </c>
      <c r="AS271" s="68">
        <f t="shared" si="23"/>
        <v>1.7335825626186718</v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>
        <v>27.6</v>
      </c>
      <c r="Z272" s="66">
        <v>27.2</v>
      </c>
      <c r="AA272" s="66">
        <v>26.8</v>
      </c>
      <c r="AB272" s="66">
        <v>25.2</v>
      </c>
      <c r="AC272" s="66">
        <v>24.6</v>
      </c>
      <c r="AD272" s="66">
        <v>25.2</v>
      </c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20</v>
      </c>
      <c r="AQ272" s="68">
        <f t="shared" si="22"/>
        <v>26.110000000000007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>
        <v>12.4</v>
      </c>
      <c r="Z274" s="66">
        <v>13.2</v>
      </c>
      <c r="AA274" s="66">
        <v>14</v>
      </c>
      <c r="AB274" s="66">
        <v>11</v>
      </c>
      <c r="AC274" s="66">
        <v>11.6</v>
      </c>
      <c r="AD274" s="66">
        <v>11.2</v>
      </c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20</v>
      </c>
      <c r="AQ274" s="68">
        <f t="shared" si="22"/>
        <v>12.08</v>
      </c>
      <c r="AR274" s="68">
        <f>IFERROR(VLOOKUP(A274,Climatologia_TMAX!A:U,9+$E$2,FALSE),"")</f>
        <v>11.30910159979682</v>
      </c>
      <c r="AS274" s="68">
        <f t="shared" si="23"/>
        <v>0.77089840020317979</v>
      </c>
      <c r="AT274" s="74">
        <f t="shared" si="24"/>
        <v>14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>
        <v>34</v>
      </c>
      <c r="Z277" s="66">
        <v>33.799999999999997</v>
      </c>
      <c r="AA277" s="66">
        <v>33</v>
      </c>
      <c r="AB277" s="66">
        <v>31</v>
      </c>
      <c r="AC277" s="66">
        <v>29.6</v>
      </c>
      <c r="AD277" s="66">
        <v>32</v>
      </c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20</v>
      </c>
      <c r="AQ277" s="68">
        <f t="shared" si="22"/>
        <v>31.750000000000007</v>
      </c>
      <c r="AR277" s="68">
        <f>IFERROR(VLOOKUP(A277,Climatologia_TMAX!A:U,9+$E$2,FALSE),"")</f>
        <v>30.558898924731189</v>
      </c>
      <c r="AS277" s="68">
        <f t="shared" si="23"/>
        <v>1.1911010752688185</v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>
        <v>20.2</v>
      </c>
      <c r="Z278" s="66">
        <v>22.4</v>
      </c>
      <c r="AA278" s="66">
        <v>22</v>
      </c>
      <c r="AB278" s="66">
        <v>21.4</v>
      </c>
      <c r="AC278" s="66">
        <v>19.399999999999999</v>
      </c>
      <c r="AD278" s="66">
        <v>22</v>
      </c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19</v>
      </c>
      <c r="AQ278" s="68">
        <f t="shared" si="22"/>
        <v>21.015789473684208</v>
      </c>
      <c r="AR278" s="68">
        <f>IFERROR(VLOOKUP(A278,Climatologia_TMAX!A:U,9+$E$2,FALSE),"")</f>
        <v>19.979224744457721</v>
      </c>
      <c r="AS278" s="68">
        <f t="shared" si="23"/>
        <v>1.0365647292264875</v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>
        <v>32.799999999999997</v>
      </c>
      <c r="Z279" s="66">
        <v>33.200000000000003</v>
      </c>
      <c r="AA279" s="66">
        <v>32.6</v>
      </c>
      <c r="AB279" s="66">
        <v>29.4</v>
      </c>
      <c r="AC279" s="66">
        <v>29.6</v>
      </c>
      <c r="AD279" s="66">
        <v>28.6</v>
      </c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20</v>
      </c>
      <c r="AQ279" s="68">
        <f t="shared" si="22"/>
        <v>30.880000000000006</v>
      </c>
      <c r="AR279" s="68">
        <f>IFERROR(VLOOKUP(A279,Climatologia_TMAX!A:U,9+$E$2,FALSE),"")</f>
        <v>29.080095604803059</v>
      </c>
      <c r="AS279" s="68">
        <f t="shared" si="23"/>
        <v>1.7999043951969469</v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>
        <v>22.2</v>
      </c>
      <c r="Z280" s="66">
        <v>22.4</v>
      </c>
      <c r="AA280" s="66">
        <v>22.2</v>
      </c>
      <c r="AB280" s="66">
        <v>19.399999999999999</v>
      </c>
      <c r="AC280" s="66">
        <v>19.8</v>
      </c>
      <c r="AD280" s="66">
        <v>19.600000000000001</v>
      </c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20</v>
      </c>
      <c r="AQ280" s="68">
        <f t="shared" si="22"/>
        <v>20.97</v>
      </c>
      <c r="AR280" s="68">
        <f>IFERROR(VLOOKUP(A280,Climatologia_TMAX!A:U,9+$E$2,FALSE),"")</f>
        <v>19.480961768219831</v>
      </c>
      <c r="AS280" s="68">
        <f t="shared" si="23"/>
        <v>1.4890382317801674</v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>
        <v>19.399999999999999</v>
      </c>
      <c r="Y282" s="66">
        <v>19.2</v>
      </c>
      <c r="Z282" s="66">
        <v>19.399999999999999</v>
      </c>
      <c r="AA282" s="66">
        <v>19.2</v>
      </c>
      <c r="AB282" s="66">
        <v>19.2</v>
      </c>
      <c r="AC282" s="66">
        <v>18.600000000000001</v>
      </c>
      <c r="AD282" s="66">
        <v>19.399999999999999</v>
      </c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20</v>
      </c>
      <c r="AQ282" s="68">
        <f t="shared" si="22"/>
        <v>18.939999999999998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>
        <v>18.600000000000001</v>
      </c>
      <c r="Z283" s="66">
        <v>19.399999999999999</v>
      </c>
      <c r="AA283" s="66">
        <v>19.2</v>
      </c>
      <c r="AB283" s="66">
        <v>20.6</v>
      </c>
      <c r="AC283" s="66">
        <v>18.399999999999999</v>
      </c>
      <c r="AD283" s="66">
        <v>19.8</v>
      </c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20</v>
      </c>
      <c r="AQ283" s="68">
        <f t="shared" si="22"/>
        <v>19.639999999999997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>
        <v>21</v>
      </c>
      <c r="Z284" s="66">
        <v>22</v>
      </c>
      <c r="AA284" s="66">
        <v>22.6</v>
      </c>
      <c r="AB284" s="66">
        <v>21.8</v>
      </c>
      <c r="AC284" s="66">
        <v>20</v>
      </c>
      <c r="AD284" s="66">
        <v>19.600000000000001</v>
      </c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20</v>
      </c>
      <c r="AQ284" s="68">
        <f t="shared" si="22"/>
        <v>20.550000000000004</v>
      </c>
      <c r="AR284" s="68">
        <f>IFERROR(VLOOKUP(A284,Climatologia_TMAX!A:U,9+$E$2,FALSE),"")</f>
        <v>19.031953400468261</v>
      </c>
      <c r="AS284" s="68">
        <f t="shared" si="23"/>
        <v>1.5180465995317434</v>
      </c>
      <c r="AT284" s="74">
        <f t="shared" si="24"/>
        <v>22.6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-2.3999999999999986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>
        <v>18</v>
      </c>
      <c r="W286" s="66">
        <v>18.399999999999999</v>
      </c>
      <c r="X286" s="66">
        <v>18.2</v>
      </c>
      <c r="Y286" s="66">
        <v>18.2</v>
      </c>
      <c r="Z286" s="66">
        <v>21</v>
      </c>
      <c r="AA286" s="66">
        <v>20.399999999999999</v>
      </c>
      <c r="AB286" s="66">
        <v>20.2</v>
      </c>
      <c r="AC286" s="66">
        <v>18</v>
      </c>
      <c r="AD286" s="66">
        <v>18</v>
      </c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20</v>
      </c>
      <c r="AQ286" s="68">
        <f t="shared" si="22"/>
        <v>18.949999999999996</v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538</v>
      </c>
      <c r="B1" s="116"/>
      <c r="C1" s="116"/>
      <c r="D1" s="116"/>
      <c r="E1" s="116"/>
      <c r="F1" s="116"/>
      <c r="G1" s="116"/>
      <c r="H1" s="116"/>
      <c r="I1" s="117"/>
      <c r="J1" s="118" t="s">
        <v>539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540</v>
      </c>
      <c r="X1" s="117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22" t="s">
        <v>869</v>
      </c>
      <c r="I1" s="123"/>
      <c r="J1" s="124"/>
      <c r="K1" s="122" t="s">
        <v>870</v>
      </c>
      <c r="L1" s="123"/>
      <c r="M1" s="124"/>
      <c r="N1" s="122" t="s">
        <v>871</v>
      </c>
      <c r="O1" s="123"/>
      <c r="P1" s="124"/>
      <c r="Q1" s="122" t="s">
        <v>872</v>
      </c>
      <c r="R1" s="123"/>
      <c r="S1" s="124"/>
      <c r="T1" s="122" t="s">
        <v>873</v>
      </c>
      <c r="U1" s="123"/>
      <c r="V1" s="124"/>
      <c r="W1" s="122" t="s">
        <v>874</v>
      </c>
      <c r="X1" s="123"/>
      <c r="Y1" s="124"/>
      <c r="Z1" s="122" t="s">
        <v>875</v>
      </c>
      <c r="AA1" s="123"/>
      <c r="AB1" s="124"/>
      <c r="AC1" s="122" t="s">
        <v>876</v>
      </c>
      <c r="AD1" s="123"/>
      <c r="AE1" s="124"/>
      <c r="AF1" s="122" t="s">
        <v>877</v>
      </c>
      <c r="AG1" s="123"/>
      <c r="AH1" s="124"/>
      <c r="AI1" s="122" t="s">
        <v>878</v>
      </c>
      <c r="AJ1" s="123"/>
      <c r="AK1" s="124"/>
      <c r="AL1" s="122" t="s">
        <v>879</v>
      </c>
      <c r="AM1" s="123"/>
      <c r="AN1" s="124"/>
      <c r="AO1" s="122" t="s">
        <v>880</v>
      </c>
      <c r="AP1" s="123"/>
      <c r="AQ1" s="124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8" width="11.42578125" style="42" customWidth="1"/>
    <col min="89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2026-07-21T15:16:26Z</dcterms:modified>
</cp:coreProperties>
</file>