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77020E2A-42B9-4E82-81BE-6653D262A47B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<sst xmlns="http://schemas.openxmlformats.org/spreadsheetml/2006/main" count="604" uniqueCount="273">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</sst>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79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E25" activePane="bottomRight" state="frozen"/>
      <selection pane="topRight" activeCell="E1" sqref="E1"/>
      <selection pane="bottomLeft" activeCell="A4" sqref="A4"/>
      <selection pane="bottomRight" activeCell="S45" sqref="S45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7" t="s">
        <v>0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29.6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 t="str">
        <f>IF(COUNTIF(E5:AI5,"&gt;0")&gt;=15,AVERAGE(E5:AI5),"")</f>
        <v/>
      </c>
      <c r="AP5" s="23" t="str">
        <f>IF(AN5&gt;0,IFERROR(AO5-AN5,""),"")</f>
        <v/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29.2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36.200000000000003</v>
      </c>
      <c r="AK7" s="21">
        <f t="shared" si="1"/>
        <v>38.4</v>
      </c>
      <c r="AL7" s="22">
        <v>38.4</v>
      </c>
      <c r="AM7" s="23">
        <f t="shared" si="2"/>
        <v>0</v>
      </c>
      <c r="AN7" s="23">
        <v>33.366016007569073</v>
      </c>
      <c r="AO7" s="23" t="str">
        <f t="shared" si="3"/>
        <v/>
      </c>
      <c r="AP7" s="23" t="str">
        <f t="shared" si="4"/>
        <v/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32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 t="str">
        <f t="shared" si="3"/>
        <v/>
      </c>
      <c r="AP8" s="23" t="str">
        <f t="shared" si="4"/>
        <v/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34.4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 t="str">
        <f t="shared" si="3"/>
        <v/>
      </c>
      <c r="AP9" s="23" t="str">
        <f t="shared" si="4"/>
        <v/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35.9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 t="str">
        <f t="shared" si="3"/>
        <v/>
      </c>
      <c r="AP10" s="23" t="str">
        <f t="shared" si="4"/>
        <v/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37.4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 t="str">
        <f t="shared" si="3"/>
        <v/>
      </c>
      <c r="AP11" s="23" t="str">
        <f t="shared" si="4"/>
        <v/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33.799999999999997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 t="str">
        <f t="shared" si="3"/>
        <v/>
      </c>
      <c r="AP12" s="23" t="str">
        <f t="shared" si="4"/>
        <v/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35.200000000000003</v>
      </c>
      <c r="AK13" s="21">
        <f t="shared" si="1"/>
        <v>38</v>
      </c>
      <c r="AL13" s="22">
        <v>38.200000000000003</v>
      </c>
      <c r="AM13" s="23">
        <f t="shared" si="2"/>
        <v>-0.20000000000000284</v>
      </c>
      <c r="AN13" s="23">
        <v>33.381792114695337</v>
      </c>
      <c r="AO13" s="23" t="str">
        <f t="shared" si="3"/>
        <v/>
      </c>
      <c r="AP13" s="23" t="str">
        <f t="shared" si="4"/>
        <v/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33.700000000000003</v>
      </c>
      <c r="AK14" s="21">
        <f t="shared" si="1"/>
        <v>37.1</v>
      </c>
      <c r="AL14" s="22">
        <v>38.4</v>
      </c>
      <c r="AM14" s="23">
        <f t="shared" si="2"/>
        <v>-1.2999999999999972</v>
      </c>
      <c r="AN14" s="23">
        <v>33.224936599214232</v>
      </c>
      <c r="AO14" s="23" t="str">
        <f t="shared" si="3"/>
        <v/>
      </c>
      <c r="AP14" s="23" t="str">
        <f t="shared" si="4"/>
        <v/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32.200000000000003</v>
      </c>
      <c r="AK15" s="21">
        <f t="shared" si="1"/>
        <v>33.4</v>
      </c>
      <c r="AL15" s="22">
        <v>36</v>
      </c>
      <c r="AM15" s="23">
        <f t="shared" si="2"/>
        <v>-2.6000000000000014</v>
      </c>
      <c r="AN15" s="23">
        <v>31.73533745607995</v>
      </c>
      <c r="AO15" s="23" t="str">
        <f t="shared" si="3"/>
        <v/>
      </c>
      <c r="AP15" s="23" t="str">
        <f t="shared" si="4"/>
        <v/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34.4</v>
      </c>
      <c r="AK17" s="21">
        <f t="shared" si="1"/>
        <v>36.299999999999997</v>
      </c>
      <c r="AL17" s="22">
        <v>37.6</v>
      </c>
      <c r="AM17" s="23">
        <f t="shared" si="2"/>
        <v>-1.3000000000000043</v>
      </c>
      <c r="AN17" s="23">
        <v>32.673982202447156</v>
      </c>
      <c r="AO17" s="23" t="str">
        <f>IF(COUNTIF(E17:AI17,"&gt;0")&gt;=15,AVERAGE(E17:AI17),"")</f>
        <v/>
      </c>
      <c r="AP17" s="23" t="str">
        <f>IF(AN17&gt;0,IFERROR(AO17-AN17,""),"")</f>
        <v/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5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27.6</v>
      </c>
      <c r="AK18" s="21">
        <f t="shared" si="1"/>
        <v>30.4</v>
      </c>
      <c r="AL18" s="22">
        <v>30</v>
      </c>
      <c r="AM18" s="23">
        <f t="shared" si="2"/>
        <v>0.39999999999999858</v>
      </c>
      <c r="AN18" s="23">
        <v>26.05987085395687</v>
      </c>
      <c r="AO18" s="23" t="str">
        <f t="shared" ref="AO18:AO33" si="5">IF(COUNTIF(E18:AI18,"&gt;0")&gt;=15,AVERAGE(E18:AI18),"")</f>
        <v/>
      </c>
      <c r="AP18" s="23" t="str">
        <f t="shared" si="4"/>
        <v/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34.700000000000003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 t="str">
        <f t="shared" si="5"/>
        <v/>
      </c>
      <c r="AP19" s="23" t="str">
        <f t="shared" si="4"/>
        <v/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5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30.5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 t="str">
        <f t="shared" si="5"/>
        <v/>
      </c>
      <c r="AP20" s="23" t="str">
        <f t="shared" si="4"/>
        <v/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5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23.7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 t="str">
        <f t="shared" si="5"/>
        <v/>
      </c>
      <c r="AP21" s="23" t="str">
        <f t="shared" si="4"/>
        <v/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30</v>
      </c>
      <c r="AK23" s="21">
        <f t="shared" si="1"/>
        <v>31.4</v>
      </c>
      <c r="AL23" s="22">
        <v>32.5</v>
      </c>
      <c r="AM23" s="23">
        <f t="shared" si="2"/>
        <v>-1.1000000000000014</v>
      </c>
      <c r="AN23" s="23">
        <v>26.8683870967742</v>
      </c>
      <c r="AO23" s="23" t="str">
        <f t="shared" si="5"/>
        <v/>
      </c>
      <c r="AP23" s="23" t="str">
        <f t="shared" si="4"/>
        <v/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32.1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 t="str">
        <f t="shared" si="5"/>
        <v/>
      </c>
      <c r="AP24" s="23" t="str">
        <f t="shared" si="4"/>
        <v/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33</v>
      </c>
      <c r="AK25" s="21">
        <f t="shared" si="1"/>
        <v>34</v>
      </c>
      <c r="AL25" s="22">
        <v>35.4</v>
      </c>
      <c r="AM25" s="23">
        <f t="shared" si="2"/>
        <v>-1.3999999999999986</v>
      </c>
      <c r="AN25" s="23">
        <v>30.375865393221069</v>
      </c>
      <c r="AO25" s="23" t="str">
        <f t="shared" si="5"/>
        <v/>
      </c>
      <c r="AP25" s="23" t="str">
        <f t="shared" si="4"/>
        <v/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18.8</v>
      </c>
      <c r="AK26" s="21">
        <f t="shared" si="1"/>
        <v>21</v>
      </c>
      <c r="AL26" s="22">
        <v>22.4</v>
      </c>
      <c r="AM26" s="23">
        <f t="shared" si="2"/>
        <v>-1.3999999999999986</v>
      </c>
      <c r="AN26" s="23">
        <v>18.542871607443359</v>
      </c>
      <c r="AO26" s="23" t="str">
        <f t="shared" si="5"/>
        <v/>
      </c>
      <c r="AP26" s="23" t="str">
        <f t="shared" si="4"/>
        <v/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21.4</v>
      </c>
      <c r="AK27" s="21">
        <f t="shared" si="1"/>
        <v>21.4</v>
      </c>
      <c r="AL27" s="22">
        <v>21.4</v>
      </c>
      <c r="AM27" s="23">
        <f t="shared" si="2"/>
        <v>0</v>
      </c>
      <c r="AN27" s="23">
        <v>16.682050544108389</v>
      </c>
      <c r="AO27" s="23" t="str">
        <f t="shared" si="5"/>
        <v/>
      </c>
      <c r="AP27" s="23" t="str">
        <f t="shared" si="4"/>
        <v/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5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33.200000000000003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 t="str">
        <f t="shared" si="5"/>
        <v/>
      </c>
      <c r="AP28" s="23" t="str">
        <f t="shared" si="4"/>
        <v/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36.200000000000003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 t="str">
        <f t="shared" si="5"/>
        <v/>
      </c>
      <c r="AP30" s="23" t="str">
        <f t="shared" si="4"/>
        <v/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26.6</v>
      </c>
      <c r="AK31" s="21">
        <f t="shared" si="1"/>
        <v>29.2</v>
      </c>
      <c r="AL31" s="22">
        <v>30.2</v>
      </c>
      <c r="AM31" s="23">
        <f t="shared" si="2"/>
        <v>-1</v>
      </c>
      <c r="AN31" s="23">
        <v>25.387424837120619</v>
      </c>
      <c r="AO31" s="23" t="str">
        <f t="shared" si="5"/>
        <v/>
      </c>
      <c r="AP31" s="23" t="str">
        <f t="shared" si="4"/>
        <v/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17.399999999999999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 t="str">
        <f t="shared" si="5"/>
        <v/>
      </c>
      <c r="AP32" s="23" t="str">
        <f t="shared" si="4"/>
        <v/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14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 t="str">
        <f t="shared" si="5"/>
        <v/>
      </c>
      <c r="AP33" s="23" t="str">
        <f t="shared" si="4"/>
        <v/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33.200000000000003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 t="str">
        <f>IF(COUNTIF(E35:AI35,"&gt;0")&gt;=15,AVERAGE(E35:AI35),"")</f>
        <v/>
      </c>
      <c r="AP35" s="23" t="str">
        <f t="shared" si="4"/>
        <v/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31.4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 t="str">
        <f>IF(COUNTIF(E38:AI38,"&gt;0")&gt;=15,AVERAGE(E38:AI38),"")</f>
        <v/>
      </c>
      <c r="AP38" s="23" t="str">
        <f t="shared" si="4"/>
        <v/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31.6</v>
      </c>
      <c r="AK39" s="21">
        <f t="shared" si="1"/>
        <v>32.299999999999997</v>
      </c>
      <c r="AL39" s="22">
        <v>37.4</v>
      </c>
      <c r="AM39" s="23">
        <f t="shared" si="2"/>
        <v>-5.1000000000000014</v>
      </c>
      <c r="AN39" s="23">
        <v>30.843133110863921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31.3</v>
      </c>
      <c r="AK40" s="21">
        <f t="shared" si="1"/>
        <v>31.3</v>
      </c>
      <c r="AL40" s="22">
        <v>33.5</v>
      </c>
      <c r="AM40" s="23">
        <f t="shared" si="2"/>
        <v>-2.1999999999999993</v>
      </c>
      <c r="AN40" s="23">
        <v>28.947548387096781</v>
      </c>
      <c r="AO40" s="23" t="str">
        <f t="shared" si="7"/>
        <v/>
      </c>
      <c r="AP40" s="23" t="str">
        <f t="shared" si="4"/>
        <v/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29.6</v>
      </c>
      <c r="AK41" s="21">
        <f t="shared" si="1"/>
        <v>32</v>
      </c>
      <c r="AL41" s="22">
        <v>34.4</v>
      </c>
      <c r="AM41" s="23">
        <f t="shared" si="2"/>
        <v>-2.3999999999999986</v>
      </c>
      <c r="AN41" s="23">
        <v>29.366308243727591</v>
      </c>
      <c r="AO41" s="23" t="str">
        <f t="shared" si="7"/>
        <v/>
      </c>
      <c r="AP41" s="23" t="str">
        <f t="shared" si="4"/>
        <v/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31.2</v>
      </c>
      <c r="AK43" s="21">
        <f t="shared" si="1"/>
        <v>32</v>
      </c>
      <c r="AL43" s="22">
        <v>34.200000000000003</v>
      </c>
      <c r="AM43" s="23">
        <f t="shared" si="2"/>
        <v>-2.2000000000000028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31.3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 t="str">
        <f t="shared" si="7"/>
        <v/>
      </c>
      <c r="AP44" s="23" t="str">
        <f t="shared" si="4"/>
        <v/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31.6</v>
      </c>
      <c r="AK45" s="21">
        <f t="shared" si="1"/>
        <v>32</v>
      </c>
      <c r="AL45" s="22">
        <v>34.200000000000003</v>
      </c>
      <c r="AM45" s="23">
        <f t="shared" si="2"/>
        <v>-2.2000000000000028</v>
      </c>
      <c r="AN45" s="23">
        <v>29.54581639287883</v>
      </c>
      <c r="AO45" s="23" t="str">
        <f t="shared" si="7"/>
        <v/>
      </c>
      <c r="AP45" s="23" t="str">
        <f t="shared" si="4"/>
        <v/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29.3</v>
      </c>
      <c r="AK48" s="21">
        <f t="shared" si="1"/>
        <v>32</v>
      </c>
      <c r="AL48" s="22">
        <v>35.200000000000003</v>
      </c>
      <c r="AM48" s="23">
        <f t="shared" si="2"/>
        <v>-3.2000000000000028</v>
      </c>
      <c r="AN48" s="23">
        <v>30.34253285543608</v>
      </c>
      <c r="AO48" s="23" t="str">
        <f t="shared" si="7"/>
        <v/>
      </c>
      <c r="AP48" s="23" t="str">
        <f t="shared" si="4"/>
        <v/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1" t="s">
        <v>123</v>
      </c>
      <c r="I1" s="72"/>
      <c r="J1" s="73"/>
      <c r="K1" s="68" t="s">
        <v>124</v>
      </c>
      <c r="L1" s="69"/>
      <c r="M1" s="70"/>
      <c r="N1" s="71" t="s">
        <v>125</v>
      </c>
      <c r="O1" s="72"/>
      <c r="P1" s="73"/>
      <c r="Q1" s="68" t="s">
        <v>126</v>
      </c>
      <c r="R1" s="69"/>
      <c r="S1" s="70"/>
      <c r="T1" s="71" t="s">
        <v>127</v>
      </c>
      <c r="U1" s="72"/>
      <c r="V1" s="73"/>
      <c r="W1" s="68" t="s">
        <v>128</v>
      </c>
      <c r="X1" s="69"/>
      <c r="Y1" s="70"/>
      <c r="Z1" s="71" t="s">
        <v>129</v>
      </c>
      <c r="AA1" s="72"/>
      <c r="AB1" s="73"/>
      <c r="AC1" s="68" t="s">
        <v>130</v>
      </c>
      <c r="AD1" s="69"/>
      <c r="AE1" s="70"/>
      <c r="AF1" s="71" t="s">
        <v>131</v>
      </c>
      <c r="AG1" s="72"/>
      <c r="AH1" s="73"/>
      <c r="AI1" s="68" t="s">
        <v>132</v>
      </c>
      <c r="AJ1" s="69"/>
      <c r="AK1" s="70"/>
      <c r="AL1" s="71" t="s">
        <v>133</v>
      </c>
      <c r="AM1" s="72"/>
      <c r="AN1" s="73"/>
      <c r="AO1" s="68" t="s">
        <v>134</v>
      </c>
      <c r="AP1" s="69"/>
      <c r="AQ1" s="70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6" t="s">
        <v>1</v>
      </c>
      <c r="B1" s="78" t="s">
        <v>93</v>
      </c>
      <c r="C1" s="67" t="s">
        <v>94</v>
      </c>
      <c r="D1" s="74" t="s">
        <v>95</v>
      </c>
      <c r="E1" s="74" t="s">
        <v>96</v>
      </c>
      <c r="F1" s="74" t="s">
        <v>97</v>
      </c>
      <c r="G1" s="74" t="s">
        <v>98</v>
      </c>
      <c r="H1" s="74" t="s">
        <v>99</v>
      </c>
      <c r="I1" s="74" t="s">
        <v>100</v>
      </c>
      <c r="J1" s="74" t="s">
        <v>101</v>
      </c>
      <c r="K1" s="74" t="s">
        <v>102</v>
      </c>
      <c r="L1" s="74" t="s">
        <v>103</v>
      </c>
      <c r="M1" s="74" t="s">
        <v>104</v>
      </c>
      <c r="N1" s="74" t="s">
        <v>105</v>
      </c>
      <c r="O1" s="74" t="s">
        <v>106</v>
      </c>
    </row>
    <row r="2" spans="1:15" ht="12.75" customHeight="1" x14ac:dyDescent="0.2">
      <c r="A2" s="77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2026-07-14T13:48:00Z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