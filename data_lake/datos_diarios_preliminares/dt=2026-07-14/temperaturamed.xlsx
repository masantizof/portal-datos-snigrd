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C4C5BD56-D8E1-4107-97B0-35DDBC5A9D73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0" i="1"/>
  <c r="AP210" i="1"/>
  <c r="AQ210" i="1" s="1"/>
  <c r="AS210" i="1" s="1"/>
  <c r="AR209" i="1"/>
  <c r="AQ209" i="1"/>
  <c r="AS209" i="1" s="1"/>
  <c r="AP209" i="1"/>
  <c r="AR208" i="1"/>
  <c r="AP208" i="1"/>
  <c r="AQ208" i="1" s="1"/>
  <c r="AS208" i="1" s="1"/>
  <c r="AS207" i="1"/>
  <c r="AR207" i="1"/>
  <c r="AQ207" i="1"/>
  <c r="AP207" i="1"/>
  <c r="AR206" i="1"/>
  <c r="AP206" i="1"/>
  <c r="AQ206" i="1" s="1"/>
  <c r="AS206" i="1" s="1"/>
  <c r="AR205" i="1"/>
  <c r="AP205" i="1"/>
  <c r="AQ205" i="1" s="1"/>
  <c r="AS205" i="1" s="1"/>
  <c r="AR204" i="1"/>
  <c r="AQ204" i="1"/>
  <c r="AS204" i="1" s="1"/>
  <c r="AP204" i="1"/>
  <c r="AR203" i="1"/>
  <c r="AP203" i="1"/>
  <c r="AQ203" i="1" s="1"/>
  <c r="AS203" i="1" s="1"/>
  <c r="AR202" i="1"/>
  <c r="AP202" i="1"/>
  <c r="AQ202" i="1" s="1"/>
  <c r="AS202" i="1" s="1"/>
  <c r="AR201" i="1"/>
  <c r="AP201" i="1"/>
  <c r="AQ201" i="1" s="1"/>
  <c r="AS201" i="1" s="1"/>
  <c r="AR200" i="1"/>
  <c r="AP200" i="1"/>
  <c r="AQ200" i="1" s="1"/>
  <c r="AS200" i="1" s="1"/>
  <c r="AR199" i="1"/>
  <c r="AQ199" i="1"/>
  <c r="AS199" i="1" s="1"/>
  <c r="AP199" i="1"/>
  <c r="AR198" i="1"/>
  <c r="AP198" i="1"/>
  <c r="AQ198" i="1" s="1"/>
  <c r="AS198" i="1" s="1"/>
  <c r="AR197" i="1"/>
  <c r="AP197" i="1"/>
  <c r="AQ197" i="1" s="1"/>
  <c r="AS197" i="1" s="1"/>
  <c r="AR196" i="1"/>
  <c r="AP196" i="1"/>
  <c r="AQ196" i="1" s="1"/>
  <c r="AS196" i="1" s="1"/>
  <c r="AR195" i="1"/>
  <c r="AP195" i="1"/>
  <c r="AQ195" i="1" s="1"/>
  <c r="AS195" i="1" s="1"/>
  <c r="AR194" i="1"/>
  <c r="AQ194" i="1"/>
  <c r="AS194" i="1" s="1"/>
  <c r="AP194" i="1"/>
  <c r="AR193" i="1"/>
  <c r="AP193" i="1"/>
  <c r="AQ193" i="1" s="1"/>
  <c r="AS193" i="1" s="1"/>
  <c r="AR192" i="1"/>
  <c r="AP192" i="1"/>
  <c r="AQ192" i="1" s="1"/>
  <c r="AS192" i="1" s="1"/>
  <c r="AR191" i="1"/>
  <c r="AP191" i="1"/>
  <c r="AQ191" i="1" s="1"/>
  <c r="AS191" i="1" s="1"/>
  <c r="AR190" i="1"/>
  <c r="AP190" i="1"/>
  <c r="AQ190" i="1" s="1"/>
  <c r="AS190" i="1" s="1"/>
  <c r="AR189" i="1"/>
  <c r="AQ189" i="1"/>
  <c r="AS189" i="1" s="1"/>
  <c r="AP189" i="1"/>
  <c r="AR188" i="1"/>
  <c r="AP188" i="1"/>
  <c r="AQ188" i="1" s="1"/>
  <c r="AS188" i="1" s="1"/>
  <c r="AR187" i="1"/>
  <c r="AP187" i="1"/>
  <c r="AQ187" i="1" s="1"/>
  <c r="AS187" i="1" s="1"/>
  <c r="AR186" i="1"/>
  <c r="AP186" i="1"/>
  <c r="AQ186" i="1" s="1"/>
  <c r="AS186" i="1" s="1"/>
  <c r="AR185" i="1"/>
  <c r="AP185" i="1"/>
  <c r="AQ185" i="1" s="1"/>
  <c r="AS185" i="1" s="1"/>
  <c r="AR184" i="1"/>
  <c r="AQ184" i="1"/>
  <c r="AS184" i="1" s="1"/>
  <c r="AP184" i="1"/>
  <c r="AR183" i="1"/>
  <c r="AP183" i="1"/>
  <c r="AQ183" i="1" s="1"/>
  <c r="AS183" i="1" s="1"/>
  <c r="AR182" i="1"/>
  <c r="AP182" i="1"/>
  <c r="AQ182" i="1" s="1"/>
  <c r="AS182" i="1" s="1"/>
  <c r="AR181" i="1"/>
  <c r="AP181" i="1"/>
  <c r="AQ181" i="1" s="1"/>
  <c r="AS181" i="1" s="1"/>
  <c r="AR180" i="1"/>
  <c r="AP180" i="1"/>
  <c r="AQ180" i="1" s="1"/>
  <c r="AS180" i="1" s="1"/>
  <c r="AR179" i="1"/>
  <c r="AQ179" i="1"/>
  <c r="AS179" i="1" s="1"/>
  <c r="AP179" i="1"/>
  <c r="AR178" i="1"/>
  <c r="AP178" i="1"/>
  <c r="AQ178" i="1" s="1"/>
  <c r="AS178" i="1" s="1"/>
  <c r="AR177" i="1"/>
  <c r="AP177" i="1"/>
  <c r="AQ177" i="1" s="1"/>
  <c r="AS177" i="1" s="1"/>
  <c r="AR176" i="1"/>
  <c r="AP176" i="1"/>
  <c r="AQ176" i="1" s="1"/>
  <c r="AS176" i="1" s="1"/>
  <c r="AR175" i="1"/>
  <c r="AP175" i="1"/>
  <c r="AQ175" i="1" s="1"/>
  <c r="AS175" i="1" s="1"/>
  <c r="AR174" i="1"/>
  <c r="AQ174" i="1"/>
  <c r="AS174" i="1" s="1"/>
  <c r="AP174" i="1"/>
  <c r="AR173" i="1"/>
  <c r="AP173" i="1"/>
  <c r="AQ173" i="1" s="1"/>
  <c r="AS173" i="1" s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S170" i="1" s="1"/>
  <c r="AR169" i="1"/>
  <c r="AQ169" i="1"/>
  <c r="AS169" i="1" s="1"/>
  <c r="AP169" i="1"/>
  <c r="AR168" i="1"/>
  <c r="AP168" i="1"/>
  <c r="AQ168" i="1" s="1"/>
  <c r="AS168" i="1" s="1"/>
  <c r="AR167" i="1"/>
  <c r="AP167" i="1"/>
  <c r="AQ167" i="1" s="1"/>
  <c r="AS167" i="1" s="1"/>
  <c r="AR166" i="1"/>
  <c r="AP166" i="1"/>
  <c r="AQ166" i="1" s="1"/>
  <c r="AS166" i="1" s="1"/>
  <c r="AR165" i="1"/>
  <c r="AP165" i="1"/>
  <c r="AQ165" i="1" s="1"/>
  <c r="AS165" i="1" s="1"/>
  <c r="AR164" i="1"/>
  <c r="AQ164" i="1"/>
  <c r="AS164" i="1" s="1"/>
  <c r="AP164" i="1"/>
  <c r="AR163" i="1"/>
  <c r="AP163" i="1"/>
  <c r="AQ163" i="1" s="1"/>
  <c r="AS163" i="1" s="1"/>
  <c r="AR162" i="1"/>
  <c r="AP162" i="1"/>
  <c r="AQ162" i="1" s="1"/>
  <c r="AS162" i="1" s="1"/>
  <c r="AR161" i="1"/>
  <c r="AP161" i="1"/>
  <c r="AQ161" i="1" s="1"/>
  <c r="AS161" i="1" s="1"/>
  <c r="AR160" i="1"/>
  <c r="AP160" i="1"/>
  <c r="AQ160" i="1" s="1"/>
  <c r="AS160" i="1" s="1"/>
  <c r="AR159" i="1"/>
  <c r="AQ159" i="1"/>
  <c r="AS159" i="1" s="1"/>
  <c r="AP159" i="1"/>
  <c r="AR158" i="1"/>
  <c r="AP158" i="1"/>
  <c r="AQ158" i="1" s="1"/>
  <c r="AS158" i="1" s="1"/>
  <c r="AR157" i="1"/>
  <c r="AP157" i="1"/>
  <c r="AQ157" i="1" s="1"/>
  <c r="AS157" i="1" s="1"/>
  <c r="AR156" i="1"/>
  <c r="AP156" i="1"/>
  <c r="AQ156" i="1" s="1"/>
  <c r="AS156" i="1" s="1"/>
  <c r="AR155" i="1"/>
  <c r="AP155" i="1"/>
  <c r="AQ155" i="1" s="1"/>
  <c r="AS155" i="1" s="1"/>
  <c r="AR154" i="1"/>
  <c r="AQ154" i="1"/>
  <c r="AS154" i="1" s="1"/>
  <c r="AP154" i="1"/>
  <c r="AR153" i="1"/>
  <c r="AP153" i="1"/>
  <c r="AQ153" i="1" s="1"/>
  <c r="AS153" i="1" s="1"/>
  <c r="AR152" i="1"/>
  <c r="AP152" i="1"/>
  <c r="AQ152" i="1" s="1"/>
  <c r="AS152" i="1" s="1"/>
  <c r="AR151" i="1"/>
  <c r="AP151" i="1"/>
  <c r="AQ151" i="1" s="1"/>
  <c r="AS151" i="1" s="1"/>
  <c r="AR150" i="1"/>
  <c r="AP150" i="1"/>
  <c r="AQ150" i="1" s="1"/>
  <c r="AS150" i="1" s="1"/>
  <c r="AR149" i="1"/>
  <c r="AQ149" i="1"/>
  <c r="AS149" i="1" s="1"/>
  <c r="AP149" i="1"/>
  <c r="AR148" i="1"/>
  <c r="AP148" i="1"/>
  <c r="AQ148" i="1" s="1"/>
  <c r="AS148" i="1" s="1"/>
  <c r="AR147" i="1"/>
  <c r="AP147" i="1"/>
  <c r="AQ147" i="1" s="1"/>
  <c r="AS147" i="1" s="1"/>
  <c r="AS146" i="1"/>
  <c r="AR146" i="1"/>
  <c r="AQ146" i="1"/>
  <c r="AP146" i="1"/>
  <c r="AR145" i="1"/>
  <c r="AP145" i="1"/>
  <c r="AQ145" i="1" s="1"/>
  <c r="AS145" i="1" s="1"/>
  <c r="AR144" i="1"/>
  <c r="AQ144" i="1"/>
  <c r="AS144" i="1" s="1"/>
  <c r="AP144" i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S140" i="1" s="1"/>
  <c r="AR139" i="1"/>
  <c r="AQ139" i="1"/>
  <c r="AS139" i="1" s="1"/>
  <c r="AP139" i="1"/>
  <c r="AR138" i="1"/>
  <c r="AP138" i="1"/>
  <c r="AQ138" i="1" s="1"/>
  <c r="AS138" i="1" s="1"/>
  <c r="AR137" i="1"/>
  <c r="AP137" i="1"/>
  <c r="AQ137" i="1" s="1"/>
  <c r="AS137" i="1" s="1"/>
  <c r="AR136" i="1"/>
  <c r="AP136" i="1"/>
  <c r="AQ136" i="1" s="1"/>
  <c r="AS136" i="1" s="1"/>
  <c r="AR135" i="1"/>
  <c r="AP135" i="1"/>
  <c r="AQ135" i="1" s="1"/>
  <c r="AS135" i="1" s="1"/>
  <c r="AR134" i="1"/>
  <c r="AP134" i="1"/>
  <c r="AQ134" i="1" s="1"/>
  <c r="AS134" i="1" s="1"/>
  <c r="AR133" i="1"/>
  <c r="AP133" i="1"/>
  <c r="AQ133" i="1" s="1"/>
  <c r="AS133" i="1" s="1"/>
  <c r="AR132" i="1"/>
  <c r="AP132" i="1"/>
  <c r="AQ132" i="1" s="1"/>
  <c r="AS132" i="1" s="1"/>
  <c r="AS131" i="1"/>
  <c r="AR131" i="1"/>
  <c r="AQ131" i="1"/>
  <c r="AP131" i="1"/>
  <c r="AR130" i="1"/>
  <c r="AP130" i="1"/>
  <c r="AQ130" i="1" s="1"/>
  <c r="AS130" i="1" s="1"/>
  <c r="AR129" i="1"/>
  <c r="AP129" i="1"/>
  <c r="AQ129" i="1" s="1"/>
  <c r="AS129" i="1" s="1"/>
  <c r="AR128" i="1"/>
  <c r="AP128" i="1"/>
  <c r="AQ128" i="1" s="1"/>
  <c r="AS128" i="1" s="1"/>
  <c r="AR127" i="1"/>
  <c r="AP127" i="1"/>
  <c r="AQ127" i="1" s="1"/>
  <c r="AS127" i="1" s="1"/>
  <c r="AR126" i="1"/>
  <c r="AP126" i="1"/>
  <c r="AQ126" i="1" s="1"/>
  <c r="AS126" i="1" s="1"/>
  <c r="AR125" i="1"/>
  <c r="AP125" i="1"/>
  <c r="AQ125" i="1" s="1"/>
  <c r="AS125" i="1" s="1"/>
  <c r="AR124" i="1"/>
  <c r="AP124" i="1"/>
  <c r="AQ124" i="1" s="1"/>
  <c r="AS124" i="1" s="1"/>
  <c r="AR123" i="1"/>
  <c r="AP123" i="1"/>
  <c r="AQ123" i="1" s="1"/>
  <c r="AS123" i="1" s="1"/>
  <c r="AR122" i="1"/>
  <c r="AP122" i="1"/>
  <c r="AQ122" i="1" s="1"/>
  <c r="AS122" i="1" s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S119" i="1" s="1"/>
  <c r="AR118" i="1"/>
  <c r="AP118" i="1"/>
  <c r="AQ118" i="1" s="1"/>
  <c r="AS118" i="1" s="1"/>
  <c r="AR117" i="1"/>
  <c r="AP117" i="1"/>
  <c r="AQ117" i="1" s="1"/>
  <c r="AS117" i="1" s="1"/>
  <c r="AR116" i="1"/>
  <c r="AP116" i="1"/>
  <c r="AQ116" i="1" s="1"/>
  <c r="AS116" i="1" s="1"/>
  <c r="AR115" i="1"/>
  <c r="AP115" i="1"/>
  <c r="AQ115" i="1" s="1"/>
  <c r="AS115" i="1" s="1"/>
  <c r="AR114" i="1"/>
  <c r="AP114" i="1"/>
  <c r="AQ114" i="1" s="1"/>
  <c r="AS114" i="1" s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S107" i="1" s="1"/>
  <c r="AS106" i="1"/>
  <c r="AR106" i="1"/>
  <c r="AQ106" i="1"/>
  <c r="AP106" i="1"/>
  <c r="AR105" i="1"/>
  <c r="AP105" i="1"/>
  <c r="AQ105" i="1" s="1"/>
  <c r="AS105" i="1" s="1"/>
  <c r="AR104" i="1"/>
  <c r="AP104" i="1"/>
  <c r="AQ104" i="1" s="1"/>
  <c r="AS104" i="1" s="1"/>
  <c r="AR103" i="1"/>
  <c r="AP103" i="1"/>
  <c r="AQ103" i="1" s="1"/>
  <c r="AS103" i="1" s="1"/>
  <c r="AR102" i="1"/>
  <c r="AP102" i="1"/>
  <c r="AQ102" i="1" s="1"/>
  <c r="AS102" i="1" s="1"/>
  <c r="AR101" i="1"/>
  <c r="AP101" i="1"/>
  <c r="AQ101" i="1" s="1"/>
  <c r="AS101" i="1" s="1"/>
  <c r="AR100" i="1"/>
  <c r="AP100" i="1"/>
  <c r="AQ100" i="1" s="1"/>
  <c r="AS100" i="1" s="1"/>
  <c r="AR99" i="1"/>
  <c r="AP99" i="1"/>
  <c r="AQ99" i="1" s="1"/>
  <c r="AS99" i="1" s="1"/>
  <c r="AR98" i="1"/>
  <c r="AP98" i="1"/>
  <c r="AQ98" i="1" s="1"/>
  <c r="AS98" i="1" s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S95" i="1" s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S91" i="1" s="1"/>
  <c r="AR90" i="1"/>
  <c r="AP90" i="1"/>
  <c r="AQ90" i="1" s="1"/>
  <c r="AS90" i="1" s="1"/>
  <c r="AR89" i="1"/>
  <c r="AP89" i="1"/>
  <c r="AQ89" i="1" s="1"/>
  <c r="AS89" i="1" s="1"/>
  <c r="AR88" i="1"/>
  <c r="AP88" i="1"/>
  <c r="AQ88" i="1" s="1"/>
  <c r="AS88" i="1" s="1"/>
  <c r="AR87" i="1"/>
  <c r="AP87" i="1"/>
  <c r="AQ87" i="1" s="1"/>
  <c r="AS87" i="1" s="1"/>
  <c r="AR86" i="1"/>
  <c r="AP86" i="1"/>
  <c r="AQ86" i="1" s="1"/>
  <c r="AS86" i="1" s="1"/>
  <c r="AR85" i="1"/>
  <c r="AP85" i="1"/>
  <c r="AQ85" i="1" s="1"/>
  <c r="AS85" i="1" s="1"/>
  <c r="AR84" i="1"/>
  <c r="AP84" i="1"/>
  <c r="AQ84" i="1" s="1"/>
  <c r="AS84" i="1" s="1"/>
  <c r="AR83" i="1"/>
  <c r="AP83" i="1"/>
  <c r="AQ83" i="1" s="1"/>
  <c r="AS83" i="1" s="1"/>
  <c r="AR82" i="1"/>
  <c r="AP82" i="1"/>
  <c r="AQ82" i="1" s="1"/>
  <c r="AS82" i="1" s="1"/>
  <c r="AS81" i="1"/>
  <c r="AR81" i="1"/>
  <c r="AQ81" i="1"/>
  <c r="AP81" i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S74" i="1" s="1"/>
  <c r="AR73" i="1"/>
  <c r="AP73" i="1"/>
  <c r="AQ73" i="1" s="1"/>
  <c r="AS73" i="1" s="1"/>
  <c r="AR72" i="1"/>
  <c r="AP72" i="1"/>
  <c r="AQ72" i="1" s="1"/>
  <c r="AS72" i="1" s="1"/>
  <c r="AR71" i="1"/>
  <c r="AP71" i="1"/>
  <c r="AQ71" i="1" s="1"/>
  <c r="AS71" i="1" s="1"/>
  <c r="AR70" i="1"/>
  <c r="AP70" i="1"/>
  <c r="AQ70" i="1" s="1"/>
  <c r="AS70" i="1" s="1"/>
  <c r="AR69" i="1"/>
  <c r="AP69" i="1"/>
  <c r="AQ69" i="1" s="1"/>
  <c r="AS69" i="1" s="1"/>
  <c r="AR68" i="1"/>
  <c r="AP68" i="1"/>
  <c r="AQ68" i="1" s="1"/>
  <c r="AS68" i="1" s="1"/>
  <c r="AR67" i="1"/>
  <c r="AP67" i="1"/>
  <c r="AQ67" i="1" s="1"/>
  <c r="AS67" i="1" s="1"/>
  <c r="AR66" i="1"/>
  <c r="AP66" i="1"/>
  <c r="AQ66" i="1" s="1"/>
  <c r="AS66" i="1" s="1"/>
  <c r="AR65" i="1"/>
  <c r="AP65" i="1"/>
  <c r="AQ65" i="1" s="1"/>
  <c r="AS65" i="1" s="1"/>
  <c r="AR64" i="1"/>
  <c r="AP64" i="1"/>
  <c r="AQ64" i="1" s="1"/>
  <c r="AS64" i="1" s="1"/>
  <c r="AR63" i="1"/>
  <c r="AP63" i="1"/>
  <c r="AQ63" i="1" s="1"/>
  <c r="AS63" i="1" s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S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S57" i="1" s="1"/>
  <c r="AS56" i="1"/>
  <c r="AR56" i="1"/>
  <c r="AQ56" i="1"/>
  <c r="AP56" i="1"/>
  <c r="AR55" i="1"/>
  <c r="AP55" i="1"/>
  <c r="AQ55" i="1" s="1"/>
  <c r="AS55" i="1" s="1"/>
  <c r="AR54" i="1"/>
  <c r="AP54" i="1"/>
  <c r="AQ54" i="1" s="1"/>
  <c r="AS54" i="1" s="1"/>
  <c r="AR53" i="1"/>
  <c r="AP53" i="1"/>
  <c r="AQ53" i="1" s="1"/>
  <c r="AS53" i="1" s="1"/>
  <c r="AR52" i="1"/>
  <c r="AP52" i="1"/>
  <c r="AQ52" i="1" s="1"/>
  <c r="AS52" i="1" s="1"/>
  <c r="AR51" i="1"/>
  <c r="AP51" i="1"/>
  <c r="AQ51" i="1" s="1"/>
  <c r="AS51" i="1" s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S45" i="1" s="1"/>
  <c r="AR44" i="1"/>
  <c r="AP44" i="1"/>
  <c r="AQ44" i="1" s="1"/>
  <c r="AS44" i="1" s="1"/>
  <c r="AR43" i="1"/>
  <c r="AP43" i="1"/>
  <c r="AQ43" i="1" s="1"/>
  <c r="AS43" i="1" s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S40" i="1" s="1"/>
  <c r="AR39" i="1"/>
  <c r="AP39" i="1"/>
  <c r="AQ39" i="1" s="1"/>
  <c r="AS39" i="1" s="1"/>
  <c r="AR38" i="1"/>
  <c r="AP38" i="1"/>
  <c r="AQ38" i="1" s="1"/>
  <c r="AS38" i="1" s="1"/>
  <c r="AR37" i="1"/>
  <c r="AP37" i="1"/>
  <c r="AQ37" i="1" s="1"/>
  <c r="AS37" i="1" s="1"/>
  <c r="AR36" i="1"/>
  <c r="AP36" i="1"/>
  <c r="AQ36" i="1" s="1"/>
  <c r="AS36" i="1" s="1"/>
  <c r="AR35" i="1"/>
  <c r="AP35" i="1"/>
  <c r="AQ35" i="1" s="1"/>
  <c r="AS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S31" i="1"/>
  <c r="AR31" i="1"/>
  <c r="AQ31" i="1"/>
  <c r="AP31" i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P21" i="1"/>
  <c r="AQ21" i="1" s="1"/>
  <c r="AS21" i="1" s="1"/>
  <c r="AR20" i="1"/>
  <c r="AP20" i="1"/>
  <c r="AQ20" i="1" s="1"/>
  <c r="AS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S6" i="1"/>
  <c r="AR6" i="1"/>
  <c r="AQ6" i="1"/>
  <c r="AP6" i="1"/>
  <c r="AR5" i="1"/>
  <c r="AP5" i="1"/>
  <c r="AQ5" i="1" s="1"/>
  <c r="AS5" i="1" s="1"/>
  <c r="I2" i="1"/>
  <c r="D2" i="1"/>
  <c r="AS14" i="1" l="1"/>
</calcChain>
</file>

<file path=xl/sharedStrings.xml><?xml version="1.0" encoding="utf-8"?>
<sst xmlns="http://schemas.openxmlformats.org/spreadsheetml/2006/main" count="3682" uniqueCount="1512">
  <si>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</si>
  <si>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</si>
  <si>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</si>
  <si>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</si>
  <si>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</si>
  <si>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</si>
  <si>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</si>
  <si>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</si>
  <si>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</si>
  <si>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</si>
  <si>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</si>
  <si>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</si>
  <si>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</si>
  <si>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</si>
  <si>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</si>
  <si>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</si>
  <si>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</si>
  <si>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</si>
  <si>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</si>
  <si>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</si>
  <si>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</si>
  <si>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</si>
  <si>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</si>
  <si>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</si>
  <si>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</si>
  <si>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</si>
  <si>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</si>
  <si>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</si>
  <si>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</si>
  <si>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</si>
  <si>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</si>
  <si>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</si>
  <si>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</si>
  <si>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</si>
  <si>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</si>
  <si>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</si>
  <si>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</si>
  <si>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</si>
  <si>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</si>
  <si>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</si>
  <si>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</si>
  <si>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</si>
  <si>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</si>
  <si>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</si>
  <si>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</si>
  <si>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</si>
  <si>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</si>
  <si>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</si>
  <si>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</si>
  <si>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</si>
  <si>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</si>
  <si>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</si>
  <si>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</si>
  <si>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</si>
  <si>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</si>
  <si>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</si>
  <si>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</si>
  <si>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</si>
  <si>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</si>
  <si>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</si>
  <si>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</si>
  <si>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</si>
  <si>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</si>
  <si>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</si>
  <si>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</si>
  <si>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</si>
  <si>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</si>
  <si>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</si>
  <si>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</si>
  <si>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</si>
  <si>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</si>
  <si>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</si>
  <si>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</si>
  <si>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</si>
  <si>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</si>
  <si>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</si>
  <si>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</si>
  <si>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</si>
  <si>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</si>
  <si>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</si>
  <si>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</si>
  <si>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</si>
  <si>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</si>
  <si>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</si>
  <si>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</si>
  <si>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</si>
  <si>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</si>
  <si>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</si>
  <si>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</si>
  <si>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</si>
  <si>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</si>
  <si>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</si>
  <si>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</si>
  <si>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</si>
  <si>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</si>
  <si>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</si>
  <si>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</si>
  <si>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</si>
  <si>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</si>
  <si>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</si>
  <si>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</si>
  <si>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</si>
  <si>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</si>
  <si>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</si>
  <si>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</si>
  <si>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</si>
  <si>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</si>
  <si>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</si>
  <si>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</si>
  <si>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</si>
  <si>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</si>
  <si>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</si>
  <si>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</si>
  <si>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</si>
  <si>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</si>
  <si>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</si>
  <si>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</si>
  <si>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</si>
  <si>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</si>
  <si>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</si>
  <si>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</si>
  <si>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</si>
  <si>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</si>
  <si>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</si>
  <si>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</si>
  <si>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</si>
  <si>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</si>
  <si>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</si>
  <si>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</si>
  <si>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</si>
  <si>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</si>
  <si>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</si>
  <si>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</si>
  <si>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Sucre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</si>
  <si>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</si>
  <si>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</si>
  <si>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</si>
  <si>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</si>
  <si>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</si>
  <si>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</si>
  <si>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</si>
  <si>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</si>
  <si>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</si>
  <si>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</si>
  <si>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</si>
  <si>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</si>
  <si>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</si>
  <si>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</si>
  <si>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</si>
  <si>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</si>
  <si>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</si>
  <si>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</si>
  <si>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</si>
  <si>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</si>
  <si>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</si>
  <si>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</si>
  <si>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</si>
  <si>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</si>
  <si>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</si>
  <si>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</si>
  <si>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</si>
  <si>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</si>
  <si>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</si>
  <si>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</si>
  <si>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</si>
  <si>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</si>
  <si>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</si>
  <si>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</si>
  <si>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</si>
  <si>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</si>
  <si>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</si>
  <si>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</si>
  <si>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</si>
  <si>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</si>
  <si>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</si>
  <si>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</si>
  <si>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</si>
  <si>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</si>
  <si>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</si>
  <si>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</si>
  <si>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</si>
  <si>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</si>
  <si>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</si>
  <si>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</si>
  <si>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</si>
  <si>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</si>
  <si>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</si>
  <si>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</si>
  <si>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</si>
  <si>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</si>
  <si>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</si>
  <si>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</si>
  <si>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</si>
  <si>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</si>
  <si>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</si>
  <si>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</si>
  <si>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</si>
  <si>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</si>
  <si>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</si>
  <si>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</si>
  <si>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</si>
  <si>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</si>
  <si>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</si>
  <si>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</si>
  <si>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</si>
  <si>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</si>
  <si>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</si>
  <si>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</si>
  <si>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</si>
  <si>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</si>
  <si>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</si>
  <si>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</si>
  <si>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</si>
  <si>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</si>
  <si>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</si>
  <si>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</si>
  <si>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</si>
  <si>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</si>
  <si>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</si>
  <si>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</si>
  <si>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</si>
  <si>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</si>
  <si>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</si>
  <si>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</si>
  <si>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</si>
  <si>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</si>
  <si>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</si>
  <si>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</si>
  <si>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</si>
  <si>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</si>
  <si>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</si>
  <si>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</si>
  <si>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</si>
  <si>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</si>
  <si>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</si>
  <si>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</si>
  <si>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</si>
  <si>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</si>
  <si>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</si>
  <si>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</si>
  <si>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</si>
  <si>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</si>
  <si>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</si>
  <si>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</si>
  <si>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</si>
  <si>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</si>
  <si>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</si>
  <si>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</si>
  <si>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</si>
  <si>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</si>
  <si>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</si>
  <si>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</si>
  <si>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</si>
  <si>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</si>
  <si>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</si>
  <si>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</si>
  <si>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</si>
  <si>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</si>
  <si>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</si>
  <si>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</si>
  <si>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</si>
  <si>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</si>
  <si>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</si>
  <si>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</si>
  <si>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</si>
  <si>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</si>
  <si>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</si>
  <si>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</si>
  <si>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</si>
  <si>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</si>
  <si>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</si>
  <si>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</si>
  <si>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</si>
  <si>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</si>
  <si>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</si>
  <si>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</si>
  <si>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</si>
  <si>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</si>
  <si>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</si>
  <si>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</si>
  <si>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</si>
  <si>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</si>
  <si>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</si>
  <si>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</si>
  <si>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</si>
  <si>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</si>
  <si>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</si>
  <si>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</si>
  <si>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</si>
  <si>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</si>
  <si>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</si>
  <si>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</si>
  <si>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</si>
  <si>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</si>
  <si>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</si>
  <si>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</si>
  <si>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</si>
  <si>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</si>
  <si>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</si>
  <si>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</si>
  <si>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</si>
  <si>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</si>
  <si>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</si>
  <si>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</si>
  <si>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</si>
  <si>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</si>
  <si>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</si>
  <si>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</si>
  <si>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</si>
  <si>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</si>
  <si>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</si>
  <si>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</si>
  <si>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</si>
  <si>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</si>
  <si>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</si>
  <si>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</si>
  <si>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</si>
  <si>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</si>
  <si>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</si>
  <si>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</si>
  <si>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</si>
  <si>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</si>
  <si>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</si>
  <si>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</si>
  <si>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</si>
  <si>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</si>
  <si>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</si>
  <si>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</si>
  <si>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</si>
  <si>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</si>
  <si>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</si>
  <si>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</si>
  <si>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</si>
  <si>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</si>
  <si>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</si>
  <si>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</si>
  <si>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</si>
  <si>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</si>
  <si>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</si>
  <si>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</si>
  <si>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</si>
  <si>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</si>
  <si>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</si>
  <si>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</si>
  <si>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</si>
  <si>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</si>
  <si>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</si>
  <si>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</si>
  <si>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</si>
  <si>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</si>
  <si>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</si>
  <si>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</si>
  <si>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</si>
  <si>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</si>
  <si>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</si>
  <si>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</si>
  <si>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</si>
  <si>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</si>
  <si>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</si>
  <si>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</si>
  <si>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</si>
  <si>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</si>
  <si>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</si>
  <si>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</si>
  <si>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</si>
  <si>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</si>
  <si>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</si>
  <si>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</si>
  <si>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</si>
  <si>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</si>
  <si>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</si>
  <si>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</si>
  <si>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</si>
  <si>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</si>
  <si>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</si>
  <si>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</si>
  <si>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</si>
  <si>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</si>
  <si>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</si>
  <si>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</si>
  <si>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</si>
  <si>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</si>
  <si>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</si>
  <si>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</si>
  <si>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</si>
  <si>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</si>
  <si>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</si>
  <si>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</si>
  <si>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</si>
  <si>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</si>
  <si>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</si>
  <si>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</si>
  <si>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</si>
  <si>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</si>
  <si>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</si>
  <si>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</si>
  <si>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</si>
  <si>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</si>
  <si>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</si>
  <si>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</si>
  <si>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</si>
  <si>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</si>
  <si>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</si>
  <si>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</si>
  <si>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</si>
  <si>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</si>
  <si>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</si>
  <si>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</si>
  <si>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</si>
  <si>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</si>
  <si>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</si>
  <si>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</si>
  <si>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</si>
  <si>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</si>
  <si>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</si>
  <si>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</si>
  <si>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</si>
  <si>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</si>
  <si>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</si>
  <si>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</si>
  <si>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</si>
  <si>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</si>
  <si>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</si>
  <si>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</si>
  <si>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</si>
  <si>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</si>
  <si>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</si>
  <si>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</si>
  <si>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</si>
  <si>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</si>
  <si>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</si>
  <si>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</si>
  <si>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</si>
  <si>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</si>
  <si>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</si>
  <si>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</si>
  <si>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</si>
  <si>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</si>
  <si>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</si>
  <si>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</si>
  <si>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</si>
  <si>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</si>
  <si>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</si>
  <si>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</si>
  <si>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</si>
  <si>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</si>
  <si>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</si>
  <si>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</si>
  <si>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</si>
  <si>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</si>
  <si>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</si>
  <si>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</si>
  <si>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</si>
  <si>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</si>
  <si>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</si>
  <si>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</si>
  <si>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</si>
  <si>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</si>
  <si>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</si>
  <si>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</si>
  <si>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</si>
  <si>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</si>
  <si>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</si>
  <si>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</si>
  <si>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</si>
  <si>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</si>
  <si>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</si>
  <si>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</si>
  <si>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</si>
  <si>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</si>
  <si>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</si>
  <si>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</si>
  <si>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</si>
  <si>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</si>
  <si>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</si>
  <si>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</si>
  <si>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</si>
  <si>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</si>
  <si>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</si>
  <si>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</si>
  <si>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</si>
  <si>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</si>
  <si>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</si>
  <si>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</si>
  <si>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</si>
  <si>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</si>
  <si>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</si>
  <si>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</si>
  <si>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</si>
  <si>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</si>
  <si>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</si>
  <si>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</si>
  <si>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</si>
  <si>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</si>
  <si>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</si>
  <si>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</si>
  <si>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</si>
  <si>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</si>
  <si>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</si>
  <si>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</si>
  <si>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</si>
  <si>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</si>
  <si>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</si>
  <si>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</si>
  <si>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</si>
  <si>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</si>
  <si>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</si>
  <si>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</si>
  <si>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</si>
  <si>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</si>
  <si>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</si>
  <si>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</si>
  <si>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</si>
  <si>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</si>
  <si>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</si>
  <si>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</si>
  <si>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</si>
  <si>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</si>
  <si>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</si>
  <si>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</si>
  <si>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</si>
  <si>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</si>
  <si>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</si>
  <si>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</si>
  <si>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</si>
  <si>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</si>
  <si>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</si>
  <si>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</si>
  <si>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</si>
  <si>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</si>
  <si>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</si>
  <si>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</si>
  <si>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</si>
  <si>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</si>
  <si>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</si>
  <si>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</si>
  <si>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</si>
  <si>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</si>
  <si>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</si>
  <si>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</si>
  <si>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</si>
  <si>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</si>
  <si>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</si>
  <si>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</si>
  <si>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</si>
  <si>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</si>
  <si>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</si>
  <si>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</si>
  <si>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</si>
  <si>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</si>
  <si>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</si>
  <si>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</si>
  <si>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</si>
  <si>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</si>
  <si>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</si>
  <si>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</si>
  <si>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</si>
  <si>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</si>
  <si>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</si>
  <si>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</si>
  <si>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</si>
  <si>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</si>
  <si>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</si>
  <si>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</si>
  <si>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</si>
  <si>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</si>
  <si>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</si>
  <si>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</si>
  <si>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</si>
  <si>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</si>
  <si>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</si>
  <si>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</si>
  <si>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</si>
  <si>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</si>
  <si>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</si>
  <si>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</si>
  <si>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</si>
  <si>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</si>
  <si>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</si>
  <si>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</si>
  <si>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</si>
  <si>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</si>
  <si>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</si>
  <si>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</si>
  <si>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</si>
  <si>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</si>
  <si>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</si>
  <si>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</si>
  <si>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</si>
  <si>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</si>
  <si>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</si>
  <si>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</si>
  <si>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</si>
  <si>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</si>
  <si>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</si>
  <si>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</si>
  <si>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</si>
  <si>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</si>
  <si>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</si>
  <si>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</si>
  <si>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</si>
  <si>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</si>
  <si>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</si>
  <si>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</si>
  <si>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</si>
  <si>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</si>
  <si>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</si>
  <si>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</si>
  <si>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</si>
  <si>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</si>
  <si>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</si>
  <si>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</si>
  <si>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</si>
  <si>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</si>
  <si>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</si>
  <si>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</si>
  <si>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</si>
  <si>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</si>
  <si>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</si>
  <si>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</si>
  <si>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</si>
  <si>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</si>
  <si>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</si>
  <si>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</si>
  <si>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</si>
  <si>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</si>
  <si>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</si>
  <si>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</si>
  <si>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</si>
  <si>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</si>
  <si>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</si>
  <si>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</si>
  <si>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</si>
  <si>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</si>
  <si>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</si>
  <si>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</si>
  <si>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</si>
  <si>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</si>
  <si>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</si>
  <si>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</si>
  <si>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</si>
  <si>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</si>
  <si>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</si>
  <si>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</si>
  <si>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</si>
  <si>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</si>
  <si>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</si>
  <si>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</si>
  <si>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</si>
  <si>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</si>
  <si>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</si>
  <si>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</si>
  <si>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</si>
  <si>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</si>
  <si>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</si>
  <si>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</si>
  <si>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</si>
  <si>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</si>
  <si>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</si>
  <si>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</si>
  <si>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</si>
  <si>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</si>
  <si>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</si>
  <si>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</si>
  <si>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</si>
  <si>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</si>
  <si>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</si>
  <si>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</si>
  <si>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</si>
  <si>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</si>
  <si>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</si>
  <si>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</si>
  <si>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</si>
  <si>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</si>
  <si>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</si>
  <si>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</si>
  <si>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</si>
  <si>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</si>
  <si>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</si>
  <si>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</si>
  <si>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</si>
  <si>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</si>
  <si>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</si>
  <si>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</si>
  <si>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</si>
  <si>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</si>
  <si>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</si>
  <si>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</si>
  <si>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</si>
  <si>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</si>
  <si>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</si>
  <si>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</si>
  <si>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</si>
  <si>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</si>
  <si>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</si>
  <si>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</si>
  <si>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</si>
  <si>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</si>
  <si>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</si>
  <si>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</si>
  <si>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</si>
  <si>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</si>
  <si>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</si>
  <si>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</si>
  <si>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</si>
  <si>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</si>
  <si>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</si>
  <si>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</si>
  <si>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</si>
  <si>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</si>
  <si>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</si>
  <si>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</si>
  <si>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</si>
  <si>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</si>
  <si>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</si>
  <si>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</si>
  <si>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</si>
  <si>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</si>
  <si>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</si>
  <si>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</si>
  <si>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</si>
  <si>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</si>
  <si>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</si>
  <si>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</si>
  <si>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</si>
  <si>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</si>
  <si>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</si>
  <si>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</si>
  <si>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</si>
  <si>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</si>
  <si>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</si>
  <si>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</si>
  <si>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</si>
  <si>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</si>
  <si>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</si>
  <si>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</si>
  <si>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</si>
  <si>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</si>
  <si>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</si>
  <si>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</si>
  <si>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</si>
  <si>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</si>
  <si>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</si>
  <si>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</si>
  <si>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</si>
  <si>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</si>
  <si>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</si>
  <si>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</si>
  <si>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</si>
  <si>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</si>
  <si>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</si>
  <si>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</si>
  <si>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</si>
  <si>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</si>
  <si>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</si>
  <si>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</si>
  <si>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</si>
  <si>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</si>
  <si>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</si>
  <si>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</si>
  <si>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</si>
  <si>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</si>
  <si>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</si>
  <si>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</si>
  <si>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</si>
  <si>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</si>
  <si>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</si>
  <si>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</si>
  <si>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</si>
  <si>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</si>
  <si>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</si>
  <si>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</si>
  <si>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</si>
  <si>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</si>
  <si>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</si>
  <si>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</si>
  <si>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</si>
  <si>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</si>
  <si>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</si>
  <si>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</si>
  <si>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</si>
  <si>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</si>
  <si>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</si>
  <si>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</si>
  <si>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</si>
  <si>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</si>
  <si>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</si>
  <si>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</si>
  <si>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</si>
  <si>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</si>
  <si>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</si>
  <si>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</si>
  <si>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</si>
  <si>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</si>
  <si>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</si>
  <si>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</si>
  <si>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</si>
  <si>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</si>
  <si>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</si>
  <si>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</si>
  <si>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</si>
  <si>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</si>
  <si>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</si>
  <si>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</si>
  <si>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</si>
  <si>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</si>
  <si>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</si>
  <si>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</si>
  <si>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</si>
  <si>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</si>
  <si>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</si>
  <si>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</si>
  <si>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</si>
  <si>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</si>
  <si>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</si>
  <si>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</si>
  <si>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</si>
  <si>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</si>
  <si>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</si>
  <si>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</si>
  <si>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</si>
  <si>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</si>
  <si>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</si>
  <si>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</si>
  <si>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</si>
  <si>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</si>
  <si>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</si>
  <si>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</si>
  <si>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</si>
  <si>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</si>
  <si>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</si>
  <si>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</si>
  <si>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</si>
  <si>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</si>
  <si>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</si>
  <si>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</si>
  <si>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</si>
  <si>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</si>
  <si>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</si>
  <si>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</si>
  <si>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</si>
  <si>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</si>
  <si>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</si>
  <si>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</si>
  <si>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</si>
  <si>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</si>
  <si>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</si>
  <si>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</si>
  <si>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</si>
  <si>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</si>
  <si>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</si>
  <si>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Corozal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</si>
  <si>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</si>
  <si>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</si>
  <si>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</si>
  <si>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</si>
  <si>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</si>
  <si>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</si>
  <si>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</si>
  <si>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</si>
  <si>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</si>
  <si>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</si>
  <si>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</si>
  <si>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</si>
  <si>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</si>
  <si>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</si>
  <si>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</si>
  <si>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</si>
  <si>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</si>
  <si>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</si>
  <si>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</si>
  <si>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</si>
  <si>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</si>
  <si>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</si>
  <si>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</si>
  <si>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</si>
  <si>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</si>
  <si>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</si>
  <si>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</si>
  <si>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</si>
  <si>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</si>
  <si>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</si>
  <si>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</si>
  <si>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</si>
  <si>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</si>
  <si>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</si>
  <si>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</si>
  <si>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</si>
  <si>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</si>
  <si>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</si>
  <si>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</si>
  <si>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</si>
  <si>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</si>
  <si>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</si>
  <si>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</si>
  <si>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</si>
  <si>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</si>
  <si>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</si>
  <si>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</si>
  <si>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</si>
  <si>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</si>
  <si>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</si>
  <si>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</si>
  <si>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</si>
  <si>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</si>
  <si>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</si>
  <si>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</si>
  <si>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</si>
  <si>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</si>
  <si>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</si>
  <si>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</si>
  <si>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</si>
  <si>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</si>
  <si>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</si>
  <si>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</si>
  <si>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</si>
  <si>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</si>
  <si>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</si>
  <si>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</si>
  <si>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</si>
  <si>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</si>
  <si>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</si>
  <si>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</si>
  <si>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</si>
  <si>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</si>
  <si>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</si>
  <si>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</si>
  <si>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</si>
  <si>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</si>
  <si>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</si>
  <si>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</si>
  <si>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</si>
  <si>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</si>
  <si>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</si>
  <si>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</si>
  <si>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</si>
  <si>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</si>
  <si>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</si>
  <si>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</si>
  <si>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</si>
  <si>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</si>
  <si>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</si>
  <si>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</si>
  <si>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</si>
  <si>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</si>
  <si>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</si>
  <si>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</si>
  <si>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</si>
  <si>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</si>
  <si>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</si>
  <si>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</si>
  <si>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</si>
  <si>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</si>
  <si>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</si>
  <si>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</si>
  <si>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</si>
  <si>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</si>
  <si>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</si>
  <si>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</si>
  <si>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</si>
  <si>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</si>
  <si>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</si>
  <si>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</si>
  <si>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</si>
  <si>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</si>
  <si>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</si>
  <si>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</si>
  <si>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</si>
  <si>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</si>
  <si>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</si>
  <si>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</si>
  <si>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</si>
  <si>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</si>
  <si>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</si>
  <si>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</si>
  <si>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</si>
  <si>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</si>
  <si>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</si>
  <si>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</si>
  <si>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</si>
  <si>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</si>
  <si>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</si>
  <si>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</si>
  <si>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</si>
  <si>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</si>
  <si>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</si>
  <si>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</si>
  <si>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</si>
  <si>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</si>
  <si>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</si>
  <si>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</si>
  <si>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</si>
  <si>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</si>
  <si>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</si>
  <si>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</si>
  <si>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</si>
  <si>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</si>
  <si>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</si>
  <si>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</si>
  <si>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</si>
  <si>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</si>
  <si>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</si>
  <si>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</si>
  <si>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</si>
  <si>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</si>
  <si>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</si>
  <si>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</si>
  <si>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</si>
  <si>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</si>
  <si>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</si>
  <si>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</si>
  <si>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</si>
  <si>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</si>
  <si>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</si>
  <si>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</si>
  <si>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</si>
  <si>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</si>
  <si>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</si>
  <si>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</si>
  <si>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</si>
  <si>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</si>
  <si>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</si>
  <si>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</si>
  <si>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</si>
  <si>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</si>
  <si>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</si>
  <si>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</si>
  <si>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</si>
  <si>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</si>
  <si>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</si>
  <si>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</si>
  <si>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</si>
  <si>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</si>
  <si>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</si>
  <si>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</si>
  <si>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</si>
  <si>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</si>
  <si>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</si>
  <si>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</si>
  <si>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</si>
  <si>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</si>
  <si>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</si>
  <si>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</si>
  <si>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</si>
  <si>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</si>
  <si>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</si>
  <si>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</si>
  <si>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</si>
  <si>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</si>
  <si>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</si>
  <si>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</si>
  <si>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</si>
  <si>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</si>
  <si>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</si>
  <si>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</si>
  <si>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</si>
  <si>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</si>
  <si>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</si>
  <si>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</si>
  <si>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</si>
  <si>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</si>
  <si>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</si>
  <si>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</si>
  <si>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</si>
  <si>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</si>
  <si>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</si>
  <si>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</si>
  <si>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</si>
  <si>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</si>
  <si>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</si>
  <si>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</si>
  <si>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</si>
  <si>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</si>
  <si>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</si>
  <si>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</si>
  <si>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</si>
  <si>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</si>
  <si>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</si>
  <si>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</si>
  <si>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</si>
  <si>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</si>
  <si>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</si>
  <si>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</si>
  <si>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</si>
  <si>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</si>
  <si>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</si>
  <si>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</si>
  <si>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</si>
  <si>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</si>
  <si>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</si>
  <si>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</si>
  <si>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</si>
  <si>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</si>
  <si>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</si>
  <si>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</si>
  <si>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</si>
  <si>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</si>
  <si>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</si>
  <si>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</si>
  <si>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</si>
  <si>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</si>
  <si>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</si>
  <si>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</si>
  <si>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</si>
  <si>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</si>
  <si>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</si>
  <si>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</si>
  <si>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</si>
  <si>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</si>
  <si>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</si>
  <si>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</si>
  <si>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</si>
  <si>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</si>
  <si>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</si>
  <si>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</si>
  <si>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</si>
  <si>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</si>
  <si>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</si>
  <si>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</si>
  <si>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</si>
  <si>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</si>
  <si>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</si>
  <si>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</si>
  <si>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</si>
  <si>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</si>
  <si>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</si>
  <si>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</si>
  <si>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</si>
  <si>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</si>
  <si>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</si>
  <si>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</si>
  <si>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</si>
  <si>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</si>
  <si>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</si>
  <si>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</si>
  <si>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</si>
  <si>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</si>
  <si>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</si>
  <si>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</si>
  <si>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</si>
  <si>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</si>
  <si>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</si>
  <si>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</si>
  <si>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</si>
  <si>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</si>
  <si>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</si>
  <si>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</si>
  <si>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</si>
  <si>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</si>
  <si>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</si>
  <si>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</si>
  <si>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</si>
  <si>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</si>
  <si>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</si>
  <si>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</si>
  <si>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</si>
  <si>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</si>
  <si>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</si>
  <si>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</si>
  <si>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</si>
  <si>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</si>
  <si>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</si>
  <si>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</si>
  <si>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</si>
  <si>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</si>
  <si>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</si>
  <si>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</si>
  <si>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</si>
  <si>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</si>
  <si>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</si>
  <si>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</si>
  <si>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</si>
  <si>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</si>
  <si>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</si>
  <si>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</si>
  <si>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</si>
  <si>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</si>
  <si>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</si>
  <si>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</si>
  <si>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</si>
  <si>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</si>
  <si>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</si>
  <si>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</si>
  <si>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</si>
  <si>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</si>
  <si>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</si>
  <si>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</si>
  <si>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</si>
  <si>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</si>
  <si>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</si>
  <si>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</si>
  <si>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</si>
  <si>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</si>
  <si>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</si>
  <si>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</si>
  <si>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</si>
  <si>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</si>
  <si>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</si>
  <si>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</si>
  <si>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</si>
  <si>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</si>
  <si>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</si>
  <si>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</si>
  <si>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</si>
  <si>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</si>
  <si>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</si>
  <si>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</si>
  <si>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</si>
  <si>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</si>
  <si>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</si>
  <si>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</si>
  <si>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</si>
  <si>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</si>
  <si>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</si>
  <si>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</si>
  <si>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</si>
  <si>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</si>
  <si>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</si>
  <si>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</si>
  <si>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</si>
  <si>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</si>
  <si>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</si>
  <si>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</si>
  <si>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</si>
  <si>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</si>
  <si>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</si>
  <si>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</si>
  <si>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</si>
  <si>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</si>
  <si>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</si>
  <si>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</si>
  <si>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</si>
  <si>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</si>
  <si>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</si>
  <si>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</si>
  <si>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</si>
  <si>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</si>
  <si>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</si>
  <si>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</si>
  <si>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</si>
  <si>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</si>
  <si>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</si>
  <si>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</si>
  <si>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</si>
  <si>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</si>
  <si>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</si>
  <si>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</si>
  <si>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</si>
  <si>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</si>
  <si>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</si>
  <si>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</si>
  <si>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</si>
  <si>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</si>
  <si>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</si>
  <si>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</si>
  <si>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</si>
  <si>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</si>
  <si>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</si>
  <si>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</si>
  <si>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</si>
  <si>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</si>
  <si>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</si>
  <si>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</si>
  <si>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</si>
  <si>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</si>
  <si>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</si>
  <si>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</si>
  <si>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</si>
  <si>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</si>
  <si>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</si>
  <si>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</si>
  <si>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</si>
  <si>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</si>
  <si>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</si>
  <si>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</si>
  <si>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</si>
  <si>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</si>
  <si>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</si>
  <si>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</si>
  <si>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</si>
  <si>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</si>
  <si>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</si>
  <si>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</si>
  <si>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</si>
  <si>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</si>
  <si>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</si>
  <si>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</si>
  <si>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</si>
  <si>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</si>
  <si>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</si>
  <si>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</si>
  <si>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</si>
  <si>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</si>
  <si>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</si>
  <si>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</si>
  <si>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</si>
  <si>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</si>
  <si>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</si>
  <si>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</si>
  <si>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</si>
  <si>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</si>
  <si>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</si>
  <si>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</si>
  <si>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</si>
  <si>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</si>
  <si>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</si>
  <si>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</si>
  <si>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</si>
  <si>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</si>
  <si>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</si>
  <si>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</si>
  <si>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</si>
  <si>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</si>
  <si>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</si>
  <si>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</si>
  <si>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</si>
  <si>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</si>
  <si>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</si>
  <si>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</si>
  <si>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</si>
  <si>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</si>
  <si>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</si>
  <si>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</si>
  <si>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</si>
  <si>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</si>
  <si>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</si>
  <si>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</si>
  <si>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</si>
  <si>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</si>
  <si>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</si>
  <si>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</si>
  <si>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</si>
  <si>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</si>
  <si>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</si>
  <si>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</si>
  <si>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</si>
  <si>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</si>
  <si>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</si>
  <si>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</si>
  <si>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</si>
  <si>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</si>
  <si>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</si>
  <si>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</si>
  <si>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</si>
  <si>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</si>
  <si>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</si>
  <si>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</si>
  <si>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</si>
  <si>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</si>
  <si>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</si>
  <si>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</si>
  <si>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</si>
  <si>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</si>
  <si>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</si>
  <si>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</si>
  <si>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</si>
  <si>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</si>
  <si>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</si>
  <si>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</si>
  <si>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</si>
  <si>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</si>
  <si>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</si>
  <si>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</si>
  <si>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</si>
  <si>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</si>
  <si>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</si>
  <si>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</si>
  <si>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</si>
  <si>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</si>
  <si>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</si>
  <si>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</si>
  <si>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</si>
  <si>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</si>
  <si>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</si>
  <si>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</si>
  <si>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</si>
  <si>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</si>
  <si>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</si>
  <si>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</si>
  <si>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</si>
  <si>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</si>
  <si>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</si>
  <si>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</si>
  <si>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</si>
  <si>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</si>
  <si>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</si>
  <si>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</si>
  <si>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</si>
  <si>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</si>
  <si>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</si>
  <si>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</si>
  <si>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</si>
  <si>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</si>
  <si>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</si>
  <si>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</si>
  <si>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</si>
  <si>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</si>
  <si>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</si>
  <si>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</si>
  <si>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</si>
  <si>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</si>
  <si>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</si>
  <si>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</si>
  <si>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</si>
  <si>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</si>
  <si>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</si>
  <si>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</si>
  <si>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</si>
  <si>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</si>
  <si>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</si>
  <si>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</si>
  <si>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</si>
  <si>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</si>
  <si>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</si>
  <si>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</si>
  <si>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</si>
  <si>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</si>
  <si>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</si>
  <si>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</si>
  <si>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</si>
  <si>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</si>
  <si>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</si>
  <si>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</si>
  <si>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</si>
  <si>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</si>
  <si>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</si>
  <si>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</si>
  <si>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</si>
  <si>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</si>
  <si>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</si>
  <si>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</si>
  <si>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</si>
  <si>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</si>
  <si>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</si>
  <si>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</si>
  <si>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</si>
  <si>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</si>
  <si>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</si>
  <si>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</si>
  <si>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</si>
  <si>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</si>
  <si>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</si>
  <si>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</si>
  <si>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</si>
  <si>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</si>
  <si>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</si>
  <si>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</si>
  <si>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</si>
  <si>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</si>
  <si>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</si>
  <si>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</si>
  <si>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</si>
  <si>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</si>
  <si>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</si>
  <si>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</si>
  <si>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</si>
  <si>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</si>
  <si>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</si>
  <si>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</si>
  <si>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</si>
  <si>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Aeropuerto Rafael Barvo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</si>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</sst>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0"/>
  <sheetViews>
    <sheetView tabSelected="1" topLeftCell="B1" zoomScale="80" zoomScaleNormal="80" workbookViewId="0">
      <selection activeCell="Y7" sqref="Y7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19.28515625" style="50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00" width="32.42578125" style="50" customWidth="1"/>
    <col min="101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>
        <v>26.5</v>
      </c>
      <c r="O5" s="56">
        <v>28.3</v>
      </c>
      <c r="P5" s="56">
        <v>29.9</v>
      </c>
      <c r="Q5" s="56">
        <v>29.2</v>
      </c>
      <c r="R5" s="56">
        <v>29.4</v>
      </c>
      <c r="S5" s="56">
        <v>29.9</v>
      </c>
      <c r="T5" s="56">
        <v>29.1</v>
      </c>
      <c r="U5" s="56">
        <v>29.8</v>
      </c>
      <c r="V5" s="56">
        <v>28.5</v>
      </c>
      <c r="W5" s="56">
        <v>27.1</v>
      </c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13</v>
      </c>
      <c r="AQ5" s="71" t="str">
        <f t="shared" ref="AQ5:AQ68" si="1">IF(AP5&gt;14,AVERAGE(K5:AO5),"")</f>
        <v/>
      </c>
      <c r="AR5" s="71">
        <f>IFERROR(VLOOKUP(A5,Climatologia_TMED!A:U,9+$E$2,FALSE),"")</f>
        <v>28.15321488897127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>
        <v>27.8</v>
      </c>
      <c r="O6" s="56">
        <v>27.5</v>
      </c>
      <c r="P6" s="56">
        <v>29</v>
      </c>
      <c r="Q6" s="56">
        <v>29</v>
      </c>
      <c r="R6" s="56">
        <v>29</v>
      </c>
      <c r="S6" s="56">
        <v>29.4</v>
      </c>
      <c r="T6" s="56">
        <v>28.7</v>
      </c>
      <c r="U6" s="56">
        <v>29.1</v>
      </c>
      <c r="V6" s="56">
        <v>29.5</v>
      </c>
      <c r="W6" s="56">
        <v>28.6</v>
      </c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13</v>
      </c>
      <c r="AQ6" s="71" t="str">
        <f t="shared" si="1"/>
        <v/>
      </c>
      <c r="AR6" s="71">
        <f>IFERROR(VLOOKUP(A6,Climatologia_TMED!A:U,9+$E$2,FALSE),"")</f>
        <v>28.39523388894882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>
        <v>29.4</v>
      </c>
      <c r="O7" s="56">
        <v>31.5</v>
      </c>
      <c r="P7" s="56">
        <v>31.9</v>
      </c>
      <c r="Q7" s="56">
        <v>34</v>
      </c>
      <c r="R7" s="56">
        <v>34.200000000000003</v>
      </c>
      <c r="S7" s="56">
        <v>30.6</v>
      </c>
      <c r="T7" s="56">
        <v>30.2</v>
      </c>
      <c r="U7" s="56">
        <v>32</v>
      </c>
      <c r="V7" s="56">
        <v>32.5</v>
      </c>
      <c r="W7" s="56">
        <v>31.1</v>
      </c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13</v>
      </c>
      <c r="AQ7" s="71" t="str">
        <f t="shared" si="1"/>
        <v/>
      </c>
      <c r="AR7" s="71">
        <f>IFERROR(VLOOKUP(A7,Climatologia_TMED!A:U,9+$E$2,FALSE),"")</f>
        <v>29.20018049155146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>
        <v>28.6</v>
      </c>
      <c r="O8" s="56">
        <v>29.7</v>
      </c>
      <c r="P8" s="56">
        <v>30.1</v>
      </c>
      <c r="Q8" s="56">
        <v>30.7</v>
      </c>
      <c r="R8" s="56">
        <v>31</v>
      </c>
      <c r="S8" s="56">
        <v>30.3</v>
      </c>
      <c r="T8" s="56">
        <v>30.1</v>
      </c>
      <c r="U8" s="56">
        <v>30.5</v>
      </c>
      <c r="V8" s="56">
        <v>30</v>
      </c>
      <c r="W8" s="56">
        <v>29</v>
      </c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13</v>
      </c>
      <c r="AQ8" s="71" t="str">
        <f t="shared" si="1"/>
        <v/>
      </c>
      <c r="AR8" s="71">
        <f>IFERROR(VLOOKUP(A8,Climatologia_TMED!A:U,9+$E$2,FALSE),"")</f>
        <v>28.578539316171401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>
        <v>28.1</v>
      </c>
      <c r="O9" s="56">
        <v>29.9</v>
      </c>
      <c r="P9" s="56">
        <v>29.4</v>
      </c>
      <c r="Q9" s="56">
        <v>30.5</v>
      </c>
      <c r="R9" s="56">
        <v>30.6</v>
      </c>
      <c r="S9" s="56">
        <v>29.9</v>
      </c>
      <c r="T9" s="56">
        <v>29.1</v>
      </c>
      <c r="U9" s="56">
        <v>29.7</v>
      </c>
      <c r="V9" s="56">
        <v>29.5</v>
      </c>
      <c r="W9" s="56">
        <v>29.1</v>
      </c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13</v>
      </c>
      <c r="AQ9" s="71" t="str">
        <f t="shared" si="1"/>
        <v/>
      </c>
      <c r="AR9" s="71">
        <f>IFERROR(VLOOKUP(A9,Climatologia_TMED!A:U,9+$E$2,FALSE),"")</f>
        <v>29.78746898263023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>
        <v>31</v>
      </c>
      <c r="O10" s="56">
        <v>32.1</v>
      </c>
      <c r="P10" s="56">
        <v>31.6</v>
      </c>
      <c r="Q10" s="56">
        <v>33.1</v>
      </c>
      <c r="R10" s="56">
        <v>33.200000000000003</v>
      </c>
      <c r="S10" s="56">
        <v>32.1</v>
      </c>
      <c r="T10" s="56">
        <v>31.1</v>
      </c>
      <c r="U10" s="56">
        <v>30.7</v>
      </c>
      <c r="V10" s="56">
        <v>32.5</v>
      </c>
      <c r="W10" s="56">
        <v>31.1</v>
      </c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13</v>
      </c>
      <c r="AQ10" s="71" t="str">
        <f t="shared" si="1"/>
        <v/>
      </c>
      <c r="AR10" s="71">
        <f>IFERROR(VLOOKUP(A10,Climatologia_TMED!A:U,9+$E$2,FALSE),"")</f>
        <v>30.079422034405059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>
        <v>31.3</v>
      </c>
      <c r="O11" s="56">
        <v>33.5</v>
      </c>
      <c r="P11" s="56">
        <v>33.1</v>
      </c>
      <c r="Q11" s="56">
        <v>34.6</v>
      </c>
      <c r="R11" s="56">
        <v>33.9</v>
      </c>
      <c r="S11" s="56">
        <v>32.9</v>
      </c>
      <c r="T11" s="56">
        <v>33.1</v>
      </c>
      <c r="U11" s="56">
        <v>33.5</v>
      </c>
      <c r="V11" s="56">
        <v>31.2</v>
      </c>
      <c r="W11" s="56">
        <v>32.200000000000003</v>
      </c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13</v>
      </c>
      <c r="AQ11" s="71" t="str">
        <f t="shared" si="1"/>
        <v/>
      </c>
      <c r="AR11" s="71">
        <f>IFERROR(VLOOKUP(A11,Climatologia_TMED!A:U,9+$E$2,FALSE),"")</f>
        <v>30.003914077227851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>
        <v>28.3</v>
      </c>
      <c r="O12" s="56">
        <v>31.3</v>
      </c>
      <c r="P12" s="56">
        <v>31</v>
      </c>
      <c r="Q12" s="56">
        <v>31.5</v>
      </c>
      <c r="R12" s="56">
        <v>31.7</v>
      </c>
      <c r="S12" s="56">
        <v>27.2</v>
      </c>
      <c r="T12" s="56">
        <v>30.9</v>
      </c>
      <c r="U12" s="56">
        <v>30.7</v>
      </c>
      <c r="V12" s="56">
        <v>29.8</v>
      </c>
      <c r="W12" s="56">
        <v>29</v>
      </c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13</v>
      </c>
      <c r="AQ12" s="71" t="str">
        <f t="shared" si="1"/>
        <v/>
      </c>
      <c r="AR12" s="71">
        <f>IFERROR(VLOOKUP(A12,Climatologia_TMED!A:U,9+$E$2,FALSE),"")</f>
        <v>28.26566638931558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>
        <v>27.6</v>
      </c>
      <c r="O13" s="56">
        <v>30.8</v>
      </c>
      <c r="P13" s="56">
        <v>31.4</v>
      </c>
      <c r="Q13" s="56">
        <v>32.4</v>
      </c>
      <c r="R13" s="56">
        <v>32.4</v>
      </c>
      <c r="S13" s="56">
        <v>26.4</v>
      </c>
      <c r="T13" s="56">
        <v>29.7</v>
      </c>
      <c r="U13" s="56">
        <v>30.3</v>
      </c>
      <c r="V13" s="56">
        <v>27.9</v>
      </c>
      <c r="W13" s="56">
        <v>29.8</v>
      </c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13</v>
      </c>
      <c r="AQ13" s="71" t="str">
        <f t="shared" si="1"/>
        <v/>
      </c>
      <c r="AR13" s="71">
        <f>IFERROR(VLOOKUP(A13,Climatologia_TMED!A:U,9+$E$2,FALSE),"")</f>
        <v>28.329394697812361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>
        <v>22.6</v>
      </c>
      <c r="O14" s="56">
        <v>24.2</v>
      </c>
      <c r="P14" s="56">
        <v>24.6</v>
      </c>
      <c r="Q14" s="56">
        <v>25.9</v>
      </c>
      <c r="R14" s="56">
        <v>25.2</v>
      </c>
      <c r="S14" s="56">
        <v>21.4</v>
      </c>
      <c r="T14" s="56">
        <v>23.2</v>
      </c>
      <c r="U14" s="56">
        <v>23.7</v>
      </c>
      <c r="V14" s="56">
        <v>22.5</v>
      </c>
      <c r="W14" s="56">
        <v>23.6</v>
      </c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13</v>
      </c>
      <c r="AQ14" s="71" t="str">
        <f t="shared" si="1"/>
        <v/>
      </c>
      <c r="AR14" s="71">
        <f>IFERROR(VLOOKUP(A14,Climatologia_TMED!A:U,9+$E$2,FALSE),"")</f>
        <v>21.72154002389485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>
        <v>28.5</v>
      </c>
      <c r="O15" s="56">
        <v>30.7</v>
      </c>
      <c r="P15" s="56">
        <v>31</v>
      </c>
      <c r="Q15" s="56">
        <v>30.2</v>
      </c>
      <c r="R15" s="56">
        <v>32.4</v>
      </c>
      <c r="S15" s="56">
        <v>27.3</v>
      </c>
      <c r="T15" s="56">
        <v>30.5</v>
      </c>
      <c r="U15" s="56">
        <v>29</v>
      </c>
      <c r="V15" s="56">
        <v>27.8</v>
      </c>
      <c r="W15" s="56">
        <v>29.7</v>
      </c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13</v>
      </c>
      <c r="AQ15" s="71" t="str">
        <f t="shared" si="1"/>
        <v/>
      </c>
      <c r="AR15" s="71">
        <f>IFERROR(VLOOKUP(A15,Climatologia_TMED!A:U,9+$E$2,FALSE),"")</f>
        <v>28.235505376344079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>
        <v>27.2</v>
      </c>
      <c r="O16" s="56">
        <v>29.7</v>
      </c>
      <c r="P16" s="56">
        <v>27.5</v>
      </c>
      <c r="Q16" s="56">
        <v>30.1</v>
      </c>
      <c r="R16" s="56">
        <v>30.1</v>
      </c>
      <c r="S16" s="56">
        <v>25.3</v>
      </c>
      <c r="T16" s="56">
        <v>28.9</v>
      </c>
      <c r="U16" s="56">
        <v>27.5</v>
      </c>
      <c r="V16" s="56">
        <v>27</v>
      </c>
      <c r="W16" s="56">
        <v>28.7</v>
      </c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13</v>
      </c>
      <c r="AQ16" s="71" t="str">
        <f t="shared" si="1"/>
        <v/>
      </c>
      <c r="AR16" s="71">
        <f>IFERROR(VLOOKUP(A16,Climatologia_TMED!A:U,9+$E$2,FALSE),"")</f>
        <v>27.637652848402979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>
        <v>23.7</v>
      </c>
      <c r="O17" s="56">
        <v>25</v>
      </c>
      <c r="P17" s="56">
        <v>17.5</v>
      </c>
      <c r="Q17" s="56">
        <v>27.5</v>
      </c>
      <c r="R17" s="56">
        <v>27.4</v>
      </c>
      <c r="S17" s="56">
        <v>23.8</v>
      </c>
      <c r="T17" s="56">
        <v>25.8</v>
      </c>
      <c r="U17" s="56">
        <v>25.4</v>
      </c>
      <c r="V17" s="56">
        <v>22.6</v>
      </c>
      <c r="W17" s="56">
        <v>25.3</v>
      </c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13</v>
      </c>
      <c r="AQ17" s="71" t="str">
        <f t="shared" si="1"/>
        <v/>
      </c>
      <c r="AR17" s="71">
        <f>IFERROR(VLOOKUP(A17,Climatologia_TMED!A:U,9+$E$2,FALSE),"")</f>
        <v>23.983623669156199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>
        <v>18.100000000000001</v>
      </c>
      <c r="O18" s="56">
        <v>19.2</v>
      </c>
      <c r="P18" s="56">
        <v>19.5</v>
      </c>
      <c r="Q18" s="56">
        <v>19.899999999999999</v>
      </c>
      <c r="R18" s="56">
        <v>20.3</v>
      </c>
      <c r="S18" s="56">
        <v>18.600000000000001</v>
      </c>
      <c r="T18" s="56">
        <v>18.5</v>
      </c>
      <c r="U18" s="56">
        <v>18.7</v>
      </c>
      <c r="V18" s="56">
        <v>18.2</v>
      </c>
      <c r="W18" s="56">
        <v>18.3</v>
      </c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13</v>
      </c>
      <c r="AQ18" s="71" t="str">
        <f t="shared" si="1"/>
        <v/>
      </c>
      <c r="AR18" s="71">
        <f>IFERROR(VLOOKUP(A18,Climatologia_TMED!A:U,9+$E$2,FALSE),"")</f>
        <v>17.418351254480282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>
        <v>22.9</v>
      </c>
      <c r="O19" s="56">
        <v>25.3</v>
      </c>
      <c r="P19" s="56">
        <v>25.5</v>
      </c>
      <c r="Q19" s="56">
        <v>25.9</v>
      </c>
      <c r="R19" s="56">
        <v>24.4</v>
      </c>
      <c r="S19" s="56">
        <v>23.9</v>
      </c>
      <c r="T19" s="56">
        <v>25.2</v>
      </c>
      <c r="U19" s="56">
        <v>24.2</v>
      </c>
      <c r="V19" s="56">
        <v>21.8</v>
      </c>
      <c r="W19" s="56">
        <v>24.7</v>
      </c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13</v>
      </c>
      <c r="AQ19" s="71" t="str">
        <f t="shared" si="1"/>
        <v/>
      </c>
      <c r="AR19" s="71">
        <f>IFERROR(VLOOKUP(A19,Climatologia_TMED!A:U,9+$E$2,FALSE),"")</f>
        <v>22.133534946236551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>
        <v>24.2</v>
      </c>
      <c r="O20" s="56">
        <v>25.1</v>
      </c>
      <c r="P20" s="56">
        <v>25.3</v>
      </c>
      <c r="Q20" s="56">
        <v>26.2</v>
      </c>
      <c r="R20" s="56">
        <v>24.7</v>
      </c>
      <c r="S20" s="56">
        <v>24.8</v>
      </c>
      <c r="T20" s="56">
        <v>26.3</v>
      </c>
      <c r="U20" s="56">
        <v>23.6</v>
      </c>
      <c r="V20" s="56">
        <v>23.2</v>
      </c>
      <c r="W20" s="56">
        <v>26.1</v>
      </c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13</v>
      </c>
      <c r="AQ20" s="71" t="str">
        <f t="shared" si="1"/>
        <v/>
      </c>
      <c r="AR20" s="71">
        <f>IFERROR(VLOOKUP(A20,Climatologia_TMED!A:U,9+$E$2,FALSE),"")</f>
        <v>22.60766542597187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>
        <v>25.8</v>
      </c>
      <c r="O21" s="56">
        <v>27.2</v>
      </c>
      <c r="P21" s="56">
        <v>28.6</v>
      </c>
      <c r="Q21" s="56">
        <v>28.2</v>
      </c>
      <c r="R21" s="56">
        <v>28</v>
      </c>
      <c r="S21" s="56">
        <v>26.6</v>
      </c>
      <c r="T21" s="56">
        <v>26</v>
      </c>
      <c r="U21" s="56">
        <v>27.3</v>
      </c>
      <c r="V21" s="56">
        <v>24.5</v>
      </c>
      <c r="W21" s="56">
        <v>27.5</v>
      </c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13</v>
      </c>
      <c r="AQ21" s="71" t="str">
        <f t="shared" si="1"/>
        <v/>
      </c>
      <c r="AR21" s="71">
        <f>IFERROR(VLOOKUP(A21,Climatologia_TMED!A:U,9+$E$2,FALSE),"")</f>
        <v>24.690081891757131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>
        <v>14.6</v>
      </c>
      <c r="O22" s="56">
        <v>15.7</v>
      </c>
      <c r="P22" s="56">
        <v>17.100000000000001</v>
      </c>
      <c r="Q22" s="56">
        <v>16.3</v>
      </c>
      <c r="R22" s="56">
        <v>16.8</v>
      </c>
      <c r="S22" s="56">
        <v>15.7</v>
      </c>
      <c r="T22" s="56">
        <v>15.8</v>
      </c>
      <c r="U22" s="56">
        <v>14.5</v>
      </c>
      <c r="V22" s="56">
        <v>15</v>
      </c>
      <c r="W22" s="56">
        <v>14.9</v>
      </c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13</v>
      </c>
      <c r="AQ22" s="71" t="str">
        <f t="shared" si="1"/>
        <v/>
      </c>
      <c r="AR22" s="71">
        <f>IFERROR(VLOOKUP(A22,Climatologia_TMED!A:U,9+$E$2,FALSE),"")</f>
        <v>13.7803329197684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>
        <v>26.2</v>
      </c>
      <c r="O23" s="56">
        <v>26.3</v>
      </c>
      <c r="P23" s="56">
        <v>26.7</v>
      </c>
      <c r="Q23" s="56">
        <v>27.5</v>
      </c>
      <c r="R23" s="56">
        <v>26.4</v>
      </c>
      <c r="S23" s="56">
        <v>25.7</v>
      </c>
      <c r="T23" s="56">
        <v>26.5</v>
      </c>
      <c r="U23" s="56">
        <v>25.9</v>
      </c>
      <c r="V23" s="56">
        <v>25</v>
      </c>
      <c r="W23" s="56">
        <v>27.1</v>
      </c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13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>
        <v>28.1</v>
      </c>
      <c r="O24" s="56">
        <v>28.9</v>
      </c>
      <c r="P24" s="56">
        <v>31.4</v>
      </c>
      <c r="Q24" s="56">
        <v>30.9</v>
      </c>
      <c r="R24" s="56">
        <v>30.1</v>
      </c>
      <c r="S24" s="56">
        <v>28.9</v>
      </c>
      <c r="T24" s="56">
        <v>29.1</v>
      </c>
      <c r="U24" s="56">
        <v>30.1</v>
      </c>
      <c r="V24" s="56">
        <v>26.9</v>
      </c>
      <c r="W24" s="56">
        <v>30.1</v>
      </c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13</v>
      </c>
      <c r="AQ24" s="71" t="str">
        <f t="shared" si="1"/>
        <v/>
      </c>
      <c r="AR24" s="71">
        <f>IFERROR(VLOOKUP(A24,Climatologia_TMED!A:U,9+$E$2,FALSE),"")</f>
        <v>28.36235848473612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>
        <v>21.3</v>
      </c>
      <c r="O25" s="56">
        <v>22.4</v>
      </c>
      <c r="P25" s="56">
        <v>22.9</v>
      </c>
      <c r="Q25" s="56">
        <v>23.7</v>
      </c>
      <c r="R25" s="56">
        <v>23.3</v>
      </c>
      <c r="S25" s="56">
        <v>22.2</v>
      </c>
      <c r="T25" s="56">
        <v>23.1</v>
      </c>
      <c r="U25" s="56">
        <v>21</v>
      </c>
      <c r="V25" s="56">
        <v>20.8</v>
      </c>
      <c r="W25" s="56">
        <v>21.7</v>
      </c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13</v>
      </c>
      <c r="AQ25" s="71" t="str">
        <f t="shared" si="1"/>
        <v/>
      </c>
      <c r="AR25" s="71">
        <f>IFERROR(VLOOKUP(A25,Climatologia_TMED!A:U,9+$E$2,FALSE),"")</f>
        <v>19.9334244562022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>
        <v>11.9</v>
      </c>
      <c r="O26" s="56">
        <v>13.1</v>
      </c>
      <c r="P26" s="56">
        <v>11.7</v>
      </c>
      <c r="Q26" s="56">
        <v>11.7</v>
      </c>
      <c r="R26" s="56">
        <v>11.7</v>
      </c>
      <c r="S26" s="56">
        <v>12.5</v>
      </c>
      <c r="T26" s="56">
        <v>11.6</v>
      </c>
      <c r="U26" s="56">
        <v>11.7</v>
      </c>
      <c r="V26" s="56">
        <v>11.2</v>
      </c>
      <c r="W26" s="56">
        <v>10.7</v>
      </c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13</v>
      </c>
      <c r="AQ26" s="71" t="str">
        <f t="shared" si="1"/>
        <v/>
      </c>
      <c r="AR26" s="71">
        <f>IFERROR(VLOOKUP(A26,Climatologia_TMED!A:U,9+$E$2,FALSE),"")</f>
        <v>10.370314900153589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>
        <v>27.6</v>
      </c>
      <c r="O27" s="56">
        <v>28.4</v>
      </c>
      <c r="P27" s="56">
        <v>28.5</v>
      </c>
      <c r="Q27" s="56">
        <v>29.3</v>
      </c>
      <c r="R27" s="56">
        <v>28.3</v>
      </c>
      <c r="S27" s="56">
        <v>28.9</v>
      </c>
      <c r="T27" s="56">
        <v>27.5</v>
      </c>
      <c r="U27" s="56">
        <v>27.9</v>
      </c>
      <c r="V27" s="56">
        <v>25</v>
      </c>
      <c r="W27" s="56">
        <v>28.9</v>
      </c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13</v>
      </c>
      <c r="AQ27" s="71" t="str">
        <f t="shared" si="1"/>
        <v/>
      </c>
      <c r="AR27" s="71">
        <f>IFERROR(VLOOKUP(A27,Climatologia_TMED!A:U,9+$E$2,FALSE),"")</f>
        <v>26.988705969595848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>
        <v>26.6</v>
      </c>
      <c r="O28" s="56">
        <v>26</v>
      </c>
      <c r="P28" s="56">
        <v>27.3</v>
      </c>
      <c r="Q28" s="56">
        <v>27.5</v>
      </c>
      <c r="R28" s="56">
        <v>27.3</v>
      </c>
      <c r="S28" s="56">
        <v>24.3</v>
      </c>
      <c r="T28" s="56">
        <v>25.1</v>
      </c>
      <c r="U28" s="56">
        <v>26.3</v>
      </c>
      <c r="V28" s="56">
        <v>24.1</v>
      </c>
      <c r="W28" s="56">
        <v>27.5</v>
      </c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13</v>
      </c>
      <c r="AQ28" s="71" t="str">
        <f t="shared" si="1"/>
        <v/>
      </c>
      <c r="AR28" s="71">
        <f>IFERROR(VLOOKUP(A28,Climatologia_TMED!A:U,9+$E$2,FALSE),"")</f>
        <v>25.751418551476942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>
        <v>25.8</v>
      </c>
      <c r="O29" s="56">
        <v>24.1</v>
      </c>
      <c r="P29" s="56">
        <v>28.4</v>
      </c>
      <c r="Q29" s="56">
        <v>27.5</v>
      </c>
      <c r="R29" s="56">
        <v>28.3</v>
      </c>
      <c r="S29" s="56">
        <v>27.9</v>
      </c>
      <c r="T29" s="56">
        <v>25.6</v>
      </c>
      <c r="U29" s="56">
        <v>28.9</v>
      </c>
      <c r="V29" s="56">
        <v>27.1</v>
      </c>
      <c r="W29" s="56">
        <v>27.5</v>
      </c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13</v>
      </c>
      <c r="AQ29" s="71" t="str">
        <f t="shared" si="1"/>
        <v/>
      </c>
      <c r="AR29" s="71">
        <f>IFERROR(VLOOKUP(A29,Climatologia_TMED!A:U,9+$E$2,FALSE),"")</f>
        <v>26.954042214257239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>
        <v>24.3</v>
      </c>
      <c r="O30" s="56">
        <v>24.3</v>
      </c>
      <c r="P30" s="56">
        <v>26.1</v>
      </c>
      <c r="Q30" s="56">
        <v>23.5</v>
      </c>
      <c r="R30" s="56">
        <v>26.3</v>
      </c>
      <c r="S30" s="56">
        <v>22.9</v>
      </c>
      <c r="T30" s="56">
        <v>25.6</v>
      </c>
      <c r="U30" s="56">
        <v>25.9</v>
      </c>
      <c r="V30" s="56">
        <v>25.4</v>
      </c>
      <c r="W30" s="56">
        <v>26.3</v>
      </c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13</v>
      </c>
      <c r="AQ30" s="71" t="str">
        <f t="shared" si="1"/>
        <v/>
      </c>
      <c r="AR30" s="71">
        <f>IFERROR(VLOOKUP(A30,Climatologia_TMED!A:U,9+$E$2,FALSE),"")</f>
        <v>24.518001483129371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>
        <v>25.2</v>
      </c>
      <c r="O31" s="98">
        <v>26.4</v>
      </c>
      <c r="P31" s="98">
        <v>26.4</v>
      </c>
      <c r="Q31" s="98">
        <v>27.2</v>
      </c>
      <c r="R31" s="98">
        <v>25.6</v>
      </c>
      <c r="S31" s="98">
        <v>26.6</v>
      </c>
      <c r="T31" s="98">
        <v>27</v>
      </c>
      <c r="U31" s="98">
        <v>24.9</v>
      </c>
      <c r="V31" s="98">
        <v>27.2</v>
      </c>
      <c r="W31" s="98">
        <v>26</v>
      </c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13</v>
      </c>
      <c r="AQ31" s="71" t="str">
        <f t="shared" si="1"/>
        <v/>
      </c>
      <c r="AR31" s="71">
        <f>IFERROR(VLOOKUP(A31,Climatologia_TMED!A:U,9+$E$2,FALSE),"")</f>
        <v>25.368948626045398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>
        <v>21.2</v>
      </c>
      <c r="O32" s="56">
        <v>19.600000000000001</v>
      </c>
      <c r="P32" s="56">
        <v>19.2</v>
      </c>
      <c r="Q32" s="56">
        <v>21.333333333333329</v>
      </c>
      <c r="R32" s="56">
        <v>20.166666666666671</v>
      </c>
      <c r="S32" s="56">
        <v>21.466666666666669</v>
      </c>
      <c r="T32" s="56">
        <v>21.06666666666667</v>
      </c>
      <c r="U32" s="56">
        <v>20.8</v>
      </c>
      <c r="V32" s="56">
        <v>20.666666666666671</v>
      </c>
      <c r="W32" s="56">
        <v>20.666666666666671</v>
      </c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13</v>
      </c>
      <c r="AQ32" s="71" t="str">
        <f t="shared" si="1"/>
        <v/>
      </c>
      <c r="AR32" s="71">
        <f>IFERROR(VLOOKUP(A32,Climatologia_TMED!A:U,9+$E$2,FALSE),"")</f>
        <v>17.656856052108839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>
        <v>26.7</v>
      </c>
      <c r="O33" s="56">
        <v>29.35</v>
      </c>
      <c r="P33" s="56">
        <v>27.2</v>
      </c>
      <c r="Q33" s="56">
        <v>29.5</v>
      </c>
      <c r="R33" s="56">
        <v>29.35</v>
      </c>
      <c r="S33" s="56">
        <v>25.1</v>
      </c>
      <c r="T33" s="56">
        <v>28.7</v>
      </c>
      <c r="U33" s="56">
        <v>26.85</v>
      </c>
      <c r="V33" s="56">
        <v>26.95</v>
      </c>
      <c r="W33" s="56">
        <v>28.4</v>
      </c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13</v>
      </c>
      <c r="AQ33" s="71" t="str">
        <f t="shared" si="1"/>
        <v/>
      </c>
      <c r="AR33" s="71">
        <f>IFERROR(VLOOKUP(A33,Climatologia_TMED!A:U,9+$E$2,FALSE),"")</f>
        <v>26.827472081212552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>
        <v>19.733333333333331</v>
      </c>
      <c r="O34" s="56">
        <v>21</v>
      </c>
      <c r="P34" s="56">
        <v>22.333333333333329</v>
      </c>
      <c r="Q34" s="56">
        <v>23.13333333333334</v>
      </c>
      <c r="R34" s="56">
        <v>22.266666666666669</v>
      </c>
      <c r="S34" s="56">
        <v>20.399999999999999</v>
      </c>
      <c r="T34" s="56">
        <v>21.8</v>
      </c>
      <c r="U34" s="56">
        <v>21.266666666666669</v>
      </c>
      <c r="V34" s="56">
        <v>21.333333333333329</v>
      </c>
      <c r="W34" s="56">
        <v>21.6</v>
      </c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13</v>
      </c>
      <c r="AQ34" s="71" t="str">
        <f t="shared" si="1"/>
        <v/>
      </c>
      <c r="AR34" s="71">
        <f>IFERROR(VLOOKUP(A34,Climatologia_TMED!A:U,9+$E$2,FALSE),"")</f>
        <v>19.787197591680322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>
        <v>23.7</v>
      </c>
      <c r="O35" s="56">
        <v>23.95</v>
      </c>
      <c r="P35" s="56">
        <v>24.05</v>
      </c>
      <c r="Q35" s="56">
        <v>26.2</v>
      </c>
      <c r="R35" s="56">
        <v>26.05</v>
      </c>
      <c r="S35" s="56">
        <v>21.55</v>
      </c>
      <c r="T35" s="56">
        <v>24.15</v>
      </c>
      <c r="U35" s="56">
        <v>23.65</v>
      </c>
      <c r="V35" s="56">
        <v>23.85</v>
      </c>
      <c r="W35" s="56">
        <v>25.85</v>
      </c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13</v>
      </c>
      <c r="AQ35" s="71" t="str">
        <f t="shared" si="1"/>
        <v/>
      </c>
      <c r="AR35" s="71">
        <f>IFERROR(VLOOKUP(A35,Climatologia_TMED!A:U,9+$E$2,FALSE),"")</f>
        <v>24.038247899717401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>
        <v>18.5</v>
      </c>
      <c r="O36" s="56">
        <v>20.45</v>
      </c>
      <c r="P36" s="56">
        <v>21.5</v>
      </c>
      <c r="Q36" s="56">
        <v>21.05</v>
      </c>
      <c r="R36" s="56">
        <v>21.6</v>
      </c>
      <c r="S36" s="56">
        <v>20.3</v>
      </c>
      <c r="T36" s="56">
        <v>20.65</v>
      </c>
      <c r="U36" s="56">
        <v>20.2</v>
      </c>
      <c r="V36" s="56">
        <v>18.899999999999999</v>
      </c>
      <c r="W36" s="56">
        <v>20.100000000000001</v>
      </c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13</v>
      </c>
      <c r="AQ36" s="71" t="str">
        <f t="shared" si="1"/>
        <v/>
      </c>
      <c r="AR36" s="71">
        <f>IFERROR(VLOOKUP(A36,Climatologia_TMED!A:U,9+$E$2,FALSE),"")</f>
        <v>18.99881106321839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>
        <v>25.8</v>
      </c>
      <c r="O37" s="56">
        <v>27.05</v>
      </c>
      <c r="P37" s="56">
        <v>27.85</v>
      </c>
      <c r="Q37" s="56">
        <v>28.45</v>
      </c>
      <c r="R37" s="56">
        <v>27.25</v>
      </c>
      <c r="S37" s="56">
        <v>27.3</v>
      </c>
      <c r="T37" s="56">
        <v>28.9</v>
      </c>
      <c r="U37" s="56">
        <v>26.75</v>
      </c>
      <c r="V37" s="56">
        <v>26.85</v>
      </c>
      <c r="W37" s="56">
        <v>28.7</v>
      </c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13</v>
      </c>
      <c r="AQ37" s="71" t="str">
        <f t="shared" si="1"/>
        <v/>
      </c>
      <c r="AR37" s="71">
        <f>IFERROR(VLOOKUP(A37,Climatologia_TMED!A:U,9+$E$2,FALSE),"")</f>
        <v>25.886229873937381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>
        <v>14.95</v>
      </c>
      <c r="O38" s="56">
        <v>15.95</v>
      </c>
      <c r="P38" s="56">
        <v>15.6</v>
      </c>
      <c r="Q38" s="56">
        <v>17.2</v>
      </c>
      <c r="R38" s="56">
        <v>17.25</v>
      </c>
      <c r="S38" s="56">
        <v>15.6</v>
      </c>
      <c r="T38" s="56">
        <v>16.7</v>
      </c>
      <c r="U38" s="56">
        <v>15.4</v>
      </c>
      <c r="V38" s="56">
        <v>14.75</v>
      </c>
      <c r="W38" s="56">
        <v>16</v>
      </c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13</v>
      </c>
      <c r="AQ38" s="71" t="str">
        <f t="shared" si="1"/>
        <v/>
      </c>
      <c r="AR38" s="71">
        <f>IFERROR(VLOOKUP(A38,Climatologia_TMED!A:U,9+$E$2,FALSE),"")</f>
        <v>15.017929006950681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>
        <v>19.666666666666671</v>
      </c>
      <c r="O39" s="56">
        <v>22.13333333333334</v>
      </c>
      <c r="P39" s="56">
        <v>24.266666666666669</v>
      </c>
      <c r="Q39" s="56">
        <v>24.333333333333329</v>
      </c>
      <c r="R39" s="56">
        <v>24.4</v>
      </c>
      <c r="S39" s="56">
        <v>20.866666666666671</v>
      </c>
      <c r="T39" s="56">
        <v>23.13333333333334</v>
      </c>
      <c r="U39" s="56">
        <v>21.733333333333331</v>
      </c>
      <c r="V39" s="56">
        <v>20.133333333333329</v>
      </c>
      <c r="W39" s="56">
        <v>22.8</v>
      </c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13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>
        <v>23.4</v>
      </c>
      <c r="O40" s="56">
        <v>24.733333333333331</v>
      </c>
      <c r="P40" s="56">
        <v>27.13333333333334</v>
      </c>
      <c r="Q40" s="56">
        <v>27.533333333333331</v>
      </c>
      <c r="R40" s="56">
        <v>27.06666666666667</v>
      </c>
      <c r="S40" s="56">
        <v>24.333333333333329</v>
      </c>
      <c r="T40" s="56">
        <v>25.466666666666669</v>
      </c>
      <c r="U40" s="56">
        <v>25.06666666666667</v>
      </c>
      <c r="V40" s="56">
        <v>22.266666666666669</v>
      </c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11</v>
      </c>
      <c r="AQ40" s="71" t="str">
        <f t="shared" si="1"/>
        <v/>
      </c>
      <c r="AR40" s="71">
        <f>IFERROR(VLOOKUP(A40,Climatologia_TMED!A:U,9+$E$2,FALSE),"")</f>
        <v>22.851790748426971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>
        <v>20.399999999999999</v>
      </c>
      <c r="O41" s="56">
        <v>21</v>
      </c>
      <c r="P41" s="56">
        <v>21.6</v>
      </c>
      <c r="Q41" s="56">
        <v>21.933333333333341</v>
      </c>
      <c r="R41" s="56">
        <v>21.86666666666666</v>
      </c>
      <c r="S41" s="56">
        <v>21.133333333333329</v>
      </c>
      <c r="T41" s="56">
        <v>21.6</v>
      </c>
      <c r="U41" s="56">
        <v>19.600000000000001</v>
      </c>
      <c r="V41" s="56">
        <v>18.399999999999999</v>
      </c>
      <c r="W41" s="56">
        <v>20.133333333333329</v>
      </c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13</v>
      </c>
      <c r="AQ41" s="71" t="str">
        <f t="shared" si="1"/>
        <v/>
      </c>
      <c r="AR41" s="71">
        <f>IFERROR(VLOOKUP(A41,Climatologia_TMED!A:U,9+$E$2,FALSE),"")</f>
        <v>18.492109191327739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>
        <v>26.8</v>
      </c>
      <c r="O42" s="56">
        <v>28.7</v>
      </c>
      <c r="P42" s="56">
        <v>28.45</v>
      </c>
      <c r="Q42" s="56">
        <v>28.65</v>
      </c>
      <c r="R42" s="56">
        <v>28.5</v>
      </c>
      <c r="S42" s="56">
        <v>25.8</v>
      </c>
      <c r="T42" s="56">
        <v>28.15</v>
      </c>
      <c r="U42" s="56">
        <v>28.6</v>
      </c>
      <c r="V42" s="56">
        <v>27.95</v>
      </c>
      <c r="W42" s="56">
        <v>26.9</v>
      </c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13</v>
      </c>
      <c r="AQ42" s="71" t="str">
        <f t="shared" si="1"/>
        <v/>
      </c>
      <c r="AR42" s="71">
        <f>IFERROR(VLOOKUP(A42,Climatologia_TMED!A:U,9+$E$2,FALSE),"")</f>
        <v>27.752685517058271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>
        <v>28.55</v>
      </c>
      <c r="O43" s="56">
        <v>29.85</v>
      </c>
      <c r="P43" s="56">
        <v>29.95</v>
      </c>
      <c r="Q43" s="56">
        <v>30.55</v>
      </c>
      <c r="R43" s="56">
        <v>29.4</v>
      </c>
      <c r="S43" s="56">
        <v>29.15</v>
      </c>
      <c r="T43" s="56">
        <v>28.75</v>
      </c>
      <c r="U43" s="56">
        <v>29.85</v>
      </c>
      <c r="V43" s="56">
        <v>28.9</v>
      </c>
      <c r="W43" s="56">
        <v>27.8</v>
      </c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11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>
        <v>27.274999999999999</v>
      </c>
      <c r="O44" s="56">
        <v>29.5</v>
      </c>
      <c r="P44" s="56">
        <v>28.3</v>
      </c>
      <c r="Q44" s="56">
        <v>29.9</v>
      </c>
      <c r="R44" s="56">
        <v>28.975000000000001</v>
      </c>
      <c r="S44" s="56">
        <v>25.45</v>
      </c>
      <c r="T44" s="56">
        <v>28.8</v>
      </c>
      <c r="U44" s="56">
        <v>29.45</v>
      </c>
      <c r="V44" s="56">
        <v>26.65</v>
      </c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12</v>
      </c>
      <c r="AQ44" s="71" t="str">
        <f t="shared" si="1"/>
        <v/>
      </c>
      <c r="AR44" s="71">
        <f>IFERROR(VLOOKUP(A44,Climatologia_TMED!A:U,9+$E$2,FALSE),"")</f>
        <v>27.342343444282822</v>
      </c>
      <c r="AS44" s="71" t="str">
        <f t="shared" si="2"/>
        <v/>
      </c>
    </row>
    <row r="45" spans="1:45" ht="14.25" customHeight="1" x14ac:dyDescent="0.2">
      <c r="A45" s="58">
        <v>13075010</v>
      </c>
      <c r="B45" s="59" t="s">
        <v>120</v>
      </c>
      <c r="C45" s="59" t="s">
        <v>115</v>
      </c>
      <c r="D45" s="73">
        <v>-75.622083329999995</v>
      </c>
      <c r="E45" s="73">
        <v>9.1507500000000004</v>
      </c>
      <c r="F45" s="58">
        <v>20</v>
      </c>
      <c r="G45" s="58">
        <v>5</v>
      </c>
      <c r="H45" s="58">
        <v>5172</v>
      </c>
      <c r="I45" s="60" t="s">
        <v>52</v>
      </c>
      <c r="J45" s="60" t="s">
        <v>121</v>
      </c>
      <c r="K45" s="56">
        <v>30.375</v>
      </c>
      <c r="L45" s="56">
        <v>29</v>
      </c>
      <c r="M45" s="56">
        <v>28.8</v>
      </c>
      <c r="N45" s="56">
        <v>27.7</v>
      </c>
      <c r="O45" s="56">
        <v>29.25</v>
      </c>
      <c r="P45" s="56">
        <v>29.65</v>
      </c>
      <c r="Q45" s="56">
        <v>29.8</v>
      </c>
      <c r="R45" s="56">
        <v>30.1</v>
      </c>
      <c r="S45" s="56">
        <v>28.2</v>
      </c>
      <c r="T45" s="56">
        <v>28.6</v>
      </c>
      <c r="U45" s="56">
        <v>28.8</v>
      </c>
      <c r="V45" s="56">
        <v>28.55</v>
      </c>
      <c r="W45" s="56">
        <v>28.15</v>
      </c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13</v>
      </c>
      <c r="AQ45" s="71" t="str">
        <f t="shared" si="1"/>
        <v/>
      </c>
      <c r="AR45" s="71">
        <f>IFERROR(VLOOKUP(A45,Climatologia_TMED!A:U,9+$E$2,FALSE),"")</f>
        <v>27.906197631897481</v>
      </c>
      <c r="AS45" s="71" t="str">
        <f t="shared" si="2"/>
        <v/>
      </c>
    </row>
    <row r="46" spans="1:45" ht="14.25" customHeight="1" x14ac:dyDescent="0.2">
      <c r="A46" s="58">
        <v>13075020</v>
      </c>
      <c r="B46" s="59" t="s">
        <v>122</v>
      </c>
      <c r="C46" s="59" t="s">
        <v>115</v>
      </c>
      <c r="D46" s="73">
        <v>-75.582222220000006</v>
      </c>
      <c r="E46" s="73">
        <v>8.9138888890000008</v>
      </c>
      <c r="F46" s="58">
        <v>40</v>
      </c>
      <c r="G46" s="58">
        <v>23</v>
      </c>
      <c r="H46" s="58">
        <v>23189</v>
      </c>
      <c r="I46" s="60" t="s">
        <v>41</v>
      </c>
      <c r="J46" s="60" t="s">
        <v>123</v>
      </c>
      <c r="K46" s="56">
        <v>31.166666666666671</v>
      </c>
      <c r="L46" s="56">
        <v>29.533333333333331</v>
      </c>
      <c r="M46" s="56">
        <v>30.36666666666666</v>
      </c>
      <c r="N46" s="56">
        <v>28.3</v>
      </c>
      <c r="O46" s="56">
        <v>31</v>
      </c>
      <c r="P46" s="56">
        <v>30.86666666666666</v>
      </c>
      <c r="Q46" s="56">
        <v>31.13333333333334</v>
      </c>
      <c r="R46" s="56">
        <v>31.13333333333334</v>
      </c>
      <c r="S46" s="56">
        <v>26.8</v>
      </c>
      <c r="T46" s="56">
        <v>29.86666666666666</v>
      </c>
      <c r="U46" s="56">
        <v>30.333333333333329</v>
      </c>
      <c r="V46" s="56">
        <v>30.06666666666667</v>
      </c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12</v>
      </c>
      <c r="AQ46" s="71" t="str">
        <f t="shared" si="1"/>
        <v/>
      </c>
      <c r="AR46" s="71">
        <f>IFERROR(VLOOKUP(A46,Climatologia_TMED!A:U,9+$E$2,FALSE),"")</f>
        <v>27.968875859317389</v>
      </c>
      <c r="AS46" s="71" t="str">
        <f t="shared" si="2"/>
        <v/>
      </c>
    </row>
    <row r="47" spans="1:45" ht="14.25" customHeight="1" x14ac:dyDescent="0.2">
      <c r="A47" s="58">
        <v>13085010</v>
      </c>
      <c r="B47" s="59" t="s">
        <v>124</v>
      </c>
      <c r="C47" s="59" t="s">
        <v>115</v>
      </c>
      <c r="D47" s="73">
        <v>-75.892777780000003</v>
      </c>
      <c r="E47" s="73">
        <v>9.2972222220000003</v>
      </c>
      <c r="F47" s="58">
        <v>20</v>
      </c>
      <c r="G47" s="58">
        <v>23</v>
      </c>
      <c r="H47" s="58">
        <v>23417</v>
      </c>
      <c r="I47" s="60" t="s">
        <v>41</v>
      </c>
      <c r="J47" s="60" t="s">
        <v>125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0</v>
      </c>
      <c r="AQ47" s="71" t="str">
        <f t="shared" si="1"/>
        <v/>
      </c>
      <c r="AR47" s="71">
        <f>IFERROR(VLOOKUP(A47,Climatologia_TMED!A:U,9+$E$2,FALSE),"")</f>
        <v>28.301925475227641</v>
      </c>
      <c r="AS47" s="71" t="str">
        <f t="shared" si="2"/>
        <v/>
      </c>
    </row>
    <row r="48" spans="1:45" ht="14.25" customHeight="1" x14ac:dyDescent="0.2">
      <c r="A48" s="58">
        <v>13085030</v>
      </c>
      <c r="B48" s="59" t="s">
        <v>126</v>
      </c>
      <c r="C48" s="59" t="s">
        <v>115</v>
      </c>
      <c r="D48" s="73">
        <v>-75.95</v>
      </c>
      <c r="E48" s="73">
        <v>9.3699999999999992</v>
      </c>
      <c r="F48" s="58">
        <v>22</v>
      </c>
      <c r="G48" s="58">
        <v>23</v>
      </c>
      <c r="H48" s="58">
        <v>23675</v>
      </c>
      <c r="I48" s="60" t="s">
        <v>41</v>
      </c>
      <c r="J48" s="60" t="s">
        <v>126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27.33463974658191</v>
      </c>
      <c r="AS48" s="71" t="str">
        <f t="shared" si="2"/>
        <v/>
      </c>
    </row>
    <row r="49" spans="1:45" ht="14.25" customHeight="1" x14ac:dyDescent="0.2">
      <c r="A49" s="58">
        <v>25025160</v>
      </c>
      <c r="B49" s="59" t="s">
        <v>127</v>
      </c>
      <c r="C49" s="59" t="s">
        <v>115</v>
      </c>
      <c r="D49" s="73">
        <v>-75.402777779999994</v>
      </c>
      <c r="E49" s="73">
        <v>8.0038888890000006</v>
      </c>
      <c r="F49" s="58">
        <v>50</v>
      </c>
      <c r="G49" s="58">
        <v>23</v>
      </c>
      <c r="H49" s="58">
        <v>23466</v>
      </c>
      <c r="I49" s="60" t="s">
        <v>41</v>
      </c>
      <c r="J49" s="60" t="s">
        <v>128</v>
      </c>
      <c r="K49" s="56">
        <v>28.95</v>
      </c>
      <c r="L49" s="56">
        <v>28.5</v>
      </c>
      <c r="M49" s="56">
        <v>30.95</v>
      </c>
      <c r="N49" s="56">
        <v>28.9</v>
      </c>
      <c r="O49" s="56">
        <v>31.05</v>
      </c>
      <c r="P49" s="56">
        <v>31.2</v>
      </c>
      <c r="Q49" s="56">
        <v>31.05</v>
      </c>
      <c r="R49" s="56">
        <v>30.55</v>
      </c>
      <c r="S49" s="56">
        <v>26.4</v>
      </c>
      <c r="T49" s="56">
        <v>29.15</v>
      </c>
      <c r="U49" s="56">
        <v>30.9</v>
      </c>
      <c r="V49" s="56">
        <v>28.3</v>
      </c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12</v>
      </c>
      <c r="AQ49" s="71" t="str">
        <f t="shared" si="1"/>
        <v/>
      </c>
      <c r="AR49" s="71">
        <f>IFERROR(VLOOKUP(A49,Climatologia_TMED!A:U,9+$E$2,FALSE),"")</f>
        <v>27.288690346031821</v>
      </c>
      <c r="AS49" s="71" t="str">
        <f t="shared" si="2"/>
        <v/>
      </c>
    </row>
    <row r="50" spans="1:45" ht="14.25" customHeight="1" x14ac:dyDescent="0.2">
      <c r="A50" s="58">
        <v>25025190</v>
      </c>
      <c r="B50" s="59" t="s">
        <v>129</v>
      </c>
      <c r="C50" s="59" t="s">
        <v>115</v>
      </c>
      <c r="D50" s="73">
        <v>-75.583722219999999</v>
      </c>
      <c r="E50" s="73">
        <v>8.3993333329999995</v>
      </c>
      <c r="F50" s="58">
        <v>90</v>
      </c>
      <c r="G50" s="58">
        <v>23</v>
      </c>
      <c r="H50" s="58">
        <v>23555</v>
      </c>
      <c r="I50" s="60" t="s">
        <v>41</v>
      </c>
      <c r="J50" s="60" t="s">
        <v>130</v>
      </c>
      <c r="K50" s="56">
        <v>30</v>
      </c>
      <c r="L50" s="56">
        <v>29.1</v>
      </c>
      <c r="M50" s="56">
        <v>28.95</v>
      </c>
      <c r="N50" s="56">
        <v>28.5</v>
      </c>
      <c r="O50" s="56">
        <v>29.8</v>
      </c>
      <c r="P50" s="56">
        <v>29.024999999999999</v>
      </c>
      <c r="Q50" s="56">
        <v>30.7</v>
      </c>
      <c r="R50" s="56">
        <v>31.55</v>
      </c>
      <c r="S50" s="56">
        <v>26.1</v>
      </c>
      <c r="T50" s="56">
        <v>29.4</v>
      </c>
      <c r="U50" s="56">
        <v>29.9</v>
      </c>
      <c r="V50" s="56">
        <v>28.05</v>
      </c>
      <c r="W50" s="56">
        <v>28.65</v>
      </c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13</v>
      </c>
      <c r="AQ50" s="71" t="str">
        <f t="shared" si="1"/>
        <v/>
      </c>
      <c r="AR50" s="71">
        <f>IFERROR(VLOOKUP(A50,Climatologia_TMED!A:U,9+$E$2,FALSE),"")</f>
        <v>27.938142978424821</v>
      </c>
      <c r="AS50" s="71" t="str">
        <f t="shared" si="2"/>
        <v/>
      </c>
    </row>
    <row r="51" spans="1:45" ht="14.25" customHeight="1" x14ac:dyDescent="0.2">
      <c r="A51" s="58">
        <v>25025210</v>
      </c>
      <c r="B51" s="59" t="s">
        <v>131</v>
      </c>
      <c r="C51" s="59" t="s">
        <v>115</v>
      </c>
      <c r="D51" s="73">
        <v>-74.457777780000001</v>
      </c>
      <c r="E51" s="73">
        <v>8.9113888889999995</v>
      </c>
      <c r="F51" s="58">
        <v>10</v>
      </c>
      <c r="G51" s="58">
        <v>13</v>
      </c>
      <c r="H51" s="58">
        <v>13549</v>
      </c>
      <c r="I51" s="60" t="s">
        <v>29</v>
      </c>
      <c r="J51" s="60" t="s">
        <v>131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 t="str">
        <f>IFERROR(VLOOKUP(A51,Climatologia_TMED!A:U,9+$E$2,FALSE),"")</f>
        <v/>
      </c>
      <c r="AS51" s="71" t="str">
        <f t="shared" si="2"/>
        <v/>
      </c>
    </row>
    <row r="52" spans="1:45" ht="14.25" customHeight="1" x14ac:dyDescent="0.2">
      <c r="A52" s="58">
        <v>25025270</v>
      </c>
      <c r="B52" s="59" t="s">
        <v>132</v>
      </c>
      <c r="C52" s="59" t="s">
        <v>115</v>
      </c>
      <c r="D52" s="73">
        <v>-75.387500000000003</v>
      </c>
      <c r="E52" s="73">
        <v>9.3163888890000006</v>
      </c>
      <c r="F52" s="58">
        <v>160</v>
      </c>
      <c r="G52" s="58">
        <v>70</v>
      </c>
      <c r="H52" s="58">
        <v>70670</v>
      </c>
      <c r="I52" s="60" t="s">
        <v>133</v>
      </c>
      <c r="J52" s="60" t="s">
        <v>134</v>
      </c>
      <c r="K52" s="56">
        <v>30.55</v>
      </c>
      <c r="L52" s="56">
        <v>29.65</v>
      </c>
      <c r="M52" s="56">
        <v>28.05</v>
      </c>
      <c r="N52" s="56">
        <v>26.55</v>
      </c>
      <c r="O52" s="56">
        <v>29.2</v>
      </c>
      <c r="P52" s="56">
        <v>30.1</v>
      </c>
      <c r="Q52" s="56">
        <v>31.15</v>
      </c>
      <c r="R52" s="56">
        <v>31.8</v>
      </c>
      <c r="S52" s="56">
        <v>26.65</v>
      </c>
      <c r="T52" s="56">
        <v>29.35</v>
      </c>
      <c r="U52" s="56">
        <v>29.6</v>
      </c>
      <c r="V52" s="56">
        <v>27.8</v>
      </c>
      <c r="W52" s="56">
        <v>27.8</v>
      </c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13</v>
      </c>
      <c r="AQ52" s="71" t="str">
        <f t="shared" si="1"/>
        <v/>
      </c>
      <c r="AR52" s="71">
        <f>IFERROR(VLOOKUP(A52,Climatologia_TMED!A:U,9+$E$2,FALSE),"")</f>
        <v>27.359246296590548</v>
      </c>
      <c r="AS52" s="71" t="str">
        <f t="shared" si="2"/>
        <v/>
      </c>
    </row>
    <row r="53" spans="1:45" ht="14.25" customHeight="1" x14ac:dyDescent="0.2">
      <c r="A53" s="58">
        <v>25025380</v>
      </c>
      <c r="B53" s="59" t="s">
        <v>135</v>
      </c>
      <c r="C53" s="59" t="s">
        <v>115</v>
      </c>
      <c r="D53" s="73">
        <v>-75.044722219999997</v>
      </c>
      <c r="E53" s="73">
        <v>9.1638888890000008</v>
      </c>
      <c r="F53" s="58">
        <v>20</v>
      </c>
      <c r="G53" s="58">
        <v>70</v>
      </c>
      <c r="H53" s="58">
        <v>70678</v>
      </c>
      <c r="I53" s="60" t="s">
        <v>133</v>
      </c>
      <c r="J53" s="60" t="s">
        <v>136</v>
      </c>
      <c r="K53" s="56">
        <v>30.85</v>
      </c>
      <c r="L53" s="56">
        <v>28.7</v>
      </c>
      <c r="M53" s="56">
        <v>30.85</v>
      </c>
      <c r="N53" s="56">
        <v>28.75</v>
      </c>
      <c r="O53" s="56">
        <v>31.2</v>
      </c>
      <c r="P53" s="56">
        <v>31.65</v>
      </c>
      <c r="Q53" s="56">
        <v>31.7</v>
      </c>
      <c r="R53" s="56">
        <v>32.15</v>
      </c>
      <c r="S53" s="56">
        <v>27.35</v>
      </c>
      <c r="T53" s="56">
        <v>30.1</v>
      </c>
      <c r="U53" s="56">
        <v>30.1</v>
      </c>
      <c r="V53" s="56">
        <v>30.2</v>
      </c>
      <c r="W53" s="56">
        <v>29.15</v>
      </c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13</v>
      </c>
      <c r="AQ53" s="71" t="str">
        <f t="shared" si="1"/>
        <v/>
      </c>
      <c r="AR53" s="71">
        <f>IFERROR(VLOOKUP(A53,Climatologia_TMED!A:U,9+$E$2,FALSE),"")</f>
        <v>28.498226025066419</v>
      </c>
      <c r="AS53" s="71" t="str">
        <f t="shared" si="2"/>
        <v/>
      </c>
    </row>
    <row r="54" spans="1:45" ht="14.25" customHeight="1" x14ac:dyDescent="0.2">
      <c r="A54" s="58">
        <v>29015000</v>
      </c>
      <c r="B54" s="59" t="s">
        <v>137</v>
      </c>
      <c r="C54" s="59" t="s">
        <v>115</v>
      </c>
      <c r="D54" s="73">
        <v>-74.976637999999994</v>
      </c>
      <c r="E54" s="73">
        <v>10.034606999999999</v>
      </c>
      <c r="F54" s="58">
        <v>75</v>
      </c>
      <c r="G54" s="58">
        <v>13</v>
      </c>
      <c r="H54" s="58">
        <v>13248</v>
      </c>
      <c r="I54" s="60" t="s">
        <v>29</v>
      </c>
      <c r="J54" s="60" t="s">
        <v>138</v>
      </c>
      <c r="K54" s="56"/>
      <c r="L54" s="56">
        <v>29.8</v>
      </c>
      <c r="M54" s="56"/>
      <c r="N54" s="56"/>
      <c r="O54" s="56"/>
      <c r="P54" s="56"/>
      <c r="Q54" s="56"/>
      <c r="R54" s="56">
        <v>32.650000000000013</v>
      </c>
      <c r="S54" s="56">
        <v>30.35</v>
      </c>
      <c r="T54" s="56">
        <v>31.8</v>
      </c>
      <c r="U54" s="56">
        <v>30.5</v>
      </c>
      <c r="V54" s="56">
        <v>28.9</v>
      </c>
      <c r="W54" s="56">
        <v>29.55</v>
      </c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7</v>
      </c>
      <c r="AQ54" s="71" t="str">
        <f t="shared" si="1"/>
        <v/>
      </c>
      <c r="AR54" s="71">
        <f>IFERROR(VLOOKUP(A54,Climatologia_TMED!A:U,9+$E$2,FALSE),"")</f>
        <v>28.430959670237041</v>
      </c>
      <c r="AS54" s="71" t="str">
        <f t="shared" si="2"/>
        <v/>
      </c>
    </row>
    <row r="55" spans="1:45" ht="14.25" customHeight="1" x14ac:dyDescent="0.2">
      <c r="A55" s="58">
        <v>29035000</v>
      </c>
      <c r="B55" s="59" t="s">
        <v>139</v>
      </c>
      <c r="C55" s="59" t="s">
        <v>115</v>
      </c>
      <c r="D55" s="73">
        <v>-75.278277779999996</v>
      </c>
      <c r="E55" s="73">
        <v>10.142583330000001</v>
      </c>
      <c r="F55" s="58">
        <v>10</v>
      </c>
      <c r="G55" s="58">
        <v>13</v>
      </c>
      <c r="H55" s="58">
        <v>13052</v>
      </c>
      <c r="I55" s="60" t="s">
        <v>29</v>
      </c>
      <c r="J55" s="60" t="s">
        <v>140</v>
      </c>
      <c r="K55" s="56">
        <v>30.15</v>
      </c>
      <c r="L55" s="56">
        <v>28.85</v>
      </c>
      <c r="M55" s="56">
        <v>29.3</v>
      </c>
      <c r="N55" s="56">
        <v>29.5</v>
      </c>
      <c r="O55" s="56">
        <v>30.25</v>
      </c>
      <c r="P55" s="56">
        <v>30.7</v>
      </c>
      <c r="Q55" s="56">
        <v>30.25</v>
      </c>
      <c r="R55" s="56">
        <v>30.8</v>
      </c>
      <c r="S55" s="56">
        <v>29.8</v>
      </c>
      <c r="T55" s="56">
        <v>30.4</v>
      </c>
      <c r="U55" s="56">
        <v>29.95</v>
      </c>
      <c r="V55" s="56">
        <v>29.25</v>
      </c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12</v>
      </c>
      <c r="AQ55" s="71" t="str">
        <f t="shared" si="1"/>
        <v/>
      </c>
      <c r="AR55" s="71" t="str">
        <f>IFERROR(VLOOKUP(A55,Climatologia_TMED!A:U,9+$E$2,FALSE),"")</f>
        <v/>
      </c>
      <c r="AS55" s="71" t="str">
        <f t="shared" si="2"/>
        <v/>
      </c>
    </row>
    <row r="56" spans="1:45" ht="14.25" customHeight="1" x14ac:dyDescent="0.2">
      <c r="A56" s="58">
        <v>29035030</v>
      </c>
      <c r="B56" s="59" t="s">
        <v>141</v>
      </c>
      <c r="C56" s="59" t="s">
        <v>115</v>
      </c>
      <c r="D56" s="73">
        <v>-75.326301000000001</v>
      </c>
      <c r="E56" s="73">
        <v>9.8796339999999994</v>
      </c>
      <c r="F56" s="58">
        <v>60</v>
      </c>
      <c r="G56" s="58">
        <v>13</v>
      </c>
      <c r="H56" s="58">
        <v>13442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29035080</v>
      </c>
      <c r="B57" s="59" t="s">
        <v>143</v>
      </c>
      <c r="C57" s="59" t="s">
        <v>115</v>
      </c>
      <c r="D57" s="73">
        <v>-74.954725999999994</v>
      </c>
      <c r="E57" s="73">
        <v>10.453965999999999</v>
      </c>
      <c r="F57" s="58">
        <v>10</v>
      </c>
      <c r="G57" s="58">
        <v>8</v>
      </c>
      <c r="H57" s="58">
        <v>8436</v>
      </c>
      <c r="I57" s="60" t="s">
        <v>32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>
        <f>IFERROR(VLOOKUP(A57,Climatologia_TMED!A:U,9+$E$2,FALSE),"")</f>
        <v>27.866212358970269</v>
      </c>
      <c r="AS57" s="71" t="str">
        <f t="shared" si="2"/>
        <v/>
      </c>
    </row>
    <row r="58" spans="1:45" ht="14.25" customHeight="1" x14ac:dyDescent="0.2">
      <c r="A58" s="58">
        <v>29035110</v>
      </c>
      <c r="B58" s="59" t="s">
        <v>145</v>
      </c>
      <c r="C58" s="59" t="s">
        <v>115</v>
      </c>
      <c r="D58" s="73">
        <v>-75.258611110000004</v>
      </c>
      <c r="E58" s="73">
        <v>10.04316667</v>
      </c>
      <c r="F58" s="58">
        <v>20</v>
      </c>
      <c r="G58" s="58">
        <v>13</v>
      </c>
      <c r="H58" s="58">
        <v>13442</v>
      </c>
      <c r="I58" s="60" t="s">
        <v>29</v>
      </c>
      <c r="J58" s="60" t="s">
        <v>142</v>
      </c>
      <c r="K58" s="56">
        <v>29.15</v>
      </c>
      <c r="L58" s="56">
        <v>29</v>
      </c>
      <c r="M58" s="56">
        <v>29.7</v>
      </c>
      <c r="N58" s="56">
        <v>27.95</v>
      </c>
      <c r="O58" s="56">
        <v>28.95</v>
      </c>
      <c r="P58" s="56">
        <v>29.9</v>
      </c>
      <c r="Q58" s="56">
        <v>28.3</v>
      </c>
      <c r="R58" s="56">
        <v>29.95</v>
      </c>
      <c r="S58" s="56">
        <v>29</v>
      </c>
      <c r="T58" s="56">
        <v>30.4</v>
      </c>
      <c r="U58" s="56">
        <v>29.1</v>
      </c>
      <c r="V58" s="56">
        <v>27.65</v>
      </c>
      <c r="W58" s="56">
        <v>27.7</v>
      </c>
      <c r="X58" s="56"/>
      <c r="Y58" s="56"/>
      <c r="Z58" s="56"/>
      <c r="AA58" s="56"/>
      <c r="AB58" s="56"/>
      <c r="AC58" s="99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13</v>
      </c>
      <c r="AQ58" s="71" t="str">
        <f t="shared" si="1"/>
        <v/>
      </c>
      <c r="AR58" s="71">
        <f>IFERROR(VLOOKUP(A58,Climatologia_TMED!A:U,9+$E$2,FALSE),"")</f>
        <v>28.11421982908216</v>
      </c>
      <c r="AS58" s="71" t="str">
        <f t="shared" si="2"/>
        <v/>
      </c>
    </row>
    <row r="59" spans="1:45" ht="14.25" customHeight="1" x14ac:dyDescent="0.2">
      <c r="A59" s="58">
        <v>31015010</v>
      </c>
      <c r="B59" s="59" t="s">
        <v>146</v>
      </c>
      <c r="C59" s="59" t="s">
        <v>147</v>
      </c>
      <c r="D59" s="73">
        <v>-72.639860999999996</v>
      </c>
      <c r="E59" s="73">
        <v>2.372592</v>
      </c>
      <c r="F59" s="58">
        <v>216</v>
      </c>
      <c r="G59" s="58">
        <v>95</v>
      </c>
      <c r="H59" s="58">
        <v>95025</v>
      </c>
      <c r="I59" s="60" t="s">
        <v>148</v>
      </c>
      <c r="J59" s="60" t="s">
        <v>149</v>
      </c>
      <c r="K59" s="56"/>
      <c r="L59" s="56">
        <v>24.55</v>
      </c>
      <c r="M59" s="56">
        <v>25.3</v>
      </c>
      <c r="N59" s="56">
        <v>25</v>
      </c>
      <c r="O59" s="56">
        <v>25.5</v>
      </c>
      <c r="P59" s="56">
        <v>26</v>
      </c>
      <c r="Q59" s="56">
        <v>25</v>
      </c>
      <c r="R59" s="56"/>
      <c r="S59" s="56">
        <v>24.8</v>
      </c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7</v>
      </c>
      <c r="AQ59" s="71" t="str">
        <f t="shared" si="1"/>
        <v/>
      </c>
      <c r="AR59" s="71">
        <f>IFERROR(VLOOKUP(A59,Climatologia_TMED!A:U,9+$E$2,FALSE),"")</f>
        <v>24.144564214948328</v>
      </c>
      <c r="AS59" s="71" t="str">
        <f t="shared" si="2"/>
        <v/>
      </c>
    </row>
    <row r="60" spans="1:45" ht="14.25" customHeight="1" x14ac:dyDescent="0.2">
      <c r="A60" s="58">
        <v>31095030</v>
      </c>
      <c r="B60" s="59" t="s">
        <v>150</v>
      </c>
      <c r="C60" s="59" t="s">
        <v>147</v>
      </c>
      <c r="D60" s="73">
        <v>-67.919111110000003</v>
      </c>
      <c r="E60" s="73">
        <v>3.874444</v>
      </c>
      <c r="F60" s="58">
        <v>98</v>
      </c>
      <c r="G60" s="58">
        <v>94</v>
      </c>
      <c r="H60" s="58">
        <v>94001</v>
      </c>
      <c r="I60" s="60" t="s">
        <v>151</v>
      </c>
      <c r="J60" s="60" t="s">
        <v>152</v>
      </c>
      <c r="K60" s="56">
        <v>26.5</v>
      </c>
      <c r="L60" s="56">
        <v>26.9</v>
      </c>
      <c r="M60" s="56">
        <v>26.5</v>
      </c>
      <c r="N60" s="56">
        <v>25.75</v>
      </c>
      <c r="O60" s="56">
        <v>24.05</v>
      </c>
      <c r="P60" s="56">
        <v>26.45</v>
      </c>
      <c r="Q60" s="56">
        <v>26.75</v>
      </c>
      <c r="R60" s="56">
        <v>25.8</v>
      </c>
      <c r="S60" s="56">
        <v>27.1</v>
      </c>
      <c r="T60" s="56">
        <v>27.05</v>
      </c>
      <c r="U60" s="56"/>
      <c r="V60" s="56"/>
      <c r="W60" s="56">
        <v>26.65</v>
      </c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11</v>
      </c>
      <c r="AQ60" s="71" t="str">
        <f t="shared" si="1"/>
        <v/>
      </c>
      <c r="AR60" s="71">
        <f>IFERROR(VLOOKUP(A60,Climatologia_TMED!A:U,9+$E$2,FALSE),"")</f>
        <v>25.706671681725961</v>
      </c>
      <c r="AS60" s="71" t="str">
        <f t="shared" si="2"/>
        <v/>
      </c>
    </row>
    <row r="61" spans="1:45" ht="14.25" customHeight="1" x14ac:dyDescent="0.2">
      <c r="A61" s="58">
        <v>32035010</v>
      </c>
      <c r="B61" s="59" t="s">
        <v>153</v>
      </c>
      <c r="C61" s="59" t="s">
        <v>147</v>
      </c>
      <c r="D61" s="73">
        <v>-73.793471999999994</v>
      </c>
      <c r="E61" s="73">
        <v>2.176139</v>
      </c>
      <c r="F61" s="58">
        <v>227</v>
      </c>
      <c r="G61" s="58">
        <v>50</v>
      </c>
      <c r="H61" s="58">
        <v>50350</v>
      </c>
      <c r="I61" s="60" t="s">
        <v>90</v>
      </c>
      <c r="J61" s="60" t="s">
        <v>153</v>
      </c>
      <c r="K61" s="56">
        <v>25.06666666666667</v>
      </c>
      <c r="L61" s="56">
        <v>24.333333333333329</v>
      </c>
      <c r="M61" s="56">
        <v>25.666666666666671</v>
      </c>
      <c r="N61" s="56">
        <v>26</v>
      </c>
      <c r="O61" s="56">
        <v>25.733333333333331</v>
      </c>
      <c r="P61" s="56">
        <v>26.733333333333331</v>
      </c>
      <c r="Q61" s="56">
        <v>25.8</v>
      </c>
      <c r="R61" s="56">
        <v>24.8</v>
      </c>
      <c r="S61" s="56">
        <v>24.333333333333329</v>
      </c>
      <c r="T61" s="56">
        <v>26.06666666666667</v>
      </c>
      <c r="U61" s="56">
        <v>25.533333333333331</v>
      </c>
      <c r="V61" s="56">
        <v>25.866666666666671</v>
      </c>
      <c r="W61" s="56">
        <v>26.533333333333331</v>
      </c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13</v>
      </c>
      <c r="AQ61" s="71" t="str">
        <f t="shared" si="1"/>
        <v/>
      </c>
      <c r="AR61" s="71">
        <f>IFERROR(VLOOKUP(A61,Climatologia_TMED!A:U,9+$E$2,FALSE),"")</f>
        <v>24.539003939963891</v>
      </c>
      <c r="AS61" s="71" t="str">
        <f t="shared" si="2"/>
        <v/>
      </c>
    </row>
    <row r="62" spans="1:45" ht="14.25" customHeight="1" x14ac:dyDescent="0.2">
      <c r="A62" s="58">
        <v>32075050</v>
      </c>
      <c r="B62" s="59" t="s">
        <v>154</v>
      </c>
      <c r="C62" s="59" t="s">
        <v>147</v>
      </c>
      <c r="D62" s="73">
        <v>-74.043000000000006</v>
      </c>
      <c r="E62" s="73">
        <v>3.38008</v>
      </c>
      <c r="F62" s="58">
        <v>556</v>
      </c>
      <c r="G62" s="58">
        <v>50</v>
      </c>
      <c r="H62" s="58">
        <v>50330</v>
      </c>
      <c r="I62" s="60" t="s">
        <v>90</v>
      </c>
      <c r="J62" s="60" t="s">
        <v>154</v>
      </c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0</v>
      </c>
      <c r="AQ62" s="71" t="str">
        <f t="shared" si="1"/>
        <v/>
      </c>
      <c r="AR62" s="71">
        <f>IFERROR(VLOOKUP(A62,Climatologia_TMED!A:U,9+$E$2,FALSE),"")</f>
        <v>23.477686129259752</v>
      </c>
      <c r="AS62" s="71" t="str">
        <f t="shared" si="2"/>
        <v/>
      </c>
    </row>
    <row r="63" spans="1:45" ht="14.25" customHeight="1" x14ac:dyDescent="0.2">
      <c r="A63" s="58">
        <v>32155010</v>
      </c>
      <c r="B63" s="59" t="s">
        <v>155</v>
      </c>
      <c r="C63" s="59" t="s">
        <v>147</v>
      </c>
      <c r="D63" s="73">
        <v>-70.475138999999999</v>
      </c>
      <c r="E63" s="73">
        <v>2.8117779999999999</v>
      </c>
      <c r="F63" s="58">
        <v>154</v>
      </c>
      <c r="G63" s="58">
        <v>94</v>
      </c>
      <c r="H63" s="58">
        <v>94343</v>
      </c>
      <c r="I63" s="60" t="s">
        <v>151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25.279519115890071</v>
      </c>
      <c r="AS63" s="71" t="str">
        <f t="shared" si="2"/>
        <v/>
      </c>
    </row>
    <row r="64" spans="1:45" ht="14.25" customHeight="1" x14ac:dyDescent="0.2">
      <c r="A64" s="58">
        <v>33055010</v>
      </c>
      <c r="B64" s="59" t="s">
        <v>157</v>
      </c>
      <c r="C64" s="59" t="s">
        <v>147</v>
      </c>
      <c r="D64" s="73">
        <v>-69.812306000000007</v>
      </c>
      <c r="E64" s="73">
        <v>4.4948059999999996</v>
      </c>
      <c r="F64" s="58">
        <v>158</v>
      </c>
      <c r="G64" s="58">
        <v>99</v>
      </c>
      <c r="H64" s="58">
        <v>99773</v>
      </c>
      <c r="I64" s="60" t="s">
        <v>87</v>
      </c>
      <c r="J64" s="60" t="s">
        <v>157</v>
      </c>
      <c r="K64" s="56"/>
      <c r="L64" s="56"/>
      <c r="M64" s="56"/>
      <c r="N64" s="56"/>
      <c r="O64" s="56"/>
      <c r="P64" s="56"/>
      <c r="Q64" s="56"/>
      <c r="R64" s="56">
        <v>25.1</v>
      </c>
      <c r="S64" s="56">
        <v>25</v>
      </c>
      <c r="T64" s="56"/>
      <c r="U64" s="56"/>
      <c r="V64" s="56">
        <v>26.4</v>
      </c>
      <c r="W64" s="56">
        <v>26.1</v>
      </c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4</v>
      </c>
      <c r="AQ64" s="71" t="str">
        <f t="shared" si="1"/>
        <v/>
      </c>
      <c r="AR64" s="71">
        <f>IFERROR(VLOOKUP(A64,Climatologia_TMED!A:U,9+$E$2,FALSE),"")</f>
        <v>25.005205958311159</v>
      </c>
      <c r="AS64" s="71" t="str">
        <f t="shared" si="2"/>
        <v/>
      </c>
    </row>
    <row r="65" spans="1:45" ht="14.25" customHeight="1" x14ac:dyDescent="0.2">
      <c r="A65" s="58">
        <v>34015010</v>
      </c>
      <c r="B65" s="59" t="s">
        <v>158</v>
      </c>
      <c r="C65" s="59" t="s">
        <v>147</v>
      </c>
      <c r="D65" s="73">
        <v>-70.930224999999993</v>
      </c>
      <c r="E65" s="73">
        <v>4.5538910000000001</v>
      </c>
      <c r="F65" s="58">
        <v>173</v>
      </c>
      <c r="G65" s="58">
        <v>99</v>
      </c>
      <c r="H65" s="58">
        <v>99773</v>
      </c>
      <c r="I65" s="60" t="s">
        <v>87</v>
      </c>
      <c r="J65" s="60" t="s">
        <v>157</v>
      </c>
      <c r="K65" s="56">
        <v>27</v>
      </c>
      <c r="L65" s="56">
        <v>23.5</v>
      </c>
      <c r="M65" s="56">
        <v>24.9</v>
      </c>
      <c r="N65" s="56">
        <v>23.45</v>
      </c>
      <c r="O65" s="56">
        <v>23.95</v>
      </c>
      <c r="P65" s="56">
        <v>26.1</v>
      </c>
      <c r="Q65" s="56">
        <v>25.15</v>
      </c>
      <c r="R65" s="56">
        <v>26.45</v>
      </c>
      <c r="S65" s="56">
        <v>25.05</v>
      </c>
      <c r="T65" s="56">
        <v>25.15</v>
      </c>
      <c r="U65" s="56">
        <v>26.4</v>
      </c>
      <c r="V65" s="56">
        <v>26.5</v>
      </c>
      <c r="W65" s="56">
        <v>26.75</v>
      </c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13</v>
      </c>
      <c r="AQ65" s="71" t="str">
        <f t="shared" si="1"/>
        <v/>
      </c>
      <c r="AR65" s="71">
        <f>IFERROR(VLOOKUP(A65,Climatologia_TMED!A:U,9+$E$2,FALSE),"")</f>
        <v>24.909114830278991</v>
      </c>
      <c r="AS65" s="71" t="str">
        <f t="shared" si="2"/>
        <v/>
      </c>
    </row>
    <row r="66" spans="1:45" ht="14.25" customHeight="1" x14ac:dyDescent="0.2">
      <c r="A66" s="58">
        <v>35025110</v>
      </c>
      <c r="B66" s="59" t="s">
        <v>159</v>
      </c>
      <c r="C66" s="59" t="s">
        <v>147</v>
      </c>
      <c r="D66" s="73">
        <v>-73.467865000000003</v>
      </c>
      <c r="E66" s="73">
        <v>4.0574149999999998</v>
      </c>
      <c r="F66" s="58">
        <v>340</v>
      </c>
      <c r="G66" s="58">
        <v>50</v>
      </c>
      <c r="H66" s="58">
        <v>50001</v>
      </c>
      <c r="I66" s="60" t="s">
        <v>90</v>
      </c>
      <c r="J66" s="60" t="s">
        <v>91</v>
      </c>
      <c r="K66" s="56">
        <v>26.95</v>
      </c>
      <c r="L66" s="56">
        <v>22.65</v>
      </c>
      <c r="M66" s="56">
        <v>24.5</v>
      </c>
      <c r="N66" s="56">
        <v>24.4</v>
      </c>
      <c r="O66" s="56">
        <v>24.2</v>
      </c>
      <c r="P66" s="56">
        <v>27.45</v>
      </c>
      <c r="Q66" s="56"/>
      <c r="R66" s="56"/>
      <c r="S66" s="56">
        <v>24.15</v>
      </c>
      <c r="T66" s="56"/>
      <c r="U66" s="56"/>
      <c r="V66" s="56">
        <v>26.75</v>
      </c>
      <c r="W66" s="56">
        <v>25.95</v>
      </c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9</v>
      </c>
      <c r="AQ66" s="71" t="str">
        <f t="shared" si="1"/>
        <v/>
      </c>
      <c r="AR66" s="71">
        <f>IFERROR(VLOOKUP(A66,Climatologia_TMED!A:U,9+$E$2,FALSE),"")</f>
        <v>24.65120691183121</v>
      </c>
      <c r="AS66" s="71" t="str">
        <f t="shared" si="2"/>
        <v/>
      </c>
    </row>
    <row r="67" spans="1:45" ht="14.25" customHeight="1" x14ac:dyDescent="0.2">
      <c r="A67" s="58">
        <v>35045020</v>
      </c>
      <c r="B67" s="59" t="s">
        <v>160</v>
      </c>
      <c r="C67" s="59" t="s">
        <v>147</v>
      </c>
      <c r="D67" s="73">
        <v>-73.357500000000002</v>
      </c>
      <c r="E67" s="73">
        <v>4.300444444</v>
      </c>
      <c r="F67" s="58">
        <v>310</v>
      </c>
      <c r="G67" s="58">
        <v>50</v>
      </c>
      <c r="H67" s="58">
        <v>50226</v>
      </c>
      <c r="I67" s="60" t="s">
        <v>90</v>
      </c>
      <c r="J67" s="60" t="s">
        <v>161</v>
      </c>
      <c r="K67" s="56">
        <v>25.5</v>
      </c>
      <c r="L67" s="56">
        <v>23.05</v>
      </c>
      <c r="M67" s="56">
        <v>24.4</v>
      </c>
      <c r="N67" s="56">
        <v>24.75</v>
      </c>
      <c r="O67" s="56">
        <v>23.45</v>
      </c>
      <c r="P67" s="56">
        <v>25.4</v>
      </c>
      <c r="Q67" s="56">
        <v>24.05</v>
      </c>
      <c r="R67" s="56">
        <v>25.45</v>
      </c>
      <c r="S67" s="56">
        <v>24.5</v>
      </c>
      <c r="T67" s="56">
        <v>26.35</v>
      </c>
      <c r="U67" s="56">
        <v>27.3</v>
      </c>
      <c r="V67" s="56">
        <v>24.6</v>
      </c>
      <c r="W67" s="56">
        <v>27.45</v>
      </c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13</v>
      </c>
      <c r="AQ67" s="71" t="str">
        <f t="shared" si="1"/>
        <v/>
      </c>
      <c r="AR67" s="71">
        <f>IFERROR(VLOOKUP(A67,Climatologia_TMED!A:U,9+$E$2,FALSE),"")</f>
        <v>24.52508750274302</v>
      </c>
      <c r="AS67" s="71" t="str">
        <f t="shared" si="2"/>
        <v/>
      </c>
    </row>
    <row r="68" spans="1:45" ht="14.25" customHeight="1" x14ac:dyDescent="0.2">
      <c r="A68" s="58">
        <v>35095110</v>
      </c>
      <c r="B68" s="59" t="s">
        <v>162</v>
      </c>
      <c r="C68" s="59" t="s">
        <v>147</v>
      </c>
      <c r="D68" s="73">
        <v>-72.915458000000001</v>
      </c>
      <c r="E68" s="73">
        <v>4.65144</v>
      </c>
      <c r="F68" s="58">
        <v>345</v>
      </c>
      <c r="G68" s="58">
        <v>85</v>
      </c>
      <c r="H68" s="58">
        <v>85440</v>
      </c>
      <c r="I68" s="60" t="s">
        <v>163</v>
      </c>
      <c r="J68" s="60" t="s">
        <v>164</v>
      </c>
      <c r="K68" s="56">
        <v>25.4</v>
      </c>
      <c r="L68" s="56">
        <v>22.75</v>
      </c>
      <c r="M68" s="56">
        <v>24.266666666666669</v>
      </c>
      <c r="N68" s="56">
        <v>24.4</v>
      </c>
      <c r="O68" s="56">
        <v>24.024999999999999</v>
      </c>
      <c r="P68" s="56">
        <v>25.75</v>
      </c>
      <c r="Q68" s="56">
        <v>23.65</v>
      </c>
      <c r="R68" s="56">
        <v>25.725000000000001</v>
      </c>
      <c r="S68" s="56"/>
      <c r="T68" s="56">
        <v>25.45</v>
      </c>
      <c r="U68" s="56">
        <v>26.35</v>
      </c>
      <c r="V68" s="56">
        <v>25.15</v>
      </c>
      <c r="W68" s="56">
        <v>25.65</v>
      </c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12</v>
      </c>
      <c r="AQ68" s="71" t="str">
        <f t="shared" si="1"/>
        <v/>
      </c>
      <c r="AR68" s="71">
        <f>IFERROR(VLOOKUP(A68,Climatologia_TMED!A:U,9+$E$2,FALSE),"")</f>
        <v>24.322397686632009</v>
      </c>
      <c r="AS68" s="71" t="str">
        <f t="shared" si="2"/>
        <v/>
      </c>
    </row>
    <row r="69" spans="1:45" ht="14.25" customHeight="1" x14ac:dyDescent="0.2">
      <c r="A69" s="58">
        <v>35105050</v>
      </c>
      <c r="B69" s="59" t="s">
        <v>165</v>
      </c>
      <c r="C69" s="59" t="s">
        <v>147</v>
      </c>
      <c r="D69" s="73">
        <v>-72.953639999999993</v>
      </c>
      <c r="E69" s="73">
        <v>4.4686500000000002</v>
      </c>
      <c r="F69" s="58">
        <v>199</v>
      </c>
      <c r="G69" s="58">
        <v>50</v>
      </c>
      <c r="H69" s="58">
        <v>50110</v>
      </c>
      <c r="I69" s="60" t="s">
        <v>90</v>
      </c>
      <c r="J69" s="60" t="s">
        <v>166</v>
      </c>
      <c r="K69" s="56">
        <v>27.033333333333331</v>
      </c>
      <c r="L69" s="56">
        <v>24.06666666666667</v>
      </c>
      <c r="M69" s="56">
        <v>26.06666666666667</v>
      </c>
      <c r="N69" s="56"/>
      <c r="O69" s="56"/>
      <c r="P69" s="56">
        <v>27</v>
      </c>
      <c r="Q69" s="56">
        <v>25.6</v>
      </c>
      <c r="R69" s="56">
        <v>27.13333333333334</v>
      </c>
      <c r="S69" s="56">
        <v>25.8</v>
      </c>
      <c r="T69" s="56">
        <v>26.86666666666666</v>
      </c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8</v>
      </c>
      <c r="AQ69" s="71" t="str">
        <f t="shared" ref="AQ69:AQ132" si="4">IF(AP69&gt;14,AVERAGE(K69:AO69),"")</f>
        <v/>
      </c>
      <c r="AR69" s="71">
        <f>IFERROR(VLOOKUP(A69,Climatologia_TMED!A:U,9+$E$2,FALSE),"")</f>
        <v>25.569958691043201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35225030</v>
      </c>
      <c r="B70" s="59" t="s">
        <v>167</v>
      </c>
      <c r="C70" s="59" t="s">
        <v>147</v>
      </c>
      <c r="D70" s="73">
        <v>-71.433082999999996</v>
      </c>
      <c r="E70" s="73">
        <v>4.9105280000000002</v>
      </c>
      <c r="F70" s="58">
        <v>139</v>
      </c>
      <c r="G70" s="58">
        <v>85</v>
      </c>
      <c r="H70" s="58">
        <v>85230</v>
      </c>
      <c r="I70" s="60" t="s">
        <v>163</v>
      </c>
      <c r="J70" s="60" t="s">
        <v>168</v>
      </c>
      <c r="K70" s="56">
        <v>26.666666666666671</v>
      </c>
      <c r="L70" s="56">
        <v>24.233333333333331</v>
      </c>
      <c r="M70" s="56">
        <v>25.633333333333329</v>
      </c>
      <c r="N70" s="56">
        <v>23.966666666666669</v>
      </c>
      <c r="O70" s="56">
        <v>24.666666666666671</v>
      </c>
      <c r="P70" s="56">
        <v>26.8</v>
      </c>
      <c r="Q70" s="56">
        <v>24.3</v>
      </c>
      <c r="R70" s="56">
        <v>26.833333333333329</v>
      </c>
      <c r="S70" s="56">
        <v>24.5</v>
      </c>
      <c r="T70" s="56">
        <v>27.166666666666671</v>
      </c>
      <c r="U70" s="56">
        <v>26.833333333333329</v>
      </c>
      <c r="V70" s="56">
        <v>25.866666666666671</v>
      </c>
      <c r="W70" s="56">
        <v>26.233333333333331</v>
      </c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13</v>
      </c>
      <c r="AQ70" s="71" t="str">
        <f t="shared" si="4"/>
        <v/>
      </c>
      <c r="AR70" s="71">
        <f>IFERROR(VLOOKUP(A70,Climatologia_TMED!A:U,9+$E$2,FALSE),"")</f>
        <v>25.662442913653528</v>
      </c>
      <c r="AS70" s="71" t="str">
        <f t="shared" si="5"/>
        <v/>
      </c>
    </row>
    <row r="71" spans="1:45" ht="14.25" customHeight="1" x14ac:dyDescent="0.2">
      <c r="A71" s="58">
        <v>42075010</v>
      </c>
      <c r="B71" s="59" t="s">
        <v>169</v>
      </c>
      <c r="C71" s="59" t="s">
        <v>147</v>
      </c>
      <c r="D71" s="73">
        <v>-70.239204000000001</v>
      </c>
      <c r="E71" s="73">
        <v>1.2597020000000001</v>
      </c>
      <c r="F71" s="58">
        <v>168</v>
      </c>
      <c r="G71" s="58">
        <v>97</v>
      </c>
      <c r="H71" s="58">
        <v>97001</v>
      </c>
      <c r="I71" s="60" t="s">
        <v>170</v>
      </c>
      <c r="J71" s="60" t="s">
        <v>171</v>
      </c>
      <c r="K71" s="56">
        <v>25.533333333333331</v>
      </c>
      <c r="L71" s="56">
        <v>26.86666666666666</v>
      </c>
      <c r="M71" s="56">
        <v>25.2</v>
      </c>
      <c r="N71" s="56">
        <v>25.13333333333334</v>
      </c>
      <c r="O71" s="56">
        <v>23.866666666666671</v>
      </c>
      <c r="P71" s="56">
        <v>24.166666666666671</v>
      </c>
      <c r="Q71" s="56">
        <v>24.433333333333341</v>
      </c>
      <c r="R71" s="56">
        <v>25.63333333333334</v>
      </c>
      <c r="S71" s="56">
        <v>25.566666666666659</v>
      </c>
      <c r="T71" s="56">
        <v>26.533333333333331</v>
      </c>
      <c r="U71" s="56"/>
      <c r="V71" s="56"/>
      <c r="W71" s="56">
        <v>25.833333333333329</v>
      </c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11</v>
      </c>
      <c r="AQ71" s="71" t="str">
        <f t="shared" si="4"/>
        <v/>
      </c>
      <c r="AR71" s="71">
        <f>IFERROR(VLOOKUP(A71,Climatologia_TMED!A:U,9+$E$2,FALSE),"")</f>
        <v>24.973208742959539</v>
      </c>
      <c r="AS71" s="71" t="str">
        <f t="shared" si="5"/>
        <v/>
      </c>
    </row>
    <row r="72" spans="1:45" ht="14.25" customHeight="1" x14ac:dyDescent="0.2">
      <c r="A72" s="58">
        <v>3502500006</v>
      </c>
      <c r="B72" s="59" t="s">
        <v>172</v>
      </c>
      <c r="C72" s="59" t="s">
        <v>147</v>
      </c>
      <c r="D72" s="73">
        <v>-73.242963888999995</v>
      </c>
      <c r="E72" s="73">
        <v>3.9325472220000002</v>
      </c>
      <c r="F72" s="58">
        <v>277</v>
      </c>
      <c r="G72" s="58">
        <v>50</v>
      </c>
      <c r="H72" s="58">
        <v>50680</v>
      </c>
      <c r="I72" s="60" t="s">
        <v>90</v>
      </c>
      <c r="J72" s="60" t="s">
        <v>173</v>
      </c>
      <c r="K72" s="56">
        <v>26.2</v>
      </c>
      <c r="L72" s="56">
        <v>23.4</v>
      </c>
      <c r="M72" s="56">
        <v>25.4</v>
      </c>
      <c r="N72" s="56"/>
      <c r="O72" s="56"/>
      <c r="P72" s="56"/>
      <c r="Q72" s="56">
        <v>26.55</v>
      </c>
      <c r="R72" s="56">
        <v>26.55</v>
      </c>
      <c r="S72" s="56">
        <v>24.75</v>
      </c>
      <c r="T72" s="56">
        <v>25.75</v>
      </c>
      <c r="U72" s="56">
        <v>25.75</v>
      </c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8</v>
      </c>
      <c r="AQ72" s="71" t="str">
        <f t="shared" si="4"/>
        <v/>
      </c>
      <c r="AR72" s="71" t="str">
        <f>IFERROR(VLOOKUP(A72,Climatologia_TMED!A:U,9+$E$2,FALSE),"")</f>
        <v/>
      </c>
      <c r="AS72" s="71" t="str">
        <f t="shared" si="5"/>
        <v/>
      </c>
    </row>
    <row r="73" spans="1:45" ht="14.25" customHeight="1" x14ac:dyDescent="0.2">
      <c r="A73" s="58">
        <v>21025030</v>
      </c>
      <c r="B73" s="59" t="s">
        <v>174</v>
      </c>
      <c r="C73" s="59" t="s">
        <v>175</v>
      </c>
      <c r="D73" s="73">
        <v>-75.736222220000002</v>
      </c>
      <c r="E73" s="73">
        <v>2.079166667</v>
      </c>
      <c r="F73" s="58">
        <v>1368</v>
      </c>
      <c r="G73" s="58">
        <v>41</v>
      </c>
      <c r="H73" s="58">
        <v>41026</v>
      </c>
      <c r="I73" s="60" t="s">
        <v>74</v>
      </c>
      <c r="J73" s="60" t="s">
        <v>176</v>
      </c>
      <c r="K73" s="56">
        <v>20.350000000000001</v>
      </c>
      <c r="L73" s="56">
        <v>18.7</v>
      </c>
      <c r="M73" s="56">
        <v>19.75</v>
      </c>
      <c r="N73" s="56">
        <v>20.149999999999999</v>
      </c>
      <c r="O73" s="56">
        <v>20.05</v>
      </c>
      <c r="P73" s="56">
        <v>22.05</v>
      </c>
      <c r="Q73" s="56">
        <v>21.45</v>
      </c>
      <c r="R73" s="56">
        <v>18.850000000000001</v>
      </c>
      <c r="S73" s="56">
        <v>19.3</v>
      </c>
      <c r="T73" s="56">
        <v>20.85</v>
      </c>
      <c r="U73" s="56">
        <v>21.45</v>
      </c>
      <c r="V73" s="56">
        <v>19.55</v>
      </c>
      <c r="W73" s="56">
        <v>20.85</v>
      </c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13</v>
      </c>
      <c r="AQ73" s="71" t="str">
        <f t="shared" si="4"/>
        <v/>
      </c>
      <c r="AR73" s="71">
        <f>IFERROR(VLOOKUP(A73,Climatologia_TMED!A:U,9+$E$2,FALSE),"")</f>
        <v>19.99849874936011</v>
      </c>
      <c r="AS73" s="71" t="str">
        <f t="shared" si="5"/>
        <v/>
      </c>
    </row>
    <row r="74" spans="1:45" ht="14.25" customHeight="1" x14ac:dyDescent="0.2">
      <c r="A74" s="58">
        <v>21055030</v>
      </c>
      <c r="B74" s="59" t="s">
        <v>177</v>
      </c>
      <c r="C74" s="59" t="s">
        <v>175</v>
      </c>
      <c r="D74" s="73">
        <v>-76.16</v>
      </c>
      <c r="E74" s="73">
        <v>2.2400000000000002</v>
      </c>
      <c r="F74" s="58">
        <v>2085</v>
      </c>
      <c r="G74" s="58">
        <v>19</v>
      </c>
      <c r="H74" s="58">
        <v>19355</v>
      </c>
      <c r="I74" s="60" t="s">
        <v>178</v>
      </c>
      <c r="J74" s="60" t="s">
        <v>179</v>
      </c>
      <c r="K74" s="56">
        <v>15.46666666666667</v>
      </c>
      <c r="L74" s="56">
        <v>15.066666666666659</v>
      </c>
      <c r="M74" s="56">
        <v>14.46666666666667</v>
      </c>
      <c r="N74" s="56">
        <v>15.53333333333333</v>
      </c>
      <c r="O74" s="56">
        <v>15.6</v>
      </c>
      <c r="P74" s="56">
        <v>17.600000000000001</v>
      </c>
      <c r="Q74" s="56">
        <v>16.2</v>
      </c>
      <c r="R74" s="56">
        <v>14.33333333333333</v>
      </c>
      <c r="S74" s="56">
        <v>15.66666666666667</v>
      </c>
      <c r="T74" s="56">
        <v>15.06666666666667</v>
      </c>
      <c r="U74" s="56">
        <v>17.06666666666667</v>
      </c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11</v>
      </c>
      <c r="AQ74" s="71" t="str">
        <f t="shared" si="4"/>
        <v/>
      </c>
      <c r="AR74" s="71">
        <f>IFERROR(VLOOKUP(A74,Climatologia_TMED!A:U,9+$E$2,FALSE),"")</f>
        <v>15.18104369196679</v>
      </c>
      <c r="AS74" s="71" t="str">
        <f t="shared" si="5"/>
        <v/>
      </c>
    </row>
    <row r="75" spans="1:45" ht="14.25" customHeight="1" x14ac:dyDescent="0.2">
      <c r="A75" s="58">
        <v>21065040</v>
      </c>
      <c r="B75" s="59" t="s">
        <v>180</v>
      </c>
      <c r="C75" s="59" t="s">
        <v>175</v>
      </c>
      <c r="D75" s="73">
        <v>-75.529444440000006</v>
      </c>
      <c r="E75" s="73">
        <v>2.2524999999999999</v>
      </c>
      <c r="F75" s="58">
        <v>1270</v>
      </c>
      <c r="G75" s="58">
        <v>41</v>
      </c>
      <c r="H75" s="58">
        <v>41298</v>
      </c>
      <c r="I75" s="60" t="s">
        <v>74</v>
      </c>
      <c r="J75" s="60" t="s">
        <v>181</v>
      </c>
      <c r="K75" s="56">
        <v>20.5</v>
      </c>
      <c r="L75" s="56">
        <v>20.074999999999999</v>
      </c>
      <c r="M75" s="56">
        <v>20.5</v>
      </c>
      <c r="N75" s="56">
        <v>20.05</v>
      </c>
      <c r="O75" s="56">
        <v>20.5</v>
      </c>
      <c r="P75" s="56">
        <v>21.95</v>
      </c>
      <c r="Q75" s="56">
        <v>21.2</v>
      </c>
      <c r="R75" s="56">
        <v>19.45</v>
      </c>
      <c r="S75" s="56">
        <v>20</v>
      </c>
      <c r="T75" s="56">
        <v>20.399999999999999</v>
      </c>
      <c r="U75" s="56">
        <v>22.3</v>
      </c>
      <c r="V75" s="56">
        <v>20.6</v>
      </c>
      <c r="W75" s="56">
        <v>20.85</v>
      </c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13</v>
      </c>
      <c r="AQ75" s="71" t="str">
        <f t="shared" si="4"/>
        <v/>
      </c>
      <c r="AR75" s="71">
        <f>IFERROR(VLOOKUP(A75,Climatologia_TMED!A:U,9+$E$2,FALSE),"")</f>
        <v>19.799966611526219</v>
      </c>
      <c r="AS75" s="71" t="str">
        <f t="shared" si="5"/>
        <v/>
      </c>
    </row>
    <row r="76" spans="1:45" ht="14.25" customHeight="1" x14ac:dyDescent="0.2">
      <c r="A76" s="58">
        <v>21115100</v>
      </c>
      <c r="B76" s="59" t="s">
        <v>182</v>
      </c>
      <c r="C76" s="59" t="s">
        <v>175</v>
      </c>
      <c r="D76" s="73">
        <v>-75.066388889999999</v>
      </c>
      <c r="E76" s="73">
        <v>2.9426388889999999</v>
      </c>
      <c r="F76" s="58">
        <v>1100</v>
      </c>
      <c r="G76" s="58">
        <v>41</v>
      </c>
      <c r="H76" s="58">
        <v>41001</v>
      </c>
      <c r="I76" s="60" t="s">
        <v>74</v>
      </c>
      <c r="J76" s="60" t="s">
        <v>75</v>
      </c>
      <c r="K76" s="56">
        <v>23.666666666666671</v>
      </c>
      <c r="L76" s="56">
        <v>23.466666666666669</v>
      </c>
      <c r="M76" s="56">
        <v>22.13333333333334</v>
      </c>
      <c r="N76" s="56">
        <v>23.266666666666669</v>
      </c>
      <c r="O76" s="56">
        <v>24.266666666666669</v>
      </c>
      <c r="P76" s="56">
        <v>25.266666666666669</v>
      </c>
      <c r="Q76" s="56">
        <v>25.733333333333331</v>
      </c>
      <c r="R76" s="56">
        <v>23.86666666666666</v>
      </c>
      <c r="S76" s="56">
        <v>23.266666666666669</v>
      </c>
      <c r="T76" s="56">
        <v>23.86666666666666</v>
      </c>
      <c r="U76" s="56">
        <v>25.2</v>
      </c>
      <c r="V76" s="56">
        <v>21.266666666666669</v>
      </c>
      <c r="W76" s="56">
        <v>24.533333333333331</v>
      </c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13</v>
      </c>
      <c r="AQ76" s="71" t="str">
        <f t="shared" si="4"/>
        <v/>
      </c>
      <c r="AR76" s="71">
        <f>IFERROR(VLOOKUP(A76,Climatologia_TMED!A:U,9+$E$2,FALSE),"")</f>
        <v>22.683240855978919</v>
      </c>
      <c r="AS76" s="71" t="str">
        <f t="shared" si="5"/>
        <v/>
      </c>
    </row>
    <row r="77" spans="1:45" ht="14.25" customHeight="1" x14ac:dyDescent="0.2">
      <c r="A77" s="58">
        <v>21135030</v>
      </c>
      <c r="B77" s="59" t="s">
        <v>183</v>
      </c>
      <c r="C77" s="59" t="s">
        <v>175</v>
      </c>
      <c r="D77" s="73">
        <v>-75.108999999999995</v>
      </c>
      <c r="E77" s="73">
        <v>3.5738333330000001</v>
      </c>
      <c r="F77" s="58">
        <v>415</v>
      </c>
      <c r="G77" s="58">
        <v>73</v>
      </c>
      <c r="H77" s="58">
        <v>73483</v>
      </c>
      <c r="I77" s="60" t="s">
        <v>65</v>
      </c>
      <c r="J77" s="60" t="s">
        <v>184</v>
      </c>
      <c r="K77" s="56">
        <v>30.5</v>
      </c>
      <c r="L77" s="56">
        <v>30.1</v>
      </c>
      <c r="M77" s="56">
        <v>28.5</v>
      </c>
      <c r="N77" s="56">
        <v>29.85</v>
      </c>
      <c r="O77" s="56">
        <v>31.6</v>
      </c>
      <c r="P77" s="56">
        <v>32.65</v>
      </c>
      <c r="Q77" s="56">
        <v>32.75</v>
      </c>
      <c r="R77" s="56">
        <v>32.200000000000003</v>
      </c>
      <c r="S77" s="56">
        <v>30.4</v>
      </c>
      <c r="T77" s="56">
        <v>30</v>
      </c>
      <c r="U77" s="56">
        <v>32.4</v>
      </c>
      <c r="V77" s="56">
        <v>29.2</v>
      </c>
      <c r="W77" s="56">
        <v>32.1</v>
      </c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13</v>
      </c>
      <c r="AQ77" s="71" t="str">
        <f t="shared" si="4"/>
        <v/>
      </c>
      <c r="AR77" s="71">
        <f>IFERROR(VLOOKUP(A77,Climatologia_TMED!A:U,9+$E$2,FALSE),"")</f>
        <v>29.183929810522649</v>
      </c>
      <c r="AS77" s="71" t="str">
        <f t="shared" si="5"/>
        <v/>
      </c>
    </row>
    <row r="78" spans="1:45" ht="14.25" customHeight="1" x14ac:dyDescent="0.2">
      <c r="A78" s="58">
        <v>21145040</v>
      </c>
      <c r="B78" s="59" t="s">
        <v>185</v>
      </c>
      <c r="C78" s="59" t="s">
        <v>175</v>
      </c>
      <c r="D78" s="73">
        <v>-75.110111110000005</v>
      </c>
      <c r="E78" s="73">
        <v>3.3733611109999999</v>
      </c>
      <c r="F78" s="58">
        <v>440</v>
      </c>
      <c r="G78" s="58">
        <v>41</v>
      </c>
      <c r="H78" s="58">
        <v>41872</v>
      </c>
      <c r="I78" s="60" t="s">
        <v>74</v>
      </c>
      <c r="J78" s="60" t="s">
        <v>186</v>
      </c>
      <c r="K78" s="56">
        <v>31.4</v>
      </c>
      <c r="L78" s="56">
        <v>31.466666666666669</v>
      </c>
      <c r="M78" s="56">
        <v>31.13333333333334</v>
      </c>
      <c r="N78" s="56">
        <v>30.466666666666669</v>
      </c>
      <c r="O78" s="56">
        <v>30.466666666666669</v>
      </c>
      <c r="P78" s="56">
        <v>32.866666666666667</v>
      </c>
      <c r="Q78" s="56">
        <v>32.066666666666663</v>
      </c>
      <c r="R78" s="56">
        <v>32.6</v>
      </c>
      <c r="S78" s="56">
        <v>31.86666666666666</v>
      </c>
      <c r="T78" s="56">
        <v>31.4</v>
      </c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10</v>
      </c>
      <c r="AQ78" s="71" t="str">
        <f t="shared" si="4"/>
        <v/>
      </c>
      <c r="AR78" s="71">
        <f>IFERROR(VLOOKUP(A78,Climatologia_TMED!A:U,9+$E$2,FALSE),"")</f>
        <v>29.469052884450729</v>
      </c>
      <c r="AS78" s="71" t="str">
        <f t="shared" si="5"/>
        <v/>
      </c>
    </row>
    <row r="79" spans="1:45" ht="14.25" customHeight="1" x14ac:dyDescent="0.2">
      <c r="A79" s="58">
        <v>21145080</v>
      </c>
      <c r="B79" s="59" t="s">
        <v>187</v>
      </c>
      <c r="C79" s="59" t="s">
        <v>175</v>
      </c>
      <c r="D79" s="73">
        <v>-74.702944439999996</v>
      </c>
      <c r="E79" s="73">
        <v>3.5897777780000002</v>
      </c>
      <c r="F79" s="58">
        <v>1410</v>
      </c>
      <c r="G79" s="58">
        <v>41</v>
      </c>
      <c r="H79" s="58">
        <v>41206</v>
      </c>
      <c r="I79" s="60" t="s">
        <v>74</v>
      </c>
      <c r="J79" s="60" t="s">
        <v>188</v>
      </c>
      <c r="K79" s="56">
        <v>20.666666666666671</v>
      </c>
      <c r="L79" s="56">
        <v>18.86666666666666</v>
      </c>
      <c r="M79" s="56">
        <v>19.8</v>
      </c>
      <c r="N79" s="56">
        <v>20.333333333333329</v>
      </c>
      <c r="O79" s="56">
        <v>20.533333333333331</v>
      </c>
      <c r="P79" s="56">
        <v>20.333333333333329</v>
      </c>
      <c r="Q79" s="56">
        <v>20.466666666666669</v>
      </c>
      <c r="R79" s="56">
        <v>21.6</v>
      </c>
      <c r="S79" s="56">
        <v>20.6</v>
      </c>
      <c r="T79" s="56">
        <v>21.13333333333334</v>
      </c>
      <c r="U79" s="56">
        <v>21.6</v>
      </c>
      <c r="V79" s="56">
        <v>19.733333333333331</v>
      </c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12</v>
      </c>
      <c r="AQ79" s="71" t="str">
        <f t="shared" si="4"/>
        <v/>
      </c>
      <c r="AR79" s="71">
        <f>IFERROR(VLOOKUP(A79,Climatologia_TMED!A:U,9+$E$2,FALSE),"")</f>
        <v>19.306579428930519</v>
      </c>
      <c r="AS79" s="71" t="str">
        <f t="shared" si="5"/>
        <v/>
      </c>
    </row>
    <row r="80" spans="1:45" ht="14.25" customHeight="1" x14ac:dyDescent="0.2">
      <c r="A80" s="58">
        <v>44045010</v>
      </c>
      <c r="B80" s="59" t="s">
        <v>189</v>
      </c>
      <c r="C80" s="59" t="s">
        <v>175</v>
      </c>
      <c r="D80" s="73">
        <v>-75.961500000000001</v>
      </c>
      <c r="E80" s="73">
        <v>1.325138889</v>
      </c>
      <c r="F80" s="58">
        <v>320</v>
      </c>
      <c r="G80" s="58">
        <v>18</v>
      </c>
      <c r="H80" s="58">
        <v>18610</v>
      </c>
      <c r="I80" s="60" t="s">
        <v>190</v>
      </c>
      <c r="J80" s="60" t="s">
        <v>191</v>
      </c>
      <c r="K80" s="56">
        <v>24</v>
      </c>
      <c r="L80" s="56">
        <v>23.55</v>
      </c>
      <c r="M80" s="56">
        <v>22.85</v>
      </c>
      <c r="N80" s="56">
        <v>23.2</v>
      </c>
      <c r="O80" s="56">
        <v>24.55</v>
      </c>
      <c r="P80" s="56"/>
      <c r="Q80" s="56">
        <v>23.5</v>
      </c>
      <c r="R80" s="56">
        <v>22.75</v>
      </c>
      <c r="S80" s="56">
        <v>23.65</v>
      </c>
      <c r="T80" s="56">
        <v>25.4</v>
      </c>
      <c r="U80" s="56">
        <v>25.25</v>
      </c>
      <c r="V80" s="56">
        <v>24.85</v>
      </c>
      <c r="W80" s="56">
        <v>22.8</v>
      </c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12</v>
      </c>
      <c r="AQ80" s="71" t="str">
        <f t="shared" si="4"/>
        <v/>
      </c>
      <c r="AR80" s="71">
        <f>IFERROR(VLOOKUP(A80,Climatologia_TMED!A:U,9+$E$2,FALSE),"")</f>
        <v>24.17462990609177</v>
      </c>
      <c r="AS80" s="71" t="str">
        <f t="shared" si="5"/>
        <v/>
      </c>
    </row>
    <row r="81" spans="1:45" ht="14.25" customHeight="1" x14ac:dyDescent="0.2">
      <c r="A81" s="58">
        <v>44045020</v>
      </c>
      <c r="B81" s="59" t="s">
        <v>192</v>
      </c>
      <c r="C81" s="59" t="s">
        <v>175</v>
      </c>
      <c r="D81" s="73">
        <v>-75.70447222</v>
      </c>
      <c r="E81" s="73">
        <v>1.1952499999999999</v>
      </c>
      <c r="F81" s="58">
        <v>270</v>
      </c>
      <c r="G81" s="58">
        <v>18</v>
      </c>
      <c r="H81" s="58">
        <v>18860</v>
      </c>
      <c r="I81" s="60" t="s">
        <v>190</v>
      </c>
      <c r="J81" s="60" t="s">
        <v>193</v>
      </c>
      <c r="K81" s="56">
        <v>25.06666666666667</v>
      </c>
      <c r="L81" s="56">
        <v>24.8</v>
      </c>
      <c r="M81" s="56">
        <v>25.466666666666669</v>
      </c>
      <c r="N81" s="56">
        <v>24.93333333333333</v>
      </c>
      <c r="O81" s="56">
        <v>25.833333333333329</v>
      </c>
      <c r="P81" s="56">
        <v>26.86666666666666</v>
      </c>
      <c r="Q81" s="56">
        <v>24.93333333333333</v>
      </c>
      <c r="R81" s="56">
        <v>23.93333333333333</v>
      </c>
      <c r="S81" s="56">
        <v>24.13333333333334</v>
      </c>
      <c r="T81" s="56">
        <v>27.06666666666667</v>
      </c>
      <c r="U81" s="56">
        <v>25.4</v>
      </c>
      <c r="V81" s="56">
        <v>26.13333333333334</v>
      </c>
      <c r="W81" s="56">
        <v>25.2</v>
      </c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13</v>
      </c>
      <c r="AQ81" s="71" t="str">
        <f t="shared" si="4"/>
        <v/>
      </c>
      <c r="AR81" s="71">
        <f>IFERROR(VLOOKUP(A81,Climatologia_TMED!A:U,9+$E$2,FALSE),"")</f>
        <v>25.173722457421579</v>
      </c>
      <c r="AS81" s="71" t="str">
        <f t="shared" si="5"/>
        <v/>
      </c>
    </row>
    <row r="82" spans="1:45" ht="14.25" customHeight="1" x14ac:dyDescent="0.2">
      <c r="A82" s="58">
        <v>15045010</v>
      </c>
      <c r="B82" s="59" t="s">
        <v>194</v>
      </c>
      <c r="C82" s="59" t="s">
        <v>195</v>
      </c>
      <c r="D82" s="73">
        <v>-73.030277780000006</v>
      </c>
      <c r="E82" s="73">
        <v>11.26388889</v>
      </c>
      <c r="F82" s="58">
        <v>20</v>
      </c>
      <c r="G82" s="58">
        <v>44</v>
      </c>
      <c r="H82" s="58">
        <v>44001</v>
      </c>
      <c r="I82" s="60" t="s">
        <v>35</v>
      </c>
      <c r="J82" s="60" t="s">
        <v>36</v>
      </c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0</v>
      </c>
      <c r="AQ82" s="71" t="str">
        <f t="shared" si="4"/>
        <v/>
      </c>
      <c r="AR82" s="71" t="str">
        <f>IFERROR(VLOOKUP(A82,Climatologia_TMED!A:U,9+$E$2,FALSE),"")</f>
        <v/>
      </c>
      <c r="AS82" s="71" t="str">
        <f t="shared" si="5"/>
        <v/>
      </c>
    </row>
    <row r="83" spans="1:45" ht="14.25" customHeight="1" x14ac:dyDescent="0.2">
      <c r="A83" s="58">
        <v>15065501</v>
      </c>
      <c r="B83" s="59" t="s">
        <v>196</v>
      </c>
      <c r="C83" s="59" t="s">
        <v>195</v>
      </c>
      <c r="D83" s="73">
        <v>-72.615944440000007</v>
      </c>
      <c r="E83" s="73">
        <v>11.13758333</v>
      </c>
      <c r="F83" s="58">
        <v>80</v>
      </c>
      <c r="G83" s="58">
        <v>44</v>
      </c>
      <c r="H83" s="58">
        <v>44035</v>
      </c>
      <c r="I83" s="60" t="s">
        <v>35</v>
      </c>
      <c r="J83" s="60" t="s">
        <v>197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>
        <f>IFERROR(VLOOKUP(A83,Climatologia_TMED!A:U,9+$E$2,FALSE),"")</f>
        <v>30.284489958591781</v>
      </c>
      <c r="AS83" s="71" t="str">
        <f t="shared" si="5"/>
        <v/>
      </c>
    </row>
    <row r="84" spans="1:45" ht="14.25" customHeight="1" x14ac:dyDescent="0.2">
      <c r="A84" s="58">
        <v>15075030</v>
      </c>
      <c r="B84" s="59" t="s">
        <v>198</v>
      </c>
      <c r="C84" s="59" t="s">
        <v>195</v>
      </c>
      <c r="D84" s="73">
        <v>-72.463499999999996</v>
      </c>
      <c r="E84" s="73">
        <v>11.78105556</v>
      </c>
      <c r="F84" s="58">
        <v>1</v>
      </c>
      <c r="G84" s="58">
        <v>44</v>
      </c>
      <c r="H84" s="58">
        <v>44560</v>
      </c>
      <c r="I84" s="60" t="s">
        <v>35</v>
      </c>
      <c r="J84" s="60" t="s">
        <v>198</v>
      </c>
      <c r="K84" s="56">
        <v>32.299999999999997</v>
      </c>
      <c r="L84" s="56">
        <v>31.6</v>
      </c>
      <c r="M84" s="56">
        <v>30.4</v>
      </c>
      <c r="N84" s="56">
        <v>29.65</v>
      </c>
      <c r="O84" s="56">
        <v>30.7</v>
      </c>
      <c r="P84" s="56">
        <v>31.8</v>
      </c>
      <c r="Q84" s="56">
        <v>30.85</v>
      </c>
      <c r="R84" s="56"/>
      <c r="S84" s="56"/>
      <c r="T84" s="56">
        <v>30.5</v>
      </c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8</v>
      </c>
      <c r="AQ84" s="71" t="str">
        <f t="shared" si="4"/>
        <v/>
      </c>
      <c r="AR84" s="71" t="str">
        <f>IFERROR(VLOOKUP(A84,Climatologia_TMED!A:U,9+$E$2,FALSE),"")</f>
        <v/>
      </c>
      <c r="AS84" s="71" t="str">
        <f t="shared" si="5"/>
        <v/>
      </c>
    </row>
    <row r="85" spans="1:45" ht="14.25" customHeight="1" x14ac:dyDescent="0.2">
      <c r="A85" s="58">
        <v>15085030</v>
      </c>
      <c r="B85" s="59" t="s">
        <v>199</v>
      </c>
      <c r="C85" s="59" t="s">
        <v>195</v>
      </c>
      <c r="D85" s="73">
        <v>-72.359944440000007</v>
      </c>
      <c r="E85" s="73">
        <v>11.216749999999999</v>
      </c>
      <c r="F85" s="58">
        <v>118</v>
      </c>
      <c r="G85" s="58">
        <v>44</v>
      </c>
      <c r="H85" s="58">
        <v>44430</v>
      </c>
      <c r="I85" s="60" t="s">
        <v>35</v>
      </c>
      <c r="J85" s="60" t="s">
        <v>200</v>
      </c>
      <c r="K85" s="56">
        <v>29.95</v>
      </c>
      <c r="L85" s="56">
        <v>29.7</v>
      </c>
      <c r="M85" s="56">
        <v>29.35</v>
      </c>
      <c r="N85" s="56">
        <v>29.6</v>
      </c>
      <c r="O85" s="56">
        <v>29.35</v>
      </c>
      <c r="P85" s="56">
        <v>29.6</v>
      </c>
      <c r="Q85" s="56">
        <v>29.95</v>
      </c>
      <c r="R85" s="56">
        <v>30.4</v>
      </c>
      <c r="S85" s="56">
        <v>29.75</v>
      </c>
      <c r="T85" s="56">
        <v>29.55</v>
      </c>
      <c r="U85" s="56">
        <v>29.75</v>
      </c>
      <c r="V85" s="56">
        <v>30.05</v>
      </c>
      <c r="W85" s="56">
        <v>29.4</v>
      </c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13</v>
      </c>
      <c r="AQ85" s="71" t="str">
        <f t="shared" si="4"/>
        <v/>
      </c>
      <c r="AR85" s="71">
        <f>IFERROR(VLOOKUP(A85,Climatologia_TMED!A:U,9+$E$2,FALSE),"")</f>
        <v>28.612083161554789</v>
      </c>
      <c r="AS85" s="71" t="str">
        <f t="shared" si="5"/>
        <v/>
      </c>
    </row>
    <row r="86" spans="1:45" ht="14.25" customHeight="1" x14ac:dyDescent="0.2">
      <c r="A86" s="58">
        <v>25025002</v>
      </c>
      <c r="B86" s="59" t="s">
        <v>201</v>
      </c>
      <c r="C86" s="59" t="s">
        <v>195</v>
      </c>
      <c r="D86" s="73">
        <v>-74.273638890000001</v>
      </c>
      <c r="E86" s="73">
        <v>9.3040555559999998</v>
      </c>
      <c r="F86" s="58">
        <v>25</v>
      </c>
      <c r="G86" s="58">
        <v>47</v>
      </c>
      <c r="H86" s="58">
        <v>47692</v>
      </c>
      <c r="I86" s="60" t="s">
        <v>26</v>
      </c>
      <c r="J86" s="60" t="s">
        <v>202</v>
      </c>
      <c r="K86" s="56">
        <v>32.950000000000003</v>
      </c>
      <c r="L86" s="56">
        <v>30.45</v>
      </c>
      <c r="M86" s="56">
        <v>31.65</v>
      </c>
      <c r="N86" s="56">
        <v>30.4</v>
      </c>
      <c r="O86" s="56">
        <v>32.049999999999997</v>
      </c>
      <c r="P86" s="56">
        <v>33.4</v>
      </c>
      <c r="Q86" s="56">
        <v>33.849999999999987</v>
      </c>
      <c r="R86" s="56">
        <v>33.849999999999987</v>
      </c>
      <c r="S86" s="56">
        <v>29.55</v>
      </c>
      <c r="T86" s="56">
        <v>32.849999999999987</v>
      </c>
      <c r="U86" s="56">
        <v>32.650000000000013</v>
      </c>
      <c r="V86" s="56">
        <v>31.5</v>
      </c>
      <c r="W86" s="56">
        <v>31.75</v>
      </c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13</v>
      </c>
      <c r="AQ86" s="71" t="str">
        <f t="shared" si="4"/>
        <v/>
      </c>
      <c r="AR86" s="71">
        <f>IFERROR(VLOOKUP(A86,Climatologia_TMED!A:U,9+$E$2,FALSE),"")</f>
        <v>29.006189972462391</v>
      </c>
      <c r="AS86" s="71" t="str">
        <f t="shared" si="5"/>
        <v/>
      </c>
    </row>
    <row r="87" spans="1:45" ht="14.25" customHeight="1" x14ac:dyDescent="0.2">
      <c r="A87" s="58">
        <v>28015070</v>
      </c>
      <c r="B87" s="59" t="s">
        <v>203</v>
      </c>
      <c r="C87" s="59" t="s">
        <v>195</v>
      </c>
      <c r="D87" s="73">
        <v>-73.016388890000002</v>
      </c>
      <c r="E87" s="73">
        <v>10.566388890000001</v>
      </c>
      <c r="F87" s="58">
        <v>255</v>
      </c>
      <c r="G87" s="58">
        <v>44</v>
      </c>
      <c r="H87" s="58">
        <v>44855</v>
      </c>
      <c r="I87" s="60" t="s">
        <v>35</v>
      </c>
      <c r="J87" s="60" t="s">
        <v>204</v>
      </c>
      <c r="K87" s="56">
        <v>31.65</v>
      </c>
      <c r="L87" s="56">
        <v>29.1</v>
      </c>
      <c r="M87" s="56">
        <v>28.9</v>
      </c>
      <c r="N87" s="56">
        <v>27.85</v>
      </c>
      <c r="O87" s="56">
        <v>31</v>
      </c>
      <c r="P87" s="56">
        <v>30.8</v>
      </c>
      <c r="Q87" s="56">
        <v>31.55</v>
      </c>
      <c r="R87" s="56">
        <v>31.25</v>
      </c>
      <c r="S87" s="56">
        <v>30.8</v>
      </c>
      <c r="T87" s="56">
        <v>31.05</v>
      </c>
      <c r="U87" s="56">
        <v>30.6</v>
      </c>
      <c r="V87" s="56">
        <v>29.3</v>
      </c>
      <c r="W87" s="56">
        <v>28.25</v>
      </c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13</v>
      </c>
      <c r="AQ87" s="71" t="str">
        <f t="shared" si="4"/>
        <v/>
      </c>
      <c r="AR87" s="71">
        <f>IFERROR(VLOOKUP(A87,Climatologia_TMED!A:U,9+$E$2,FALSE),"")</f>
        <v>28.69087461597541</v>
      </c>
      <c r="AS87" s="71" t="str">
        <f t="shared" si="5"/>
        <v/>
      </c>
    </row>
    <row r="88" spans="1:45" ht="14.25" customHeight="1" x14ac:dyDescent="0.2">
      <c r="A88" s="58">
        <v>28035010</v>
      </c>
      <c r="B88" s="59" t="s">
        <v>205</v>
      </c>
      <c r="C88" s="59" t="s">
        <v>195</v>
      </c>
      <c r="D88" s="73">
        <v>-73.547388889999993</v>
      </c>
      <c r="E88" s="73">
        <v>10.190666670000001</v>
      </c>
      <c r="F88" s="58">
        <v>70</v>
      </c>
      <c r="G88" s="58">
        <v>20</v>
      </c>
      <c r="H88" s="58">
        <v>20001</v>
      </c>
      <c r="I88" s="60" t="s">
        <v>38</v>
      </c>
      <c r="J88" s="60" t="s">
        <v>39</v>
      </c>
      <c r="K88" s="56">
        <v>34.849999999999987</v>
      </c>
      <c r="L88" s="56">
        <v>33.5</v>
      </c>
      <c r="M88" s="56"/>
      <c r="N88" s="56">
        <v>31.05</v>
      </c>
      <c r="O88" s="56">
        <v>33.299999999999997</v>
      </c>
      <c r="P88" s="56">
        <v>34.1</v>
      </c>
      <c r="Q88" s="56">
        <v>34.75</v>
      </c>
      <c r="R88" s="56">
        <v>35.9</v>
      </c>
      <c r="S88" s="56">
        <v>31.05</v>
      </c>
      <c r="T88" s="56"/>
      <c r="U88" s="56">
        <v>34.950000000000003</v>
      </c>
      <c r="V88" s="56">
        <v>32.65</v>
      </c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10</v>
      </c>
      <c r="AQ88" s="71" t="str">
        <f t="shared" si="4"/>
        <v/>
      </c>
      <c r="AR88" s="71">
        <f>IFERROR(VLOOKUP(A88,Climatologia_TMED!A:U,9+$E$2,FALSE),"")</f>
        <v>29.482499041646701</v>
      </c>
      <c r="AS88" s="71" t="str">
        <f t="shared" si="5"/>
        <v/>
      </c>
    </row>
    <row r="89" spans="1:45" ht="14.25" customHeight="1" x14ac:dyDescent="0.2">
      <c r="A89" s="58">
        <v>28035020</v>
      </c>
      <c r="B89" s="59" t="s">
        <v>206</v>
      </c>
      <c r="C89" s="59" t="s">
        <v>195</v>
      </c>
      <c r="D89" s="73">
        <v>-73.319444439999998</v>
      </c>
      <c r="E89" s="73">
        <v>10.363055559999999</v>
      </c>
      <c r="F89" s="58">
        <v>110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32.75</v>
      </c>
      <c r="L89" s="56">
        <v>32.35</v>
      </c>
      <c r="M89" s="56">
        <v>29.45</v>
      </c>
      <c r="N89" s="56">
        <v>29.45</v>
      </c>
      <c r="O89" s="56">
        <v>33</v>
      </c>
      <c r="P89" s="56">
        <v>30.7</v>
      </c>
      <c r="Q89" s="56">
        <v>33.4</v>
      </c>
      <c r="R89" s="56">
        <v>33.85</v>
      </c>
      <c r="S89" s="56">
        <v>32.049999999999997</v>
      </c>
      <c r="T89" s="56">
        <v>32.450000000000003</v>
      </c>
      <c r="U89" s="56">
        <v>32.1</v>
      </c>
      <c r="V89" s="56">
        <v>31.9</v>
      </c>
      <c r="W89" s="56">
        <v>31.6</v>
      </c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13</v>
      </c>
      <c r="AQ89" s="71" t="str">
        <f t="shared" si="4"/>
        <v/>
      </c>
      <c r="AR89" s="71">
        <f>IFERROR(VLOOKUP(A89,Climatologia_TMED!A:U,9+$E$2,FALSE),"")</f>
        <v>29.035060057912659</v>
      </c>
      <c r="AS89" s="71" t="str">
        <f t="shared" si="5"/>
        <v/>
      </c>
    </row>
    <row r="90" spans="1:45" ht="14.25" customHeight="1" x14ac:dyDescent="0.2">
      <c r="A90" s="58">
        <v>23125100</v>
      </c>
      <c r="B90" s="59" t="s">
        <v>207</v>
      </c>
      <c r="C90" s="59" t="s">
        <v>208</v>
      </c>
      <c r="D90" s="73">
        <v>-73.943111110000004</v>
      </c>
      <c r="E90" s="73">
        <v>5.5149166669999996</v>
      </c>
      <c r="F90" s="58">
        <v>2200</v>
      </c>
      <c r="G90" s="58">
        <v>15</v>
      </c>
      <c r="H90" s="58">
        <v>15109</v>
      </c>
      <c r="I90" s="60" t="s">
        <v>209</v>
      </c>
      <c r="J90" s="60" t="s">
        <v>207</v>
      </c>
      <c r="K90" s="56">
        <v>18.350000000000001</v>
      </c>
      <c r="L90" s="56">
        <v>18.05</v>
      </c>
      <c r="M90" s="56">
        <v>18.100000000000001</v>
      </c>
      <c r="N90" s="56">
        <v>15.65</v>
      </c>
      <c r="O90" s="56">
        <v>16.899999999999999</v>
      </c>
      <c r="P90" s="56">
        <v>19.2</v>
      </c>
      <c r="Q90" s="56">
        <v>19.25</v>
      </c>
      <c r="R90" s="56">
        <v>19.899999999999999</v>
      </c>
      <c r="S90" s="56">
        <v>15.65</v>
      </c>
      <c r="T90" s="56">
        <v>16.95</v>
      </c>
      <c r="U90" s="56">
        <v>18</v>
      </c>
      <c r="V90" s="56">
        <v>16.850000000000001</v>
      </c>
      <c r="W90" s="56">
        <v>17.95</v>
      </c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13</v>
      </c>
      <c r="AQ90" s="71" t="str">
        <f t="shared" si="4"/>
        <v/>
      </c>
      <c r="AR90" s="71">
        <f>IFERROR(VLOOKUP(A90,Climatologia_TMED!A:U,9+$E$2,FALSE),"")</f>
        <v>16.163344086021471</v>
      </c>
      <c r="AS90" s="71" t="str">
        <f t="shared" si="5"/>
        <v/>
      </c>
    </row>
    <row r="91" spans="1:45" ht="14.25" customHeight="1" x14ac:dyDescent="0.2">
      <c r="A91" s="58">
        <v>23125140</v>
      </c>
      <c r="B91" s="59" t="s">
        <v>210</v>
      </c>
      <c r="C91" s="59" t="s">
        <v>208</v>
      </c>
      <c r="D91" s="73">
        <v>-74.182416669999995</v>
      </c>
      <c r="E91" s="73">
        <v>5.5208333329999997</v>
      </c>
      <c r="F91" s="58">
        <v>1250</v>
      </c>
      <c r="G91" s="58">
        <v>15</v>
      </c>
      <c r="H91" s="58">
        <v>15580</v>
      </c>
      <c r="I91" s="60" t="s">
        <v>209</v>
      </c>
      <c r="J91" s="60" t="s">
        <v>211</v>
      </c>
      <c r="K91" s="56">
        <v>24.066666666666659</v>
      </c>
      <c r="L91" s="56">
        <v>23.06666666666667</v>
      </c>
      <c r="M91" s="56">
        <v>23.266666666666669</v>
      </c>
      <c r="N91" s="56">
        <v>22.333333333333329</v>
      </c>
      <c r="O91" s="56">
        <v>22.93333333333333</v>
      </c>
      <c r="P91" s="56">
        <v>24.2</v>
      </c>
      <c r="Q91" s="56">
        <v>24.466666666666669</v>
      </c>
      <c r="R91" s="56">
        <v>25.06666666666667</v>
      </c>
      <c r="S91" s="56">
        <v>22.333333333333329</v>
      </c>
      <c r="T91" s="56">
        <v>24.2</v>
      </c>
      <c r="U91" s="56">
        <v>24.2</v>
      </c>
      <c r="V91" s="56">
        <v>22.733333333333331</v>
      </c>
      <c r="W91" s="56">
        <v>23.333333333333329</v>
      </c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13</v>
      </c>
      <c r="AQ91" s="71" t="str">
        <f t="shared" si="4"/>
        <v/>
      </c>
      <c r="AR91" s="71">
        <f>IFERROR(VLOOKUP(A91,Climatologia_TMED!A:U,9+$E$2,FALSE),"")</f>
        <v>22.109487865869621</v>
      </c>
      <c r="AS91" s="71" t="str">
        <f t="shared" si="5"/>
        <v/>
      </c>
    </row>
    <row r="92" spans="1:45" ht="14.25" customHeight="1" x14ac:dyDescent="0.2">
      <c r="A92" s="58">
        <v>24015090</v>
      </c>
      <c r="B92" s="59" t="s">
        <v>212</v>
      </c>
      <c r="C92" s="59" t="s">
        <v>208</v>
      </c>
      <c r="D92" s="73">
        <v>-73.602277779999994</v>
      </c>
      <c r="E92" s="73">
        <v>5.7106666669999999</v>
      </c>
      <c r="F92" s="58">
        <v>2300</v>
      </c>
      <c r="G92" s="58">
        <v>15</v>
      </c>
      <c r="H92" s="58">
        <v>15696</v>
      </c>
      <c r="I92" s="60" t="s">
        <v>209</v>
      </c>
      <c r="J92" s="60" t="s">
        <v>213</v>
      </c>
      <c r="K92" s="56">
        <v>16.899999999999999</v>
      </c>
      <c r="L92" s="56">
        <v>18.149999999999999</v>
      </c>
      <c r="M92" s="56">
        <v>17.350000000000001</v>
      </c>
      <c r="N92" s="56">
        <v>17.850000000000001</v>
      </c>
      <c r="O92" s="56">
        <v>17.8</v>
      </c>
      <c r="P92" s="56">
        <v>18</v>
      </c>
      <c r="Q92" s="56">
        <v>17.2</v>
      </c>
      <c r="R92" s="56">
        <v>18.2</v>
      </c>
      <c r="S92" s="56">
        <v>17.55</v>
      </c>
      <c r="T92" s="56">
        <v>17.100000000000001</v>
      </c>
      <c r="U92" s="56">
        <v>17.45</v>
      </c>
      <c r="V92" s="56">
        <v>16.675000000000001</v>
      </c>
      <c r="W92" s="56">
        <v>17.399999999999999</v>
      </c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13</v>
      </c>
      <c r="AQ92" s="71" t="str">
        <f t="shared" si="4"/>
        <v/>
      </c>
      <c r="AR92" s="71">
        <f>IFERROR(VLOOKUP(A92,Climatologia_TMED!A:U,9+$E$2,FALSE),"")</f>
        <v>16.095227145934569</v>
      </c>
      <c r="AS92" s="71" t="str">
        <f t="shared" si="5"/>
        <v/>
      </c>
    </row>
    <row r="93" spans="1:45" ht="14.25" customHeight="1" x14ac:dyDescent="0.2">
      <c r="A93" s="58">
        <v>24015220</v>
      </c>
      <c r="B93" s="59" t="s">
        <v>214</v>
      </c>
      <c r="C93" s="59" t="s">
        <v>208</v>
      </c>
      <c r="D93" s="73">
        <v>-73.495777779999997</v>
      </c>
      <c r="E93" s="73">
        <v>5.5093888890000002</v>
      </c>
      <c r="F93" s="58">
        <v>2600</v>
      </c>
      <c r="G93" s="58">
        <v>15</v>
      </c>
      <c r="H93" s="58">
        <v>15646</v>
      </c>
      <c r="I93" s="60" t="s">
        <v>209</v>
      </c>
      <c r="J93" s="60" t="s">
        <v>215</v>
      </c>
      <c r="K93" s="56">
        <v>14.95</v>
      </c>
      <c r="L93" s="56">
        <v>13.95</v>
      </c>
      <c r="M93" s="56">
        <v>13.85</v>
      </c>
      <c r="N93" s="56">
        <v>14.5</v>
      </c>
      <c r="O93" s="56">
        <v>15.25</v>
      </c>
      <c r="P93" s="56">
        <v>14.4</v>
      </c>
      <c r="Q93" s="56">
        <v>14.75</v>
      </c>
      <c r="R93" s="56">
        <v>14.6</v>
      </c>
      <c r="S93" s="56">
        <v>13.1</v>
      </c>
      <c r="T93" s="56">
        <v>13.75</v>
      </c>
      <c r="U93" s="56">
        <v>15.45</v>
      </c>
      <c r="V93" s="56">
        <v>13.75</v>
      </c>
      <c r="W93" s="56">
        <v>14.5</v>
      </c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13</v>
      </c>
      <c r="AQ93" s="71" t="str">
        <f t="shared" si="4"/>
        <v/>
      </c>
      <c r="AR93" s="71">
        <f>IFERROR(VLOOKUP(A93,Climatologia_TMED!A:U,9+$E$2,FALSE),"")</f>
        <v>13.63280813615186</v>
      </c>
      <c r="AS93" s="71" t="str">
        <f t="shared" si="5"/>
        <v/>
      </c>
    </row>
    <row r="94" spans="1:45" ht="14.25" customHeight="1" x14ac:dyDescent="0.2">
      <c r="A94" s="58">
        <v>24015300</v>
      </c>
      <c r="B94" s="59" t="s">
        <v>216</v>
      </c>
      <c r="C94" s="59" t="s">
        <v>208</v>
      </c>
      <c r="D94" s="73">
        <v>-73.517740000000003</v>
      </c>
      <c r="E94" s="73">
        <v>5.6432599999999997</v>
      </c>
      <c r="F94" s="58">
        <v>2174</v>
      </c>
      <c r="G94" s="58">
        <v>15</v>
      </c>
      <c r="H94" s="58">
        <v>15407</v>
      </c>
      <c r="I94" s="60" t="s">
        <v>209</v>
      </c>
      <c r="J94" s="60" t="s">
        <v>217</v>
      </c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0</v>
      </c>
      <c r="AQ94" s="71" t="str">
        <f t="shared" si="4"/>
        <v/>
      </c>
      <c r="AR94" s="71">
        <f>IFERROR(VLOOKUP(A94,Climatologia_TMED!A:U,9+$E$2,FALSE),"")</f>
        <v>16.99810674941962</v>
      </c>
      <c r="AS94" s="71" t="str">
        <f t="shared" si="5"/>
        <v/>
      </c>
    </row>
    <row r="95" spans="1:45" ht="14.25" customHeight="1" x14ac:dyDescent="0.2">
      <c r="A95" s="58">
        <v>24015360</v>
      </c>
      <c r="B95" s="59" t="s">
        <v>218</v>
      </c>
      <c r="C95" s="59" t="s">
        <v>208</v>
      </c>
      <c r="D95" s="73">
        <v>-73.759</v>
      </c>
      <c r="E95" s="73">
        <v>5.6962222220000003</v>
      </c>
      <c r="F95" s="58">
        <v>2550</v>
      </c>
      <c r="G95" s="58">
        <v>15</v>
      </c>
      <c r="H95" s="58">
        <v>15632</v>
      </c>
      <c r="I95" s="60" t="s">
        <v>209</v>
      </c>
      <c r="J95" s="60" t="s">
        <v>219</v>
      </c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0</v>
      </c>
      <c r="AQ95" s="71" t="str">
        <f t="shared" si="4"/>
        <v/>
      </c>
      <c r="AR95" s="71">
        <f>IFERROR(VLOOKUP(A95,Climatologia_TMED!A:U,9+$E$2,FALSE),"")</f>
        <v>14.41980884109914</v>
      </c>
      <c r="AS95" s="71" t="str">
        <f t="shared" si="5"/>
        <v/>
      </c>
    </row>
    <row r="96" spans="1:45" ht="14.25" customHeight="1" x14ac:dyDescent="0.2">
      <c r="A96" s="58">
        <v>24035040</v>
      </c>
      <c r="B96" s="59" t="s">
        <v>220</v>
      </c>
      <c r="C96" s="59" t="s">
        <v>208</v>
      </c>
      <c r="D96" s="73">
        <v>-73.208777777999998</v>
      </c>
      <c r="E96" s="73">
        <v>5.5791944439999996</v>
      </c>
      <c r="F96" s="58">
        <v>2700</v>
      </c>
      <c r="G96" s="58">
        <v>15</v>
      </c>
      <c r="H96" s="58">
        <v>15814</v>
      </c>
      <c r="I96" s="60" t="s">
        <v>209</v>
      </c>
      <c r="J96" s="60" t="s">
        <v>221</v>
      </c>
      <c r="K96" s="56">
        <v>13.2</v>
      </c>
      <c r="L96" s="56">
        <v>13.05</v>
      </c>
      <c r="M96" s="56">
        <v>13.6</v>
      </c>
      <c r="N96" s="56">
        <v>13.15</v>
      </c>
      <c r="O96" s="56">
        <v>13.45</v>
      </c>
      <c r="P96" s="56">
        <v>14.25</v>
      </c>
      <c r="Q96" s="56">
        <v>13.95</v>
      </c>
      <c r="R96" s="56">
        <v>14.15</v>
      </c>
      <c r="S96" s="56">
        <v>11.65</v>
      </c>
      <c r="T96" s="56">
        <v>12.3</v>
      </c>
      <c r="U96" s="56">
        <v>13.85</v>
      </c>
      <c r="V96" s="56">
        <v>12.05</v>
      </c>
      <c r="W96" s="56">
        <v>11.7</v>
      </c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13</v>
      </c>
      <c r="AQ96" s="71" t="str">
        <f t="shared" si="4"/>
        <v/>
      </c>
      <c r="AR96" s="71" t="str">
        <f>IFERROR(VLOOKUP(A96,Climatologia_TMED!A:U,9+$E$2,FALSE),"")</f>
        <v/>
      </c>
      <c r="AS96" s="71" t="str">
        <f t="shared" si="5"/>
        <v/>
      </c>
    </row>
    <row r="97" spans="1:45" ht="14.25" customHeight="1" x14ac:dyDescent="0.2">
      <c r="A97" s="58">
        <v>24035070</v>
      </c>
      <c r="B97" s="59" t="s">
        <v>222</v>
      </c>
      <c r="C97" s="59" t="s">
        <v>208</v>
      </c>
      <c r="D97" s="73">
        <v>-72.409194439999993</v>
      </c>
      <c r="E97" s="73">
        <v>6.463472222</v>
      </c>
      <c r="F97" s="58">
        <v>2963</v>
      </c>
      <c r="G97" s="58">
        <v>15</v>
      </c>
      <c r="H97" s="58">
        <v>15332</v>
      </c>
      <c r="I97" s="60" t="s">
        <v>209</v>
      </c>
      <c r="J97" s="60" t="s">
        <v>223</v>
      </c>
      <c r="K97" s="56">
        <v>15.43333333333333</v>
      </c>
      <c r="L97" s="56">
        <v>12.4</v>
      </c>
      <c r="M97" s="56">
        <v>14.33333333333333</v>
      </c>
      <c r="N97" s="56">
        <v>12.93333333333333</v>
      </c>
      <c r="O97" s="56">
        <v>14.366666666666671</v>
      </c>
      <c r="P97" s="56">
        <v>15.03333333333333</v>
      </c>
      <c r="Q97" s="56">
        <v>15.233333333333331</v>
      </c>
      <c r="R97" s="56"/>
      <c r="S97" s="56"/>
      <c r="T97" s="56">
        <v>13.03333333333333</v>
      </c>
      <c r="U97" s="56">
        <v>14.266666666666669</v>
      </c>
      <c r="V97" s="56">
        <v>14.93333333333333</v>
      </c>
      <c r="W97" s="56">
        <v>14.33333333333333</v>
      </c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11</v>
      </c>
      <c r="AQ97" s="71" t="str">
        <f t="shared" si="4"/>
        <v/>
      </c>
      <c r="AR97" s="71" t="str">
        <f>IFERROR(VLOOKUP(A97,Climatologia_TMED!A:U,9+$E$2,FALSE),"")</f>
        <v/>
      </c>
      <c r="AS97" s="71" t="str">
        <f t="shared" si="5"/>
        <v/>
      </c>
    </row>
    <row r="98" spans="1:45" ht="14.25" customHeight="1" x14ac:dyDescent="0.2">
      <c r="A98" s="58">
        <v>24035120</v>
      </c>
      <c r="B98" s="59" t="s">
        <v>224</v>
      </c>
      <c r="C98" s="59" t="s">
        <v>208</v>
      </c>
      <c r="D98" s="73">
        <v>-73.074472220000004</v>
      </c>
      <c r="E98" s="73">
        <v>5.8024444439999998</v>
      </c>
      <c r="F98" s="58">
        <v>2485</v>
      </c>
      <c r="G98" s="58">
        <v>15</v>
      </c>
      <c r="H98" s="58">
        <v>15238</v>
      </c>
      <c r="I98" s="60" t="s">
        <v>209</v>
      </c>
      <c r="J98" s="60" t="s">
        <v>225</v>
      </c>
      <c r="K98" s="56"/>
      <c r="L98" s="56"/>
      <c r="M98" s="56"/>
      <c r="N98" s="56">
        <v>14.33333333333333</v>
      </c>
      <c r="O98" s="56">
        <v>17.466666666666669</v>
      </c>
      <c r="P98" s="56">
        <v>17.733333333333331</v>
      </c>
      <c r="Q98" s="56">
        <v>16.8</v>
      </c>
      <c r="R98" s="56">
        <v>17.533333333333331</v>
      </c>
      <c r="S98" s="56">
        <v>14.33333333333333</v>
      </c>
      <c r="T98" s="56">
        <v>16.466666666666669</v>
      </c>
      <c r="U98" s="56">
        <v>15.9</v>
      </c>
      <c r="V98" s="56">
        <v>16.133333333333329</v>
      </c>
      <c r="W98" s="56">
        <v>16.3</v>
      </c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10</v>
      </c>
      <c r="AQ98" s="71" t="str">
        <f t="shared" si="4"/>
        <v/>
      </c>
      <c r="AR98" s="71">
        <f>IFERROR(VLOOKUP(A98,Climatologia_TMED!A:U,9+$E$2,FALSE),"")</f>
        <v>14.309357906107991</v>
      </c>
      <c r="AS98" s="71" t="str">
        <f t="shared" si="5"/>
        <v/>
      </c>
    </row>
    <row r="99" spans="1:45" ht="14.25" customHeight="1" x14ac:dyDescent="0.2">
      <c r="A99" s="58">
        <v>24035130</v>
      </c>
      <c r="B99" s="59" t="s">
        <v>226</v>
      </c>
      <c r="C99" s="59" t="s">
        <v>208</v>
      </c>
      <c r="D99" s="73">
        <v>-73.360813059999998</v>
      </c>
      <c r="E99" s="73">
        <v>5.5430774999999999</v>
      </c>
      <c r="F99" s="58">
        <v>2690</v>
      </c>
      <c r="G99" s="58">
        <v>15</v>
      </c>
      <c r="H99" s="58">
        <v>15001</v>
      </c>
      <c r="I99" s="60" t="s">
        <v>209</v>
      </c>
      <c r="J99" s="60" t="s">
        <v>227</v>
      </c>
      <c r="K99" s="56">
        <v>12.95</v>
      </c>
      <c r="L99" s="56">
        <v>12.8</v>
      </c>
      <c r="M99" s="56">
        <v>13</v>
      </c>
      <c r="N99" s="56"/>
      <c r="O99" s="56">
        <v>14</v>
      </c>
      <c r="P99" s="56">
        <v>13.8</v>
      </c>
      <c r="Q99" s="56">
        <v>13.85</v>
      </c>
      <c r="R99" s="56">
        <v>14.35</v>
      </c>
      <c r="S99" s="56">
        <v>11.75</v>
      </c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8</v>
      </c>
      <c r="AQ99" s="71" t="str">
        <f t="shared" si="4"/>
        <v/>
      </c>
      <c r="AR99" s="71">
        <f>IFERROR(VLOOKUP(A99,Climatologia_TMED!A:U,9+$E$2,FALSE),"")</f>
        <v>12.33240366261129</v>
      </c>
      <c r="AS99" s="71" t="str">
        <f t="shared" si="5"/>
        <v/>
      </c>
    </row>
    <row r="100" spans="1:45" ht="14.25" customHeight="1" x14ac:dyDescent="0.2">
      <c r="A100" s="58">
        <v>24035250</v>
      </c>
      <c r="B100" s="59" t="s">
        <v>228</v>
      </c>
      <c r="C100" s="59" t="s">
        <v>208</v>
      </c>
      <c r="D100" s="73">
        <v>-72.465559999999996</v>
      </c>
      <c r="E100" s="73">
        <v>6.1877800000000001</v>
      </c>
      <c r="F100" s="58">
        <v>2961</v>
      </c>
      <c r="G100" s="58">
        <v>15</v>
      </c>
      <c r="H100" s="58">
        <v>15183</v>
      </c>
      <c r="I100" s="60" t="s">
        <v>209</v>
      </c>
      <c r="J100" s="60" t="s">
        <v>229</v>
      </c>
      <c r="K100" s="56">
        <v>13.866666666666671</v>
      </c>
      <c r="L100" s="56">
        <v>11.733333333333331</v>
      </c>
      <c r="M100" s="56">
        <v>13.133333333333329</v>
      </c>
      <c r="N100" s="56">
        <v>13.4</v>
      </c>
      <c r="O100" s="56"/>
      <c r="P100" s="56"/>
      <c r="Q100" s="56">
        <v>13.933333333333341</v>
      </c>
      <c r="R100" s="56">
        <v>14.2</v>
      </c>
      <c r="S100" s="56">
        <v>10.4</v>
      </c>
      <c r="T100" s="56">
        <v>12.53333333333333</v>
      </c>
      <c r="U100" s="56">
        <v>13.06666666666667</v>
      </c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9</v>
      </c>
      <c r="AQ100" s="71" t="str">
        <f t="shared" si="4"/>
        <v/>
      </c>
      <c r="AR100" s="71">
        <f>IFERROR(VLOOKUP(A100,Climatologia_TMED!A:U,9+$E$2,FALSE),"")</f>
        <v>11.246995369385891</v>
      </c>
      <c r="AS100" s="71" t="str">
        <f t="shared" si="5"/>
        <v/>
      </c>
    </row>
    <row r="101" spans="1:45" ht="14.25" customHeight="1" x14ac:dyDescent="0.2">
      <c r="A101" s="58">
        <v>24035260</v>
      </c>
      <c r="B101" s="59" t="s">
        <v>230</v>
      </c>
      <c r="C101" s="59" t="s">
        <v>208</v>
      </c>
      <c r="D101" s="73">
        <v>-72.696611110000006</v>
      </c>
      <c r="E101" s="73">
        <v>6.5207222219999998</v>
      </c>
      <c r="F101" s="58">
        <v>1160</v>
      </c>
      <c r="G101" s="58">
        <v>68</v>
      </c>
      <c r="H101" s="58">
        <v>68147</v>
      </c>
      <c r="I101" s="60" t="s">
        <v>44</v>
      </c>
      <c r="J101" s="60" t="s">
        <v>230</v>
      </c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0</v>
      </c>
      <c r="AQ101" s="71" t="str">
        <f t="shared" si="4"/>
        <v/>
      </c>
      <c r="AR101" s="71">
        <f>IFERROR(VLOOKUP(A101,Climatologia_TMED!A:U,9+$E$2,FALSE),"")</f>
        <v>25.395078143361999</v>
      </c>
      <c r="AS101" s="71" t="str">
        <f t="shared" si="5"/>
        <v/>
      </c>
    </row>
    <row r="102" spans="1:45" ht="14.25" customHeight="1" x14ac:dyDescent="0.2">
      <c r="A102" s="58">
        <v>24035310</v>
      </c>
      <c r="B102" s="59" t="s">
        <v>231</v>
      </c>
      <c r="C102" s="59" t="s">
        <v>208</v>
      </c>
      <c r="D102" s="73">
        <v>-72.504722220000005</v>
      </c>
      <c r="E102" s="73">
        <v>6.5495277779999999</v>
      </c>
      <c r="F102" s="58">
        <v>2350</v>
      </c>
      <c r="G102" s="58">
        <v>15</v>
      </c>
      <c r="H102" s="58">
        <v>15180</v>
      </c>
      <c r="I102" s="60" t="s">
        <v>209</v>
      </c>
      <c r="J102" s="60" t="s">
        <v>231</v>
      </c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0</v>
      </c>
      <c r="AQ102" s="71" t="str">
        <f t="shared" si="4"/>
        <v/>
      </c>
      <c r="AR102" s="71">
        <f>IFERROR(VLOOKUP(A102,Climatologia_TMED!A:U,9+$E$2,FALSE),"")</f>
        <v>16.66618458320529</v>
      </c>
      <c r="AS102" s="71" t="str">
        <f t="shared" si="5"/>
        <v/>
      </c>
    </row>
    <row r="103" spans="1:45" ht="14.25" customHeight="1" x14ac:dyDescent="0.2">
      <c r="A103" s="58">
        <v>24035330</v>
      </c>
      <c r="B103" s="59" t="s">
        <v>232</v>
      </c>
      <c r="C103" s="59" t="s">
        <v>208</v>
      </c>
      <c r="D103" s="73">
        <v>-72.582277779999998</v>
      </c>
      <c r="E103" s="73">
        <v>6.328972222</v>
      </c>
      <c r="F103" s="58">
        <v>2150</v>
      </c>
      <c r="G103" s="58">
        <v>15</v>
      </c>
      <c r="H103" s="58">
        <v>15097</v>
      </c>
      <c r="I103" s="60" t="s">
        <v>209</v>
      </c>
      <c r="J103" s="60" t="s">
        <v>232</v>
      </c>
      <c r="K103" s="56">
        <v>18.86666666666666</v>
      </c>
      <c r="L103" s="56">
        <v>16.600000000000001</v>
      </c>
      <c r="M103" s="56">
        <v>17.466666666666669</v>
      </c>
      <c r="N103" s="56">
        <v>16.533333333333331</v>
      </c>
      <c r="O103" s="56">
        <v>16.733333333333331</v>
      </c>
      <c r="P103" s="56"/>
      <c r="Q103" s="56"/>
      <c r="R103" s="56"/>
      <c r="S103" s="56">
        <v>16.06666666666667</v>
      </c>
      <c r="T103" s="56">
        <v>18.266666666666669</v>
      </c>
      <c r="U103" s="56">
        <v>17.600000000000001</v>
      </c>
      <c r="V103" s="56">
        <v>18.666666666666671</v>
      </c>
      <c r="W103" s="56">
        <v>16.93333333333333</v>
      </c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10</v>
      </c>
      <c r="AQ103" s="71" t="str">
        <f t="shared" si="4"/>
        <v/>
      </c>
      <c r="AR103" s="71">
        <f>IFERROR(VLOOKUP(A103,Climatologia_TMED!A:U,9+$E$2,FALSE),"")</f>
        <v>17.044537508476271</v>
      </c>
      <c r="AS103" s="71" t="str">
        <f t="shared" si="5"/>
        <v/>
      </c>
    </row>
    <row r="104" spans="1:45" ht="14.25" customHeight="1" x14ac:dyDescent="0.2">
      <c r="A104" s="58">
        <v>24035340</v>
      </c>
      <c r="B104" s="59" t="s">
        <v>233</v>
      </c>
      <c r="C104" s="59" t="s">
        <v>208</v>
      </c>
      <c r="D104" s="73">
        <v>-72.967916669999994</v>
      </c>
      <c r="E104" s="73">
        <v>5.6769444440000001</v>
      </c>
      <c r="F104" s="58">
        <v>2500</v>
      </c>
      <c r="G104" s="58">
        <v>15</v>
      </c>
      <c r="H104" s="58">
        <v>15759</v>
      </c>
      <c r="I104" s="60" t="s">
        <v>209</v>
      </c>
      <c r="J104" s="60" t="s">
        <v>234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13.676970021560299</v>
      </c>
      <c r="AS104" s="71" t="str">
        <f t="shared" si="5"/>
        <v/>
      </c>
    </row>
    <row r="105" spans="1:45" ht="14.25" customHeight="1" x14ac:dyDescent="0.2">
      <c r="A105" s="58">
        <v>24035420</v>
      </c>
      <c r="B105" s="59" t="s">
        <v>235</v>
      </c>
      <c r="C105" s="59" t="s">
        <v>208</v>
      </c>
      <c r="D105" s="73">
        <v>-72.938500000000005</v>
      </c>
      <c r="E105" s="73">
        <v>5.96225</v>
      </c>
      <c r="F105" s="58">
        <v>2643</v>
      </c>
      <c r="G105" s="58">
        <v>15</v>
      </c>
      <c r="H105" s="58">
        <v>15162</v>
      </c>
      <c r="I105" s="60" t="s">
        <v>209</v>
      </c>
      <c r="J105" s="60" t="s">
        <v>235</v>
      </c>
      <c r="K105" s="56">
        <v>16</v>
      </c>
      <c r="L105" s="56">
        <v>14.53333333333333</v>
      </c>
      <c r="M105" s="56"/>
      <c r="N105" s="56"/>
      <c r="O105" s="56"/>
      <c r="P105" s="56">
        <v>15.66666666666667</v>
      </c>
      <c r="Q105" s="56">
        <v>14.93333333333333</v>
      </c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4</v>
      </c>
      <c r="AQ105" s="71" t="str">
        <f t="shared" si="4"/>
        <v/>
      </c>
      <c r="AR105" s="71">
        <f>IFERROR(VLOOKUP(A105,Climatologia_TMED!A:U,9+$E$2,FALSE),"")</f>
        <v>13.42031660692947</v>
      </c>
      <c r="AS105" s="71" t="str">
        <f t="shared" si="5"/>
        <v/>
      </c>
    </row>
    <row r="106" spans="1:45" ht="14.25" customHeight="1" x14ac:dyDescent="0.2">
      <c r="A106" s="58">
        <v>24035430</v>
      </c>
      <c r="B106" s="59" t="s">
        <v>236</v>
      </c>
      <c r="C106" s="59" t="s">
        <v>208</v>
      </c>
      <c r="D106" s="73">
        <v>-73.11636</v>
      </c>
      <c r="E106" s="73">
        <v>5.7458299999999998</v>
      </c>
      <c r="F106" s="58">
        <v>2521</v>
      </c>
      <c r="G106" s="58">
        <v>15</v>
      </c>
      <c r="H106" s="58">
        <v>15516</v>
      </c>
      <c r="I106" s="60" t="s">
        <v>209</v>
      </c>
      <c r="J106" s="60" t="s">
        <v>237</v>
      </c>
      <c r="K106" s="56">
        <v>13.65</v>
      </c>
      <c r="L106" s="56">
        <v>12.85</v>
      </c>
      <c r="M106" s="56">
        <v>12.65</v>
      </c>
      <c r="N106" s="56">
        <v>13.7</v>
      </c>
      <c r="O106" s="56">
        <v>15.35</v>
      </c>
      <c r="P106" s="56">
        <v>15.55</v>
      </c>
      <c r="Q106" s="56">
        <v>15.65</v>
      </c>
      <c r="R106" s="56">
        <v>13.25</v>
      </c>
      <c r="S106" s="56">
        <v>12.3</v>
      </c>
      <c r="T106" s="56">
        <v>13</v>
      </c>
      <c r="U106" s="56">
        <v>13.7</v>
      </c>
      <c r="V106" s="56">
        <v>14.7</v>
      </c>
      <c r="W106" s="56">
        <v>13.9</v>
      </c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13</v>
      </c>
      <c r="AQ106" s="71" t="str">
        <f t="shared" si="4"/>
        <v/>
      </c>
      <c r="AR106" s="71">
        <f>IFERROR(VLOOKUP(A106,Climatologia_TMED!A:U,9+$E$2,FALSE),"")</f>
        <v>14.22903291473181</v>
      </c>
      <c r="AS106" s="71" t="str">
        <f t="shared" si="5"/>
        <v/>
      </c>
    </row>
    <row r="107" spans="1:45" ht="14.25" customHeight="1" x14ac:dyDescent="0.2">
      <c r="A107" s="58">
        <v>35075010</v>
      </c>
      <c r="B107" s="59" t="s">
        <v>238</v>
      </c>
      <c r="C107" s="59" t="s">
        <v>208</v>
      </c>
      <c r="D107" s="73">
        <v>-73.453777779999996</v>
      </c>
      <c r="E107" s="73">
        <v>5.3526944439999999</v>
      </c>
      <c r="F107" s="58">
        <v>2438</v>
      </c>
      <c r="G107" s="58">
        <v>15</v>
      </c>
      <c r="H107" s="58">
        <v>15494</v>
      </c>
      <c r="I107" s="60" t="s">
        <v>209</v>
      </c>
      <c r="J107" s="60" t="s">
        <v>239</v>
      </c>
      <c r="K107" s="56">
        <v>14</v>
      </c>
      <c r="L107" s="56">
        <v>13.65</v>
      </c>
      <c r="M107" s="56">
        <v>13.8</v>
      </c>
      <c r="N107" s="56">
        <v>14.15</v>
      </c>
      <c r="O107" s="56">
        <v>14.7</v>
      </c>
      <c r="P107" s="56">
        <v>15.3</v>
      </c>
      <c r="Q107" s="56">
        <v>14.3</v>
      </c>
      <c r="R107" s="56">
        <v>15.05</v>
      </c>
      <c r="S107" s="56">
        <v>14.2</v>
      </c>
      <c r="T107" s="56">
        <v>14.25</v>
      </c>
      <c r="U107" s="56">
        <v>15.25</v>
      </c>
      <c r="V107" s="56">
        <v>14.3</v>
      </c>
      <c r="W107" s="56">
        <v>13.5</v>
      </c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13</v>
      </c>
      <c r="AQ107" s="71" t="str">
        <f t="shared" si="4"/>
        <v/>
      </c>
      <c r="AR107" s="71">
        <f>IFERROR(VLOOKUP(A107,Climatologia_TMED!A:U,9+$E$2,FALSE),"")</f>
        <v>13.71376308750779</v>
      </c>
      <c r="AS107" s="71" t="str">
        <f t="shared" si="5"/>
        <v/>
      </c>
    </row>
    <row r="108" spans="1:45" ht="14.25" customHeight="1" x14ac:dyDescent="0.2">
      <c r="A108" s="58">
        <v>35075020</v>
      </c>
      <c r="B108" s="59" t="s">
        <v>240</v>
      </c>
      <c r="C108" s="59" t="s">
        <v>208</v>
      </c>
      <c r="D108" s="73">
        <v>-73.449166669999997</v>
      </c>
      <c r="E108" s="73">
        <v>5.0222777780000003</v>
      </c>
      <c r="F108" s="58">
        <v>1930</v>
      </c>
      <c r="G108" s="58">
        <v>15</v>
      </c>
      <c r="H108" s="58">
        <v>15778</v>
      </c>
      <c r="I108" s="60" t="s">
        <v>209</v>
      </c>
      <c r="J108" s="60" t="s">
        <v>240</v>
      </c>
      <c r="K108" s="56">
        <v>17.600000000000001</v>
      </c>
      <c r="L108" s="56">
        <v>15.93333333333333</v>
      </c>
      <c r="M108" s="56">
        <v>17.06666666666667</v>
      </c>
      <c r="N108" s="56">
        <v>16.133333333333329</v>
      </c>
      <c r="O108" s="56">
        <v>17.93333333333333</v>
      </c>
      <c r="P108" s="56">
        <v>17.86666666666666</v>
      </c>
      <c r="Q108" s="56">
        <v>16.866666666666671</v>
      </c>
      <c r="R108" s="56">
        <v>18.06666666666667</v>
      </c>
      <c r="S108" s="56">
        <v>18.533333333333331</v>
      </c>
      <c r="T108" s="56">
        <v>17.533333333333331</v>
      </c>
      <c r="U108" s="56">
        <v>18</v>
      </c>
      <c r="V108" s="56">
        <v>16.93333333333333</v>
      </c>
      <c r="W108" s="56">
        <v>17.133333333333329</v>
      </c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13</v>
      </c>
      <c r="AQ108" s="71" t="str">
        <f t="shared" si="4"/>
        <v/>
      </c>
      <c r="AR108" s="71">
        <f>IFERROR(VLOOKUP(A108,Climatologia_TMED!A:U,9+$E$2,FALSE),"")</f>
        <v>16.934962038466889</v>
      </c>
      <c r="AS108" s="71" t="str">
        <f t="shared" si="5"/>
        <v/>
      </c>
    </row>
    <row r="109" spans="1:45" ht="14.25" customHeight="1" x14ac:dyDescent="0.2">
      <c r="A109" s="58">
        <v>35075030</v>
      </c>
      <c r="B109" s="59" t="s">
        <v>241</v>
      </c>
      <c r="C109" s="59" t="s">
        <v>208</v>
      </c>
      <c r="D109" s="73">
        <v>-73.349416669999997</v>
      </c>
      <c r="E109" s="73">
        <v>5.4222222220000003</v>
      </c>
      <c r="F109" s="58">
        <v>2200</v>
      </c>
      <c r="G109" s="58">
        <v>15</v>
      </c>
      <c r="H109" s="58">
        <v>15599</v>
      </c>
      <c r="I109" s="60" t="s">
        <v>209</v>
      </c>
      <c r="J109" s="60" t="s">
        <v>242</v>
      </c>
      <c r="K109" s="56">
        <v>15.33333333333333</v>
      </c>
      <c r="L109" s="56">
        <v>14.8</v>
      </c>
      <c r="M109" s="56">
        <v>15.2</v>
      </c>
      <c r="N109" s="56">
        <v>15.06666666666667</v>
      </c>
      <c r="O109" s="56">
        <v>16.666666666666671</v>
      </c>
      <c r="P109" s="56">
        <v>16.866666666666671</v>
      </c>
      <c r="Q109" s="56">
        <v>15.66666666666667</v>
      </c>
      <c r="R109" s="56">
        <v>16.466666666666669</v>
      </c>
      <c r="S109" s="56">
        <v>15.133333333333329</v>
      </c>
      <c r="T109" s="56">
        <v>15.4</v>
      </c>
      <c r="U109" s="56">
        <v>16.86666666666666</v>
      </c>
      <c r="V109" s="56">
        <v>15.8</v>
      </c>
      <c r="W109" s="56">
        <v>14.866666666666671</v>
      </c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13</v>
      </c>
      <c r="AQ109" s="71" t="str">
        <f t="shared" si="4"/>
        <v/>
      </c>
      <c r="AR109" s="71">
        <f>IFERROR(VLOOKUP(A109,Climatologia_TMED!A:U,9+$E$2,FALSE),"")</f>
        <v>15.502363523573189</v>
      </c>
      <c r="AS109" s="71" t="str">
        <f t="shared" si="5"/>
        <v/>
      </c>
    </row>
    <row r="110" spans="1:45" ht="14.25" customHeight="1" x14ac:dyDescent="0.2">
      <c r="A110" s="58">
        <v>35075040</v>
      </c>
      <c r="B110" s="59" t="s">
        <v>243</v>
      </c>
      <c r="C110" s="59" t="s">
        <v>208</v>
      </c>
      <c r="D110" s="73">
        <v>-73.316749999999999</v>
      </c>
      <c r="E110" s="73">
        <v>4.9743611110000003</v>
      </c>
      <c r="F110" s="58">
        <v>1300</v>
      </c>
      <c r="G110" s="58">
        <v>15</v>
      </c>
      <c r="H110" s="58">
        <v>15425</v>
      </c>
      <c r="I110" s="60" t="s">
        <v>209</v>
      </c>
      <c r="J110" s="60" t="s">
        <v>244</v>
      </c>
      <c r="K110" s="56">
        <v>17.666666666666671</v>
      </c>
      <c r="L110" s="56">
        <v>16.466666666666669</v>
      </c>
      <c r="M110" s="56">
        <v>16.133333333333329</v>
      </c>
      <c r="N110" s="56">
        <v>16.666666666666671</v>
      </c>
      <c r="O110" s="56">
        <v>17.13333333333334</v>
      </c>
      <c r="P110" s="56">
        <v>18.133333333333329</v>
      </c>
      <c r="Q110" s="56">
        <v>16.93333333333333</v>
      </c>
      <c r="R110" s="56">
        <v>19.399999999999999</v>
      </c>
      <c r="S110" s="56">
        <v>16.8</v>
      </c>
      <c r="T110" s="56">
        <v>18</v>
      </c>
      <c r="U110" s="56">
        <v>18.2</v>
      </c>
      <c r="V110" s="56">
        <v>18.06666666666667</v>
      </c>
      <c r="W110" s="56">
        <v>18</v>
      </c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13</v>
      </c>
      <c r="AQ110" s="71" t="str">
        <f t="shared" si="4"/>
        <v/>
      </c>
      <c r="AR110" s="71">
        <f>IFERROR(VLOOKUP(A110,Climatologia_TMED!A:U,9+$E$2,FALSE),"")</f>
        <v>16.37969626110208</v>
      </c>
      <c r="AS110" s="71" t="str">
        <f t="shared" si="5"/>
        <v/>
      </c>
    </row>
    <row r="111" spans="1:45" ht="14.25" customHeight="1" x14ac:dyDescent="0.2">
      <c r="A111" s="58">
        <v>35085040</v>
      </c>
      <c r="B111" s="59" t="s">
        <v>245</v>
      </c>
      <c r="C111" s="59" t="s">
        <v>208</v>
      </c>
      <c r="D111" s="73">
        <v>-73.144777779999998</v>
      </c>
      <c r="E111" s="73">
        <v>5.1925555560000003</v>
      </c>
      <c r="F111" s="58">
        <v>1640</v>
      </c>
      <c r="G111" s="58">
        <v>15</v>
      </c>
      <c r="H111" s="58">
        <v>15455</v>
      </c>
      <c r="I111" s="60" t="s">
        <v>209</v>
      </c>
      <c r="J111" s="60" t="s">
        <v>246</v>
      </c>
      <c r="K111" s="56">
        <v>19.733333333333331</v>
      </c>
      <c r="L111" s="56">
        <v>17.399999999999999</v>
      </c>
      <c r="M111" s="56">
        <v>17.2</v>
      </c>
      <c r="N111" s="56">
        <v>17.399999999999999</v>
      </c>
      <c r="O111" s="56">
        <v>19.2</v>
      </c>
      <c r="P111" s="56">
        <v>19.266666666666669</v>
      </c>
      <c r="Q111" s="56">
        <v>18.8</v>
      </c>
      <c r="R111" s="56">
        <v>19.86666666666666</v>
      </c>
      <c r="S111" s="56"/>
      <c r="T111" s="56">
        <v>19.06666666666667</v>
      </c>
      <c r="U111" s="56">
        <v>19.666666666666671</v>
      </c>
      <c r="V111" s="56">
        <v>17.93333333333333</v>
      </c>
      <c r="W111" s="56">
        <v>18.266666666666669</v>
      </c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12</v>
      </c>
      <c r="AQ111" s="71" t="str">
        <f t="shared" si="4"/>
        <v/>
      </c>
      <c r="AR111" s="71">
        <f>IFERROR(VLOOKUP(A111,Climatologia_TMED!A:U,9+$E$2,FALSE),"")</f>
        <v>18.124387467556531</v>
      </c>
      <c r="AS111" s="71" t="str">
        <f t="shared" si="5"/>
        <v/>
      </c>
    </row>
    <row r="112" spans="1:45" ht="14.25" customHeight="1" x14ac:dyDescent="0.2">
      <c r="A112" s="58">
        <v>35085050</v>
      </c>
      <c r="B112" s="59" t="s">
        <v>247</v>
      </c>
      <c r="C112" s="59" t="s">
        <v>208</v>
      </c>
      <c r="D112" s="73">
        <v>-73.103666669999996</v>
      </c>
      <c r="E112" s="73">
        <v>5.0345000000000004</v>
      </c>
      <c r="F112" s="58">
        <v>1300</v>
      </c>
      <c r="G112" s="58">
        <v>15</v>
      </c>
      <c r="H112" s="58">
        <v>15135</v>
      </c>
      <c r="I112" s="60" t="s">
        <v>209</v>
      </c>
      <c r="J112" s="60" t="s">
        <v>247</v>
      </c>
      <c r="K112" s="56"/>
      <c r="L112" s="56">
        <v>19.399999999999999</v>
      </c>
      <c r="M112" s="56">
        <v>20</v>
      </c>
      <c r="N112" s="56"/>
      <c r="O112" s="56"/>
      <c r="P112" s="56"/>
      <c r="Q112" s="56">
        <v>20.399999999999999</v>
      </c>
      <c r="R112" s="56">
        <v>23.266666666666669</v>
      </c>
      <c r="S112" s="56">
        <v>19.600000000000001</v>
      </c>
      <c r="T112" s="56">
        <v>21.666666666666671</v>
      </c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6</v>
      </c>
      <c r="AQ112" s="71" t="str">
        <f t="shared" si="4"/>
        <v/>
      </c>
      <c r="AR112" s="71">
        <f>IFERROR(VLOOKUP(A112,Climatologia_TMED!A:U,9+$E$2,FALSE),"")</f>
        <v>20.166521223382851</v>
      </c>
      <c r="AS112" s="71" t="str">
        <f t="shared" si="5"/>
        <v/>
      </c>
    </row>
    <row r="113" spans="1:45" ht="14.25" customHeight="1" x14ac:dyDescent="0.2">
      <c r="A113" s="58">
        <v>35195030</v>
      </c>
      <c r="B113" s="59" t="s">
        <v>248</v>
      </c>
      <c r="C113" s="59" t="s">
        <v>208</v>
      </c>
      <c r="D113" s="73">
        <v>-72.547388889999993</v>
      </c>
      <c r="E113" s="73">
        <v>5.1770833329999997</v>
      </c>
      <c r="F113" s="58">
        <v>380</v>
      </c>
      <c r="G113" s="58">
        <v>85</v>
      </c>
      <c r="H113" s="58">
        <v>85010</v>
      </c>
      <c r="I113" s="60" t="s">
        <v>163</v>
      </c>
      <c r="J113" s="60" t="s">
        <v>248</v>
      </c>
      <c r="K113" s="56">
        <v>26.95</v>
      </c>
      <c r="L113" s="56">
        <v>24.55</v>
      </c>
      <c r="M113" s="56">
        <v>25.6</v>
      </c>
      <c r="N113" s="56">
        <v>24</v>
      </c>
      <c r="O113" s="56">
        <v>24.7</v>
      </c>
      <c r="P113" s="56">
        <v>26.55</v>
      </c>
      <c r="Q113" s="56">
        <v>25.3</v>
      </c>
      <c r="R113" s="56">
        <v>25.95</v>
      </c>
      <c r="S113" s="56">
        <v>24.15</v>
      </c>
      <c r="T113" s="56">
        <v>26.8</v>
      </c>
      <c r="U113" s="56">
        <v>27.1</v>
      </c>
      <c r="V113" s="56">
        <v>26.35</v>
      </c>
      <c r="W113" s="56">
        <v>27.25</v>
      </c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13</v>
      </c>
      <c r="AQ113" s="71" t="str">
        <f t="shared" si="4"/>
        <v/>
      </c>
      <c r="AR113" s="71">
        <f>IFERROR(VLOOKUP(A113,Climatologia_TMED!A:U,9+$E$2,FALSE),"")</f>
        <v>25.844479977753021</v>
      </c>
      <c r="AS113" s="71" t="str">
        <f t="shared" si="5"/>
        <v/>
      </c>
    </row>
    <row r="114" spans="1:45" ht="14.25" customHeight="1" x14ac:dyDescent="0.2">
      <c r="A114" s="58">
        <v>35195050</v>
      </c>
      <c r="B114" s="59" t="s">
        <v>249</v>
      </c>
      <c r="C114" s="59" t="s">
        <v>208</v>
      </c>
      <c r="D114" s="73">
        <v>-72.717222219999996</v>
      </c>
      <c r="E114" s="73">
        <v>5.4072777780000001</v>
      </c>
      <c r="F114" s="58">
        <v>1550</v>
      </c>
      <c r="G114" s="58">
        <v>15</v>
      </c>
      <c r="H114" s="58">
        <v>15518</v>
      </c>
      <c r="I114" s="60" t="s">
        <v>209</v>
      </c>
      <c r="J114" s="60" t="s">
        <v>250</v>
      </c>
      <c r="K114" s="56">
        <v>19.733333333333331</v>
      </c>
      <c r="L114" s="56">
        <v>17.93333333333333</v>
      </c>
      <c r="M114" s="56">
        <v>19.333333333333329</v>
      </c>
      <c r="N114" s="56">
        <v>17.666666666666671</v>
      </c>
      <c r="O114" s="56">
        <v>19.533333333333331</v>
      </c>
      <c r="P114" s="56">
        <v>19.8</v>
      </c>
      <c r="Q114" s="56">
        <v>19.666666666666671</v>
      </c>
      <c r="R114" s="56">
        <v>19.733333333333331</v>
      </c>
      <c r="S114" s="56">
        <v>17.2</v>
      </c>
      <c r="T114" s="56">
        <v>19.06666666666667</v>
      </c>
      <c r="U114" s="56">
        <v>19.733333333333331</v>
      </c>
      <c r="V114" s="56">
        <v>19.93333333333333</v>
      </c>
      <c r="W114" s="56">
        <v>20</v>
      </c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13</v>
      </c>
      <c r="AQ114" s="71" t="str">
        <f t="shared" si="4"/>
        <v/>
      </c>
      <c r="AR114" s="71">
        <f>IFERROR(VLOOKUP(A114,Climatologia_TMED!A:U,9+$E$2,FALSE),"")</f>
        <v>18.39650516634082</v>
      </c>
      <c r="AS114" s="71" t="str">
        <f t="shared" si="5"/>
        <v/>
      </c>
    </row>
    <row r="115" spans="1:45" ht="14.25" customHeight="1" x14ac:dyDescent="0.2">
      <c r="A115" s="58">
        <v>35215020</v>
      </c>
      <c r="B115" s="59" t="s">
        <v>251</v>
      </c>
      <c r="C115" s="59" t="s">
        <v>208</v>
      </c>
      <c r="D115" s="73">
        <v>-72.387500000000003</v>
      </c>
      <c r="E115" s="73">
        <v>5.3204444439999996</v>
      </c>
      <c r="F115" s="58">
        <v>325</v>
      </c>
      <c r="G115" s="58">
        <v>85</v>
      </c>
      <c r="H115" s="58">
        <v>85001</v>
      </c>
      <c r="I115" s="60" t="s">
        <v>163</v>
      </c>
      <c r="J115" s="60" t="s">
        <v>252</v>
      </c>
      <c r="K115" s="56">
        <v>26.2</v>
      </c>
      <c r="L115" s="56">
        <v>24.733333333333331</v>
      </c>
      <c r="M115" s="56">
        <v>25.4</v>
      </c>
      <c r="N115" s="56">
        <v>24.2</v>
      </c>
      <c r="O115" s="56">
        <v>24.2</v>
      </c>
      <c r="P115" s="56">
        <v>26.6</v>
      </c>
      <c r="Q115" s="56">
        <v>26.13333333333334</v>
      </c>
      <c r="R115" s="56">
        <v>27.666666666666671</v>
      </c>
      <c r="S115" s="56">
        <v>23.8</v>
      </c>
      <c r="T115" s="56">
        <v>27.13333333333334</v>
      </c>
      <c r="U115" s="56">
        <v>27</v>
      </c>
      <c r="V115" s="56">
        <v>26.06666666666667</v>
      </c>
      <c r="W115" s="56">
        <v>26.733333333333331</v>
      </c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13</v>
      </c>
      <c r="AQ115" s="71" t="str">
        <f t="shared" si="4"/>
        <v/>
      </c>
      <c r="AR115" s="71">
        <f>IFERROR(VLOOKUP(A115,Climatologia_TMED!A:U,9+$E$2,FALSE),"")</f>
        <v>25.368839605734749</v>
      </c>
      <c r="AS115" s="71" t="str">
        <f t="shared" si="5"/>
        <v/>
      </c>
    </row>
    <row r="116" spans="1:45" ht="14.25" customHeight="1" x14ac:dyDescent="0.2">
      <c r="A116" s="58">
        <v>35235040</v>
      </c>
      <c r="B116" s="59" t="s">
        <v>253</v>
      </c>
      <c r="C116" s="59" t="s">
        <v>208</v>
      </c>
      <c r="D116" s="73">
        <v>-71.666166669999996</v>
      </c>
      <c r="E116" s="73">
        <v>5.4190277780000002</v>
      </c>
      <c r="F116" s="58">
        <v>265</v>
      </c>
      <c r="G116" s="58">
        <v>85</v>
      </c>
      <c r="H116" s="58">
        <v>85430</v>
      </c>
      <c r="I116" s="60" t="s">
        <v>163</v>
      </c>
      <c r="J116" s="60" t="s">
        <v>254</v>
      </c>
      <c r="K116" s="56">
        <v>28.666666666666671</v>
      </c>
      <c r="L116" s="56">
        <v>28.266666666666669</v>
      </c>
      <c r="M116" s="56">
        <v>27.333333333333329</v>
      </c>
      <c r="N116" s="56">
        <v>28.466666666666669</v>
      </c>
      <c r="O116" s="56">
        <v>28.533333333333331</v>
      </c>
      <c r="P116" s="56">
        <v>29.466666666666669</v>
      </c>
      <c r="Q116" s="56">
        <v>28.266666666666669</v>
      </c>
      <c r="R116" s="56">
        <v>28.13333333333334</v>
      </c>
      <c r="S116" s="56">
        <v>27.266666666666669</v>
      </c>
      <c r="T116" s="56">
        <v>28.4</v>
      </c>
      <c r="U116" s="56">
        <v>28.333333333333329</v>
      </c>
      <c r="V116" s="56">
        <v>27.733333333333331</v>
      </c>
      <c r="W116" s="56">
        <v>28.6</v>
      </c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13</v>
      </c>
      <c r="AQ116" s="71" t="str">
        <f t="shared" si="4"/>
        <v/>
      </c>
      <c r="AR116" s="71">
        <f>IFERROR(VLOOKUP(A116,Climatologia_TMED!A:U,9+$E$2,FALSE),"")</f>
        <v>25.753279569892459</v>
      </c>
      <c r="AS116" s="71" t="str">
        <f t="shared" si="5"/>
        <v/>
      </c>
    </row>
    <row r="117" spans="1:45" ht="14.25" customHeight="1" x14ac:dyDescent="0.2">
      <c r="A117" s="58">
        <v>35235050</v>
      </c>
      <c r="B117" s="59" t="s">
        <v>255</v>
      </c>
      <c r="C117" s="59" t="s">
        <v>208</v>
      </c>
      <c r="D117" s="73">
        <v>-72.166777780000004</v>
      </c>
      <c r="E117" s="73">
        <v>5.8185833330000003</v>
      </c>
      <c r="F117" s="58">
        <v>117</v>
      </c>
      <c r="G117" s="58">
        <v>85</v>
      </c>
      <c r="H117" s="58">
        <v>85400</v>
      </c>
      <c r="I117" s="60" t="s">
        <v>163</v>
      </c>
      <c r="J117" s="60" t="s">
        <v>256</v>
      </c>
      <c r="K117" s="56">
        <v>23.333333333333329</v>
      </c>
      <c r="L117" s="56">
        <v>22</v>
      </c>
      <c r="M117" s="56">
        <v>23</v>
      </c>
      <c r="N117" s="56">
        <v>22</v>
      </c>
      <c r="O117" s="56">
        <v>23</v>
      </c>
      <c r="P117" s="56">
        <v>24.066666666666659</v>
      </c>
      <c r="Q117" s="56">
        <v>23.666666666666671</v>
      </c>
      <c r="R117" s="56">
        <v>23.333333333333329</v>
      </c>
      <c r="S117" s="56">
        <v>22.93333333333333</v>
      </c>
      <c r="T117" s="56">
        <v>24.333333333333329</v>
      </c>
      <c r="U117" s="56">
        <v>23.533333333333331</v>
      </c>
      <c r="V117" s="56">
        <v>22.13333333333334</v>
      </c>
      <c r="W117" s="56">
        <v>23</v>
      </c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13</v>
      </c>
      <c r="AQ117" s="71" t="str">
        <f t="shared" si="4"/>
        <v/>
      </c>
      <c r="AR117" s="71">
        <f>IFERROR(VLOOKUP(A117,Climatologia_TMED!A:U,9+$E$2,FALSE),"")</f>
        <v>21.728440860215009</v>
      </c>
      <c r="AS117" s="71" t="str">
        <f t="shared" si="5"/>
        <v/>
      </c>
    </row>
    <row r="118" spans="1:45" ht="14.25" customHeight="1" x14ac:dyDescent="0.2">
      <c r="A118" s="58">
        <v>36015010</v>
      </c>
      <c r="B118" s="59" t="s">
        <v>257</v>
      </c>
      <c r="C118" s="59" t="s">
        <v>208</v>
      </c>
      <c r="D118" s="73">
        <v>-71.887194440000002</v>
      </c>
      <c r="E118" s="73">
        <v>5.8785277779999996</v>
      </c>
      <c r="F118" s="58">
        <v>342</v>
      </c>
      <c r="G118" s="58">
        <v>85</v>
      </c>
      <c r="H118" s="58">
        <v>85250</v>
      </c>
      <c r="I118" s="60" t="s">
        <v>163</v>
      </c>
      <c r="J118" s="60" t="s">
        <v>257</v>
      </c>
      <c r="K118" s="56"/>
      <c r="L118" s="56">
        <v>25</v>
      </c>
      <c r="M118" s="56">
        <v>25.13333333333334</v>
      </c>
      <c r="N118" s="56">
        <v>26.466666666666669</v>
      </c>
      <c r="O118" s="56">
        <v>26.133333333333329</v>
      </c>
      <c r="P118" s="56"/>
      <c r="Q118" s="56"/>
      <c r="R118" s="56"/>
      <c r="S118" s="56">
        <v>23.666666666666671</v>
      </c>
      <c r="T118" s="56">
        <v>28.2</v>
      </c>
      <c r="U118" s="56">
        <v>27.93333333333333</v>
      </c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7</v>
      </c>
      <c r="AQ118" s="71" t="str">
        <f t="shared" si="4"/>
        <v/>
      </c>
      <c r="AR118" s="71">
        <f>IFERROR(VLOOKUP(A118,Climatologia_TMED!A:U,9+$E$2,FALSE),"")</f>
        <v>25.70804901932819</v>
      </c>
      <c r="AS118" s="71" t="str">
        <f t="shared" si="5"/>
        <v/>
      </c>
    </row>
    <row r="119" spans="1:45" ht="14.25" customHeight="1" x14ac:dyDescent="0.2">
      <c r="A119" s="58">
        <v>36025010</v>
      </c>
      <c r="B119" s="59" t="s">
        <v>258</v>
      </c>
      <c r="C119" s="59" t="s">
        <v>208</v>
      </c>
      <c r="D119" s="73">
        <v>-71.745027780000001</v>
      </c>
      <c r="E119" s="73">
        <v>6.4561944440000003</v>
      </c>
      <c r="F119" s="58">
        <v>350</v>
      </c>
      <c r="G119" s="58">
        <v>81</v>
      </c>
      <c r="H119" s="58">
        <v>81794</v>
      </c>
      <c r="I119" s="60" t="s">
        <v>85</v>
      </c>
      <c r="J119" s="60" t="s">
        <v>258</v>
      </c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0</v>
      </c>
      <c r="AQ119" s="71" t="str">
        <f t="shared" si="4"/>
        <v/>
      </c>
      <c r="AR119" s="71">
        <f>IFERROR(VLOOKUP(A119,Climatologia_TMED!A:U,9+$E$2,FALSE),"")</f>
        <v>26.268180531975069</v>
      </c>
      <c r="AS119" s="71" t="str">
        <f t="shared" si="5"/>
        <v/>
      </c>
    </row>
    <row r="120" spans="1:45" ht="14.25" customHeight="1" x14ac:dyDescent="0.2">
      <c r="A120" s="58">
        <v>44015030</v>
      </c>
      <c r="B120" s="59" t="s">
        <v>259</v>
      </c>
      <c r="C120" s="59" t="s">
        <v>260</v>
      </c>
      <c r="D120" s="73">
        <v>-76.668750000000003</v>
      </c>
      <c r="E120" s="73">
        <v>1.900416667</v>
      </c>
      <c r="F120" s="58">
        <v>2900</v>
      </c>
      <c r="G120" s="58">
        <v>19</v>
      </c>
      <c r="H120" s="58">
        <v>19693</v>
      </c>
      <c r="I120" s="60" t="s">
        <v>178</v>
      </c>
      <c r="J120" s="60" t="s">
        <v>261</v>
      </c>
      <c r="K120" s="56">
        <v>12</v>
      </c>
      <c r="L120" s="56">
        <v>11.33333333333333</v>
      </c>
      <c r="M120" s="56">
        <v>11.46666666666667</v>
      </c>
      <c r="N120" s="56">
        <v>11.46666666666667</v>
      </c>
      <c r="O120" s="56">
        <v>10.33333333333333</v>
      </c>
      <c r="P120" s="56">
        <v>13</v>
      </c>
      <c r="Q120" s="56">
        <v>13.2</v>
      </c>
      <c r="R120" s="56">
        <v>12.633333333333329</v>
      </c>
      <c r="S120" s="56">
        <v>11.866666666666671</v>
      </c>
      <c r="T120" s="56">
        <v>12.46666666666667</v>
      </c>
      <c r="U120" s="56">
        <v>13.06666666666667</v>
      </c>
      <c r="V120" s="56">
        <v>12</v>
      </c>
      <c r="W120" s="56">
        <v>12</v>
      </c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13</v>
      </c>
      <c r="AQ120" s="71" t="str">
        <f t="shared" si="4"/>
        <v/>
      </c>
      <c r="AR120" s="71">
        <f>IFERROR(VLOOKUP(A120,Climatologia_TMED!A:U,9+$E$2,FALSE),"")</f>
        <v>10.302756995970279</v>
      </c>
      <c r="AS120" s="71" t="str">
        <f t="shared" si="5"/>
        <v/>
      </c>
    </row>
    <row r="121" spans="1:45" ht="14.25" customHeight="1" x14ac:dyDescent="0.2">
      <c r="A121" s="58">
        <v>44015060</v>
      </c>
      <c r="B121" s="59" t="s">
        <v>262</v>
      </c>
      <c r="C121" s="59" t="s">
        <v>260</v>
      </c>
      <c r="D121" s="73">
        <v>-76.651833330000002</v>
      </c>
      <c r="E121" s="73">
        <v>1.157333333</v>
      </c>
      <c r="F121" s="58">
        <v>650</v>
      </c>
      <c r="G121" s="58">
        <v>86</v>
      </c>
      <c r="H121" s="58">
        <v>86001</v>
      </c>
      <c r="I121" s="60" t="s">
        <v>263</v>
      </c>
      <c r="J121" s="60" t="s">
        <v>264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22.11442528467698</v>
      </c>
      <c r="AS121" s="71" t="str">
        <f t="shared" si="5"/>
        <v/>
      </c>
    </row>
    <row r="122" spans="1:45" ht="14.25" customHeight="1" x14ac:dyDescent="0.2">
      <c r="A122" s="58">
        <v>47015040</v>
      </c>
      <c r="B122" s="59" t="s">
        <v>265</v>
      </c>
      <c r="C122" s="59" t="s">
        <v>260</v>
      </c>
      <c r="D122" s="73">
        <v>-76.960972220000002</v>
      </c>
      <c r="E122" s="73">
        <v>1.198277778</v>
      </c>
      <c r="F122" s="58">
        <v>2100</v>
      </c>
      <c r="G122" s="58">
        <v>86</v>
      </c>
      <c r="H122" s="58">
        <v>86219</v>
      </c>
      <c r="I122" s="60" t="s">
        <v>263</v>
      </c>
      <c r="J122" s="60" t="s">
        <v>266</v>
      </c>
      <c r="K122" s="56">
        <v>15.66666666666667</v>
      </c>
      <c r="L122" s="56">
        <v>14.93333333333333</v>
      </c>
      <c r="M122" s="56">
        <v>15.266666666666669</v>
      </c>
      <c r="N122" s="56">
        <v>15.06666666666667</v>
      </c>
      <c r="O122" s="56">
        <v>15.53333333333333</v>
      </c>
      <c r="P122" s="56">
        <v>15.93333333333333</v>
      </c>
      <c r="Q122" s="56">
        <v>16.2</v>
      </c>
      <c r="R122" s="56">
        <v>15.8</v>
      </c>
      <c r="S122" s="56">
        <v>15.866666666666671</v>
      </c>
      <c r="T122" s="56">
        <v>14.66666666666667</v>
      </c>
      <c r="U122" s="56">
        <v>15.66666666666667</v>
      </c>
      <c r="V122" s="56"/>
      <c r="W122" s="56">
        <v>15.133333333333329</v>
      </c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12</v>
      </c>
      <c r="AQ122" s="71" t="str">
        <f t="shared" si="4"/>
        <v/>
      </c>
      <c r="AR122" s="71">
        <f>IFERROR(VLOOKUP(A122,Climatologia_TMED!A:U,9+$E$2,FALSE),"")</f>
        <v>15.04905895954351</v>
      </c>
      <c r="AS122" s="71" t="str">
        <f t="shared" si="5"/>
        <v/>
      </c>
    </row>
    <row r="123" spans="1:45" ht="14.25" customHeight="1" x14ac:dyDescent="0.2">
      <c r="A123" s="58">
        <v>47015080</v>
      </c>
      <c r="B123" s="59" t="s">
        <v>267</v>
      </c>
      <c r="C123" s="59" t="s">
        <v>260</v>
      </c>
      <c r="D123" s="73">
        <v>-77.303611110000006</v>
      </c>
      <c r="E123" s="73">
        <v>0.80491666699999997</v>
      </c>
      <c r="F123" s="58">
        <v>1776</v>
      </c>
      <c r="G123" s="58">
        <v>52</v>
      </c>
      <c r="H123" s="58">
        <v>52573</v>
      </c>
      <c r="I123" s="60" t="s">
        <v>77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15.951443885824309</v>
      </c>
      <c r="AS123" s="71" t="str">
        <f t="shared" si="5"/>
        <v/>
      </c>
    </row>
    <row r="124" spans="1:45" ht="14.25" customHeight="1" x14ac:dyDescent="0.2">
      <c r="A124" s="58">
        <v>47015100</v>
      </c>
      <c r="B124" s="59" t="s">
        <v>269</v>
      </c>
      <c r="C124" s="59" t="s">
        <v>260</v>
      </c>
      <c r="D124" s="73">
        <v>-77.161472219999993</v>
      </c>
      <c r="E124" s="73">
        <v>1.159944444</v>
      </c>
      <c r="F124" s="58">
        <v>2830</v>
      </c>
      <c r="G124" s="58">
        <v>52</v>
      </c>
      <c r="H124" s="58">
        <v>52001</v>
      </c>
      <c r="I124" s="60" t="s">
        <v>77</v>
      </c>
      <c r="J124" s="60" t="s">
        <v>270</v>
      </c>
      <c r="K124" s="56">
        <v>12.2</v>
      </c>
      <c r="L124" s="56">
        <v>12.06666666666667</v>
      </c>
      <c r="M124" s="56"/>
      <c r="N124" s="56">
        <v>11.866666666666671</v>
      </c>
      <c r="O124" s="56"/>
      <c r="P124" s="56">
        <v>12.6</v>
      </c>
      <c r="Q124" s="56"/>
      <c r="R124" s="56">
        <v>11.866666666666671</v>
      </c>
      <c r="S124" s="56"/>
      <c r="T124" s="56">
        <v>11.93333333333333</v>
      </c>
      <c r="U124" s="56">
        <v>11.733333333333331</v>
      </c>
      <c r="V124" s="56">
        <v>11.06666666666667</v>
      </c>
      <c r="W124" s="56">
        <v>11.133333333333329</v>
      </c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9</v>
      </c>
      <c r="AQ124" s="71" t="str">
        <f t="shared" si="4"/>
        <v/>
      </c>
      <c r="AR124" s="71">
        <f>IFERROR(VLOOKUP(A124,Climatologia_TMED!A:U,9+$E$2,FALSE),"")</f>
        <v>10.712446216063739</v>
      </c>
      <c r="AS124" s="71" t="str">
        <f t="shared" si="5"/>
        <v/>
      </c>
    </row>
    <row r="125" spans="1:45" ht="14.25" customHeight="1" x14ac:dyDescent="0.2">
      <c r="A125" s="58">
        <v>47035020</v>
      </c>
      <c r="B125" s="59" t="s">
        <v>271</v>
      </c>
      <c r="C125" s="59" t="s">
        <v>260</v>
      </c>
      <c r="D125" s="73">
        <v>-75.851111110000005</v>
      </c>
      <c r="E125" s="73">
        <v>0.132861111</v>
      </c>
      <c r="F125" s="58">
        <v>190</v>
      </c>
      <c r="G125" s="58">
        <v>86</v>
      </c>
      <c r="H125" s="58">
        <v>86573</v>
      </c>
      <c r="I125" s="60" t="s">
        <v>263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25.058785293293241</v>
      </c>
      <c r="AS125" s="71" t="str">
        <f t="shared" si="5"/>
        <v/>
      </c>
    </row>
    <row r="126" spans="1:45" ht="14.25" customHeight="1" x14ac:dyDescent="0.2">
      <c r="A126" s="58">
        <v>47045010</v>
      </c>
      <c r="B126" s="59" t="s">
        <v>273</v>
      </c>
      <c r="C126" s="59" t="s">
        <v>260</v>
      </c>
      <c r="D126" s="73">
        <v>-74.776277780000001</v>
      </c>
      <c r="E126" s="73">
        <v>-0.18061111099999999</v>
      </c>
      <c r="F126" s="58">
        <v>147</v>
      </c>
      <c r="G126" s="58">
        <v>86</v>
      </c>
      <c r="H126" s="58">
        <v>86573</v>
      </c>
      <c r="I126" s="60" t="s">
        <v>263</v>
      </c>
      <c r="J126" s="60" t="s">
        <v>272</v>
      </c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0</v>
      </c>
      <c r="AQ126" s="71" t="str">
        <f t="shared" si="4"/>
        <v/>
      </c>
      <c r="AR126" s="71">
        <f>IFERROR(VLOOKUP(A126,Climatologia_TMED!A:U,9+$E$2,FALSE),"")</f>
        <v>24.96254062126642</v>
      </c>
      <c r="AS126" s="71" t="str">
        <f t="shared" si="5"/>
        <v/>
      </c>
    </row>
    <row r="127" spans="1:45" ht="14.25" customHeight="1" x14ac:dyDescent="0.2">
      <c r="A127" s="58">
        <v>51025090</v>
      </c>
      <c r="B127" s="59" t="s">
        <v>274</v>
      </c>
      <c r="C127" s="59" t="s">
        <v>260</v>
      </c>
      <c r="D127" s="73">
        <v>-78.695583330000005</v>
      </c>
      <c r="E127" s="73">
        <v>1.5501944439999999</v>
      </c>
      <c r="F127" s="58">
        <v>16</v>
      </c>
      <c r="G127" s="58">
        <v>52</v>
      </c>
      <c r="H127" s="58">
        <v>52835</v>
      </c>
      <c r="I127" s="60" t="s">
        <v>77</v>
      </c>
      <c r="J127" s="60" t="s">
        <v>275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25.854111592301919</v>
      </c>
      <c r="AS127" s="71" t="str">
        <f t="shared" si="5"/>
        <v/>
      </c>
    </row>
    <row r="128" spans="1:45" ht="14.25" customHeight="1" x14ac:dyDescent="0.2">
      <c r="A128" s="58">
        <v>52015010</v>
      </c>
      <c r="B128" s="59" t="s">
        <v>276</v>
      </c>
      <c r="C128" s="59" t="s">
        <v>260</v>
      </c>
      <c r="D128" s="73">
        <v>-76.611944440000002</v>
      </c>
      <c r="E128" s="73">
        <v>2.2497222219999999</v>
      </c>
      <c r="F128" s="58">
        <v>2450</v>
      </c>
      <c r="G128" s="58">
        <v>19</v>
      </c>
      <c r="H128" s="58">
        <v>19760</v>
      </c>
      <c r="I128" s="60" t="s">
        <v>178</v>
      </c>
      <c r="J128" s="60" t="s">
        <v>277</v>
      </c>
      <c r="K128" s="56">
        <v>16.43333333333333</v>
      </c>
      <c r="L128" s="56">
        <v>16.06666666666667</v>
      </c>
      <c r="M128" s="56">
        <v>14.6</v>
      </c>
      <c r="N128" s="56">
        <v>15.66666666666667</v>
      </c>
      <c r="O128" s="56">
        <v>16.06666666666667</v>
      </c>
      <c r="P128" s="56">
        <v>16.533333333333331</v>
      </c>
      <c r="Q128" s="56">
        <v>16.2</v>
      </c>
      <c r="R128" s="56">
        <v>16.600000000000001</v>
      </c>
      <c r="S128" s="56">
        <v>16.166666666666671</v>
      </c>
      <c r="T128" s="56">
        <v>15.56666666666667</v>
      </c>
      <c r="U128" s="56">
        <v>15.53333333333333</v>
      </c>
      <c r="V128" s="56">
        <v>15.266666666666669</v>
      </c>
      <c r="W128" s="56">
        <v>15.16666666666667</v>
      </c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13</v>
      </c>
      <c r="AQ128" s="71" t="str">
        <f t="shared" si="4"/>
        <v/>
      </c>
      <c r="AR128" s="71">
        <f>IFERROR(VLOOKUP(A128,Climatologia_TMED!A:U,9+$E$2,FALSE),"")</f>
        <v>14.253242374467449</v>
      </c>
      <c r="AS128" s="71" t="str">
        <f t="shared" si="5"/>
        <v/>
      </c>
    </row>
    <row r="129" spans="1:45" ht="14.25" customHeight="1" x14ac:dyDescent="0.2">
      <c r="A129" s="58">
        <v>52025020</v>
      </c>
      <c r="B129" s="59" t="s">
        <v>278</v>
      </c>
      <c r="C129" s="59" t="s">
        <v>260</v>
      </c>
      <c r="D129" s="73">
        <v>-76.891666670000006</v>
      </c>
      <c r="E129" s="73">
        <v>1.753333333</v>
      </c>
      <c r="F129" s="58">
        <v>2300</v>
      </c>
      <c r="G129" s="58">
        <v>19</v>
      </c>
      <c r="H129" s="58">
        <v>19100</v>
      </c>
      <c r="I129" s="60" t="s">
        <v>178</v>
      </c>
      <c r="J129" s="60" t="s">
        <v>29</v>
      </c>
      <c r="K129" s="56">
        <v>18.2</v>
      </c>
      <c r="L129" s="56">
        <v>17.95</v>
      </c>
      <c r="M129" s="56">
        <v>16.649999999999999</v>
      </c>
      <c r="N129" s="56">
        <v>18</v>
      </c>
      <c r="O129" s="56">
        <v>18.7</v>
      </c>
      <c r="P129" s="56">
        <v>18.850000000000001</v>
      </c>
      <c r="Q129" s="56">
        <v>20.149999999999999</v>
      </c>
      <c r="R129" s="56">
        <v>18.850000000000001</v>
      </c>
      <c r="S129" s="56">
        <v>18.600000000000001</v>
      </c>
      <c r="T129" s="56">
        <v>18.75</v>
      </c>
      <c r="U129" s="56">
        <v>17.850000000000001</v>
      </c>
      <c r="V129" s="56">
        <v>17.3</v>
      </c>
      <c r="W129" s="56">
        <v>17.8</v>
      </c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13</v>
      </c>
      <c r="AQ129" s="71" t="str">
        <f t="shared" si="4"/>
        <v/>
      </c>
      <c r="AR129" s="71">
        <f>IFERROR(VLOOKUP(A129,Climatologia_TMED!A:U,9+$E$2,FALSE),"")</f>
        <v>16.792896998903949</v>
      </c>
      <c r="AS129" s="71" t="str">
        <f t="shared" si="5"/>
        <v/>
      </c>
    </row>
    <row r="130" spans="1:45" ht="14.25" customHeight="1" x14ac:dyDescent="0.2">
      <c r="A130" s="58">
        <v>52025090</v>
      </c>
      <c r="B130" s="59" t="s">
        <v>279</v>
      </c>
      <c r="C130" s="59" t="s">
        <v>260</v>
      </c>
      <c r="D130" s="73">
        <v>-76.750333330000004</v>
      </c>
      <c r="E130" s="73">
        <v>2.1938333330000002</v>
      </c>
      <c r="F130" s="58">
        <v>1870</v>
      </c>
      <c r="G130" s="58">
        <v>19</v>
      </c>
      <c r="H130" s="58">
        <v>19392</v>
      </c>
      <c r="I130" s="60" t="s">
        <v>178</v>
      </c>
      <c r="J130" s="60" t="s">
        <v>280</v>
      </c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0</v>
      </c>
      <c r="AQ130" s="71" t="str">
        <f t="shared" si="4"/>
        <v/>
      </c>
      <c r="AR130" s="71">
        <f>IFERROR(VLOOKUP(A130,Climatologia_TMED!A:U,9+$E$2,FALSE),"")</f>
        <v>18.523504045357839</v>
      </c>
      <c r="AS130" s="71" t="str">
        <f t="shared" si="5"/>
        <v/>
      </c>
    </row>
    <row r="131" spans="1:45" ht="14.25" customHeight="1" x14ac:dyDescent="0.2">
      <c r="A131" s="58">
        <v>52045010</v>
      </c>
      <c r="B131" s="59" t="s">
        <v>281</v>
      </c>
      <c r="C131" s="59" t="s">
        <v>260</v>
      </c>
      <c r="D131" s="73">
        <v>-77.303083330000007</v>
      </c>
      <c r="E131" s="73">
        <v>1.1982222220000001</v>
      </c>
      <c r="F131" s="58">
        <v>2710</v>
      </c>
      <c r="G131" s="58">
        <v>52</v>
      </c>
      <c r="H131" s="58">
        <v>52001</v>
      </c>
      <c r="I131" s="60" t="s">
        <v>77</v>
      </c>
      <c r="J131" s="60" t="s">
        <v>270</v>
      </c>
      <c r="K131" s="56">
        <v>13.866666666666671</v>
      </c>
      <c r="L131" s="56">
        <v>13.866666666666671</v>
      </c>
      <c r="M131" s="56">
        <v>13.2</v>
      </c>
      <c r="N131" s="56">
        <v>13.8</v>
      </c>
      <c r="O131" s="56">
        <v>14.33333333333333</v>
      </c>
      <c r="P131" s="56">
        <v>13.66666666666667</v>
      </c>
      <c r="Q131" s="56">
        <v>14.3</v>
      </c>
      <c r="R131" s="56">
        <v>15.3</v>
      </c>
      <c r="S131" s="56">
        <v>15.03333333333333</v>
      </c>
      <c r="T131" s="56">
        <v>13.66666666666667</v>
      </c>
      <c r="U131" s="56">
        <v>14.266666666666669</v>
      </c>
      <c r="V131" s="56">
        <v>12.6</v>
      </c>
      <c r="W131" s="56">
        <v>13.6</v>
      </c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13</v>
      </c>
      <c r="AQ131" s="71" t="str">
        <f t="shared" si="4"/>
        <v/>
      </c>
      <c r="AR131" s="71">
        <f>IFERROR(VLOOKUP(A131,Climatologia_TMED!A:U,9+$E$2,FALSE),"")</f>
        <v>12.63533977465384</v>
      </c>
      <c r="AS131" s="71" t="str">
        <f t="shared" si="5"/>
        <v/>
      </c>
    </row>
    <row r="132" spans="1:45" ht="14.25" customHeight="1" x14ac:dyDescent="0.2">
      <c r="A132" s="58">
        <v>52045030</v>
      </c>
      <c r="B132" s="59" t="s">
        <v>282</v>
      </c>
      <c r="C132" s="59" t="s">
        <v>260</v>
      </c>
      <c r="D132" s="73">
        <v>-77.032611110000005</v>
      </c>
      <c r="E132" s="73">
        <v>1.5387222220000001</v>
      </c>
      <c r="F132" s="58">
        <v>2190</v>
      </c>
      <c r="G132" s="58">
        <v>52</v>
      </c>
      <c r="H132" s="58">
        <v>52685</v>
      </c>
      <c r="I132" s="60" t="s">
        <v>77</v>
      </c>
      <c r="J132" s="60" t="s">
        <v>282</v>
      </c>
      <c r="K132" s="56">
        <v>18.533333333333331</v>
      </c>
      <c r="L132" s="56">
        <v>18.133333333333329</v>
      </c>
      <c r="M132" s="56">
        <v>17.266666666666669</v>
      </c>
      <c r="N132" s="56">
        <v>17</v>
      </c>
      <c r="O132" s="56">
        <v>17.399999999999999</v>
      </c>
      <c r="P132" s="56">
        <v>17.8</v>
      </c>
      <c r="Q132" s="56">
        <v>18.733333333333331</v>
      </c>
      <c r="R132" s="56">
        <v>18.06666666666667</v>
      </c>
      <c r="S132" s="56">
        <v>18.2</v>
      </c>
      <c r="T132" s="56">
        <v>18.533333333333331</v>
      </c>
      <c r="U132" s="56">
        <v>18.13333333333334</v>
      </c>
      <c r="V132" s="56">
        <v>17.8</v>
      </c>
      <c r="W132" s="56">
        <v>17.533333333333331</v>
      </c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13</v>
      </c>
      <c r="AQ132" s="71" t="str">
        <f t="shared" si="4"/>
        <v/>
      </c>
      <c r="AR132" s="71">
        <f>IFERROR(VLOOKUP(A132,Climatologia_TMED!A:U,9+$E$2,FALSE),"")</f>
        <v>15.582178842383669</v>
      </c>
      <c r="AS132" s="71" t="str">
        <f t="shared" si="5"/>
        <v/>
      </c>
    </row>
    <row r="133" spans="1:45" ht="14.25" customHeight="1" x14ac:dyDescent="0.2">
      <c r="A133" s="58">
        <v>52045040</v>
      </c>
      <c r="B133" s="59" t="s">
        <v>283</v>
      </c>
      <c r="C133" s="59" t="s">
        <v>260</v>
      </c>
      <c r="D133" s="73">
        <v>-77.267499999999998</v>
      </c>
      <c r="E133" s="73">
        <v>1.5491666669999999</v>
      </c>
      <c r="F133" s="58">
        <v>1875</v>
      </c>
      <c r="G133" s="58">
        <v>52</v>
      </c>
      <c r="H133" s="58">
        <v>52786</v>
      </c>
      <c r="I133" s="60" t="s">
        <v>77</v>
      </c>
      <c r="J133" s="60" t="s">
        <v>283</v>
      </c>
      <c r="K133" s="56">
        <v>20.05</v>
      </c>
      <c r="L133" s="56">
        <v>20.95</v>
      </c>
      <c r="M133" s="56">
        <v>19.399999999999999</v>
      </c>
      <c r="N133" s="56">
        <v>19.100000000000001</v>
      </c>
      <c r="O133" s="56">
        <v>21.8</v>
      </c>
      <c r="P133" s="56">
        <v>21.9</v>
      </c>
      <c r="Q133" s="56">
        <v>22.65</v>
      </c>
      <c r="R133" s="56">
        <v>21.7</v>
      </c>
      <c r="S133" s="56">
        <v>21.65</v>
      </c>
      <c r="T133" s="56">
        <v>22.3</v>
      </c>
      <c r="U133" s="56">
        <v>20.45</v>
      </c>
      <c r="V133" s="56">
        <v>19.649999999999999</v>
      </c>
      <c r="W133" s="56">
        <v>19.7</v>
      </c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13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18.681880637405129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52045090</v>
      </c>
      <c r="B134" s="59" t="s">
        <v>284</v>
      </c>
      <c r="C134" s="59" t="s">
        <v>260</v>
      </c>
      <c r="D134" s="73">
        <v>-77.629583330000003</v>
      </c>
      <c r="E134" s="73">
        <v>0.93263888900000003</v>
      </c>
      <c r="F134" s="58">
        <v>3141</v>
      </c>
      <c r="G134" s="58">
        <v>52</v>
      </c>
      <c r="H134" s="58">
        <v>52585</v>
      </c>
      <c r="I134" s="60" t="s">
        <v>77</v>
      </c>
      <c r="J134" s="60" t="s">
        <v>285</v>
      </c>
      <c r="K134" s="56">
        <v>11.4</v>
      </c>
      <c r="L134" s="56">
        <v>10.733333333333331</v>
      </c>
      <c r="M134" s="56">
        <v>10.33333333333333</v>
      </c>
      <c r="N134" s="56">
        <v>10.6</v>
      </c>
      <c r="O134" s="56">
        <v>10.53333333333333</v>
      </c>
      <c r="P134" s="56">
        <v>10.866666666666671</v>
      </c>
      <c r="Q134" s="56">
        <v>11.06666666666667</v>
      </c>
      <c r="R134" s="56">
        <v>11.2</v>
      </c>
      <c r="S134" s="56">
        <v>11.53333333333333</v>
      </c>
      <c r="T134" s="56">
        <v>11.6</v>
      </c>
      <c r="U134" s="56">
        <v>12.133333333333329</v>
      </c>
      <c r="V134" s="56">
        <v>10.866666666666671</v>
      </c>
      <c r="W134" s="56">
        <v>10.46666666666667</v>
      </c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13</v>
      </c>
      <c r="AQ134" s="71" t="str">
        <f t="shared" si="7"/>
        <v/>
      </c>
      <c r="AR134" s="71">
        <f>IFERROR(VLOOKUP(A134,Climatologia_TMED!A:U,9+$E$2,FALSE),"")</f>
        <v>10.85765007415646</v>
      </c>
      <c r="AS134" s="71" t="str">
        <f t="shared" si="8"/>
        <v/>
      </c>
    </row>
    <row r="135" spans="1:45" ht="14.25" customHeight="1" x14ac:dyDescent="0.2">
      <c r="A135" s="58">
        <v>52055030</v>
      </c>
      <c r="B135" s="59" t="s">
        <v>286</v>
      </c>
      <c r="C135" s="59" t="s">
        <v>260</v>
      </c>
      <c r="D135" s="73">
        <v>-77.465111109999995</v>
      </c>
      <c r="E135" s="73">
        <v>1.1843611110000001</v>
      </c>
      <c r="F135" s="58">
        <v>1493</v>
      </c>
      <c r="G135" s="58">
        <v>52</v>
      </c>
      <c r="H135" s="58">
        <v>52207</v>
      </c>
      <c r="I135" s="60" t="s">
        <v>77</v>
      </c>
      <c r="J135" s="60" t="s">
        <v>287</v>
      </c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0</v>
      </c>
      <c r="AQ135" s="71" t="str">
        <f t="shared" si="7"/>
        <v/>
      </c>
      <c r="AR135" s="71">
        <f>IFERROR(VLOOKUP(A135,Climatologia_TMED!A:U,9+$E$2,FALSE),"")</f>
        <v>20.789800216354749</v>
      </c>
      <c r="AS135" s="71" t="str">
        <f t="shared" si="8"/>
        <v/>
      </c>
    </row>
    <row r="136" spans="1:45" ht="14.25" customHeight="1" x14ac:dyDescent="0.2">
      <c r="A136" s="58">
        <v>52055060</v>
      </c>
      <c r="B136" s="59" t="s">
        <v>288</v>
      </c>
      <c r="C136" s="59" t="s">
        <v>260</v>
      </c>
      <c r="D136" s="73">
        <v>-77.583055560000005</v>
      </c>
      <c r="E136" s="73">
        <v>1.3735555559999999</v>
      </c>
      <c r="F136" s="58">
        <v>1500</v>
      </c>
      <c r="G136" s="58">
        <v>52</v>
      </c>
      <c r="H136" s="58">
        <v>52678</v>
      </c>
      <c r="I136" s="60" t="s">
        <v>77</v>
      </c>
      <c r="J136" s="60" t="s">
        <v>289</v>
      </c>
      <c r="K136" s="56">
        <v>22.06666666666667</v>
      </c>
      <c r="L136" s="56">
        <v>21.466666666666669</v>
      </c>
      <c r="M136" s="56">
        <v>21</v>
      </c>
      <c r="N136" s="56">
        <v>21.8</v>
      </c>
      <c r="O136" s="56">
        <v>22.13333333333334</v>
      </c>
      <c r="P136" s="56">
        <v>22.533333333333331</v>
      </c>
      <c r="Q136" s="56">
        <v>23.733333333333331</v>
      </c>
      <c r="R136" s="56">
        <v>22.933333333333341</v>
      </c>
      <c r="S136" s="56">
        <v>21.266666666666669</v>
      </c>
      <c r="T136" s="56">
        <v>23.4</v>
      </c>
      <c r="U136" s="56">
        <v>22.666666666666671</v>
      </c>
      <c r="V136" s="56">
        <v>21.266666666666669</v>
      </c>
      <c r="W136" s="56">
        <v>21.533333333333331</v>
      </c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13</v>
      </c>
      <c r="AQ136" s="71" t="str">
        <f t="shared" si="7"/>
        <v/>
      </c>
      <c r="AR136" s="71">
        <f>IFERROR(VLOOKUP(A136,Climatologia_TMED!A:U,9+$E$2,FALSE),"")</f>
        <v>20.010221097348399</v>
      </c>
      <c r="AS136" s="71" t="str">
        <f t="shared" si="8"/>
        <v/>
      </c>
    </row>
    <row r="137" spans="1:45" ht="14.25" customHeight="1" x14ac:dyDescent="0.2">
      <c r="A137" s="58">
        <v>52055090</v>
      </c>
      <c r="B137" s="59" t="s">
        <v>290</v>
      </c>
      <c r="C137" s="59" t="s">
        <v>260</v>
      </c>
      <c r="D137" s="73">
        <v>-77.389361109999996</v>
      </c>
      <c r="E137" s="73">
        <v>1.107583333</v>
      </c>
      <c r="F137" s="58">
        <v>2800</v>
      </c>
      <c r="G137" s="58">
        <v>52</v>
      </c>
      <c r="H137" s="58">
        <v>52788</v>
      </c>
      <c r="I137" s="60" t="s">
        <v>77</v>
      </c>
      <c r="J137" s="60" t="s">
        <v>291</v>
      </c>
      <c r="K137" s="56">
        <v>14.074999999999999</v>
      </c>
      <c r="L137" s="56">
        <v>13.8</v>
      </c>
      <c r="M137" s="56">
        <v>13.1</v>
      </c>
      <c r="N137" s="56">
        <v>13.475</v>
      </c>
      <c r="O137" s="56">
        <v>14.05</v>
      </c>
      <c r="P137" s="56">
        <v>14.675000000000001</v>
      </c>
      <c r="Q137" s="56">
        <v>15.074999999999999</v>
      </c>
      <c r="R137" s="56">
        <v>14.55</v>
      </c>
      <c r="S137" s="56">
        <v>14.775</v>
      </c>
      <c r="T137" s="56">
        <v>13.85</v>
      </c>
      <c r="U137" s="56">
        <v>13.3</v>
      </c>
      <c r="V137" s="56">
        <v>12.775</v>
      </c>
      <c r="W137" s="56">
        <v>13.95</v>
      </c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13</v>
      </c>
      <c r="AQ137" s="71" t="str">
        <f t="shared" si="7"/>
        <v/>
      </c>
      <c r="AR137" s="71">
        <f>IFERROR(VLOOKUP(A137,Climatologia_TMED!A:U,9+$E$2,FALSE),"")</f>
        <v>12.904217772834009</v>
      </c>
      <c r="AS137" s="71" t="str">
        <f t="shared" si="8"/>
        <v/>
      </c>
    </row>
    <row r="138" spans="1:45" ht="14.25" customHeight="1" x14ac:dyDescent="0.2">
      <c r="A138" s="58">
        <v>52055200</v>
      </c>
      <c r="B138" s="59" t="s">
        <v>292</v>
      </c>
      <c r="C138" s="59" t="s">
        <v>260</v>
      </c>
      <c r="D138" s="73">
        <v>-77.445805559999997</v>
      </c>
      <c r="E138" s="73">
        <v>1.0042222220000001</v>
      </c>
      <c r="F138" s="58">
        <v>2181</v>
      </c>
      <c r="G138" s="58">
        <v>52</v>
      </c>
      <c r="H138" s="58">
        <v>52287</v>
      </c>
      <c r="I138" s="60" t="s">
        <v>77</v>
      </c>
      <c r="J138" s="60" t="s">
        <v>292</v>
      </c>
      <c r="K138" s="56">
        <v>17.55</v>
      </c>
      <c r="L138" s="56">
        <v>16.100000000000001</v>
      </c>
      <c r="M138" s="56">
        <v>16.350000000000001</v>
      </c>
      <c r="N138" s="56">
        <v>16.850000000000001</v>
      </c>
      <c r="O138" s="56">
        <v>17.2</v>
      </c>
      <c r="P138" s="56">
        <v>16.95</v>
      </c>
      <c r="Q138" s="56">
        <v>17.2</v>
      </c>
      <c r="R138" s="56">
        <v>16.850000000000001</v>
      </c>
      <c r="S138" s="56">
        <v>17.899999999999999</v>
      </c>
      <c r="T138" s="56">
        <v>16.8</v>
      </c>
      <c r="U138" s="56">
        <v>15.85</v>
      </c>
      <c r="V138" s="56">
        <v>16.25</v>
      </c>
      <c r="W138" s="56">
        <v>16.850000000000001</v>
      </c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13</v>
      </c>
      <c r="AQ138" s="71" t="str">
        <f t="shared" si="7"/>
        <v/>
      </c>
      <c r="AR138" s="71">
        <f>IFERROR(VLOOKUP(A138,Climatologia_TMED!A:U,9+$E$2,FALSE),"")</f>
        <v>15.594350571769921</v>
      </c>
      <c r="AS138" s="71" t="str">
        <f t="shared" si="8"/>
        <v/>
      </c>
    </row>
    <row r="139" spans="1:45" ht="14.25" customHeight="1" x14ac:dyDescent="0.2">
      <c r="A139" s="58">
        <v>52055210</v>
      </c>
      <c r="B139" s="59" t="s">
        <v>293</v>
      </c>
      <c r="C139" s="59" t="s">
        <v>260</v>
      </c>
      <c r="D139" s="73">
        <v>-77.278805559999995</v>
      </c>
      <c r="E139" s="73">
        <v>1.1599999999999999</v>
      </c>
      <c r="F139" s="58">
        <v>2820</v>
      </c>
      <c r="G139" s="58">
        <v>52</v>
      </c>
      <c r="H139" s="58">
        <v>52001</v>
      </c>
      <c r="I139" s="60" t="s">
        <v>77</v>
      </c>
      <c r="J139" s="60" t="s">
        <v>270</v>
      </c>
      <c r="K139" s="56">
        <v>13.66666666666667</v>
      </c>
      <c r="L139" s="56">
        <v>13.33333333333333</v>
      </c>
      <c r="M139" s="56">
        <v>12.2</v>
      </c>
      <c r="N139" s="56">
        <v>12.93333333333333</v>
      </c>
      <c r="O139" s="56">
        <v>14.2</v>
      </c>
      <c r="P139" s="56">
        <v>13.33333333333333</v>
      </c>
      <c r="Q139" s="56">
        <v>14.46666666666667</v>
      </c>
      <c r="R139" s="56">
        <v>15</v>
      </c>
      <c r="S139" s="56">
        <v>14.66666666666667</v>
      </c>
      <c r="T139" s="56">
        <v>13.866666666666671</v>
      </c>
      <c r="U139" s="56">
        <v>12.733333333333331</v>
      </c>
      <c r="V139" s="56">
        <v>12.4</v>
      </c>
      <c r="W139" s="56">
        <v>13.266666666666669</v>
      </c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13</v>
      </c>
      <c r="AQ139" s="71" t="str">
        <f t="shared" si="7"/>
        <v/>
      </c>
      <c r="AR139" s="71">
        <f>IFERROR(VLOOKUP(A139,Climatologia_TMED!A:U,9+$E$2,FALSE),"")</f>
        <v>12.014029396838049</v>
      </c>
      <c r="AS139" s="71" t="str">
        <f t="shared" si="8"/>
        <v/>
      </c>
    </row>
    <row r="140" spans="1:45" ht="14.25" customHeight="1" x14ac:dyDescent="0.2">
      <c r="A140" s="58">
        <v>52055220</v>
      </c>
      <c r="B140" s="59" t="s">
        <v>294</v>
      </c>
      <c r="C140" s="59" t="s">
        <v>260</v>
      </c>
      <c r="D140" s="73">
        <v>-77.636935688999998</v>
      </c>
      <c r="E140" s="73">
        <v>1.070707855</v>
      </c>
      <c r="F140" s="58">
        <v>3033</v>
      </c>
      <c r="G140" s="58">
        <v>52</v>
      </c>
      <c r="H140" s="58">
        <v>52838</v>
      </c>
      <c r="I140" s="60" t="s">
        <v>77</v>
      </c>
      <c r="J140" s="60" t="s">
        <v>295</v>
      </c>
      <c r="K140" s="56"/>
      <c r="L140" s="56">
        <v>11.35</v>
      </c>
      <c r="M140" s="56">
        <v>10.5</v>
      </c>
      <c r="N140" s="56">
        <v>11.8</v>
      </c>
      <c r="O140" s="56">
        <v>11.8</v>
      </c>
      <c r="P140" s="56">
        <v>12.15</v>
      </c>
      <c r="Q140" s="56">
        <v>12.8</v>
      </c>
      <c r="R140" s="56">
        <v>11.65</v>
      </c>
      <c r="S140" s="56">
        <v>13.3</v>
      </c>
      <c r="T140" s="56">
        <v>11.5</v>
      </c>
      <c r="U140" s="56">
        <v>11.4</v>
      </c>
      <c r="V140" s="56">
        <v>10.15</v>
      </c>
      <c r="W140" s="56">
        <v>10.9</v>
      </c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12</v>
      </c>
      <c r="AQ140" s="71" t="str">
        <f t="shared" si="7"/>
        <v/>
      </c>
      <c r="AR140" s="71">
        <f>IFERROR(VLOOKUP(A140,Climatologia_TMED!A:U,9+$E$2,FALSE),"")</f>
        <v>10.528985976481801</v>
      </c>
      <c r="AS140" s="71" t="str">
        <f t="shared" si="8"/>
        <v/>
      </c>
    </row>
    <row r="141" spans="1:45" ht="14.25" customHeight="1" x14ac:dyDescent="0.2">
      <c r="A141" s="58">
        <v>53045040</v>
      </c>
      <c r="B141" s="59" t="s">
        <v>296</v>
      </c>
      <c r="C141" s="59" t="s">
        <v>260</v>
      </c>
      <c r="D141" s="73">
        <v>-77.894750000000002</v>
      </c>
      <c r="E141" s="73">
        <v>2.5744166669999999</v>
      </c>
      <c r="F141" s="58">
        <v>42</v>
      </c>
      <c r="G141" s="58">
        <v>19</v>
      </c>
      <c r="H141" s="58">
        <v>19318</v>
      </c>
      <c r="I141" s="60" t="s">
        <v>178</v>
      </c>
      <c r="J141" s="60" t="s">
        <v>297</v>
      </c>
      <c r="K141" s="56">
        <v>28</v>
      </c>
      <c r="L141" s="56">
        <v>26.86666666666666</v>
      </c>
      <c r="M141" s="56">
        <v>26.8</v>
      </c>
      <c r="N141" s="56">
        <v>27.4</v>
      </c>
      <c r="O141" s="56">
        <v>27.93333333333333</v>
      </c>
      <c r="P141" s="56">
        <v>28.6</v>
      </c>
      <c r="Q141" s="56">
        <v>28.666666666666671</v>
      </c>
      <c r="R141" s="56">
        <v>28.866666666666671</v>
      </c>
      <c r="S141" s="56">
        <v>27.733333333333331</v>
      </c>
      <c r="T141" s="56">
        <v>28.333333333333329</v>
      </c>
      <c r="U141" s="56">
        <v>27.8</v>
      </c>
      <c r="V141" s="56">
        <v>26</v>
      </c>
      <c r="W141" s="56">
        <v>27.466666666666669</v>
      </c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13</v>
      </c>
      <c r="AQ141" s="71" t="str">
        <f t="shared" si="7"/>
        <v/>
      </c>
      <c r="AR141" s="71">
        <f>IFERROR(VLOOKUP(A141,Climatologia_TMED!A:U,9+$E$2,FALSE),"")</f>
        <v>25.861940092165881</v>
      </c>
      <c r="AS141" s="71" t="str">
        <f t="shared" si="8"/>
        <v/>
      </c>
    </row>
    <row r="142" spans="1:45" ht="14.25" customHeight="1" x14ac:dyDescent="0.2">
      <c r="A142" s="58">
        <v>16015020</v>
      </c>
      <c r="B142" s="59" t="s">
        <v>298</v>
      </c>
      <c r="C142" s="59" t="s">
        <v>299</v>
      </c>
      <c r="D142" s="73">
        <v>-72.644999999999996</v>
      </c>
      <c r="E142" s="73">
        <v>7.3731111110000001</v>
      </c>
      <c r="F142" s="58">
        <v>2340</v>
      </c>
      <c r="G142" s="58">
        <v>54</v>
      </c>
      <c r="H142" s="58">
        <v>54518</v>
      </c>
      <c r="I142" s="60" t="s">
        <v>300</v>
      </c>
      <c r="J142" s="60" t="s">
        <v>301</v>
      </c>
      <c r="K142" s="56">
        <v>15.733333333333331</v>
      </c>
      <c r="L142" s="56">
        <v>15.66666666666667</v>
      </c>
      <c r="M142" s="56">
        <v>15.93333333333333</v>
      </c>
      <c r="N142" s="56">
        <v>15.46666666666667</v>
      </c>
      <c r="O142" s="56">
        <v>15.6</v>
      </c>
      <c r="P142" s="56">
        <v>15.866666666666671</v>
      </c>
      <c r="Q142" s="56">
        <v>17.399999999999999</v>
      </c>
      <c r="R142" s="56">
        <v>16.399999999999999</v>
      </c>
      <c r="S142" s="56">
        <v>14.6</v>
      </c>
      <c r="T142" s="56">
        <v>15.33333333333333</v>
      </c>
      <c r="U142" s="56">
        <v>14.8</v>
      </c>
      <c r="V142" s="56">
        <v>14.66666666666667</v>
      </c>
      <c r="W142" s="56">
        <v>15.733333333333331</v>
      </c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13</v>
      </c>
      <c r="AQ142" s="71" t="str">
        <f t="shared" si="7"/>
        <v/>
      </c>
      <c r="AR142" s="71">
        <f>IFERROR(VLOOKUP(A142,Climatologia_TMED!A:U,9+$E$2,FALSE),"")</f>
        <v>15.712885753914289</v>
      </c>
      <c r="AS142" s="71" t="str">
        <f t="shared" si="8"/>
        <v/>
      </c>
    </row>
    <row r="143" spans="1:45" ht="14.25" customHeight="1" x14ac:dyDescent="0.2">
      <c r="A143" s="58">
        <v>16015100</v>
      </c>
      <c r="B143" s="59" t="s">
        <v>302</v>
      </c>
      <c r="C143" s="59" t="s">
        <v>299</v>
      </c>
      <c r="D143" s="73">
        <v>-72.483888890000003</v>
      </c>
      <c r="E143" s="73">
        <v>7.5766666669999996</v>
      </c>
      <c r="F143" s="58">
        <v>1550</v>
      </c>
      <c r="G143" s="58">
        <v>54</v>
      </c>
      <c r="H143" s="58">
        <v>54599</v>
      </c>
      <c r="I143" s="60" t="s">
        <v>300</v>
      </c>
      <c r="J143" s="60" t="s">
        <v>302</v>
      </c>
      <c r="K143" s="56">
        <v>19.266666666666669</v>
      </c>
      <c r="L143" s="56">
        <v>19.133333333333329</v>
      </c>
      <c r="M143" s="56">
        <v>19.06666666666667</v>
      </c>
      <c r="N143" s="56">
        <v>19</v>
      </c>
      <c r="O143" s="56">
        <v>21</v>
      </c>
      <c r="P143" s="56">
        <v>19.93333333333333</v>
      </c>
      <c r="Q143" s="56">
        <v>21.2</v>
      </c>
      <c r="R143" s="56">
        <v>21.6</v>
      </c>
      <c r="S143" s="56">
        <v>18.2</v>
      </c>
      <c r="T143" s="56">
        <v>18</v>
      </c>
      <c r="U143" s="56">
        <v>19.8</v>
      </c>
      <c r="V143" s="56">
        <v>17.399999999999999</v>
      </c>
      <c r="W143" s="56">
        <v>18.86666666666666</v>
      </c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13</v>
      </c>
      <c r="AQ143" s="71" t="str">
        <f t="shared" si="7"/>
        <v/>
      </c>
      <c r="AR143" s="71">
        <f>IFERROR(VLOOKUP(A143,Climatologia_TMED!A:U,9+$E$2,FALSE),"")</f>
        <v>19.042016534498121</v>
      </c>
      <c r="AS143" s="71" t="str">
        <f t="shared" si="8"/>
        <v/>
      </c>
    </row>
    <row r="144" spans="1:45" ht="14.25" customHeight="1" x14ac:dyDescent="0.2">
      <c r="A144" s="58">
        <v>16025010</v>
      </c>
      <c r="B144" s="59" t="s">
        <v>303</v>
      </c>
      <c r="C144" s="59" t="s">
        <v>299</v>
      </c>
      <c r="D144" s="73">
        <v>-72.566111109999994</v>
      </c>
      <c r="E144" s="73">
        <v>7.8488888890000004</v>
      </c>
      <c r="F144" s="58">
        <v>285</v>
      </c>
      <c r="G144" s="58">
        <v>54</v>
      </c>
      <c r="H144" s="58">
        <v>54001</v>
      </c>
      <c r="I144" s="60" t="s">
        <v>300</v>
      </c>
      <c r="J144" s="60" t="s">
        <v>304</v>
      </c>
      <c r="K144" s="56">
        <v>30.2</v>
      </c>
      <c r="L144" s="56">
        <v>28.333333333333329</v>
      </c>
      <c r="M144" s="56">
        <v>28.733333333333331</v>
      </c>
      <c r="N144" s="56">
        <v>28.4</v>
      </c>
      <c r="O144" s="56">
        <v>30.466666666666669</v>
      </c>
      <c r="P144" s="56">
        <v>30.733333333333331</v>
      </c>
      <c r="Q144" s="56">
        <v>31.13333333333334</v>
      </c>
      <c r="R144" s="56">
        <v>32.466666666666669</v>
      </c>
      <c r="S144" s="56">
        <v>28.333333333333329</v>
      </c>
      <c r="T144" s="56">
        <v>31.266666666666669</v>
      </c>
      <c r="U144" s="56">
        <v>30.666666666666671</v>
      </c>
      <c r="V144" s="56">
        <v>28</v>
      </c>
      <c r="W144" s="56">
        <v>31.333333333333329</v>
      </c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13</v>
      </c>
      <c r="AQ144" s="71" t="str">
        <f t="shared" si="7"/>
        <v/>
      </c>
      <c r="AR144" s="71">
        <f>IFERROR(VLOOKUP(A144,Climatologia_TMED!A:U,9+$E$2,FALSE),"")</f>
        <v>28.757199537797231</v>
      </c>
      <c r="AS144" s="71" t="str">
        <f t="shared" si="8"/>
        <v/>
      </c>
    </row>
    <row r="145" spans="1:45" ht="14.25" customHeight="1" x14ac:dyDescent="0.2">
      <c r="A145" s="58">
        <v>16025030</v>
      </c>
      <c r="B145" s="59" t="s">
        <v>305</v>
      </c>
      <c r="C145" s="59" t="s">
        <v>299</v>
      </c>
      <c r="D145" s="73">
        <v>-72.830555559999993</v>
      </c>
      <c r="E145" s="73">
        <v>7.7745833329999998</v>
      </c>
      <c r="F145" s="58">
        <v>860</v>
      </c>
      <c r="G145" s="58">
        <v>54</v>
      </c>
      <c r="H145" s="58">
        <v>54660</v>
      </c>
      <c r="I145" s="60" t="s">
        <v>300</v>
      </c>
      <c r="J145" s="60" t="s">
        <v>305</v>
      </c>
      <c r="K145" s="56">
        <v>25.93333333333333</v>
      </c>
      <c r="L145" s="56">
        <v>23.666666666666671</v>
      </c>
      <c r="M145" s="56">
        <v>24.133333333333329</v>
      </c>
      <c r="N145" s="56">
        <v>23.933333333333341</v>
      </c>
      <c r="O145" s="56">
        <v>26.466666666666669</v>
      </c>
      <c r="P145" s="56">
        <v>26</v>
      </c>
      <c r="Q145" s="56">
        <v>25.93333333333333</v>
      </c>
      <c r="R145" s="56">
        <v>27</v>
      </c>
      <c r="S145" s="56">
        <v>22.4</v>
      </c>
      <c r="T145" s="56">
        <v>24.266666666666669</v>
      </c>
      <c r="U145" s="56">
        <v>25.666666666666671</v>
      </c>
      <c r="V145" s="56">
        <v>23.8</v>
      </c>
      <c r="W145" s="56">
        <v>25.8</v>
      </c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13</v>
      </c>
      <c r="AQ145" s="71" t="str">
        <f t="shared" si="7"/>
        <v/>
      </c>
      <c r="AR145" s="71">
        <f>IFERROR(VLOOKUP(A145,Climatologia_TMED!A:U,9+$E$2,FALSE),"")</f>
        <v>23.50405749186336</v>
      </c>
      <c r="AS145" s="71" t="str">
        <f t="shared" si="8"/>
        <v/>
      </c>
    </row>
    <row r="146" spans="1:45" ht="14.25" customHeight="1" x14ac:dyDescent="0.2">
      <c r="A146" s="58">
        <v>16025040</v>
      </c>
      <c r="B146" s="59" t="s">
        <v>306</v>
      </c>
      <c r="C146" s="59" t="s">
        <v>299</v>
      </c>
      <c r="D146" s="73">
        <v>-72.47878</v>
      </c>
      <c r="E146" s="73">
        <v>8.1672799999999999</v>
      </c>
      <c r="F146" s="58">
        <v>96</v>
      </c>
      <c r="G146" s="58">
        <v>54</v>
      </c>
      <c r="H146" s="58">
        <v>54001</v>
      </c>
      <c r="I146" s="60" t="s">
        <v>300</v>
      </c>
      <c r="J146" s="60" t="s">
        <v>304</v>
      </c>
      <c r="K146" s="56">
        <v>31.733333333333331</v>
      </c>
      <c r="L146" s="56">
        <v>31.333333333333329</v>
      </c>
      <c r="M146" s="56">
        <v>29.6</v>
      </c>
      <c r="N146" s="56">
        <v>30.333333333333329</v>
      </c>
      <c r="O146" s="56"/>
      <c r="P146" s="56">
        <v>30.8</v>
      </c>
      <c r="Q146" s="56">
        <v>31.13333333333334</v>
      </c>
      <c r="R146" s="56">
        <v>32.4</v>
      </c>
      <c r="S146" s="56">
        <v>27.93333333333333</v>
      </c>
      <c r="T146" s="56">
        <v>29.8</v>
      </c>
      <c r="U146" s="56">
        <v>29.86666666666666</v>
      </c>
      <c r="V146" s="56">
        <v>30.466666666666669</v>
      </c>
      <c r="W146" s="56">
        <v>30.13333333333334</v>
      </c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12</v>
      </c>
      <c r="AQ146" s="71" t="str">
        <f t="shared" si="7"/>
        <v/>
      </c>
      <c r="AR146" s="71">
        <f>IFERROR(VLOOKUP(A146,Climatologia_TMED!A:U,9+$E$2,FALSE),"")</f>
        <v>28.641531230854781</v>
      </c>
      <c r="AS146" s="71" t="str">
        <f t="shared" si="8"/>
        <v/>
      </c>
    </row>
    <row r="147" spans="1:45" ht="14.25" customHeight="1" x14ac:dyDescent="0.2">
      <c r="A147" s="58">
        <v>16055010</v>
      </c>
      <c r="B147" s="59" t="s">
        <v>307</v>
      </c>
      <c r="C147" s="59" t="s">
        <v>299</v>
      </c>
      <c r="D147" s="73">
        <v>-73.357500000000002</v>
      </c>
      <c r="E147" s="73">
        <v>8.3152777780000005</v>
      </c>
      <c r="F147" s="58">
        <v>1435</v>
      </c>
      <c r="G147" s="58">
        <v>54</v>
      </c>
      <c r="H147" s="58">
        <v>54498</v>
      </c>
      <c r="I147" s="60" t="s">
        <v>300</v>
      </c>
      <c r="J147" s="60" t="s">
        <v>308</v>
      </c>
      <c r="K147" s="56">
        <v>24.266666666666669</v>
      </c>
      <c r="L147" s="56">
        <v>24.4</v>
      </c>
      <c r="M147" s="56">
        <v>22.2</v>
      </c>
      <c r="N147" s="56">
        <v>22.93333333333333</v>
      </c>
      <c r="O147" s="56">
        <v>24.86666666666666</v>
      </c>
      <c r="P147" s="56">
        <v>23.266666666666669</v>
      </c>
      <c r="Q147" s="56">
        <v>24.8</v>
      </c>
      <c r="R147" s="56">
        <v>24.2</v>
      </c>
      <c r="S147" s="56">
        <v>22.533333333333331</v>
      </c>
      <c r="T147" s="56">
        <v>22.733333333333331</v>
      </c>
      <c r="U147" s="56">
        <v>22.93333333333333</v>
      </c>
      <c r="V147" s="56">
        <v>23.333333333333329</v>
      </c>
      <c r="W147" s="56">
        <v>22.86666666666666</v>
      </c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13</v>
      </c>
      <c r="AQ147" s="71" t="str">
        <f t="shared" si="7"/>
        <v/>
      </c>
      <c r="AR147" s="71">
        <f>IFERROR(VLOOKUP(A147,Climatologia_TMED!A:U,9+$E$2,FALSE),"")</f>
        <v>21.876067772952851</v>
      </c>
      <c r="AS147" s="71" t="str">
        <f t="shared" si="8"/>
        <v/>
      </c>
    </row>
    <row r="148" spans="1:45" ht="14.25" customHeight="1" x14ac:dyDescent="0.2">
      <c r="A148" s="58">
        <v>16055020</v>
      </c>
      <c r="B148" s="59" t="s">
        <v>309</v>
      </c>
      <c r="C148" s="59" t="s">
        <v>299</v>
      </c>
      <c r="D148" s="73">
        <v>-73.285277780000001</v>
      </c>
      <c r="E148" s="73">
        <v>8.4422222219999998</v>
      </c>
      <c r="F148" s="58">
        <v>1160</v>
      </c>
      <c r="G148" s="58">
        <v>54</v>
      </c>
      <c r="H148" s="58">
        <v>54800</v>
      </c>
      <c r="I148" s="60" t="s">
        <v>300</v>
      </c>
      <c r="J148" s="60" t="s">
        <v>309</v>
      </c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0</v>
      </c>
      <c r="AQ148" s="71" t="str">
        <f t="shared" si="7"/>
        <v/>
      </c>
      <c r="AR148" s="71">
        <f>IFERROR(VLOOKUP(A148,Climatologia_TMED!A:U,9+$E$2,FALSE),"")</f>
        <v>22.337755574177319</v>
      </c>
      <c r="AS148" s="71" t="str">
        <f t="shared" si="8"/>
        <v/>
      </c>
    </row>
    <row r="149" spans="1:45" ht="14.25" customHeight="1" x14ac:dyDescent="0.2">
      <c r="A149" s="58">
        <v>16055040</v>
      </c>
      <c r="B149" s="59" t="s">
        <v>310</v>
      </c>
      <c r="C149" s="59" t="s">
        <v>299</v>
      </c>
      <c r="D149" s="73">
        <v>-73.223055560000006</v>
      </c>
      <c r="E149" s="73">
        <v>8.0872222219999994</v>
      </c>
      <c r="F149" s="58">
        <v>1430</v>
      </c>
      <c r="G149" s="58">
        <v>54</v>
      </c>
      <c r="H149" s="58">
        <v>54003</v>
      </c>
      <c r="I149" s="60" t="s">
        <v>300</v>
      </c>
      <c r="J149" s="60" t="s">
        <v>311</v>
      </c>
      <c r="K149" s="56">
        <v>24.8</v>
      </c>
      <c r="L149" s="56">
        <v>24.4</v>
      </c>
      <c r="M149" s="56">
        <v>22.533333333333331</v>
      </c>
      <c r="N149" s="56">
        <v>22</v>
      </c>
      <c r="O149" s="56">
        <v>23.666666666666671</v>
      </c>
      <c r="P149" s="56">
        <v>23.86666666666666</v>
      </c>
      <c r="Q149" s="56">
        <v>25.06666666666667</v>
      </c>
      <c r="R149" s="56">
        <v>24.866666666666671</v>
      </c>
      <c r="S149" s="56">
        <v>23.533333333333331</v>
      </c>
      <c r="T149" s="56">
        <v>22.266666666666669</v>
      </c>
      <c r="U149" s="56">
        <v>20.966666666666669</v>
      </c>
      <c r="V149" s="56">
        <v>22.266666666666669</v>
      </c>
      <c r="W149" s="56">
        <v>24.6</v>
      </c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13</v>
      </c>
      <c r="AQ149" s="71" t="str">
        <f t="shared" si="7"/>
        <v/>
      </c>
      <c r="AR149" s="71">
        <f>IFERROR(VLOOKUP(A149,Climatologia_TMED!A:U,9+$E$2,FALSE),"")</f>
        <v>21.81258727862064</v>
      </c>
      <c r="AS149" s="71" t="str">
        <f t="shared" si="8"/>
        <v/>
      </c>
    </row>
    <row r="150" spans="1:45" ht="14.25" customHeight="1" x14ac:dyDescent="0.2">
      <c r="A150" s="58">
        <v>16055100</v>
      </c>
      <c r="B150" s="59" t="s">
        <v>312</v>
      </c>
      <c r="C150" s="59" t="s">
        <v>299</v>
      </c>
      <c r="D150" s="73">
        <v>-73.32222222</v>
      </c>
      <c r="E150" s="73">
        <v>8.2377777779999999</v>
      </c>
      <c r="F150" s="58">
        <v>1150</v>
      </c>
      <c r="G150" s="58">
        <v>54</v>
      </c>
      <c r="H150" s="58">
        <v>54498</v>
      </c>
      <c r="I150" s="60" t="s">
        <v>300</v>
      </c>
      <c r="J150" s="60" t="s">
        <v>308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22.24150811117061</v>
      </c>
      <c r="AS150" s="71" t="str">
        <f t="shared" si="8"/>
        <v/>
      </c>
    </row>
    <row r="151" spans="1:45" ht="14.25" customHeight="1" x14ac:dyDescent="0.2">
      <c r="A151" s="58">
        <v>23125050</v>
      </c>
      <c r="B151" s="59" t="s">
        <v>313</v>
      </c>
      <c r="C151" s="59" t="s">
        <v>299</v>
      </c>
      <c r="D151" s="73">
        <v>-74.061388890000003</v>
      </c>
      <c r="E151" s="73">
        <v>6.6494444440000002</v>
      </c>
      <c r="F151" s="58">
        <v>168</v>
      </c>
      <c r="G151" s="58">
        <v>68</v>
      </c>
      <c r="H151" s="58">
        <v>68573</v>
      </c>
      <c r="I151" s="60" t="s">
        <v>44</v>
      </c>
      <c r="J151" s="60" t="s">
        <v>314</v>
      </c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0</v>
      </c>
      <c r="AQ151" s="71" t="str">
        <f t="shared" si="7"/>
        <v/>
      </c>
      <c r="AR151" s="71">
        <f>IFERROR(VLOOKUP(A151,Climatologia_TMED!A:U,9+$E$2,FALSE),"")</f>
        <v>29.100200457886739</v>
      </c>
      <c r="AS151" s="71" t="str">
        <f t="shared" si="8"/>
        <v/>
      </c>
    </row>
    <row r="152" spans="1:45" ht="14.25" customHeight="1" x14ac:dyDescent="0.2">
      <c r="A152" s="58">
        <v>23125060</v>
      </c>
      <c r="B152" s="59" t="s">
        <v>197</v>
      </c>
      <c r="C152" s="59" t="s">
        <v>299</v>
      </c>
      <c r="D152" s="73">
        <v>-73.91333333</v>
      </c>
      <c r="E152" s="73">
        <v>5.7583333330000004</v>
      </c>
      <c r="F152" s="58">
        <v>1690</v>
      </c>
      <c r="G152" s="58">
        <v>68</v>
      </c>
      <c r="H152" s="58">
        <v>68020</v>
      </c>
      <c r="I152" s="60" t="s">
        <v>44</v>
      </c>
      <c r="J152" s="60" t="s">
        <v>197</v>
      </c>
      <c r="K152" s="56">
        <v>21.6</v>
      </c>
      <c r="L152" s="56">
        <v>20.45</v>
      </c>
      <c r="M152" s="56">
        <v>20.85</v>
      </c>
      <c r="N152" s="56">
        <v>19.899999999999999</v>
      </c>
      <c r="O152" s="56">
        <v>19.850000000000001</v>
      </c>
      <c r="P152" s="56">
        <v>21.15</v>
      </c>
      <c r="Q152" s="56">
        <v>21.9</v>
      </c>
      <c r="R152" s="56">
        <v>21.6</v>
      </c>
      <c r="S152" s="56">
        <v>18.899999999999999</v>
      </c>
      <c r="T152" s="56">
        <v>20.350000000000001</v>
      </c>
      <c r="U152" s="56">
        <v>20.350000000000001</v>
      </c>
      <c r="V152" s="56">
        <v>19.850000000000001</v>
      </c>
      <c r="W152" s="56">
        <v>20.55</v>
      </c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13</v>
      </c>
      <c r="AQ152" s="71" t="str">
        <f t="shared" si="7"/>
        <v/>
      </c>
      <c r="AR152" s="71">
        <f>IFERROR(VLOOKUP(A152,Climatologia_TMED!A:U,9+$E$2,FALSE),"")</f>
        <v>19.513620754394939</v>
      </c>
      <c r="AS152" s="71" t="str">
        <f t="shared" si="8"/>
        <v/>
      </c>
    </row>
    <row r="153" spans="1:45" ht="14.25" customHeight="1" x14ac:dyDescent="0.2">
      <c r="A153" s="58">
        <v>23125120</v>
      </c>
      <c r="B153" s="59" t="s">
        <v>315</v>
      </c>
      <c r="C153" s="59" t="s">
        <v>299</v>
      </c>
      <c r="D153" s="73">
        <v>-73.952222219999996</v>
      </c>
      <c r="E153" s="73">
        <v>6.3086111110000003</v>
      </c>
      <c r="F153" s="58">
        <v>198</v>
      </c>
      <c r="G153" s="58">
        <v>68</v>
      </c>
      <c r="H153" s="58">
        <v>68190</v>
      </c>
      <c r="I153" s="60" t="s">
        <v>44</v>
      </c>
      <c r="J153" s="60" t="s">
        <v>315</v>
      </c>
      <c r="K153" s="56">
        <v>29.13333333333334</v>
      </c>
      <c r="L153" s="56">
        <v>27.466666666666669</v>
      </c>
      <c r="M153" s="56">
        <v>28.93333333333333</v>
      </c>
      <c r="N153" s="56">
        <v>26.533333333333331</v>
      </c>
      <c r="O153" s="56">
        <v>27.8</v>
      </c>
      <c r="P153" s="56">
        <v>29.86666666666666</v>
      </c>
      <c r="Q153" s="56">
        <v>30.4</v>
      </c>
      <c r="R153" s="56">
        <v>29.466666666666669</v>
      </c>
      <c r="S153" s="56">
        <v>25.8</v>
      </c>
      <c r="T153" s="56">
        <v>29.4</v>
      </c>
      <c r="U153" s="56">
        <v>29.533333333333331</v>
      </c>
      <c r="V153" s="56">
        <v>27.666666666666671</v>
      </c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12</v>
      </c>
      <c r="AQ153" s="71" t="str">
        <f t="shared" si="7"/>
        <v/>
      </c>
      <c r="AR153" s="71">
        <f>IFERROR(VLOOKUP(A153,Climatologia_TMED!A:U,9+$E$2,FALSE),"")</f>
        <v>27.722786560855798</v>
      </c>
      <c r="AS153" s="71" t="str">
        <f t="shared" si="8"/>
        <v/>
      </c>
    </row>
    <row r="154" spans="1:45" ht="14.25" customHeight="1" x14ac:dyDescent="0.2">
      <c r="A154" s="58">
        <v>23145020</v>
      </c>
      <c r="B154" s="59" t="s">
        <v>316</v>
      </c>
      <c r="C154" s="59" t="s">
        <v>299</v>
      </c>
      <c r="D154" s="73">
        <v>-73.510000000000005</v>
      </c>
      <c r="E154" s="73">
        <v>6.6963888889999996</v>
      </c>
      <c r="F154" s="58">
        <v>805</v>
      </c>
      <c r="G154" s="58">
        <v>68</v>
      </c>
      <c r="H154" s="58">
        <v>68235</v>
      </c>
      <c r="I154" s="60" t="s">
        <v>44</v>
      </c>
      <c r="J154" s="60" t="s">
        <v>317</v>
      </c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0</v>
      </c>
      <c r="AQ154" s="71" t="str">
        <f t="shared" si="7"/>
        <v/>
      </c>
      <c r="AR154" s="71">
        <f>IFERROR(VLOOKUP(A154,Climatologia_TMED!A:U,9+$E$2,FALSE),"")</f>
        <v>24.71559228916573</v>
      </c>
      <c r="AS154" s="71" t="str">
        <f t="shared" si="8"/>
        <v/>
      </c>
    </row>
    <row r="155" spans="1:45" ht="14.25" customHeight="1" x14ac:dyDescent="0.2">
      <c r="A155" s="58">
        <v>23155040</v>
      </c>
      <c r="B155" s="59" t="s">
        <v>318</v>
      </c>
      <c r="C155" s="59" t="s">
        <v>299</v>
      </c>
      <c r="D155" s="73">
        <v>-73.765083329999996</v>
      </c>
      <c r="E155" s="73">
        <v>6.8595555560000001</v>
      </c>
      <c r="F155" s="58">
        <v>114</v>
      </c>
      <c r="G155" s="58">
        <v>68</v>
      </c>
      <c r="H155" s="58">
        <v>68081</v>
      </c>
      <c r="I155" s="60" t="s">
        <v>44</v>
      </c>
      <c r="J155" s="60" t="s">
        <v>45</v>
      </c>
      <c r="K155" s="56">
        <v>28.93333333333333</v>
      </c>
      <c r="L155" s="56">
        <v>28.13333333333334</v>
      </c>
      <c r="M155" s="56">
        <v>29.466666666666669</v>
      </c>
      <c r="N155" s="56"/>
      <c r="O155" s="56">
        <v>29.06666666666667</v>
      </c>
      <c r="P155" s="56">
        <v>29.733333333333331</v>
      </c>
      <c r="Q155" s="56">
        <v>31.8</v>
      </c>
      <c r="R155" s="56">
        <v>32</v>
      </c>
      <c r="S155" s="56">
        <v>27.666666666666671</v>
      </c>
      <c r="T155" s="56"/>
      <c r="U155" s="56">
        <v>29.733333333333331</v>
      </c>
      <c r="V155" s="56"/>
      <c r="W155" s="56">
        <v>28.6</v>
      </c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10</v>
      </c>
      <c r="AQ155" s="71" t="str">
        <f t="shared" si="7"/>
        <v/>
      </c>
      <c r="AR155" s="71">
        <f>IFERROR(VLOOKUP(A155,Climatologia_TMED!A:U,9+$E$2,FALSE),"")</f>
        <v>27.584427496609401</v>
      </c>
      <c r="AS155" s="71" t="str">
        <f t="shared" si="8"/>
        <v/>
      </c>
    </row>
    <row r="156" spans="1:45" ht="14.25" customHeight="1" x14ac:dyDescent="0.2">
      <c r="A156" s="58">
        <v>23185010</v>
      </c>
      <c r="B156" s="59" t="s">
        <v>319</v>
      </c>
      <c r="C156" s="59" t="s">
        <v>299</v>
      </c>
      <c r="D156" s="73">
        <v>-73.537222220000004</v>
      </c>
      <c r="E156" s="73">
        <v>7.4561111110000002</v>
      </c>
      <c r="F156" s="58">
        <v>328</v>
      </c>
      <c r="G156" s="58">
        <v>68</v>
      </c>
      <c r="H156" s="58">
        <v>68655</v>
      </c>
      <c r="I156" s="60" t="s">
        <v>44</v>
      </c>
      <c r="J156" s="60" t="s">
        <v>320</v>
      </c>
      <c r="K156" s="56">
        <v>31.06666666666667</v>
      </c>
      <c r="L156" s="56">
        <v>29.8</v>
      </c>
      <c r="M156" s="56">
        <v>28.6</v>
      </c>
      <c r="N156" s="56"/>
      <c r="O156" s="56">
        <v>30.333333333333329</v>
      </c>
      <c r="P156" s="56">
        <v>31.266666666666669</v>
      </c>
      <c r="Q156" s="56">
        <v>31.266666666666669</v>
      </c>
      <c r="R156" s="56">
        <v>32.06666666666667</v>
      </c>
      <c r="S156" s="56">
        <v>26.06666666666667</v>
      </c>
      <c r="T156" s="56">
        <v>29.86666666666666</v>
      </c>
      <c r="U156" s="56"/>
      <c r="V156" s="56">
        <v>28.86666666666666</v>
      </c>
      <c r="W156" s="56">
        <v>30</v>
      </c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11</v>
      </c>
      <c r="AQ156" s="71" t="str">
        <f t="shared" si="7"/>
        <v/>
      </c>
      <c r="AR156" s="71">
        <f>IFERROR(VLOOKUP(A156,Climatologia_TMED!A:U,9+$E$2,FALSE),"")</f>
        <v>28.0184121670802</v>
      </c>
      <c r="AS156" s="71" t="str">
        <f t="shared" si="8"/>
        <v/>
      </c>
    </row>
    <row r="157" spans="1:45" ht="14.25" customHeight="1" x14ac:dyDescent="0.2">
      <c r="A157" s="58">
        <v>23195090</v>
      </c>
      <c r="B157" s="59" t="s">
        <v>321</v>
      </c>
      <c r="C157" s="59" t="s">
        <v>299</v>
      </c>
      <c r="D157" s="73">
        <v>-72.987499999999997</v>
      </c>
      <c r="E157" s="73">
        <v>7.3658299999999999</v>
      </c>
      <c r="F157" s="58">
        <v>1791</v>
      </c>
      <c r="G157" s="58">
        <v>68</v>
      </c>
      <c r="H157" s="58">
        <v>68780</v>
      </c>
      <c r="I157" s="60" t="s">
        <v>44</v>
      </c>
      <c r="J157" s="60" t="s">
        <v>322</v>
      </c>
      <c r="K157" s="56"/>
      <c r="L157" s="56"/>
      <c r="M157" s="56">
        <v>19</v>
      </c>
      <c r="N157" s="56">
        <v>19.266666666666669</v>
      </c>
      <c r="O157" s="56">
        <v>20.333333333333329</v>
      </c>
      <c r="P157" s="56">
        <v>20.8</v>
      </c>
      <c r="Q157" s="56">
        <v>21.6</v>
      </c>
      <c r="R157" s="56">
        <v>22.466666666666669</v>
      </c>
      <c r="S157" s="56">
        <v>18.666666666666671</v>
      </c>
      <c r="T157" s="56">
        <v>20.266666666666669</v>
      </c>
      <c r="U157" s="56">
        <v>19.93333333333333</v>
      </c>
      <c r="V157" s="56">
        <v>20.2</v>
      </c>
      <c r="W157" s="56">
        <v>20.266666666666669</v>
      </c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11</v>
      </c>
      <c r="AQ157" s="71" t="str">
        <f t="shared" si="7"/>
        <v/>
      </c>
      <c r="AR157" s="71">
        <f>IFERROR(VLOOKUP(A157,Climatologia_TMED!A:U,9+$E$2,FALSE),"")</f>
        <v>18.9909371146904</v>
      </c>
      <c r="AS157" s="71" t="str">
        <f t="shared" si="8"/>
        <v/>
      </c>
    </row>
    <row r="158" spans="1:45" ht="14.25" customHeight="1" x14ac:dyDescent="0.2">
      <c r="A158" s="58">
        <v>23195110</v>
      </c>
      <c r="B158" s="59" t="s">
        <v>323</v>
      </c>
      <c r="C158" s="59" t="s">
        <v>299</v>
      </c>
      <c r="D158" s="73">
        <v>-73.167222219999999</v>
      </c>
      <c r="E158" s="73">
        <v>7.0255555559999996</v>
      </c>
      <c r="F158" s="58">
        <v>777</v>
      </c>
      <c r="G158" s="58">
        <v>68</v>
      </c>
      <c r="H158" s="58">
        <v>68307</v>
      </c>
      <c r="I158" s="60" t="s">
        <v>44</v>
      </c>
      <c r="J158" s="60" t="s">
        <v>324</v>
      </c>
      <c r="K158" s="56">
        <v>26.733333333333331</v>
      </c>
      <c r="L158" s="56">
        <v>26.2</v>
      </c>
      <c r="M158" s="56">
        <v>25.93333333333333</v>
      </c>
      <c r="N158" s="56">
        <v>27</v>
      </c>
      <c r="O158" s="56">
        <v>28.133333333333329</v>
      </c>
      <c r="P158" s="56">
        <v>28.4</v>
      </c>
      <c r="Q158" s="56">
        <v>29.4</v>
      </c>
      <c r="R158" s="56">
        <v>28.266666666666669</v>
      </c>
      <c r="S158" s="56">
        <v>24.533333333333331</v>
      </c>
      <c r="T158" s="56">
        <v>27.466666666666669</v>
      </c>
      <c r="U158" s="56">
        <v>26.2</v>
      </c>
      <c r="V158" s="56">
        <v>25.6</v>
      </c>
      <c r="W158" s="56">
        <v>28</v>
      </c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13</v>
      </c>
      <c r="AQ158" s="71" t="str">
        <f t="shared" si="7"/>
        <v/>
      </c>
      <c r="AR158" s="71" t="str">
        <f>IFERROR(VLOOKUP(A158,Climatologia_TMED!A:U,9+$E$2,FALSE),"")</f>
        <v/>
      </c>
      <c r="AS158" s="71" t="str">
        <f t="shared" si="8"/>
        <v/>
      </c>
    </row>
    <row r="159" spans="1:45" ht="14.25" customHeight="1" x14ac:dyDescent="0.2">
      <c r="A159" s="58">
        <v>23195180</v>
      </c>
      <c r="B159" s="59" t="s">
        <v>325</v>
      </c>
      <c r="C159" s="59" t="s">
        <v>299</v>
      </c>
      <c r="D159" s="73">
        <v>-73.051666670000003</v>
      </c>
      <c r="E159" s="73">
        <v>7.7352777780000004</v>
      </c>
      <c r="F159" s="58">
        <v>1882</v>
      </c>
      <c r="G159" s="58">
        <v>54</v>
      </c>
      <c r="H159" s="58">
        <v>54128</v>
      </c>
      <c r="I159" s="60" t="s">
        <v>300</v>
      </c>
      <c r="J159" s="60" t="s">
        <v>326</v>
      </c>
      <c r="K159" s="56"/>
      <c r="L159" s="56"/>
      <c r="M159" s="56">
        <v>19.666666666666671</v>
      </c>
      <c r="N159" s="56"/>
      <c r="O159" s="56">
        <v>17.2</v>
      </c>
      <c r="P159" s="56"/>
      <c r="Q159" s="56">
        <v>19.733333333333331</v>
      </c>
      <c r="R159" s="56"/>
      <c r="S159" s="56">
        <v>17.93333333333333</v>
      </c>
      <c r="T159" s="56"/>
      <c r="U159" s="56"/>
      <c r="V159" s="56"/>
      <c r="W159" s="56">
        <v>19.600000000000001</v>
      </c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5</v>
      </c>
      <c r="AQ159" s="71" t="str">
        <f t="shared" si="7"/>
        <v/>
      </c>
      <c r="AR159" s="71">
        <f>IFERROR(VLOOKUP(A159,Climatologia_TMED!A:U,9+$E$2,FALSE),"")</f>
        <v>17.55988006564905</v>
      </c>
      <c r="AS159" s="71" t="str">
        <f t="shared" si="8"/>
        <v/>
      </c>
    </row>
    <row r="160" spans="1:45" ht="14.25" customHeight="1" x14ac:dyDescent="0.2">
      <c r="A160" s="58">
        <v>23205020</v>
      </c>
      <c r="B160" s="59" t="s">
        <v>327</v>
      </c>
      <c r="C160" s="59" t="s">
        <v>299</v>
      </c>
      <c r="D160" s="73">
        <v>-73.925555560000006</v>
      </c>
      <c r="E160" s="73">
        <v>7.4749999999999996</v>
      </c>
      <c r="F160" s="58">
        <v>165</v>
      </c>
      <c r="G160" s="58">
        <v>13</v>
      </c>
      <c r="H160" s="58">
        <v>13670</v>
      </c>
      <c r="I160" s="60" t="s">
        <v>29</v>
      </c>
      <c r="J160" s="60" t="s">
        <v>145</v>
      </c>
      <c r="K160" s="56">
        <v>29.6</v>
      </c>
      <c r="L160" s="56">
        <v>29.93333333333333</v>
      </c>
      <c r="M160" s="56">
        <v>29.86666666666666</v>
      </c>
      <c r="N160" s="56">
        <v>27.8</v>
      </c>
      <c r="O160" s="56">
        <v>29.06666666666667</v>
      </c>
      <c r="P160" s="56">
        <v>29.4</v>
      </c>
      <c r="Q160" s="56">
        <v>30.13333333333334</v>
      </c>
      <c r="R160" s="56">
        <v>30.13333333333334</v>
      </c>
      <c r="S160" s="56">
        <v>26.666666666666671</v>
      </c>
      <c r="T160" s="56">
        <v>28.266666666666669</v>
      </c>
      <c r="U160" s="56">
        <v>29.2</v>
      </c>
      <c r="V160" s="56">
        <v>27.733333333333331</v>
      </c>
      <c r="W160" s="56">
        <v>28.466666666666669</v>
      </c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13</v>
      </c>
      <c r="AQ160" s="71" t="str">
        <f t="shared" si="7"/>
        <v/>
      </c>
      <c r="AR160" s="71">
        <f>IFERROR(VLOOKUP(A160,Climatologia_TMED!A:U,9+$E$2,FALSE),"")</f>
        <v>28.573537387874278</v>
      </c>
      <c r="AS160" s="71" t="str">
        <f t="shared" si="8"/>
        <v/>
      </c>
    </row>
    <row r="161" spans="1:45" ht="14.25" customHeight="1" x14ac:dyDescent="0.2">
      <c r="A161" s="58">
        <v>24015250</v>
      </c>
      <c r="B161" s="59" t="s">
        <v>328</v>
      </c>
      <c r="C161" s="59" t="s">
        <v>299</v>
      </c>
      <c r="D161" s="73">
        <v>-73.415388890000003</v>
      </c>
      <c r="E161" s="73">
        <v>6.2371666670000003</v>
      </c>
      <c r="F161" s="58">
        <v>1400</v>
      </c>
      <c r="G161" s="58">
        <v>68</v>
      </c>
      <c r="H161" s="58">
        <v>68320</v>
      </c>
      <c r="I161" s="60" t="s">
        <v>44</v>
      </c>
      <c r="J161" s="60" t="s">
        <v>329</v>
      </c>
      <c r="K161" s="56">
        <v>22.13333333333334</v>
      </c>
      <c r="L161" s="56">
        <v>22.266666666666669</v>
      </c>
      <c r="M161" s="56">
        <v>21.666666666666671</v>
      </c>
      <c r="N161" s="56">
        <v>21.333333333333329</v>
      </c>
      <c r="O161" s="56">
        <v>21.93333333333333</v>
      </c>
      <c r="P161" s="56">
        <v>21.2</v>
      </c>
      <c r="Q161" s="56">
        <v>22.333333333333329</v>
      </c>
      <c r="R161" s="56">
        <v>22.333333333333329</v>
      </c>
      <c r="S161" s="56">
        <v>19</v>
      </c>
      <c r="T161" s="56">
        <v>21.466666666666669</v>
      </c>
      <c r="U161" s="56">
        <v>21.133333333333329</v>
      </c>
      <c r="V161" s="56">
        <v>20.533333333333331</v>
      </c>
      <c r="W161" s="56">
        <v>21.466666666666669</v>
      </c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13</v>
      </c>
      <c r="AQ161" s="71" t="str">
        <f t="shared" si="7"/>
        <v/>
      </c>
      <c r="AR161" s="71">
        <f>IFERROR(VLOOKUP(A161,Climatologia_TMED!A:U,9+$E$2,FALSE),"")</f>
        <v>21.249423815600579</v>
      </c>
      <c r="AS161" s="71" t="str">
        <f t="shared" si="8"/>
        <v/>
      </c>
    </row>
    <row r="162" spans="1:45" ht="14.25" customHeight="1" x14ac:dyDescent="0.2">
      <c r="A162" s="58">
        <v>24015260</v>
      </c>
      <c r="B162" s="59" t="s">
        <v>120</v>
      </c>
      <c r="C162" s="59" t="s">
        <v>299</v>
      </c>
      <c r="D162" s="73">
        <v>-73.368333329999999</v>
      </c>
      <c r="E162" s="73">
        <v>6.3550000000000004</v>
      </c>
      <c r="F162" s="58">
        <v>190</v>
      </c>
      <c r="G162" s="58">
        <v>68</v>
      </c>
      <c r="H162" s="58">
        <v>68176</v>
      </c>
      <c r="I162" s="60" t="s">
        <v>44</v>
      </c>
      <c r="J162" s="60" t="s">
        <v>120</v>
      </c>
      <c r="K162" s="56">
        <v>25.85</v>
      </c>
      <c r="L162" s="56">
        <v>25.25</v>
      </c>
      <c r="M162" s="56">
        <v>25.1</v>
      </c>
      <c r="N162" s="56">
        <v>25.5</v>
      </c>
      <c r="O162" s="56">
        <v>25.45</v>
      </c>
      <c r="P162" s="56">
        <v>25.75</v>
      </c>
      <c r="Q162" s="56">
        <v>26.95</v>
      </c>
      <c r="R162" s="56">
        <v>26.65</v>
      </c>
      <c r="S162" s="56">
        <v>23.3</v>
      </c>
      <c r="T162" s="56">
        <v>24.9</v>
      </c>
      <c r="U162" s="56">
        <v>24.8</v>
      </c>
      <c r="V162" s="56">
        <v>24.35</v>
      </c>
      <c r="W162" s="56">
        <v>25.35</v>
      </c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13</v>
      </c>
      <c r="AQ162" s="71" t="str">
        <f t="shared" si="7"/>
        <v/>
      </c>
      <c r="AR162" s="71">
        <f>IFERROR(VLOOKUP(A162,Climatologia_TMED!A:U,9+$E$2,FALSE),"")</f>
        <v>23.79792760916008</v>
      </c>
      <c r="AS162" s="71" t="str">
        <f t="shared" si="8"/>
        <v/>
      </c>
    </row>
    <row r="163" spans="1:45" ht="14.25" customHeight="1" x14ac:dyDescent="0.2">
      <c r="A163" s="58">
        <v>24025040</v>
      </c>
      <c r="B163" s="59" t="s">
        <v>330</v>
      </c>
      <c r="C163" s="59" t="s">
        <v>299</v>
      </c>
      <c r="D163" s="73">
        <v>-72.968888890000002</v>
      </c>
      <c r="E163" s="73">
        <v>6.47</v>
      </c>
      <c r="F163" s="58">
        <v>1673</v>
      </c>
      <c r="G163" s="58">
        <v>68</v>
      </c>
      <c r="H163" s="58">
        <v>68464</v>
      </c>
      <c r="I163" s="60" t="s">
        <v>44</v>
      </c>
      <c r="J163" s="60" t="s">
        <v>331</v>
      </c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0</v>
      </c>
      <c r="AQ163" s="71" t="str">
        <f t="shared" si="7"/>
        <v/>
      </c>
      <c r="AR163" s="71">
        <f>IFERROR(VLOOKUP(A163,Climatologia_TMED!A:U,9+$E$2,FALSE),"")</f>
        <v>18.99020217944507</v>
      </c>
      <c r="AS163" s="71" t="str">
        <f t="shared" si="8"/>
        <v/>
      </c>
    </row>
    <row r="164" spans="1:45" ht="14.25" customHeight="1" x14ac:dyDescent="0.2">
      <c r="A164" s="58">
        <v>24035400</v>
      </c>
      <c r="B164" s="59" t="s">
        <v>332</v>
      </c>
      <c r="C164" s="59" t="s">
        <v>299</v>
      </c>
      <c r="D164" s="73">
        <v>-72.67777778</v>
      </c>
      <c r="E164" s="73">
        <v>6.8452777779999998</v>
      </c>
      <c r="F164" s="58">
        <v>2841</v>
      </c>
      <c r="G164" s="58">
        <v>68</v>
      </c>
      <c r="H164" s="58">
        <v>68162</v>
      </c>
      <c r="I164" s="60" t="s">
        <v>44</v>
      </c>
      <c r="J164" s="60" t="s">
        <v>333</v>
      </c>
      <c r="K164" s="56">
        <v>16.2</v>
      </c>
      <c r="L164" s="56">
        <v>13.6</v>
      </c>
      <c r="M164" s="56">
        <v>12.733333333333331</v>
      </c>
      <c r="N164" s="56">
        <v>15</v>
      </c>
      <c r="O164" s="56">
        <v>14.93333333333333</v>
      </c>
      <c r="P164" s="56">
        <v>16.733333333333331</v>
      </c>
      <c r="Q164" s="56">
        <v>16</v>
      </c>
      <c r="R164" s="56">
        <v>16.466666666666669</v>
      </c>
      <c r="S164" s="56">
        <v>14.53333333333333</v>
      </c>
      <c r="T164" s="56">
        <v>14.93333333333333</v>
      </c>
      <c r="U164" s="56">
        <v>14.8</v>
      </c>
      <c r="V164" s="56">
        <v>13.93333333333333</v>
      </c>
      <c r="W164" s="56">
        <v>15.33333333333333</v>
      </c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13</v>
      </c>
      <c r="AQ164" s="71" t="str">
        <f t="shared" si="7"/>
        <v/>
      </c>
      <c r="AR164" s="71">
        <f>IFERROR(VLOOKUP(A164,Climatologia_TMED!A:U,9+$E$2,FALSE),"")</f>
        <v>13.598469534050141</v>
      </c>
      <c r="AS164" s="71" t="str">
        <f t="shared" si="8"/>
        <v/>
      </c>
    </row>
    <row r="165" spans="1:45" ht="14.25" customHeight="1" x14ac:dyDescent="0.2">
      <c r="A165" s="58">
        <v>24055030</v>
      </c>
      <c r="B165" s="59" t="s">
        <v>334</v>
      </c>
      <c r="C165" s="59" t="s">
        <v>299</v>
      </c>
      <c r="D165" s="73">
        <v>-73.282749999999993</v>
      </c>
      <c r="E165" s="73">
        <v>6.7927777779999996</v>
      </c>
      <c r="F165" s="58">
        <v>1810</v>
      </c>
      <c r="G165" s="58">
        <v>68</v>
      </c>
      <c r="H165" s="58">
        <v>68895</v>
      </c>
      <c r="I165" s="60" t="s">
        <v>44</v>
      </c>
      <c r="J165" s="60" t="s">
        <v>334</v>
      </c>
      <c r="K165" s="56">
        <v>21.266666666666669</v>
      </c>
      <c r="L165" s="56">
        <v>20.86666666666666</v>
      </c>
      <c r="M165" s="56">
        <v>19.733333333333331</v>
      </c>
      <c r="N165" s="56">
        <v>18.666666666666671</v>
      </c>
      <c r="O165" s="56">
        <v>20.6</v>
      </c>
      <c r="P165" s="56">
        <v>21.133333333333329</v>
      </c>
      <c r="Q165" s="56">
        <v>22.466666666666669</v>
      </c>
      <c r="R165" s="56"/>
      <c r="S165" s="56"/>
      <c r="T165" s="56">
        <v>19.93333333333333</v>
      </c>
      <c r="U165" s="56">
        <v>20.866666666666671</v>
      </c>
      <c r="V165" s="56">
        <v>19.93333333333333</v>
      </c>
      <c r="W165" s="56">
        <v>20.93333333333333</v>
      </c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11</v>
      </c>
      <c r="AQ165" s="71" t="str">
        <f t="shared" si="7"/>
        <v/>
      </c>
      <c r="AR165" s="71">
        <f>IFERROR(VLOOKUP(A165,Climatologia_TMED!A:U,9+$E$2,FALSE),"")</f>
        <v>19.03556780961064</v>
      </c>
      <c r="AS165" s="71" t="str">
        <f t="shared" si="8"/>
        <v/>
      </c>
    </row>
    <row r="166" spans="1:45" ht="14.25" customHeight="1" x14ac:dyDescent="0.2">
      <c r="A166" s="58">
        <v>24055040</v>
      </c>
      <c r="B166" s="59" t="s">
        <v>335</v>
      </c>
      <c r="C166" s="59" t="s">
        <v>299</v>
      </c>
      <c r="D166" s="73">
        <v>-73.292000000000002</v>
      </c>
      <c r="E166" s="73">
        <v>6.5497222219999998</v>
      </c>
      <c r="F166" s="58">
        <v>940</v>
      </c>
      <c r="G166" s="58">
        <v>68</v>
      </c>
      <c r="H166" s="58">
        <v>68522</v>
      </c>
      <c r="I166" s="60" t="s">
        <v>44</v>
      </c>
      <c r="J166" s="60" t="s">
        <v>336</v>
      </c>
      <c r="K166" s="56">
        <v>28.9</v>
      </c>
      <c r="L166" s="56">
        <v>27.7</v>
      </c>
      <c r="M166" s="56">
        <v>27.15</v>
      </c>
      <c r="N166" s="56">
        <v>25.6</v>
      </c>
      <c r="O166" s="56">
        <v>29.2</v>
      </c>
      <c r="P166" s="56">
        <v>28.15</v>
      </c>
      <c r="Q166" s="56">
        <v>30.15</v>
      </c>
      <c r="R166" s="56">
        <v>30.7</v>
      </c>
      <c r="S166" s="56">
        <v>24.55</v>
      </c>
      <c r="T166" s="56">
        <v>28.4</v>
      </c>
      <c r="U166" s="56">
        <v>28</v>
      </c>
      <c r="V166" s="56">
        <v>26.95</v>
      </c>
      <c r="W166" s="56">
        <v>28.8</v>
      </c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13</v>
      </c>
      <c r="AQ166" s="71" t="str">
        <f t="shared" si="7"/>
        <v/>
      </c>
      <c r="AR166" s="71">
        <f>IFERROR(VLOOKUP(A166,Climatologia_TMED!A:U,9+$E$2,FALSE),"")</f>
        <v>26.065864466066579</v>
      </c>
      <c r="AS166" s="71" t="str">
        <f t="shared" si="8"/>
        <v/>
      </c>
    </row>
    <row r="167" spans="1:45" ht="14.25" customHeight="1" x14ac:dyDescent="0.2">
      <c r="A167" s="58">
        <v>37015020</v>
      </c>
      <c r="B167" s="59" t="s">
        <v>337</v>
      </c>
      <c r="C167" s="59" t="s">
        <v>299</v>
      </c>
      <c r="D167" s="73">
        <v>-72.868611110000003</v>
      </c>
      <c r="E167" s="73">
        <v>7.1869444439999999</v>
      </c>
      <c r="F167" s="58">
        <v>3214</v>
      </c>
      <c r="G167" s="58">
        <v>68</v>
      </c>
      <c r="H167" s="58">
        <v>68820</v>
      </c>
      <c r="I167" s="60" t="s">
        <v>44</v>
      </c>
      <c r="J167" s="60" t="s">
        <v>338</v>
      </c>
      <c r="K167" s="56">
        <v>9.1000000000000014</v>
      </c>
      <c r="L167" s="56">
        <v>8.75</v>
      </c>
      <c r="M167" s="56">
        <v>9.1</v>
      </c>
      <c r="N167" s="56">
        <v>8.15</v>
      </c>
      <c r="O167" s="56">
        <v>8.15</v>
      </c>
      <c r="P167" s="56">
        <v>10.35</v>
      </c>
      <c r="Q167" s="56">
        <v>9.9499999999999993</v>
      </c>
      <c r="R167" s="56">
        <v>9.8999999999999986</v>
      </c>
      <c r="S167" s="56">
        <v>8.5500000000000007</v>
      </c>
      <c r="T167" s="56">
        <v>7.75</v>
      </c>
      <c r="U167" s="56">
        <v>7.75</v>
      </c>
      <c r="V167" s="56">
        <v>8.15</v>
      </c>
      <c r="W167" s="56">
        <v>8.1499999999999986</v>
      </c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13</v>
      </c>
      <c r="AQ167" s="71" t="str">
        <f t="shared" si="7"/>
        <v/>
      </c>
      <c r="AR167" s="71">
        <f>IFERROR(VLOOKUP(A167,Climatologia_TMED!A:U,9+$E$2,FALSE),"")</f>
        <v>8.5421242813545373</v>
      </c>
      <c r="AS167" s="71" t="str">
        <f t="shared" si="8"/>
        <v/>
      </c>
    </row>
    <row r="168" spans="1:45" ht="14.25" customHeight="1" x14ac:dyDescent="0.2">
      <c r="A168" s="58">
        <v>37035010</v>
      </c>
      <c r="B168" s="59" t="s">
        <v>339</v>
      </c>
      <c r="C168" s="59" t="s">
        <v>299</v>
      </c>
      <c r="D168" s="73">
        <v>-72.115833330000001</v>
      </c>
      <c r="E168" s="73">
        <v>7.0061111110000001</v>
      </c>
      <c r="F168" s="58">
        <v>370</v>
      </c>
      <c r="G168" s="58">
        <v>54</v>
      </c>
      <c r="H168" s="58">
        <v>54820</v>
      </c>
      <c r="I168" s="60" t="s">
        <v>300</v>
      </c>
      <c r="J168" s="60" t="s">
        <v>340</v>
      </c>
      <c r="K168" s="56"/>
      <c r="L168" s="56"/>
      <c r="M168" s="56"/>
      <c r="N168" s="56">
        <v>24.6</v>
      </c>
      <c r="O168" s="56">
        <v>26.4</v>
      </c>
      <c r="P168" s="56">
        <v>23.733333333333331</v>
      </c>
      <c r="Q168" s="56">
        <v>24.666666666666671</v>
      </c>
      <c r="R168" s="56">
        <v>26.733333333333331</v>
      </c>
      <c r="S168" s="56">
        <v>22.4</v>
      </c>
      <c r="T168" s="56">
        <v>23.6</v>
      </c>
      <c r="U168" s="56"/>
      <c r="V168" s="56"/>
      <c r="W168" s="56">
        <v>24.13333333333334</v>
      </c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8</v>
      </c>
      <c r="AQ168" s="71" t="str">
        <f t="shared" si="7"/>
        <v/>
      </c>
      <c r="AR168" s="71">
        <f>IFERROR(VLOOKUP(A168,Climatologia_TMED!A:U,9+$E$2,FALSE),"")</f>
        <v>24.090623941862471</v>
      </c>
      <c r="AS168" s="71" t="str">
        <f t="shared" si="8"/>
        <v/>
      </c>
    </row>
    <row r="169" spans="1:45" ht="14.25" customHeight="1" x14ac:dyDescent="0.2">
      <c r="A169" s="58">
        <v>26025090</v>
      </c>
      <c r="B169" s="59" t="s">
        <v>341</v>
      </c>
      <c r="C169" s="59" t="s">
        <v>342</v>
      </c>
      <c r="D169" s="73">
        <v>-76.561833332999996</v>
      </c>
      <c r="E169" s="73">
        <v>2.5847500000000001</v>
      </c>
      <c r="F169" s="58">
        <v>1850</v>
      </c>
      <c r="G169" s="58">
        <v>19</v>
      </c>
      <c r="H169" s="58">
        <v>19130</v>
      </c>
      <c r="I169" s="60" t="s">
        <v>178</v>
      </c>
      <c r="J169" s="60" t="s">
        <v>343</v>
      </c>
      <c r="K169" s="56">
        <v>19.666666666666671</v>
      </c>
      <c r="L169" s="56">
        <v>20.2</v>
      </c>
      <c r="M169" s="56">
        <v>20.133333333333329</v>
      </c>
      <c r="N169" s="56">
        <v>20.333333333333329</v>
      </c>
      <c r="O169" s="56">
        <v>21</v>
      </c>
      <c r="P169" s="56">
        <v>22.13333333333334</v>
      </c>
      <c r="Q169" s="56">
        <v>23.86666666666666</v>
      </c>
      <c r="R169" s="56">
        <v>22.8</v>
      </c>
      <c r="S169" s="56">
        <v>19.266666666666669</v>
      </c>
      <c r="T169" s="56">
        <v>21.86666666666666</v>
      </c>
      <c r="U169" s="56">
        <v>19.866666666666671</v>
      </c>
      <c r="V169" s="56">
        <v>20.266666666666669</v>
      </c>
      <c r="W169" s="56">
        <v>20.666666666666671</v>
      </c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13</v>
      </c>
      <c r="AQ169" s="71" t="str">
        <f t="shared" si="7"/>
        <v/>
      </c>
      <c r="AR169" s="71">
        <f>IFERROR(VLOOKUP(A169,Climatologia_TMED!A:U,9+$E$2,FALSE),"")</f>
        <v>18.928926022251918</v>
      </c>
      <c r="AS169" s="71" t="str">
        <f t="shared" si="8"/>
        <v/>
      </c>
    </row>
    <row r="170" spans="1:45" ht="14.25" customHeight="1" x14ac:dyDescent="0.2">
      <c r="A170" s="58">
        <v>26025110</v>
      </c>
      <c r="B170" s="59" t="s">
        <v>344</v>
      </c>
      <c r="C170" s="59" t="s">
        <v>342</v>
      </c>
      <c r="D170" s="73">
        <v>-76.556250000000006</v>
      </c>
      <c r="E170" s="73">
        <v>3.0753888890000001</v>
      </c>
      <c r="F170" s="58">
        <v>1009</v>
      </c>
      <c r="G170" s="58">
        <v>19</v>
      </c>
      <c r="H170" s="58">
        <v>19698</v>
      </c>
      <c r="I170" s="60" t="s">
        <v>178</v>
      </c>
      <c r="J170" s="60" t="s">
        <v>345</v>
      </c>
      <c r="K170" s="56">
        <v>24.6</v>
      </c>
      <c r="L170" s="56">
        <v>25.65</v>
      </c>
      <c r="M170" s="56">
        <v>25.25</v>
      </c>
      <c r="N170" s="56">
        <v>24.45</v>
      </c>
      <c r="O170" s="56">
        <v>25.6</v>
      </c>
      <c r="P170" s="56">
        <v>26.4</v>
      </c>
      <c r="Q170" s="56">
        <v>26.8</v>
      </c>
      <c r="R170" s="56"/>
      <c r="S170" s="56"/>
      <c r="T170" s="56">
        <v>26.2</v>
      </c>
      <c r="U170" s="56">
        <v>25.35</v>
      </c>
      <c r="V170" s="56">
        <v>24.25</v>
      </c>
      <c r="W170" s="56">
        <v>25.75</v>
      </c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11</v>
      </c>
      <c r="AQ170" s="71" t="str">
        <f t="shared" si="7"/>
        <v/>
      </c>
      <c r="AR170" s="71">
        <f>IFERROR(VLOOKUP(A170,Climatologia_TMED!A:U,9+$E$2,FALSE),"")</f>
        <v>24.438628368511878</v>
      </c>
      <c r="AS170" s="71" t="str">
        <f t="shared" si="8"/>
        <v/>
      </c>
    </row>
    <row r="171" spans="1:45" ht="14.25" customHeight="1" x14ac:dyDescent="0.2">
      <c r="A171" s="58">
        <v>26075010</v>
      </c>
      <c r="B171" s="59" t="s">
        <v>346</v>
      </c>
      <c r="C171" s="59" t="s">
        <v>342</v>
      </c>
      <c r="D171" s="73">
        <v>-76.314888889000002</v>
      </c>
      <c r="E171" s="73">
        <v>3.5134722219999999</v>
      </c>
      <c r="F171" s="58">
        <v>1018</v>
      </c>
      <c r="G171" s="58">
        <v>76</v>
      </c>
      <c r="H171" s="58">
        <v>76520</v>
      </c>
      <c r="I171" s="60" t="s">
        <v>347</v>
      </c>
      <c r="J171" s="60" t="s">
        <v>72</v>
      </c>
      <c r="K171" s="56">
        <v>23.15</v>
      </c>
      <c r="L171" s="56">
        <v>26.2</v>
      </c>
      <c r="M171" s="56">
        <v>24.9</v>
      </c>
      <c r="N171" s="56">
        <v>25.35</v>
      </c>
      <c r="O171" s="56">
        <v>24.8</v>
      </c>
      <c r="P171" s="56">
        <v>26</v>
      </c>
      <c r="Q171" s="56">
        <v>26.55</v>
      </c>
      <c r="R171" s="56">
        <v>25.733333333333331</v>
      </c>
      <c r="S171" s="56">
        <v>25.25</v>
      </c>
      <c r="T171" s="56">
        <v>25.8</v>
      </c>
      <c r="U171" s="56">
        <v>24.7</v>
      </c>
      <c r="V171" s="56">
        <v>24.1</v>
      </c>
      <c r="W171" s="56">
        <v>25.55</v>
      </c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13</v>
      </c>
      <c r="AQ171" s="71" t="str">
        <f t="shared" si="7"/>
        <v/>
      </c>
      <c r="AR171" s="71">
        <f>IFERROR(VLOOKUP(A171,Climatologia_TMED!A:U,9+$E$2,FALSE),"")</f>
        <v>24.054408602150531</v>
      </c>
      <c r="AS171" s="71" t="str">
        <f t="shared" si="8"/>
        <v/>
      </c>
    </row>
    <row r="172" spans="1:45" ht="14.25" customHeight="1" x14ac:dyDescent="0.2">
      <c r="A172" s="58">
        <v>26105140</v>
      </c>
      <c r="B172" s="59" t="s">
        <v>348</v>
      </c>
      <c r="C172" s="59" t="s">
        <v>342</v>
      </c>
      <c r="D172" s="73">
        <v>-75.888027777999994</v>
      </c>
      <c r="E172" s="73">
        <v>4.0330555559999999</v>
      </c>
      <c r="F172" s="58">
        <v>2902</v>
      </c>
      <c r="G172" s="58">
        <v>76</v>
      </c>
      <c r="H172" s="58">
        <v>76834</v>
      </c>
      <c r="I172" s="60" t="s">
        <v>347</v>
      </c>
      <c r="J172" s="60" t="s">
        <v>349</v>
      </c>
      <c r="K172" s="56">
        <v>13.53333333333333</v>
      </c>
      <c r="L172" s="56">
        <v>12.93333333333333</v>
      </c>
      <c r="M172" s="56">
        <v>12.66666666666667</v>
      </c>
      <c r="N172" s="56">
        <v>12.6</v>
      </c>
      <c r="O172" s="56">
        <v>14.133333333333329</v>
      </c>
      <c r="P172" s="56">
        <v>15.866666666666671</v>
      </c>
      <c r="Q172" s="56">
        <v>15.33333333333333</v>
      </c>
      <c r="R172" s="56"/>
      <c r="S172" s="56">
        <v>13.866666666666671</v>
      </c>
      <c r="T172" s="56">
        <v>13.53333333333333</v>
      </c>
      <c r="U172" s="56">
        <v>15.4</v>
      </c>
      <c r="V172" s="56">
        <v>11.866666666666671</v>
      </c>
      <c r="W172" s="56">
        <v>13.933333333333341</v>
      </c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12</v>
      </c>
      <c r="AQ172" s="71" t="str">
        <f t="shared" si="7"/>
        <v/>
      </c>
      <c r="AR172" s="71">
        <f>IFERROR(VLOOKUP(A172,Climatologia_TMED!A:U,9+$E$2,FALSE),"")</f>
        <v>12.06075185767186</v>
      </c>
      <c r="AS172" s="71" t="str">
        <f t="shared" si="8"/>
        <v/>
      </c>
    </row>
    <row r="173" spans="1:45" ht="14.25" customHeight="1" x14ac:dyDescent="0.2">
      <c r="A173" s="58">
        <v>26105150</v>
      </c>
      <c r="B173" s="59" t="s">
        <v>350</v>
      </c>
      <c r="C173" s="59" t="s">
        <v>342</v>
      </c>
      <c r="D173" s="73">
        <v>-76.033055555999994</v>
      </c>
      <c r="E173" s="73">
        <v>4.2389166669999998</v>
      </c>
      <c r="F173" s="58">
        <v>1011</v>
      </c>
      <c r="G173" s="58">
        <v>76</v>
      </c>
      <c r="H173" s="58">
        <v>76113</v>
      </c>
      <c r="I173" s="60" t="s">
        <v>347</v>
      </c>
      <c r="J173" s="60" t="s">
        <v>351</v>
      </c>
      <c r="K173" s="56">
        <v>24.8</v>
      </c>
      <c r="L173" s="56">
        <v>24.86666666666666</v>
      </c>
      <c r="M173" s="56">
        <v>23.86666666666666</v>
      </c>
      <c r="N173" s="56">
        <v>24.8</v>
      </c>
      <c r="O173" s="56"/>
      <c r="P173" s="56"/>
      <c r="Q173" s="56">
        <v>26.4</v>
      </c>
      <c r="R173" s="56">
        <v>25.266666666666669</v>
      </c>
      <c r="S173" s="56">
        <v>25</v>
      </c>
      <c r="T173" s="56">
        <v>24.666666666666671</v>
      </c>
      <c r="U173" s="56">
        <v>24.166666666666671</v>
      </c>
      <c r="V173" s="56">
        <v>23.6</v>
      </c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10</v>
      </c>
      <c r="AQ173" s="71" t="str">
        <f t="shared" si="7"/>
        <v/>
      </c>
      <c r="AR173" s="71">
        <f>IFERROR(VLOOKUP(A173,Climatologia_TMED!A:U,9+$E$2,FALSE),"")</f>
        <v>23.532893345747048</v>
      </c>
      <c r="AS173" s="71" t="str">
        <f t="shared" si="8"/>
        <v/>
      </c>
    </row>
    <row r="174" spans="1:45" ht="14.25" customHeight="1" x14ac:dyDescent="0.2">
      <c r="A174" s="58">
        <v>26105230</v>
      </c>
      <c r="B174" s="59" t="s">
        <v>352</v>
      </c>
      <c r="C174" s="59" t="s">
        <v>342</v>
      </c>
      <c r="D174" s="73">
        <v>-76.168527780000005</v>
      </c>
      <c r="E174" s="73">
        <v>4.028333333</v>
      </c>
      <c r="F174" s="58">
        <v>1119</v>
      </c>
      <c r="G174" s="58">
        <v>76</v>
      </c>
      <c r="H174" s="58">
        <v>76834</v>
      </c>
      <c r="I174" s="60" t="s">
        <v>347</v>
      </c>
      <c r="J174" s="60" t="s">
        <v>349</v>
      </c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0</v>
      </c>
      <c r="AQ174" s="71" t="str">
        <f t="shared" si="7"/>
        <v/>
      </c>
      <c r="AR174" s="71">
        <f>IFERROR(VLOOKUP(A174,Climatologia_TMED!A:U,9+$E$2,FALSE),"")</f>
        <v>22.91788397034211</v>
      </c>
      <c r="AS174" s="71" t="str">
        <f t="shared" si="8"/>
        <v/>
      </c>
    </row>
    <row r="175" spans="1:45" ht="14.25" customHeight="1" x14ac:dyDescent="0.2">
      <c r="A175" s="58">
        <v>26125130</v>
      </c>
      <c r="B175" s="59" t="s">
        <v>353</v>
      </c>
      <c r="C175" s="59" t="s">
        <v>342</v>
      </c>
      <c r="D175" s="73">
        <v>-75.832361109999994</v>
      </c>
      <c r="E175" s="73">
        <v>4.185055556</v>
      </c>
      <c r="F175" s="58">
        <v>1749</v>
      </c>
      <c r="G175" s="58">
        <v>76</v>
      </c>
      <c r="H175" s="58">
        <v>76736</v>
      </c>
      <c r="I175" s="60" t="s">
        <v>347</v>
      </c>
      <c r="J175" s="60" t="s">
        <v>354</v>
      </c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0</v>
      </c>
      <c r="AQ175" s="71" t="str">
        <f t="shared" si="7"/>
        <v/>
      </c>
      <c r="AR175" s="71">
        <f>IFERROR(VLOOKUP(A175,Climatologia_TMED!A:U,9+$E$2,FALSE),"")</f>
        <v>19.5698772272609</v>
      </c>
      <c r="AS175" s="71" t="str">
        <f t="shared" si="8"/>
        <v/>
      </c>
    </row>
    <row r="176" spans="1:45" ht="14.25" customHeight="1" x14ac:dyDescent="0.2">
      <c r="A176" s="58">
        <v>26135100</v>
      </c>
      <c r="B176" s="59" t="s">
        <v>355</v>
      </c>
      <c r="C176" s="59" t="s">
        <v>342</v>
      </c>
      <c r="D176" s="73">
        <v>-75.877555560000005</v>
      </c>
      <c r="E176" s="73">
        <v>4.8780277779999999</v>
      </c>
      <c r="F176" s="58">
        <v>995</v>
      </c>
      <c r="G176" s="58">
        <v>66</v>
      </c>
      <c r="H176" s="58">
        <v>66001</v>
      </c>
      <c r="I176" s="60" t="s">
        <v>59</v>
      </c>
      <c r="J176" s="60" t="s">
        <v>60</v>
      </c>
      <c r="K176" s="56">
        <v>24.93333333333333</v>
      </c>
      <c r="L176" s="56">
        <v>26.86666666666666</v>
      </c>
      <c r="M176" s="56">
        <v>24.4</v>
      </c>
      <c r="N176" s="56">
        <v>24.2</v>
      </c>
      <c r="O176" s="56"/>
      <c r="P176" s="56">
        <v>25.2</v>
      </c>
      <c r="Q176" s="56">
        <v>26.8</v>
      </c>
      <c r="R176" s="56">
        <v>25.933333333333341</v>
      </c>
      <c r="S176" s="56">
        <v>25.2</v>
      </c>
      <c r="T176" s="56">
        <v>26.533333333333331</v>
      </c>
      <c r="U176" s="56">
        <v>25.93333333333333</v>
      </c>
      <c r="V176" s="56">
        <v>24.8</v>
      </c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11</v>
      </c>
      <c r="AQ176" s="71" t="str">
        <f t="shared" si="7"/>
        <v/>
      </c>
      <c r="AR176" s="71">
        <f>IFERROR(VLOOKUP(A176,Climatologia_TMED!A:U,9+$E$2,FALSE),"")</f>
        <v>24.552280346878891</v>
      </c>
      <c r="AS176" s="71" t="str">
        <f t="shared" si="8"/>
        <v/>
      </c>
    </row>
    <row r="177" spans="1:45" ht="14.25" customHeight="1" x14ac:dyDescent="0.2">
      <c r="A177" s="58">
        <v>26145020</v>
      </c>
      <c r="B177" s="59" t="s">
        <v>356</v>
      </c>
      <c r="C177" s="59" t="s">
        <v>342</v>
      </c>
      <c r="D177" s="73">
        <v>-75.800138888999996</v>
      </c>
      <c r="E177" s="73">
        <v>5.2759444440000003</v>
      </c>
      <c r="F177" s="58">
        <v>1984</v>
      </c>
      <c r="G177" s="58">
        <v>17</v>
      </c>
      <c r="H177" s="58">
        <v>17042</v>
      </c>
      <c r="I177" s="60" t="s">
        <v>113</v>
      </c>
      <c r="J177" s="60" t="s">
        <v>357</v>
      </c>
      <c r="K177" s="56">
        <v>18.8</v>
      </c>
      <c r="L177" s="56">
        <v>19.45</v>
      </c>
      <c r="M177" s="56">
        <v>19.3</v>
      </c>
      <c r="N177" s="56">
        <v>17.2</v>
      </c>
      <c r="O177" s="56">
        <v>18.8</v>
      </c>
      <c r="P177" s="56"/>
      <c r="Q177" s="56"/>
      <c r="R177" s="56">
        <v>19</v>
      </c>
      <c r="S177" s="56"/>
      <c r="T177" s="56"/>
      <c r="U177" s="56">
        <v>18.350000000000001</v>
      </c>
      <c r="V177" s="56">
        <v>17.850000000000001</v>
      </c>
      <c r="W177" s="56">
        <v>19.399999999999999</v>
      </c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9</v>
      </c>
      <c r="AQ177" s="71" t="str">
        <f t="shared" si="7"/>
        <v/>
      </c>
      <c r="AR177" s="71">
        <f>IFERROR(VLOOKUP(A177,Climatologia_TMED!A:U,9+$E$2,FALSE),"")</f>
        <v>17.587583683516652</v>
      </c>
      <c r="AS177" s="71" t="str">
        <f t="shared" si="8"/>
        <v/>
      </c>
    </row>
    <row r="178" spans="1:45" ht="14.25" customHeight="1" x14ac:dyDescent="0.2">
      <c r="A178" s="58">
        <v>26155170</v>
      </c>
      <c r="B178" s="59" t="s">
        <v>358</v>
      </c>
      <c r="C178" s="59" t="s">
        <v>342</v>
      </c>
      <c r="D178" s="73">
        <v>-75.438333330000006</v>
      </c>
      <c r="E178" s="73">
        <v>5.0322222219999997</v>
      </c>
      <c r="F178" s="58">
        <v>2325</v>
      </c>
      <c r="G178" s="58">
        <v>17</v>
      </c>
      <c r="H178" s="58">
        <v>17001</v>
      </c>
      <c r="I178" s="60" t="s">
        <v>113</v>
      </c>
      <c r="J178" s="60" t="s">
        <v>359</v>
      </c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0</v>
      </c>
      <c r="AQ178" s="71" t="str">
        <f t="shared" si="7"/>
        <v/>
      </c>
      <c r="AR178" s="71">
        <f>IFERROR(VLOOKUP(A178,Climatologia_TMED!A:U,9+$E$2,FALSE),"")</f>
        <v>15.83877688172042</v>
      </c>
      <c r="AS178" s="71" t="str">
        <f t="shared" si="8"/>
        <v/>
      </c>
    </row>
    <row r="179" spans="1:45" ht="14.25" customHeight="1" x14ac:dyDescent="0.2">
      <c r="A179" s="58">
        <v>21135020</v>
      </c>
      <c r="B179" s="59" t="s">
        <v>360</v>
      </c>
      <c r="C179" s="59" t="s">
        <v>361</v>
      </c>
      <c r="D179" s="73">
        <v>-75.015749999999997</v>
      </c>
      <c r="E179" s="73">
        <v>3.85575</v>
      </c>
      <c r="F179" s="58">
        <v>313</v>
      </c>
      <c r="G179" s="58">
        <v>73</v>
      </c>
      <c r="H179" s="58">
        <v>73671</v>
      </c>
      <c r="I179" s="60" t="s">
        <v>65</v>
      </c>
      <c r="J179" s="60" t="s">
        <v>362</v>
      </c>
      <c r="K179" s="56">
        <v>31</v>
      </c>
      <c r="L179" s="56">
        <v>29.466666666666669</v>
      </c>
      <c r="M179" s="56">
        <v>28.2</v>
      </c>
      <c r="N179" s="56">
        <v>29.86666666666666</v>
      </c>
      <c r="O179" s="56">
        <v>30.066666666666659</v>
      </c>
      <c r="P179" s="56">
        <v>32.866666666666667</v>
      </c>
      <c r="Q179" s="56">
        <v>32.133333333333333</v>
      </c>
      <c r="R179" s="56">
        <v>33</v>
      </c>
      <c r="S179" s="56">
        <v>30.666666666666671</v>
      </c>
      <c r="T179" s="56">
        <v>31.06666666666667</v>
      </c>
      <c r="U179" s="56">
        <v>31.466666666666669</v>
      </c>
      <c r="V179" s="56">
        <v>29.666666666666671</v>
      </c>
      <c r="W179" s="56">
        <v>32.266666666666673</v>
      </c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13</v>
      </c>
      <c r="AQ179" s="71" t="str">
        <f t="shared" si="7"/>
        <v/>
      </c>
      <c r="AR179" s="71">
        <f>IFERROR(VLOOKUP(A179,Climatologia_TMED!A:U,9+$E$2,FALSE),"")</f>
        <v>28.533236387569811</v>
      </c>
      <c r="AS179" s="71" t="str">
        <f t="shared" si="8"/>
        <v/>
      </c>
    </row>
    <row r="180" spans="1:45" ht="14.25" customHeight="1" x14ac:dyDescent="0.2">
      <c r="A180" s="58">
        <v>21165010</v>
      </c>
      <c r="B180" s="59" t="s">
        <v>363</v>
      </c>
      <c r="C180" s="59" t="s">
        <v>361</v>
      </c>
      <c r="D180" s="73">
        <v>-74.917027779999998</v>
      </c>
      <c r="E180" s="73">
        <v>3.7876111109999999</v>
      </c>
      <c r="F180" s="58">
        <v>311</v>
      </c>
      <c r="G180" s="58">
        <v>73</v>
      </c>
      <c r="H180" s="58">
        <v>73563</v>
      </c>
      <c r="I180" s="60" t="s">
        <v>65</v>
      </c>
      <c r="J180" s="60" t="s">
        <v>364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28.229959867329249</v>
      </c>
      <c r="AS180" s="71" t="str">
        <f t="shared" si="8"/>
        <v/>
      </c>
    </row>
    <row r="181" spans="1:45" ht="14.25" customHeight="1" x14ac:dyDescent="0.2">
      <c r="A181" s="58">
        <v>21185030</v>
      </c>
      <c r="B181" s="59" t="s">
        <v>365</v>
      </c>
      <c r="C181" s="59" t="s">
        <v>361</v>
      </c>
      <c r="D181" s="73">
        <v>-74.981388890000005</v>
      </c>
      <c r="E181" s="73">
        <v>4.0088333330000001</v>
      </c>
      <c r="F181" s="58">
        <v>332</v>
      </c>
      <c r="G181" s="58">
        <v>73</v>
      </c>
      <c r="H181" s="58">
        <v>73319</v>
      </c>
      <c r="I181" s="60" t="s">
        <v>65</v>
      </c>
      <c r="J181" s="60" t="s">
        <v>365</v>
      </c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0</v>
      </c>
      <c r="AQ181" s="71" t="str">
        <f t="shared" si="7"/>
        <v/>
      </c>
      <c r="AR181" s="71">
        <f>IFERROR(VLOOKUP(A181,Climatologia_TMED!A:U,9+$E$2,FALSE),"")</f>
        <v>28.77035045798484</v>
      </c>
      <c r="AS181" s="71" t="str">
        <f t="shared" si="8"/>
        <v/>
      </c>
    </row>
    <row r="182" spans="1:45" ht="14.25" customHeight="1" x14ac:dyDescent="0.2">
      <c r="A182" s="58">
        <v>21185080</v>
      </c>
      <c r="B182" s="59" t="s">
        <v>366</v>
      </c>
      <c r="C182" s="59" t="s">
        <v>361</v>
      </c>
      <c r="D182" s="73">
        <v>-75.104611110999997</v>
      </c>
      <c r="E182" s="73">
        <v>4.2164583330000003</v>
      </c>
      <c r="F182" s="58">
        <v>591</v>
      </c>
      <c r="G182" s="58">
        <v>73</v>
      </c>
      <c r="H182" s="58">
        <v>73854</v>
      </c>
      <c r="I182" s="60" t="s">
        <v>65</v>
      </c>
      <c r="J182" s="60" t="s">
        <v>366</v>
      </c>
      <c r="K182" s="56">
        <v>28.6</v>
      </c>
      <c r="L182" s="56">
        <v>28.2</v>
      </c>
      <c r="M182" s="56">
        <v>26.533333333333331</v>
      </c>
      <c r="N182" s="56">
        <v>26</v>
      </c>
      <c r="O182" s="56">
        <v>28.066666666666659</v>
      </c>
      <c r="P182" s="56">
        <v>27.933333333333341</v>
      </c>
      <c r="Q182" s="56">
        <v>28.666666666666671</v>
      </c>
      <c r="R182" s="56">
        <v>29.86666666666666</v>
      </c>
      <c r="S182" s="56">
        <v>28.06666666666667</v>
      </c>
      <c r="T182" s="56">
        <v>27.6</v>
      </c>
      <c r="U182" s="56">
        <v>27.93333333333333</v>
      </c>
      <c r="V182" s="56">
        <v>26.733333333333331</v>
      </c>
      <c r="W182" s="56">
        <v>28.333333333333329</v>
      </c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13</v>
      </c>
      <c r="AQ182" s="71" t="str">
        <f t="shared" si="7"/>
        <v/>
      </c>
      <c r="AR182" s="71">
        <f>IFERROR(VLOOKUP(A182,Climatologia_TMED!A:U,9+$E$2,FALSE),"")</f>
        <v>26.638371217616989</v>
      </c>
      <c r="AS182" s="71" t="str">
        <f t="shared" si="8"/>
        <v/>
      </c>
    </row>
    <row r="183" spans="1:45" ht="14.25" customHeight="1" x14ac:dyDescent="0.2">
      <c r="A183" s="58">
        <v>21215080</v>
      </c>
      <c r="B183" s="59" t="s">
        <v>367</v>
      </c>
      <c r="C183" s="59" t="s">
        <v>361</v>
      </c>
      <c r="D183" s="73">
        <v>-74.995361110000005</v>
      </c>
      <c r="E183" s="73">
        <v>4.2315277780000002</v>
      </c>
      <c r="F183" s="58">
        <v>432</v>
      </c>
      <c r="G183" s="58">
        <v>73</v>
      </c>
      <c r="H183" s="58">
        <v>73268</v>
      </c>
      <c r="I183" s="60" t="s">
        <v>65</v>
      </c>
      <c r="J183" s="60" t="s">
        <v>368</v>
      </c>
      <c r="K183" s="56">
        <v>27</v>
      </c>
      <c r="L183" s="56">
        <v>27.333333333333329</v>
      </c>
      <c r="M183" s="56">
        <v>26.266666666666669</v>
      </c>
      <c r="N183" s="56">
        <v>27</v>
      </c>
      <c r="O183" s="56">
        <v>28.6</v>
      </c>
      <c r="P183" s="56">
        <v>29.8</v>
      </c>
      <c r="Q183" s="56">
        <v>29.666666666666671</v>
      </c>
      <c r="R183" s="56">
        <v>31.13333333333334</v>
      </c>
      <c r="S183" s="56">
        <v>28.6</v>
      </c>
      <c r="T183" s="56">
        <v>28.2</v>
      </c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10</v>
      </c>
      <c r="AQ183" s="71" t="str">
        <f t="shared" si="7"/>
        <v/>
      </c>
      <c r="AR183" s="71">
        <f>IFERROR(VLOOKUP(A183,Climatologia_TMED!A:U,9+$E$2,FALSE),"")</f>
        <v>27.608632285011371</v>
      </c>
      <c r="AS183" s="71" t="str">
        <f t="shared" si="8"/>
        <v/>
      </c>
    </row>
    <row r="184" spans="1:45" ht="14.25" customHeight="1" x14ac:dyDescent="0.2">
      <c r="A184" s="58">
        <v>21235010</v>
      </c>
      <c r="B184" s="59" t="s">
        <v>369</v>
      </c>
      <c r="C184" s="59" t="s">
        <v>361</v>
      </c>
      <c r="D184" s="73">
        <v>-74.702388889999995</v>
      </c>
      <c r="E184" s="73">
        <v>4.5618055560000004</v>
      </c>
      <c r="F184" s="58">
        <v>297</v>
      </c>
      <c r="G184" s="58">
        <v>25</v>
      </c>
      <c r="H184" s="58">
        <v>25368</v>
      </c>
      <c r="I184" s="60" t="s">
        <v>68</v>
      </c>
      <c r="J184" s="60" t="s">
        <v>370</v>
      </c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0</v>
      </c>
      <c r="AQ184" s="71" t="str">
        <f t="shared" si="7"/>
        <v/>
      </c>
      <c r="AR184" s="71">
        <f>IFERROR(VLOOKUP(A184,Climatologia_TMED!A:U,9+$E$2,FALSE),"")</f>
        <v>29.070126004555309</v>
      </c>
      <c r="AS184" s="71" t="str">
        <f t="shared" si="8"/>
        <v/>
      </c>
    </row>
    <row r="185" spans="1:45" ht="14.25" customHeight="1" x14ac:dyDescent="0.2">
      <c r="A185" s="58">
        <v>21245010</v>
      </c>
      <c r="B185" s="59" t="s">
        <v>371</v>
      </c>
      <c r="C185" s="59" t="s">
        <v>361</v>
      </c>
      <c r="D185" s="73">
        <v>-75.200522219999996</v>
      </c>
      <c r="E185" s="73">
        <v>4.4296666670000002</v>
      </c>
      <c r="F185" s="58">
        <v>826</v>
      </c>
      <c r="G185" s="58">
        <v>73</v>
      </c>
      <c r="H185" s="58">
        <v>73001</v>
      </c>
      <c r="I185" s="60" t="s">
        <v>65</v>
      </c>
      <c r="J185" s="60" t="s">
        <v>66</v>
      </c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0</v>
      </c>
      <c r="AQ185" s="71" t="str">
        <f t="shared" si="7"/>
        <v/>
      </c>
      <c r="AR185" s="71">
        <f>IFERROR(VLOOKUP(A185,Climatologia_TMED!A:U,9+$E$2,FALSE),"")</f>
        <v>26.268944482947319</v>
      </c>
      <c r="AS185" s="71" t="str">
        <f t="shared" si="8"/>
        <v/>
      </c>
    </row>
    <row r="186" spans="1:45" ht="14.25" customHeight="1" x14ac:dyDescent="0.2">
      <c r="A186" s="58">
        <v>21245140</v>
      </c>
      <c r="B186" s="59" t="s">
        <v>372</v>
      </c>
      <c r="C186" s="59" t="s">
        <v>361</v>
      </c>
      <c r="D186" s="73">
        <v>-75.09445556</v>
      </c>
      <c r="E186" s="73">
        <v>4.7118611110000002</v>
      </c>
      <c r="F186" s="58">
        <v>2288</v>
      </c>
      <c r="G186" s="58">
        <v>73</v>
      </c>
      <c r="H186" s="58">
        <v>73686</v>
      </c>
      <c r="I186" s="60" t="s">
        <v>65</v>
      </c>
      <c r="J186" s="60" t="s">
        <v>372</v>
      </c>
      <c r="K186" s="56">
        <v>18.2</v>
      </c>
      <c r="L186" s="56">
        <v>16.600000000000001</v>
      </c>
      <c r="M186" s="56">
        <v>16.666666666666671</v>
      </c>
      <c r="N186" s="56">
        <v>15.2</v>
      </c>
      <c r="O186" s="56">
        <v>17</v>
      </c>
      <c r="P186" s="56">
        <v>19.266666666666669</v>
      </c>
      <c r="Q186" s="56">
        <v>17.93333333333333</v>
      </c>
      <c r="R186" s="56">
        <v>19.2</v>
      </c>
      <c r="S186" s="56">
        <v>15.6</v>
      </c>
      <c r="T186" s="56">
        <v>18.13333333333334</v>
      </c>
      <c r="U186" s="56">
        <v>19</v>
      </c>
      <c r="V186" s="56">
        <v>15.866666666666671</v>
      </c>
      <c r="W186" s="56">
        <v>16.866666666666671</v>
      </c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13</v>
      </c>
      <c r="AQ186" s="71" t="str">
        <f t="shared" si="7"/>
        <v/>
      </c>
      <c r="AR186" s="71">
        <f>IFERROR(VLOOKUP(A186,Climatologia_TMED!A:U,9+$E$2,FALSE),"")</f>
        <v>15.99559198953173</v>
      </c>
      <c r="AS186" s="71" t="str">
        <f t="shared" si="8"/>
        <v/>
      </c>
    </row>
    <row r="187" spans="1:45" ht="14.25" customHeight="1" x14ac:dyDescent="0.2">
      <c r="A187" s="58">
        <v>21255080</v>
      </c>
      <c r="B187" s="59" t="s">
        <v>373</v>
      </c>
      <c r="C187" s="59" t="s">
        <v>361</v>
      </c>
      <c r="D187" s="73">
        <v>-74.767944439999994</v>
      </c>
      <c r="E187" s="73">
        <v>4.7837779999999999</v>
      </c>
      <c r="F187" s="58">
        <v>308</v>
      </c>
      <c r="G187" s="58">
        <v>73</v>
      </c>
      <c r="H187" s="58">
        <v>73030</v>
      </c>
      <c r="I187" s="60" t="s">
        <v>65</v>
      </c>
      <c r="J187" s="60" t="s">
        <v>374</v>
      </c>
      <c r="K187" s="56">
        <v>31.4</v>
      </c>
      <c r="L187" s="56">
        <v>30.333333333333329</v>
      </c>
      <c r="M187" s="56">
        <v>30.8</v>
      </c>
      <c r="N187" s="56"/>
      <c r="O187" s="56">
        <v>32.200000000000003</v>
      </c>
      <c r="P187" s="56"/>
      <c r="Q187" s="56">
        <v>33</v>
      </c>
      <c r="R187" s="56">
        <v>34.133333333333333</v>
      </c>
      <c r="S187" s="56"/>
      <c r="T187" s="56">
        <v>32.93333333333333</v>
      </c>
      <c r="U187" s="56">
        <v>32</v>
      </c>
      <c r="V187" s="56">
        <v>30.93333333333333</v>
      </c>
      <c r="W187" s="56">
        <v>32.333333333333343</v>
      </c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10</v>
      </c>
      <c r="AQ187" s="71" t="str">
        <f t="shared" si="7"/>
        <v/>
      </c>
      <c r="AR187" s="71">
        <f>IFERROR(VLOOKUP(A187,Climatologia_TMED!A:U,9+$E$2,FALSE),"")</f>
        <v>29.85158435805279</v>
      </c>
      <c r="AS187" s="71" t="str">
        <f t="shared" si="8"/>
        <v/>
      </c>
    </row>
    <row r="188" spans="1:45" ht="14.25" customHeight="1" x14ac:dyDescent="0.2">
      <c r="A188" s="58">
        <v>21255090</v>
      </c>
      <c r="B188" s="59" t="s">
        <v>375</v>
      </c>
      <c r="C188" s="59" t="s">
        <v>361</v>
      </c>
      <c r="D188" s="73">
        <v>-74.899991666999995</v>
      </c>
      <c r="E188" s="73">
        <v>5</v>
      </c>
      <c r="F188" s="58">
        <v>321</v>
      </c>
      <c r="G188" s="58">
        <v>73</v>
      </c>
      <c r="H188" s="58">
        <v>73055</v>
      </c>
      <c r="I188" s="60" t="s">
        <v>65</v>
      </c>
      <c r="J188" s="60" t="s">
        <v>376</v>
      </c>
      <c r="K188" s="56">
        <v>31.06666666666667</v>
      </c>
      <c r="L188" s="56">
        <v>28.466666666666669</v>
      </c>
      <c r="M188" s="56">
        <v>29.2</v>
      </c>
      <c r="N188" s="56">
        <v>28</v>
      </c>
      <c r="O188" s="56">
        <v>31.2</v>
      </c>
      <c r="P188" s="56">
        <v>32.266666666666673</v>
      </c>
      <c r="Q188" s="56">
        <v>31.4</v>
      </c>
      <c r="R188" s="56">
        <v>32.266666666666673</v>
      </c>
      <c r="S188" s="56">
        <v>29.4</v>
      </c>
      <c r="T188" s="56">
        <v>32.066666666666663</v>
      </c>
      <c r="U188" s="56">
        <v>30.666666666666671</v>
      </c>
      <c r="V188" s="56">
        <v>28.266666666666669</v>
      </c>
      <c r="W188" s="56">
        <v>31.266666666666669</v>
      </c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13</v>
      </c>
      <c r="AQ188" s="71" t="str">
        <f t="shared" si="7"/>
        <v/>
      </c>
      <c r="AR188" s="71">
        <f>IFERROR(VLOOKUP(A188,Climatologia_TMED!A:U,9+$E$2,FALSE),"")</f>
        <v>28.916523661482469</v>
      </c>
      <c r="AS188" s="71" t="str">
        <f t="shared" si="8"/>
        <v/>
      </c>
    </row>
    <row r="189" spans="1:45" ht="14.25" customHeight="1" x14ac:dyDescent="0.2">
      <c r="A189" s="58">
        <v>21255120</v>
      </c>
      <c r="B189" s="59" t="s">
        <v>377</v>
      </c>
      <c r="C189" s="59" t="s">
        <v>361</v>
      </c>
      <c r="D189" s="73">
        <v>-75.117336111</v>
      </c>
      <c r="E189" s="73">
        <v>5.0267619440000004</v>
      </c>
      <c r="F189" s="58">
        <v>2069</v>
      </c>
      <c r="G189" s="58">
        <v>73</v>
      </c>
      <c r="H189" s="58">
        <v>73870</v>
      </c>
      <c r="I189" s="60" t="s">
        <v>65</v>
      </c>
      <c r="J189" s="60" t="s">
        <v>377</v>
      </c>
      <c r="K189" s="56">
        <v>19.149999999999999</v>
      </c>
      <c r="L189" s="56">
        <v>18.95</v>
      </c>
      <c r="M189" s="56">
        <v>18.149999999999999</v>
      </c>
      <c r="N189" s="56">
        <v>17.45</v>
      </c>
      <c r="O189" s="56">
        <v>18.600000000000001</v>
      </c>
      <c r="P189" s="56">
        <v>20.149999999999999</v>
      </c>
      <c r="Q189" s="56">
        <v>19</v>
      </c>
      <c r="R189" s="56">
        <v>19.399999999999999</v>
      </c>
      <c r="S189" s="56">
        <v>17.25</v>
      </c>
      <c r="T189" s="56">
        <v>18.100000000000001</v>
      </c>
      <c r="U189" s="56">
        <v>20.85</v>
      </c>
      <c r="V189" s="56">
        <v>17.850000000000001</v>
      </c>
      <c r="W189" s="56">
        <v>18.350000000000001</v>
      </c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13</v>
      </c>
      <c r="AQ189" s="71" t="str">
        <f t="shared" si="7"/>
        <v/>
      </c>
      <c r="AR189" s="71">
        <f>IFERROR(VLOOKUP(A189,Climatologia_TMED!A:U,9+$E$2,FALSE),"")</f>
        <v>17.387219014660609</v>
      </c>
      <c r="AS189" s="71" t="str">
        <f t="shared" si="8"/>
        <v/>
      </c>
    </row>
    <row r="190" spans="1:45" ht="14.25" customHeight="1" x14ac:dyDescent="0.2">
      <c r="A190" s="58">
        <v>22045010</v>
      </c>
      <c r="B190" s="59" t="s">
        <v>378</v>
      </c>
      <c r="C190" s="59" t="s">
        <v>361</v>
      </c>
      <c r="D190" s="73">
        <v>-75.503444439999996</v>
      </c>
      <c r="E190" s="73">
        <v>3.7224444440000002</v>
      </c>
      <c r="F190" s="58">
        <v>895</v>
      </c>
      <c r="G190" s="58">
        <v>73</v>
      </c>
      <c r="H190" s="58">
        <v>73168</v>
      </c>
      <c r="I190" s="60" t="s">
        <v>65</v>
      </c>
      <c r="J190" s="60" t="s">
        <v>379</v>
      </c>
      <c r="K190" s="56">
        <v>26.266666666666669</v>
      </c>
      <c r="L190" s="56">
        <v>24.06666666666667</v>
      </c>
      <c r="M190" s="56">
        <v>25.4</v>
      </c>
      <c r="N190" s="56">
        <v>26</v>
      </c>
      <c r="O190" s="56">
        <v>25.8</v>
      </c>
      <c r="P190" s="56">
        <v>26.533333333333331</v>
      </c>
      <c r="Q190" s="56">
        <v>27.4</v>
      </c>
      <c r="R190" s="56">
        <v>27</v>
      </c>
      <c r="S190" s="56">
        <v>26.6</v>
      </c>
      <c r="T190" s="56">
        <v>26.533333333333331</v>
      </c>
      <c r="U190" s="56">
        <v>27.13333333333334</v>
      </c>
      <c r="V190" s="56">
        <v>25.666666666666671</v>
      </c>
      <c r="W190" s="56">
        <v>26.6</v>
      </c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13</v>
      </c>
      <c r="AQ190" s="71" t="str">
        <f t="shared" si="7"/>
        <v/>
      </c>
      <c r="AR190" s="71">
        <f>IFERROR(VLOOKUP(A190,Climatologia_TMED!A:U,9+$E$2,FALSE),"")</f>
        <v>25.244507180818172</v>
      </c>
      <c r="AS190" s="71" t="str">
        <f t="shared" si="8"/>
        <v/>
      </c>
    </row>
    <row r="191" spans="1:45" ht="14.25" customHeight="1" x14ac:dyDescent="0.2">
      <c r="A191" s="58">
        <v>22055020</v>
      </c>
      <c r="B191" s="59" t="s">
        <v>380</v>
      </c>
      <c r="C191" s="59" t="s">
        <v>361</v>
      </c>
      <c r="D191" s="73">
        <v>-75.536361110000001</v>
      </c>
      <c r="E191" s="73">
        <v>3.4557777779999999</v>
      </c>
      <c r="F191" s="58">
        <v>699</v>
      </c>
      <c r="G191" s="58">
        <v>73</v>
      </c>
      <c r="H191" s="58">
        <v>73067</v>
      </c>
      <c r="I191" s="60" t="s">
        <v>65</v>
      </c>
      <c r="J191" s="60" t="s">
        <v>381</v>
      </c>
      <c r="K191" s="56"/>
      <c r="L191" s="56">
        <v>25</v>
      </c>
      <c r="M191" s="56">
        <v>24.65</v>
      </c>
      <c r="N191" s="56">
        <v>25.6</v>
      </c>
      <c r="O191" s="56">
        <v>27.35</v>
      </c>
      <c r="P191" s="56">
        <v>29.1</v>
      </c>
      <c r="Q191" s="56">
        <v>29.05</v>
      </c>
      <c r="R191" s="56">
        <v>28.95</v>
      </c>
      <c r="S191" s="56">
        <v>27.25</v>
      </c>
      <c r="T191" s="56">
        <v>26.2</v>
      </c>
      <c r="U191" s="56">
        <v>27.9</v>
      </c>
      <c r="V191" s="56">
        <v>25.4</v>
      </c>
      <c r="W191" s="56">
        <v>27.6</v>
      </c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12</v>
      </c>
      <c r="AQ191" s="71" t="str">
        <f t="shared" si="7"/>
        <v/>
      </c>
      <c r="AR191" s="71">
        <f>IFERROR(VLOOKUP(A191,Climatologia_TMED!A:U,9+$E$2,FALSE),"")</f>
        <v>26.35276954000917</v>
      </c>
      <c r="AS191" s="71" t="str">
        <f t="shared" si="8"/>
        <v/>
      </c>
    </row>
    <row r="192" spans="1:45" ht="14.25" customHeight="1" x14ac:dyDescent="0.2">
      <c r="A192" s="58">
        <v>22065040</v>
      </c>
      <c r="B192" s="59" t="s">
        <v>382</v>
      </c>
      <c r="C192" s="59" t="s">
        <v>361</v>
      </c>
      <c r="D192" s="73">
        <v>-75.467749999999995</v>
      </c>
      <c r="E192" s="73">
        <v>3.9211999999999998</v>
      </c>
      <c r="F192" s="58">
        <v>1566</v>
      </c>
      <c r="G192" s="58">
        <v>73</v>
      </c>
      <c r="H192" s="58">
        <v>73675</v>
      </c>
      <c r="I192" s="60" t="s">
        <v>65</v>
      </c>
      <c r="J192" s="60" t="s">
        <v>383</v>
      </c>
      <c r="K192" s="56">
        <v>21.86666666666666</v>
      </c>
      <c r="L192" s="56">
        <v>20.266666666666669</v>
      </c>
      <c r="M192" s="56">
        <v>19.600000000000001</v>
      </c>
      <c r="N192" s="56">
        <v>21.2</v>
      </c>
      <c r="O192" s="56">
        <v>21.333333333333329</v>
      </c>
      <c r="P192" s="56">
        <v>22.6</v>
      </c>
      <c r="Q192" s="56">
        <v>22.8</v>
      </c>
      <c r="R192" s="56">
        <v>23.13333333333334</v>
      </c>
      <c r="S192" s="56">
        <v>20.6</v>
      </c>
      <c r="T192" s="56">
        <v>20.8</v>
      </c>
      <c r="U192" s="56">
        <v>22.13333333333334</v>
      </c>
      <c r="V192" s="56">
        <v>19.8</v>
      </c>
      <c r="W192" s="56">
        <v>20.93333333333333</v>
      </c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13</v>
      </c>
      <c r="AQ192" s="71" t="str">
        <f t="shared" si="7"/>
        <v/>
      </c>
      <c r="AR192" s="71">
        <f>IFERROR(VLOOKUP(A192,Climatologia_TMED!A:U,9+$E$2,FALSE),"")</f>
        <v>21.60766179705843</v>
      </c>
      <c r="AS192" s="71" t="str">
        <f t="shared" si="8"/>
        <v/>
      </c>
    </row>
    <row r="193" spans="1:45" ht="14.25" customHeight="1" x14ac:dyDescent="0.2">
      <c r="A193" s="58">
        <v>23025040</v>
      </c>
      <c r="B193" s="59" t="s">
        <v>197</v>
      </c>
      <c r="C193" s="59" t="s">
        <v>361</v>
      </c>
      <c r="D193" s="73">
        <v>-74.914580556000004</v>
      </c>
      <c r="E193" s="73">
        <v>5.301108889</v>
      </c>
      <c r="F193" s="58">
        <v>788</v>
      </c>
      <c r="G193" s="58">
        <v>73</v>
      </c>
      <c r="H193" s="58">
        <v>73443</v>
      </c>
      <c r="I193" s="60" t="s">
        <v>65</v>
      </c>
      <c r="J193" s="60" t="s">
        <v>384</v>
      </c>
      <c r="K193" s="56">
        <v>29.333333333333329</v>
      </c>
      <c r="L193" s="56">
        <v>26</v>
      </c>
      <c r="M193" s="56">
        <v>26.93333333333333</v>
      </c>
      <c r="N193" s="56">
        <v>26</v>
      </c>
      <c r="O193" s="56">
        <v>28.666666666666671</v>
      </c>
      <c r="P193" s="56">
        <v>29.2</v>
      </c>
      <c r="Q193" s="56">
        <v>28.86666666666666</v>
      </c>
      <c r="R193" s="56">
        <v>28.066666666666659</v>
      </c>
      <c r="S193" s="56">
        <v>26.13333333333334</v>
      </c>
      <c r="T193" s="56">
        <v>28.4</v>
      </c>
      <c r="U193" s="56">
        <v>28.8</v>
      </c>
      <c r="V193" s="56">
        <v>26.13333333333334</v>
      </c>
      <c r="W193" s="56">
        <v>29.06666666666667</v>
      </c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13</v>
      </c>
      <c r="AQ193" s="71" t="str">
        <f t="shared" si="7"/>
        <v/>
      </c>
      <c r="AR193" s="71">
        <f>IFERROR(VLOOKUP(A193,Climatologia_TMED!A:U,9+$E$2,FALSE),"")</f>
        <v>25.687488209709759</v>
      </c>
      <c r="AS193" s="71" t="str">
        <f t="shared" si="8"/>
        <v/>
      </c>
    </row>
    <row r="194" spans="1:45" ht="14.25" customHeight="1" x14ac:dyDescent="0.2">
      <c r="A194" s="58">
        <v>23055040</v>
      </c>
      <c r="B194" s="59" t="s">
        <v>385</v>
      </c>
      <c r="C194" s="59" t="s">
        <v>361</v>
      </c>
      <c r="D194" s="73">
        <v>-74.992927777999995</v>
      </c>
      <c r="E194" s="73">
        <v>5.4182880559999997</v>
      </c>
      <c r="F194" s="58">
        <v>1532</v>
      </c>
      <c r="G194" s="58">
        <v>17</v>
      </c>
      <c r="H194" s="58">
        <v>17662</v>
      </c>
      <c r="I194" s="60" t="s">
        <v>113</v>
      </c>
      <c r="J194" s="60" t="s">
        <v>386</v>
      </c>
      <c r="K194" s="56">
        <v>22.8</v>
      </c>
      <c r="L194" s="56">
        <v>22.93333333333333</v>
      </c>
      <c r="M194" s="56">
        <v>21</v>
      </c>
      <c r="N194" s="56">
        <v>20.2</v>
      </c>
      <c r="O194" s="56">
        <v>21.86666666666666</v>
      </c>
      <c r="P194" s="56">
        <v>23.133333333333329</v>
      </c>
      <c r="Q194" s="56">
        <v>23.86666666666666</v>
      </c>
      <c r="R194" s="56">
        <v>24.466666666666669</v>
      </c>
      <c r="S194" s="56">
        <v>20.93333333333333</v>
      </c>
      <c r="T194" s="56">
        <v>22.733333333333331</v>
      </c>
      <c r="U194" s="56">
        <v>23.466666666666669</v>
      </c>
      <c r="V194" s="56">
        <v>20.666666666666671</v>
      </c>
      <c r="W194" s="56">
        <v>22.93333333333333</v>
      </c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13</v>
      </c>
      <c r="AQ194" s="71" t="str">
        <f t="shared" si="7"/>
        <v/>
      </c>
      <c r="AR194" s="71">
        <f>IFERROR(VLOOKUP(A194,Climatologia_TMED!A:U,9+$E$2,FALSE),"")</f>
        <v>20.22375647152527</v>
      </c>
      <c r="AS194" s="71" t="str">
        <f t="shared" si="8"/>
        <v/>
      </c>
    </row>
    <row r="195" spans="1:45" ht="14.25" customHeight="1" x14ac:dyDescent="0.2">
      <c r="A195" s="58">
        <v>21195060</v>
      </c>
      <c r="B195" s="59" t="s">
        <v>387</v>
      </c>
      <c r="C195" s="59" t="s">
        <v>388</v>
      </c>
      <c r="D195" s="73">
        <v>-74.487416670000002</v>
      </c>
      <c r="E195" s="73">
        <v>4.1927222220000004</v>
      </c>
      <c r="F195" s="58">
        <v>950</v>
      </c>
      <c r="G195" s="58">
        <v>25</v>
      </c>
      <c r="H195" s="58">
        <v>25524</v>
      </c>
      <c r="I195" s="60" t="s">
        <v>68</v>
      </c>
      <c r="J195" s="60" t="s">
        <v>387</v>
      </c>
      <c r="K195" s="56">
        <v>25.93333333333333</v>
      </c>
      <c r="L195" s="56">
        <v>25.866666666666671</v>
      </c>
      <c r="M195" s="56">
        <v>23.666666666666671</v>
      </c>
      <c r="N195" s="56">
        <v>24.466666666666669</v>
      </c>
      <c r="O195" s="56">
        <v>25.2</v>
      </c>
      <c r="P195" s="56">
        <v>27.266666666666669</v>
      </c>
      <c r="Q195" s="56">
        <v>27.06666666666667</v>
      </c>
      <c r="R195" s="56">
        <v>26.6</v>
      </c>
      <c r="S195" s="56">
        <v>25.266666666666669</v>
      </c>
      <c r="T195" s="56">
        <v>25.6</v>
      </c>
      <c r="U195" s="56">
        <v>26.333333333333329</v>
      </c>
      <c r="V195" s="56">
        <v>24.666666666666671</v>
      </c>
      <c r="W195" s="56">
        <v>26.466666666666669</v>
      </c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13</v>
      </c>
      <c r="AQ195" s="71" t="str">
        <f t="shared" si="7"/>
        <v/>
      </c>
      <c r="AR195" s="71">
        <f>IFERROR(VLOOKUP(A195,Climatologia_TMED!A:U,9+$E$2,FALSE),"")</f>
        <v>24.127383001170529</v>
      </c>
      <c r="AS195" s="71" t="str">
        <f t="shared" si="8"/>
        <v/>
      </c>
    </row>
    <row r="196" spans="1:45" ht="14.25" customHeight="1" x14ac:dyDescent="0.2">
      <c r="A196" s="58">
        <v>21195120</v>
      </c>
      <c r="B196" s="59" t="s">
        <v>389</v>
      </c>
      <c r="C196" s="59" t="s">
        <v>388</v>
      </c>
      <c r="D196" s="73">
        <v>-74.392719999999997</v>
      </c>
      <c r="E196" s="73">
        <v>4.3929200000000002</v>
      </c>
      <c r="F196" s="58">
        <v>1421</v>
      </c>
      <c r="G196" s="58">
        <v>25</v>
      </c>
      <c r="H196" s="58">
        <v>25743</v>
      </c>
      <c r="I196" s="60" t="s">
        <v>68</v>
      </c>
      <c r="J196" s="60" t="s">
        <v>390</v>
      </c>
      <c r="K196" s="56">
        <v>21.8</v>
      </c>
      <c r="L196" s="56">
        <v>21.05</v>
      </c>
      <c r="M196" s="56">
        <v>20.6</v>
      </c>
      <c r="N196" s="56">
        <v>21.3</v>
      </c>
      <c r="O196" s="56">
        <v>21.5</v>
      </c>
      <c r="P196" s="56">
        <v>22.9</v>
      </c>
      <c r="Q196" s="56">
        <v>22.35</v>
      </c>
      <c r="R196" s="56">
        <v>22.2</v>
      </c>
      <c r="S196" s="56">
        <v>21.25</v>
      </c>
      <c r="T196" s="56">
        <v>21.95</v>
      </c>
      <c r="U196" s="56">
        <v>22.65</v>
      </c>
      <c r="V196" s="56">
        <v>20.399999999999999</v>
      </c>
      <c r="W196" s="56">
        <v>21.4</v>
      </c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13</v>
      </c>
      <c r="AQ196" s="71" t="str">
        <f t="shared" si="7"/>
        <v/>
      </c>
      <c r="AR196" s="71" t="str">
        <f>IFERROR(VLOOKUP(A196,Climatologia_TMED!A:U,9+$E$2,FALSE),"")</f>
        <v/>
      </c>
      <c r="AS196" s="71" t="str">
        <f t="shared" si="8"/>
        <v/>
      </c>
    </row>
    <row r="197" spans="1:45" ht="14.25" customHeight="1" x14ac:dyDescent="0.2">
      <c r="A197" s="58">
        <v>21195190</v>
      </c>
      <c r="B197" s="59" t="s">
        <v>391</v>
      </c>
      <c r="C197" s="59" t="s">
        <v>388</v>
      </c>
      <c r="D197" s="73">
        <v>-74.308398999999994</v>
      </c>
      <c r="E197" s="73">
        <v>4.3071890000000002</v>
      </c>
      <c r="F197" s="58">
        <v>2187</v>
      </c>
      <c r="G197" s="58">
        <v>25</v>
      </c>
      <c r="H197" s="58">
        <v>25535</v>
      </c>
      <c r="I197" s="60" t="s">
        <v>68</v>
      </c>
      <c r="J197" s="60" t="s">
        <v>391</v>
      </c>
      <c r="K197" s="56">
        <v>17.06666666666667</v>
      </c>
      <c r="L197" s="56">
        <v>17</v>
      </c>
      <c r="M197" s="56">
        <v>16.533333333333331</v>
      </c>
      <c r="N197" s="56">
        <v>15.66666666666667</v>
      </c>
      <c r="O197" s="56">
        <v>16.466666666666669</v>
      </c>
      <c r="P197" s="56">
        <v>17.333333333333329</v>
      </c>
      <c r="Q197" s="56">
        <v>16.93333333333333</v>
      </c>
      <c r="R197" s="56">
        <v>16.93333333333333</v>
      </c>
      <c r="S197" s="56">
        <v>16.266666666666669</v>
      </c>
      <c r="T197" s="56">
        <v>16.666666666666671</v>
      </c>
      <c r="U197" s="56">
        <v>16.866666666666671</v>
      </c>
      <c r="V197" s="56">
        <v>16.666666666666671</v>
      </c>
      <c r="W197" s="56">
        <v>16</v>
      </c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13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15.78766040619119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21205420</v>
      </c>
      <c r="B198" s="59" t="s">
        <v>392</v>
      </c>
      <c r="C198" s="59" t="s">
        <v>388</v>
      </c>
      <c r="D198" s="73">
        <v>-74.205625999999995</v>
      </c>
      <c r="E198" s="73">
        <v>4.6886619999999999</v>
      </c>
      <c r="F198" s="58">
        <v>2543</v>
      </c>
      <c r="G198" s="58">
        <v>25</v>
      </c>
      <c r="H198" s="58">
        <v>25473</v>
      </c>
      <c r="I198" s="60" t="s">
        <v>68</v>
      </c>
      <c r="J198" s="60" t="s">
        <v>393</v>
      </c>
      <c r="K198" s="56">
        <v>15.25</v>
      </c>
      <c r="L198" s="56">
        <v>12.6</v>
      </c>
      <c r="M198" s="56">
        <v>13.7</v>
      </c>
      <c r="N198" s="56">
        <v>15</v>
      </c>
      <c r="O198" s="56">
        <v>15.45</v>
      </c>
      <c r="P198" s="56">
        <v>13.7</v>
      </c>
      <c r="Q198" s="56">
        <v>17.100000000000001</v>
      </c>
      <c r="R198" s="56">
        <v>16.55</v>
      </c>
      <c r="S198" s="56">
        <v>14.6</v>
      </c>
      <c r="T198" s="56">
        <v>14.2</v>
      </c>
      <c r="U198" s="56">
        <v>13.85</v>
      </c>
      <c r="V198" s="56">
        <v>14.3</v>
      </c>
      <c r="W198" s="56">
        <v>13.4</v>
      </c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13</v>
      </c>
      <c r="AQ198" s="71" t="str">
        <f t="shared" si="10"/>
        <v/>
      </c>
      <c r="AR198" s="71">
        <f>IFERROR(VLOOKUP(A198,Climatologia_TMED!A:U,9+$E$2,FALSE),"")</f>
        <v>13.36561246778364</v>
      </c>
      <c r="AS198" s="71" t="str">
        <f t="shared" si="11"/>
        <v/>
      </c>
    </row>
    <row r="199" spans="1:45" ht="14.25" customHeight="1" x14ac:dyDescent="0.2">
      <c r="A199" s="58">
        <v>21205660</v>
      </c>
      <c r="B199" s="59" t="s">
        <v>394</v>
      </c>
      <c r="C199" s="59" t="s">
        <v>388</v>
      </c>
      <c r="D199" s="73">
        <v>-74.523179999999996</v>
      </c>
      <c r="E199" s="73">
        <v>4.5791000000000004</v>
      </c>
      <c r="F199" s="58">
        <v>765</v>
      </c>
      <c r="G199" s="58">
        <v>25</v>
      </c>
      <c r="H199" s="58">
        <v>25035</v>
      </c>
      <c r="I199" s="60" t="s">
        <v>68</v>
      </c>
      <c r="J199" s="60" t="s">
        <v>395</v>
      </c>
      <c r="K199" s="56">
        <v>27.1</v>
      </c>
      <c r="L199" s="56">
        <v>25.55</v>
      </c>
      <c r="M199" s="56">
        <v>24.75</v>
      </c>
      <c r="N199" s="56">
        <v>26.4</v>
      </c>
      <c r="O199" s="56">
        <v>27.55</v>
      </c>
      <c r="P199" s="56">
        <v>28.9</v>
      </c>
      <c r="Q199" s="56">
        <v>28.7</v>
      </c>
      <c r="R199" s="56">
        <v>28</v>
      </c>
      <c r="S199" s="56">
        <v>26.2</v>
      </c>
      <c r="T199" s="56">
        <v>27.6</v>
      </c>
      <c r="U199" s="56">
        <v>27.4</v>
      </c>
      <c r="V199" s="56">
        <v>25.05</v>
      </c>
      <c r="W199" s="56">
        <v>27.8</v>
      </c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13</v>
      </c>
      <c r="AQ199" s="71" t="str">
        <f t="shared" si="10"/>
        <v/>
      </c>
      <c r="AR199" s="71">
        <f>IFERROR(VLOOKUP(A199,Climatologia_TMED!A:U,9+$E$2,FALSE),"")</f>
        <v>25.53752926833085</v>
      </c>
      <c r="AS199" s="71" t="str">
        <f t="shared" si="11"/>
        <v/>
      </c>
    </row>
    <row r="200" spans="1:45" ht="14.25" customHeight="1" x14ac:dyDescent="0.2">
      <c r="A200" s="58">
        <v>21205700</v>
      </c>
      <c r="B200" s="59" t="s">
        <v>396</v>
      </c>
      <c r="C200" s="59" t="s">
        <v>388</v>
      </c>
      <c r="D200" s="73">
        <v>-73.864452999999997</v>
      </c>
      <c r="E200" s="73">
        <v>4.8779529999999998</v>
      </c>
      <c r="F200" s="58">
        <v>2750</v>
      </c>
      <c r="G200" s="58">
        <v>25</v>
      </c>
      <c r="H200" s="58">
        <v>25322</v>
      </c>
      <c r="I200" s="60" t="s">
        <v>68</v>
      </c>
      <c r="J200" s="60" t="s">
        <v>396</v>
      </c>
      <c r="K200" s="56">
        <v>14.85</v>
      </c>
      <c r="L200" s="56">
        <v>13.1</v>
      </c>
      <c r="M200" s="56">
        <v>13.1</v>
      </c>
      <c r="N200" s="56">
        <v>13.95</v>
      </c>
      <c r="O200" s="56">
        <v>13.8</v>
      </c>
      <c r="P200" s="56">
        <v>13.4</v>
      </c>
      <c r="Q200" s="56">
        <v>13.65</v>
      </c>
      <c r="R200" s="56">
        <v>13.8</v>
      </c>
      <c r="S200" s="56">
        <v>13.75</v>
      </c>
      <c r="T200" s="56">
        <v>13.35</v>
      </c>
      <c r="U200" s="56">
        <v>13.05</v>
      </c>
      <c r="V200" s="56">
        <v>12.85</v>
      </c>
      <c r="W200" s="56">
        <v>13.5</v>
      </c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13</v>
      </c>
      <c r="AQ200" s="71" t="str">
        <f t="shared" si="10"/>
        <v/>
      </c>
      <c r="AR200" s="71">
        <f>IFERROR(VLOOKUP(A200,Climatologia_TMED!A:U,9+$E$2,FALSE),"")</f>
        <v>12.80356395850392</v>
      </c>
      <c r="AS200" s="71" t="str">
        <f t="shared" si="11"/>
        <v/>
      </c>
    </row>
    <row r="201" spans="1:45" ht="14.25" customHeight="1" x14ac:dyDescent="0.2">
      <c r="A201" s="58">
        <v>21205720</v>
      </c>
      <c r="B201" s="59" t="s">
        <v>397</v>
      </c>
      <c r="C201" s="59" t="s">
        <v>388</v>
      </c>
      <c r="D201" s="73">
        <v>-74.189277779999998</v>
      </c>
      <c r="E201" s="73">
        <v>4.5057499999999999</v>
      </c>
      <c r="F201" s="58">
        <v>2900</v>
      </c>
      <c r="G201" s="58">
        <v>25</v>
      </c>
      <c r="H201" s="58">
        <v>25754</v>
      </c>
      <c r="I201" s="60" t="s">
        <v>68</v>
      </c>
      <c r="J201" s="60" t="s">
        <v>398</v>
      </c>
      <c r="K201" s="56">
        <v>14.2</v>
      </c>
      <c r="L201" s="56">
        <v>13.2</v>
      </c>
      <c r="M201" s="56">
        <v>13.33333333333333</v>
      </c>
      <c r="N201" s="56">
        <v>13.8</v>
      </c>
      <c r="O201" s="56">
        <v>14.33333333333333</v>
      </c>
      <c r="P201" s="56">
        <v>15.46666666666667</v>
      </c>
      <c r="Q201" s="56">
        <v>13.6</v>
      </c>
      <c r="R201" s="56">
        <v>14.733333333333331</v>
      </c>
      <c r="S201" s="56"/>
      <c r="T201" s="56"/>
      <c r="U201" s="56">
        <v>14.33333333333333</v>
      </c>
      <c r="V201" s="56">
        <v>13.733333333333331</v>
      </c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10</v>
      </c>
      <c r="AQ201" s="71" t="str">
        <f t="shared" si="10"/>
        <v/>
      </c>
      <c r="AR201" s="71">
        <f>IFERROR(VLOOKUP(A201,Climatologia_TMED!A:U,9+$E$2,FALSE),"")</f>
        <v>11.97087485048104</v>
      </c>
      <c r="AS201" s="71" t="str">
        <f t="shared" si="11"/>
        <v/>
      </c>
    </row>
    <row r="202" spans="1:45" ht="14.25" customHeight="1" x14ac:dyDescent="0.2">
      <c r="A202" s="58">
        <v>21205740</v>
      </c>
      <c r="B202" s="59" t="s">
        <v>399</v>
      </c>
      <c r="C202" s="59" t="s">
        <v>388</v>
      </c>
      <c r="D202" s="73">
        <v>-73.70141667</v>
      </c>
      <c r="E202" s="73">
        <v>5.1177222220000003</v>
      </c>
      <c r="F202" s="58">
        <v>2709</v>
      </c>
      <c r="G202" s="58">
        <v>25</v>
      </c>
      <c r="H202" s="58">
        <v>25183</v>
      </c>
      <c r="I202" s="60" t="s">
        <v>68</v>
      </c>
      <c r="J202" s="60" t="s">
        <v>400</v>
      </c>
      <c r="K202" s="56">
        <v>11.65</v>
      </c>
      <c r="L202" s="56">
        <v>10.8</v>
      </c>
      <c r="M202" s="56">
        <v>11.05</v>
      </c>
      <c r="N202" s="56">
        <v>11.8</v>
      </c>
      <c r="O202" s="56">
        <v>11.95</v>
      </c>
      <c r="P202" s="56">
        <v>12.3</v>
      </c>
      <c r="Q202" s="56"/>
      <c r="R202" s="56">
        <v>12.05</v>
      </c>
      <c r="S202" s="56"/>
      <c r="T202" s="56">
        <v>13.3</v>
      </c>
      <c r="U202" s="56">
        <v>12.15</v>
      </c>
      <c r="V202" s="56">
        <v>10.3</v>
      </c>
      <c r="W202" s="56">
        <v>11.45</v>
      </c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11</v>
      </c>
      <c r="AQ202" s="71" t="str">
        <f t="shared" si="10"/>
        <v/>
      </c>
      <c r="AR202" s="71">
        <f>IFERROR(VLOOKUP(A202,Climatologia_TMED!A:U,9+$E$2,FALSE),"")</f>
        <v>11.771313220352599</v>
      </c>
      <c r="AS202" s="71" t="str">
        <f t="shared" si="11"/>
        <v/>
      </c>
    </row>
    <row r="203" spans="1:45" ht="14.25" customHeight="1" x14ac:dyDescent="0.2">
      <c r="A203" s="58">
        <v>21205920</v>
      </c>
      <c r="B203" s="59" t="s">
        <v>401</v>
      </c>
      <c r="C203" s="59" t="s">
        <v>388</v>
      </c>
      <c r="D203" s="73">
        <v>-73.963888890000007</v>
      </c>
      <c r="E203" s="73">
        <v>4.8208333330000004</v>
      </c>
      <c r="F203" s="58">
        <v>2650</v>
      </c>
      <c r="G203" s="58">
        <v>25</v>
      </c>
      <c r="H203" s="58">
        <v>25758</v>
      </c>
      <c r="I203" s="60" t="s">
        <v>68</v>
      </c>
      <c r="J203" s="60" t="s">
        <v>402</v>
      </c>
      <c r="K203" s="56">
        <v>14.3</v>
      </c>
      <c r="L203" s="56">
        <v>13.65</v>
      </c>
      <c r="M203" s="56">
        <v>13.2</v>
      </c>
      <c r="N203" s="56">
        <v>14.25</v>
      </c>
      <c r="O203" s="56">
        <v>14.85</v>
      </c>
      <c r="P203" s="56">
        <v>14.4</v>
      </c>
      <c r="Q203" s="56">
        <v>15.45</v>
      </c>
      <c r="R203" s="56">
        <v>15.2</v>
      </c>
      <c r="S203" s="56">
        <v>13.2</v>
      </c>
      <c r="T203" s="56">
        <v>14</v>
      </c>
      <c r="U203" s="56">
        <v>14.35</v>
      </c>
      <c r="V203" s="56">
        <v>14.5</v>
      </c>
      <c r="W203" s="56">
        <v>14.45</v>
      </c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13</v>
      </c>
      <c r="AQ203" s="71" t="str">
        <f t="shared" si="10"/>
        <v/>
      </c>
      <c r="AR203" s="71">
        <f>IFERROR(VLOOKUP(A203,Climatologia_TMED!A:U,9+$E$2,FALSE),"")</f>
        <v>13.414894116817671</v>
      </c>
      <c r="AS203" s="71" t="str">
        <f t="shared" si="11"/>
        <v/>
      </c>
    </row>
    <row r="204" spans="1:45" ht="14.25" customHeight="1" x14ac:dyDescent="0.2">
      <c r="A204" s="58">
        <v>21205940</v>
      </c>
      <c r="B204" s="59" t="s">
        <v>403</v>
      </c>
      <c r="C204" s="59" t="s">
        <v>388</v>
      </c>
      <c r="D204" s="73">
        <v>-74.380560000000003</v>
      </c>
      <c r="E204" s="73">
        <v>4.8321100000000001</v>
      </c>
      <c r="F204" s="58">
        <v>2590</v>
      </c>
      <c r="G204" s="58">
        <v>25</v>
      </c>
      <c r="H204" s="58">
        <v>25269</v>
      </c>
      <c r="I204" s="60" t="s">
        <v>68</v>
      </c>
      <c r="J204" s="60" t="s">
        <v>404</v>
      </c>
      <c r="K204" s="56">
        <v>13.7</v>
      </c>
      <c r="L204" s="56">
        <v>11.95</v>
      </c>
      <c r="M204" s="56">
        <v>11.6</v>
      </c>
      <c r="N204" s="56">
        <v>13.2</v>
      </c>
      <c r="O204" s="56">
        <v>14.25</v>
      </c>
      <c r="P204" s="56">
        <v>13.2</v>
      </c>
      <c r="Q204" s="56">
        <v>14.6</v>
      </c>
      <c r="R204" s="56">
        <v>14.9</v>
      </c>
      <c r="S204" s="56">
        <v>13.3</v>
      </c>
      <c r="T204" s="56">
        <v>13.45</v>
      </c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10</v>
      </c>
      <c r="AQ204" s="71" t="str">
        <f t="shared" si="10"/>
        <v/>
      </c>
      <c r="AR204" s="71" t="str">
        <f>IFERROR(VLOOKUP(A204,Climatologia_TMED!A:U,9+$E$2,FALSE),"")</f>
        <v/>
      </c>
      <c r="AS204" s="71" t="str">
        <f t="shared" si="11"/>
        <v/>
      </c>
    </row>
    <row r="205" spans="1:45" ht="14.25" customHeight="1" x14ac:dyDescent="0.2">
      <c r="A205" s="58">
        <v>21206260</v>
      </c>
      <c r="B205" s="59" t="s">
        <v>405</v>
      </c>
      <c r="C205" s="59" t="s">
        <v>388</v>
      </c>
      <c r="D205" s="73">
        <v>-74.049722220000007</v>
      </c>
      <c r="E205" s="73">
        <v>4.7986388890000002</v>
      </c>
      <c r="F205" s="58">
        <v>2570</v>
      </c>
      <c r="G205" s="58">
        <v>11</v>
      </c>
      <c r="H205" s="58">
        <v>11001</v>
      </c>
      <c r="I205" s="60" t="s">
        <v>406</v>
      </c>
      <c r="J205" s="60" t="s">
        <v>407</v>
      </c>
      <c r="K205" s="56">
        <v>14.93333333333333</v>
      </c>
      <c r="L205" s="56">
        <v>12.8</v>
      </c>
      <c r="M205" s="56">
        <v>14.133333333333329</v>
      </c>
      <c r="N205" s="56"/>
      <c r="O205" s="56"/>
      <c r="P205" s="56">
        <v>15.46666666666667</v>
      </c>
      <c r="Q205" s="56">
        <v>13.66666666666667</v>
      </c>
      <c r="R205" s="56">
        <v>14.6</v>
      </c>
      <c r="S205" s="56">
        <v>14.93333333333333</v>
      </c>
      <c r="T205" s="56">
        <v>13.53333333333333</v>
      </c>
      <c r="U205" s="56">
        <v>13.6</v>
      </c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9</v>
      </c>
      <c r="AQ205" s="71" t="str">
        <f t="shared" si="10"/>
        <v/>
      </c>
      <c r="AR205" s="71">
        <f>IFERROR(VLOOKUP(A205,Climatologia_TMED!A:U,9+$E$2,FALSE),"")</f>
        <v>13.56077580506272</v>
      </c>
      <c r="AS205" s="71" t="str">
        <f t="shared" si="11"/>
        <v/>
      </c>
    </row>
    <row r="206" spans="1:45" ht="14.25" customHeight="1" x14ac:dyDescent="0.2">
      <c r="A206" s="58">
        <v>21206600</v>
      </c>
      <c r="B206" s="59" t="s">
        <v>408</v>
      </c>
      <c r="C206" s="59" t="s">
        <v>388</v>
      </c>
      <c r="D206" s="73">
        <v>-74.102247000000006</v>
      </c>
      <c r="E206" s="73">
        <v>4.786594</v>
      </c>
      <c r="F206" s="58">
        <v>2590</v>
      </c>
      <c r="G206" s="58">
        <v>11</v>
      </c>
      <c r="H206" s="58">
        <v>11001</v>
      </c>
      <c r="I206" s="60" t="s">
        <v>406</v>
      </c>
      <c r="J206" s="60" t="s">
        <v>407</v>
      </c>
      <c r="K206" s="56">
        <v>15.7</v>
      </c>
      <c r="L206" s="56">
        <v>13.25</v>
      </c>
      <c r="M206" s="56">
        <v>14.4</v>
      </c>
      <c r="N206" s="56">
        <v>14.75</v>
      </c>
      <c r="O206" s="56">
        <v>15.2</v>
      </c>
      <c r="P206" s="56">
        <v>15</v>
      </c>
      <c r="Q206" s="56">
        <v>13.55</v>
      </c>
      <c r="R206" s="56"/>
      <c r="S206" s="56">
        <v>14.2</v>
      </c>
      <c r="T206" s="56">
        <v>13.15</v>
      </c>
      <c r="U206" s="56">
        <v>13.6</v>
      </c>
      <c r="V206" s="56">
        <v>14.85</v>
      </c>
      <c r="W206" s="56">
        <v>16.05</v>
      </c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12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21206650</v>
      </c>
      <c r="B207" s="59" t="s">
        <v>409</v>
      </c>
      <c r="C207" s="59" t="s">
        <v>388</v>
      </c>
      <c r="D207" s="73">
        <v>-74.088222221999999</v>
      </c>
      <c r="E207" s="73">
        <v>4.5167527779999999</v>
      </c>
      <c r="F207" s="58">
        <v>3100</v>
      </c>
      <c r="G207" s="58">
        <v>11</v>
      </c>
      <c r="H207" s="58">
        <v>11001</v>
      </c>
      <c r="I207" s="60" t="s">
        <v>406</v>
      </c>
      <c r="J207" s="60" t="s">
        <v>407</v>
      </c>
      <c r="K207" s="56">
        <v>10.85</v>
      </c>
      <c r="L207" s="56">
        <v>10.5</v>
      </c>
      <c r="M207" s="56">
        <v>10.95</v>
      </c>
      <c r="N207" s="56">
        <v>11.25</v>
      </c>
      <c r="O207" s="56">
        <v>11.6</v>
      </c>
      <c r="P207" s="56">
        <v>11.2</v>
      </c>
      <c r="Q207" s="56">
        <v>11.4</v>
      </c>
      <c r="R207" s="56">
        <v>11.4</v>
      </c>
      <c r="S207" s="56">
        <v>11.1</v>
      </c>
      <c r="T207" s="56">
        <v>10.9</v>
      </c>
      <c r="U207" s="56">
        <v>10.5</v>
      </c>
      <c r="V207" s="56">
        <v>11</v>
      </c>
      <c r="W207" s="56">
        <v>10.75</v>
      </c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13</v>
      </c>
      <c r="AQ207" s="71" t="str">
        <f t="shared" si="10"/>
        <v/>
      </c>
      <c r="AR207" s="71" t="str">
        <f>IFERROR(VLOOKUP(A207,Climatologia_TMED!A:U,9+$E$2,FALSE),"")</f>
        <v/>
      </c>
      <c r="AS207" s="71" t="str">
        <f t="shared" si="11"/>
        <v/>
      </c>
    </row>
    <row r="208" spans="1:45" ht="14.25" customHeight="1" x14ac:dyDescent="0.2">
      <c r="A208" s="58">
        <v>24015120</v>
      </c>
      <c r="B208" s="59" t="s">
        <v>410</v>
      </c>
      <c r="C208" s="59" t="s">
        <v>388</v>
      </c>
      <c r="D208" s="73">
        <v>-73.734805559999998</v>
      </c>
      <c r="E208" s="73">
        <v>5.4672777779999997</v>
      </c>
      <c r="F208" s="58">
        <v>2580</v>
      </c>
      <c r="G208" s="58">
        <v>25</v>
      </c>
      <c r="H208" s="58">
        <v>25288</v>
      </c>
      <c r="I208" s="60" t="s">
        <v>68</v>
      </c>
      <c r="J208" s="60" t="s">
        <v>411</v>
      </c>
      <c r="K208" s="56">
        <v>15</v>
      </c>
      <c r="L208" s="56">
        <v>14.6</v>
      </c>
      <c r="M208" s="56">
        <v>16.149999999999999</v>
      </c>
      <c r="N208" s="56">
        <v>15.1</v>
      </c>
      <c r="O208" s="56">
        <v>17</v>
      </c>
      <c r="P208" s="56">
        <v>16.350000000000001</v>
      </c>
      <c r="Q208" s="56">
        <v>15.9</v>
      </c>
      <c r="R208" s="56">
        <v>16.899999999999999</v>
      </c>
      <c r="S208" s="56">
        <v>14.8</v>
      </c>
      <c r="T208" s="56">
        <v>15.3</v>
      </c>
      <c r="U208" s="56">
        <v>17.399999999999999</v>
      </c>
      <c r="V208" s="56">
        <v>15.45</v>
      </c>
      <c r="W208" s="56">
        <v>15</v>
      </c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13</v>
      </c>
      <c r="AQ208" s="71" t="str">
        <f t="shared" si="10"/>
        <v/>
      </c>
      <c r="AR208" s="71">
        <f>IFERROR(VLOOKUP(A208,Climatologia_TMED!A:U,9+$E$2,FALSE),"")</f>
        <v>14.32967020528393</v>
      </c>
      <c r="AS208" s="71" t="str">
        <f t="shared" si="11"/>
        <v/>
      </c>
    </row>
    <row r="209" spans="1:45" ht="14.25" customHeight="1" x14ac:dyDescent="0.2">
      <c r="A209" s="58">
        <v>35025060</v>
      </c>
      <c r="B209" s="59" t="s">
        <v>412</v>
      </c>
      <c r="C209" s="59" t="s">
        <v>388</v>
      </c>
      <c r="D209" s="73">
        <v>-73.995885000000001</v>
      </c>
      <c r="E209" s="73">
        <v>4.587059</v>
      </c>
      <c r="F209" s="58">
        <v>3195</v>
      </c>
      <c r="G209" s="58">
        <v>25</v>
      </c>
      <c r="H209" s="58">
        <v>25181</v>
      </c>
      <c r="I209" s="60" t="s">
        <v>68</v>
      </c>
      <c r="J209" s="60" t="s">
        <v>413</v>
      </c>
      <c r="K209" s="56">
        <v>8.6999999999999993</v>
      </c>
      <c r="L209" s="56">
        <v>8.3000000000000007</v>
      </c>
      <c r="M209" s="56">
        <v>7.8</v>
      </c>
      <c r="N209" s="56">
        <v>8.6999999999999993</v>
      </c>
      <c r="O209" s="56">
        <v>8.6999999999999993</v>
      </c>
      <c r="P209" s="56">
        <v>8.65</v>
      </c>
      <c r="Q209" s="56">
        <v>9.3999999999999986</v>
      </c>
      <c r="R209" s="56">
        <v>9.5</v>
      </c>
      <c r="S209" s="56">
        <v>8.8500000000000014</v>
      </c>
      <c r="T209" s="56">
        <v>8.5500000000000007</v>
      </c>
      <c r="U209" s="56">
        <v>8.5500000000000007</v>
      </c>
      <c r="V209" s="56">
        <v>9</v>
      </c>
      <c r="W209" s="56">
        <v>8.65</v>
      </c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13</v>
      </c>
      <c r="AQ209" s="71" t="str">
        <f t="shared" si="10"/>
        <v/>
      </c>
      <c r="AR209" s="71">
        <f>IFERROR(VLOOKUP(A209,Climatologia_TMED!A:U,9+$E$2,FALSE),"")</f>
        <v>8.0801328816903997</v>
      </c>
      <c r="AS209" s="71" t="str">
        <f t="shared" si="11"/>
        <v/>
      </c>
    </row>
    <row r="210" spans="1:45" ht="14.25" customHeight="1" x14ac:dyDescent="0.2">
      <c r="A210" s="58">
        <v>47075010</v>
      </c>
      <c r="B210" s="59" t="s">
        <v>414</v>
      </c>
      <c r="C210" s="59" t="s">
        <v>388</v>
      </c>
      <c r="D210" s="73">
        <v>-72.789583332999996</v>
      </c>
      <c r="E210" s="73">
        <v>-1.4446111109999999</v>
      </c>
      <c r="F210" s="58">
        <v>160</v>
      </c>
      <c r="G210" s="58">
        <v>91</v>
      </c>
      <c r="H210" s="58">
        <v>91405</v>
      </c>
      <c r="I210" s="60" t="s">
        <v>93</v>
      </c>
      <c r="J210" s="60" t="s">
        <v>414</v>
      </c>
      <c r="K210" s="56">
        <v>24.15</v>
      </c>
      <c r="L210" s="56">
        <v>25.95</v>
      </c>
      <c r="M210" s="56">
        <v>24.2</v>
      </c>
      <c r="N210" s="56">
        <v>24.25</v>
      </c>
      <c r="O210" s="56">
        <v>24.25</v>
      </c>
      <c r="P210" s="56">
        <v>24.3</v>
      </c>
      <c r="Q210" s="56">
        <v>24.95</v>
      </c>
      <c r="R210" s="56">
        <v>25.2</v>
      </c>
      <c r="S210" s="56">
        <v>25.65</v>
      </c>
      <c r="T210" s="56">
        <v>25.85</v>
      </c>
      <c r="U210" s="56">
        <v>26.55</v>
      </c>
      <c r="V210" s="56">
        <v>26.65</v>
      </c>
      <c r="W210" s="56">
        <v>24.4</v>
      </c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13</v>
      </c>
      <c r="AQ210" s="71" t="str">
        <f t="shared" si="10"/>
        <v/>
      </c>
      <c r="AR210" s="71" t="str">
        <f>IFERROR(VLOOKUP(A210,Climatologia_TMED!A:U,9+$E$2,FALSE),"")</f>
        <v/>
      </c>
      <c r="AS210" s="71" t="str">
        <f t="shared" si="11"/>
        <v/>
      </c>
    </row>
  </sheetData>
  <conditionalFormatting sqref="K5:AO210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0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415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  <c r="U1" t="s">
        <v>435</v>
      </c>
      <c r="V1" t="s">
        <v>436</v>
      </c>
      <c r="W1" t="s">
        <v>437</v>
      </c>
      <c r="X1" t="s">
        <v>438</v>
      </c>
      <c r="Y1" t="s">
        <v>439</v>
      </c>
      <c r="Z1" t="s">
        <v>440</v>
      </c>
      <c r="AA1" t="s">
        <v>441</v>
      </c>
      <c r="AB1" t="s">
        <v>442</v>
      </c>
      <c r="AC1" t="s">
        <v>443</v>
      </c>
      <c r="AD1" t="s">
        <v>444</v>
      </c>
      <c r="AE1" t="s">
        <v>445</v>
      </c>
      <c r="AF1" t="s">
        <v>446</v>
      </c>
      <c r="AG1" t="s">
        <v>447</v>
      </c>
      <c r="AH1" t="s">
        <v>448</v>
      </c>
      <c r="AI1" t="s">
        <v>449</v>
      </c>
      <c r="AJ1" t="s">
        <v>450</v>
      </c>
      <c r="AK1" t="s">
        <v>451</v>
      </c>
      <c r="AL1" t="s">
        <v>452</v>
      </c>
      <c r="AM1" t="s">
        <v>453</v>
      </c>
      <c r="AN1" t="s">
        <v>454</v>
      </c>
      <c r="AO1" t="s">
        <v>455</v>
      </c>
      <c r="AP1" t="s">
        <v>456</v>
      </c>
      <c r="AQ1" t="s">
        <v>457</v>
      </c>
    </row>
    <row r="2" spans="1:43" x14ac:dyDescent="0.2">
      <c r="A2">
        <v>51025090</v>
      </c>
      <c r="B2" t="s">
        <v>458</v>
      </c>
      <c r="C2" t="s">
        <v>77</v>
      </c>
      <c r="D2" t="s">
        <v>459</v>
      </c>
      <c r="E2" t="s">
        <v>260</v>
      </c>
      <c r="F2" t="s">
        <v>460</v>
      </c>
      <c r="G2" t="s">
        <v>461</v>
      </c>
      <c r="H2" t="s">
        <v>462</v>
      </c>
      <c r="I2" t="s">
        <v>439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463</v>
      </c>
      <c r="C3" t="s">
        <v>77</v>
      </c>
      <c r="D3" t="s">
        <v>270</v>
      </c>
      <c r="E3" t="s">
        <v>260</v>
      </c>
      <c r="F3" t="s">
        <v>460</v>
      </c>
      <c r="G3" t="s">
        <v>464</v>
      </c>
      <c r="H3" t="s">
        <v>465</v>
      </c>
      <c r="I3" t="s">
        <v>466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467</v>
      </c>
      <c r="C4" t="s">
        <v>178</v>
      </c>
      <c r="D4" t="s">
        <v>297</v>
      </c>
      <c r="E4" t="s">
        <v>260</v>
      </c>
      <c r="F4" t="s">
        <v>460</v>
      </c>
      <c r="G4" t="s">
        <v>468</v>
      </c>
      <c r="H4" t="s">
        <v>469</v>
      </c>
      <c r="I4" t="s">
        <v>470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471</v>
      </c>
      <c r="C5" t="s">
        <v>90</v>
      </c>
      <c r="D5" t="s">
        <v>91</v>
      </c>
      <c r="E5" t="s">
        <v>147</v>
      </c>
      <c r="F5" t="s">
        <v>460</v>
      </c>
      <c r="G5" t="s">
        <v>472</v>
      </c>
      <c r="H5" t="s">
        <v>473</v>
      </c>
      <c r="I5" t="s">
        <v>474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475</v>
      </c>
      <c r="C6" t="s">
        <v>151</v>
      </c>
      <c r="D6" t="s">
        <v>152</v>
      </c>
      <c r="E6" t="s">
        <v>147</v>
      </c>
      <c r="F6" t="s">
        <v>460</v>
      </c>
      <c r="G6" t="s">
        <v>476</v>
      </c>
      <c r="H6" t="s">
        <v>477</v>
      </c>
      <c r="I6" t="s">
        <v>478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479</v>
      </c>
      <c r="C7" t="s">
        <v>163</v>
      </c>
      <c r="D7" t="s">
        <v>252</v>
      </c>
      <c r="E7" t="s">
        <v>208</v>
      </c>
      <c r="F7" t="s">
        <v>460</v>
      </c>
      <c r="G7" t="s">
        <v>480</v>
      </c>
      <c r="H7" t="s">
        <v>481</v>
      </c>
      <c r="I7" t="s">
        <v>482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483</v>
      </c>
      <c r="C8" t="s">
        <v>209</v>
      </c>
      <c r="D8" t="s">
        <v>237</v>
      </c>
      <c r="E8" t="s">
        <v>208</v>
      </c>
      <c r="F8" t="s">
        <v>460</v>
      </c>
      <c r="G8" t="s">
        <v>484</v>
      </c>
      <c r="H8" t="s">
        <v>485</v>
      </c>
      <c r="I8" t="s">
        <v>486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487</v>
      </c>
      <c r="C9" t="s">
        <v>26</v>
      </c>
      <c r="D9" t="s">
        <v>202</v>
      </c>
      <c r="E9" t="s">
        <v>195</v>
      </c>
      <c r="F9" t="s">
        <v>460</v>
      </c>
      <c r="G9" t="s">
        <v>488</v>
      </c>
      <c r="H9" t="s">
        <v>489</v>
      </c>
      <c r="I9" t="s">
        <v>448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490</v>
      </c>
      <c r="C10" t="s">
        <v>491</v>
      </c>
      <c r="D10" t="s">
        <v>138</v>
      </c>
      <c r="E10" t="s">
        <v>115</v>
      </c>
      <c r="F10" t="s">
        <v>460</v>
      </c>
      <c r="G10" t="s">
        <v>492</v>
      </c>
      <c r="H10" t="s">
        <v>493</v>
      </c>
      <c r="I10" t="s">
        <v>494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495</v>
      </c>
      <c r="C11" t="s">
        <v>163</v>
      </c>
      <c r="D11" t="s">
        <v>256</v>
      </c>
      <c r="E11" t="s">
        <v>208</v>
      </c>
      <c r="F11" t="s">
        <v>460</v>
      </c>
      <c r="G11" t="s">
        <v>496</v>
      </c>
      <c r="H11" t="s">
        <v>497</v>
      </c>
      <c r="I11" t="s">
        <v>498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499</v>
      </c>
      <c r="C12" t="s">
        <v>209</v>
      </c>
      <c r="D12" t="s">
        <v>244</v>
      </c>
      <c r="E12" t="s">
        <v>208</v>
      </c>
      <c r="F12" t="s">
        <v>460</v>
      </c>
      <c r="G12" t="s">
        <v>500</v>
      </c>
      <c r="H12" t="s">
        <v>501</v>
      </c>
      <c r="I12" t="s">
        <v>502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503</v>
      </c>
      <c r="C13" t="s">
        <v>44</v>
      </c>
      <c r="D13" t="s">
        <v>197</v>
      </c>
      <c r="E13" t="s">
        <v>299</v>
      </c>
      <c r="F13" t="s">
        <v>460</v>
      </c>
      <c r="G13" t="s">
        <v>504</v>
      </c>
      <c r="H13" t="s">
        <v>505</v>
      </c>
      <c r="I13" t="s">
        <v>506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507</v>
      </c>
      <c r="C14" t="s">
        <v>300</v>
      </c>
      <c r="D14" t="s">
        <v>326</v>
      </c>
      <c r="E14" t="s">
        <v>299</v>
      </c>
      <c r="F14" t="s">
        <v>460</v>
      </c>
      <c r="G14" t="s">
        <v>508</v>
      </c>
      <c r="H14" t="s">
        <v>509</v>
      </c>
      <c r="I14" t="s">
        <v>510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511</v>
      </c>
      <c r="C15" t="s">
        <v>300</v>
      </c>
      <c r="D15" t="s">
        <v>305</v>
      </c>
      <c r="E15" t="s">
        <v>299</v>
      </c>
      <c r="F15" t="s">
        <v>460</v>
      </c>
      <c r="G15" t="s">
        <v>512</v>
      </c>
      <c r="H15" t="s">
        <v>513</v>
      </c>
      <c r="I15" t="s">
        <v>514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515</v>
      </c>
      <c r="C16" t="s">
        <v>52</v>
      </c>
      <c r="D16" t="s">
        <v>98</v>
      </c>
      <c r="E16" t="s">
        <v>96</v>
      </c>
      <c r="F16" t="s">
        <v>460</v>
      </c>
      <c r="G16" t="s">
        <v>516</v>
      </c>
      <c r="H16" t="s">
        <v>517</v>
      </c>
      <c r="I16" t="s">
        <v>518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519</v>
      </c>
      <c r="C17" t="s">
        <v>300</v>
      </c>
      <c r="D17" t="s">
        <v>50</v>
      </c>
      <c r="E17" t="s">
        <v>299</v>
      </c>
      <c r="F17" t="s">
        <v>460</v>
      </c>
      <c r="G17" t="s">
        <v>520</v>
      </c>
      <c r="H17" t="s">
        <v>521</v>
      </c>
      <c r="I17" t="s">
        <v>522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523</v>
      </c>
      <c r="C18" t="s">
        <v>35</v>
      </c>
      <c r="D18" t="s">
        <v>200</v>
      </c>
      <c r="E18" t="s">
        <v>195</v>
      </c>
      <c r="F18" t="s">
        <v>460</v>
      </c>
      <c r="G18" t="s">
        <v>524</v>
      </c>
      <c r="H18" t="s">
        <v>525</v>
      </c>
      <c r="I18" t="s">
        <v>526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527</v>
      </c>
      <c r="C19" t="s">
        <v>52</v>
      </c>
      <c r="D19" t="s">
        <v>113</v>
      </c>
      <c r="E19" t="s">
        <v>96</v>
      </c>
      <c r="F19" t="s">
        <v>460</v>
      </c>
      <c r="G19" t="s">
        <v>528</v>
      </c>
      <c r="H19" t="s">
        <v>529</v>
      </c>
      <c r="I19" t="s">
        <v>530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531</v>
      </c>
      <c r="C20" t="s">
        <v>44</v>
      </c>
      <c r="D20" t="s">
        <v>334</v>
      </c>
      <c r="E20" t="s">
        <v>299</v>
      </c>
      <c r="F20" t="s">
        <v>460</v>
      </c>
      <c r="G20" t="s">
        <v>532</v>
      </c>
      <c r="H20" t="s">
        <v>533</v>
      </c>
      <c r="I20" t="s">
        <v>534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535</v>
      </c>
      <c r="C21" t="s">
        <v>44</v>
      </c>
      <c r="D21" t="s">
        <v>333</v>
      </c>
      <c r="E21" t="s">
        <v>299</v>
      </c>
      <c r="F21" t="s">
        <v>460</v>
      </c>
      <c r="G21" t="s">
        <v>536</v>
      </c>
      <c r="H21" t="s">
        <v>537</v>
      </c>
      <c r="I21" t="s">
        <v>538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539</v>
      </c>
      <c r="C22" t="s">
        <v>44</v>
      </c>
      <c r="D22" t="s">
        <v>45</v>
      </c>
      <c r="E22" t="s">
        <v>299</v>
      </c>
      <c r="F22" t="s">
        <v>460</v>
      </c>
      <c r="G22" t="s">
        <v>540</v>
      </c>
      <c r="H22" t="s">
        <v>541</v>
      </c>
      <c r="I22" t="s">
        <v>542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543</v>
      </c>
      <c r="C23" t="s">
        <v>209</v>
      </c>
      <c r="D23" t="s">
        <v>229</v>
      </c>
      <c r="E23" t="s">
        <v>208</v>
      </c>
      <c r="F23" t="s">
        <v>460</v>
      </c>
      <c r="G23" t="s">
        <v>544</v>
      </c>
      <c r="H23" t="s">
        <v>545</v>
      </c>
      <c r="I23" t="s">
        <v>546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547</v>
      </c>
      <c r="C24" t="s">
        <v>52</v>
      </c>
      <c r="D24" t="s">
        <v>104</v>
      </c>
      <c r="E24" t="s">
        <v>96</v>
      </c>
      <c r="F24" t="s">
        <v>460</v>
      </c>
      <c r="G24" t="s">
        <v>548</v>
      </c>
      <c r="H24" t="s">
        <v>549</v>
      </c>
      <c r="I24" t="s">
        <v>550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551</v>
      </c>
      <c r="C25" t="s">
        <v>44</v>
      </c>
      <c r="D25" t="s">
        <v>329</v>
      </c>
      <c r="E25" t="s">
        <v>299</v>
      </c>
      <c r="F25" t="s">
        <v>460</v>
      </c>
      <c r="G25" t="s">
        <v>552</v>
      </c>
      <c r="H25" t="s">
        <v>553</v>
      </c>
      <c r="I25" t="s">
        <v>554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555</v>
      </c>
      <c r="C26" t="s">
        <v>44</v>
      </c>
      <c r="D26" t="s">
        <v>315</v>
      </c>
      <c r="E26" t="s">
        <v>299</v>
      </c>
      <c r="F26" t="s">
        <v>460</v>
      </c>
      <c r="G26" t="s">
        <v>556</v>
      </c>
      <c r="H26" t="s">
        <v>557</v>
      </c>
      <c r="I26" t="s">
        <v>558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559</v>
      </c>
      <c r="C27" t="s">
        <v>52</v>
      </c>
      <c r="D27" t="s">
        <v>111</v>
      </c>
      <c r="E27" t="s">
        <v>96</v>
      </c>
      <c r="F27" t="s">
        <v>460</v>
      </c>
      <c r="G27" t="s">
        <v>560</v>
      </c>
      <c r="H27" t="s">
        <v>561</v>
      </c>
      <c r="I27" t="s">
        <v>562</v>
      </c>
      <c r="AK27">
        <v>23.6</v>
      </c>
      <c r="AP27">
        <v>23.6</v>
      </c>
    </row>
    <row r="28" spans="1:42" x14ac:dyDescent="0.2">
      <c r="A28">
        <v>11075020</v>
      </c>
      <c r="B28" t="s">
        <v>563</v>
      </c>
      <c r="C28" t="s">
        <v>52</v>
      </c>
      <c r="D28" t="s">
        <v>95</v>
      </c>
      <c r="E28" t="s">
        <v>96</v>
      </c>
      <c r="F28" t="s">
        <v>460</v>
      </c>
      <c r="G28" t="s">
        <v>564</v>
      </c>
      <c r="H28" t="s">
        <v>565</v>
      </c>
      <c r="I28" t="s">
        <v>566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567</v>
      </c>
      <c r="C29" t="s">
        <v>209</v>
      </c>
      <c r="D29" t="s">
        <v>232</v>
      </c>
      <c r="E29" t="s">
        <v>208</v>
      </c>
      <c r="F29" t="s">
        <v>460</v>
      </c>
      <c r="G29" t="s">
        <v>568</v>
      </c>
      <c r="H29" t="s">
        <v>569</v>
      </c>
      <c r="I29" t="s">
        <v>570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571</v>
      </c>
      <c r="C30" t="s">
        <v>52</v>
      </c>
      <c r="D30" t="s">
        <v>55</v>
      </c>
      <c r="E30" t="s">
        <v>96</v>
      </c>
      <c r="F30" t="s">
        <v>460</v>
      </c>
      <c r="G30" t="s">
        <v>572</v>
      </c>
      <c r="H30" t="s">
        <v>573</v>
      </c>
      <c r="I30" t="s">
        <v>574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575</v>
      </c>
      <c r="C31" t="s">
        <v>44</v>
      </c>
      <c r="D31" t="s">
        <v>120</v>
      </c>
      <c r="E31" t="s">
        <v>299</v>
      </c>
      <c r="F31" t="s">
        <v>460</v>
      </c>
      <c r="G31" t="s">
        <v>576</v>
      </c>
      <c r="H31" t="s">
        <v>577</v>
      </c>
      <c r="I31" t="s">
        <v>578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579</v>
      </c>
      <c r="C32" t="s">
        <v>52</v>
      </c>
      <c r="D32" t="s">
        <v>100</v>
      </c>
      <c r="E32" t="s">
        <v>96</v>
      </c>
      <c r="F32" t="s">
        <v>460</v>
      </c>
      <c r="G32" t="s">
        <v>580</v>
      </c>
      <c r="H32" t="s">
        <v>581</v>
      </c>
      <c r="I32" t="s">
        <v>582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583</v>
      </c>
      <c r="C33" t="s">
        <v>85</v>
      </c>
      <c r="D33" t="s">
        <v>258</v>
      </c>
      <c r="E33" t="s">
        <v>208</v>
      </c>
      <c r="F33" t="s">
        <v>460</v>
      </c>
      <c r="G33" t="s">
        <v>584</v>
      </c>
      <c r="H33" t="s">
        <v>585</v>
      </c>
      <c r="I33" t="s">
        <v>586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587</v>
      </c>
      <c r="C34" t="s">
        <v>209</v>
      </c>
      <c r="D34" t="s">
        <v>588</v>
      </c>
      <c r="E34" t="s">
        <v>208</v>
      </c>
      <c r="F34" t="s">
        <v>460</v>
      </c>
      <c r="G34" t="s">
        <v>589</v>
      </c>
      <c r="H34" t="s">
        <v>590</v>
      </c>
      <c r="I34" t="s">
        <v>591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592</v>
      </c>
      <c r="C35" t="s">
        <v>44</v>
      </c>
      <c r="D35" t="s">
        <v>331</v>
      </c>
      <c r="E35" t="s">
        <v>299</v>
      </c>
      <c r="F35" t="s">
        <v>460</v>
      </c>
      <c r="G35" t="s">
        <v>593</v>
      </c>
      <c r="H35" t="s">
        <v>594</v>
      </c>
      <c r="I35" t="s">
        <v>595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596</v>
      </c>
      <c r="C36" t="s">
        <v>52</v>
      </c>
      <c r="D36" t="s">
        <v>102</v>
      </c>
      <c r="E36" t="s">
        <v>96</v>
      </c>
      <c r="F36" t="s">
        <v>460</v>
      </c>
      <c r="G36" t="s">
        <v>597</v>
      </c>
      <c r="H36" t="s">
        <v>598</v>
      </c>
      <c r="I36" t="s">
        <v>599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600</v>
      </c>
      <c r="C37" t="s">
        <v>44</v>
      </c>
      <c r="D37" t="s">
        <v>230</v>
      </c>
      <c r="E37" t="s">
        <v>208</v>
      </c>
      <c r="F37" t="s">
        <v>460</v>
      </c>
      <c r="G37" t="s">
        <v>601</v>
      </c>
      <c r="H37" t="s">
        <v>602</v>
      </c>
      <c r="I37" t="s">
        <v>603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604</v>
      </c>
      <c r="C38" t="s">
        <v>209</v>
      </c>
      <c r="D38" t="s">
        <v>231</v>
      </c>
      <c r="E38" t="s">
        <v>208</v>
      </c>
      <c r="F38" t="s">
        <v>460</v>
      </c>
      <c r="G38" t="s">
        <v>605</v>
      </c>
      <c r="H38" t="s">
        <v>606</v>
      </c>
      <c r="I38" t="s">
        <v>607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608</v>
      </c>
      <c r="C39" t="s">
        <v>44</v>
      </c>
      <c r="D39" t="s">
        <v>336</v>
      </c>
      <c r="E39" t="s">
        <v>299</v>
      </c>
      <c r="F39" t="s">
        <v>460</v>
      </c>
      <c r="G39" t="s">
        <v>609</v>
      </c>
      <c r="H39" t="s">
        <v>610</v>
      </c>
      <c r="I39" t="s">
        <v>611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612</v>
      </c>
      <c r="C40" t="s">
        <v>44</v>
      </c>
      <c r="D40" t="s">
        <v>314</v>
      </c>
      <c r="E40" t="s">
        <v>299</v>
      </c>
      <c r="F40" t="s">
        <v>460</v>
      </c>
      <c r="G40" t="s">
        <v>613</v>
      </c>
      <c r="H40" t="s">
        <v>614</v>
      </c>
      <c r="I40" t="s">
        <v>615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616</v>
      </c>
      <c r="C41" t="s">
        <v>44</v>
      </c>
      <c r="D41" t="s">
        <v>316</v>
      </c>
      <c r="E41" t="s">
        <v>299</v>
      </c>
      <c r="F41" t="s">
        <v>460</v>
      </c>
      <c r="G41" t="s">
        <v>617</v>
      </c>
      <c r="H41" t="s">
        <v>618</v>
      </c>
      <c r="I41" t="s">
        <v>619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620</v>
      </c>
      <c r="C42" t="s">
        <v>163</v>
      </c>
      <c r="D42" t="s">
        <v>257</v>
      </c>
      <c r="E42" t="s">
        <v>208</v>
      </c>
      <c r="F42" t="s">
        <v>460</v>
      </c>
      <c r="G42" t="s">
        <v>621</v>
      </c>
      <c r="H42" t="s">
        <v>622</v>
      </c>
      <c r="I42" t="s">
        <v>623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624</v>
      </c>
      <c r="C43" t="s">
        <v>209</v>
      </c>
      <c r="D43" t="s">
        <v>235</v>
      </c>
      <c r="E43" t="s">
        <v>208</v>
      </c>
      <c r="F43" t="s">
        <v>460</v>
      </c>
      <c r="G43" t="s">
        <v>625</v>
      </c>
      <c r="H43" t="s">
        <v>626</v>
      </c>
      <c r="I43" t="s">
        <v>627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628</v>
      </c>
      <c r="C44" t="s">
        <v>65</v>
      </c>
      <c r="D44" t="s">
        <v>381</v>
      </c>
      <c r="E44" t="s">
        <v>361</v>
      </c>
      <c r="F44" t="s">
        <v>460</v>
      </c>
      <c r="G44" t="s">
        <v>629</v>
      </c>
      <c r="H44" t="s">
        <v>630</v>
      </c>
      <c r="I44" t="s">
        <v>631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632</v>
      </c>
      <c r="C45" t="s">
        <v>347</v>
      </c>
      <c r="D45" t="s">
        <v>72</v>
      </c>
      <c r="E45" t="s">
        <v>342</v>
      </c>
      <c r="F45" t="s">
        <v>460</v>
      </c>
      <c r="G45" t="s">
        <v>633</v>
      </c>
      <c r="H45" t="s">
        <v>634</v>
      </c>
      <c r="I45" t="s">
        <v>635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636</v>
      </c>
      <c r="C46" t="s">
        <v>87</v>
      </c>
      <c r="D46" t="s">
        <v>157</v>
      </c>
      <c r="E46" t="s">
        <v>147</v>
      </c>
      <c r="F46" t="s">
        <v>460</v>
      </c>
      <c r="G46" t="s">
        <v>637</v>
      </c>
      <c r="H46" t="s">
        <v>638</v>
      </c>
      <c r="I46" t="s">
        <v>639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640</v>
      </c>
      <c r="C47" t="s">
        <v>65</v>
      </c>
      <c r="D47" t="s">
        <v>362</v>
      </c>
      <c r="E47" t="s">
        <v>361</v>
      </c>
      <c r="F47" t="s">
        <v>460</v>
      </c>
      <c r="G47" t="s">
        <v>641</v>
      </c>
      <c r="H47" t="s">
        <v>642</v>
      </c>
      <c r="I47" t="s">
        <v>643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644</v>
      </c>
      <c r="C48" t="s">
        <v>113</v>
      </c>
      <c r="D48" t="s">
        <v>357</v>
      </c>
      <c r="E48" t="s">
        <v>342</v>
      </c>
      <c r="F48" t="s">
        <v>460</v>
      </c>
      <c r="G48" t="s">
        <v>645</v>
      </c>
      <c r="H48" t="s">
        <v>646</v>
      </c>
      <c r="I48" t="s">
        <v>647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648</v>
      </c>
      <c r="C49" t="s">
        <v>65</v>
      </c>
      <c r="D49" t="s">
        <v>649</v>
      </c>
      <c r="E49" t="s">
        <v>361</v>
      </c>
      <c r="F49" t="s">
        <v>460</v>
      </c>
      <c r="G49" t="s">
        <v>650</v>
      </c>
      <c r="H49" t="s">
        <v>651</v>
      </c>
      <c r="I49" t="s">
        <v>652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653</v>
      </c>
      <c r="C50" t="s">
        <v>178</v>
      </c>
      <c r="D50" t="s">
        <v>343</v>
      </c>
      <c r="E50" t="s">
        <v>342</v>
      </c>
      <c r="F50" t="s">
        <v>460</v>
      </c>
      <c r="G50" t="s">
        <v>654</v>
      </c>
      <c r="H50" t="s">
        <v>655</v>
      </c>
      <c r="I50" t="s">
        <v>656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657</v>
      </c>
      <c r="C51" t="s">
        <v>65</v>
      </c>
      <c r="D51" t="s">
        <v>372</v>
      </c>
      <c r="E51" t="s">
        <v>361</v>
      </c>
      <c r="F51" t="s">
        <v>460</v>
      </c>
      <c r="G51" t="s">
        <v>658</v>
      </c>
      <c r="H51" t="s">
        <v>659</v>
      </c>
      <c r="I51" t="s">
        <v>660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661</v>
      </c>
      <c r="C52" t="s">
        <v>209</v>
      </c>
      <c r="D52" t="s">
        <v>239</v>
      </c>
      <c r="E52" t="s">
        <v>208</v>
      </c>
      <c r="F52" t="s">
        <v>460</v>
      </c>
      <c r="G52" t="s">
        <v>662</v>
      </c>
      <c r="H52" t="s">
        <v>663</v>
      </c>
      <c r="I52" t="s">
        <v>664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665</v>
      </c>
      <c r="C53" t="s">
        <v>65</v>
      </c>
      <c r="D53" t="s">
        <v>365</v>
      </c>
      <c r="E53" t="s">
        <v>361</v>
      </c>
      <c r="F53" t="s">
        <v>460</v>
      </c>
      <c r="G53" t="s">
        <v>666</v>
      </c>
      <c r="H53" t="s">
        <v>667</v>
      </c>
      <c r="I53" t="s">
        <v>668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669</v>
      </c>
      <c r="C54" t="s">
        <v>347</v>
      </c>
      <c r="D54" t="s">
        <v>349</v>
      </c>
      <c r="E54" t="s">
        <v>342</v>
      </c>
      <c r="F54" t="s">
        <v>460</v>
      </c>
      <c r="G54" t="s">
        <v>670</v>
      </c>
      <c r="H54" t="s">
        <v>671</v>
      </c>
      <c r="I54" t="s">
        <v>672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673</v>
      </c>
      <c r="C55" t="s">
        <v>113</v>
      </c>
      <c r="D55" t="s">
        <v>386</v>
      </c>
      <c r="E55" t="s">
        <v>361</v>
      </c>
      <c r="F55" t="s">
        <v>460</v>
      </c>
      <c r="G55" t="s">
        <v>674</v>
      </c>
      <c r="H55" t="s">
        <v>675</v>
      </c>
      <c r="I55" t="s">
        <v>676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677</v>
      </c>
      <c r="C56" t="s">
        <v>209</v>
      </c>
      <c r="D56" t="s">
        <v>242</v>
      </c>
      <c r="E56" t="s">
        <v>208</v>
      </c>
      <c r="F56" t="s">
        <v>460</v>
      </c>
      <c r="G56" t="s">
        <v>678</v>
      </c>
      <c r="H56" t="s">
        <v>679</v>
      </c>
      <c r="I56" t="s">
        <v>680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681</v>
      </c>
      <c r="C57" t="s">
        <v>68</v>
      </c>
      <c r="D57" t="s">
        <v>411</v>
      </c>
      <c r="E57" t="s">
        <v>388</v>
      </c>
      <c r="F57" t="s">
        <v>460</v>
      </c>
      <c r="G57" t="s">
        <v>682</v>
      </c>
      <c r="H57" t="s">
        <v>683</v>
      </c>
      <c r="I57" t="s">
        <v>684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685</v>
      </c>
      <c r="C58" t="s">
        <v>209</v>
      </c>
      <c r="D58" t="s">
        <v>213</v>
      </c>
      <c r="E58" t="s">
        <v>208</v>
      </c>
      <c r="F58" t="s">
        <v>460</v>
      </c>
      <c r="G58" t="s">
        <v>686</v>
      </c>
      <c r="H58" t="s">
        <v>687</v>
      </c>
      <c r="I58" t="s">
        <v>688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689</v>
      </c>
      <c r="C59" t="s">
        <v>65</v>
      </c>
      <c r="D59" t="s">
        <v>374</v>
      </c>
      <c r="E59" t="s">
        <v>361</v>
      </c>
      <c r="F59" t="s">
        <v>460</v>
      </c>
      <c r="G59" t="s">
        <v>690</v>
      </c>
      <c r="H59" t="s">
        <v>691</v>
      </c>
      <c r="I59" t="s">
        <v>692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693</v>
      </c>
      <c r="C60" t="s">
        <v>178</v>
      </c>
      <c r="D60" t="s">
        <v>345</v>
      </c>
      <c r="E60" t="s">
        <v>342</v>
      </c>
      <c r="F60" t="s">
        <v>460</v>
      </c>
      <c r="G60" t="s">
        <v>694</v>
      </c>
      <c r="H60" t="s">
        <v>695</v>
      </c>
      <c r="I60" t="s">
        <v>696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697</v>
      </c>
      <c r="C61" t="s">
        <v>69</v>
      </c>
      <c r="D61" t="s">
        <v>407</v>
      </c>
      <c r="E61" t="s">
        <v>388</v>
      </c>
      <c r="F61" t="s">
        <v>460</v>
      </c>
      <c r="G61" t="s">
        <v>698</v>
      </c>
      <c r="H61" t="s">
        <v>699</v>
      </c>
      <c r="I61" t="s">
        <v>700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701</v>
      </c>
      <c r="C62" t="s">
        <v>209</v>
      </c>
      <c r="D62" t="s">
        <v>215</v>
      </c>
      <c r="E62" t="s">
        <v>208</v>
      </c>
      <c r="F62" t="s">
        <v>460</v>
      </c>
      <c r="G62" t="s">
        <v>702</v>
      </c>
      <c r="H62" t="s">
        <v>703</v>
      </c>
      <c r="I62" t="s">
        <v>704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705</v>
      </c>
      <c r="C63" t="s">
        <v>209</v>
      </c>
      <c r="D63" t="s">
        <v>211</v>
      </c>
      <c r="E63" t="s">
        <v>208</v>
      </c>
      <c r="F63" t="s">
        <v>460</v>
      </c>
      <c r="G63" t="s">
        <v>706</v>
      </c>
      <c r="H63" t="s">
        <v>707</v>
      </c>
      <c r="I63" t="s">
        <v>708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709</v>
      </c>
      <c r="C64" t="s">
        <v>347</v>
      </c>
      <c r="D64" t="s">
        <v>354</v>
      </c>
      <c r="E64" t="s">
        <v>342</v>
      </c>
      <c r="F64" t="s">
        <v>460</v>
      </c>
      <c r="G64" t="s">
        <v>710</v>
      </c>
      <c r="H64" t="s">
        <v>711</v>
      </c>
      <c r="I64" t="s">
        <v>712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713</v>
      </c>
      <c r="C65" t="s">
        <v>65</v>
      </c>
      <c r="D65" t="s">
        <v>366</v>
      </c>
      <c r="E65" t="s">
        <v>361</v>
      </c>
      <c r="F65" t="s">
        <v>460</v>
      </c>
      <c r="G65" t="s">
        <v>714</v>
      </c>
      <c r="H65" t="s">
        <v>715</v>
      </c>
      <c r="I65" t="s">
        <v>716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717</v>
      </c>
      <c r="C66" t="s">
        <v>68</v>
      </c>
      <c r="D66" t="s">
        <v>387</v>
      </c>
      <c r="E66" t="s">
        <v>388</v>
      </c>
      <c r="F66" t="s">
        <v>460</v>
      </c>
      <c r="G66" t="s">
        <v>718</v>
      </c>
      <c r="H66" t="s">
        <v>719</v>
      </c>
      <c r="I66" t="s">
        <v>720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721</v>
      </c>
      <c r="C67" t="s">
        <v>59</v>
      </c>
      <c r="D67" t="s">
        <v>60</v>
      </c>
      <c r="E67" t="s">
        <v>342</v>
      </c>
      <c r="F67" t="s">
        <v>460</v>
      </c>
      <c r="G67" t="s">
        <v>722</v>
      </c>
      <c r="H67" t="s">
        <v>723</v>
      </c>
      <c r="I67" t="s">
        <v>724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725</v>
      </c>
      <c r="C68" t="s">
        <v>68</v>
      </c>
      <c r="D68" t="s">
        <v>396</v>
      </c>
      <c r="E68" t="s">
        <v>388</v>
      </c>
      <c r="F68" t="s">
        <v>460</v>
      </c>
      <c r="G68" t="s">
        <v>726</v>
      </c>
      <c r="H68" t="s">
        <v>727</v>
      </c>
      <c r="I68" t="s">
        <v>728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729</v>
      </c>
      <c r="C69" t="s">
        <v>74</v>
      </c>
      <c r="D69" t="s">
        <v>75</v>
      </c>
      <c r="E69" t="s">
        <v>175</v>
      </c>
      <c r="F69" t="s">
        <v>460</v>
      </c>
      <c r="G69" t="s">
        <v>730</v>
      </c>
      <c r="H69" t="s">
        <v>731</v>
      </c>
      <c r="I69" t="s">
        <v>732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733</v>
      </c>
      <c r="C70" t="s">
        <v>65</v>
      </c>
      <c r="D70" t="s">
        <v>368</v>
      </c>
      <c r="E70" t="s">
        <v>361</v>
      </c>
      <c r="F70" t="s">
        <v>460</v>
      </c>
      <c r="G70" t="s">
        <v>734</v>
      </c>
      <c r="H70" t="s">
        <v>735</v>
      </c>
      <c r="I70" t="s">
        <v>736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737</v>
      </c>
      <c r="C71" t="s">
        <v>209</v>
      </c>
      <c r="D71" t="s">
        <v>234</v>
      </c>
      <c r="E71" t="s">
        <v>208</v>
      </c>
      <c r="F71" t="s">
        <v>460</v>
      </c>
      <c r="G71" t="s">
        <v>738</v>
      </c>
      <c r="H71" t="s">
        <v>739</v>
      </c>
      <c r="I71" t="s">
        <v>740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741</v>
      </c>
      <c r="C72" t="s">
        <v>74</v>
      </c>
      <c r="D72" t="s">
        <v>186</v>
      </c>
      <c r="E72" t="s">
        <v>175</v>
      </c>
      <c r="F72" t="s">
        <v>460</v>
      </c>
      <c r="G72" t="s">
        <v>742</v>
      </c>
      <c r="H72" t="s">
        <v>743</v>
      </c>
      <c r="I72" t="s">
        <v>744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745</v>
      </c>
      <c r="C73" t="s">
        <v>90</v>
      </c>
      <c r="D73" t="s">
        <v>154</v>
      </c>
      <c r="E73" t="s">
        <v>147</v>
      </c>
      <c r="F73" t="s">
        <v>460</v>
      </c>
      <c r="G73" t="s">
        <v>746</v>
      </c>
      <c r="H73" t="s">
        <v>747</v>
      </c>
      <c r="I73" t="s">
        <v>748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749</v>
      </c>
      <c r="C74" t="s">
        <v>87</v>
      </c>
      <c r="D74" t="s">
        <v>157</v>
      </c>
      <c r="E74" t="s">
        <v>147</v>
      </c>
      <c r="F74" t="s">
        <v>460</v>
      </c>
      <c r="G74" t="s">
        <v>750</v>
      </c>
      <c r="H74" t="s">
        <v>751</v>
      </c>
      <c r="I74" t="s">
        <v>752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753</v>
      </c>
      <c r="C75" t="s">
        <v>209</v>
      </c>
      <c r="D75" t="s">
        <v>247</v>
      </c>
      <c r="E75" t="s">
        <v>208</v>
      </c>
      <c r="F75" t="s">
        <v>460</v>
      </c>
      <c r="G75" t="s">
        <v>754</v>
      </c>
      <c r="H75" t="s">
        <v>755</v>
      </c>
      <c r="I75" t="s">
        <v>502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756</v>
      </c>
      <c r="C76" t="s">
        <v>68</v>
      </c>
      <c r="D76" t="s">
        <v>400</v>
      </c>
      <c r="E76" t="s">
        <v>388</v>
      </c>
      <c r="F76" t="s">
        <v>460</v>
      </c>
      <c r="G76" t="s">
        <v>757</v>
      </c>
      <c r="H76" t="s">
        <v>758</v>
      </c>
      <c r="I76" t="s">
        <v>759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760</v>
      </c>
      <c r="C77" t="s">
        <v>65</v>
      </c>
      <c r="D77" t="s">
        <v>66</v>
      </c>
      <c r="E77" t="s">
        <v>361</v>
      </c>
      <c r="F77" t="s">
        <v>460</v>
      </c>
      <c r="G77" t="s">
        <v>761</v>
      </c>
      <c r="H77" t="s">
        <v>762</v>
      </c>
      <c r="I77" t="s">
        <v>763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764</v>
      </c>
      <c r="C78" t="s">
        <v>209</v>
      </c>
      <c r="D78" t="s">
        <v>246</v>
      </c>
      <c r="E78" t="s">
        <v>208</v>
      </c>
      <c r="F78" t="s">
        <v>460</v>
      </c>
      <c r="G78" t="s">
        <v>765</v>
      </c>
      <c r="H78" t="s">
        <v>766</v>
      </c>
      <c r="I78" t="s">
        <v>767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768</v>
      </c>
      <c r="C79" t="s">
        <v>65</v>
      </c>
      <c r="D79" t="s">
        <v>769</v>
      </c>
      <c r="E79" t="s">
        <v>361</v>
      </c>
      <c r="F79" t="s">
        <v>460</v>
      </c>
      <c r="G79" t="s">
        <v>770</v>
      </c>
      <c r="H79" t="s">
        <v>771</v>
      </c>
      <c r="I79" t="s">
        <v>772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773</v>
      </c>
      <c r="C80" t="s">
        <v>65</v>
      </c>
      <c r="D80" t="s">
        <v>377</v>
      </c>
      <c r="E80" t="s">
        <v>361</v>
      </c>
      <c r="F80" t="s">
        <v>460</v>
      </c>
      <c r="G80" t="s">
        <v>774</v>
      </c>
      <c r="H80" t="s">
        <v>775</v>
      </c>
      <c r="I80" t="s">
        <v>776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777</v>
      </c>
      <c r="C81" t="s">
        <v>209</v>
      </c>
      <c r="D81" t="s">
        <v>240</v>
      </c>
      <c r="E81" t="s">
        <v>208</v>
      </c>
      <c r="F81" t="s">
        <v>460</v>
      </c>
      <c r="G81" t="s">
        <v>778</v>
      </c>
      <c r="H81" t="s">
        <v>779</v>
      </c>
      <c r="I81" t="s">
        <v>780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781</v>
      </c>
      <c r="C82" t="s">
        <v>113</v>
      </c>
      <c r="D82" t="s">
        <v>359</v>
      </c>
      <c r="E82" t="s">
        <v>342</v>
      </c>
      <c r="F82" t="s">
        <v>460</v>
      </c>
      <c r="G82" t="s">
        <v>782</v>
      </c>
      <c r="H82" t="s">
        <v>783</v>
      </c>
      <c r="I82" t="s">
        <v>784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785</v>
      </c>
      <c r="C83" t="s">
        <v>178</v>
      </c>
      <c r="D83" t="s">
        <v>786</v>
      </c>
      <c r="E83" t="s">
        <v>260</v>
      </c>
      <c r="F83" t="s">
        <v>460</v>
      </c>
      <c r="G83" t="s">
        <v>787</v>
      </c>
      <c r="H83" t="s">
        <v>788</v>
      </c>
      <c r="I83" t="s">
        <v>789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790</v>
      </c>
      <c r="C84" t="s">
        <v>65</v>
      </c>
      <c r="D84" t="s">
        <v>184</v>
      </c>
      <c r="E84" t="s">
        <v>175</v>
      </c>
      <c r="F84" t="s">
        <v>460</v>
      </c>
      <c r="G84" t="s">
        <v>791</v>
      </c>
      <c r="H84" t="s">
        <v>792</v>
      </c>
      <c r="I84" t="s">
        <v>793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794</v>
      </c>
      <c r="C85" t="s">
        <v>68</v>
      </c>
      <c r="D85" t="s">
        <v>370</v>
      </c>
      <c r="E85" t="s">
        <v>361</v>
      </c>
      <c r="F85" t="s">
        <v>460</v>
      </c>
      <c r="G85" t="s">
        <v>795</v>
      </c>
      <c r="H85" t="s">
        <v>796</v>
      </c>
      <c r="I85" t="s">
        <v>797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798</v>
      </c>
      <c r="C86" t="s">
        <v>68</v>
      </c>
      <c r="D86" t="s">
        <v>395</v>
      </c>
      <c r="E86" t="s">
        <v>388</v>
      </c>
      <c r="F86" t="s">
        <v>460</v>
      </c>
      <c r="G86" t="s">
        <v>799</v>
      </c>
      <c r="H86" t="s">
        <v>800</v>
      </c>
      <c r="I86" t="s">
        <v>801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802</v>
      </c>
      <c r="C87" t="s">
        <v>52</v>
      </c>
      <c r="D87" t="s">
        <v>106</v>
      </c>
      <c r="E87" t="s">
        <v>96</v>
      </c>
      <c r="F87" t="s">
        <v>460</v>
      </c>
      <c r="G87" t="s">
        <v>803</v>
      </c>
      <c r="H87" t="s">
        <v>804</v>
      </c>
      <c r="I87" t="s">
        <v>805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806</v>
      </c>
      <c r="C88" t="s">
        <v>209</v>
      </c>
      <c r="D88" t="s">
        <v>225</v>
      </c>
      <c r="E88" t="s">
        <v>208</v>
      </c>
      <c r="F88" t="s">
        <v>460</v>
      </c>
      <c r="G88" t="s">
        <v>807</v>
      </c>
      <c r="H88" t="s">
        <v>808</v>
      </c>
      <c r="I88" t="s">
        <v>809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810</v>
      </c>
      <c r="C89" t="s">
        <v>74</v>
      </c>
      <c r="D89" t="s">
        <v>188</v>
      </c>
      <c r="E89" t="s">
        <v>175</v>
      </c>
      <c r="F89" t="s">
        <v>460</v>
      </c>
      <c r="G89" t="s">
        <v>811</v>
      </c>
      <c r="H89" t="s">
        <v>812</v>
      </c>
      <c r="I89" t="s">
        <v>813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814</v>
      </c>
      <c r="C90" t="s">
        <v>68</v>
      </c>
      <c r="D90" t="s">
        <v>398</v>
      </c>
      <c r="E90" t="s">
        <v>388</v>
      </c>
      <c r="F90" t="s">
        <v>460</v>
      </c>
      <c r="G90" t="s">
        <v>815</v>
      </c>
      <c r="H90" t="s">
        <v>816</v>
      </c>
      <c r="I90" t="s">
        <v>817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818</v>
      </c>
      <c r="C91" t="s">
        <v>163</v>
      </c>
      <c r="D91" t="s">
        <v>248</v>
      </c>
      <c r="E91" t="s">
        <v>208</v>
      </c>
      <c r="F91" t="s">
        <v>460</v>
      </c>
      <c r="G91" t="s">
        <v>819</v>
      </c>
      <c r="H91" t="s">
        <v>820</v>
      </c>
      <c r="I91" t="s">
        <v>821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822</v>
      </c>
      <c r="C92" t="s">
        <v>74</v>
      </c>
      <c r="D92" t="s">
        <v>176</v>
      </c>
      <c r="E92" t="s">
        <v>175</v>
      </c>
      <c r="F92" t="s">
        <v>460</v>
      </c>
      <c r="G92" t="s">
        <v>823</v>
      </c>
      <c r="H92" t="s">
        <v>824</v>
      </c>
      <c r="I92" t="s">
        <v>825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826</v>
      </c>
      <c r="C93" t="s">
        <v>90</v>
      </c>
      <c r="D93" t="s">
        <v>153</v>
      </c>
      <c r="E93" t="s">
        <v>147</v>
      </c>
      <c r="F93" t="s">
        <v>460</v>
      </c>
      <c r="G93" t="s">
        <v>827</v>
      </c>
      <c r="H93" t="s">
        <v>828</v>
      </c>
      <c r="I93" t="s">
        <v>829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830</v>
      </c>
      <c r="C94" t="s">
        <v>77</v>
      </c>
      <c r="D94" t="s">
        <v>268</v>
      </c>
      <c r="E94" t="s">
        <v>260</v>
      </c>
      <c r="F94" t="s">
        <v>460</v>
      </c>
      <c r="G94" t="s">
        <v>831</v>
      </c>
      <c r="H94" t="s">
        <v>832</v>
      </c>
      <c r="I94" t="s">
        <v>833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834</v>
      </c>
      <c r="C95" t="s">
        <v>835</v>
      </c>
      <c r="D95" t="s">
        <v>128</v>
      </c>
      <c r="E95" t="s">
        <v>115</v>
      </c>
      <c r="F95" t="s">
        <v>460</v>
      </c>
      <c r="G95" t="s">
        <v>836</v>
      </c>
      <c r="H95" t="s">
        <v>837</v>
      </c>
      <c r="I95" t="s">
        <v>838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839</v>
      </c>
      <c r="C96" t="s">
        <v>835</v>
      </c>
      <c r="D96" t="s">
        <v>119</v>
      </c>
      <c r="E96" t="s">
        <v>115</v>
      </c>
      <c r="F96" t="s">
        <v>460</v>
      </c>
      <c r="G96" t="s">
        <v>840</v>
      </c>
      <c r="H96" t="s">
        <v>841</v>
      </c>
      <c r="I96" t="s">
        <v>842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843</v>
      </c>
      <c r="C97" t="s">
        <v>835</v>
      </c>
      <c r="D97" t="s">
        <v>125</v>
      </c>
      <c r="E97" t="s">
        <v>115</v>
      </c>
      <c r="F97" t="s">
        <v>460</v>
      </c>
      <c r="G97" t="s">
        <v>844</v>
      </c>
      <c r="H97" t="s">
        <v>845</v>
      </c>
      <c r="I97" t="s">
        <v>443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846</v>
      </c>
      <c r="C98" t="s">
        <v>133</v>
      </c>
      <c r="D98" t="s">
        <v>134</v>
      </c>
      <c r="E98" t="s">
        <v>115</v>
      </c>
      <c r="F98" t="s">
        <v>460</v>
      </c>
      <c r="G98" t="s">
        <v>847</v>
      </c>
      <c r="H98" t="s">
        <v>848</v>
      </c>
      <c r="I98" t="s">
        <v>849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850</v>
      </c>
      <c r="C99" t="s">
        <v>133</v>
      </c>
      <c r="D99" t="s">
        <v>851</v>
      </c>
      <c r="E99" t="s">
        <v>115</v>
      </c>
      <c r="F99" t="s">
        <v>460</v>
      </c>
      <c r="G99" t="s">
        <v>852</v>
      </c>
      <c r="H99" t="s">
        <v>853</v>
      </c>
      <c r="I99" t="s">
        <v>854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855</v>
      </c>
      <c r="C100" t="s">
        <v>35</v>
      </c>
      <c r="D100" t="s">
        <v>198</v>
      </c>
      <c r="E100" t="s">
        <v>195</v>
      </c>
      <c r="F100" t="s">
        <v>460</v>
      </c>
      <c r="G100" t="s">
        <v>856</v>
      </c>
      <c r="H100" t="s">
        <v>857</v>
      </c>
      <c r="I100" t="s">
        <v>858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859</v>
      </c>
      <c r="C101" t="s">
        <v>300</v>
      </c>
      <c r="D101" t="s">
        <v>311</v>
      </c>
      <c r="E101" t="s">
        <v>299</v>
      </c>
      <c r="F101" t="s">
        <v>460</v>
      </c>
      <c r="G101" t="s">
        <v>860</v>
      </c>
      <c r="H101" t="s">
        <v>861</v>
      </c>
      <c r="I101" t="s">
        <v>862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863</v>
      </c>
      <c r="C102" t="s">
        <v>300</v>
      </c>
      <c r="D102" t="s">
        <v>340</v>
      </c>
      <c r="E102" t="s">
        <v>299</v>
      </c>
      <c r="F102" t="s">
        <v>460</v>
      </c>
      <c r="G102" t="s">
        <v>864</v>
      </c>
      <c r="H102" t="s">
        <v>865</v>
      </c>
      <c r="I102" t="s">
        <v>866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867</v>
      </c>
      <c r="C103" t="s">
        <v>44</v>
      </c>
      <c r="D103" t="s">
        <v>324</v>
      </c>
      <c r="E103" t="s">
        <v>299</v>
      </c>
      <c r="F103" t="s">
        <v>460</v>
      </c>
      <c r="G103" t="s">
        <v>868</v>
      </c>
      <c r="H103" t="s">
        <v>869</v>
      </c>
      <c r="I103" t="s">
        <v>870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871</v>
      </c>
      <c r="C104" t="s">
        <v>300</v>
      </c>
      <c r="D104" t="s">
        <v>50</v>
      </c>
      <c r="E104" t="s">
        <v>299</v>
      </c>
      <c r="F104" t="s">
        <v>460</v>
      </c>
      <c r="G104" t="s">
        <v>872</v>
      </c>
      <c r="H104" t="s">
        <v>873</v>
      </c>
      <c r="I104" t="s">
        <v>874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875</v>
      </c>
      <c r="C105" t="s">
        <v>44</v>
      </c>
      <c r="D105" t="s">
        <v>338</v>
      </c>
      <c r="E105" t="s">
        <v>299</v>
      </c>
      <c r="F105" t="s">
        <v>460</v>
      </c>
      <c r="G105" t="s">
        <v>876</v>
      </c>
      <c r="H105" t="s">
        <v>877</v>
      </c>
      <c r="I105" t="s">
        <v>878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879</v>
      </c>
      <c r="C106" t="s">
        <v>44</v>
      </c>
      <c r="D106" t="s">
        <v>320</v>
      </c>
      <c r="E106" t="s">
        <v>299</v>
      </c>
      <c r="F106" t="s">
        <v>460</v>
      </c>
      <c r="G106" t="s">
        <v>880</v>
      </c>
      <c r="H106" t="s">
        <v>881</v>
      </c>
      <c r="I106" t="s">
        <v>882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883</v>
      </c>
      <c r="C107" t="s">
        <v>835</v>
      </c>
      <c r="D107" t="s">
        <v>130</v>
      </c>
      <c r="E107" t="s">
        <v>115</v>
      </c>
      <c r="F107" t="s">
        <v>460</v>
      </c>
      <c r="G107" t="s">
        <v>884</v>
      </c>
      <c r="H107" t="s">
        <v>885</v>
      </c>
      <c r="I107" t="s">
        <v>886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887</v>
      </c>
      <c r="C108" t="s">
        <v>38</v>
      </c>
      <c r="D108" t="s">
        <v>39</v>
      </c>
      <c r="E108" t="s">
        <v>195</v>
      </c>
      <c r="F108" t="s">
        <v>460</v>
      </c>
      <c r="G108" t="s">
        <v>888</v>
      </c>
      <c r="H108" t="s">
        <v>889</v>
      </c>
      <c r="I108" t="s">
        <v>890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891</v>
      </c>
      <c r="C109" t="s">
        <v>35</v>
      </c>
      <c r="D109" t="s">
        <v>204</v>
      </c>
      <c r="E109" t="s">
        <v>195</v>
      </c>
      <c r="F109" t="s">
        <v>460</v>
      </c>
      <c r="G109" t="s">
        <v>892</v>
      </c>
      <c r="H109" t="s">
        <v>893</v>
      </c>
      <c r="I109" t="s">
        <v>894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895</v>
      </c>
      <c r="C110" t="s">
        <v>491</v>
      </c>
      <c r="D110" t="s">
        <v>145</v>
      </c>
      <c r="E110" t="s">
        <v>299</v>
      </c>
      <c r="F110" t="s">
        <v>460</v>
      </c>
      <c r="G110" t="s">
        <v>896</v>
      </c>
      <c r="H110" t="s">
        <v>897</v>
      </c>
      <c r="I110" t="s">
        <v>898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899</v>
      </c>
      <c r="C111" t="s">
        <v>38</v>
      </c>
      <c r="D111" t="s">
        <v>39</v>
      </c>
      <c r="E111" t="s">
        <v>195</v>
      </c>
      <c r="F111" t="s">
        <v>460</v>
      </c>
      <c r="G111" t="s">
        <v>900</v>
      </c>
      <c r="H111" t="s">
        <v>901</v>
      </c>
      <c r="I111" t="s">
        <v>902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903</v>
      </c>
      <c r="C112" t="s">
        <v>300</v>
      </c>
      <c r="D112" t="s">
        <v>302</v>
      </c>
      <c r="E112" t="s">
        <v>299</v>
      </c>
      <c r="F112" t="s">
        <v>460</v>
      </c>
      <c r="G112" t="s">
        <v>904</v>
      </c>
      <c r="H112" t="s">
        <v>905</v>
      </c>
      <c r="I112" t="s">
        <v>906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907</v>
      </c>
      <c r="C113" t="s">
        <v>300</v>
      </c>
      <c r="D113" t="s">
        <v>308</v>
      </c>
      <c r="E113" t="s">
        <v>299</v>
      </c>
      <c r="F113" t="s">
        <v>460</v>
      </c>
      <c r="G113" t="s">
        <v>908</v>
      </c>
      <c r="H113" t="s">
        <v>909</v>
      </c>
      <c r="I113" t="s">
        <v>910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911</v>
      </c>
      <c r="C114" t="s">
        <v>300</v>
      </c>
      <c r="D114" t="s">
        <v>301</v>
      </c>
      <c r="E114" t="s">
        <v>299</v>
      </c>
      <c r="F114" t="s">
        <v>460</v>
      </c>
      <c r="G114" t="s">
        <v>912</v>
      </c>
      <c r="H114" t="s">
        <v>913</v>
      </c>
      <c r="I114" t="s">
        <v>914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915</v>
      </c>
      <c r="C115" t="s">
        <v>491</v>
      </c>
      <c r="D115" t="s">
        <v>142</v>
      </c>
      <c r="E115" t="s">
        <v>115</v>
      </c>
      <c r="F115" t="s">
        <v>460</v>
      </c>
      <c r="G115" t="s">
        <v>916</v>
      </c>
      <c r="H115" t="s">
        <v>917</v>
      </c>
      <c r="I115" t="s">
        <v>443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918</v>
      </c>
      <c r="C116" t="s">
        <v>835</v>
      </c>
      <c r="D116" t="s">
        <v>123</v>
      </c>
      <c r="E116" t="s">
        <v>115</v>
      </c>
      <c r="F116" t="s">
        <v>460</v>
      </c>
      <c r="G116" t="s">
        <v>919</v>
      </c>
      <c r="H116" t="s">
        <v>920</v>
      </c>
      <c r="I116" t="s">
        <v>921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922</v>
      </c>
      <c r="C117" t="s">
        <v>77</v>
      </c>
      <c r="D117" t="s">
        <v>270</v>
      </c>
      <c r="E117" t="s">
        <v>260</v>
      </c>
      <c r="F117" t="s">
        <v>460</v>
      </c>
      <c r="G117" t="s">
        <v>923</v>
      </c>
      <c r="H117" t="s">
        <v>924</v>
      </c>
      <c r="I117" t="s">
        <v>925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926</v>
      </c>
      <c r="C118" t="s">
        <v>77</v>
      </c>
      <c r="D118" t="s">
        <v>287</v>
      </c>
      <c r="E118" t="s">
        <v>260</v>
      </c>
      <c r="F118" t="s">
        <v>460</v>
      </c>
      <c r="G118" t="s">
        <v>927</v>
      </c>
      <c r="H118" t="s">
        <v>928</v>
      </c>
      <c r="I118" t="s">
        <v>929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930</v>
      </c>
      <c r="C119" t="s">
        <v>931</v>
      </c>
      <c r="D119" t="s">
        <v>193</v>
      </c>
      <c r="E119" t="s">
        <v>175</v>
      </c>
      <c r="F119" t="s">
        <v>460</v>
      </c>
      <c r="G119" t="s">
        <v>932</v>
      </c>
      <c r="H119" t="s">
        <v>933</v>
      </c>
      <c r="I119" t="s">
        <v>934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935</v>
      </c>
      <c r="C120" t="s">
        <v>77</v>
      </c>
      <c r="D120" t="s">
        <v>270</v>
      </c>
      <c r="E120" t="s">
        <v>260</v>
      </c>
      <c r="F120" t="s">
        <v>460</v>
      </c>
      <c r="G120" t="s">
        <v>936</v>
      </c>
      <c r="H120" t="s">
        <v>937</v>
      </c>
      <c r="I120" t="s">
        <v>938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939</v>
      </c>
      <c r="C121" t="s">
        <v>263</v>
      </c>
      <c r="D121" t="s">
        <v>266</v>
      </c>
      <c r="E121" t="s">
        <v>260</v>
      </c>
      <c r="F121" t="s">
        <v>460</v>
      </c>
      <c r="G121" t="s">
        <v>940</v>
      </c>
      <c r="H121" t="s">
        <v>941</v>
      </c>
      <c r="I121" t="s">
        <v>942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943</v>
      </c>
      <c r="C122" t="s">
        <v>178</v>
      </c>
      <c r="D122" t="s">
        <v>29</v>
      </c>
      <c r="E122" t="s">
        <v>260</v>
      </c>
      <c r="F122" t="s">
        <v>460</v>
      </c>
      <c r="G122" t="s">
        <v>944</v>
      </c>
      <c r="H122" t="s">
        <v>945</v>
      </c>
      <c r="I122" t="s">
        <v>688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946</v>
      </c>
      <c r="C123" t="s">
        <v>947</v>
      </c>
      <c r="D123" t="s">
        <v>171</v>
      </c>
      <c r="E123" t="s">
        <v>147</v>
      </c>
      <c r="F123" t="s">
        <v>460</v>
      </c>
      <c r="G123" t="s">
        <v>948</v>
      </c>
      <c r="H123" t="s">
        <v>949</v>
      </c>
      <c r="I123" t="s">
        <v>615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950</v>
      </c>
      <c r="C124" t="s">
        <v>178</v>
      </c>
      <c r="D124" t="s">
        <v>261</v>
      </c>
      <c r="E124" t="s">
        <v>260</v>
      </c>
      <c r="F124" t="s">
        <v>460</v>
      </c>
      <c r="G124" t="s">
        <v>951</v>
      </c>
      <c r="H124" t="s">
        <v>952</v>
      </c>
      <c r="I124" t="s">
        <v>817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953</v>
      </c>
      <c r="C125" t="s">
        <v>931</v>
      </c>
      <c r="D125" t="s">
        <v>191</v>
      </c>
      <c r="E125" t="s">
        <v>175</v>
      </c>
      <c r="F125" t="s">
        <v>460</v>
      </c>
      <c r="G125" t="s">
        <v>954</v>
      </c>
      <c r="H125" t="s">
        <v>955</v>
      </c>
      <c r="I125" t="s">
        <v>956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957</v>
      </c>
      <c r="C126" t="s">
        <v>77</v>
      </c>
      <c r="D126" t="s">
        <v>289</v>
      </c>
      <c r="E126" t="s">
        <v>260</v>
      </c>
      <c r="F126" t="s">
        <v>460</v>
      </c>
      <c r="G126" t="s">
        <v>958</v>
      </c>
      <c r="H126" t="s">
        <v>959</v>
      </c>
      <c r="I126" t="s">
        <v>960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961</v>
      </c>
      <c r="C127" t="s">
        <v>77</v>
      </c>
      <c r="D127" t="s">
        <v>292</v>
      </c>
      <c r="E127" t="s">
        <v>260</v>
      </c>
      <c r="F127" t="s">
        <v>460</v>
      </c>
      <c r="G127" t="s">
        <v>962</v>
      </c>
      <c r="H127" t="s">
        <v>963</v>
      </c>
      <c r="I127" t="s">
        <v>964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965</v>
      </c>
      <c r="C128" t="s">
        <v>77</v>
      </c>
      <c r="D128" t="s">
        <v>291</v>
      </c>
      <c r="E128" t="s">
        <v>260</v>
      </c>
      <c r="F128" t="s">
        <v>460</v>
      </c>
      <c r="G128" t="s">
        <v>966</v>
      </c>
      <c r="H128" t="s">
        <v>967</v>
      </c>
      <c r="I128" t="s">
        <v>968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969</v>
      </c>
      <c r="C129" t="s">
        <v>77</v>
      </c>
      <c r="D129" t="s">
        <v>282</v>
      </c>
      <c r="E129" t="s">
        <v>260</v>
      </c>
      <c r="F129" t="s">
        <v>460</v>
      </c>
      <c r="G129" t="s">
        <v>970</v>
      </c>
      <c r="H129" t="s">
        <v>971</v>
      </c>
      <c r="I129" t="s">
        <v>972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973</v>
      </c>
      <c r="C130" t="s">
        <v>77</v>
      </c>
      <c r="D130" t="s">
        <v>283</v>
      </c>
      <c r="E130" t="s">
        <v>260</v>
      </c>
      <c r="F130" t="s">
        <v>460</v>
      </c>
      <c r="G130" t="s">
        <v>974</v>
      </c>
      <c r="H130" t="s">
        <v>975</v>
      </c>
      <c r="I130" t="s">
        <v>976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977</v>
      </c>
      <c r="C131" t="s">
        <v>69</v>
      </c>
      <c r="D131" t="s">
        <v>407</v>
      </c>
      <c r="E131" t="s">
        <v>388</v>
      </c>
      <c r="F131" t="s">
        <v>460</v>
      </c>
      <c r="G131" t="s">
        <v>978</v>
      </c>
      <c r="H131" t="s">
        <v>979</v>
      </c>
      <c r="I131" t="s">
        <v>980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981</v>
      </c>
      <c r="C132" t="s">
        <v>68</v>
      </c>
      <c r="D132" t="s">
        <v>391</v>
      </c>
      <c r="E132" t="s">
        <v>388</v>
      </c>
      <c r="F132" t="s">
        <v>460</v>
      </c>
      <c r="G132" t="s">
        <v>982</v>
      </c>
      <c r="H132" t="s">
        <v>983</v>
      </c>
      <c r="I132" t="s">
        <v>984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985</v>
      </c>
      <c r="C133" t="s">
        <v>491</v>
      </c>
      <c r="D133" t="s">
        <v>140</v>
      </c>
      <c r="E133" t="s">
        <v>115</v>
      </c>
      <c r="F133" t="s">
        <v>460</v>
      </c>
      <c r="G133" t="s">
        <v>986</v>
      </c>
      <c r="H133" t="s">
        <v>987</v>
      </c>
      <c r="I133" t="s">
        <v>433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988</v>
      </c>
      <c r="C134" t="s">
        <v>68</v>
      </c>
      <c r="D134" t="s">
        <v>390</v>
      </c>
      <c r="E134" t="s">
        <v>388</v>
      </c>
      <c r="F134" t="s">
        <v>460</v>
      </c>
      <c r="G134" t="s">
        <v>989</v>
      </c>
      <c r="H134" t="s">
        <v>990</v>
      </c>
      <c r="I134" t="s">
        <v>991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992</v>
      </c>
      <c r="C135" t="s">
        <v>52</v>
      </c>
      <c r="D135" t="s">
        <v>114</v>
      </c>
      <c r="E135" t="s">
        <v>115</v>
      </c>
      <c r="F135" t="s">
        <v>460</v>
      </c>
      <c r="G135" t="s">
        <v>993</v>
      </c>
      <c r="H135" t="s">
        <v>994</v>
      </c>
      <c r="I135" t="s">
        <v>995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996</v>
      </c>
      <c r="C136" t="s">
        <v>65</v>
      </c>
      <c r="D136" t="s">
        <v>379</v>
      </c>
      <c r="E136" t="s">
        <v>361</v>
      </c>
      <c r="F136" t="s">
        <v>460</v>
      </c>
      <c r="G136" t="s">
        <v>997</v>
      </c>
      <c r="H136" t="s">
        <v>998</v>
      </c>
      <c r="I136" t="s">
        <v>999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1000</v>
      </c>
      <c r="C137" t="s">
        <v>65</v>
      </c>
      <c r="D137" t="s">
        <v>383</v>
      </c>
      <c r="E137" t="s">
        <v>361</v>
      </c>
      <c r="F137" t="s">
        <v>460</v>
      </c>
      <c r="G137" t="s">
        <v>1001</v>
      </c>
      <c r="H137" t="s">
        <v>1002</v>
      </c>
      <c r="I137" t="s">
        <v>1003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1004</v>
      </c>
      <c r="C138" t="s">
        <v>209</v>
      </c>
      <c r="D138" t="s">
        <v>1005</v>
      </c>
      <c r="E138" t="s">
        <v>208</v>
      </c>
      <c r="F138" t="s">
        <v>460</v>
      </c>
      <c r="G138" t="s">
        <v>1006</v>
      </c>
      <c r="H138" t="s">
        <v>1007</v>
      </c>
      <c r="I138" t="s">
        <v>1008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1009</v>
      </c>
      <c r="C139" t="s">
        <v>90</v>
      </c>
      <c r="D139" t="s">
        <v>166</v>
      </c>
      <c r="E139" t="s">
        <v>147</v>
      </c>
      <c r="F139" t="s">
        <v>460</v>
      </c>
      <c r="G139" t="s">
        <v>1010</v>
      </c>
      <c r="H139" t="s">
        <v>1011</v>
      </c>
      <c r="I139" t="s">
        <v>1012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1013</v>
      </c>
      <c r="C140" t="s">
        <v>263</v>
      </c>
      <c r="D140" t="s">
        <v>272</v>
      </c>
      <c r="E140" t="s">
        <v>260</v>
      </c>
      <c r="F140" t="s">
        <v>460</v>
      </c>
      <c r="G140" t="s">
        <v>1014</v>
      </c>
      <c r="H140" t="s">
        <v>1015</v>
      </c>
      <c r="I140" t="s">
        <v>578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1016</v>
      </c>
      <c r="C141" t="s">
        <v>68</v>
      </c>
      <c r="D141" t="s">
        <v>413</v>
      </c>
      <c r="E141" t="s">
        <v>388</v>
      </c>
      <c r="F141" t="s">
        <v>460</v>
      </c>
      <c r="G141" t="s">
        <v>1017</v>
      </c>
      <c r="H141" t="s">
        <v>1018</v>
      </c>
      <c r="I141" t="s">
        <v>1019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1020</v>
      </c>
      <c r="C142" t="s">
        <v>69</v>
      </c>
      <c r="D142" t="s">
        <v>407</v>
      </c>
      <c r="E142" t="s">
        <v>388</v>
      </c>
      <c r="F142" t="s">
        <v>460</v>
      </c>
      <c r="G142" t="s">
        <v>1021</v>
      </c>
      <c r="H142" t="s">
        <v>1022</v>
      </c>
      <c r="I142" t="s">
        <v>1023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1024</v>
      </c>
      <c r="C143" t="s">
        <v>209</v>
      </c>
      <c r="D143" t="s">
        <v>221</v>
      </c>
      <c r="E143" t="s">
        <v>208</v>
      </c>
      <c r="F143" t="s">
        <v>460</v>
      </c>
      <c r="G143" t="s">
        <v>1025</v>
      </c>
      <c r="H143" t="s">
        <v>1026</v>
      </c>
      <c r="I143" t="s">
        <v>1027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1028</v>
      </c>
      <c r="C144" t="s">
        <v>178</v>
      </c>
      <c r="D144" t="s">
        <v>179</v>
      </c>
      <c r="E144" t="s">
        <v>175</v>
      </c>
      <c r="F144" t="s">
        <v>460</v>
      </c>
      <c r="G144" t="s">
        <v>1029</v>
      </c>
      <c r="H144" t="s">
        <v>1030</v>
      </c>
      <c r="I144" t="s">
        <v>1031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1032</v>
      </c>
      <c r="C145" t="s">
        <v>44</v>
      </c>
      <c r="D145" t="s">
        <v>322</v>
      </c>
      <c r="E145" t="s">
        <v>299</v>
      </c>
      <c r="F145" t="s">
        <v>460</v>
      </c>
      <c r="G145" t="s">
        <v>1033</v>
      </c>
      <c r="H145" t="s">
        <v>1034</v>
      </c>
      <c r="I145" t="s">
        <v>1035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1036</v>
      </c>
      <c r="C146" t="s">
        <v>74</v>
      </c>
      <c r="D146" t="s">
        <v>181</v>
      </c>
      <c r="E146" t="s">
        <v>175</v>
      </c>
      <c r="F146" t="s">
        <v>460</v>
      </c>
      <c r="G146" t="s">
        <v>1037</v>
      </c>
      <c r="H146" t="s">
        <v>1038</v>
      </c>
      <c r="I146" t="s">
        <v>1039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1040</v>
      </c>
      <c r="C147" t="s">
        <v>163</v>
      </c>
      <c r="D147" t="s">
        <v>168</v>
      </c>
      <c r="E147" t="s">
        <v>147</v>
      </c>
      <c r="F147" t="s">
        <v>460</v>
      </c>
      <c r="G147" t="s">
        <v>1041</v>
      </c>
      <c r="H147" t="s">
        <v>1042</v>
      </c>
      <c r="I147" t="s">
        <v>1043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1044</v>
      </c>
      <c r="C148" t="s">
        <v>68</v>
      </c>
      <c r="D148" t="s">
        <v>393</v>
      </c>
      <c r="E148" t="s">
        <v>388</v>
      </c>
      <c r="F148" t="s">
        <v>460</v>
      </c>
      <c r="G148" t="s">
        <v>1045</v>
      </c>
      <c r="H148" t="s">
        <v>1046</v>
      </c>
      <c r="I148" t="s">
        <v>1047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1048</v>
      </c>
      <c r="C149" t="s">
        <v>835</v>
      </c>
      <c r="D149" t="s">
        <v>117</v>
      </c>
      <c r="E149" t="s">
        <v>115</v>
      </c>
      <c r="F149" t="s">
        <v>460</v>
      </c>
      <c r="G149" t="s">
        <v>1049</v>
      </c>
      <c r="H149" t="s">
        <v>1050</v>
      </c>
      <c r="I149" t="s">
        <v>438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1051</v>
      </c>
      <c r="C150" t="s">
        <v>209</v>
      </c>
      <c r="D150" t="s">
        <v>207</v>
      </c>
      <c r="E150" t="s">
        <v>208</v>
      </c>
      <c r="F150" t="s">
        <v>460</v>
      </c>
      <c r="G150" t="s">
        <v>1052</v>
      </c>
      <c r="H150" t="s">
        <v>1053</v>
      </c>
      <c r="I150" t="s">
        <v>680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1054</v>
      </c>
      <c r="C151" t="s">
        <v>209</v>
      </c>
      <c r="D151" t="s">
        <v>250</v>
      </c>
      <c r="E151" t="s">
        <v>208</v>
      </c>
      <c r="F151" t="s">
        <v>460</v>
      </c>
      <c r="G151" t="s">
        <v>1055</v>
      </c>
      <c r="H151" t="s">
        <v>1056</v>
      </c>
      <c r="I151" t="s">
        <v>906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1057</v>
      </c>
      <c r="C152" t="s">
        <v>68</v>
      </c>
      <c r="D152" t="s">
        <v>404</v>
      </c>
      <c r="E152" t="s">
        <v>388</v>
      </c>
      <c r="F152" t="s">
        <v>460</v>
      </c>
      <c r="G152" t="s">
        <v>1058</v>
      </c>
      <c r="H152" t="s">
        <v>1059</v>
      </c>
      <c r="I152" t="s">
        <v>980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1060</v>
      </c>
      <c r="C153" t="s">
        <v>133</v>
      </c>
      <c r="D153" t="s">
        <v>136</v>
      </c>
      <c r="E153" t="s">
        <v>115</v>
      </c>
      <c r="F153" t="s">
        <v>460</v>
      </c>
      <c r="G153" t="s">
        <v>1061</v>
      </c>
      <c r="H153" t="s">
        <v>1062</v>
      </c>
      <c r="I153" t="s">
        <v>443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1063</v>
      </c>
      <c r="C154" t="s">
        <v>52</v>
      </c>
      <c r="D154" t="s">
        <v>108</v>
      </c>
      <c r="E154" t="s">
        <v>96</v>
      </c>
      <c r="F154" t="s">
        <v>460</v>
      </c>
      <c r="G154" t="s">
        <v>1064</v>
      </c>
      <c r="H154" t="s">
        <v>1065</v>
      </c>
      <c r="I154" t="s">
        <v>1066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1067</v>
      </c>
      <c r="C155" t="s">
        <v>148</v>
      </c>
      <c r="D155" t="s">
        <v>149</v>
      </c>
      <c r="E155" t="s">
        <v>147</v>
      </c>
      <c r="F155" t="s">
        <v>460</v>
      </c>
      <c r="G155" t="s">
        <v>1068</v>
      </c>
      <c r="H155" t="s">
        <v>1069</v>
      </c>
      <c r="I155" t="s">
        <v>1070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1071</v>
      </c>
      <c r="C156" t="s">
        <v>90</v>
      </c>
      <c r="D156" t="s">
        <v>161</v>
      </c>
      <c r="E156" t="s">
        <v>147</v>
      </c>
      <c r="F156" t="s">
        <v>460</v>
      </c>
      <c r="G156" t="s">
        <v>1072</v>
      </c>
      <c r="H156" t="s">
        <v>909</v>
      </c>
      <c r="I156" t="s">
        <v>1073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1074</v>
      </c>
      <c r="C157" t="s">
        <v>77</v>
      </c>
      <c r="D157" t="s">
        <v>295</v>
      </c>
      <c r="E157" t="s">
        <v>260</v>
      </c>
      <c r="F157" t="s">
        <v>460</v>
      </c>
      <c r="G157" t="s">
        <v>1075</v>
      </c>
      <c r="H157" t="s">
        <v>1076</v>
      </c>
      <c r="I157" t="s">
        <v>1077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1078</v>
      </c>
      <c r="C158" t="s">
        <v>1079</v>
      </c>
      <c r="D158" t="s">
        <v>144</v>
      </c>
      <c r="E158" t="s">
        <v>115</v>
      </c>
      <c r="F158" t="s">
        <v>460</v>
      </c>
      <c r="G158" t="s">
        <v>1080</v>
      </c>
      <c r="H158" t="s">
        <v>1081</v>
      </c>
      <c r="I158" t="s">
        <v>433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1082</v>
      </c>
      <c r="C159" t="s">
        <v>835</v>
      </c>
      <c r="D159" t="s">
        <v>120</v>
      </c>
      <c r="E159" t="s">
        <v>115</v>
      </c>
      <c r="F159" t="s">
        <v>460</v>
      </c>
      <c r="G159" t="s">
        <v>1083</v>
      </c>
      <c r="H159" t="s">
        <v>1084</v>
      </c>
      <c r="I159" t="s">
        <v>443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1085</v>
      </c>
      <c r="C160" t="s">
        <v>163</v>
      </c>
      <c r="D160" t="s">
        <v>254</v>
      </c>
      <c r="E160" t="s">
        <v>208</v>
      </c>
      <c r="F160" t="s">
        <v>460</v>
      </c>
      <c r="G160" t="s">
        <v>1086</v>
      </c>
      <c r="H160" t="s">
        <v>1087</v>
      </c>
      <c r="I160" t="s">
        <v>1088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1089</v>
      </c>
      <c r="C161" t="s">
        <v>90</v>
      </c>
      <c r="D161" t="s">
        <v>173</v>
      </c>
      <c r="E161" t="s">
        <v>147</v>
      </c>
      <c r="F161" t="s">
        <v>460</v>
      </c>
      <c r="G161" t="s">
        <v>1090</v>
      </c>
      <c r="H161" t="s">
        <v>1091</v>
      </c>
      <c r="I161" t="s">
        <v>1092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1093</v>
      </c>
      <c r="C162" t="s">
        <v>151</v>
      </c>
      <c r="D162" t="s">
        <v>1094</v>
      </c>
      <c r="E162" t="s">
        <v>147</v>
      </c>
      <c r="F162" t="s">
        <v>460</v>
      </c>
      <c r="G162" t="s">
        <v>1095</v>
      </c>
      <c r="H162" t="s">
        <v>1096</v>
      </c>
      <c r="I162" t="s">
        <v>1097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1098</v>
      </c>
      <c r="C163" t="s">
        <v>163</v>
      </c>
      <c r="D163" t="s">
        <v>164</v>
      </c>
      <c r="E163" t="s">
        <v>147</v>
      </c>
      <c r="F163" t="s">
        <v>460</v>
      </c>
      <c r="G163" t="s">
        <v>1099</v>
      </c>
      <c r="H163" t="s">
        <v>1100</v>
      </c>
      <c r="I163" t="s">
        <v>1101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1102</v>
      </c>
      <c r="B1" s="91"/>
      <c r="C1" s="91"/>
      <c r="D1" s="91"/>
      <c r="E1" s="91"/>
      <c r="F1" s="91"/>
      <c r="G1" s="91"/>
      <c r="H1" s="91"/>
      <c r="I1" s="89"/>
      <c r="J1" s="92" t="s">
        <v>1103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1104</v>
      </c>
      <c r="X1" s="101"/>
      <c r="AA1" s="61" t="s">
        <v>1105</v>
      </c>
      <c r="AB1" s="61" t="s">
        <v>416</v>
      </c>
      <c r="AC1" s="61" t="s">
        <v>1106</v>
      </c>
    </row>
    <row r="2" spans="1:29" ht="24.6" customHeight="1" thickBot="1" x14ac:dyDescent="0.3">
      <c r="A2" s="1" t="s">
        <v>1107</v>
      </c>
      <c r="B2" s="2" t="s">
        <v>1108</v>
      </c>
      <c r="C2" s="2" t="s">
        <v>1109</v>
      </c>
      <c r="D2" s="2" t="s">
        <v>14</v>
      </c>
      <c r="E2" s="2" t="s">
        <v>13</v>
      </c>
      <c r="F2" s="3" t="s">
        <v>1110</v>
      </c>
      <c r="G2" s="2" t="s">
        <v>1111</v>
      </c>
      <c r="H2" s="4" t="s">
        <v>1112</v>
      </c>
      <c r="I2" s="5" t="s">
        <v>1113</v>
      </c>
      <c r="J2" s="6" t="s">
        <v>1114</v>
      </c>
      <c r="K2" s="2" t="s">
        <v>1115</v>
      </c>
      <c r="L2" s="2" t="s">
        <v>1116</v>
      </c>
      <c r="M2" s="2" t="s">
        <v>1117</v>
      </c>
      <c r="N2" s="2" t="s">
        <v>1118</v>
      </c>
      <c r="O2" s="2" t="s">
        <v>1119</v>
      </c>
      <c r="P2" s="2" t="s">
        <v>1120</v>
      </c>
      <c r="Q2" s="2" t="s">
        <v>1121</v>
      </c>
      <c r="R2" s="2" t="s">
        <v>1122</v>
      </c>
      <c r="S2" s="2" t="s">
        <v>1123</v>
      </c>
      <c r="T2" s="2" t="s">
        <v>1124</v>
      </c>
      <c r="U2" s="2" t="s">
        <v>1125</v>
      </c>
      <c r="V2" s="7" t="s">
        <v>1126</v>
      </c>
      <c r="W2" s="8" t="s">
        <v>1127</v>
      </c>
      <c r="X2" s="9" t="s">
        <v>1128</v>
      </c>
      <c r="AA2" s="62">
        <v>1</v>
      </c>
      <c r="AB2" s="63" t="s">
        <v>1129</v>
      </c>
      <c r="AC2" s="64">
        <v>31</v>
      </c>
    </row>
    <row r="3" spans="1:29" ht="13.9" customHeight="1" x14ac:dyDescent="0.25">
      <c r="A3" s="10">
        <v>48015050</v>
      </c>
      <c r="B3" s="11" t="s">
        <v>1130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1131</v>
      </c>
      <c r="AC3" s="64">
        <v>28</v>
      </c>
    </row>
    <row r="4" spans="1:29" ht="13.9" customHeight="1" x14ac:dyDescent="0.25">
      <c r="A4" s="10">
        <v>23085030</v>
      </c>
      <c r="B4" s="11" t="s">
        <v>1132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1133</v>
      </c>
      <c r="AC4" s="64">
        <v>31</v>
      </c>
    </row>
    <row r="5" spans="1:29" ht="13.9" customHeight="1" x14ac:dyDescent="0.25">
      <c r="A5" s="10">
        <v>26195020</v>
      </c>
      <c r="B5" s="11" t="s">
        <v>1134</v>
      </c>
      <c r="C5" s="11" t="s">
        <v>1135</v>
      </c>
      <c r="D5" s="11" t="s">
        <v>1136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1137</v>
      </c>
      <c r="AC5" s="64">
        <v>30</v>
      </c>
    </row>
    <row r="6" spans="1:29" ht="13.9" customHeight="1" x14ac:dyDescent="0.25">
      <c r="A6" s="10">
        <v>27025030</v>
      </c>
      <c r="B6" s="11" t="s">
        <v>1132</v>
      </c>
      <c r="C6" s="11" t="s">
        <v>1138</v>
      </c>
      <c r="D6" s="11" t="s">
        <v>1138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1139</v>
      </c>
      <c r="AC6" s="64">
        <v>31</v>
      </c>
    </row>
    <row r="7" spans="1:29" ht="13.9" customHeight="1" x14ac:dyDescent="0.25">
      <c r="A7" s="10">
        <v>12015020</v>
      </c>
      <c r="B7" s="11" t="s">
        <v>1140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1141</v>
      </c>
      <c r="AC7" s="64">
        <v>30</v>
      </c>
    </row>
    <row r="8" spans="1:29" ht="13.9" customHeight="1" x14ac:dyDescent="0.25">
      <c r="A8" s="10">
        <v>12045010</v>
      </c>
      <c r="B8" s="11" t="s">
        <v>1142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1143</v>
      </c>
      <c r="AC8" s="64">
        <v>31</v>
      </c>
    </row>
    <row r="9" spans="1:29" ht="13.9" customHeight="1" x14ac:dyDescent="0.25">
      <c r="A9" s="10">
        <v>27015090</v>
      </c>
      <c r="B9" s="11" t="s">
        <v>1132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1144</v>
      </c>
      <c r="AC9" s="64">
        <v>31</v>
      </c>
    </row>
    <row r="10" spans="1:29" ht="13.9" customHeight="1" x14ac:dyDescent="0.25">
      <c r="A10" s="10">
        <v>26225040</v>
      </c>
      <c r="B10" s="11" t="s">
        <v>1132</v>
      </c>
      <c r="C10" s="11" t="s">
        <v>1145</v>
      </c>
      <c r="D10" s="11" t="s">
        <v>1146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1147</v>
      </c>
      <c r="AC10" s="64">
        <v>30</v>
      </c>
    </row>
    <row r="11" spans="1:29" ht="13.9" customHeight="1" x14ac:dyDescent="0.25">
      <c r="A11" s="10">
        <v>27015260</v>
      </c>
      <c r="B11" s="11" t="s">
        <v>1140</v>
      </c>
      <c r="C11" s="11" t="s">
        <v>112</v>
      </c>
      <c r="D11" s="11" t="s">
        <v>1148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1149</v>
      </c>
      <c r="AC11" s="64">
        <v>31</v>
      </c>
    </row>
    <row r="12" spans="1:29" ht="13.9" customHeight="1" x14ac:dyDescent="0.25">
      <c r="A12" s="10">
        <v>11115020</v>
      </c>
      <c r="B12" s="11" t="s">
        <v>1132</v>
      </c>
      <c r="C12" s="11" t="s">
        <v>1150</v>
      </c>
      <c r="D12" s="11" t="s">
        <v>1151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1152</v>
      </c>
      <c r="AC12" s="64">
        <v>30</v>
      </c>
    </row>
    <row r="13" spans="1:29" ht="13.9" customHeight="1" x14ac:dyDescent="0.25">
      <c r="A13" s="10">
        <v>12015070</v>
      </c>
      <c r="B13" s="11" t="s">
        <v>1130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1153</v>
      </c>
      <c r="AC13" s="64">
        <v>31</v>
      </c>
    </row>
    <row r="14" spans="1:29" ht="13.9" customHeight="1" x14ac:dyDescent="0.2">
      <c r="A14" s="10">
        <v>12015060</v>
      </c>
      <c r="B14" s="11" t="s">
        <v>1132</v>
      </c>
      <c r="C14" s="11" t="s">
        <v>1154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1132</v>
      </c>
      <c r="C15" s="11" t="s">
        <v>1155</v>
      </c>
      <c r="D15" s="11" t="s">
        <v>1156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1132</v>
      </c>
      <c r="C16" s="11" t="s">
        <v>1157</v>
      </c>
      <c r="D16" s="11" t="s">
        <v>1158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1132</v>
      </c>
      <c r="C17" s="11" t="s">
        <v>1159</v>
      </c>
      <c r="D17" s="11" t="s">
        <v>1160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1132</v>
      </c>
      <c r="C18" s="11" t="s">
        <v>1161</v>
      </c>
      <c r="D18" s="11" t="s">
        <v>1162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1132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1132</v>
      </c>
      <c r="C20" s="11" t="s">
        <v>1163</v>
      </c>
      <c r="D20" s="11" t="s">
        <v>1164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1132</v>
      </c>
      <c r="C21" s="11" t="s">
        <v>1165</v>
      </c>
      <c r="D21" s="11" t="s">
        <v>1166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1132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1130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1132</v>
      </c>
      <c r="C24" s="11" t="s">
        <v>1167</v>
      </c>
      <c r="D24" s="11" t="s">
        <v>1168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1132</v>
      </c>
      <c r="C25" s="11" t="s">
        <v>1169</v>
      </c>
      <c r="D25" s="11" t="s">
        <v>1170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1132</v>
      </c>
      <c r="C26" s="11" t="s">
        <v>1171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1142</v>
      </c>
      <c r="C27" s="11" t="s">
        <v>1172</v>
      </c>
      <c r="D27" s="11" t="s">
        <v>1173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1132</v>
      </c>
      <c r="C28" s="11" t="s">
        <v>1174</v>
      </c>
      <c r="D28" s="11" t="s">
        <v>1175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1130</v>
      </c>
      <c r="C29" s="11" t="s">
        <v>56</v>
      </c>
      <c r="D29" s="11" t="s">
        <v>1176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1140</v>
      </c>
      <c r="C30" s="11" t="s">
        <v>1177</v>
      </c>
      <c r="D30" s="11" t="s">
        <v>1176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1142</v>
      </c>
      <c r="C31" s="11" t="s">
        <v>1178</v>
      </c>
      <c r="D31" s="11" t="s">
        <v>1178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1132</v>
      </c>
      <c r="C32" s="11" t="s">
        <v>1179</v>
      </c>
      <c r="D32" s="11" t="s">
        <v>1180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1142</v>
      </c>
      <c r="C33" s="11" t="s">
        <v>1181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1132</v>
      </c>
      <c r="C34" s="35" t="s">
        <v>1182</v>
      </c>
      <c r="D34" s="35" t="s">
        <v>1183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1132</v>
      </c>
      <c r="C35" s="21" t="s">
        <v>1184</v>
      </c>
      <c r="D35" s="21" t="s">
        <v>1185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1132</v>
      </c>
      <c r="C36" s="21" t="s">
        <v>1186</v>
      </c>
      <c r="D36" s="21" t="s">
        <v>1187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1188</v>
      </c>
      <c r="C37" s="35" t="s">
        <v>1189</v>
      </c>
      <c r="D37" s="35" t="s">
        <v>1190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1142</v>
      </c>
      <c r="C38" s="21" t="s">
        <v>1191</v>
      </c>
      <c r="D38" s="21" t="s">
        <v>1192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1132</v>
      </c>
      <c r="C39" s="21" t="s">
        <v>1193</v>
      </c>
      <c r="D39" s="21" t="s">
        <v>1194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1132</v>
      </c>
      <c r="C40" s="35" t="s">
        <v>1195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1132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1132</v>
      </c>
      <c r="C42" s="21" t="s">
        <v>372</v>
      </c>
      <c r="D42" s="21" t="s">
        <v>1196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1132</v>
      </c>
      <c r="C43" s="21" t="s">
        <v>1197</v>
      </c>
      <c r="D43" s="21" t="s">
        <v>1197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1130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1132</v>
      </c>
      <c r="C45" s="35" t="s">
        <v>1198</v>
      </c>
      <c r="D45" s="35" t="s">
        <v>1198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1132</v>
      </c>
      <c r="C46" s="35" t="s">
        <v>258</v>
      </c>
      <c r="D46" s="35" t="s">
        <v>258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1130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1130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1132</v>
      </c>
      <c r="C49" s="21" t="s">
        <v>1199</v>
      </c>
      <c r="D49" s="21" t="s">
        <v>1199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1142</v>
      </c>
      <c r="C50" s="21" t="s">
        <v>1200</v>
      </c>
      <c r="D50" s="21" t="s">
        <v>144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1130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1130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1142</v>
      </c>
      <c r="C53" s="21" t="s">
        <v>1201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1132</v>
      </c>
      <c r="C54" s="35" t="s">
        <v>1202</v>
      </c>
      <c r="D54" s="35" t="s">
        <v>138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1142</v>
      </c>
      <c r="C55" s="21" t="s">
        <v>1203</v>
      </c>
      <c r="D55" s="21" t="s">
        <v>1204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1132</v>
      </c>
      <c r="C56" s="21" t="s">
        <v>145</v>
      </c>
      <c r="D56" s="21" t="s">
        <v>142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1132</v>
      </c>
      <c r="C57" s="21" t="s">
        <v>327</v>
      </c>
      <c r="D57" s="21" t="s">
        <v>1205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1132</v>
      </c>
      <c r="C58" s="35" t="s">
        <v>1206</v>
      </c>
      <c r="D58" s="35" t="s">
        <v>1207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1142</v>
      </c>
      <c r="C59" s="35" t="s">
        <v>1208</v>
      </c>
      <c r="D59" s="35" t="s">
        <v>1209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1140</v>
      </c>
      <c r="C60" s="21" t="s">
        <v>232</v>
      </c>
      <c r="D60" s="21" t="s">
        <v>232</v>
      </c>
      <c r="E60" s="21" t="s">
        <v>209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1142</v>
      </c>
      <c r="C61" s="21" t="s">
        <v>207</v>
      </c>
      <c r="D61" s="21" t="s">
        <v>1210</v>
      </c>
      <c r="E61" s="21" t="s">
        <v>209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1132</v>
      </c>
      <c r="C62" s="21" t="s">
        <v>247</v>
      </c>
      <c r="D62" s="21" t="s">
        <v>247</v>
      </c>
      <c r="E62" s="21" t="s">
        <v>209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1132</v>
      </c>
      <c r="C63" s="21" t="s">
        <v>235</v>
      </c>
      <c r="D63" s="21" t="s">
        <v>235</v>
      </c>
      <c r="E63" s="21" t="s">
        <v>209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1132</v>
      </c>
      <c r="C64" s="35" t="s">
        <v>231</v>
      </c>
      <c r="D64" s="35" t="s">
        <v>231</v>
      </c>
      <c r="E64" s="35" t="s">
        <v>209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1132</v>
      </c>
      <c r="C65" s="21" t="s">
        <v>1211</v>
      </c>
      <c r="D65" s="21" t="s">
        <v>229</v>
      </c>
      <c r="E65" s="21" t="s">
        <v>209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1142</v>
      </c>
      <c r="C66" s="21" t="s">
        <v>1212</v>
      </c>
      <c r="D66" s="21" t="s">
        <v>225</v>
      </c>
      <c r="E66" s="21" t="s">
        <v>209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1140</v>
      </c>
      <c r="C67" s="21" t="s">
        <v>224</v>
      </c>
      <c r="D67" s="21" t="s">
        <v>225</v>
      </c>
      <c r="E67" s="21" t="s">
        <v>209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1132</v>
      </c>
      <c r="C68" s="35" t="s">
        <v>1213</v>
      </c>
      <c r="D68" s="35" t="s">
        <v>588</v>
      </c>
      <c r="E68" s="35" t="s">
        <v>209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1132</v>
      </c>
      <c r="C69" s="21" t="s">
        <v>1214</v>
      </c>
      <c r="D69" s="21" t="s">
        <v>1215</v>
      </c>
      <c r="E69" s="21" t="s">
        <v>209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1142</v>
      </c>
      <c r="C70" s="21" t="s">
        <v>1216</v>
      </c>
      <c r="D70" s="21" t="s">
        <v>244</v>
      </c>
      <c r="E70" s="21" t="s">
        <v>209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1132</v>
      </c>
      <c r="C71" s="21" t="s">
        <v>1217</v>
      </c>
      <c r="D71" s="21" t="s">
        <v>1218</v>
      </c>
      <c r="E71" s="21" t="s">
        <v>209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1142</v>
      </c>
      <c r="C72" s="21" t="s">
        <v>1219</v>
      </c>
      <c r="D72" s="21" t="s">
        <v>1220</v>
      </c>
      <c r="E72" s="21" t="s">
        <v>209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1140</v>
      </c>
      <c r="C73" s="21" t="s">
        <v>239</v>
      </c>
      <c r="D73" s="21" t="s">
        <v>239</v>
      </c>
      <c r="E73" s="21" t="s">
        <v>209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1132</v>
      </c>
      <c r="C74" s="35" t="s">
        <v>1221</v>
      </c>
      <c r="D74" s="35" t="s">
        <v>1221</v>
      </c>
      <c r="E74" s="35" t="s">
        <v>209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1142</v>
      </c>
      <c r="C75" s="21" t="s">
        <v>1222</v>
      </c>
      <c r="D75" s="21" t="s">
        <v>237</v>
      </c>
      <c r="E75" s="21" t="s">
        <v>209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1140</v>
      </c>
      <c r="C76" s="21" t="s">
        <v>1223</v>
      </c>
      <c r="D76" s="21" t="s">
        <v>237</v>
      </c>
      <c r="E76" s="21" t="s">
        <v>209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1132</v>
      </c>
      <c r="C77" s="35" t="s">
        <v>249</v>
      </c>
      <c r="D77" s="35" t="s">
        <v>250</v>
      </c>
      <c r="E77" s="35" t="s">
        <v>209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1132</v>
      </c>
      <c r="C78" s="21" t="s">
        <v>1224</v>
      </c>
      <c r="D78" s="21" t="s">
        <v>1224</v>
      </c>
      <c r="E78" s="21" t="s">
        <v>209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1132</v>
      </c>
      <c r="C79" s="21" t="s">
        <v>1225</v>
      </c>
      <c r="D79" s="21" t="s">
        <v>211</v>
      </c>
      <c r="E79" s="21" t="s">
        <v>209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1132</v>
      </c>
      <c r="C80" s="21" t="s">
        <v>241</v>
      </c>
      <c r="D80" s="21" t="s">
        <v>242</v>
      </c>
      <c r="E80" s="21" t="s">
        <v>209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1132</v>
      </c>
      <c r="C81" s="21" t="s">
        <v>1226</v>
      </c>
      <c r="D81" s="21" t="s">
        <v>219</v>
      </c>
      <c r="E81" s="21" t="s">
        <v>209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1142</v>
      </c>
      <c r="C82" s="21" t="s">
        <v>214</v>
      </c>
      <c r="D82" s="21" t="s">
        <v>215</v>
      </c>
      <c r="E82" s="21" t="s">
        <v>209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1132</v>
      </c>
      <c r="C83" s="21" t="s">
        <v>1227</v>
      </c>
      <c r="D83" s="21" t="s">
        <v>213</v>
      </c>
      <c r="E83" s="21" t="s">
        <v>209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1132</v>
      </c>
      <c r="C84" s="21" t="s">
        <v>1228</v>
      </c>
      <c r="D84" s="11" t="s">
        <v>1228</v>
      </c>
      <c r="E84" s="21" t="s">
        <v>209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1132</v>
      </c>
      <c r="C85" s="21" t="s">
        <v>1229</v>
      </c>
      <c r="D85" s="21" t="s">
        <v>1230</v>
      </c>
      <c r="E85" s="21" t="s">
        <v>209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1142</v>
      </c>
      <c r="C86" s="21" t="s">
        <v>1231</v>
      </c>
      <c r="D86" s="21" t="s">
        <v>234</v>
      </c>
      <c r="E86" s="21" t="s">
        <v>209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1142</v>
      </c>
      <c r="C87" s="21" t="s">
        <v>240</v>
      </c>
      <c r="D87" s="21" t="s">
        <v>240</v>
      </c>
      <c r="E87" s="21" t="s">
        <v>209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1142</v>
      </c>
      <c r="C88" s="21" t="s">
        <v>226</v>
      </c>
      <c r="D88" s="21" t="s">
        <v>227</v>
      </c>
      <c r="E88" s="21" t="s">
        <v>209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1142</v>
      </c>
      <c r="C89" s="35" t="s">
        <v>1232</v>
      </c>
      <c r="D89" s="35" t="s">
        <v>1233</v>
      </c>
      <c r="E89" s="35" t="s">
        <v>209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1132</v>
      </c>
      <c r="C90" s="21" t="s">
        <v>1234</v>
      </c>
      <c r="D90" s="21" t="s">
        <v>1235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1132</v>
      </c>
      <c r="C91" s="21" t="s">
        <v>356</v>
      </c>
      <c r="D91" s="21" t="s">
        <v>357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1142</v>
      </c>
      <c r="C92" s="35" t="s">
        <v>1236</v>
      </c>
      <c r="D92" s="35" t="s">
        <v>359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1132</v>
      </c>
      <c r="C93" s="35" t="s">
        <v>1237</v>
      </c>
      <c r="D93" s="35" t="s">
        <v>359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1132</v>
      </c>
      <c r="C94" s="21" t="s">
        <v>1238</v>
      </c>
      <c r="D94" s="21" t="s">
        <v>1239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1132</v>
      </c>
      <c r="C95" s="21" t="s">
        <v>386</v>
      </c>
      <c r="D95" s="21" t="s">
        <v>386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1132</v>
      </c>
      <c r="C96" s="21" t="s">
        <v>1240</v>
      </c>
      <c r="D96" s="21" t="s">
        <v>1241</v>
      </c>
      <c r="E96" s="21" t="s">
        <v>190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1132</v>
      </c>
      <c r="C97" s="21" t="s">
        <v>1242</v>
      </c>
      <c r="D97" s="21" t="s">
        <v>1243</v>
      </c>
      <c r="E97" s="21" t="s">
        <v>190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1132</v>
      </c>
      <c r="C98" s="21" t="s">
        <v>1244</v>
      </c>
      <c r="D98" s="21" t="s">
        <v>1245</v>
      </c>
      <c r="E98" s="21" t="s">
        <v>190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1140</v>
      </c>
      <c r="C99" s="35" t="s">
        <v>1246</v>
      </c>
      <c r="D99" s="21" t="s">
        <v>1245</v>
      </c>
      <c r="E99" s="35" t="s">
        <v>190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1132</v>
      </c>
      <c r="C100" s="21" t="s">
        <v>1247</v>
      </c>
      <c r="D100" s="21" t="s">
        <v>1248</v>
      </c>
      <c r="E100" s="21" t="s">
        <v>190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1132</v>
      </c>
      <c r="C101" s="21" t="s">
        <v>1249</v>
      </c>
      <c r="D101" s="21" t="s">
        <v>1250</v>
      </c>
      <c r="E101" s="21" t="s">
        <v>190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1142</v>
      </c>
      <c r="C102" s="21" t="s">
        <v>1251</v>
      </c>
      <c r="D102" s="21" t="s">
        <v>1252</v>
      </c>
      <c r="E102" s="21" t="s">
        <v>190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1132</v>
      </c>
      <c r="C103" s="21" t="s">
        <v>192</v>
      </c>
      <c r="D103" s="21" t="s">
        <v>193</v>
      </c>
      <c r="E103" s="21" t="s">
        <v>190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1132</v>
      </c>
      <c r="C104" s="21" t="s">
        <v>248</v>
      </c>
      <c r="D104" s="21" t="s">
        <v>248</v>
      </c>
      <c r="E104" s="21" t="s">
        <v>163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1132</v>
      </c>
      <c r="C105" s="21" t="s">
        <v>1253</v>
      </c>
      <c r="D105" s="21" t="s">
        <v>168</v>
      </c>
      <c r="E105" s="21" t="s">
        <v>163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1142</v>
      </c>
      <c r="C106" s="21" t="s">
        <v>1254</v>
      </c>
      <c r="D106" s="21" t="s">
        <v>1254</v>
      </c>
      <c r="E106" s="21" t="s">
        <v>163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1132</v>
      </c>
      <c r="C107" s="21" t="s">
        <v>1255</v>
      </c>
      <c r="D107" s="21" t="s">
        <v>256</v>
      </c>
      <c r="E107" s="21" t="s">
        <v>163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1132</v>
      </c>
      <c r="C108" s="21" t="s">
        <v>1256</v>
      </c>
      <c r="D108" s="21" t="s">
        <v>254</v>
      </c>
      <c r="E108" s="21" t="s">
        <v>163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1142</v>
      </c>
      <c r="C109" s="21" t="s">
        <v>1257</v>
      </c>
      <c r="D109" s="21" t="s">
        <v>1258</v>
      </c>
      <c r="E109" s="21" t="s">
        <v>163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1142</v>
      </c>
      <c r="C110" s="21" t="s">
        <v>1259</v>
      </c>
      <c r="D110" s="21" t="s">
        <v>252</v>
      </c>
      <c r="E110" s="21" t="s">
        <v>163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1132</v>
      </c>
      <c r="C111" s="21" t="s">
        <v>29</v>
      </c>
      <c r="D111" s="21" t="s">
        <v>1260</v>
      </c>
      <c r="E111" s="21" t="s">
        <v>178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1132</v>
      </c>
      <c r="C112" s="21" t="s">
        <v>1261</v>
      </c>
      <c r="D112" s="21" t="s">
        <v>1260</v>
      </c>
      <c r="E112" s="21" t="s">
        <v>178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1132</v>
      </c>
      <c r="C113" s="21" t="s">
        <v>1262</v>
      </c>
      <c r="D113" s="21" t="s">
        <v>343</v>
      </c>
      <c r="E113" s="21" t="s">
        <v>178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1142</v>
      </c>
      <c r="C114" s="21" t="s">
        <v>1263</v>
      </c>
      <c r="D114" s="21" t="s">
        <v>297</v>
      </c>
      <c r="E114" s="21" t="s">
        <v>178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1132</v>
      </c>
      <c r="C115" s="21" t="s">
        <v>177</v>
      </c>
      <c r="D115" s="21" t="s">
        <v>179</v>
      </c>
      <c r="E115" s="21" t="s">
        <v>178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1142</v>
      </c>
      <c r="C116" s="21" t="s">
        <v>280</v>
      </c>
      <c r="D116" s="21" t="s">
        <v>280</v>
      </c>
      <c r="E116" s="21" t="s">
        <v>178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1142</v>
      </c>
      <c r="C117" s="35" t="s">
        <v>1264</v>
      </c>
      <c r="D117" s="35" t="s">
        <v>1265</v>
      </c>
      <c r="E117" s="35" t="s">
        <v>178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1132</v>
      </c>
      <c r="C118" s="21" t="s">
        <v>1266</v>
      </c>
      <c r="D118" s="21" t="s">
        <v>1267</v>
      </c>
      <c r="E118" s="21" t="s">
        <v>178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1132</v>
      </c>
      <c r="C119" s="21" t="s">
        <v>1267</v>
      </c>
      <c r="D119" s="21" t="s">
        <v>1267</v>
      </c>
      <c r="E119" s="21" t="s">
        <v>178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1132</v>
      </c>
      <c r="C120" s="21" t="s">
        <v>1268</v>
      </c>
      <c r="D120" s="21" t="s">
        <v>1269</v>
      </c>
      <c r="E120" s="21" t="s">
        <v>178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1132</v>
      </c>
      <c r="C121" s="35" t="s">
        <v>1270</v>
      </c>
      <c r="D121" s="35" t="s">
        <v>1271</v>
      </c>
      <c r="E121" s="35" t="s">
        <v>178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1142</v>
      </c>
      <c r="C122" s="21" t="s">
        <v>1272</v>
      </c>
      <c r="D122" s="21" t="s">
        <v>1273</v>
      </c>
      <c r="E122" s="21" t="s">
        <v>178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1132</v>
      </c>
      <c r="C123" s="21" t="s">
        <v>1274</v>
      </c>
      <c r="D123" s="21" t="s">
        <v>1275</v>
      </c>
      <c r="E123" s="21" t="s">
        <v>178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1142</v>
      </c>
      <c r="C124" s="21" t="s">
        <v>259</v>
      </c>
      <c r="D124" s="21" t="s">
        <v>261</v>
      </c>
      <c r="E124" s="21" t="s">
        <v>178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1132</v>
      </c>
      <c r="C125" s="21" t="s">
        <v>344</v>
      </c>
      <c r="D125" s="21" t="s">
        <v>1276</v>
      </c>
      <c r="E125" s="21" t="s">
        <v>178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1132</v>
      </c>
      <c r="C126" s="21" t="s">
        <v>276</v>
      </c>
      <c r="D126" s="21" t="s">
        <v>786</v>
      </c>
      <c r="E126" s="21" t="s">
        <v>178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1132</v>
      </c>
      <c r="C127" s="21" t="s">
        <v>1277</v>
      </c>
      <c r="D127" s="21" t="s">
        <v>1278</v>
      </c>
      <c r="E127" s="21" t="s">
        <v>178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1134</v>
      </c>
      <c r="C128" s="35" t="s">
        <v>1279</v>
      </c>
      <c r="D128" s="35" t="s">
        <v>1280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1132</v>
      </c>
      <c r="C129" s="21" t="s">
        <v>1281</v>
      </c>
      <c r="D129" s="21" t="s">
        <v>1282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1140</v>
      </c>
      <c r="C130" s="35" t="s">
        <v>1283</v>
      </c>
      <c r="D130" s="35" t="s">
        <v>1282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1142</v>
      </c>
      <c r="C131" s="21" t="s">
        <v>1284</v>
      </c>
      <c r="D131" s="21" t="s">
        <v>1285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1132</v>
      </c>
      <c r="C132" s="35" t="s">
        <v>1286</v>
      </c>
      <c r="D132" s="35" t="s">
        <v>1286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1134</v>
      </c>
      <c r="C133" s="21" t="s">
        <v>1287</v>
      </c>
      <c r="D133" s="21" t="s">
        <v>1288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1132</v>
      </c>
      <c r="C134" s="21" t="s">
        <v>1289</v>
      </c>
      <c r="D134" s="21" t="s">
        <v>1290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1130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1132</v>
      </c>
      <c r="C136" s="21" t="s">
        <v>206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1132</v>
      </c>
      <c r="C137" s="21" t="s">
        <v>1291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1132</v>
      </c>
      <c r="C138" s="21" t="s">
        <v>205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1132</v>
      </c>
      <c r="C139" s="21" t="s">
        <v>1292</v>
      </c>
      <c r="D139" s="21" t="s">
        <v>1293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1142</v>
      </c>
      <c r="C140" s="21" t="s">
        <v>1294</v>
      </c>
      <c r="D140" s="21" t="s">
        <v>1294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1132</v>
      </c>
      <c r="C141" s="21" t="s">
        <v>1295</v>
      </c>
      <c r="D141" s="21" t="s">
        <v>1296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1132</v>
      </c>
      <c r="C142" s="21" t="s">
        <v>1297</v>
      </c>
      <c r="D142" s="21" t="s">
        <v>1298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1130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1134</v>
      </c>
      <c r="C144" s="35" t="s">
        <v>1299</v>
      </c>
      <c r="D144" s="35" t="s">
        <v>1300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1301</v>
      </c>
      <c r="C145" s="21" t="s">
        <v>1302</v>
      </c>
      <c r="D145" s="21" t="s">
        <v>1303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1132</v>
      </c>
      <c r="C146" s="21" t="s">
        <v>120</v>
      </c>
      <c r="D146" s="21" t="s">
        <v>1304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1132</v>
      </c>
      <c r="C147" s="35" t="s">
        <v>1305</v>
      </c>
      <c r="D147" s="35" t="s">
        <v>1306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1142</v>
      </c>
      <c r="C148" s="21" t="s">
        <v>124</v>
      </c>
      <c r="D148" s="21" t="s">
        <v>125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1142</v>
      </c>
      <c r="C149" s="21" t="s">
        <v>1307</v>
      </c>
      <c r="D149" s="21" t="s">
        <v>125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1132</v>
      </c>
      <c r="C150" s="35" t="s">
        <v>1308</v>
      </c>
      <c r="D150" s="35" t="s">
        <v>128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1130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1132</v>
      </c>
      <c r="C152" s="35" t="s">
        <v>1309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1132</v>
      </c>
      <c r="C153" s="21" t="s">
        <v>1310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1132</v>
      </c>
      <c r="C154" s="21" t="s">
        <v>1311</v>
      </c>
      <c r="D154" s="21" t="s">
        <v>130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1132</v>
      </c>
      <c r="C155" s="35" t="s">
        <v>130</v>
      </c>
      <c r="D155" s="35" t="s">
        <v>130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1132</v>
      </c>
      <c r="C156" s="21" t="s">
        <v>1312</v>
      </c>
      <c r="D156" s="21" t="s">
        <v>1313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1132</v>
      </c>
      <c r="C157" s="21" t="s">
        <v>1314</v>
      </c>
      <c r="D157" s="21" t="s">
        <v>1314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1142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1142</v>
      </c>
      <c r="C159" s="21" t="s">
        <v>394</v>
      </c>
      <c r="D159" s="21" t="s">
        <v>395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1132</v>
      </c>
      <c r="C160" s="21" t="s">
        <v>1315</v>
      </c>
      <c r="D160" s="21" t="s">
        <v>1316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1132</v>
      </c>
      <c r="C161" s="21" t="s">
        <v>1317</v>
      </c>
      <c r="D161" s="21" t="s">
        <v>1316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1130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1132</v>
      </c>
      <c r="C163" s="21" t="s">
        <v>1318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1132</v>
      </c>
      <c r="C164" s="21" t="s">
        <v>1319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1132</v>
      </c>
      <c r="C165" s="21" t="s">
        <v>412</v>
      </c>
      <c r="D165" s="21" t="s">
        <v>413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1132</v>
      </c>
      <c r="C166" s="21" t="s">
        <v>399</v>
      </c>
      <c r="D166" s="21" t="s">
        <v>400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1142</v>
      </c>
      <c r="C167" s="35" t="s">
        <v>1320</v>
      </c>
      <c r="D167" s="35" t="s">
        <v>411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1132</v>
      </c>
      <c r="C168" s="35" t="s">
        <v>1321</v>
      </c>
      <c r="D168" s="35" t="s">
        <v>1321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1132</v>
      </c>
      <c r="C169" s="21" t="s">
        <v>396</v>
      </c>
      <c r="D169" s="21" t="s">
        <v>396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1132</v>
      </c>
      <c r="C170" s="21" t="s">
        <v>1322</v>
      </c>
      <c r="D170" s="21" t="s">
        <v>1323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1132</v>
      </c>
      <c r="C171" s="21" t="s">
        <v>370</v>
      </c>
      <c r="D171" s="21" t="s">
        <v>370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1132</v>
      </c>
      <c r="C172" s="21" t="s">
        <v>1324</v>
      </c>
      <c r="D172" s="21" t="s">
        <v>1325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1140</v>
      </c>
      <c r="C173" s="35" t="s">
        <v>392</v>
      </c>
      <c r="D173" s="35" t="s">
        <v>1326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1132</v>
      </c>
      <c r="C174" s="21" t="s">
        <v>1327</v>
      </c>
      <c r="D174" s="21" t="s">
        <v>1328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1132</v>
      </c>
      <c r="C175" s="21" t="s">
        <v>387</v>
      </c>
      <c r="D175" s="21" t="s">
        <v>387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1132</v>
      </c>
      <c r="C176" s="21" t="s">
        <v>1329</v>
      </c>
      <c r="D176" s="21" t="s">
        <v>1330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1140</v>
      </c>
      <c r="C177" s="21" t="s">
        <v>1331</v>
      </c>
      <c r="D177" s="21" t="s">
        <v>391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1130</v>
      </c>
      <c r="C178" s="21" t="s">
        <v>1332</v>
      </c>
      <c r="D178" s="21" t="s">
        <v>1333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1132</v>
      </c>
      <c r="C179" s="35" t="s">
        <v>397</v>
      </c>
      <c r="D179" s="35" t="s">
        <v>398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1301</v>
      </c>
      <c r="C180" s="21" t="s">
        <v>401</v>
      </c>
      <c r="D180" s="21" t="s">
        <v>402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1132</v>
      </c>
      <c r="C181" s="35" t="s">
        <v>1334</v>
      </c>
      <c r="D181" s="35" t="s">
        <v>1335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1132</v>
      </c>
      <c r="C182" s="21" t="s">
        <v>1336</v>
      </c>
      <c r="D182" s="21" t="s">
        <v>1337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1142</v>
      </c>
      <c r="C183" s="21" t="s">
        <v>1338</v>
      </c>
      <c r="D183" s="21" t="s">
        <v>1339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1140</v>
      </c>
      <c r="C184" s="21" t="s">
        <v>1340</v>
      </c>
      <c r="D184" s="21" t="s">
        <v>152</v>
      </c>
      <c r="E184" s="21" t="s">
        <v>151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1132</v>
      </c>
      <c r="C185" s="35" t="s">
        <v>146</v>
      </c>
      <c r="D185" s="35" t="s">
        <v>149</v>
      </c>
      <c r="E185" s="35" t="s">
        <v>148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1132</v>
      </c>
      <c r="C186" s="21" t="s">
        <v>155</v>
      </c>
      <c r="D186" s="21" t="s">
        <v>1341</v>
      </c>
      <c r="E186" s="21" t="s">
        <v>148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1140</v>
      </c>
      <c r="C187" s="35" t="s">
        <v>1342</v>
      </c>
      <c r="D187" s="21" t="s">
        <v>1341</v>
      </c>
      <c r="E187" s="35" t="s">
        <v>148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1132</v>
      </c>
      <c r="C188" s="21" t="s">
        <v>1343</v>
      </c>
      <c r="D188" s="21" t="s">
        <v>1344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1132</v>
      </c>
      <c r="C189" s="21" t="s">
        <v>1345</v>
      </c>
      <c r="D189" s="21" t="s">
        <v>1345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1132</v>
      </c>
      <c r="C190" s="35" t="s">
        <v>1346</v>
      </c>
      <c r="D190" s="35" t="s">
        <v>176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1140</v>
      </c>
      <c r="C191" s="21" t="s">
        <v>1347</v>
      </c>
      <c r="D191" s="21" t="s">
        <v>1348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1132</v>
      </c>
      <c r="C192" s="21" t="s">
        <v>1349</v>
      </c>
      <c r="D192" s="21" t="s">
        <v>1350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1142</v>
      </c>
      <c r="C193" s="21" t="s">
        <v>1351</v>
      </c>
      <c r="D193" s="21" t="s">
        <v>1350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1142</v>
      </c>
      <c r="C194" s="21" t="s">
        <v>1352</v>
      </c>
      <c r="D194" s="21" t="s">
        <v>1350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1132</v>
      </c>
      <c r="C195" s="21" t="s">
        <v>1353</v>
      </c>
      <c r="D195" s="21" t="s">
        <v>188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1132</v>
      </c>
      <c r="C196" s="21" t="s">
        <v>1354</v>
      </c>
      <c r="D196" s="21" t="s">
        <v>181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1132</v>
      </c>
      <c r="C197" s="21" t="s">
        <v>1355</v>
      </c>
      <c r="D197" s="21" t="s">
        <v>1355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1132</v>
      </c>
      <c r="C198" s="21" t="s">
        <v>1356</v>
      </c>
      <c r="D198" s="21" t="s">
        <v>1355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1142</v>
      </c>
      <c r="C199" s="21" t="s">
        <v>1357</v>
      </c>
      <c r="D199" s="21" t="s">
        <v>1358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1359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1132</v>
      </c>
      <c r="C201" s="21" t="s">
        <v>1360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1132</v>
      </c>
      <c r="C202" s="21" t="s">
        <v>182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1132</v>
      </c>
      <c r="C203" s="21" t="s">
        <v>1361</v>
      </c>
      <c r="D203" s="21" t="s">
        <v>1361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1132</v>
      </c>
      <c r="C204" s="21" t="s">
        <v>354</v>
      </c>
      <c r="D204" s="21" t="s">
        <v>1362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1134</v>
      </c>
      <c r="C205" s="21" t="s">
        <v>1363</v>
      </c>
      <c r="D205" s="21" t="s">
        <v>1364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1132</v>
      </c>
      <c r="C206" s="35" t="s">
        <v>1365</v>
      </c>
      <c r="D206" s="35" t="s">
        <v>1366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1132</v>
      </c>
      <c r="C207" s="21" t="s">
        <v>1367</v>
      </c>
      <c r="D207" s="21" t="s">
        <v>1368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1132</v>
      </c>
      <c r="C208" s="21" t="s">
        <v>1369</v>
      </c>
      <c r="D208" s="21" t="s">
        <v>1370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1140</v>
      </c>
      <c r="C209" s="21" t="s">
        <v>185</v>
      </c>
      <c r="D209" s="21" t="s">
        <v>186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1132</v>
      </c>
      <c r="C210" s="46" t="s">
        <v>1371</v>
      </c>
      <c r="D210" s="46" t="s">
        <v>186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1132</v>
      </c>
      <c r="C211" s="21" t="s">
        <v>1372</v>
      </c>
      <c r="D211" s="21" t="s">
        <v>186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1142</v>
      </c>
      <c r="C212" s="35" t="s">
        <v>1373</v>
      </c>
      <c r="D212" s="35" t="s">
        <v>197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1132</v>
      </c>
      <c r="C213" s="21" t="s">
        <v>1374</v>
      </c>
      <c r="D213" s="21" t="s">
        <v>1375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1132</v>
      </c>
      <c r="C214" s="21" t="s">
        <v>1376</v>
      </c>
      <c r="D214" s="21" t="s">
        <v>200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1130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1142</v>
      </c>
      <c r="C216" s="11" t="s">
        <v>1377</v>
      </c>
      <c r="D216" s="21" t="s">
        <v>1378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1132</v>
      </c>
      <c r="C217" s="21" t="s">
        <v>1379</v>
      </c>
      <c r="D217" s="21" t="s">
        <v>1378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1132</v>
      </c>
      <c r="C218" s="35" t="s">
        <v>204</v>
      </c>
      <c r="D218" s="35" t="s">
        <v>204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1132</v>
      </c>
      <c r="C219" s="21" t="s">
        <v>1380</v>
      </c>
      <c r="D219" s="21" t="s">
        <v>1381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1142</v>
      </c>
      <c r="C220" s="21" t="s">
        <v>1382</v>
      </c>
      <c r="D220" s="21" t="s">
        <v>1383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1142</v>
      </c>
      <c r="C221" s="21" t="s">
        <v>1384</v>
      </c>
      <c r="D221" s="21" t="s">
        <v>1385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1132</v>
      </c>
      <c r="C222" s="21" t="s">
        <v>1386</v>
      </c>
      <c r="D222" s="21" t="s">
        <v>1387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1142</v>
      </c>
      <c r="C223" s="21" t="s">
        <v>1388</v>
      </c>
      <c r="D223" s="21" t="s">
        <v>1387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1130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1132</v>
      </c>
      <c r="C225" s="21" t="s">
        <v>1389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1142</v>
      </c>
      <c r="C226" s="21" t="s">
        <v>1390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1132</v>
      </c>
      <c r="C227" s="21" t="s">
        <v>1391</v>
      </c>
      <c r="D227" s="21" t="s">
        <v>1392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1132</v>
      </c>
      <c r="C228" s="21" t="s">
        <v>1393</v>
      </c>
      <c r="D228" s="21" t="s">
        <v>1392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1132</v>
      </c>
      <c r="C229" s="21" t="s">
        <v>165</v>
      </c>
      <c r="D229" s="21" t="s">
        <v>1394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1132</v>
      </c>
      <c r="C230" s="21" t="s">
        <v>160</v>
      </c>
      <c r="D230" s="21" t="s">
        <v>161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1132</v>
      </c>
      <c r="C231" s="21" t="s">
        <v>1395</v>
      </c>
      <c r="D231" s="21" t="s">
        <v>1396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1142</v>
      </c>
      <c r="C232" s="35" t="s">
        <v>153</v>
      </c>
      <c r="D232" s="35" t="s">
        <v>153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1132</v>
      </c>
      <c r="C233" s="21" t="s">
        <v>1397</v>
      </c>
      <c r="D233" s="21" t="s">
        <v>1398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1132</v>
      </c>
      <c r="C234" s="21" t="s">
        <v>154</v>
      </c>
      <c r="D234" s="21" t="s">
        <v>154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1301</v>
      </c>
      <c r="C235" s="35" t="s">
        <v>1399</v>
      </c>
      <c r="D235" s="35" t="s">
        <v>1400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1132</v>
      </c>
      <c r="C236" s="21" t="s">
        <v>1401</v>
      </c>
      <c r="D236" s="21" t="s">
        <v>1401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1132</v>
      </c>
      <c r="C237" s="21" t="s">
        <v>1402</v>
      </c>
      <c r="D237" s="21" t="s">
        <v>1403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1130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1140</v>
      </c>
      <c r="C239" s="35" t="s">
        <v>1404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1142</v>
      </c>
      <c r="C240" s="21" t="s">
        <v>1405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1132</v>
      </c>
      <c r="C241" s="35" t="s">
        <v>1406</v>
      </c>
      <c r="D241" s="35" t="s">
        <v>1407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1130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1142</v>
      </c>
      <c r="C243" s="21" t="s">
        <v>1408</v>
      </c>
      <c r="D243" s="21" t="s">
        <v>1409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1134</v>
      </c>
      <c r="C244" s="35" t="s">
        <v>1409</v>
      </c>
      <c r="D244" s="35" t="s">
        <v>1409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1130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1132</v>
      </c>
      <c r="C246" s="35" t="s">
        <v>286</v>
      </c>
      <c r="D246" s="35" t="s">
        <v>287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1132</v>
      </c>
      <c r="C247" s="21" t="s">
        <v>292</v>
      </c>
      <c r="D247" s="21" t="s">
        <v>292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1142</v>
      </c>
      <c r="C248" s="21" t="s">
        <v>1410</v>
      </c>
      <c r="D248" s="21" t="s">
        <v>270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1142</v>
      </c>
      <c r="C249" s="35" t="s">
        <v>1411</v>
      </c>
      <c r="D249" s="35" t="s">
        <v>270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1140</v>
      </c>
      <c r="C250" s="21" t="s">
        <v>281</v>
      </c>
      <c r="D250" s="21" t="s">
        <v>270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1132</v>
      </c>
      <c r="C251" s="21" t="s">
        <v>267</v>
      </c>
      <c r="D251" s="21" t="s">
        <v>268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1132</v>
      </c>
      <c r="C252" s="21" t="s">
        <v>1412</v>
      </c>
      <c r="D252" s="21" t="s">
        <v>285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1132</v>
      </c>
      <c r="C253" s="21" t="s">
        <v>288</v>
      </c>
      <c r="D253" s="21" t="s">
        <v>289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1132</v>
      </c>
      <c r="C254" s="21" t="s">
        <v>282</v>
      </c>
      <c r="D254" s="21" t="s">
        <v>1413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1132</v>
      </c>
      <c r="C255" s="21" t="s">
        <v>283</v>
      </c>
      <c r="D255" s="21" t="s">
        <v>283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1142</v>
      </c>
      <c r="C256" s="21" t="s">
        <v>290</v>
      </c>
      <c r="D256" s="21" t="s">
        <v>291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1142</v>
      </c>
      <c r="C257" s="11" t="s">
        <v>1414</v>
      </c>
      <c r="D257" s="35" t="s">
        <v>459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1142</v>
      </c>
      <c r="C258" s="21" t="s">
        <v>1415</v>
      </c>
      <c r="D258" s="21" t="s">
        <v>459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1142</v>
      </c>
      <c r="C259" s="21" t="s">
        <v>1416</v>
      </c>
      <c r="D259" s="21" t="s">
        <v>295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1142</v>
      </c>
      <c r="C260" s="21" t="s">
        <v>1417</v>
      </c>
      <c r="D260" s="21" t="s">
        <v>311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1132</v>
      </c>
      <c r="C261" s="35" t="s">
        <v>1418</v>
      </c>
      <c r="D261" s="35" t="s">
        <v>326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1142</v>
      </c>
      <c r="C262" s="21" t="s">
        <v>1419</v>
      </c>
      <c r="D262" s="21" t="s">
        <v>1420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1130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1142</v>
      </c>
      <c r="C264" s="21" t="s">
        <v>1421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1142</v>
      </c>
      <c r="C265" s="21" t="s">
        <v>1422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1132</v>
      </c>
      <c r="C266" s="21" t="s">
        <v>1423</v>
      </c>
      <c r="D266" s="21" t="s">
        <v>1423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1142</v>
      </c>
      <c r="C267" s="21" t="s">
        <v>307</v>
      </c>
      <c r="D267" s="21" t="s">
        <v>308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1132</v>
      </c>
      <c r="C268" s="21" t="s">
        <v>1424</v>
      </c>
      <c r="D268" s="21" t="s">
        <v>308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1140</v>
      </c>
      <c r="C269" s="21" t="s">
        <v>298</v>
      </c>
      <c r="D269" s="21" t="s">
        <v>301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1132</v>
      </c>
      <c r="C270" s="46" t="s">
        <v>1425</v>
      </c>
      <c r="D270" s="46" t="s">
        <v>302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1142</v>
      </c>
      <c r="C271" s="21" t="s">
        <v>302</v>
      </c>
      <c r="D271" s="21" t="s">
        <v>302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1142</v>
      </c>
      <c r="C272" s="21" t="s">
        <v>305</v>
      </c>
      <c r="D272" s="21" t="s">
        <v>305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1134</v>
      </c>
      <c r="C273" s="21" t="s">
        <v>1426</v>
      </c>
      <c r="D273" s="21" t="s">
        <v>1426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1132</v>
      </c>
      <c r="C274" s="21" t="s">
        <v>399</v>
      </c>
      <c r="D274" s="21" t="s">
        <v>399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1132</v>
      </c>
      <c r="C275" s="35" t="s">
        <v>309</v>
      </c>
      <c r="D275" s="35" t="s">
        <v>309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1132</v>
      </c>
      <c r="C276" s="21" t="s">
        <v>339</v>
      </c>
      <c r="D276" s="21" t="s">
        <v>1194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1132</v>
      </c>
      <c r="C277" s="21" t="s">
        <v>1427</v>
      </c>
      <c r="D277" s="21" t="s">
        <v>266</v>
      </c>
      <c r="E277" s="21" t="s">
        <v>263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1142</v>
      </c>
      <c r="C278" s="21" t="s">
        <v>1428</v>
      </c>
      <c r="D278" s="21" t="s">
        <v>264</v>
      </c>
      <c r="E278" s="21" t="s">
        <v>263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1140</v>
      </c>
      <c r="C279" s="21" t="s">
        <v>1429</v>
      </c>
      <c r="D279" s="21" t="s">
        <v>272</v>
      </c>
      <c r="E279" s="21" t="s">
        <v>263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1132</v>
      </c>
      <c r="C280" s="21" t="s">
        <v>272</v>
      </c>
      <c r="D280" s="21" t="s">
        <v>272</v>
      </c>
      <c r="E280" s="21" t="s">
        <v>263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1132</v>
      </c>
      <c r="C281" s="35" t="s">
        <v>271</v>
      </c>
      <c r="D281" s="35" t="s">
        <v>272</v>
      </c>
      <c r="E281" s="35" t="s">
        <v>263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1132</v>
      </c>
      <c r="C282" s="21" t="s">
        <v>1430</v>
      </c>
      <c r="D282" s="21" t="s">
        <v>1431</v>
      </c>
      <c r="E282" s="21" t="s">
        <v>263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1132</v>
      </c>
      <c r="C283" s="21" t="s">
        <v>1432</v>
      </c>
      <c r="D283" s="21" t="s">
        <v>1433</v>
      </c>
      <c r="E283" s="21" t="s">
        <v>263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1140</v>
      </c>
      <c r="C284" s="21" t="s">
        <v>1433</v>
      </c>
      <c r="D284" s="21" t="s">
        <v>1433</v>
      </c>
      <c r="E284" s="21" t="s">
        <v>263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1130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1130</v>
      </c>
      <c r="C286" s="21" t="s">
        <v>58</v>
      </c>
      <c r="D286" s="21" t="s">
        <v>60</v>
      </c>
      <c r="E286" s="21" t="s">
        <v>1434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1132</v>
      </c>
      <c r="C287" s="21" t="s">
        <v>355</v>
      </c>
      <c r="D287" s="21" t="s">
        <v>60</v>
      </c>
      <c r="E287" s="21" t="s">
        <v>1434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1132</v>
      </c>
      <c r="C288" s="21" t="s">
        <v>1435</v>
      </c>
      <c r="D288" s="21" t="s">
        <v>1435</v>
      </c>
      <c r="E288" s="21" t="s">
        <v>1434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1134</v>
      </c>
      <c r="C289" s="35" t="s">
        <v>1436</v>
      </c>
      <c r="D289" s="35" t="s">
        <v>1437</v>
      </c>
      <c r="E289" s="35" t="s">
        <v>1434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1132</v>
      </c>
      <c r="C290" s="21" t="s">
        <v>1438</v>
      </c>
      <c r="D290" s="21" t="s">
        <v>1439</v>
      </c>
      <c r="E290" s="21" t="s">
        <v>1434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1132</v>
      </c>
      <c r="C291" s="21" t="s">
        <v>197</v>
      </c>
      <c r="D291" s="21" t="s">
        <v>197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1130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1132</v>
      </c>
      <c r="C293" s="21" t="s">
        <v>318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1132</v>
      </c>
      <c r="C294" s="21" t="s">
        <v>230</v>
      </c>
      <c r="D294" s="21" t="s">
        <v>230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1132</v>
      </c>
      <c r="C295" s="21" t="s">
        <v>1440</v>
      </c>
      <c r="D295" s="21" t="s">
        <v>333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1132</v>
      </c>
      <c r="C296" s="21" t="s">
        <v>1441</v>
      </c>
      <c r="D296" s="21" t="s">
        <v>333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1132</v>
      </c>
      <c r="C297" s="21" t="s">
        <v>1442</v>
      </c>
      <c r="D297" s="21" t="s">
        <v>1442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1132</v>
      </c>
      <c r="C298" s="21" t="s">
        <v>120</v>
      </c>
      <c r="D298" s="21" t="s">
        <v>1304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1132</v>
      </c>
      <c r="C299" s="21" t="s">
        <v>315</v>
      </c>
      <c r="D299" s="21" t="s">
        <v>315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1132</v>
      </c>
      <c r="C300" s="21" t="s">
        <v>316</v>
      </c>
      <c r="D300" s="21" t="s">
        <v>1443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1132</v>
      </c>
      <c r="C301" s="35" t="s">
        <v>1444</v>
      </c>
      <c r="D301" s="35" t="s">
        <v>1444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1132</v>
      </c>
      <c r="C302" s="21" t="s">
        <v>1445</v>
      </c>
      <c r="D302" s="21" t="s">
        <v>1446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1188</v>
      </c>
      <c r="C303" s="21" t="s">
        <v>1447</v>
      </c>
      <c r="D303" s="21" t="s">
        <v>1447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1130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1142</v>
      </c>
      <c r="C305" s="21" t="s">
        <v>1448</v>
      </c>
      <c r="D305" s="21" t="s">
        <v>331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1132</v>
      </c>
      <c r="C306" s="21" t="s">
        <v>335</v>
      </c>
      <c r="D306" s="21" t="s">
        <v>336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1134</v>
      </c>
      <c r="C307" s="21" t="s">
        <v>1449</v>
      </c>
      <c r="D307" s="21" t="s">
        <v>1450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1132</v>
      </c>
      <c r="C308" s="21" t="s">
        <v>313</v>
      </c>
      <c r="D308" s="21" t="s">
        <v>314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1134</v>
      </c>
      <c r="C309" s="21" t="s">
        <v>1451</v>
      </c>
      <c r="D309" s="21" t="s">
        <v>1452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1142</v>
      </c>
      <c r="C310" s="21" t="s">
        <v>319</v>
      </c>
      <c r="D310" s="21" t="s">
        <v>1453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1132</v>
      </c>
      <c r="C311" s="21" t="s">
        <v>1454</v>
      </c>
      <c r="D311" s="21" t="s">
        <v>322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1142</v>
      </c>
      <c r="C312" s="21" t="s">
        <v>1455</v>
      </c>
      <c r="D312" s="21" t="s">
        <v>338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1134</v>
      </c>
      <c r="C313" s="35" t="s">
        <v>1456</v>
      </c>
      <c r="D313" s="35" t="s">
        <v>1457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1132</v>
      </c>
      <c r="C314" s="21" t="s">
        <v>334</v>
      </c>
      <c r="D314" s="21" t="s">
        <v>334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1142</v>
      </c>
      <c r="C315" s="21" t="s">
        <v>1458</v>
      </c>
      <c r="D315" s="21" t="s">
        <v>1459</v>
      </c>
      <c r="E315" s="21" t="s">
        <v>133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1142</v>
      </c>
      <c r="C316" s="21" t="s">
        <v>1460</v>
      </c>
      <c r="D316" s="21" t="s">
        <v>851</v>
      </c>
      <c r="E316" s="21" t="s">
        <v>133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1140</v>
      </c>
      <c r="C317" s="21" t="s">
        <v>1461</v>
      </c>
      <c r="D317" s="21" t="s">
        <v>134</v>
      </c>
      <c r="E317" s="21" t="s">
        <v>133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1301</v>
      </c>
      <c r="C318" s="21" t="s">
        <v>1462</v>
      </c>
      <c r="D318" s="21" t="s">
        <v>136</v>
      </c>
      <c r="E318" s="21" t="s">
        <v>133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1142</v>
      </c>
      <c r="C319" s="35" t="s">
        <v>1463</v>
      </c>
      <c r="D319" s="35" t="s">
        <v>374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1142</v>
      </c>
      <c r="C320" s="21" t="s">
        <v>1464</v>
      </c>
      <c r="D320" s="21" t="s">
        <v>769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1132</v>
      </c>
      <c r="C321" s="21" t="s">
        <v>1465</v>
      </c>
      <c r="D321" s="21" t="s">
        <v>381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1132</v>
      </c>
      <c r="C322" s="21" t="s">
        <v>1466</v>
      </c>
      <c r="D322" s="21" t="s">
        <v>1466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1132</v>
      </c>
      <c r="C323" s="35" t="s">
        <v>1467</v>
      </c>
      <c r="D323" s="35" t="s">
        <v>1466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1132</v>
      </c>
      <c r="C324" s="21" t="s">
        <v>1468</v>
      </c>
      <c r="D324" s="21" t="s">
        <v>379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1132</v>
      </c>
      <c r="C325" s="21" t="s">
        <v>1469</v>
      </c>
      <c r="D325" s="21" t="s">
        <v>379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1132</v>
      </c>
      <c r="C326" s="21" t="s">
        <v>1470</v>
      </c>
      <c r="D326" s="21" t="s">
        <v>1471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1132</v>
      </c>
      <c r="C327" s="21" t="s">
        <v>1472</v>
      </c>
      <c r="D327" s="21" t="s">
        <v>1473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1132</v>
      </c>
      <c r="C328" s="35" t="s">
        <v>367</v>
      </c>
      <c r="D328" s="35" t="s">
        <v>368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1140</v>
      </c>
      <c r="C329" s="21" t="s">
        <v>1474</v>
      </c>
      <c r="D329" s="21" t="s">
        <v>368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1142</v>
      </c>
      <c r="C330" s="35" t="s">
        <v>1475</v>
      </c>
      <c r="D330" s="35" t="s">
        <v>1476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1142</v>
      </c>
      <c r="C331" s="21" t="s">
        <v>365</v>
      </c>
      <c r="D331" s="21" t="s">
        <v>365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1132</v>
      </c>
      <c r="C332" s="21" t="s">
        <v>1425</v>
      </c>
      <c r="D332" s="21" t="s">
        <v>1477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1359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1132</v>
      </c>
      <c r="C334" s="21" t="s">
        <v>1478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1142</v>
      </c>
      <c r="C335" s="21" t="s">
        <v>1479</v>
      </c>
      <c r="D335" s="21" t="s">
        <v>1480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1359</v>
      </c>
      <c r="C336" s="21" t="s">
        <v>1481</v>
      </c>
      <c r="D336" s="21" t="s">
        <v>649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1132</v>
      </c>
      <c r="C337" s="21" t="s">
        <v>197</v>
      </c>
      <c r="D337" s="21" t="s">
        <v>649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1142</v>
      </c>
      <c r="C338" s="21" t="s">
        <v>183</v>
      </c>
      <c r="D338" s="21" t="s">
        <v>184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1132</v>
      </c>
      <c r="C339" s="11" t="s">
        <v>1482</v>
      </c>
      <c r="D339" s="21" t="s">
        <v>364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1134</v>
      </c>
      <c r="C340" s="21" t="s">
        <v>1483</v>
      </c>
      <c r="D340" s="21" t="s">
        <v>1484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1132</v>
      </c>
      <c r="C341" s="21" t="s">
        <v>1485</v>
      </c>
      <c r="D341" s="21" t="s">
        <v>1484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1132</v>
      </c>
      <c r="C342" s="21" t="s">
        <v>1486</v>
      </c>
      <c r="D342" s="21" t="s">
        <v>1487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1132</v>
      </c>
      <c r="C343" s="21" t="s">
        <v>1488</v>
      </c>
      <c r="D343" s="21" t="s">
        <v>1489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1132</v>
      </c>
      <c r="C344" s="21" t="s">
        <v>360</v>
      </c>
      <c r="D344" s="21" t="s">
        <v>362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1142</v>
      </c>
      <c r="C345" s="21" t="s">
        <v>382</v>
      </c>
      <c r="D345" s="21" t="s">
        <v>383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1301</v>
      </c>
      <c r="C346" s="35" t="s">
        <v>372</v>
      </c>
      <c r="D346" s="35" t="s">
        <v>372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1132</v>
      </c>
      <c r="C347" s="21" t="s">
        <v>372</v>
      </c>
      <c r="D347" s="21" t="s">
        <v>372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1132</v>
      </c>
      <c r="C348" s="35" t="s">
        <v>1490</v>
      </c>
      <c r="D348" s="35" t="s">
        <v>366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1132</v>
      </c>
      <c r="C349" s="21" t="s">
        <v>377</v>
      </c>
      <c r="D349" s="21" t="s">
        <v>377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1134</v>
      </c>
      <c r="C350" s="21" t="s">
        <v>1491</v>
      </c>
      <c r="D350" s="21" t="s">
        <v>1492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1132</v>
      </c>
      <c r="C351" s="21" t="s">
        <v>350</v>
      </c>
      <c r="D351" s="21" t="s">
        <v>351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1132</v>
      </c>
      <c r="C352" s="21" t="s">
        <v>1493</v>
      </c>
      <c r="D352" s="21" t="s">
        <v>1494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1140</v>
      </c>
      <c r="C353" s="21" t="s">
        <v>1495</v>
      </c>
      <c r="D353" s="21" t="s">
        <v>1496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1142</v>
      </c>
      <c r="C354" s="21" t="s">
        <v>1497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1142</v>
      </c>
      <c r="C355" s="21" t="s">
        <v>1498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1140</v>
      </c>
      <c r="C356" s="11" t="s">
        <v>1499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1132</v>
      </c>
      <c r="C357" s="21" t="s">
        <v>353</v>
      </c>
      <c r="D357" s="21" t="s">
        <v>354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1130</v>
      </c>
      <c r="C358" s="21" t="s">
        <v>1500</v>
      </c>
      <c r="D358" s="21" t="s">
        <v>349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1132</v>
      </c>
      <c r="C359" s="21" t="s">
        <v>1501</v>
      </c>
      <c r="D359" s="21" t="s">
        <v>349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1132</v>
      </c>
      <c r="C360" s="35" t="s">
        <v>352</v>
      </c>
      <c r="D360" s="35" t="s">
        <v>349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1142</v>
      </c>
      <c r="C361" s="21" t="s">
        <v>171</v>
      </c>
      <c r="D361" s="21" t="s">
        <v>171</v>
      </c>
      <c r="E361" s="21" t="s">
        <v>170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1132</v>
      </c>
      <c r="C362" s="21" t="s">
        <v>1502</v>
      </c>
      <c r="D362" s="21" t="s">
        <v>157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1142</v>
      </c>
      <c r="C363" s="21" t="s">
        <v>1503</v>
      </c>
      <c r="D363" s="21" t="s">
        <v>157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1130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1504</v>
      </c>
      <c r="B1" s="40" t="s">
        <v>1505</v>
      </c>
      <c r="C1" s="40" t="s">
        <v>1506</v>
      </c>
      <c r="D1" s="40" t="s">
        <v>1507</v>
      </c>
    </row>
    <row r="2" spans="1:4" ht="25.5" customHeight="1" x14ac:dyDescent="0.2">
      <c r="A2" s="34">
        <v>46071</v>
      </c>
      <c r="B2" s="33" t="s">
        <v>1508</v>
      </c>
      <c r="C2" s="32" t="s">
        <v>1509</v>
      </c>
      <c r="D2" s="33" t="s">
        <v>1510</v>
      </c>
    </row>
    <row r="3" spans="1:4" ht="51" customHeight="1" x14ac:dyDescent="0.2">
      <c r="A3" s="65">
        <v>46076</v>
      </c>
      <c r="B3" s="66" t="s">
        <v>1508</v>
      </c>
      <c r="C3" s="67" t="s">
        <v>1511</v>
      </c>
      <c r="D3" s="66" t="s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2026-07-14T15:15:57Z</dcterms:modified>
</cp:coreProperties>
</file>