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DFDA2798-C1DC-46BE-A721-D5052D7B68C0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<sst xmlns="http://schemas.openxmlformats.org/spreadsheetml/2006/main" count="604" uniqueCount="273">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</sst>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Q27" activePane="bottomRight" state="frozen"/>
      <selection pane="topRight" activeCell="E1" sqref="E1"/>
      <selection pane="bottomLeft" activeCell="A4" sqref="A4"/>
      <selection pane="bottomRight" activeCell="S52" sqref="S52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8" t="s">
        <v>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>
        <v>31.9</v>
      </c>
      <c r="Q5" s="57">
        <v>29.6</v>
      </c>
      <c r="R5" s="57">
        <v>30.3</v>
      </c>
      <c r="S5" s="57">
        <v>29.9</v>
      </c>
      <c r="T5" s="57">
        <v>31</v>
      </c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31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>
        <f>IF(COUNTIF(E5:AI5,"&gt;0")&gt;=15,AVERAGE(E5:AI5),"")</f>
        <v>31.181250000000002</v>
      </c>
      <c r="AP5" s="23">
        <f>IF(AN5&gt;0,IFERROR(AO5-AN5,""),"")</f>
        <v>0.98387822399177338</v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>
        <v>30.8</v>
      </c>
      <c r="Q6" s="57">
        <v>29.2</v>
      </c>
      <c r="R6" s="57">
        <v>29.7</v>
      </c>
      <c r="S6" s="57">
        <v>29.8</v>
      </c>
      <c r="T6" s="57">
        <v>31.5</v>
      </c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31.5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>
        <f t="shared" ref="AO6:AO15" si="3">IF(COUNTIF(E6:AI6,"&gt;0")&gt;=15,AVERAGE(E6:AI6),"")</f>
        <v>30.593749999999996</v>
      </c>
      <c r="AP6" s="23">
        <f t="shared" ref="AP6:AP48" si="4">IF(AN6&gt;0,IFERROR(AO6-AN6,""),"")</f>
        <v>-6.0530397022343863E-2</v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>
        <v>36.6</v>
      </c>
      <c r="Q7" s="57">
        <v>36.200000000000003</v>
      </c>
      <c r="R7" s="57">
        <v>37</v>
      </c>
      <c r="S7" s="67">
        <v>38.6</v>
      </c>
      <c r="T7" s="57">
        <v>38.299999999999997</v>
      </c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38.299999999999997</v>
      </c>
      <c r="AK7" s="21">
        <f t="shared" si="1"/>
        <v>38.6</v>
      </c>
      <c r="AL7" s="22">
        <v>38.4</v>
      </c>
      <c r="AM7" s="23">
        <f t="shared" si="2"/>
        <v>0.20000000000000284</v>
      </c>
      <c r="AN7" s="23">
        <v>33.366016007569073</v>
      </c>
      <c r="AO7" s="23">
        <f t="shared" si="3"/>
        <v>36.056249999999999</v>
      </c>
      <c r="AP7" s="23">
        <f t="shared" si="4"/>
        <v>2.690233992430926</v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>
        <v>33</v>
      </c>
      <c r="Q8" s="57">
        <v>32</v>
      </c>
      <c r="R8" s="57">
        <v>33.6</v>
      </c>
      <c r="S8" s="57">
        <v>33.799999999999997</v>
      </c>
      <c r="T8" s="57">
        <v>34.5</v>
      </c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34.5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>
        <f t="shared" si="3"/>
        <v>33.400000000000006</v>
      </c>
      <c r="AP8" s="23">
        <f t="shared" si="4"/>
        <v>1.1509569892473124</v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>
        <v>33.6</v>
      </c>
      <c r="Q9" s="57">
        <v>34.4</v>
      </c>
      <c r="R9" s="57">
        <v>35.1</v>
      </c>
      <c r="S9" s="57">
        <v>34.700000000000003</v>
      </c>
      <c r="T9" s="57">
        <v>33.200000000000003</v>
      </c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33.200000000000003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>
        <f t="shared" si="3"/>
        <v>33.974999999999994</v>
      </c>
      <c r="AP9" s="23">
        <f t="shared" si="4"/>
        <v>0.88375386231614783</v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>
        <v>36.799999999999997</v>
      </c>
      <c r="Q10" s="57">
        <v>35.9</v>
      </c>
      <c r="R10" s="57">
        <v>36.700000000000003</v>
      </c>
      <c r="S10" s="57">
        <v>37</v>
      </c>
      <c r="T10" s="57">
        <v>35.700000000000003</v>
      </c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35.700000000000003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>
        <f t="shared" si="3"/>
        <v>35.725000000000001</v>
      </c>
      <c r="AP10" s="23">
        <f t="shared" si="4"/>
        <v>0.34476177233964478</v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>
        <v>38.4</v>
      </c>
      <c r="Q11" s="57">
        <v>37.4</v>
      </c>
      <c r="R11" s="57">
        <v>40.4</v>
      </c>
      <c r="S11" s="57">
        <v>40.4</v>
      </c>
      <c r="T11" s="57">
        <v>38.799999999999997</v>
      </c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38.799999999999997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>
        <f t="shared" si="3"/>
        <v>38.274999999999991</v>
      </c>
      <c r="AP11" s="23">
        <f t="shared" si="4"/>
        <v>2.7377159071513901</v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>
        <v>33.4</v>
      </c>
      <c r="Q12" s="57">
        <v>33.799999999999997</v>
      </c>
      <c r="R12" s="57">
        <v>35.6</v>
      </c>
      <c r="S12" s="57">
        <v>36.200000000000003</v>
      </c>
      <c r="T12" s="57">
        <v>36.4</v>
      </c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36.4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>
        <f t="shared" si="3"/>
        <v>34.9375</v>
      </c>
      <c r="AP12" s="23">
        <f t="shared" si="4"/>
        <v>2.748875853826263</v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>
        <v>34.200000000000003</v>
      </c>
      <c r="Q13" s="57">
        <v>35.200000000000003</v>
      </c>
      <c r="R13" s="57">
        <v>36</v>
      </c>
      <c r="S13" s="57">
        <v>37.6</v>
      </c>
      <c r="T13" s="57">
        <v>37.799999999999997</v>
      </c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37.799999999999997</v>
      </c>
      <c r="AK13" s="21">
        <f t="shared" si="1"/>
        <v>38</v>
      </c>
      <c r="AL13" s="22">
        <v>38.200000000000003</v>
      </c>
      <c r="AM13" s="23">
        <f t="shared" si="2"/>
        <v>-0.20000000000000284</v>
      </c>
      <c r="AN13" s="23">
        <v>33.381792114695337</v>
      </c>
      <c r="AO13" s="23">
        <f t="shared" si="3"/>
        <v>36.15</v>
      </c>
      <c r="AP13" s="23">
        <f t="shared" si="4"/>
        <v>2.7682078853046619</v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>
        <v>33.799999999999997</v>
      </c>
      <c r="Q14" s="57">
        <v>33.700000000000003</v>
      </c>
      <c r="R14" s="57">
        <v>36.4</v>
      </c>
      <c r="S14" s="57">
        <v>37.1</v>
      </c>
      <c r="T14" s="57">
        <v>37.5</v>
      </c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37.5</v>
      </c>
      <c r="AK14" s="21">
        <f t="shared" si="1"/>
        <v>37.5</v>
      </c>
      <c r="AL14" s="22">
        <v>38.4</v>
      </c>
      <c r="AM14" s="23">
        <f t="shared" si="2"/>
        <v>-0.89999999999999858</v>
      </c>
      <c r="AN14" s="23">
        <v>33.224936599214232</v>
      </c>
      <c r="AO14" s="23">
        <f t="shared" si="3"/>
        <v>35.143749999999997</v>
      </c>
      <c r="AP14" s="23">
        <f t="shared" si="4"/>
        <v>1.9188134007857656</v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>
        <v>29.5</v>
      </c>
      <c r="Q15" s="57">
        <v>32.200000000000003</v>
      </c>
      <c r="R15" s="57">
        <v>32.6</v>
      </c>
      <c r="S15" s="57">
        <v>33.1</v>
      </c>
      <c r="T15" s="57">
        <v>33.5</v>
      </c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33.5</v>
      </c>
      <c r="AK15" s="21">
        <f t="shared" si="1"/>
        <v>33.5</v>
      </c>
      <c r="AL15" s="22">
        <v>36</v>
      </c>
      <c r="AM15" s="23">
        <f t="shared" si="2"/>
        <v>-2.5</v>
      </c>
      <c r="AN15" s="23">
        <v>31.73533745607995</v>
      </c>
      <c r="AO15" s="23">
        <f t="shared" si="3"/>
        <v>31.8</v>
      </c>
      <c r="AP15" s="23">
        <f t="shared" si="4"/>
        <v>6.4662543920050553E-2</v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>
        <v>32.299999999999997</v>
      </c>
      <c r="Q17" s="57">
        <v>34.4</v>
      </c>
      <c r="R17" s="57">
        <v>36</v>
      </c>
      <c r="S17" s="57">
        <v>35.6</v>
      </c>
      <c r="T17" s="57">
        <v>37.200000000000003</v>
      </c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37.200000000000003</v>
      </c>
      <c r="AK17" s="21">
        <f t="shared" si="1"/>
        <v>37.200000000000003</v>
      </c>
      <c r="AL17" s="22">
        <v>37.6</v>
      </c>
      <c r="AM17" s="23">
        <f t="shared" si="2"/>
        <v>-0.39999999999999858</v>
      </c>
      <c r="AN17" s="23">
        <v>32.673982202447156</v>
      </c>
      <c r="AO17" s="23">
        <f>IF(COUNTIF(E17:AI17,"&gt;0")&gt;=15,AVERAGE(E17:AI17),"")</f>
        <v>34.456249999999997</v>
      </c>
      <c r="AP17" s="23">
        <f>IF(AN17&gt;0,IFERROR(AO17-AN17,""),"")</f>
        <v>1.7822677975528407</v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6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>
        <v>24.8</v>
      </c>
      <c r="Q18" s="57">
        <v>27.6</v>
      </c>
      <c r="R18" s="57">
        <v>27.6</v>
      </c>
      <c r="S18" s="57">
        <v>30.1</v>
      </c>
      <c r="T18" s="57">
        <v>30.3</v>
      </c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30.3</v>
      </c>
      <c r="AK18" s="21">
        <f t="shared" si="1"/>
        <v>30.4</v>
      </c>
      <c r="AL18" s="22">
        <v>30</v>
      </c>
      <c r="AM18" s="23">
        <f t="shared" si="2"/>
        <v>0.39999999999999858</v>
      </c>
      <c r="AN18" s="23">
        <v>26.05987085395687</v>
      </c>
      <c r="AO18" s="23">
        <f t="shared" ref="AO18:AO33" si="5">IF(COUNTIF(E18:AI18,"&gt;0")&gt;=15,AVERAGE(E18:AI18),"")</f>
        <v>28.031250000000004</v>
      </c>
      <c r="AP18" s="23">
        <f t="shared" si="4"/>
        <v>1.9713791460431338</v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>
        <v>32</v>
      </c>
      <c r="Q19" s="57">
        <v>34.700000000000003</v>
      </c>
      <c r="R19" s="57">
        <v>33.799999999999997</v>
      </c>
      <c r="S19" s="57">
        <v>35.700000000000003</v>
      </c>
      <c r="T19" s="57">
        <v>33.700000000000003</v>
      </c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33.700000000000003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>
        <f t="shared" si="5"/>
        <v>33.806249999999999</v>
      </c>
      <c r="AP19" s="23">
        <f t="shared" si="4"/>
        <v>0.55528759733035571</v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6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>
        <v>27.8</v>
      </c>
      <c r="Q20" s="57">
        <v>30.5</v>
      </c>
      <c r="R20" s="57">
        <v>30.3</v>
      </c>
      <c r="S20" s="57">
        <v>31.1</v>
      </c>
      <c r="T20" s="57">
        <v>31.1</v>
      </c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31.1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>
        <f t="shared" si="5"/>
        <v>30.581250000000004</v>
      </c>
      <c r="AP20" s="23">
        <f t="shared" si="4"/>
        <v>1.940445402298856</v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6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>
        <v>22.4</v>
      </c>
      <c r="Q21" s="57">
        <v>23.7</v>
      </c>
      <c r="R21" s="57">
        <v>23.8</v>
      </c>
      <c r="S21" s="57">
        <v>24.4</v>
      </c>
      <c r="T21" s="57">
        <v>24.6</v>
      </c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24.6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>
        <f t="shared" si="5"/>
        <v>24.4</v>
      </c>
      <c r="AP21" s="23">
        <f t="shared" si="4"/>
        <v>1.7904968483500276</v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>
        <v>24.5</v>
      </c>
      <c r="Q23" s="57">
        <v>30</v>
      </c>
      <c r="R23" s="57">
        <v>31.8</v>
      </c>
      <c r="S23" s="57">
        <v>29.5</v>
      </c>
      <c r="T23" s="57">
        <v>30.8</v>
      </c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30.8</v>
      </c>
      <c r="AK23" s="21">
        <f t="shared" si="1"/>
        <v>31.8</v>
      </c>
      <c r="AL23" s="22">
        <v>32.5</v>
      </c>
      <c r="AM23" s="23">
        <f t="shared" si="2"/>
        <v>-0.69999999999999929</v>
      </c>
      <c r="AN23" s="23">
        <v>26.8683870967742</v>
      </c>
      <c r="AO23" s="23">
        <f t="shared" si="5"/>
        <v>28.918750000000003</v>
      </c>
      <c r="AP23" s="23">
        <f t="shared" si="4"/>
        <v>2.0503629032258033</v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>
        <v>25.9</v>
      </c>
      <c r="Q24" s="57">
        <v>32.1</v>
      </c>
      <c r="R24" s="57">
        <v>31.4</v>
      </c>
      <c r="S24" s="57">
        <v>31.4</v>
      </c>
      <c r="T24" s="57">
        <v>32.799999999999997</v>
      </c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32.799999999999997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>
        <f t="shared" si="5"/>
        <v>30.168749999999999</v>
      </c>
      <c r="AP24" s="23">
        <f t="shared" si="4"/>
        <v>1.9169258832565177</v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>
        <v>29.6</v>
      </c>
      <c r="Q25" s="57">
        <v>33</v>
      </c>
      <c r="R25" s="57">
        <v>33.200000000000003</v>
      </c>
      <c r="S25" s="57">
        <v>34.6</v>
      </c>
      <c r="T25" s="57">
        <v>33.299999999999997</v>
      </c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33.299999999999997</v>
      </c>
      <c r="AK25" s="21">
        <f t="shared" si="1"/>
        <v>34.6</v>
      </c>
      <c r="AL25" s="22">
        <v>35.4</v>
      </c>
      <c r="AM25" s="23">
        <f t="shared" si="2"/>
        <v>-0.79999999999999716</v>
      </c>
      <c r="AN25" s="23">
        <v>30.375865393221069</v>
      </c>
      <c r="AO25" s="23">
        <f t="shared" si="5"/>
        <v>32.325000000000003</v>
      </c>
      <c r="AP25" s="23">
        <f t="shared" si="4"/>
        <v>1.9491346067789337</v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>
        <v>18</v>
      </c>
      <c r="Q26" s="57">
        <v>18.8</v>
      </c>
      <c r="R26" s="57">
        <v>19.7</v>
      </c>
      <c r="S26" s="57">
        <v>19.5</v>
      </c>
      <c r="T26" s="57">
        <v>21.6</v>
      </c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21.6</v>
      </c>
      <c r="AK26" s="21">
        <f t="shared" si="1"/>
        <v>21.6</v>
      </c>
      <c r="AL26" s="22">
        <v>22.4</v>
      </c>
      <c r="AM26" s="23">
        <f t="shared" si="2"/>
        <v>-0.79999999999999716</v>
      </c>
      <c r="AN26" s="23">
        <v>18.542871607443359</v>
      </c>
      <c r="AO26" s="23">
        <f t="shared" si="5"/>
        <v>19.587500000000002</v>
      </c>
      <c r="AP26" s="23">
        <f t="shared" si="4"/>
        <v>1.0446283925566426</v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>
        <v>17.2</v>
      </c>
      <c r="Q27" s="57">
        <v>21.4</v>
      </c>
      <c r="R27" s="57">
        <v>20.399999999999999</v>
      </c>
      <c r="S27" s="67">
        <v>21.6</v>
      </c>
      <c r="T27" s="57">
        <v>19.399999999999999</v>
      </c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19.399999999999999</v>
      </c>
      <c r="AK27" s="21">
        <f t="shared" si="1"/>
        <v>21.6</v>
      </c>
      <c r="AL27" s="22">
        <v>21.4</v>
      </c>
      <c r="AM27" s="23">
        <f t="shared" si="2"/>
        <v>0.20000000000000284</v>
      </c>
      <c r="AN27" s="23">
        <v>16.682050544108389</v>
      </c>
      <c r="AO27" s="23">
        <f t="shared" si="5"/>
        <v>18.143749999999997</v>
      </c>
      <c r="AP27" s="23">
        <f t="shared" si="4"/>
        <v>1.4616994558916083</v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6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>
        <v>28.8</v>
      </c>
      <c r="Q28" s="57">
        <v>33.200000000000003</v>
      </c>
      <c r="R28" s="57">
        <v>34.1</v>
      </c>
      <c r="S28" s="57">
        <v>34.6</v>
      </c>
      <c r="T28" s="57">
        <v>32.299999999999997</v>
      </c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32.299999999999997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>
        <f t="shared" si="5"/>
        <v>32.268750000000004</v>
      </c>
      <c r="AP28" s="23">
        <f t="shared" si="4"/>
        <v>1.740297398343845</v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>
        <v>33.6</v>
      </c>
      <c r="Q30" s="57">
        <v>36.200000000000003</v>
      </c>
      <c r="R30" s="57">
        <v>34</v>
      </c>
      <c r="S30" s="57">
        <v>36.200000000000003</v>
      </c>
      <c r="T30" s="57">
        <v>35.299999999999997</v>
      </c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35.299999999999997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>
        <f t="shared" si="5"/>
        <v>34.643750000000004</v>
      </c>
      <c r="AP30" s="23">
        <f t="shared" si="4"/>
        <v>0.90149910394265476</v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>
        <v>25.8</v>
      </c>
      <c r="Q31" s="57">
        <v>26.6</v>
      </c>
      <c r="R31" s="57">
        <v>28.2</v>
      </c>
      <c r="S31" s="57">
        <v>28.6</v>
      </c>
      <c r="T31" s="57">
        <v>29.4</v>
      </c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29.4</v>
      </c>
      <c r="AK31" s="21">
        <f t="shared" si="1"/>
        <v>29.4</v>
      </c>
      <c r="AL31" s="22">
        <v>30.2</v>
      </c>
      <c r="AM31" s="23">
        <f t="shared" si="2"/>
        <v>-0.80000000000000071</v>
      </c>
      <c r="AN31" s="23">
        <v>25.387424837120619</v>
      </c>
      <c r="AO31" s="23">
        <f t="shared" si="5"/>
        <v>27.806250000000002</v>
      </c>
      <c r="AP31" s="23">
        <f t="shared" si="4"/>
        <v>2.4188251628793829</v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>
        <v>15.4</v>
      </c>
      <c r="Q32" s="57">
        <v>17.399999999999999</v>
      </c>
      <c r="R32" s="57">
        <v>17.8</v>
      </c>
      <c r="S32" s="57">
        <v>18.2</v>
      </c>
      <c r="T32" s="57">
        <v>18</v>
      </c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18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>
        <f t="shared" si="5"/>
        <v>17.862500000000001</v>
      </c>
      <c r="AP32" s="23">
        <f t="shared" si="4"/>
        <v>1.5329622267387499</v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>
        <v>15.2</v>
      </c>
      <c r="Q33" s="57">
        <v>14</v>
      </c>
      <c r="R33" s="57">
        <v>15</v>
      </c>
      <c r="S33" s="57">
        <v>16</v>
      </c>
      <c r="T33" s="57">
        <v>16.399999999999999</v>
      </c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16.399999999999999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>
        <f t="shared" si="5"/>
        <v>15.668749999999999</v>
      </c>
      <c r="AP33" s="23">
        <f t="shared" si="4"/>
        <v>0.92413746755654991</v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>
        <v>27.4</v>
      </c>
      <c r="Q35" s="57">
        <v>33.200000000000003</v>
      </c>
      <c r="R35" s="57">
        <v>33.799999999999997</v>
      </c>
      <c r="S35" s="57">
        <v>30.8</v>
      </c>
      <c r="T35" s="57">
        <v>34.6</v>
      </c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34.6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>
        <f>IF(COUNTIF(E35:AI35,"&gt;0")&gt;=15,AVERAGE(E35:AI35),"")</f>
        <v>32.162499999999994</v>
      </c>
      <c r="AP35" s="23">
        <f t="shared" si="4"/>
        <v>1.0898041474654327</v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>
        <v>26.7</v>
      </c>
      <c r="Q38" s="57">
        <v>31.4</v>
      </c>
      <c r="R38" s="57">
        <v>28.3</v>
      </c>
      <c r="S38" s="57">
        <v>32.4</v>
      </c>
      <c r="T38" s="57">
        <v>32.200000000000003</v>
      </c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32.200000000000003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>
        <f>IF(COUNTIF(E38:AI38,"&gt;0")&gt;=15,AVERAGE(E38:AI38),"")</f>
        <v>29.918749999999996</v>
      </c>
      <c r="AP38" s="23">
        <f t="shared" si="4"/>
        <v>-0.11027622339258514</v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>
        <v>32</v>
      </c>
      <c r="Q39" s="57">
        <v>31.6</v>
      </c>
      <c r="R39" s="57">
        <v>33.200000000000003</v>
      </c>
      <c r="S39" s="57">
        <v>33.6</v>
      </c>
      <c r="T39" s="57">
        <v>33.4</v>
      </c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33.4</v>
      </c>
      <c r="AK39" s="21">
        <f t="shared" si="1"/>
        <v>33.6</v>
      </c>
      <c r="AL39" s="22">
        <v>37.4</v>
      </c>
      <c r="AM39" s="23">
        <f t="shared" si="2"/>
        <v>-3.7999999999999972</v>
      </c>
      <c r="AN39" s="23">
        <v>30.843133110863921</v>
      </c>
      <c r="AO39" s="23">
        <f t="shared" ref="AO39:AO48" si="7">IF(COUNTIF(E39:AI39,"&gt;0")&gt;=15,AVERAGE(E39:AI39),"")</f>
        <v>31.212499999999999</v>
      </c>
      <c r="AP39" s="23">
        <f t="shared" si="4"/>
        <v>0.36936688913607796</v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>
        <v>30.2</v>
      </c>
      <c r="Q40" s="57">
        <v>31.3</v>
      </c>
      <c r="R40" s="57">
        <v>29.6</v>
      </c>
      <c r="S40" s="57">
        <v>30.6</v>
      </c>
      <c r="T40" s="57">
        <v>30.2</v>
      </c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30.2</v>
      </c>
      <c r="AK40" s="21">
        <f t="shared" si="1"/>
        <v>31.3</v>
      </c>
      <c r="AL40" s="22">
        <v>33.5</v>
      </c>
      <c r="AM40" s="23">
        <f t="shared" si="2"/>
        <v>-2.1999999999999993</v>
      </c>
      <c r="AN40" s="23">
        <v>28.947548387096781</v>
      </c>
      <c r="AO40" s="23">
        <f t="shared" si="7"/>
        <v>29.306250000000002</v>
      </c>
      <c r="AP40" s="23">
        <f t="shared" si="4"/>
        <v>0.35870161290322145</v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>
        <v>29.6</v>
      </c>
      <c r="Q41" s="57">
        <v>31.4</v>
      </c>
      <c r="R41" s="57">
        <v>32.6</v>
      </c>
      <c r="S41" s="57">
        <v>33.4</v>
      </c>
      <c r="T41" s="57">
        <v>33.200000000000003</v>
      </c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33.200000000000003</v>
      </c>
      <c r="AK41" s="21">
        <f t="shared" si="1"/>
        <v>33.4</v>
      </c>
      <c r="AL41" s="22">
        <v>34.4</v>
      </c>
      <c r="AM41" s="23">
        <f t="shared" si="2"/>
        <v>-1</v>
      </c>
      <c r="AN41" s="23">
        <v>29.366308243727591</v>
      </c>
      <c r="AO41" s="23">
        <f t="shared" si="7"/>
        <v>30.3</v>
      </c>
      <c r="AP41" s="23">
        <f t="shared" si="4"/>
        <v>0.93369175627240963</v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>
        <v>31</v>
      </c>
      <c r="Q43" s="57">
        <v>31.2</v>
      </c>
      <c r="R43" s="57"/>
      <c r="S43" s="57">
        <v>31.6</v>
      </c>
      <c r="T43" s="57">
        <v>33.200000000000003</v>
      </c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33.200000000000003</v>
      </c>
      <c r="AK43" s="21">
        <f t="shared" si="1"/>
        <v>33.200000000000003</v>
      </c>
      <c r="AL43" s="22">
        <v>34.200000000000003</v>
      </c>
      <c r="AM43" s="23">
        <f t="shared" si="2"/>
        <v>-1</v>
      </c>
      <c r="AN43" s="23">
        <v>30.061061827956991</v>
      </c>
      <c r="AO43" s="23" t="str">
        <f t="shared" si="7"/>
        <v/>
      </c>
      <c r="AP43" s="23" t="str">
        <f t="shared" si="4"/>
        <v/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>
        <v>31.3</v>
      </c>
      <c r="Q44" s="29">
        <v>31.3</v>
      </c>
      <c r="R44" s="29">
        <v>31.2</v>
      </c>
      <c r="S44" s="29">
        <v>31.2</v>
      </c>
      <c r="T44" s="29">
        <v>31.2</v>
      </c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31.2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>
        <f t="shared" si="7"/>
        <v>31.213333333333331</v>
      </c>
      <c r="AP44" s="23">
        <f t="shared" si="4"/>
        <v>2.1701461279728704</v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>
        <v>30.6</v>
      </c>
      <c r="Q45" s="57">
        <v>31.6</v>
      </c>
      <c r="R45" s="57">
        <v>32.799999999999997</v>
      </c>
      <c r="S45" s="57">
        <v>31.6</v>
      </c>
      <c r="T45" s="57">
        <v>32.799999999999997</v>
      </c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32.799999999999997</v>
      </c>
      <c r="AK45" s="21">
        <f t="shared" si="1"/>
        <v>32.799999999999997</v>
      </c>
      <c r="AL45" s="22">
        <v>34.200000000000003</v>
      </c>
      <c r="AM45" s="23">
        <f t="shared" si="2"/>
        <v>-1.4000000000000057</v>
      </c>
      <c r="AN45" s="23">
        <v>29.54581639287883</v>
      </c>
      <c r="AO45" s="23">
        <f t="shared" si="7"/>
        <v>30.300000000000008</v>
      </c>
      <c r="AP45" s="23">
        <f t="shared" si="4"/>
        <v>0.7541836071211776</v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>
        <v>30.4</v>
      </c>
      <c r="Q48" s="57">
        <v>29.3</v>
      </c>
      <c r="R48" s="57">
        <v>31.1</v>
      </c>
      <c r="S48" s="57">
        <v>29.2</v>
      </c>
      <c r="T48" s="57">
        <v>31.9</v>
      </c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31.9</v>
      </c>
      <c r="AK48" s="21">
        <f t="shared" si="1"/>
        <v>32</v>
      </c>
      <c r="AL48" s="22">
        <v>35.200000000000003</v>
      </c>
      <c r="AM48" s="23">
        <f t="shared" si="2"/>
        <v>-3.2000000000000028</v>
      </c>
      <c r="AN48" s="23">
        <v>30.34253285543608</v>
      </c>
      <c r="AO48" s="23">
        <f t="shared" si="7"/>
        <v>29.9375</v>
      </c>
      <c r="AP48" s="23">
        <f t="shared" si="4"/>
        <v>-0.40503285543607959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autoFilter ref="AM1:AM193" xr:uid="{00000000-0001-0000-0000-000000000000}"/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2" t="s">
        <v>123</v>
      </c>
      <c r="I1" s="73"/>
      <c r="J1" s="74"/>
      <c r="K1" s="69" t="s">
        <v>124</v>
      </c>
      <c r="L1" s="70"/>
      <c r="M1" s="71"/>
      <c r="N1" s="72" t="s">
        <v>125</v>
      </c>
      <c r="O1" s="73"/>
      <c r="P1" s="74"/>
      <c r="Q1" s="69" t="s">
        <v>126</v>
      </c>
      <c r="R1" s="70"/>
      <c r="S1" s="71"/>
      <c r="T1" s="72" t="s">
        <v>127</v>
      </c>
      <c r="U1" s="73"/>
      <c r="V1" s="74"/>
      <c r="W1" s="69" t="s">
        <v>128</v>
      </c>
      <c r="X1" s="70"/>
      <c r="Y1" s="71"/>
      <c r="Z1" s="72" t="s">
        <v>129</v>
      </c>
      <c r="AA1" s="73"/>
      <c r="AB1" s="74"/>
      <c r="AC1" s="69" t="s">
        <v>130</v>
      </c>
      <c r="AD1" s="70"/>
      <c r="AE1" s="71"/>
      <c r="AF1" s="72" t="s">
        <v>131</v>
      </c>
      <c r="AG1" s="73"/>
      <c r="AH1" s="74"/>
      <c r="AI1" s="69" t="s">
        <v>132</v>
      </c>
      <c r="AJ1" s="70"/>
      <c r="AK1" s="71"/>
      <c r="AL1" s="72" t="s">
        <v>133</v>
      </c>
      <c r="AM1" s="73"/>
      <c r="AN1" s="74"/>
      <c r="AO1" s="69" t="s">
        <v>134</v>
      </c>
      <c r="AP1" s="70"/>
      <c r="AQ1" s="71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7" t="s">
        <v>1</v>
      </c>
      <c r="B1" s="79" t="s">
        <v>93</v>
      </c>
      <c r="C1" s="68" t="s">
        <v>94</v>
      </c>
      <c r="D1" s="75" t="s">
        <v>95</v>
      </c>
      <c r="E1" s="75" t="s">
        <v>96</v>
      </c>
      <c r="F1" s="75" t="s">
        <v>97</v>
      </c>
      <c r="G1" s="75" t="s">
        <v>98</v>
      </c>
      <c r="H1" s="75" t="s">
        <v>99</v>
      </c>
      <c r="I1" s="75" t="s">
        <v>100</v>
      </c>
      <c r="J1" s="75" t="s">
        <v>101</v>
      </c>
      <c r="K1" s="75" t="s">
        <v>102</v>
      </c>
      <c r="L1" s="75" t="s">
        <v>103</v>
      </c>
      <c r="M1" s="75" t="s">
        <v>104</v>
      </c>
      <c r="N1" s="75" t="s">
        <v>105</v>
      </c>
      <c r="O1" s="75" t="s">
        <v>106</v>
      </c>
    </row>
    <row r="2" spans="1:15" ht="12.75" customHeight="1" x14ac:dyDescent="0.2">
      <c r="A2" s="78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2022-10-25T13:14:52Z</cp:lastPrinted>
  <dcterms:created xsi:type="dcterms:W3CDTF">2007-01-09T17:41:42Z</dcterms:created>
  <dcterms:modified xsi:type="dcterms:W3CDTF">2026-07-17T13:42:10Z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