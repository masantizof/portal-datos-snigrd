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0DE9E923-7937-4F1F-9ED1-193A8CBB80A4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<sst xmlns="http://schemas.openxmlformats.org/spreadsheetml/2006/main" count="604" uniqueCount="273">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</sst>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1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Z4" activePane="bottomRight" state="frozen"/>
      <selection pane="topRight" activeCell="E1" sqref="E1"/>
      <selection pane="bottomLeft" activeCell="A4" sqref="A4"/>
      <selection pane="bottomRight" activeCell="AH53" sqref="AH53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>
        <v>29.2</v>
      </c>
      <c r="Y5" s="57">
        <v>30.8</v>
      </c>
      <c r="Z5" s="57">
        <v>30.7</v>
      </c>
      <c r="AA5" s="57">
        <v>31.2</v>
      </c>
      <c r="AB5" s="57">
        <v>30.7</v>
      </c>
      <c r="AC5" s="57">
        <v>30.8</v>
      </c>
      <c r="AD5" s="57">
        <v>31.7</v>
      </c>
      <c r="AE5" s="57">
        <v>31.3</v>
      </c>
      <c r="AF5" s="57">
        <v>30.1</v>
      </c>
      <c r="AG5" s="57">
        <v>31.3</v>
      </c>
      <c r="AH5" s="57"/>
      <c r="AI5" s="57"/>
      <c r="AJ5" s="37">
        <f>+IF(SUM($E5:$AI5)&gt;0,LOOKUP(1000,$E5:$AI5),NA())</f>
        <v>31.3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31.048275862068969</v>
      </c>
      <c r="AP5" s="23">
        <f>IF(AN5&gt;0,IFERROR(AO5-AN5,""),"")</f>
        <v>0.85090408606074064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>
        <v>29.7</v>
      </c>
      <c r="Y6" s="57">
        <v>30.8</v>
      </c>
      <c r="Z6" s="57">
        <v>31.1</v>
      </c>
      <c r="AA6" s="57">
        <v>30.8</v>
      </c>
      <c r="AB6" s="57">
        <v>29.7</v>
      </c>
      <c r="AC6" s="57">
        <v>30.6</v>
      </c>
      <c r="AD6" s="57">
        <v>30.9</v>
      </c>
      <c r="AE6" s="57">
        <v>31</v>
      </c>
      <c r="AF6" s="57">
        <v>29.5</v>
      </c>
      <c r="AG6" s="57">
        <v>30.6</v>
      </c>
      <c r="AH6" s="57"/>
      <c r="AI6" s="57"/>
      <c r="AJ6" s="37">
        <f t="shared" ref="AJ6:AJ48" si="0">+IF(SUM($E6:$AI6)&gt;0,LOOKUP(1000,$E6:$AI6),NA())</f>
        <v>30.6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30.596551724137928</v>
      </c>
      <c r="AP6" s="23">
        <f t="shared" ref="AP6:AP48" si="4">IF(AN6&gt;0,IFERROR(AO6-AN6,""),"")</f>
        <v>-5.7728672884412191E-2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>
        <v>30.6</v>
      </c>
      <c r="Y7" s="57">
        <v>32.6</v>
      </c>
      <c r="Z7" s="57">
        <v>35</v>
      </c>
      <c r="AA7" s="57">
        <v>32</v>
      </c>
      <c r="AB7" s="57">
        <v>32.700000000000003</v>
      </c>
      <c r="AC7" s="57">
        <v>36.6</v>
      </c>
      <c r="AD7" s="57">
        <v>34.6</v>
      </c>
      <c r="AE7" s="57">
        <v>34.4</v>
      </c>
      <c r="AF7" s="57">
        <v>34.4</v>
      </c>
      <c r="AG7" s="57">
        <v>35</v>
      </c>
      <c r="AH7" s="57"/>
      <c r="AI7" s="57"/>
      <c r="AJ7" s="37">
        <f t="shared" si="0"/>
        <v>35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35.348275862068959</v>
      </c>
      <c r="AP7" s="23">
        <f t="shared" si="4"/>
        <v>1.9822598544998868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>
        <v>30.2</v>
      </c>
      <c r="Y8" s="57">
        <v>32.799999999999997</v>
      </c>
      <c r="Z8" s="57">
        <v>33.1</v>
      </c>
      <c r="AA8" s="57">
        <v>32.4</v>
      </c>
      <c r="AB8" s="57">
        <v>32.200000000000003</v>
      </c>
      <c r="AC8" s="57">
        <v>33.4</v>
      </c>
      <c r="AD8" s="57">
        <v>33</v>
      </c>
      <c r="AE8" s="57">
        <v>32.6</v>
      </c>
      <c r="AF8" s="57">
        <v>33.4</v>
      </c>
      <c r="AG8" s="57">
        <v>34.299999999999997</v>
      </c>
      <c r="AH8" s="57"/>
      <c r="AI8" s="57"/>
      <c r="AJ8" s="37">
        <f t="shared" si="0"/>
        <v>34.299999999999997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33.193103448275863</v>
      </c>
      <c r="AP8" s="23">
        <f t="shared" si="4"/>
        <v>0.94406043752317004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>
        <v>30.4</v>
      </c>
      <c r="Y9" s="57">
        <v>34</v>
      </c>
      <c r="Z9" s="57">
        <v>33.6</v>
      </c>
      <c r="AA9" s="57">
        <v>33.799999999999997</v>
      </c>
      <c r="AB9" s="57">
        <v>34.1</v>
      </c>
      <c r="AC9" s="57">
        <v>33.299999999999997</v>
      </c>
      <c r="AD9" s="57">
        <v>35</v>
      </c>
      <c r="AE9" s="57">
        <v>32.9</v>
      </c>
      <c r="AF9" s="57">
        <v>37.299999999999997</v>
      </c>
      <c r="AG9" s="57">
        <v>34.9</v>
      </c>
      <c r="AH9" s="57"/>
      <c r="AI9" s="57"/>
      <c r="AJ9" s="37">
        <f t="shared" si="0"/>
        <v>34.9</v>
      </c>
      <c r="AK9" s="21">
        <f t="shared" si="1"/>
        <v>37.299999999999997</v>
      </c>
      <c r="AL9" s="22">
        <v>38.4</v>
      </c>
      <c r="AM9" s="23">
        <f t="shared" si="2"/>
        <v>-1.1000000000000014</v>
      </c>
      <c r="AN9" s="23">
        <v>33.091246137683846</v>
      </c>
      <c r="AO9" s="23">
        <f t="shared" si="3"/>
        <v>33.944827586206891</v>
      </c>
      <c r="AP9" s="23">
        <f t="shared" si="4"/>
        <v>0.85358144852304463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>
        <v>35.5</v>
      </c>
      <c r="Y10" s="57">
        <v>35.799999999999997</v>
      </c>
      <c r="Z10" s="57">
        <v>35.5</v>
      </c>
      <c r="AA10" s="57">
        <v>36</v>
      </c>
      <c r="AB10" s="57">
        <v>36.6</v>
      </c>
      <c r="AC10" s="57">
        <v>36.299999999999997</v>
      </c>
      <c r="AD10" s="57">
        <v>36.5</v>
      </c>
      <c r="AE10" s="57">
        <v>35.1</v>
      </c>
      <c r="AF10" s="57">
        <v>37.299999999999997</v>
      </c>
      <c r="AG10" s="57">
        <v>37.200000000000003</v>
      </c>
      <c r="AH10" s="57"/>
      <c r="AI10" s="57"/>
      <c r="AJ10" s="37">
        <f t="shared" si="0"/>
        <v>37.200000000000003</v>
      </c>
      <c r="AK10" s="21">
        <f t="shared" si="1"/>
        <v>37.299999999999997</v>
      </c>
      <c r="AL10" s="22">
        <v>39.200000000000003</v>
      </c>
      <c r="AM10" s="23">
        <f t="shared" si="2"/>
        <v>-1.9000000000000057</v>
      </c>
      <c r="AN10" s="23">
        <v>35.380238227660357</v>
      </c>
      <c r="AO10" s="23">
        <f t="shared" si="3"/>
        <v>35.931034482758612</v>
      </c>
      <c r="AP10" s="23">
        <f t="shared" si="4"/>
        <v>0.55079625509825547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>
        <v>36.4</v>
      </c>
      <c r="Y11" s="57">
        <v>37.4</v>
      </c>
      <c r="Z11" s="57">
        <v>37.700000000000003</v>
      </c>
      <c r="AA11" s="57">
        <v>34</v>
      </c>
      <c r="AB11" s="57">
        <v>38.799999999999997</v>
      </c>
      <c r="AC11" s="57">
        <v>39.4</v>
      </c>
      <c r="AD11" s="57">
        <v>38.4</v>
      </c>
      <c r="AE11" s="57">
        <v>37.6</v>
      </c>
      <c r="AF11" s="57">
        <v>40.799999999999997</v>
      </c>
      <c r="AG11" s="57">
        <v>39.799999999999997</v>
      </c>
      <c r="AH11" s="57"/>
      <c r="AI11" s="57"/>
      <c r="AJ11" s="37">
        <f t="shared" si="0"/>
        <v>39.799999999999997</v>
      </c>
      <c r="AK11" s="21">
        <f t="shared" si="1"/>
        <v>40.799999999999997</v>
      </c>
      <c r="AL11" s="22">
        <v>41.4</v>
      </c>
      <c r="AM11" s="23">
        <f t="shared" si="2"/>
        <v>-0.60000000000000142</v>
      </c>
      <c r="AN11" s="23">
        <v>35.537284092848601</v>
      </c>
      <c r="AO11" s="23">
        <f t="shared" si="3"/>
        <v>38.193103448275849</v>
      </c>
      <c r="AP11" s="23">
        <f t="shared" si="4"/>
        <v>2.6558193554272478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>
        <v>30.4</v>
      </c>
      <c r="Y12" s="57">
        <v>33.4</v>
      </c>
      <c r="Z12" s="57">
        <v>34.200000000000003</v>
      </c>
      <c r="AA12" s="57">
        <v>36.799999999999997</v>
      </c>
      <c r="AB12" s="57">
        <v>33.799999999999997</v>
      </c>
      <c r="AC12" s="57">
        <v>33.799999999999997</v>
      </c>
      <c r="AD12" s="57">
        <v>35</v>
      </c>
      <c r="AE12" s="57">
        <v>33.200000000000003</v>
      </c>
      <c r="AF12" s="57">
        <v>34.6</v>
      </c>
      <c r="AG12" s="57">
        <v>35.200000000000003</v>
      </c>
      <c r="AH12" s="57"/>
      <c r="AI12" s="57"/>
      <c r="AJ12" s="37">
        <f t="shared" si="0"/>
        <v>35.200000000000003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34.648275862068964</v>
      </c>
      <c r="AP12" s="23">
        <f t="shared" si="4"/>
        <v>2.4596517158952267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>
        <v>31.2</v>
      </c>
      <c r="Y13" s="57">
        <v>33.799999999999997</v>
      </c>
      <c r="Z13" s="57">
        <v>35</v>
      </c>
      <c r="AA13" s="57">
        <v>27.6</v>
      </c>
      <c r="AB13" s="57">
        <v>34.4</v>
      </c>
      <c r="AC13" s="57">
        <v>35.4</v>
      </c>
      <c r="AD13" s="57">
        <v>35.200000000000003</v>
      </c>
      <c r="AE13" s="57">
        <v>33</v>
      </c>
      <c r="AF13" s="57">
        <v>34.799999999999997</v>
      </c>
      <c r="AG13" s="57">
        <v>35.6</v>
      </c>
      <c r="AH13" s="57"/>
      <c r="AI13" s="57"/>
      <c r="AJ13" s="37">
        <f t="shared" si="0"/>
        <v>35.6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35.310344827586206</v>
      </c>
      <c r="AP13" s="23">
        <f t="shared" si="4"/>
        <v>1.9285527128908697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>
        <v>31.1</v>
      </c>
      <c r="Y14" s="57">
        <v>34.9</v>
      </c>
      <c r="Z14" s="57">
        <v>35.9</v>
      </c>
      <c r="AA14" s="57">
        <v>26.2</v>
      </c>
      <c r="AB14" s="57">
        <v>34.4</v>
      </c>
      <c r="AC14" s="57">
        <v>36</v>
      </c>
      <c r="AD14" s="57">
        <v>33.299999999999997</v>
      </c>
      <c r="AE14" s="57">
        <v>32.4</v>
      </c>
      <c r="AF14" s="57">
        <v>35.4</v>
      </c>
      <c r="AG14" s="57">
        <v>36.299999999999997</v>
      </c>
      <c r="AH14" s="57"/>
      <c r="AI14" s="57"/>
      <c r="AJ14" s="37">
        <f t="shared" si="0"/>
        <v>36.299999999999997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34.682758620689647</v>
      </c>
      <c r="AP14" s="23">
        <f t="shared" si="4"/>
        <v>1.4578220214754154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>
        <v>31.5</v>
      </c>
      <c r="Y15" s="57">
        <v>31.9</v>
      </c>
      <c r="Z15" s="57">
        <v>32.799999999999997</v>
      </c>
      <c r="AA15" s="57">
        <v>27.9</v>
      </c>
      <c r="AB15" s="57">
        <v>32.200000000000003</v>
      </c>
      <c r="AC15" s="57">
        <v>33.4</v>
      </c>
      <c r="AD15" s="57">
        <v>30.4</v>
      </c>
      <c r="AE15" s="57">
        <v>32.1</v>
      </c>
      <c r="AF15" s="57">
        <v>33.299999999999997</v>
      </c>
      <c r="AG15" s="57">
        <v>33.200000000000003</v>
      </c>
      <c r="AH15" s="57"/>
      <c r="AI15" s="57"/>
      <c r="AJ15" s="37">
        <f t="shared" si="0"/>
        <v>33.200000000000003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31.848275862068963</v>
      </c>
      <c r="AP15" s="23">
        <f t="shared" si="4"/>
        <v>0.11293840598901284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>
        <v>31</v>
      </c>
      <c r="Y17" s="57">
        <v>31.6</v>
      </c>
      <c r="Z17" s="57">
        <v>34.4</v>
      </c>
      <c r="AA17" s="57">
        <v>30.5</v>
      </c>
      <c r="AB17" s="57">
        <v>33.6</v>
      </c>
      <c r="AC17" s="57">
        <v>35</v>
      </c>
      <c r="AD17" s="57">
        <v>33.200000000000003</v>
      </c>
      <c r="AE17" s="57">
        <v>33</v>
      </c>
      <c r="AF17" s="57">
        <v>35.299999999999997</v>
      </c>
      <c r="AG17" s="57">
        <v>35.5</v>
      </c>
      <c r="AH17" s="57"/>
      <c r="AI17" s="57"/>
      <c r="AJ17" s="37">
        <f t="shared" si="0"/>
        <v>35.5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34.168965517241375</v>
      </c>
      <c r="AP17" s="23">
        <f>IF(AN17&gt;0,IFERROR(AO17-AN17,""),"")</f>
        <v>1.4949833147942186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>
        <v>24.8</v>
      </c>
      <c r="Y18" s="57">
        <v>25.9</v>
      </c>
      <c r="Z18" s="57">
        <v>28.6</v>
      </c>
      <c r="AA18" s="57">
        <v>26.7</v>
      </c>
      <c r="AB18" s="57">
        <v>27.5</v>
      </c>
      <c r="AC18" s="57">
        <v>28.2</v>
      </c>
      <c r="AD18" s="57">
        <v>27.2</v>
      </c>
      <c r="AE18" s="57">
        <v>28.5</v>
      </c>
      <c r="AF18" s="57">
        <v>28.5</v>
      </c>
      <c r="AG18" s="57">
        <v>28.7</v>
      </c>
      <c r="AH18" s="57"/>
      <c r="AI18" s="57"/>
      <c r="AJ18" s="37">
        <f t="shared" si="0"/>
        <v>28.7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27.903448275862079</v>
      </c>
      <c r="AP18" s="23">
        <f t="shared" si="4"/>
        <v>1.8435774219052092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>
        <v>29.8</v>
      </c>
      <c r="Y19" s="57">
        <v>33.700000000000003</v>
      </c>
      <c r="Z19" s="57">
        <v>36.4</v>
      </c>
      <c r="AA19" s="57">
        <v>31.3</v>
      </c>
      <c r="AB19" s="57">
        <v>35.299999999999997</v>
      </c>
      <c r="AC19" s="57">
        <v>34</v>
      </c>
      <c r="AD19" s="57">
        <v>35.799999999999997</v>
      </c>
      <c r="AE19" s="57">
        <v>35.4</v>
      </c>
      <c r="AF19" s="68">
        <v>37.6</v>
      </c>
      <c r="AG19" s="57">
        <v>36.799999999999997</v>
      </c>
      <c r="AH19" s="57"/>
      <c r="AI19" s="57"/>
      <c r="AJ19" s="37">
        <f t="shared" si="0"/>
        <v>36.799999999999997</v>
      </c>
      <c r="AK19" s="21">
        <f t="shared" si="1"/>
        <v>37.6</v>
      </c>
      <c r="AL19" s="22">
        <v>37.5</v>
      </c>
      <c r="AM19" s="23">
        <f t="shared" si="2"/>
        <v>0.10000000000000142</v>
      </c>
      <c r="AN19" s="23">
        <v>33.250962402669643</v>
      </c>
      <c r="AO19" s="23">
        <f t="shared" si="5"/>
        <v>34.068965517241374</v>
      </c>
      <c r="AP19" s="23">
        <f t="shared" si="4"/>
        <v>0.8180031145717308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>
        <v>26.9</v>
      </c>
      <c r="Y20" s="57">
        <v>31.2</v>
      </c>
      <c r="Z20" s="57">
        <v>28.6</v>
      </c>
      <c r="AA20" s="57">
        <v>27</v>
      </c>
      <c r="AB20" s="57">
        <v>30.3</v>
      </c>
      <c r="AC20" s="57">
        <v>30.6</v>
      </c>
      <c r="AD20" s="57">
        <v>28</v>
      </c>
      <c r="AE20" s="57">
        <v>30.9</v>
      </c>
      <c r="AF20" s="57">
        <v>30.7</v>
      </c>
      <c r="AG20" s="57">
        <v>31.1</v>
      </c>
      <c r="AH20" s="57"/>
      <c r="AI20" s="57"/>
      <c r="AJ20" s="37">
        <f t="shared" si="0"/>
        <v>31.1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30.210344827586212</v>
      </c>
      <c r="AP20" s="23">
        <f t="shared" si="4"/>
        <v>1.5695402298850638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>
        <v>21.9</v>
      </c>
      <c r="Y21" s="57">
        <v>24.4</v>
      </c>
      <c r="Z21" s="57">
        <v>25.3</v>
      </c>
      <c r="AA21" s="57">
        <v>23.4</v>
      </c>
      <c r="AB21" s="57">
        <v>23.5</v>
      </c>
      <c r="AC21" s="57">
        <v>23.9</v>
      </c>
      <c r="AD21" s="57">
        <v>23.5</v>
      </c>
      <c r="AE21" s="57">
        <v>24.1</v>
      </c>
      <c r="AF21" s="57">
        <v>23.8</v>
      </c>
      <c r="AG21" s="57">
        <v>24.2</v>
      </c>
      <c r="AH21" s="57"/>
      <c r="AI21" s="57"/>
      <c r="AJ21" s="37">
        <f t="shared" si="0"/>
        <v>24.2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24.203448275862065</v>
      </c>
      <c r="AP21" s="23">
        <f t="shared" si="4"/>
        <v>1.5939451242120946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>
        <v>27.2</v>
      </c>
      <c r="Y23" s="57">
        <v>29.2</v>
      </c>
      <c r="Z23" s="57">
        <v>29.9</v>
      </c>
      <c r="AA23" s="57">
        <v>25.8</v>
      </c>
      <c r="AB23" s="57">
        <v>28.2</v>
      </c>
      <c r="AC23" s="57">
        <v>28.8</v>
      </c>
      <c r="AD23" s="57">
        <v>27.8</v>
      </c>
      <c r="AE23" s="57">
        <v>27.6</v>
      </c>
      <c r="AF23" s="57">
        <v>30.2</v>
      </c>
      <c r="AG23" s="57">
        <v>30.5</v>
      </c>
      <c r="AH23" s="57"/>
      <c r="AI23" s="57"/>
      <c r="AJ23" s="37">
        <f t="shared" si="0"/>
        <v>30.5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28.651724137931037</v>
      </c>
      <c r="AP23" s="23">
        <f t="shared" si="4"/>
        <v>1.7833370411568374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>
        <v>27.7</v>
      </c>
      <c r="Y24" s="57">
        <v>28.5</v>
      </c>
      <c r="Z24" s="57">
        <v>29.8</v>
      </c>
      <c r="AA24" s="57">
        <v>27.7</v>
      </c>
      <c r="AB24" s="57">
        <v>29.6</v>
      </c>
      <c r="AC24" s="57">
        <v>28.6</v>
      </c>
      <c r="AD24" s="57">
        <v>27.8</v>
      </c>
      <c r="AE24" s="57">
        <v>29.1</v>
      </c>
      <c r="AF24" s="57">
        <v>31.3</v>
      </c>
      <c r="AG24" s="57">
        <v>31</v>
      </c>
      <c r="AH24" s="57"/>
      <c r="AI24" s="57"/>
      <c r="AJ24" s="37">
        <f t="shared" si="0"/>
        <v>31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29.555172413793105</v>
      </c>
      <c r="AP24" s="23">
        <f t="shared" si="4"/>
        <v>1.3033482970496237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>
        <v>32.4</v>
      </c>
      <c r="Y25" s="57">
        <v>32.799999999999997</v>
      </c>
      <c r="Z25" s="57">
        <v>34.1</v>
      </c>
      <c r="AA25" s="57">
        <v>32.200000000000003</v>
      </c>
      <c r="AB25" s="57">
        <v>33.700000000000003</v>
      </c>
      <c r="AC25" s="57">
        <v>32.6</v>
      </c>
      <c r="AD25" s="57">
        <v>31.8</v>
      </c>
      <c r="AE25" s="57">
        <v>33.9</v>
      </c>
      <c r="AF25" s="57">
        <v>34</v>
      </c>
      <c r="AG25" s="57">
        <v>32.1</v>
      </c>
      <c r="AH25" s="57"/>
      <c r="AI25" s="57"/>
      <c r="AJ25" s="37">
        <f t="shared" si="0"/>
        <v>32.1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32.493103448275868</v>
      </c>
      <c r="AP25" s="23">
        <f t="shared" si="4"/>
        <v>2.1172380550547985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>
        <v>19.399999999999999</v>
      </c>
      <c r="Y26" s="57">
        <v>20.3</v>
      </c>
      <c r="Z26" s="57">
        <v>20.7</v>
      </c>
      <c r="AA26" s="57">
        <v>19.2</v>
      </c>
      <c r="AB26" s="57">
        <v>20</v>
      </c>
      <c r="AC26" s="57">
        <v>19.8</v>
      </c>
      <c r="AD26" s="57">
        <v>18.2</v>
      </c>
      <c r="AE26" s="57">
        <v>20.2</v>
      </c>
      <c r="AF26" s="57">
        <v>21.08</v>
      </c>
      <c r="AG26" s="57">
        <v>19.8</v>
      </c>
      <c r="AH26" s="57"/>
      <c r="AI26" s="57"/>
      <c r="AJ26" s="37">
        <f t="shared" si="0"/>
        <v>19.8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19.733793103448278</v>
      </c>
      <c r="AP26" s="23">
        <f t="shared" si="4"/>
        <v>1.1909214960049184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>
        <v>20</v>
      </c>
      <c r="Y27" s="57">
        <v>19.600000000000001</v>
      </c>
      <c r="Z27" s="57">
        <v>21.2</v>
      </c>
      <c r="AA27" s="57">
        <v>18</v>
      </c>
      <c r="AB27" s="57">
        <v>18.899999999999999</v>
      </c>
      <c r="AC27" s="57"/>
      <c r="AD27" s="57">
        <v>21.4</v>
      </c>
      <c r="AE27" s="57">
        <v>20</v>
      </c>
      <c r="AF27" s="57">
        <v>21.2</v>
      </c>
      <c r="AG27" s="57">
        <v>22.2</v>
      </c>
      <c r="AH27" s="57"/>
      <c r="AI27" s="57"/>
      <c r="AJ27" s="37">
        <f t="shared" si="0"/>
        <v>22.2</v>
      </c>
      <c r="AK27" s="21">
        <f t="shared" si="1"/>
        <v>22.2</v>
      </c>
      <c r="AL27" s="22">
        <v>21.4</v>
      </c>
      <c r="AM27" s="23">
        <f t="shared" si="2"/>
        <v>0.80000000000000071</v>
      </c>
      <c r="AN27" s="23">
        <v>16.682050544108389</v>
      </c>
      <c r="AO27" s="23">
        <f t="shared" si="5"/>
        <v>19.142857142857142</v>
      </c>
      <c r="AP27" s="23">
        <f t="shared" si="4"/>
        <v>2.4608065987487535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>
        <v>30.5</v>
      </c>
      <c r="Y28" s="57">
        <v>32.1</v>
      </c>
      <c r="Z28" s="57">
        <v>33.6</v>
      </c>
      <c r="AA28" s="57">
        <v>30.8</v>
      </c>
      <c r="AB28" s="57">
        <v>33.700000000000003</v>
      </c>
      <c r="AC28" s="57">
        <v>31.4</v>
      </c>
      <c r="AD28" s="57">
        <v>30.8</v>
      </c>
      <c r="AE28" s="57">
        <v>31.1</v>
      </c>
      <c r="AF28" s="57">
        <v>32.6</v>
      </c>
      <c r="AG28" s="57">
        <v>33.200000000000003</v>
      </c>
      <c r="AH28" s="57"/>
      <c r="AI28" s="57"/>
      <c r="AJ28" s="37">
        <f t="shared" si="0"/>
        <v>33.200000000000003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31.972413793103453</v>
      </c>
      <c r="AP28" s="23">
        <f t="shared" si="4"/>
        <v>1.4439611914472934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>
        <v>35.299999999999997</v>
      </c>
      <c r="Y30" s="57">
        <v>36.5</v>
      </c>
      <c r="Z30" s="57">
        <v>36</v>
      </c>
      <c r="AA30" s="57">
        <v>34.700000000000003</v>
      </c>
      <c r="AB30" s="57">
        <v>37</v>
      </c>
      <c r="AC30" s="57">
        <v>35.299999999999997</v>
      </c>
      <c r="AD30" s="57">
        <v>34.700000000000003</v>
      </c>
      <c r="AE30" s="57">
        <v>37.299999999999997</v>
      </c>
      <c r="AF30" s="57">
        <v>36.799999999999997</v>
      </c>
      <c r="AG30" s="57">
        <v>36.200000000000003</v>
      </c>
      <c r="AH30" s="57"/>
      <c r="AI30" s="57"/>
      <c r="AJ30" s="37">
        <f t="shared" si="0"/>
        <v>36.200000000000003</v>
      </c>
      <c r="AK30" s="21">
        <f t="shared" si="1"/>
        <v>37.299999999999997</v>
      </c>
      <c r="AL30" s="22">
        <v>38.6</v>
      </c>
      <c r="AM30" s="23">
        <f t="shared" si="2"/>
        <v>-1.3000000000000043</v>
      </c>
      <c r="AN30" s="23">
        <v>33.74225089605735</v>
      </c>
      <c r="AO30" s="23">
        <f t="shared" si="5"/>
        <v>35.010344827586209</v>
      </c>
      <c r="AP30" s="23">
        <f t="shared" si="4"/>
        <v>1.2680939315288597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>
        <v>24.9</v>
      </c>
      <c r="Y31" s="57">
        <v>24.9</v>
      </c>
      <c r="Z31" s="57">
        <v>29.1</v>
      </c>
      <c r="AA31" s="57">
        <v>25.3</v>
      </c>
      <c r="AB31" s="57">
        <v>26.2</v>
      </c>
      <c r="AC31" s="57">
        <v>27.6</v>
      </c>
      <c r="AD31" s="57">
        <v>27.2</v>
      </c>
      <c r="AE31" s="57">
        <v>27</v>
      </c>
      <c r="AF31" s="57">
        <v>28.3</v>
      </c>
      <c r="AG31" s="57">
        <v>28.2</v>
      </c>
      <c r="AH31" s="57"/>
      <c r="AI31" s="57"/>
      <c r="AJ31" s="37">
        <f t="shared" si="0"/>
        <v>28.2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27.310344827586206</v>
      </c>
      <c r="AP31" s="23">
        <f t="shared" si="4"/>
        <v>1.9229199904655871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>
        <v>19.399999999999999</v>
      </c>
      <c r="Y32" s="57">
        <v>19.600000000000001</v>
      </c>
      <c r="Z32" s="57">
        <v>20</v>
      </c>
      <c r="AA32" s="57">
        <v>16.600000000000001</v>
      </c>
      <c r="AB32" s="57">
        <v>13</v>
      </c>
      <c r="AC32" s="57">
        <v>17.399999999999999</v>
      </c>
      <c r="AD32" s="57">
        <v>16.600000000000001</v>
      </c>
      <c r="AE32" s="57">
        <v>17.8</v>
      </c>
      <c r="AF32" s="57">
        <v>18.399999999999999</v>
      </c>
      <c r="AG32" s="57">
        <v>18</v>
      </c>
      <c r="AH32" s="57"/>
      <c r="AI32" s="57"/>
      <c r="AJ32" s="37">
        <f t="shared" si="0"/>
        <v>18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17.8</v>
      </c>
      <c r="AP32" s="23">
        <f t="shared" si="4"/>
        <v>1.4704622267387499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>
        <v>17.399999999999999</v>
      </c>
      <c r="Y33" s="57">
        <v>16.600000000000001</v>
      </c>
      <c r="Z33" s="57">
        <v>16.399999999999999</v>
      </c>
      <c r="AA33" s="57">
        <v>14.8</v>
      </c>
      <c r="AB33" s="57">
        <v>14.2</v>
      </c>
      <c r="AC33" s="57">
        <v>15.2</v>
      </c>
      <c r="AD33" s="57">
        <v>15.6</v>
      </c>
      <c r="AE33" s="57">
        <v>14.6</v>
      </c>
      <c r="AF33" s="57">
        <v>15</v>
      </c>
      <c r="AG33" s="57">
        <v>15.3</v>
      </c>
      <c r="AH33" s="57"/>
      <c r="AI33" s="57"/>
      <c r="AJ33" s="37">
        <f t="shared" si="0"/>
        <v>15.3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15.613793103448277</v>
      </c>
      <c r="AP33" s="23">
        <f t="shared" si="4"/>
        <v>0.86918057100482748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>
        <v>31.4</v>
      </c>
      <c r="Y35" s="57">
        <v>31.2</v>
      </c>
      <c r="Z35" s="57">
        <v>31</v>
      </c>
      <c r="AA35" s="57">
        <v>29.4</v>
      </c>
      <c r="AB35" s="57">
        <v>33.200000000000003</v>
      </c>
      <c r="AC35" s="57">
        <v>33.4</v>
      </c>
      <c r="AD35" s="57">
        <v>28.2</v>
      </c>
      <c r="AE35" s="57">
        <v>33.799999999999997</v>
      </c>
      <c r="AF35" s="57">
        <v>33.6</v>
      </c>
      <c r="AG35" s="57">
        <v>34.200000000000003</v>
      </c>
      <c r="AH35" s="57"/>
      <c r="AI35" s="57"/>
      <c r="AJ35" s="37">
        <f t="shared" si="0"/>
        <v>34.200000000000003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31.993103448275861</v>
      </c>
      <c r="AP35" s="23">
        <f t="shared" si="4"/>
        <v>0.92040759574129893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>
        <v>26.4</v>
      </c>
      <c r="Y38" s="57">
        <v>31.6</v>
      </c>
      <c r="Z38" s="57">
        <v>29</v>
      </c>
      <c r="AA38" s="57">
        <v>29.8</v>
      </c>
      <c r="AB38" s="57">
        <v>32.6</v>
      </c>
      <c r="AC38" s="57">
        <v>30.7</v>
      </c>
      <c r="AD38" s="57">
        <v>26.5</v>
      </c>
      <c r="AE38" s="57">
        <v>30.6</v>
      </c>
      <c r="AF38" s="57">
        <v>33.4</v>
      </c>
      <c r="AG38" s="57">
        <v>30.7</v>
      </c>
      <c r="AH38" s="57"/>
      <c r="AI38" s="57"/>
      <c r="AJ38" s="37">
        <f t="shared" si="0"/>
        <v>30.7</v>
      </c>
      <c r="AK38" s="21">
        <f t="shared" si="1"/>
        <v>33.4</v>
      </c>
      <c r="AL38" s="22">
        <v>38</v>
      </c>
      <c r="AM38" s="23">
        <f t="shared" si="2"/>
        <v>-4.6000000000000014</v>
      </c>
      <c r="AN38" s="23">
        <v>30.029026223392581</v>
      </c>
      <c r="AO38" s="23">
        <f>IF(COUNTIF(E38:AI38,"&gt;0")&gt;=15,AVERAGE(E38:AI38),"")</f>
        <v>30.2</v>
      </c>
      <c r="AP38" s="23">
        <f t="shared" si="4"/>
        <v>0.17097377660741842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>
        <v>32.4</v>
      </c>
      <c r="Y39" s="57">
        <v>33.1</v>
      </c>
      <c r="Z39" s="57">
        <v>32.4</v>
      </c>
      <c r="AA39" s="57">
        <v>31.2</v>
      </c>
      <c r="AB39" s="57">
        <v>32.4</v>
      </c>
      <c r="AC39" s="57">
        <v>33.6</v>
      </c>
      <c r="AD39" s="57">
        <v>29</v>
      </c>
      <c r="AE39" s="57">
        <v>33.4</v>
      </c>
      <c r="AF39" s="57">
        <v>32.4</v>
      </c>
      <c r="AG39" s="57">
        <v>33.6</v>
      </c>
      <c r="AH39" s="57"/>
      <c r="AI39" s="57"/>
      <c r="AJ39" s="37">
        <f t="shared" si="0"/>
        <v>33.6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31.603448275862068</v>
      </c>
      <c r="AP39" s="23">
        <f t="shared" si="4"/>
        <v>0.760315164998147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>
        <v>30.8</v>
      </c>
      <c r="Y40" s="57">
        <v>31.3</v>
      </c>
      <c r="Z40" s="57">
        <v>31.4</v>
      </c>
      <c r="AA40" s="57">
        <v>29.8</v>
      </c>
      <c r="AB40" s="57">
        <v>32.200000000000003</v>
      </c>
      <c r="AC40" s="57">
        <v>31.8</v>
      </c>
      <c r="AD40" s="57">
        <v>30.6</v>
      </c>
      <c r="AE40" s="57">
        <v>31.2</v>
      </c>
      <c r="AF40" s="57">
        <v>32.200000000000003</v>
      </c>
      <c r="AG40" s="57">
        <v>28.8</v>
      </c>
      <c r="AH40" s="57"/>
      <c r="AI40" s="57"/>
      <c r="AJ40" s="37">
        <f t="shared" si="0"/>
        <v>28.8</v>
      </c>
      <c r="AK40" s="21">
        <f t="shared" si="1"/>
        <v>32.200000000000003</v>
      </c>
      <c r="AL40" s="22">
        <v>33.5</v>
      </c>
      <c r="AM40" s="23">
        <f t="shared" si="2"/>
        <v>-1.2999999999999972</v>
      </c>
      <c r="AN40" s="23">
        <v>28.947548387096781</v>
      </c>
      <c r="AO40" s="23">
        <f t="shared" si="7"/>
        <v>30.00344827586207</v>
      </c>
      <c r="AP40" s="23">
        <f t="shared" si="4"/>
        <v>1.0558998887652891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>
        <v>29.6</v>
      </c>
      <c r="Y41" s="57">
        <v>32.6</v>
      </c>
      <c r="Z41" s="57">
        <v>32</v>
      </c>
      <c r="AA41" s="57">
        <v>27.2</v>
      </c>
      <c r="AB41" s="57">
        <v>36</v>
      </c>
      <c r="AC41" s="57">
        <v>31.4</v>
      </c>
      <c r="AD41" s="57">
        <v>28.2</v>
      </c>
      <c r="AE41" s="57">
        <v>32.6</v>
      </c>
      <c r="AF41" s="57">
        <v>33</v>
      </c>
      <c r="AG41" s="57">
        <v>33.200000000000003</v>
      </c>
      <c r="AH41" s="57"/>
      <c r="AI41" s="57"/>
      <c r="AJ41" s="37">
        <f t="shared" si="0"/>
        <v>33.200000000000003</v>
      </c>
      <c r="AK41" s="21">
        <f t="shared" si="1"/>
        <v>36</v>
      </c>
      <c r="AL41" s="22">
        <v>34.4</v>
      </c>
      <c r="AM41" s="23">
        <f t="shared" si="2"/>
        <v>1.6000000000000014</v>
      </c>
      <c r="AN41" s="23">
        <v>29.366308243727591</v>
      </c>
      <c r="AO41" s="23">
        <f t="shared" si="7"/>
        <v>30.800000000000008</v>
      </c>
      <c r="AP41" s="23">
        <f t="shared" si="4"/>
        <v>1.4336917562724167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>
        <v>32.200000000000003</v>
      </c>
      <c r="Y43" s="57">
        <v>33</v>
      </c>
      <c r="Z43" s="57">
        <v>31.2</v>
      </c>
      <c r="AA43" s="57">
        <v>32.4</v>
      </c>
      <c r="AB43" s="57">
        <v>32.4</v>
      </c>
      <c r="AC43" s="57">
        <v>32.6</v>
      </c>
      <c r="AD43" s="57">
        <v>32</v>
      </c>
      <c r="AE43" s="57">
        <v>33.6</v>
      </c>
      <c r="AF43" s="57">
        <v>32.799999999999997</v>
      </c>
      <c r="AG43" s="57">
        <v>33.4</v>
      </c>
      <c r="AH43" s="57"/>
      <c r="AI43" s="57"/>
      <c r="AJ43" s="37">
        <f t="shared" si="0"/>
        <v>33.4</v>
      </c>
      <c r="AK43" s="21">
        <f t="shared" si="1"/>
        <v>33.6</v>
      </c>
      <c r="AL43" s="22">
        <v>34.200000000000003</v>
      </c>
      <c r="AM43" s="23">
        <f t="shared" si="2"/>
        <v>-0.60000000000000142</v>
      </c>
      <c r="AN43" s="23">
        <v>30.061061827956991</v>
      </c>
      <c r="AO43" s="23">
        <f t="shared" si="7"/>
        <v>31.415384615384614</v>
      </c>
      <c r="AP43" s="23">
        <f t="shared" si="4"/>
        <v>1.3543227874276234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>
        <v>31.4</v>
      </c>
      <c r="Y44" s="29">
        <v>30.4</v>
      </c>
      <c r="Z44" s="29">
        <v>31.2</v>
      </c>
      <c r="AA44" s="29">
        <v>31.1</v>
      </c>
      <c r="AB44" s="29">
        <v>32</v>
      </c>
      <c r="AC44" s="29">
        <v>32</v>
      </c>
      <c r="AD44" s="29">
        <v>32.200000000000003</v>
      </c>
      <c r="AE44" s="57">
        <v>32.299999999999997</v>
      </c>
      <c r="AF44" s="57">
        <v>31.2</v>
      </c>
      <c r="AG44" s="57">
        <v>32</v>
      </c>
      <c r="AH44" s="57"/>
      <c r="AI44" s="57"/>
      <c r="AJ44" s="37">
        <f t="shared" si="0"/>
        <v>32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31.314285714285713</v>
      </c>
      <c r="AP44" s="23">
        <f t="shared" si="4"/>
        <v>2.2710985089252524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>
        <v>31.6</v>
      </c>
      <c r="Y45" s="57">
        <v>31.6</v>
      </c>
      <c r="Z45" s="57">
        <v>30.4</v>
      </c>
      <c r="AA45" s="57">
        <v>30.6</v>
      </c>
      <c r="AB45" s="57">
        <v>33.6</v>
      </c>
      <c r="AC45" s="57">
        <v>33.200000000000003</v>
      </c>
      <c r="AD45" s="57">
        <v>30.2</v>
      </c>
      <c r="AE45" s="57">
        <v>32.799999999999997</v>
      </c>
      <c r="AF45" s="57">
        <v>32</v>
      </c>
      <c r="AG45" s="57">
        <v>33</v>
      </c>
      <c r="AH45" s="57"/>
      <c r="AI45" s="57"/>
      <c r="AJ45" s="37">
        <f t="shared" si="0"/>
        <v>33</v>
      </c>
      <c r="AK45" s="21">
        <f t="shared" si="1"/>
        <v>33.6</v>
      </c>
      <c r="AL45" s="22">
        <v>34.200000000000003</v>
      </c>
      <c r="AM45" s="23">
        <f t="shared" si="2"/>
        <v>-0.60000000000000142</v>
      </c>
      <c r="AN45" s="23">
        <v>29.54581639287883</v>
      </c>
      <c r="AO45" s="23">
        <f t="shared" si="7"/>
        <v>30.813793103448283</v>
      </c>
      <c r="AP45" s="23">
        <f t="shared" si="4"/>
        <v>1.267976710569453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>
        <v>32.299999999999997</v>
      </c>
      <c r="Y48" s="57">
        <v>32.799999999999997</v>
      </c>
      <c r="Z48" s="57">
        <v>32.6</v>
      </c>
      <c r="AA48" s="57">
        <v>33.200000000000003</v>
      </c>
      <c r="AB48" s="57">
        <v>29</v>
      </c>
      <c r="AC48" s="57">
        <v>30.2</v>
      </c>
      <c r="AD48" s="57">
        <v>31.7</v>
      </c>
      <c r="AE48" s="57">
        <v>29.7</v>
      </c>
      <c r="AF48" s="57">
        <v>32.1</v>
      </c>
      <c r="AG48" s="57">
        <v>32.4</v>
      </c>
      <c r="AH48" s="57"/>
      <c r="AI48" s="57"/>
      <c r="AJ48" s="37">
        <f t="shared" si="0"/>
        <v>32.4</v>
      </c>
      <c r="AK48" s="21">
        <f t="shared" si="1"/>
        <v>33.200000000000003</v>
      </c>
      <c r="AL48" s="22">
        <v>35.200000000000003</v>
      </c>
      <c r="AM48" s="23">
        <f t="shared" si="2"/>
        <v>-2</v>
      </c>
      <c r="AN48" s="23">
        <v>30.34253285543608</v>
      </c>
      <c r="AO48" s="23">
        <f t="shared" si="7"/>
        <v>30.81379310344828</v>
      </c>
      <c r="AP48" s="23">
        <f t="shared" si="4"/>
        <v>0.47126024801220012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Z3" sqref="Z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3" t="s">
        <v>123</v>
      </c>
      <c r="I1" s="74"/>
      <c r="J1" s="75"/>
      <c r="K1" s="70" t="s">
        <v>124</v>
      </c>
      <c r="L1" s="71"/>
      <c r="M1" s="72"/>
      <c r="N1" s="73" t="s">
        <v>125</v>
      </c>
      <c r="O1" s="74"/>
      <c r="P1" s="75"/>
      <c r="Q1" s="70" t="s">
        <v>126</v>
      </c>
      <c r="R1" s="71"/>
      <c r="S1" s="72"/>
      <c r="T1" s="73" t="s">
        <v>127</v>
      </c>
      <c r="U1" s="74"/>
      <c r="V1" s="75"/>
      <c r="W1" s="70" t="s">
        <v>128</v>
      </c>
      <c r="X1" s="71"/>
      <c r="Y1" s="72"/>
      <c r="Z1" s="73" t="s">
        <v>129</v>
      </c>
      <c r="AA1" s="74"/>
      <c r="AB1" s="75"/>
      <c r="AC1" s="70" t="s">
        <v>130</v>
      </c>
      <c r="AD1" s="71"/>
      <c r="AE1" s="72"/>
      <c r="AF1" s="73" t="s">
        <v>131</v>
      </c>
      <c r="AG1" s="74"/>
      <c r="AH1" s="75"/>
      <c r="AI1" s="70" t="s">
        <v>132</v>
      </c>
      <c r="AJ1" s="71"/>
      <c r="AK1" s="72"/>
      <c r="AL1" s="73" t="s">
        <v>133</v>
      </c>
      <c r="AM1" s="74"/>
      <c r="AN1" s="75"/>
      <c r="AO1" s="70" t="s">
        <v>134</v>
      </c>
      <c r="AP1" s="71"/>
      <c r="AQ1" s="72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8" t="s">
        <v>1</v>
      </c>
      <c r="B1" s="80" t="s">
        <v>93</v>
      </c>
      <c r="C1" s="69" t="s">
        <v>94</v>
      </c>
      <c r="D1" s="76" t="s">
        <v>95</v>
      </c>
      <c r="E1" s="76" t="s">
        <v>96</v>
      </c>
      <c r="F1" s="76" t="s">
        <v>97</v>
      </c>
      <c r="G1" s="76" t="s">
        <v>98</v>
      </c>
      <c r="H1" s="76" t="s">
        <v>99</v>
      </c>
      <c r="I1" s="76" t="s">
        <v>100</v>
      </c>
      <c r="J1" s="76" t="s">
        <v>101</v>
      </c>
      <c r="K1" s="76" t="s">
        <v>102</v>
      </c>
      <c r="L1" s="76" t="s">
        <v>103</v>
      </c>
      <c r="M1" s="76" t="s">
        <v>104</v>
      </c>
      <c r="N1" s="76" t="s">
        <v>105</v>
      </c>
      <c r="O1" s="76" t="s">
        <v>106</v>
      </c>
    </row>
    <row r="2" spans="1:15" ht="12.75" customHeight="1" x14ac:dyDescent="0.2">
      <c r="A2" s="79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2026-07-30T13:25:27Z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