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A0399FB9-1A0E-4CFB-8DA0-AE63B8ABF475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<sst xmlns="http://schemas.openxmlformats.org/spreadsheetml/2006/main" count="603" uniqueCount="272">
  <si>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</si>
  <si>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</si>
  <si>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</si>
  <si>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</si>
  <si>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</si>
  <si>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</si>
  <si>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</si>
  <si>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</si>
  <si>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</si>
  <si>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</si>
  <si>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</si>
  <si>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</si>
  <si>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</si>
  <si>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</si>
  <si>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</si>
  <si>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</si>
  <si>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</si>
  <si>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</si>
  <si>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</si>
  <si>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</si>
  <si>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</si>
  <si>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</si>
  <si>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</si>
  <si>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</si>
  <si>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</si>
  <si>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</si>
  <si>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</si>
  <si>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</si>
  <si>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</si>
  <si>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</si>
  <si>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</si>
  <si>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</si>
  <si>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</si>
  <si>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</si>
  <si>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</si>
  <si>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</si>
  <si>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</si>
  <si>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</si>
  <si>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</si>
  <si>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</si>
  <si>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</si>
  <si>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</si>
  <si>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</si>
  <si>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</si>
  <si>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</si>
  <si>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</si>
  <si>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</si>
  <si>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</si>
  <si>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</si>
  <si>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</si>
  <si>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</si>
  <si>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</si>
  <si>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</si>
  <si>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</si>
  <si>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</si>
  <si>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</si>
  <si>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</si>
  <si>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</si>
  <si>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</si>
  <si>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</si>
  <si>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</si>
  <si>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</si>
  <si>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</si>
  <si>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</si>
  <si>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</si>
  <si>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</si>
  <si>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</si>
  <si>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</si>
  <si>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</si>
  <si>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</si>
  <si>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</si>
  <si>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</si>
  <si>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</si>
  <si>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</si>
  <si>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</si>
  <si>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</si>
  <si>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</si>
  <si>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</si>
  <si>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</si>
  <si>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</si>
  <si>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</si>
  <si>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</si>
  <si>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</si>
  <si>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</si>
  <si>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</si>
  <si>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</si>
  <si>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</si>
  <si>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</si>
  <si>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</si>
  <si>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</si>
  <si>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</si>
  <si>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</si>
  <si>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</si>
  <si>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</si>
  <si>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</si>
  <si>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</si>
  <si>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</si>
  <si>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</si>
  <si>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</si>
  <si>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</si>
  <si>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</si>
  <si>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</si>
  <si>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</si>
  <si>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</si>
  <si>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</si>
  <si>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</si>
  <si>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</si>
  <si>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</si>
  <si>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</si>
  <si>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</si>
  <si>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</si>
  <si>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</si>
  <si>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</si>
  <si>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</si>
  <si>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</si>
  <si>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</si>
  <si>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</si>
  <si>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</si>
  <si>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</si>
  <si>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</si>
  <si>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</si>
  <si>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</si>
  <si>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</si>
  <si>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</si>
  <si>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</si>
  <si>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</si>
  <si>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</si>
  <si>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</si>
  <si>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</si>
  <si>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</si>
  <si>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</si>
  <si>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</si>
  <si>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</si>
  <si>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</si>
  <si>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</si>
  <si>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</si>
  <si>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</si>
  <si>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</si>
  <si>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</si>
  <si>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</si>
  <si>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</si>
  <si>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</si>
  <si>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</si>
  <si>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</si>
  <si>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</si>
  <si>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</si>
  <si>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</si>
  <si>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</si>
  <si>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</si>
  <si>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</si>
  <si>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</si>
  <si>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</si>
  <si>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</si>
  <si>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</si>
  <si>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</si>
  <si>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</si>
  <si>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</si>
  <si>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</si>
  <si>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</si>
  <si>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</si>
  <si>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</si>
  <si>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</si>
  <si>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</si>
  <si>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</si>
  <si>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</si>
  <si>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</si>
  <si>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</si>
  <si>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</si>
  <si>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</si>
  <si>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</si>
  <si>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</si>
  <si>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</si>
  <si>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</si>
  <si>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</si>
  <si>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</si>
  <si>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</si>
  <si>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</si>
  <si>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</si>
  <si>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</si>
  <si>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</si>
  <si>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</si>
  <si>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</si>
  <si>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</si>
  <si>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</si>
  <si>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</si>
  <si>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</si>
  <si>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</si>
  <si>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</si>
  <si>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</si>
  <si>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</si>
  <si>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</si>
  <si>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</si>
  <si>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</si>
  <si>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</si>
  <si>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</si>
  <si>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</si>
  <si>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</si>
  <si>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</si>
  <si>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</si>
  <si>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</si>
  <si>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</si>
  <si>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</si>
  <si>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</si>
  <si>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</si>
  <si>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</si>
  <si>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</si>
  <si>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</si>
  <si>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</si>
  <si>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</si>
  <si>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</si>
  <si>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</si>
  <si>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</si>
  <si>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</si>
  <si>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</si>
  <si>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</si>
  <si>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</si>
  <si>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</si>
  <si>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</si>
  <si>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</si>
  <si>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</si>
  <si>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</si>
  <si>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</si>
  <si>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</si>
  <si>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</si>
  <si>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</si>
  <si>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</si>
  <si>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</si>
  <si>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</si>
  <si>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</si>
  <si>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</si>
  <si>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</si>
  <si>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</si>
  <si>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</si>
  <si>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</si>
  <si>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</si>
  <si>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</si>
  <si>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</si>
  <si>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</si>
  <si>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</si>
  <si>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</si>
  <si>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</si>
  <si>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</si>
  <si>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</si>
  <si>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</si>
  <si>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</si>
  <si>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</si>
  <si>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</si>
  <si>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</si>
  <si>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</si>
  <si>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</si>
  <si>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</si>
  <si>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</si>
  <si>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</si>
  <si>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</si>
  <si>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</si>
  <si>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</si>
  <si>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</si>
  <si>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</si>
  <si>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</si>
  <si>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</si>
  <si>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</si>
  <si>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</si>
  <si>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</si>
  <si>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</si>
  <si>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</si>
  <si>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</si>
  <si>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</si>
  <si>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</si>
  <si>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</si>
  <si>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</si>
  <si>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</si>
  <si>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AGOSTO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</si>
</sst>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79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ill>
        <patternFill>
          <bgColor rgb="FFFF5500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Normal="100" workbookViewId="0">
      <pane xSplit="4" ySplit="3" topLeftCell="E28" activePane="bottomRight" state="frozen"/>
      <selection pane="topRight" activeCell="E1" sqref="E1"/>
      <selection pane="bottomLeft" activeCell="A4" sqref="A4"/>
      <selection pane="bottomRight" activeCell="F18" sqref="F18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60.4257812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67" t="s">
        <v>0</v>
      </c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31.8</v>
      </c>
      <c r="F5" s="63">
        <v>31.6</v>
      </c>
      <c r="G5" s="63">
        <v>30.6</v>
      </c>
      <c r="H5" s="63">
        <v>31.7</v>
      </c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36">
        <f>+IF(SUM($E5:$AI5)&gt;0,LOOKUP(1000,$E5:$AI5),NA())</f>
        <v>31.7</v>
      </c>
      <c r="AK5" s="21">
        <f>+MAX($E5:$AI5)</f>
        <v>31.8</v>
      </c>
      <c r="AL5" s="22">
        <v>33.1</v>
      </c>
      <c r="AM5" s="23">
        <f>IF(AK5&gt;0,$AK5-$AL5,"")</f>
        <v>-1.3000000000000007</v>
      </c>
      <c r="AN5" s="23">
        <v>30.51594346942419</v>
      </c>
      <c r="AO5" s="23" t="str">
        <f>IF(COUNTIF(E5:AI5,"&gt;0")&gt;=15,AVERAGE(E5:AI5),"")</f>
        <v/>
      </c>
      <c r="AP5" s="23" t="str">
        <f>IF(AN5&gt;0,IFERROR(AO5-AN5,""),"")</f>
        <v/>
      </c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31.5</v>
      </c>
      <c r="F6" s="63">
        <v>31</v>
      </c>
      <c r="G6" s="63">
        <v>32.200000000000003</v>
      </c>
      <c r="H6" s="63">
        <v>31.4</v>
      </c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36">
        <f t="shared" ref="AJ6:AJ48" si="0">+IF(SUM($E6:$AI6)&gt;0,LOOKUP(1000,$E6:$AI6),NA())</f>
        <v>31.4</v>
      </c>
      <c r="AK6" s="21">
        <f t="shared" ref="AK6:AK48" si="1">+MAX($E6:$AI6)</f>
        <v>32.200000000000003</v>
      </c>
      <c r="AL6" s="22">
        <v>33.4</v>
      </c>
      <c r="AM6" s="23">
        <f t="shared" ref="AM6:AM48" si="2">IF(AK6&gt;0,$AK6-$AL6,"")</f>
        <v>-1.1999999999999957</v>
      </c>
      <c r="AN6" s="23">
        <v>31.046424304488809</v>
      </c>
      <c r="AO6" s="23" t="str">
        <f t="shared" ref="AO6:AO15" si="3">IF(COUNTIF(E6:AI6,"&gt;0")&gt;=15,AVERAGE(E6:AI6),"")</f>
        <v/>
      </c>
      <c r="AP6" s="23" t="str">
        <f t="shared" ref="AP6:AP48" si="4">IF(AN6&gt;0,IFERROR(AO6-AN6,""),"")</f>
        <v/>
      </c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35.200000000000003</v>
      </c>
      <c r="F7" s="63">
        <v>37.6</v>
      </c>
      <c r="G7" s="63">
        <v>36</v>
      </c>
      <c r="H7" s="63">
        <v>34.6</v>
      </c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36">
        <f t="shared" si="0"/>
        <v>34.6</v>
      </c>
      <c r="AK7" s="21">
        <f t="shared" si="1"/>
        <v>37.6</v>
      </c>
      <c r="AL7" s="22">
        <v>38.4</v>
      </c>
      <c r="AM7" s="23">
        <f t="shared" si="2"/>
        <v>-0.79999999999999716</v>
      </c>
      <c r="AN7" s="23">
        <v>33.115285708400279</v>
      </c>
      <c r="AO7" s="23" t="str">
        <f t="shared" si="3"/>
        <v/>
      </c>
      <c r="AP7" s="23" t="str">
        <f t="shared" si="4"/>
        <v/>
      </c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33.200000000000003</v>
      </c>
      <c r="F8" s="63">
        <v>33</v>
      </c>
      <c r="G8" s="63">
        <v>34.4</v>
      </c>
      <c r="H8" s="63">
        <v>33.299999999999997</v>
      </c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36">
        <f t="shared" si="0"/>
        <v>33.299999999999997</v>
      </c>
      <c r="AK8" s="21">
        <f t="shared" si="1"/>
        <v>34.4</v>
      </c>
      <c r="AL8" s="22">
        <v>36.9</v>
      </c>
      <c r="AM8" s="23">
        <f t="shared" si="2"/>
        <v>-2.5</v>
      </c>
      <c r="AN8" s="23">
        <v>32.243805889046577</v>
      </c>
      <c r="AO8" s="23" t="str">
        <f t="shared" si="3"/>
        <v/>
      </c>
      <c r="AP8" s="23" t="str">
        <f t="shared" si="4"/>
        <v/>
      </c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34.799999999999997</v>
      </c>
      <c r="F9" s="63">
        <v>36.299999999999997</v>
      </c>
      <c r="G9" s="63">
        <v>35.5</v>
      </c>
      <c r="H9" s="63">
        <v>35.799999999999997</v>
      </c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36">
        <f t="shared" si="0"/>
        <v>35.799999999999997</v>
      </c>
      <c r="AK9" s="21">
        <f t="shared" si="1"/>
        <v>36.299999999999997</v>
      </c>
      <c r="AL9" s="22">
        <v>38.700000000000003</v>
      </c>
      <c r="AM9" s="23">
        <f t="shared" si="2"/>
        <v>-2.4000000000000057</v>
      </c>
      <c r="AN9" s="23">
        <v>33.507160697070823</v>
      </c>
      <c r="AO9" s="23" t="str">
        <f t="shared" si="3"/>
        <v/>
      </c>
      <c r="AP9" s="23" t="str">
        <f t="shared" si="4"/>
        <v/>
      </c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33</v>
      </c>
      <c r="F10" s="63">
        <v>37.9</v>
      </c>
      <c r="G10" s="63">
        <v>37.4</v>
      </c>
      <c r="H10" s="63">
        <v>37.1</v>
      </c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36">
        <f t="shared" si="0"/>
        <v>37.1</v>
      </c>
      <c r="AK10" s="21">
        <f t="shared" si="1"/>
        <v>37.9</v>
      </c>
      <c r="AL10" s="22">
        <v>39.4</v>
      </c>
      <c r="AM10" s="23">
        <f t="shared" si="2"/>
        <v>-1.5</v>
      </c>
      <c r="AN10" s="23">
        <v>35.037947033054557</v>
      </c>
      <c r="AO10" s="23" t="str">
        <f t="shared" si="3"/>
        <v/>
      </c>
      <c r="AP10" s="23" t="str">
        <f t="shared" si="4"/>
        <v/>
      </c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40.200000000000003</v>
      </c>
      <c r="F11" s="63">
        <v>40.6</v>
      </c>
      <c r="G11" s="63">
        <v>39.200000000000003</v>
      </c>
      <c r="H11" s="63">
        <v>37.799999999999997</v>
      </c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36">
        <f t="shared" si="0"/>
        <v>37.799999999999997</v>
      </c>
      <c r="AK11" s="21">
        <f t="shared" si="1"/>
        <v>40.6</v>
      </c>
      <c r="AL11" s="22">
        <v>41.2</v>
      </c>
      <c r="AM11" s="23">
        <f t="shared" si="2"/>
        <v>-0.60000000000000142</v>
      </c>
      <c r="AN11" s="23">
        <v>35.179462365591398</v>
      </c>
      <c r="AO11" s="23" t="str">
        <f t="shared" si="3"/>
        <v/>
      </c>
      <c r="AP11" s="23" t="str">
        <f t="shared" si="4"/>
        <v/>
      </c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36</v>
      </c>
      <c r="F12" s="63">
        <v>35.799999999999997</v>
      </c>
      <c r="G12" s="63">
        <v>35.200000000000003</v>
      </c>
      <c r="H12" s="63">
        <v>33.799999999999997</v>
      </c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36">
        <f t="shared" si="0"/>
        <v>33.799999999999997</v>
      </c>
      <c r="AK12" s="21">
        <f t="shared" si="1"/>
        <v>36</v>
      </c>
      <c r="AL12" s="22">
        <v>37.4</v>
      </c>
      <c r="AM12" s="23">
        <f t="shared" si="2"/>
        <v>-1.3999999999999986</v>
      </c>
      <c r="AN12" s="23">
        <v>32.131914371977928</v>
      </c>
      <c r="AO12" s="23" t="str">
        <f t="shared" si="3"/>
        <v/>
      </c>
      <c r="AP12" s="23" t="str">
        <f t="shared" si="4"/>
        <v/>
      </c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36.200000000000003</v>
      </c>
      <c r="F13" s="63">
        <v>36.799999999999997</v>
      </c>
      <c r="G13" s="63">
        <v>36.6</v>
      </c>
      <c r="H13" s="63">
        <v>35.200000000000003</v>
      </c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36">
        <f t="shared" si="0"/>
        <v>35.200000000000003</v>
      </c>
      <c r="AK13" s="21">
        <f t="shared" si="1"/>
        <v>36.799999999999997</v>
      </c>
      <c r="AL13" s="22">
        <v>38.200000000000003</v>
      </c>
      <c r="AM13" s="23">
        <f t="shared" si="2"/>
        <v>-1.4000000000000057</v>
      </c>
      <c r="AN13" s="23">
        <v>32.923758320532507</v>
      </c>
      <c r="AO13" s="23" t="str">
        <f t="shared" si="3"/>
        <v/>
      </c>
      <c r="AP13" s="23" t="str">
        <f t="shared" si="4"/>
        <v/>
      </c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36.700000000000003</v>
      </c>
      <c r="F14" s="63">
        <v>35.700000000000003</v>
      </c>
      <c r="G14" s="63">
        <v>34.4</v>
      </c>
      <c r="H14" s="63">
        <v>30.9</v>
      </c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36">
        <f t="shared" si="0"/>
        <v>30.9</v>
      </c>
      <c r="AK14" s="21">
        <f t="shared" si="1"/>
        <v>36.700000000000003</v>
      </c>
      <c r="AL14" s="22">
        <v>36.9</v>
      </c>
      <c r="AM14" s="23">
        <f t="shared" si="2"/>
        <v>-0.19999999999999574</v>
      </c>
      <c r="AN14" s="23">
        <v>33.065084280874721</v>
      </c>
      <c r="AO14" s="23" t="str">
        <f t="shared" si="3"/>
        <v/>
      </c>
      <c r="AP14" s="23" t="str">
        <f t="shared" si="4"/>
        <v/>
      </c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33.4</v>
      </c>
      <c r="F15" s="63">
        <v>32.9</v>
      </c>
      <c r="G15" s="63">
        <v>28.9</v>
      </c>
      <c r="H15" s="63">
        <v>33.799999999999997</v>
      </c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36">
        <f t="shared" si="0"/>
        <v>33.799999999999997</v>
      </c>
      <c r="AK15" s="21">
        <f t="shared" si="1"/>
        <v>33.799999999999997</v>
      </c>
      <c r="AL15" s="22">
        <v>35</v>
      </c>
      <c r="AM15" s="23">
        <f t="shared" si="2"/>
        <v>-1.2000000000000028</v>
      </c>
      <c r="AN15" s="23">
        <v>31.919167946748601</v>
      </c>
      <c r="AO15" s="23" t="str">
        <f t="shared" si="3"/>
        <v/>
      </c>
      <c r="AP15" s="23" t="str">
        <f t="shared" si="4"/>
        <v/>
      </c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17"/>
      <c r="AS16" s="17"/>
      <c r="AT16" s="17"/>
    </row>
    <row r="17" spans="1:42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36.700000000000003</v>
      </c>
      <c r="F17" s="63">
        <v>36.200000000000003</v>
      </c>
      <c r="G17" s="63">
        <v>34.1</v>
      </c>
      <c r="H17" s="63">
        <v>33.4</v>
      </c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36">
        <f t="shared" si="0"/>
        <v>33.4</v>
      </c>
      <c r="AK17" s="21">
        <f t="shared" si="1"/>
        <v>36.700000000000003</v>
      </c>
      <c r="AL17" s="22">
        <v>37.200000000000003</v>
      </c>
      <c r="AM17" s="23">
        <f t="shared" si="2"/>
        <v>-0.5</v>
      </c>
      <c r="AN17" s="23">
        <v>32.703385242862417</v>
      </c>
      <c r="AO17" s="23" t="str">
        <f>IF(COUNTIF(E17:AI17,"&gt;0")&gt;=15,AVERAGE(E17:AI17),"")</f>
        <v/>
      </c>
      <c r="AP17" s="23" t="str">
        <f>IF(AN17&gt;0,IFERROR(AO17-AN17,""),"")</f>
        <v/>
      </c>
    </row>
    <row r="18" spans="1:42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29.7</v>
      </c>
      <c r="F18" s="63">
        <v>30.5</v>
      </c>
      <c r="G18" s="63">
        <v>28.4</v>
      </c>
      <c r="H18" s="63">
        <v>27.5</v>
      </c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36">
        <f t="shared" si="0"/>
        <v>27.5</v>
      </c>
      <c r="AK18" s="21">
        <f t="shared" si="1"/>
        <v>30.5</v>
      </c>
      <c r="AL18" s="22">
        <v>30.3</v>
      </c>
      <c r="AM18" s="23">
        <f t="shared" si="2"/>
        <v>0.19999999999999929</v>
      </c>
      <c r="AN18" s="23">
        <v>26.343645559538029</v>
      </c>
      <c r="AO18" s="23" t="str">
        <f t="shared" ref="AO18:AO33" si="5">IF(COUNTIF(E18:AI18,"&gt;0")&gt;=15,AVERAGE(E18:AI18),"")</f>
        <v/>
      </c>
      <c r="AP18" s="23" t="str">
        <f t="shared" si="4"/>
        <v/>
      </c>
    </row>
    <row r="19" spans="1:42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35.5</v>
      </c>
      <c r="F19" s="63">
        <v>36.1</v>
      </c>
      <c r="G19" s="63">
        <v>34.5</v>
      </c>
      <c r="H19" s="63">
        <v>34.200000000000003</v>
      </c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36">
        <f t="shared" si="0"/>
        <v>34.200000000000003</v>
      </c>
      <c r="AK19" s="21">
        <f t="shared" si="1"/>
        <v>36.1</v>
      </c>
      <c r="AL19" s="22">
        <v>38.700000000000003</v>
      </c>
      <c r="AM19" s="23">
        <f t="shared" si="2"/>
        <v>-2.6000000000000014</v>
      </c>
      <c r="AN19" s="23">
        <v>34.207406451612897</v>
      </c>
      <c r="AO19" s="23" t="str">
        <f t="shared" si="5"/>
        <v/>
      </c>
      <c r="AP19" s="23" t="str">
        <f t="shared" si="4"/>
        <v/>
      </c>
    </row>
    <row r="20" spans="1:42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30.9</v>
      </c>
      <c r="F20" s="63">
        <v>30.9</v>
      </c>
      <c r="G20" s="63">
        <v>30</v>
      </c>
      <c r="H20" s="63">
        <v>32</v>
      </c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36">
        <f t="shared" si="0"/>
        <v>32</v>
      </c>
      <c r="AK20" s="21">
        <f t="shared" si="1"/>
        <v>32</v>
      </c>
      <c r="AL20" s="22">
        <v>33.6</v>
      </c>
      <c r="AM20" s="23">
        <f t="shared" si="2"/>
        <v>-1.6000000000000014</v>
      </c>
      <c r="AN20" s="23">
        <v>28.699699180747569</v>
      </c>
      <c r="AO20" s="23" t="str">
        <f t="shared" si="5"/>
        <v/>
      </c>
      <c r="AP20" s="23" t="str">
        <f t="shared" si="4"/>
        <v/>
      </c>
    </row>
    <row r="21" spans="1:42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24.7</v>
      </c>
      <c r="F21" s="63">
        <v>24.5</v>
      </c>
      <c r="G21" s="63">
        <v>23.7</v>
      </c>
      <c r="H21" s="63">
        <v>23.9</v>
      </c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36">
        <f t="shared" si="0"/>
        <v>23.9</v>
      </c>
      <c r="AK21" s="21">
        <f t="shared" si="1"/>
        <v>24.7</v>
      </c>
      <c r="AL21" s="22">
        <v>25.9</v>
      </c>
      <c r="AM21" s="23">
        <f t="shared" si="2"/>
        <v>-1.1999999999999993</v>
      </c>
      <c r="AN21" s="23">
        <v>22.70234743584826</v>
      </c>
      <c r="AO21" s="23" t="str">
        <f t="shared" si="5"/>
        <v/>
      </c>
      <c r="AP21" s="23" t="str">
        <f t="shared" si="4"/>
        <v/>
      </c>
    </row>
    <row r="22" spans="1:42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>
        <f t="shared" si="1"/>
        <v>0</v>
      </c>
      <c r="AL22" s="22">
        <v>28</v>
      </c>
      <c r="AM22" s="23" t="str">
        <f t="shared" si="2"/>
        <v/>
      </c>
      <c r="AN22" s="23">
        <v>21.522857738757349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29.6</v>
      </c>
      <c r="F23" s="63">
        <v>31.4</v>
      </c>
      <c r="G23" s="63">
        <v>29</v>
      </c>
      <c r="H23" s="63">
        <v>29</v>
      </c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36">
        <f t="shared" si="0"/>
        <v>29</v>
      </c>
      <c r="AK23" s="21">
        <f t="shared" si="1"/>
        <v>31.4</v>
      </c>
      <c r="AL23" s="22">
        <v>32.6</v>
      </c>
      <c r="AM23" s="23">
        <f t="shared" si="2"/>
        <v>-1.2000000000000028</v>
      </c>
      <c r="AN23" s="23">
        <v>27.308103225806452</v>
      </c>
      <c r="AO23" s="23" t="str">
        <f t="shared" si="5"/>
        <v/>
      </c>
      <c r="AP23" s="23" t="str">
        <f t="shared" si="4"/>
        <v/>
      </c>
    </row>
    <row r="24" spans="1:42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31.9</v>
      </c>
      <c r="F24" s="63">
        <v>32.200000000000003</v>
      </c>
      <c r="G24" s="63">
        <v>30.3</v>
      </c>
      <c r="H24" s="63">
        <v>31.3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36">
        <f t="shared" si="0"/>
        <v>31.3</v>
      </c>
      <c r="AK24" s="21">
        <f t="shared" si="1"/>
        <v>32.200000000000003</v>
      </c>
      <c r="AL24" s="22">
        <v>34.4</v>
      </c>
      <c r="AM24" s="23">
        <f t="shared" si="2"/>
        <v>-2.1999999999999957</v>
      </c>
      <c r="AN24" s="23">
        <v>28.821983273596171</v>
      </c>
      <c r="AO24" s="23" t="str">
        <f t="shared" si="5"/>
        <v/>
      </c>
      <c r="AP24" s="23" t="str">
        <f t="shared" si="4"/>
        <v/>
      </c>
    </row>
    <row r="25" spans="1:42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36</v>
      </c>
      <c r="F25" s="63">
        <v>36.1</v>
      </c>
      <c r="G25" s="63">
        <v>34.700000000000003</v>
      </c>
      <c r="H25" s="63">
        <v>36.200000000000003</v>
      </c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36">
        <f t="shared" si="0"/>
        <v>36.200000000000003</v>
      </c>
      <c r="AK25" s="21">
        <f t="shared" si="1"/>
        <v>36.200000000000003</v>
      </c>
      <c r="AL25" s="22">
        <v>36.4</v>
      </c>
      <c r="AM25" s="23">
        <f t="shared" si="2"/>
        <v>-0.19999999999999574</v>
      </c>
      <c r="AN25" s="23">
        <v>31.558535251017972</v>
      </c>
      <c r="AO25" s="23" t="str">
        <f t="shared" si="5"/>
        <v/>
      </c>
      <c r="AP25" s="23" t="str">
        <f t="shared" si="4"/>
        <v/>
      </c>
    </row>
    <row r="26" spans="1:42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19</v>
      </c>
      <c r="F26" s="63">
        <v>20.5</v>
      </c>
      <c r="G26" s="63">
        <v>19.3</v>
      </c>
      <c r="H26" s="63">
        <v>18.8</v>
      </c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36">
        <f t="shared" si="0"/>
        <v>18.8</v>
      </c>
      <c r="AK26" s="21">
        <f t="shared" si="1"/>
        <v>20.5</v>
      </c>
      <c r="AL26" s="22">
        <v>23.6</v>
      </c>
      <c r="AM26" s="23">
        <f t="shared" si="2"/>
        <v>-3.1000000000000014</v>
      </c>
      <c r="AN26" s="23">
        <v>18.772940161432931</v>
      </c>
      <c r="AO26" s="23" t="str">
        <f t="shared" si="5"/>
        <v/>
      </c>
      <c r="AP26" s="23" t="str">
        <f t="shared" si="4"/>
        <v/>
      </c>
    </row>
    <row r="27" spans="1:42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20.3</v>
      </c>
      <c r="F27" s="63">
        <v>20.399999999999999</v>
      </c>
      <c r="G27" s="63">
        <v>20.8</v>
      </c>
      <c r="H27" s="63">
        <v>19</v>
      </c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36">
        <f t="shared" si="0"/>
        <v>19</v>
      </c>
      <c r="AK27" s="21">
        <f t="shared" si="1"/>
        <v>20.8</v>
      </c>
      <c r="AL27" s="22">
        <v>22.4</v>
      </c>
      <c r="AM27" s="23">
        <f t="shared" si="2"/>
        <v>-1.5999999999999979</v>
      </c>
      <c r="AN27" s="23">
        <v>17.087318670151451</v>
      </c>
      <c r="AO27" s="23" t="str">
        <f t="shared" si="5"/>
        <v/>
      </c>
      <c r="AP27" s="23" t="str">
        <f t="shared" si="4"/>
        <v/>
      </c>
    </row>
    <row r="28" spans="1:42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32.799999999999997</v>
      </c>
      <c r="F28" s="63">
        <v>34.299999999999997</v>
      </c>
      <c r="G28" s="63">
        <v>30.1</v>
      </c>
      <c r="H28" s="63">
        <v>32.700000000000003</v>
      </c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36">
        <f t="shared" si="0"/>
        <v>32.700000000000003</v>
      </c>
      <c r="AK28" s="21">
        <f t="shared" si="1"/>
        <v>34.299999999999997</v>
      </c>
      <c r="AL28" s="22">
        <v>36.1</v>
      </c>
      <c r="AM28" s="23">
        <f t="shared" si="2"/>
        <v>-1.8000000000000043</v>
      </c>
      <c r="AN28" s="23">
        <v>31.11792011972717</v>
      </c>
      <c r="AO28" s="23" t="str">
        <f t="shared" si="5"/>
        <v/>
      </c>
      <c r="AP28" s="23" t="str">
        <f t="shared" si="4"/>
        <v/>
      </c>
    </row>
    <row r="29" spans="1:42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>
        <f t="shared" si="1"/>
        <v>0</v>
      </c>
      <c r="AL29" s="22"/>
      <c r="AM29" s="23" t="str">
        <f t="shared" si="2"/>
        <v/>
      </c>
      <c r="AN29" s="23">
        <v>26.363682869685029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37.700000000000003</v>
      </c>
      <c r="F30" s="63">
        <v>38.200000000000003</v>
      </c>
      <c r="G30" s="63">
        <v>36</v>
      </c>
      <c r="H30" s="63">
        <v>34.700000000000003</v>
      </c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36">
        <f t="shared" si="0"/>
        <v>34.700000000000003</v>
      </c>
      <c r="AK30" s="21">
        <f t="shared" si="1"/>
        <v>38.200000000000003</v>
      </c>
      <c r="AL30" s="22">
        <v>39</v>
      </c>
      <c r="AM30" s="23">
        <f t="shared" si="2"/>
        <v>-0.79999999999999716</v>
      </c>
      <c r="AN30" s="23">
        <v>34.619032258064507</v>
      </c>
      <c r="AO30" s="23" t="str">
        <f t="shared" si="5"/>
        <v/>
      </c>
      <c r="AP30" s="23" t="str">
        <f t="shared" si="4"/>
        <v/>
      </c>
    </row>
    <row r="31" spans="1:42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27.6</v>
      </c>
      <c r="F31" s="63">
        <v>27.5</v>
      </c>
      <c r="G31" s="63">
        <v>27.2</v>
      </c>
      <c r="H31" s="63">
        <v>27</v>
      </c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36">
        <f t="shared" si="0"/>
        <v>27</v>
      </c>
      <c r="AK31" s="21">
        <f t="shared" si="1"/>
        <v>27.6</v>
      </c>
      <c r="AL31" s="22">
        <v>31.3</v>
      </c>
      <c r="AM31" s="23">
        <f t="shared" si="2"/>
        <v>-3.6999999999999993</v>
      </c>
      <c r="AN31" s="23">
        <v>26.14732965766952</v>
      </c>
      <c r="AO31" s="23" t="str">
        <f t="shared" si="5"/>
        <v/>
      </c>
      <c r="AP31" s="23" t="str">
        <f t="shared" si="4"/>
        <v/>
      </c>
    </row>
    <row r="32" spans="1:42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17</v>
      </c>
      <c r="F32" s="63">
        <v>19</v>
      </c>
      <c r="G32" s="63">
        <v>15.6</v>
      </c>
      <c r="H32" s="63">
        <v>16</v>
      </c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36">
        <f t="shared" si="0"/>
        <v>16</v>
      </c>
      <c r="AK32" s="21">
        <f t="shared" si="1"/>
        <v>19</v>
      </c>
      <c r="AL32" s="22">
        <v>22.2</v>
      </c>
      <c r="AM32" s="23">
        <f t="shared" si="2"/>
        <v>-3.1999999999999993</v>
      </c>
      <c r="AN32" s="27">
        <v>16.438135408145051</v>
      </c>
      <c r="AO32" s="23" t="str">
        <f t="shared" si="5"/>
        <v/>
      </c>
      <c r="AP32" s="23" t="str">
        <f t="shared" si="4"/>
        <v/>
      </c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16.399999999999999</v>
      </c>
      <c r="F33" s="63">
        <v>16</v>
      </c>
      <c r="G33" s="63">
        <v>14.8</v>
      </c>
      <c r="H33" s="63">
        <v>14.4</v>
      </c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36">
        <f t="shared" si="0"/>
        <v>14.4</v>
      </c>
      <c r="AK33" s="21">
        <f t="shared" si="1"/>
        <v>16.399999999999999</v>
      </c>
      <c r="AL33" s="22">
        <v>20.6</v>
      </c>
      <c r="AM33" s="23">
        <f t="shared" si="2"/>
        <v>-4.2000000000000028</v>
      </c>
      <c r="AN33" s="23">
        <v>14.98521690767519</v>
      </c>
      <c r="AO33" s="23" t="str">
        <f t="shared" si="5"/>
        <v/>
      </c>
      <c r="AP33" s="23" t="str">
        <f t="shared" si="4"/>
        <v/>
      </c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17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34</v>
      </c>
      <c r="F35" s="63">
        <v>34.799999999999997</v>
      </c>
      <c r="G35" s="63">
        <v>30</v>
      </c>
      <c r="H35" s="63">
        <v>31</v>
      </c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36">
        <f t="shared" si="0"/>
        <v>31</v>
      </c>
      <c r="AK35" s="21">
        <f t="shared" si="1"/>
        <v>34.799999999999997</v>
      </c>
      <c r="AL35" s="22">
        <v>35.200000000000003</v>
      </c>
      <c r="AM35" s="23">
        <f t="shared" si="2"/>
        <v>-0.40000000000000568</v>
      </c>
      <c r="AN35" s="23">
        <v>31.229699666295879</v>
      </c>
      <c r="AO35" s="23" t="str">
        <f>IF(COUNTIF(E35:AI35,"&gt;0")&gt;=15,AVERAGE(E35:AI35),"")</f>
        <v/>
      </c>
      <c r="AP35" s="23" t="str">
        <f t="shared" si="4"/>
        <v/>
      </c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>
        <f t="shared" si="1"/>
        <v>0</v>
      </c>
      <c r="AL36" s="22">
        <v>34.4</v>
      </c>
      <c r="AM36" s="23" t="str">
        <f t="shared" si="2"/>
        <v/>
      </c>
      <c r="AN36" s="23">
        <v>30.176612903225809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17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32</v>
      </c>
      <c r="F38" s="63">
        <v>34.1</v>
      </c>
      <c r="G38" s="63">
        <v>32.5</v>
      </c>
      <c r="H38" s="63">
        <v>33.4</v>
      </c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36">
        <f t="shared" si="0"/>
        <v>33.4</v>
      </c>
      <c r="AK38" s="21">
        <f t="shared" si="1"/>
        <v>34.1</v>
      </c>
      <c r="AL38" s="22">
        <v>34.4</v>
      </c>
      <c r="AM38" s="23">
        <f t="shared" si="2"/>
        <v>-0.29999999999999716</v>
      </c>
      <c r="AN38" s="23">
        <v>30.80035842293907</v>
      </c>
      <c r="AO38" s="23" t="str">
        <f>IF(COUNTIF(E38:AI38,"&gt;0")&gt;=15,AVERAGE(E38:AI38),"")</f>
        <v/>
      </c>
      <c r="AP38" s="23" t="str">
        <f t="shared" si="4"/>
        <v/>
      </c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32.4</v>
      </c>
      <c r="F39" s="63">
        <v>32</v>
      </c>
      <c r="G39" s="63">
        <v>32.4</v>
      </c>
      <c r="H39" s="63">
        <v>30</v>
      </c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36">
        <f t="shared" si="0"/>
        <v>30</v>
      </c>
      <c r="AK39" s="21">
        <f t="shared" si="1"/>
        <v>32.4</v>
      </c>
      <c r="AL39" s="22">
        <v>36.1</v>
      </c>
      <c r="AM39" s="23">
        <f t="shared" si="2"/>
        <v>-3.7000000000000028</v>
      </c>
      <c r="AN39" s="23">
        <v>31.513637374860959</v>
      </c>
      <c r="AO39" s="23" t="str">
        <f t="shared" ref="AO39:AO48" si="7">IF(COUNTIF(E39:AI39,"&gt;0")&gt;=15,AVERAGE(E39:AI39),"")</f>
        <v/>
      </c>
      <c r="AP39" s="23" t="str">
        <f t="shared" si="4"/>
        <v/>
      </c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32.1</v>
      </c>
      <c r="F40" s="63">
        <v>32</v>
      </c>
      <c r="G40" s="63">
        <v>30.6</v>
      </c>
      <c r="H40" s="63">
        <v>31.2</v>
      </c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36">
        <f t="shared" si="0"/>
        <v>31.2</v>
      </c>
      <c r="AK40" s="21">
        <f t="shared" si="1"/>
        <v>32.1</v>
      </c>
      <c r="AL40" s="22">
        <v>34.4</v>
      </c>
      <c r="AM40" s="23">
        <f t="shared" si="2"/>
        <v>-2.2999999999999972</v>
      </c>
      <c r="AN40" s="23">
        <v>29.807563959955498</v>
      </c>
      <c r="AO40" s="23" t="str">
        <f t="shared" si="7"/>
        <v/>
      </c>
      <c r="AP40" s="23" t="str">
        <f t="shared" si="4"/>
        <v/>
      </c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33</v>
      </c>
      <c r="F41" s="63">
        <v>33.6</v>
      </c>
      <c r="G41" s="63">
        <v>31.6</v>
      </c>
      <c r="H41" s="63">
        <v>32</v>
      </c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36">
        <f t="shared" si="0"/>
        <v>32</v>
      </c>
      <c r="AK41" s="21">
        <f t="shared" si="1"/>
        <v>33.6</v>
      </c>
      <c r="AL41" s="22">
        <v>35.200000000000003</v>
      </c>
      <c r="AM41" s="23">
        <f t="shared" si="2"/>
        <v>-1.6000000000000014</v>
      </c>
      <c r="AN41" s="23">
        <v>29.851373954599769</v>
      </c>
      <c r="AO41" s="23" t="str">
        <f t="shared" si="7"/>
        <v/>
      </c>
      <c r="AP41" s="23" t="str">
        <f t="shared" si="4"/>
        <v/>
      </c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1"/>
        <v>0</v>
      </c>
      <c r="AL42" s="22"/>
      <c r="AM42" s="23" t="str">
        <f t="shared" si="2"/>
        <v/>
      </c>
      <c r="AN42" s="23">
        <v>30.64846774193548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32</v>
      </c>
      <c r="F43" s="63">
        <v>31.8</v>
      </c>
      <c r="G43" s="63">
        <v>32.200000000000003</v>
      </c>
      <c r="H43" s="63">
        <v>32</v>
      </c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36">
        <f t="shared" si="0"/>
        <v>32</v>
      </c>
      <c r="AK43" s="21">
        <f t="shared" si="1"/>
        <v>32.200000000000003</v>
      </c>
      <c r="AL43" s="22">
        <v>35.4</v>
      </c>
      <c r="AM43" s="23">
        <f t="shared" si="2"/>
        <v>-3.1999999999999957</v>
      </c>
      <c r="AN43" s="23">
        <v>31.022074370307589</v>
      </c>
      <c r="AO43" s="23" t="str">
        <f t="shared" si="7"/>
        <v/>
      </c>
      <c r="AP43" s="23" t="str">
        <f t="shared" si="4"/>
        <v/>
      </c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32</v>
      </c>
      <c r="F44" s="29">
        <v>31</v>
      </c>
      <c r="G44" s="29">
        <v>31.3</v>
      </c>
      <c r="H44" s="29">
        <v>29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63"/>
      <c r="AF44" s="63"/>
      <c r="AG44" s="63"/>
      <c r="AH44" s="63"/>
      <c r="AI44" s="63"/>
      <c r="AJ44" s="36">
        <f t="shared" si="0"/>
        <v>29</v>
      </c>
      <c r="AK44" s="21">
        <f t="shared" si="1"/>
        <v>32</v>
      </c>
      <c r="AL44" s="22">
        <v>34.4</v>
      </c>
      <c r="AM44" s="23">
        <f t="shared" si="2"/>
        <v>-2.3999999999999986</v>
      </c>
      <c r="AN44" s="23">
        <v>30.14398006331821</v>
      </c>
      <c r="AO44" s="23" t="str">
        <f t="shared" si="7"/>
        <v/>
      </c>
      <c r="AP44" s="23" t="str">
        <f t="shared" si="4"/>
        <v/>
      </c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</v>
      </c>
      <c r="F45" s="63">
        <v>33.200000000000003</v>
      </c>
      <c r="G45" s="63">
        <v>32</v>
      </c>
      <c r="H45" s="63">
        <v>30.6</v>
      </c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36">
        <f t="shared" si="0"/>
        <v>30.6</v>
      </c>
      <c r="AK45" s="21">
        <f t="shared" si="1"/>
        <v>33.200000000000003</v>
      </c>
      <c r="AL45" s="22">
        <v>35</v>
      </c>
      <c r="AM45" s="23">
        <f t="shared" si="2"/>
        <v>-1.7999999999999972</v>
      </c>
      <c r="AN45" s="23">
        <v>30.420577139515899</v>
      </c>
      <c r="AO45" s="23" t="str">
        <f t="shared" si="7"/>
        <v/>
      </c>
      <c r="AP45" s="23" t="str">
        <f t="shared" si="4"/>
        <v/>
      </c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 t="e">
        <f t="shared" si="0"/>
        <v>#N/A</v>
      </c>
      <c r="AK46" s="21">
        <f t="shared" si="1"/>
        <v>0</v>
      </c>
      <c r="AL46" s="22">
        <v>32.799999999999997</v>
      </c>
      <c r="AM46" s="23" t="str">
        <f t="shared" si="2"/>
        <v/>
      </c>
      <c r="AN46" s="23">
        <v>27.456970337411931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>
        <f t="shared" si="1"/>
        <v>0</v>
      </c>
      <c r="AL47" s="22"/>
      <c r="AM47" s="23" t="str">
        <f t="shared" si="2"/>
        <v/>
      </c>
      <c r="AN47" s="23">
        <v>30.20336791881952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27.8</v>
      </c>
      <c r="F48" s="63">
        <v>32.6</v>
      </c>
      <c r="G48" s="63">
        <v>31.9</v>
      </c>
      <c r="H48" s="63">
        <v>32</v>
      </c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36">
        <f t="shared" si="0"/>
        <v>32</v>
      </c>
      <c r="AK48" s="21">
        <f t="shared" si="1"/>
        <v>32.6</v>
      </c>
      <c r="AL48" s="22">
        <v>35.700000000000003</v>
      </c>
      <c r="AM48" s="23">
        <f t="shared" si="2"/>
        <v>-3.1000000000000014</v>
      </c>
      <c r="AN48" s="23">
        <v>31.390004135649299</v>
      </c>
      <c r="AO48" s="23" t="str">
        <f t="shared" si="7"/>
        <v/>
      </c>
      <c r="AP48" s="23" t="str">
        <f t="shared" si="4"/>
        <v/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mergeCells count="1">
    <mergeCell ref="E1:AA1"/>
  </mergeCells>
  <conditionalFormatting sqref="E17:H33 E35:M36 E38:M42 E5:M15 I17:M24 Y25:AD25 I26:M33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17:H33 E35:M36 E38:M42 O41:AI41 AE44:AI44 E5:M15 I17:M24 I26:M33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20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07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5:M15 I17:M24 E17:H33 O25 T25:W25 Y25:AD25 AF25 AI25 I26:M33 O29:AI29 E35:M36 E38:M42 E43:AI43 K44:AC44 AE44:AI44 E44:J46 K45:M46 E48:M48">
    <cfRule type="cellIs" dxfId="691" priority="2224" stopIfTrue="1" operator="between">
      <formula>-9.9</formula>
      <formula>-10</formula>
    </cfRule>
    <cfRule type="cellIs" dxfId="690" priority="2225" stopIfTrue="1" operator="between">
      <formula>-9.9</formula>
      <formula>-10</formula>
    </cfRule>
    <cfRule type="cellIs" dxfId="689" priority="2223" stopIfTrue="1" operator="between">
      <formula>-8.1</formula>
      <formula>-10</formula>
    </cfRule>
    <cfRule type="cellIs" dxfId="688" priority="2226" stopIfTrue="1" operator="equal">
      <formula>"SD"</formula>
    </cfRule>
    <cfRule type="cellIs" dxfId="687" priority="2222" stopIfTrue="1" operator="equal">
      <formula>"40.0"</formula>
    </cfRule>
  </conditionalFormatting>
  <conditionalFormatting sqref="E5:M15 I17:M24 E17:H33 Y25:AD25 I26:M33 O29:AI29 E35:M36 E38:M42 O41:AI41 E43:AI43 AE44:AI44 E45:M46 E48:M48">
    <cfRule type="cellIs" dxfId="686" priority="2212" stopIfTrue="1" operator="between">
      <formula>-9.9</formula>
      <formula>-10</formula>
    </cfRule>
    <cfRule type="cellIs" dxfId="685" priority="2213" stopIfTrue="1" operator="equal">
      <formula>"SD"</formula>
    </cfRule>
    <cfRule type="cellIs" dxfId="684" priority="2210" stopIfTrue="1" operator="between">
      <formula>-8.1</formula>
      <formula>-10</formula>
    </cfRule>
    <cfRule type="cellIs" dxfId="683" priority="2211" stopIfTrue="1" operator="between">
      <formula>-9.9</formula>
      <formula>-10</formula>
    </cfRule>
    <cfRule type="cellIs" dxfId="682" priority="2209" stopIfTrue="1" operator="equal">
      <formula>"40.0"</formula>
    </cfRule>
  </conditionalFormatting>
  <conditionalFormatting sqref="E22:M22 O22:AC22 AE22:AI22">
    <cfRule type="cellIs" dxfId="681" priority="1461" stopIfTrue="1" operator="between">
      <formula>-9.9</formula>
      <formula>-10</formula>
    </cfRule>
    <cfRule type="cellIs" dxfId="680" priority="1462" stopIfTrue="1" operator="equal">
      <formula>"SD"</formula>
    </cfRule>
    <cfRule type="cellIs" dxfId="679" priority="1467" stopIfTrue="1" operator="between">
      <formula>-9.9</formula>
      <formula>-10</formula>
    </cfRule>
    <cfRule type="cellIs" dxfId="678" priority="1466" stopIfTrue="1" operator="between">
      <formula>-9.9</formula>
      <formula>-10</formula>
    </cfRule>
    <cfRule type="containsText" dxfId="677" priority="1733" stopIfTrue="1" operator="containsText" text="sd">
      <formula>NOT(ISERROR(SEARCH("sd",E22)))</formula>
    </cfRule>
    <cfRule type="cellIs" dxfId="676" priority="1459" stopIfTrue="1" operator="between">
      <formula>-8.1</formula>
      <formula>-10</formula>
    </cfRule>
    <cfRule type="cellIs" dxfId="675" priority="1458" stopIfTrue="1" operator="equal">
      <formula>"40.0"</formula>
    </cfRule>
    <cfRule type="cellIs" dxfId="674" priority="1468" stopIfTrue="1" operator="equal">
      <formula>"SD"</formula>
    </cfRule>
    <cfRule type="cellIs" dxfId="673" priority="1460" stopIfTrue="1" operator="between">
      <formula>-9.9</formula>
      <formula>-10</formula>
    </cfRule>
    <cfRule type="cellIs" dxfId="672" priority="1463" stopIfTrue="1" operator="between">
      <formula>45</formula>
      <formula>100</formula>
    </cfRule>
    <cfRule type="cellIs" dxfId="671" priority="1464" stopIfTrue="1" operator="equal">
      <formula>"40.0"</formula>
    </cfRule>
    <cfRule type="cellIs" dxfId="670" priority="1465" stopIfTrue="1" operator="between">
      <formula>-8.1</formula>
      <formula>-10</formula>
    </cfRule>
    <cfRule type="containsText" dxfId="669" priority="1689" stopIfTrue="1" operator="containsText" text="sd">
      <formula>NOT(ISERROR(SEARCH("sd",E22)))</formula>
    </cfRule>
  </conditionalFormatting>
  <conditionalFormatting sqref="E22:M22 AE22:AI22 O22:AC22">
    <cfRule type="containsText" dxfId="668" priority="1688" stopIfTrue="1" operator="containsText" text="sd">
      <formula>NOT(ISERROR(SEARCH("sd",E22)))</formula>
    </cfRule>
    <cfRule type="containsText" dxfId="667" priority="1732" stopIfTrue="1" operator="containsText" text="sd">
      <formula>NOT(ISERROR(SEARCH("sd",E22)))</formula>
    </cfRule>
  </conditionalFormatting>
  <conditionalFormatting sqref="E22:M22">
    <cfRule type="containsText" dxfId="666" priority="1731" stopIfTrue="1" operator="containsText" text="sd">
      <formula>NOT(ISERROR(SEARCH("sd",E22)))</formula>
    </cfRule>
    <cfRule type="containsText" dxfId="665" priority="1730" stopIfTrue="1" operator="containsText" text="sd">
      <formula>NOT(ISERROR(SEARCH("sd",E22)))</formula>
    </cfRule>
    <cfRule type="containsText" dxfId="664" priority="1729" stopIfTrue="1" operator="containsText" text="sd">
      <formula>NOT(ISERROR(SEARCH("sd",E22)))</formula>
    </cfRule>
    <cfRule type="containsText" dxfId="663" priority="1728" stopIfTrue="1" operator="containsText" text="sd">
      <formula>NOT(ISERROR(SEARCH("sd",E22)))</formula>
    </cfRule>
    <cfRule type="containsText" dxfId="662" priority="1684" stopIfTrue="1" operator="containsText" text="sd">
      <formula>NOT(ISERROR(SEARCH("sd",E22)))</formula>
    </cfRule>
    <cfRule type="containsText" dxfId="661" priority="1685" stopIfTrue="1" operator="containsText" text="sd">
      <formula>NOT(ISERROR(SEARCH("sd",E22)))</formula>
    </cfRule>
    <cfRule type="containsText" dxfId="660" priority="1686" stopIfTrue="1" operator="containsText" text="sd">
      <formula>NOT(ISERROR(SEARCH("sd",E22)))</formula>
    </cfRule>
    <cfRule type="containsText" dxfId="659" priority="1687" stopIfTrue="1" operator="containsText" text="sd">
      <formula>NOT(ISERROR(SEARCH("sd",E22)))</formula>
    </cfRule>
  </conditionalFormatting>
  <conditionalFormatting sqref="E29:M29 O29:AI29">
    <cfRule type="containsText" dxfId="658" priority="504" stopIfTrue="1" operator="containsText" text="sd">
      <formula>NOT(ISERROR(SEARCH("sd",E29)))</formula>
    </cfRule>
    <cfRule type="containsText" dxfId="657" priority="503" stopIfTrue="1" operator="containsText" text="sd">
      <formula>NOT(ISERROR(SEARCH("sd",E29)))</formula>
    </cfRule>
    <cfRule type="containsText" dxfId="656" priority="501" stopIfTrue="1" operator="containsText" text="sd">
      <formula>NOT(ISERROR(SEARCH("sd",E29)))</formula>
    </cfRule>
    <cfRule type="containsText" dxfId="655" priority="499" stopIfTrue="1" operator="containsText" text="sd">
      <formula>NOT(ISERROR(SEARCH("sd",E29)))</formula>
    </cfRule>
    <cfRule type="cellIs" dxfId="654" priority="483" stopIfTrue="1" operator="between">
      <formula>-8.1</formula>
      <formula>-10</formula>
    </cfRule>
    <cfRule type="cellIs" dxfId="653" priority="490" stopIfTrue="1" operator="between">
      <formula>-9.9</formula>
      <formula>-10</formula>
    </cfRule>
    <cfRule type="cellIs" dxfId="652" priority="489" stopIfTrue="1" operator="between">
      <formula>-8.1</formula>
      <formula>-10</formula>
    </cfRule>
    <cfRule type="cellIs" dxfId="651" priority="488" stopIfTrue="1" operator="equal">
      <formula>"40.0"</formula>
    </cfRule>
    <cfRule type="cellIs" dxfId="650" priority="487" stopIfTrue="1" operator="between">
      <formula>45</formula>
      <formula>100</formula>
    </cfRule>
    <cfRule type="cellIs" dxfId="649" priority="486" stopIfTrue="1" operator="equal">
      <formula>"SD"</formula>
    </cfRule>
    <cfRule type="cellIs" dxfId="648" priority="485" stopIfTrue="1" operator="between">
      <formula>-9.9</formula>
      <formula>-10</formula>
    </cfRule>
    <cfRule type="cellIs" dxfId="647" priority="484" stopIfTrue="1" operator="between">
      <formula>-9.9</formula>
      <formula>-10</formula>
    </cfRule>
    <cfRule type="containsText" dxfId="646" priority="494" stopIfTrue="1" operator="containsText" text="sd">
      <formula>NOT(ISERROR(SEARCH("sd",E29)))</formula>
    </cfRule>
    <cfRule type="cellIs" dxfId="645" priority="491" stopIfTrue="1" operator="between">
      <formula>-9.9</formula>
      <formula>-10</formula>
    </cfRule>
    <cfRule type="cellIs" dxfId="644" priority="492" stopIfTrue="1" operator="equal">
      <formula>"SD"</formula>
    </cfRule>
    <cfRule type="cellIs" dxfId="643" priority="482" stopIfTrue="1" operator="equal">
      <formula>"40.0"</formula>
    </cfRule>
    <cfRule type="cellIs" dxfId="642" priority="481" stopIfTrue="1" operator="between">
      <formula>45</formula>
      <formula>100</formula>
    </cfRule>
    <cfRule type="containsText" dxfId="641" priority="496" stopIfTrue="1" operator="containsText" text="sd">
      <formula>NOT(ISERROR(SEARCH("sd",E29)))</formula>
    </cfRule>
    <cfRule type="containsText" dxfId="640" priority="502" stopIfTrue="1" operator="containsText" text="sd">
      <formula>NOT(ISERROR(SEARCH("sd",E29)))</formula>
    </cfRule>
    <cfRule type="containsText" dxfId="639" priority="493" stopIfTrue="1" operator="containsText" text="sd">
      <formula>NOT(ISERROR(SEARCH("sd",E29)))</formula>
    </cfRule>
    <cfRule type="containsText" dxfId="638" priority="495" stopIfTrue="1" operator="containsText" text="sd">
      <formula>NOT(ISERROR(SEARCH("sd",E29)))</formula>
    </cfRule>
    <cfRule type="containsText" dxfId="637" priority="497" stopIfTrue="1" operator="containsText" text="sd">
      <formula>NOT(ISERROR(SEARCH("sd",E29)))</formula>
    </cfRule>
    <cfRule type="containsText" dxfId="636" priority="498" stopIfTrue="1" operator="containsText" text="sd">
      <formula>NOT(ISERROR(SEARCH("sd",E29)))</formula>
    </cfRule>
    <cfRule type="containsText" dxfId="635" priority="500" stopIfTrue="1" operator="containsText" text="sd">
      <formula>NOT(ISERROR(SEARCH("sd",E29)))</formula>
    </cfRule>
  </conditionalFormatting>
  <conditionalFormatting sqref="E36:M36 E42:M42 E25:H25">
    <cfRule type="containsText" dxfId="634" priority="2206" stopIfTrue="1" operator="containsText" text="sd">
      <formula>NOT(ISERROR(SEARCH("sd",E25)))</formula>
    </cfRule>
  </conditionalFormatting>
  <conditionalFormatting sqref="E36:M36 O36:AC36 AE36:AI36">
    <cfRule type="cellIs" dxfId="633" priority="1221" stopIfTrue="1" operator="between">
      <formula>45</formula>
      <formula>100</formula>
    </cfRule>
    <cfRule type="cellIs" dxfId="632" priority="1220" stopIfTrue="1" operator="equal">
      <formula>"SD"</formula>
    </cfRule>
    <cfRule type="cellIs" dxfId="631" priority="1222" stopIfTrue="1" operator="equal">
      <formula>"40.0"</formula>
    </cfRule>
    <cfRule type="cellIs" dxfId="630" priority="1223" stopIfTrue="1" operator="between">
      <formula>-8.1</formula>
      <formula>-10</formula>
    </cfRule>
    <cfRule type="cellIs" dxfId="629" priority="1224" stopIfTrue="1" operator="between">
      <formula>-9.9</formula>
      <formula>-10</formula>
    </cfRule>
    <cfRule type="cellIs" dxfId="628" priority="1216" stopIfTrue="1" operator="equal">
      <formula>"40.0"</formula>
    </cfRule>
    <cfRule type="cellIs" dxfId="627" priority="1225" stopIfTrue="1" operator="between">
      <formula>-9.9</formula>
      <formula>-10</formula>
    </cfRule>
    <cfRule type="cellIs" dxfId="626" priority="1217" stopIfTrue="1" operator="between">
      <formula>-8.1</formula>
      <formula>-10</formula>
    </cfRule>
    <cfRule type="containsText" dxfId="625" priority="1337" stopIfTrue="1" operator="containsText" text="sd">
      <formula>NOT(ISERROR(SEARCH("sd",E36)))</formula>
    </cfRule>
    <cfRule type="containsText" dxfId="624" priority="1338" stopIfTrue="1" operator="containsText" text="sd">
      <formula>NOT(ISERROR(SEARCH("sd",E36)))</formula>
    </cfRule>
    <cfRule type="cellIs" dxfId="623" priority="1218" stopIfTrue="1" operator="between">
      <formula>-9.9</formula>
      <formula>-10</formula>
    </cfRule>
    <cfRule type="cellIs" dxfId="622" priority="1219" stopIfTrue="1" operator="between">
      <formula>-9.9</formula>
      <formula>-10</formula>
    </cfRule>
    <cfRule type="containsText" dxfId="621" priority="1336" stopIfTrue="1" operator="containsText" text="sd">
      <formula>NOT(ISERROR(SEARCH("sd",E36)))</formula>
    </cfRule>
    <cfRule type="cellIs" dxfId="620" priority="1226" stopIfTrue="1" operator="equal">
      <formula>"SD"</formula>
    </cfRule>
  </conditionalFormatting>
  <conditionalFormatting sqref="E36:M36 AE36:AI36 O36:AC36">
    <cfRule type="containsText" dxfId="619" priority="1335" stopIfTrue="1" operator="containsText" text="sd">
      <formula>NOT(ISERROR(SEARCH("sd",E36)))</formula>
    </cfRule>
  </conditionalFormatting>
  <conditionalFormatting sqref="E36:M36">
    <cfRule type="containsText" dxfId="618" priority="1334" stopIfTrue="1" operator="containsText" text="sd">
      <formula>NOT(ISERROR(SEARCH("sd",E36)))</formula>
    </cfRule>
    <cfRule type="containsText" dxfId="617" priority="1333" stopIfTrue="1" operator="containsText" text="sd">
      <formula>NOT(ISERROR(SEARCH("sd",E36)))</formula>
    </cfRule>
    <cfRule type="containsText" dxfId="616" priority="1330" stopIfTrue="1" operator="containsText" text="sd">
      <formula>NOT(ISERROR(SEARCH("sd",E36)))</formula>
    </cfRule>
    <cfRule type="containsText" dxfId="615" priority="1332" stopIfTrue="1" operator="containsText" text="sd">
      <formula>NOT(ISERROR(SEARCH("sd",E36)))</formula>
    </cfRule>
    <cfRule type="containsText" dxfId="614" priority="1331" stopIfTrue="1" operator="containsText" text="sd">
      <formula>NOT(ISERROR(SEARCH("sd",E36)))</formula>
    </cfRule>
    <cfRule type="containsText" dxfId="613" priority="1329" stopIfTrue="1" operator="containsText" text="sd">
      <formula>NOT(ISERROR(SEARCH("sd",E36)))</formula>
    </cfRule>
    <cfRule type="containsText" dxfId="612" priority="1328" stopIfTrue="1" operator="containsText" text="sd">
      <formula>NOT(ISERROR(SEARCH("sd",E36)))</formula>
    </cfRule>
    <cfRule type="containsText" dxfId="611" priority="1327" stopIfTrue="1" operator="containsText" text="sd">
      <formula>NOT(ISERROR(SEARCH("sd",E36)))</formula>
    </cfRule>
  </conditionalFormatting>
  <conditionalFormatting sqref="E42:M42 O42:AC42 AE42:AI42">
    <cfRule type="cellIs" dxfId="610" priority="978" stopIfTrue="1" operator="between">
      <formula>-9.9</formula>
      <formula>-10</formula>
    </cfRule>
    <cfRule type="cellIs" dxfId="609" priority="977" stopIfTrue="1" operator="between">
      <formula>-8.1</formula>
      <formula>-10</formula>
    </cfRule>
    <cfRule type="cellIs" dxfId="608" priority="976" stopIfTrue="1" operator="equal">
      <formula>"40.0"</formula>
    </cfRule>
    <cfRule type="containsText" dxfId="607" priority="1098" stopIfTrue="1" operator="containsText" text="sd">
      <formula>NOT(ISERROR(SEARCH("sd",E42)))</formula>
    </cfRule>
    <cfRule type="containsText" dxfId="606" priority="1097" stopIfTrue="1" operator="containsText" text="sd">
      <formula>NOT(ISERROR(SEARCH("sd",E42)))</formula>
    </cfRule>
    <cfRule type="containsText" dxfId="605" priority="1096" stopIfTrue="1" operator="containsText" text="sd">
      <formula>NOT(ISERROR(SEARCH("sd",E42)))</formula>
    </cfRule>
    <cfRule type="cellIs" dxfId="604" priority="986" stopIfTrue="1" operator="equal">
      <formula>"SD"</formula>
    </cfRule>
    <cfRule type="cellIs" dxfId="603" priority="985" stopIfTrue="1" operator="between">
      <formula>-9.9</formula>
      <formula>-10</formula>
    </cfRule>
    <cfRule type="cellIs" dxfId="602" priority="984" stopIfTrue="1" operator="between">
      <formula>-9.9</formula>
      <formula>-10</formula>
    </cfRule>
    <cfRule type="cellIs" dxfId="601" priority="983" stopIfTrue="1" operator="between">
      <formula>-8.1</formula>
      <formula>-10</formula>
    </cfRule>
    <cfRule type="cellIs" dxfId="600" priority="982" stopIfTrue="1" operator="equal">
      <formula>"40.0"</formula>
    </cfRule>
    <cfRule type="cellIs" dxfId="599" priority="981" stopIfTrue="1" operator="between">
      <formula>45</formula>
      <formula>100</formula>
    </cfRule>
    <cfRule type="cellIs" dxfId="598" priority="980" stopIfTrue="1" operator="equal">
      <formula>"SD"</formula>
    </cfRule>
    <cfRule type="cellIs" dxfId="597" priority="979" stopIfTrue="1" operator="between">
      <formula>-9.9</formula>
      <formula>-10</formula>
    </cfRule>
  </conditionalFormatting>
  <conditionalFormatting sqref="E42:M42 AE42:AI42 O42:AC42">
    <cfRule type="containsText" dxfId="596" priority="1095" stopIfTrue="1" operator="containsText" text="sd">
      <formula>NOT(ISERROR(SEARCH("sd",E42)))</formula>
    </cfRule>
  </conditionalFormatting>
  <conditionalFormatting sqref="E42:M42">
    <cfRule type="containsText" dxfId="595" priority="1092" stopIfTrue="1" operator="containsText" text="sd">
      <formula>NOT(ISERROR(SEARCH("sd",E42)))</formula>
    </cfRule>
    <cfRule type="containsText" dxfId="594" priority="1094" stopIfTrue="1" operator="containsText" text="sd">
      <formula>NOT(ISERROR(SEARCH("sd",E42)))</formula>
    </cfRule>
    <cfRule type="containsText" dxfId="593" priority="1088" stopIfTrue="1" operator="containsText" text="sd">
      <formula>NOT(ISERROR(SEARCH("sd",E42)))</formula>
    </cfRule>
    <cfRule type="containsText" dxfId="592" priority="1091" stopIfTrue="1" operator="containsText" text="sd">
      <formula>NOT(ISERROR(SEARCH("sd",E42)))</formula>
    </cfRule>
    <cfRule type="containsText" dxfId="591" priority="1090" stopIfTrue="1" operator="containsText" text="sd">
      <formula>NOT(ISERROR(SEARCH("sd",E42)))</formula>
    </cfRule>
    <cfRule type="containsText" dxfId="590" priority="1089" stopIfTrue="1" operator="containsText" text="sd">
      <formula>NOT(ISERROR(SEARCH("sd",E42)))</formula>
    </cfRule>
    <cfRule type="containsText" dxfId="589" priority="1087" stopIfTrue="1" operator="containsText" text="sd">
      <formula>NOT(ISERROR(SEARCH("sd",E42)))</formula>
    </cfRule>
    <cfRule type="containsText" dxfId="588" priority="1093" stopIfTrue="1" operator="containsText" text="sd">
      <formula>NOT(ISERROR(SEARCH("sd",E42)))</formula>
    </cfRule>
  </conditionalFormatting>
  <conditionalFormatting sqref="E47:M47 O47:AI47">
    <cfRule type="cellIs" dxfId="587" priority="1484" stopIfTrue="1" operator="between">
      <formula>-9.9</formula>
      <formula>-10</formula>
    </cfRule>
    <cfRule type="cellIs" dxfId="586" priority="1485" stopIfTrue="1" operator="between">
      <formula>-9.9</formula>
      <formula>-10</formula>
    </cfRule>
    <cfRule type="cellIs" dxfId="585" priority="1476" stopIfTrue="1" operator="equal">
      <formula>"40.0"</formula>
    </cfRule>
    <cfRule type="cellIs" dxfId="584" priority="1477" stopIfTrue="1" operator="between">
      <formula>-8.1</formula>
      <formula>-10</formula>
    </cfRule>
    <cfRule type="cellIs" dxfId="583" priority="1486" stopIfTrue="1" operator="equal">
      <formula>"SD"</formula>
    </cfRule>
    <cfRule type="cellIs" dxfId="582" priority="1475" stopIfTrue="1" operator="between">
      <formula>45</formula>
      <formula>100</formula>
    </cfRule>
    <cfRule type="cellIs" dxfId="581" priority="1483" stopIfTrue="1" operator="between">
      <formula>-8.1</formula>
      <formula>-10</formula>
    </cfRule>
    <cfRule type="cellIs" dxfId="580" priority="1478" stopIfTrue="1" operator="between">
      <formula>-9.9</formula>
      <formula>-10</formula>
    </cfRule>
    <cfRule type="cellIs" dxfId="579" priority="1479" stopIfTrue="1" operator="between">
      <formula>-9.9</formula>
      <formula>-10</formula>
    </cfRule>
    <cfRule type="cellIs" dxfId="578" priority="1480" stopIfTrue="1" operator="equal">
      <formula>"SD"</formula>
    </cfRule>
    <cfRule type="cellIs" dxfId="577" priority="1481" stopIfTrue="1" operator="between">
      <formula>45</formula>
      <formula>100</formula>
    </cfRule>
    <cfRule type="cellIs" dxfId="576" priority="1482" stopIfTrue="1" operator="equal">
      <formula>"40.0"</formula>
    </cfRule>
  </conditionalFormatting>
  <conditionalFormatting sqref="E36:N36">
    <cfRule type="cellIs" dxfId="575" priority="224" stopIfTrue="1" operator="between">
      <formula>-9.9</formula>
      <formula>-10</formula>
    </cfRule>
    <cfRule type="cellIs" dxfId="574" priority="226" stopIfTrue="1" operator="equal">
      <formula>"SD"</formula>
    </cfRule>
    <cfRule type="cellIs" dxfId="573" priority="225" stopIfTrue="1" operator="between">
      <formula>-9.9</formula>
      <formula>-10</formula>
    </cfRule>
  </conditionalFormatting>
  <conditionalFormatting sqref="E42:N42">
    <cfRule type="cellIs" dxfId="572" priority="195" stopIfTrue="1" operator="equal">
      <formula>"SD"</formula>
    </cfRule>
    <cfRule type="cellIs" dxfId="571" priority="194" stopIfTrue="1" operator="between">
      <formula>-9.9</formula>
      <formula>-10</formula>
    </cfRule>
  </conditionalFormatting>
  <conditionalFormatting sqref="E22:R22">
    <cfRule type="cellIs" dxfId="570" priority="254" stopIfTrue="1" operator="equal">
      <formula>"SD"</formula>
    </cfRule>
    <cfRule type="cellIs" dxfId="569" priority="253" stopIfTrue="1" operator="between">
      <formula>-9.9</formula>
      <formula>-10</formula>
    </cfRule>
    <cfRule type="cellIs" dxfId="568" priority="252" stopIfTrue="1" operator="between">
      <formula>-9.9</formula>
      <formula>-10</formula>
    </cfRule>
    <cfRule type="cellIs" dxfId="567" priority="251" stopIfTrue="1" operator="between">
      <formula>-8.1</formula>
      <formula>-10</formula>
    </cfRule>
    <cfRule type="cellIs" dxfId="566" priority="250" stopIfTrue="1" operator="equal">
      <formula>"40.0"</formula>
    </cfRule>
    <cfRule type="cellIs" dxfId="565" priority="249" stopIfTrue="1" operator="between">
      <formula>45</formula>
      <formula>100</formula>
    </cfRule>
  </conditionalFormatting>
  <conditionalFormatting sqref="E36:R36">
    <cfRule type="cellIs" dxfId="564" priority="221" stopIfTrue="1" operator="between">
      <formula>45</formula>
      <formula>100</formula>
    </cfRule>
    <cfRule type="cellIs" dxfId="563" priority="222" stopIfTrue="1" operator="equal">
      <formula>"40.0"</formula>
    </cfRule>
    <cfRule type="cellIs" dxfId="562" priority="223" stopIfTrue="1" operator="between">
      <formula>-8.1</formula>
      <formula>-10</formula>
    </cfRule>
  </conditionalFormatting>
  <conditionalFormatting sqref="E42:R42">
    <cfRule type="cellIs" dxfId="561" priority="190" stopIfTrue="1" operator="between">
      <formula>45</formula>
      <formula>100</formula>
    </cfRule>
    <cfRule type="cellIs" dxfId="560" priority="191" stopIfTrue="1" operator="equal">
      <formula>"40.0"</formula>
    </cfRule>
    <cfRule type="cellIs" dxfId="559" priority="192" stopIfTrue="1" operator="between">
      <formula>-8.1</formula>
      <formula>-10</formula>
    </cfRule>
    <cfRule type="cellIs" dxfId="558" priority="193" stopIfTrue="1" operator="between">
      <formula>-9.9</formula>
      <formula>-10</formula>
    </cfRule>
  </conditionalFormatting>
  <conditionalFormatting sqref="E44:AD44">
    <cfRule type="cellIs" dxfId="557" priority="394" stopIfTrue="1" operator="equal">
      <formula>"SD"</formula>
    </cfRule>
    <cfRule type="cellIs" dxfId="556" priority="393" stopIfTrue="1" operator="between">
      <formula>-9.9</formula>
      <formula>-10</formula>
    </cfRule>
    <cfRule type="cellIs" dxfId="555" priority="392" stopIfTrue="1" operator="between">
      <formula>-9.9</formula>
      <formula>-10</formula>
    </cfRule>
    <cfRule type="cellIs" dxfId="554" priority="390" stopIfTrue="1" operator="equal">
      <formula>"40.0"</formula>
    </cfRule>
    <cfRule type="cellIs" dxfId="553" priority="389" stopIfTrue="1" operator="between">
      <formula>45</formula>
      <formula>100</formula>
    </cfRule>
    <cfRule type="cellIs" dxfId="552" priority="391" stopIfTrue="1" operator="between">
      <formula>-8.1</formula>
      <formula>-10</formula>
    </cfRule>
  </conditionalFormatting>
  <conditionalFormatting sqref="E47:AI47">
    <cfRule type="cellIs" dxfId="551" priority="272" stopIfTrue="1" operator="equal">
      <formula>"SD"</formula>
    </cfRule>
    <cfRule type="cellIs" dxfId="550" priority="270" stopIfTrue="1" operator="between">
      <formula>-9.9</formula>
      <formula>-10</formula>
    </cfRule>
    <cfRule type="cellIs" dxfId="549" priority="269" stopIfTrue="1" operator="between">
      <formula>-8.1</formula>
      <formula>-10</formula>
    </cfRule>
    <cfRule type="cellIs" dxfId="548" priority="268" stopIfTrue="1" operator="equal">
      <formula>"40.0"</formula>
    </cfRule>
    <cfRule type="cellIs" dxfId="547" priority="267" stopIfTrue="1" operator="between">
      <formula>45</formula>
      <formula>100</formula>
    </cfRule>
    <cfRule type="cellIs" dxfId="546" priority="271" stopIfTrue="1" operator="between">
      <formula>-9.9</formula>
      <formula>-10</formula>
    </cfRule>
  </conditionalFormatting>
  <conditionalFormatting sqref="I5:I15 I17:I24 I26:I28 I30:I33 I35:I36 I38:I42 I45:I46 I48">
    <cfRule type="cellIs" dxfId="545" priority="1874" stopIfTrue="1" operator="between">
      <formula>-8.1</formula>
      <formula>-10</formula>
    </cfRule>
    <cfRule type="cellIs" dxfId="544" priority="1873" stopIfTrue="1" operator="equal">
      <formula>"40.0"</formula>
    </cfRule>
    <cfRule type="cellIs" dxfId="543" priority="1876" stopIfTrue="1" operator="between">
      <formula>-9.9</formula>
      <formula>-10</formula>
    </cfRule>
    <cfRule type="cellIs" dxfId="542" priority="1877" stopIfTrue="1" operator="equal">
      <formula>"SD"</formula>
    </cfRule>
    <cfRule type="cellIs" dxfId="541" priority="1875" stopIfTrue="1" operator="between">
      <formula>-9.9</formula>
      <formula>-10</formula>
    </cfRule>
  </conditionalFormatting>
  <conditionalFormatting sqref="I5:I15 I17:I28 I30:I33 I35:I36 I38:I42 I45:I46 I48">
    <cfRule type="cellIs" dxfId="540" priority="1888" stopIfTrue="1" operator="between">
      <formula>-9.9</formula>
      <formula>-10</formula>
    </cfRule>
    <cfRule type="cellIs" dxfId="539" priority="1889" stopIfTrue="1" operator="between">
      <formula>-9.9</formula>
      <formula>-10</formula>
    </cfRule>
    <cfRule type="cellIs" dxfId="538" priority="1886" stopIfTrue="1" operator="equal">
      <formula>"40.0"</formula>
    </cfRule>
    <cfRule type="cellIs" dxfId="537" priority="1890" stopIfTrue="1" operator="equal">
      <formula>"SD"</formula>
    </cfRule>
    <cfRule type="cellIs" dxfId="536" priority="1887" stopIfTrue="1" operator="between">
      <formula>-8.1</formula>
      <formula>-10</formula>
    </cfRule>
  </conditionalFormatting>
  <conditionalFormatting sqref="I5:I15 I17:I28">
    <cfRule type="cellIs" dxfId="535" priority="1851" stopIfTrue="1" operator="equal">
      <formula>"SD"</formula>
    </cfRule>
    <cfRule type="cellIs" dxfId="534" priority="1847" stopIfTrue="1" operator="equal">
      <formula>"40.0"</formula>
    </cfRule>
    <cfRule type="cellIs" dxfId="533" priority="1850" stopIfTrue="1" operator="between">
      <formula>-9.9</formula>
      <formula>-10</formula>
    </cfRule>
    <cfRule type="cellIs" dxfId="532" priority="1849" stopIfTrue="1" operator="between">
      <formula>-9.9</formula>
      <formula>-10</formula>
    </cfRule>
    <cfRule type="cellIs" dxfId="531" priority="1848" stopIfTrue="1" operator="between">
      <formula>-8.1</formula>
      <formula>-10</formula>
    </cfRule>
  </conditionalFormatting>
  <conditionalFormatting sqref="I17:I28 I5:I15">
    <cfRule type="cellIs" dxfId="530" priority="1846" stopIfTrue="1" operator="between">
      <formula>45</formula>
      <formula>100</formula>
    </cfRule>
  </conditionalFormatting>
  <conditionalFormatting sqref="I22">
    <cfRule type="containsText" dxfId="529" priority="1700" stopIfTrue="1" operator="containsText" text="sd">
      <formula>NOT(ISERROR(SEARCH("sd",I22)))</formula>
    </cfRule>
    <cfRule type="containsText" dxfId="528" priority="1659" stopIfTrue="1" operator="containsText" text="sd">
      <formula>NOT(ISERROR(SEARCH("sd",I22)))</formula>
    </cfRule>
    <cfRule type="containsText" dxfId="527" priority="1703" stopIfTrue="1" operator="containsText" text="sd">
      <formula>NOT(ISERROR(SEARCH("sd",I22)))</formula>
    </cfRule>
    <cfRule type="containsText" dxfId="526" priority="1702" stopIfTrue="1" operator="containsText" text="sd">
      <formula>NOT(ISERROR(SEARCH("sd",I22)))</formula>
    </cfRule>
    <cfRule type="containsText" dxfId="525" priority="1701" stopIfTrue="1" operator="containsText" text="sd">
      <formula>NOT(ISERROR(SEARCH("sd",I22)))</formula>
    </cfRule>
    <cfRule type="containsText" dxfId="524" priority="1698" stopIfTrue="1" operator="containsText" text="sd">
      <formula>NOT(ISERROR(SEARCH("sd",I22)))</formula>
    </cfRule>
    <cfRule type="containsText" dxfId="523" priority="1658" stopIfTrue="1" operator="containsText" text="sd">
      <formula>NOT(ISERROR(SEARCH("sd",I22)))</formula>
    </cfRule>
    <cfRule type="containsText" dxfId="522" priority="1654" stopIfTrue="1" operator="containsText" text="sd">
      <formula>NOT(ISERROR(SEARCH("sd",I22)))</formula>
    </cfRule>
    <cfRule type="containsText" dxfId="521" priority="1655" stopIfTrue="1" operator="containsText" text="sd">
      <formula>NOT(ISERROR(SEARCH("sd",I22)))</formula>
    </cfRule>
    <cfRule type="containsText" dxfId="520" priority="1656" stopIfTrue="1" operator="containsText" text="sd">
      <formula>NOT(ISERROR(SEARCH("sd",I22)))</formula>
    </cfRule>
    <cfRule type="containsText" dxfId="519" priority="1657" stopIfTrue="1" operator="containsText" text="sd">
      <formula>NOT(ISERROR(SEARCH("sd",I22)))</formula>
    </cfRule>
    <cfRule type="containsText" dxfId="518" priority="1699" stopIfTrue="1" operator="containsText" text="sd">
      <formula>NOT(ISERROR(SEARCH("sd",I22)))</formula>
    </cfRule>
  </conditionalFormatting>
  <conditionalFormatting sqref="I30:I33 I35:I36 I38:I42 I45:I46 I48">
    <cfRule type="cellIs" dxfId="517" priority="1861" stopIfTrue="1" operator="between">
      <formula>-8.1</formula>
      <formula>-10</formula>
    </cfRule>
    <cfRule type="cellIs" dxfId="516" priority="1860" stopIfTrue="1" operator="equal">
      <formula>"40.0"</formula>
    </cfRule>
    <cfRule type="cellIs" dxfId="515" priority="1862" stopIfTrue="1" operator="between">
      <formula>-9.9</formula>
      <formula>-10</formula>
    </cfRule>
    <cfRule type="cellIs" dxfId="514" priority="1864" stopIfTrue="1" operator="equal">
      <formula>"SD"</formula>
    </cfRule>
    <cfRule type="cellIs" dxfId="513" priority="1863" stopIfTrue="1" operator="between">
      <formula>-9.9</formula>
      <formula>-10</formula>
    </cfRule>
  </conditionalFormatting>
  <conditionalFormatting sqref="I35:I36 I38:I42 I5:I15 I17:I28 I30:I33 I45:I46 I48">
    <cfRule type="cellIs" dxfId="512" priority="1885" stopIfTrue="1" operator="between">
      <formula>45</formula>
      <formula>100</formula>
    </cfRule>
  </conditionalFormatting>
  <conditionalFormatting sqref="I35:I36 I38:I42 I30:I33 I45:I46 I48 I5:I15 I17:I24 I26:I28">
    <cfRule type="cellIs" dxfId="511" priority="1872" stopIfTrue="1" operator="between">
      <formula>45</formula>
      <formula>100</formula>
    </cfRule>
  </conditionalFormatting>
  <conditionalFormatting sqref="I35:I36 I38:I42 I30:I33 I45:I46 I48">
    <cfRule type="cellIs" dxfId="510" priority="1859" stopIfTrue="1" operator="between">
      <formula>45</formula>
      <formula>100</formula>
    </cfRule>
  </conditionalFormatting>
  <conditionalFormatting sqref="I36 I42">
    <cfRule type="containsText" dxfId="509" priority="1858" stopIfTrue="1" operator="containsText" text="sd">
      <formula>NOT(ISERROR(SEARCH("sd",I36)))</formula>
    </cfRule>
    <cfRule type="containsText" dxfId="508" priority="1857" stopIfTrue="1" operator="containsText" text="sd">
      <formula>NOT(ISERROR(SEARCH("sd",I36)))</formula>
    </cfRule>
    <cfRule type="containsText" dxfId="507" priority="1884" stopIfTrue="1" operator="containsText" text="sd">
      <formula>NOT(ISERROR(SEARCH("sd",I36)))</formula>
    </cfRule>
    <cfRule type="containsText" dxfId="506" priority="1883" stopIfTrue="1" operator="containsText" text="sd">
      <formula>NOT(ISERROR(SEARCH("sd",I36)))</formula>
    </cfRule>
    <cfRule type="containsText" dxfId="505" priority="1871" stopIfTrue="1" operator="containsText" text="sd">
      <formula>NOT(ISERROR(SEARCH("sd",I36)))</formula>
    </cfRule>
    <cfRule type="containsText" dxfId="504" priority="1870" stopIfTrue="1" operator="containsText" text="sd">
      <formula>NOT(ISERROR(SEARCH("sd",I36)))</formula>
    </cfRule>
  </conditionalFormatting>
  <conditionalFormatting sqref="N5:N15 N17:N33 N35:N36 N38:N42 N45:N46 N48">
    <cfRule type="cellIs" dxfId="503" priority="347" stopIfTrue="1" operator="equal">
      <formula>"40.0"</formula>
    </cfRule>
    <cfRule type="cellIs" dxfId="502" priority="348" stopIfTrue="1" operator="between">
      <formula>-8.1</formula>
      <formula>-10</formula>
    </cfRule>
    <cfRule type="cellIs" dxfId="501" priority="349" stopIfTrue="1" operator="between">
      <formula>-9.9</formula>
      <formula>-10</formula>
    </cfRule>
    <cfRule type="cellIs" dxfId="500" priority="351" stopIfTrue="1" operator="equal">
      <formula>"SD"</formula>
    </cfRule>
    <cfRule type="cellIs" dxfId="499" priority="350" stopIfTrue="1" operator="between">
      <formula>-9.9</formula>
      <formula>-10</formula>
    </cfRule>
  </conditionalFormatting>
  <conditionalFormatting sqref="N5:N15 N17:N33 N35:N36 N38:N42">
    <cfRule type="cellIs" dxfId="498" priority="308" stopIfTrue="1" operator="equal">
      <formula>"40.0"</formula>
    </cfRule>
    <cfRule type="cellIs" dxfId="497" priority="310" stopIfTrue="1" operator="between">
      <formula>-9.9</formula>
      <formula>-10</formula>
    </cfRule>
    <cfRule type="cellIs" dxfId="496" priority="311" stopIfTrue="1" operator="between">
      <formula>-9.9</formula>
      <formula>-10</formula>
    </cfRule>
    <cfRule type="cellIs" dxfId="495" priority="312" stopIfTrue="1" operator="equal">
      <formula>"SD"</formula>
    </cfRule>
    <cfRule type="cellIs" dxfId="494" priority="309" stopIfTrue="1" operator="between">
      <formula>-8.1</formula>
      <formula>-10</formula>
    </cfRule>
  </conditionalFormatting>
  <conditionalFormatting sqref="N17:N33 N35:N36 N38:N42 N5:N15 N45:N46 N48">
    <cfRule type="cellIs" dxfId="493" priority="346" stopIfTrue="1" operator="between">
      <formula>45</formula>
      <formula>100</formula>
    </cfRule>
  </conditionalFormatting>
  <conditionalFormatting sqref="N17:N33 N35:N36 N38:N42 N5:N15">
    <cfRule type="cellIs" dxfId="492" priority="307" stopIfTrue="1" operator="between">
      <formula>45</formula>
      <formula>100</formula>
    </cfRule>
  </conditionalFormatting>
  <conditionalFormatting sqref="N22">
    <cfRule type="cellIs" dxfId="491" priority="243" stopIfTrue="1" operator="between">
      <formula>45</formula>
      <formula>100</formula>
    </cfRule>
    <cfRule type="cellIs" dxfId="490" priority="244" stopIfTrue="1" operator="equal">
      <formula>"40.0"</formula>
    </cfRule>
    <cfRule type="cellIs" dxfId="489" priority="245" stopIfTrue="1" operator="between">
      <formula>-8.1</formula>
      <formula>-10</formula>
    </cfRule>
    <cfRule type="cellIs" dxfId="488" priority="246" stopIfTrue="1" operator="between">
      <formula>-9.9</formula>
      <formula>-10</formula>
    </cfRule>
    <cfRule type="cellIs" dxfId="487" priority="247" stopIfTrue="1" operator="between">
      <formula>-9.9</formula>
      <formula>-10</formula>
    </cfRule>
    <cfRule type="cellIs" dxfId="486" priority="248" stopIfTrue="1" operator="equal">
      <formula>"SD"</formula>
    </cfRule>
    <cfRule type="cellIs" dxfId="485" priority="179" stopIfTrue="1" operator="between">
      <formula>-9.9</formula>
      <formula>-10</formula>
    </cfRule>
    <cfRule type="cellIs" dxfId="484" priority="178" stopIfTrue="1" operator="between">
      <formula>-8.1</formula>
      <formula>-10</formula>
    </cfRule>
    <cfRule type="cellIs" dxfId="483" priority="177" stopIfTrue="1" operator="equal">
      <formula>"40.0"</formula>
    </cfRule>
    <cfRule type="cellIs" dxfId="482" priority="176" stopIfTrue="1" operator="between">
      <formula>45</formula>
      <formula>100</formula>
    </cfRule>
    <cfRule type="containsText" dxfId="481" priority="273" stopIfTrue="1" operator="containsText" text="sd">
      <formula>NOT(ISERROR(SEARCH("sd",N22)))</formula>
    </cfRule>
    <cfRule type="containsText" dxfId="480" priority="274" stopIfTrue="1" operator="containsText" text="sd">
      <formula>NOT(ISERROR(SEARCH("sd",N22)))</formula>
    </cfRule>
    <cfRule type="containsText" dxfId="479" priority="275" stopIfTrue="1" operator="containsText" text="sd">
      <formula>NOT(ISERROR(SEARCH("sd",N22)))</formula>
    </cfRule>
    <cfRule type="containsText" dxfId="478" priority="276" stopIfTrue="1" operator="containsText" text="sd">
      <formula>NOT(ISERROR(SEARCH("sd",N22)))</formula>
    </cfRule>
    <cfRule type="containsText" dxfId="477" priority="277" stopIfTrue="1" operator="containsText" text="sd">
      <formula>NOT(ISERROR(SEARCH("sd",N22)))</formula>
    </cfRule>
    <cfRule type="containsText" dxfId="476" priority="279" stopIfTrue="1" operator="containsText" text="sd">
      <formula>NOT(ISERROR(SEARCH("sd",N22)))</formula>
    </cfRule>
    <cfRule type="containsText" dxfId="475" priority="280" stopIfTrue="1" operator="containsText" text="sd">
      <formula>NOT(ISERROR(SEARCH("sd",N22)))</formula>
    </cfRule>
    <cfRule type="containsText" dxfId="474" priority="278" stopIfTrue="1" operator="containsText" text="sd">
      <formula>NOT(ISERROR(SEARCH("sd",N22)))</formula>
    </cfRule>
    <cfRule type="cellIs" dxfId="473" priority="181" stopIfTrue="1" operator="equal">
      <formula>"SD"</formula>
    </cfRule>
    <cfRule type="cellIs" dxfId="472" priority="180" stopIfTrue="1" operator="between">
      <formula>-9.9</formula>
      <formula>-10</formula>
    </cfRule>
  </conditionalFormatting>
  <conditionalFormatting sqref="N25 N36 N42">
    <cfRule type="containsText" dxfId="471" priority="344" stopIfTrue="1" operator="containsText" text="sd">
      <formula>NOT(ISERROR(SEARCH("sd",N25)))</formula>
    </cfRule>
    <cfRule type="containsText" dxfId="470" priority="306" stopIfTrue="1" operator="containsText" text="sd">
      <formula>NOT(ISERROR(SEARCH("sd",N25)))</formula>
    </cfRule>
    <cfRule type="containsText" dxfId="469" priority="345" stopIfTrue="1" operator="containsText" text="sd">
      <formula>NOT(ISERROR(SEARCH("sd",N25)))</formula>
    </cfRule>
  </conditionalFormatting>
  <conditionalFormatting sqref="N29">
    <cfRule type="containsText" dxfId="468" priority="168" stopIfTrue="1" operator="containsText" text="sd">
      <formula>NOT(ISERROR(SEARCH("sd",N29)))</formula>
    </cfRule>
    <cfRule type="containsText" dxfId="467" priority="167" stopIfTrue="1" operator="containsText" text="sd">
      <formula>NOT(ISERROR(SEARCH("sd",N29)))</formula>
    </cfRule>
    <cfRule type="containsText" dxfId="466" priority="164" stopIfTrue="1" operator="containsText" text="sd">
      <formula>NOT(ISERROR(SEARCH("sd",N29)))</formula>
    </cfRule>
    <cfRule type="containsText" dxfId="465" priority="163" stopIfTrue="1" operator="containsText" text="sd">
      <formula>NOT(ISERROR(SEARCH("sd",N29)))</formula>
    </cfRule>
    <cfRule type="containsText" dxfId="464" priority="162" stopIfTrue="1" operator="containsText" text="sd">
      <formula>NOT(ISERROR(SEARCH("sd",N29)))</formula>
    </cfRule>
    <cfRule type="cellIs" dxfId="463" priority="146" stopIfTrue="1" operator="equal">
      <formula>"40.0"</formula>
    </cfRule>
    <cfRule type="cellIs" dxfId="462" priority="154" stopIfTrue="1" operator="between">
      <formula>-9.9</formula>
      <formula>-10</formula>
    </cfRule>
    <cfRule type="cellIs" dxfId="461" priority="144" stopIfTrue="1" operator="equal">
      <formula>"SD"</formula>
    </cfRule>
    <cfRule type="cellIs" dxfId="460" priority="155" stopIfTrue="1" operator="between">
      <formula>-9.9</formula>
      <formula>-10</formula>
    </cfRule>
    <cfRule type="cellIs" dxfId="459" priority="153" stopIfTrue="1" operator="between">
      <formula>-8.1</formula>
      <formula>-10</formula>
    </cfRule>
    <cfRule type="cellIs" dxfId="458" priority="152" stopIfTrue="1" operator="equal">
      <formula>"40.0"</formula>
    </cfRule>
    <cfRule type="cellIs" dxfId="457" priority="151" stopIfTrue="1" operator="between">
      <formula>45</formula>
      <formula>100</formula>
    </cfRule>
    <cfRule type="cellIs" dxfId="456" priority="150" stopIfTrue="1" operator="equal">
      <formula>"SD"</formula>
    </cfRule>
    <cfRule type="cellIs" dxfId="455" priority="149" stopIfTrue="1" operator="between">
      <formula>-9.9</formula>
      <formula>-10</formula>
    </cfRule>
    <cfRule type="cellIs" dxfId="454" priority="148" stopIfTrue="1" operator="between">
      <formula>-9.9</formula>
      <formula>-10</formula>
    </cfRule>
    <cfRule type="cellIs" dxfId="453" priority="147" stopIfTrue="1" operator="between">
      <formula>-8.1</formula>
      <formula>-10</formula>
    </cfRule>
    <cfRule type="cellIs" dxfId="452" priority="145" stopIfTrue="1" operator="between">
      <formula>45</formula>
      <formula>100</formula>
    </cfRule>
    <cfRule type="cellIs" dxfId="451" priority="143" stopIfTrue="1" operator="between">
      <formula>-9.9</formula>
      <formula>-10</formula>
    </cfRule>
    <cfRule type="cellIs" dxfId="450" priority="142" stopIfTrue="1" operator="between">
      <formula>-9.9</formula>
      <formula>-10</formula>
    </cfRule>
    <cfRule type="cellIs" dxfId="449" priority="141" stopIfTrue="1" operator="between">
      <formula>-8.1</formula>
      <formula>-10</formula>
    </cfRule>
    <cfRule type="cellIs" dxfId="448" priority="140" stopIfTrue="1" operator="equal">
      <formula>"40.0"</formula>
    </cfRule>
    <cfRule type="cellIs" dxfId="447" priority="139" stopIfTrue="1" operator="between">
      <formula>45</formula>
      <formula>100</formula>
    </cfRule>
    <cfRule type="containsText" dxfId="446" priority="166" stopIfTrue="1" operator="containsText" text="sd">
      <formula>NOT(ISERROR(SEARCH("sd",N29)))</formula>
    </cfRule>
    <cfRule type="cellIs" dxfId="445" priority="156" stopIfTrue="1" operator="equal">
      <formula>"SD"</formula>
    </cfRule>
    <cfRule type="containsText" dxfId="444" priority="157" stopIfTrue="1" operator="containsText" text="sd">
      <formula>NOT(ISERROR(SEARCH("sd",N29)))</formula>
    </cfRule>
    <cfRule type="containsText" dxfId="443" priority="158" stopIfTrue="1" operator="containsText" text="sd">
      <formula>NOT(ISERROR(SEARCH("sd",N29)))</formula>
    </cfRule>
    <cfRule type="containsText" dxfId="442" priority="165" stopIfTrue="1" operator="containsText" text="sd">
      <formula>NOT(ISERROR(SEARCH("sd",N29)))</formula>
    </cfRule>
    <cfRule type="containsText" dxfId="441" priority="161" stopIfTrue="1" operator="containsText" text="sd">
      <formula>NOT(ISERROR(SEARCH("sd",N29)))</formula>
    </cfRule>
    <cfRule type="containsText" dxfId="440" priority="159" stopIfTrue="1" operator="containsText" text="sd">
      <formula>NOT(ISERROR(SEARCH("sd",N29)))</formula>
    </cfRule>
    <cfRule type="containsText" dxfId="439" priority="160" stopIfTrue="1" operator="containsText" text="sd">
      <formula>NOT(ISERROR(SEARCH("sd",N29)))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9" stopIfTrue="1" operator="equal">
      <formula>"SD"</formula>
    </cfRule>
    <cfRule type="cellIs" dxfId="435" priority="328" stopIfTrue="1" operator="between">
      <formula>-9.9</formula>
      <formula>-10</formula>
    </cfRule>
    <cfRule type="cellIs" dxfId="434" priority="327" stopIfTrue="1" operator="between">
      <formula>-9.9</formula>
      <formula>-10</formula>
    </cfRule>
    <cfRule type="cellIs" dxfId="433" priority="326" stopIfTrue="1" operator="between">
      <formula>-8.1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3" stopIfTrue="1" operator="between">
      <formula>-8.1</formula>
      <formula>-10</formula>
    </cfRule>
    <cfRule type="cellIs" dxfId="429" priority="262" stopIfTrue="1" operator="equal">
      <formula>"40.0"</formula>
    </cfRule>
    <cfRule type="cellIs" dxfId="428" priority="266" stopIfTrue="1" operator="equal">
      <formula>"SD"</formula>
    </cfRule>
    <cfRule type="cellIs" dxfId="427" priority="265" stopIfTrue="1" operator="between">
      <formula>-9.9</formula>
      <formula>-10</formula>
    </cfRule>
    <cfRule type="cellIs" dxfId="426" priority="264" stopIfTrue="1" operator="between">
      <formula>-9.9</formula>
      <formula>-10</formula>
    </cfRule>
  </conditionalFormatting>
  <conditionalFormatting sqref="N47">
    <cfRule type="cellIs" dxfId="425" priority="256" stopIfTrue="1" operator="equal">
      <formula>"40.0"</formula>
    </cfRule>
    <cfRule type="cellIs" dxfId="424" priority="257" stopIfTrue="1" operator="between">
      <formula>-8.1</formula>
      <formula>-10</formula>
    </cfRule>
    <cfRule type="cellIs" dxfId="423" priority="258" stopIfTrue="1" operator="between">
      <formula>-9.9</formula>
      <formula>-10</formula>
    </cfRule>
    <cfRule type="cellIs" dxfId="422" priority="260" stopIfTrue="1" operator="equal">
      <formula>"SD"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4" stopIfTrue="1" operator="between">
      <formula>45</formula>
      <formula>100</formula>
    </cfRule>
    <cfRule type="cellIs" dxfId="418" priority="335" stopIfTrue="1" operator="equal">
      <formula>"40.0"</formula>
    </cfRule>
    <cfRule type="cellIs" dxfId="417" priority="336" stopIfTrue="1" operator="between">
      <formula>-8.1</formula>
      <formula>-10</formula>
    </cfRule>
    <cfRule type="cellIs" dxfId="416" priority="337" stopIfTrue="1" operator="between">
      <formula>-9.9</formula>
      <formula>-10</formula>
    </cfRule>
    <cfRule type="cellIs" dxfId="415" priority="338" stopIfTrue="1" operator="between">
      <formula>-9.9</formula>
      <formula>-10</formula>
    </cfRule>
    <cfRule type="cellIs" dxfId="414" priority="339" stopIfTrue="1" operator="equal">
      <formula>"SD"</formula>
    </cfRule>
  </conditionalFormatting>
  <conditionalFormatting sqref="O17:O28 T17:W28 Y17:Y28 AC17:AC28 AF17:AF28 E17:M33 Z17:AB33 AH17:AI33 AD23:AD28 O25:Q25 S25:Y25 AC25:AG25 E35:M36 O35:AC36 AE35:AI36 E38:M42 O38:AC42 AE38:AI42 E5:M15 R17:R33 O29:Q33 S29:Y33 AC29:AG33 E43:AI43 K44:Q44 AC44 S44:AB45 AE44:AI45 E44:J46 R44:R46 K45:M46 E48:M48 AC38:AG41 AC5:AG13 AD5:AI15 AE17:AG22 AG17:AG24 AG26:AG28 AC27:AG27 AC35:AG35 AC45:AG45 O48:AI48 S17:Y22 S17:T24 O5:AB15 P26:Q28 S26:T28 O45:Q46 S46:AI46 AE17:AE24 AE26:AE28 X17:X24 X26:X28 X27:Y27 O17:Q22 P17:Q24 AD17:AD21 AC6:AC15 AJ16:AK16 AJ34:AM34 AJ37:AM37">
    <cfRule type="cellIs" dxfId="413" priority="3481" stopIfTrue="1" operator="between">
      <formula>45</formula>
      <formula>100</formula>
    </cfRule>
  </conditionalFormatting>
  <conditionalFormatting sqref="O22:AC22 AE22:AI22 E22:M22">
    <cfRule type="cellIs" dxfId="412" priority="1457" stopIfTrue="1" operator="between">
      <formula>45</formula>
      <formula>100</formula>
    </cfRule>
  </conditionalFormatting>
  <conditionalFormatting sqref="O36:AC36 AE36:AI36 E36:M36">
    <cfRule type="cellIs" dxfId="411" priority="1215" stopIfTrue="1" operator="between">
      <formula>45</formula>
      <formula>100</formula>
    </cfRule>
  </conditionalFormatting>
  <conditionalFormatting sqref="O36:AC36 AE36:AI36">
    <cfRule type="cellIs" dxfId="410" priority="1212" stopIfTrue="1" operator="between">
      <formula>-9.9</formula>
      <formula>-10</formula>
    </cfRule>
    <cfRule type="cellIs" dxfId="409" priority="1213" stopIfTrue="1" operator="between">
      <formula>-9.9</formula>
      <formula>-10</formula>
    </cfRule>
    <cfRule type="cellIs" dxfId="408" priority="1214" stopIfTrue="1" operator="equal">
      <formula>"SD"</formula>
    </cfRule>
  </conditionalFormatting>
  <conditionalFormatting sqref="O42:AC42 AE42:AI42 E42:M42">
    <cfRule type="cellIs" dxfId="407" priority="975" stopIfTrue="1" operator="between">
      <formula>45</formula>
      <formula>100</formula>
    </cfRule>
  </conditionalFormatting>
  <conditionalFormatting sqref="O42:AI42">
    <cfRule type="cellIs" dxfId="406" priority="854" stopIfTrue="1" operator="equal">
      <formula>"SD"</formula>
    </cfRule>
    <cfRule type="cellIs" dxfId="405" priority="853" stopIfTrue="1" operator="between">
      <formula>-9.9</formula>
      <formula>-10</formula>
    </cfRule>
  </conditionalFormatting>
  <conditionalFormatting sqref="P5:S15 P26:S28 P30:S33 P35:S36 P38:S42 P45:S46 P48:S48">
    <cfRule type="cellIs" dxfId="404" priority="2095" stopIfTrue="1" operator="between">
      <formula>-9.9</formula>
      <formula>-10</formula>
    </cfRule>
    <cfRule type="cellIs" dxfId="403" priority="2094" stopIfTrue="1" operator="between">
      <formula>-9.9</formula>
      <formula>-10</formula>
    </cfRule>
    <cfRule type="cellIs" dxfId="402" priority="2092" stopIfTrue="1" operator="equal">
      <formula>"40.0"</formula>
    </cfRule>
    <cfRule type="cellIs" dxfId="401" priority="2096" stopIfTrue="1" operator="equal">
      <formula>"SD"</formula>
    </cfRule>
    <cfRule type="cellIs" dxfId="400" priority="2093" stopIfTrue="1" operator="between">
      <formula>-8.1</formula>
      <formula>-10</formula>
    </cfRule>
  </conditionalFormatting>
  <conditionalFormatting sqref="P22:S22">
    <cfRule type="containsText" dxfId="399" priority="1667" stopIfTrue="1" operator="containsText" text="sd">
      <formula>NOT(ISERROR(SEARCH("sd",P22)))</formula>
    </cfRule>
    <cfRule type="containsText" dxfId="398" priority="1710" stopIfTrue="1" operator="containsText" text="sd">
      <formula>NOT(ISERROR(SEARCH("sd",P22)))</formula>
    </cfRule>
    <cfRule type="containsText" dxfId="397" priority="1711" stopIfTrue="1" operator="containsText" text="sd">
      <formula>NOT(ISERROR(SEARCH("sd",P22)))</formula>
    </cfRule>
    <cfRule type="containsText" dxfId="396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5" priority="2091" stopIfTrue="1" operator="between">
      <formula>45</formula>
      <formula>100</formula>
    </cfRule>
  </conditionalFormatting>
  <conditionalFormatting sqref="P36:S36 P42:S42">
    <cfRule type="containsText" dxfId="394" priority="2090" stopIfTrue="1" operator="containsText" text="sd">
      <formula>NOT(ISERROR(SEARCH("sd",P36)))</formula>
    </cfRule>
    <cfRule type="containsText" dxfId="393" priority="2089" stopIfTrue="1" operator="containsText" text="sd">
      <formula>NOT(ISERROR(SEARCH("sd",P36)))</formula>
    </cfRule>
  </conditionalFormatting>
  <conditionalFormatting sqref="P36:T36">
    <cfRule type="containsText" dxfId="392" priority="1274" stopIfTrue="1" operator="containsText" text="sd">
      <formula>NOT(ISERROR(SEARCH("sd",P36)))</formula>
    </cfRule>
    <cfRule type="containsText" dxfId="391" priority="1273" stopIfTrue="1" operator="containsText" text="sd">
      <formula>NOT(ISERROR(SEARCH("sd",P36)))</formula>
    </cfRule>
  </conditionalFormatting>
  <conditionalFormatting sqref="P42:T42">
    <cfRule type="containsText" dxfId="390" priority="1033" stopIfTrue="1" operator="containsText" text="sd">
      <formula>NOT(ISERROR(SEARCH("sd",P42)))</formula>
    </cfRule>
    <cfRule type="containsText" dxfId="389" priority="1034" stopIfTrue="1" operator="containsText" text="sd">
      <formula>NOT(ISERROR(SEARCH("sd",P42)))</formula>
    </cfRule>
  </conditionalFormatting>
  <conditionalFormatting sqref="R31">
    <cfRule type="cellIs" dxfId="388" priority="2" stopIfTrue="1" operator="equal">
      <formula>"40.0"</formula>
    </cfRule>
    <cfRule type="cellIs" dxfId="387" priority="3" stopIfTrue="1" operator="between">
      <formula>-8.1</formula>
      <formula>-10</formula>
    </cfRule>
    <cfRule type="cellIs" dxfId="386" priority="4" stopIfTrue="1" operator="between">
      <formula>-9.9</formula>
      <formula>-10</formula>
    </cfRule>
    <cfRule type="cellIs" dxfId="385" priority="5" stopIfTrue="1" operator="between">
      <formula>-9.9</formula>
      <formula>-10</formula>
    </cfRule>
    <cfRule type="cellIs" dxfId="384" priority="6" stopIfTrue="1" operator="equal">
      <formula>"SD"</formula>
    </cfRule>
    <cfRule type="cellIs" dxfId="383" priority="7" stopIfTrue="1" operator="between">
      <formula>45</formula>
      <formula>100</formula>
    </cfRule>
    <cfRule type="cellIs" dxfId="382" priority="8" stopIfTrue="1" operator="equal">
      <formula>"40.0"</formula>
    </cfRule>
    <cfRule type="cellIs" dxfId="381" priority="9" stopIfTrue="1" operator="between">
      <formula>-8.1</formula>
      <formula>-10</formula>
    </cfRule>
    <cfRule type="cellIs" dxfId="380" priority="10" stopIfTrue="1" operator="between">
      <formula>-9.9</formula>
      <formula>-10</formula>
    </cfRule>
    <cfRule type="cellIs" dxfId="379" priority="11" stopIfTrue="1" operator="between">
      <formula>-9.9</formula>
      <formula>-10</formula>
    </cfRule>
    <cfRule type="cellIs" dxfId="378" priority="12" stopIfTrue="1" operator="equal">
      <formula>"SD"</formula>
    </cfRule>
    <cfRule type="cellIs" dxfId="377" priority="13" stopIfTrue="1" operator="between">
      <formula>45</formula>
      <formula>100</formula>
    </cfRule>
    <cfRule type="cellIs" dxfId="376" priority="14" stopIfTrue="1" operator="equal">
      <formula>"40.0"</formula>
    </cfRule>
    <cfRule type="cellIs" dxfId="375" priority="15" stopIfTrue="1" operator="between">
      <formula>-8.1</formula>
      <formula>-10</formula>
    </cfRule>
    <cfRule type="cellIs" dxfId="374" priority="16" stopIfTrue="1" operator="between">
      <formula>-9.9</formula>
      <formula>-10</formula>
    </cfRule>
    <cfRule type="cellIs" dxfId="373" priority="17" stopIfTrue="1" operator="between">
      <formula>-9.9</formula>
      <formula>-10</formula>
    </cfRule>
    <cfRule type="cellIs" dxfId="372" priority="18" stopIfTrue="1" operator="equal">
      <formula>"SD"</formula>
    </cfRule>
    <cfRule type="cellIs" dxfId="371" priority="19" stopIfTrue="1" operator="between">
      <formula>45</formula>
      <formula>100</formula>
    </cfRule>
    <cfRule type="cellIs" dxfId="370" priority="20" stopIfTrue="1" operator="equal">
      <formula>"40.0"</formula>
    </cfRule>
    <cfRule type="cellIs" dxfId="369" priority="21" stopIfTrue="1" operator="between">
      <formula>-8.1</formula>
      <formula>-10</formula>
    </cfRule>
    <cfRule type="cellIs" dxfId="368" priority="22" stopIfTrue="1" operator="between">
      <formula>-9.9</formula>
      <formula>-10</formula>
    </cfRule>
    <cfRule type="cellIs" dxfId="367" priority="23" stopIfTrue="1" operator="between">
      <formula>-9.9</formula>
      <formula>-10</formula>
    </cfRule>
    <cfRule type="cellIs" dxfId="366" priority="24" stopIfTrue="1" operator="equal">
      <formula>"SD"</formula>
    </cfRule>
    <cfRule type="cellIs" dxfId="365" priority="1" stopIfTrue="1" operator="between">
      <formula>45</formula>
      <formula>100</formula>
    </cfRule>
  </conditionalFormatting>
  <conditionalFormatting sqref="S5:S15 S48">
    <cfRule type="cellIs" dxfId="364" priority="779" stopIfTrue="1" operator="between">
      <formula>45</formula>
      <formula>100</formula>
    </cfRule>
    <cfRule type="cellIs" dxfId="363" priority="783" stopIfTrue="1" operator="between">
      <formula>-9.9</formula>
      <formula>-10</formula>
    </cfRule>
    <cfRule type="cellIs" dxfId="362" priority="781" stopIfTrue="1" operator="between">
      <formula>-8.1</formula>
      <formula>-10</formula>
    </cfRule>
    <cfRule type="cellIs" dxfId="361" priority="782" stopIfTrue="1" operator="between">
      <formula>-9.9</formula>
      <formula>-10</formula>
    </cfRule>
    <cfRule type="cellIs" dxfId="360" priority="780" stopIfTrue="1" operator="equal">
      <formula>"40.0"</formula>
    </cfRule>
  </conditionalFormatting>
  <conditionalFormatting sqref="S13">
    <cfRule type="cellIs" dxfId="359" priority="92" stopIfTrue="1" operator="equal">
      <formula>"SD"</formula>
    </cfRule>
  </conditionalFormatting>
  <conditionalFormatting sqref="S17:S24">
    <cfRule type="cellIs" dxfId="358" priority="2131" stopIfTrue="1" operator="equal">
      <formula>"40.0"</formula>
    </cfRule>
    <cfRule type="cellIs" dxfId="357" priority="2135" stopIfTrue="1" operator="equal">
      <formula>"SD"</formula>
    </cfRule>
    <cfRule type="cellIs" dxfId="356" priority="2134" stopIfTrue="1" operator="between">
      <formula>-9.9</formula>
      <formula>-10</formula>
    </cfRule>
    <cfRule type="cellIs" dxfId="355" priority="2133" stopIfTrue="1" operator="between">
      <formula>-9.9</formula>
      <formula>-10</formula>
    </cfRule>
    <cfRule type="cellIs" dxfId="354" priority="2132" stopIfTrue="1" operator="between">
      <formula>-8.1</formula>
      <formula>-10</formula>
    </cfRule>
    <cfRule type="cellIs" dxfId="353" priority="2130" stopIfTrue="1" operator="between">
      <formula>45</formula>
      <formula>100</formula>
    </cfRule>
  </conditionalFormatting>
  <conditionalFormatting sqref="S17:S28 S5:S15">
    <cfRule type="cellIs" dxfId="352" priority="1967" stopIfTrue="1" operator="equal">
      <formula>"SD"</formula>
    </cfRule>
  </conditionalFormatting>
  <conditionalFormatting sqref="S22">
    <cfRule type="containsText" dxfId="351" priority="1706" stopIfTrue="1" operator="containsText" text="sd">
      <formula>NOT(ISERROR(SEARCH("sd",S22)))</formula>
    </cfRule>
    <cfRule type="containsText" dxfId="350" priority="1707" stopIfTrue="1" operator="containsText" text="sd">
      <formula>NOT(ISERROR(SEARCH("sd",S22)))</formula>
    </cfRule>
  </conditionalFormatting>
  <conditionalFormatting sqref="S30:S33">
    <cfRule type="cellIs" dxfId="349" priority="769" stopIfTrue="1" operator="between">
      <formula>-9.9</formula>
      <formula>-10</formula>
    </cfRule>
    <cfRule type="cellIs" dxfId="348" priority="767" stopIfTrue="1" operator="equal">
      <formula>"40.0"</formula>
    </cfRule>
    <cfRule type="cellIs" dxfId="347" priority="770" stopIfTrue="1" operator="between">
      <formula>-9.9</formula>
      <formula>-10</formula>
    </cfRule>
    <cfRule type="cellIs" dxfId="346" priority="766" stopIfTrue="1" operator="between">
      <formula>45</formula>
      <formula>100</formula>
    </cfRule>
    <cfRule type="cellIs" dxfId="345" priority="768" stopIfTrue="1" operator="between">
      <formula>-8.1</formula>
      <formula>-10</formula>
    </cfRule>
  </conditionalFormatting>
  <conditionalFormatting sqref="S35:S36 S38:S42 S30:S33">
    <cfRule type="cellIs" dxfId="344" priority="2070" stopIfTrue="1" operator="equal">
      <formula>"SD"</formula>
    </cfRule>
  </conditionalFormatting>
  <conditionalFormatting sqref="S35:S36 S38:S42">
    <cfRule type="cellIs" dxfId="343" priority="2068" stopIfTrue="1" operator="between">
      <formula>-9.9</formula>
      <formula>-10</formula>
    </cfRule>
    <cfRule type="cellIs" dxfId="342" priority="2065" stopIfTrue="1" operator="between">
      <formula>45</formula>
      <formula>100</formula>
    </cfRule>
    <cfRule type="cellIs" dxfId="341" priority="2066" stopIfTrue="1" operator="equal">
      <formula>"40.0"</formula>
    </cfRule>
    <cfRule type="cellIs" dxfId="340" priority="2067" stopIfTrue="1" operator="between">
      <formula>-8.1</formula>
      <formula>-10</formula>
    </cfRule>
    <cfRule type="cellIs" dxfId="339" priority="2069" stopIfTrue="1" operator="between">
      <formula>-9.9</formula>
      <formula>-10</formula>
    </cfRule>
  </conditionalFormatting>
  <conditionalFormatting sqref="S36 S42">
    <cfRule type="containsText" dxfId="338" priority="2064" stopIfTrue="1" operator="containsText" text="sd">
      <formula>NOT(ISERROR(SEARCH("sd",S36)))</formula>
    </cfRule>
    <cfRule type="containsText" dxfId="337" priority="2063" stopIfTrue="1" operator="containsText" text="sd">
      <formula>NOT(ISERROR(SEARCH("sd",S36)))</formula>
    </cfRule>
  </conditionalFormatting>
  <conditionalFormatting sqref="S36">
    <cfRule type="containsText" dxfId="336" priority="1303" stopIfTrue="1" operator="containsText" text="sd">
      <formula>NOT(ISERROR(SEARCH("sd",S36)))</formula>
    </cfRule>
    <cfRule type="containsText" dxfId="335" priority="1302" stopIfTrue="1" operator="containsText" text="sd">
      <formula>NOT(ISERROR(SEARCH("sd",S36)))</formula>
    </cfRule>
    <cfRule type="containsText" dxfId="334" priority="1301" stopIfTrue="1" operator="containsText" text="sd">
      <formula>NOT(ISERROR(SEARCH("sd",S36)))</formula>
    </cfRule>
    <cfRule type="containsText" dxfId="333" priority="1306" stopIfTrue="1" operator="containsText" text="sd">
      <formula>NOT(ISERROR(SEARCH("sd",S36)))</formula>
    </cfRule>
    <cfRule type="containsText" dxfId="332" priority="1305" stopIfTrue="1" operator="containsText" text="sd">
      <formula>NOT(ISERROR(SEARCH("sd",S36)))</formula>
    </cfRule>
    <cfRule type="containsText" dxfId="331" priority="1304" stopIfTrue="1" operator="containsText" text="sd">
      <formula>NOT(ISERROR(SEARCH("sd",S36)))</formula>
    </cfRule>
  </conditionalFormatting>
  <conditionalFormatting sqref="S42">
    <cfRule type="containsText" dxfId="330" priority="1066" stopIfTrue="1" operator="containsText" text="sd">
      <formula>NOT(ISERROR(SEARCH("sd",S42)))</formula>
    </cfRule>
    <cfRule type="containsText" dxfId="329" priority="1065" stopIfTrue="1" operator="containsText" text="sd">
      <formula>NOT(ISERROR(SEARCH("sd",S42)))</formula>
    </cfRule>
    <cfRule type="containsText" dxfId="328" priority="1064" stopIfTrue="1" operator="containsText" text="sd">
      <formula>NOT(ISERROR(SEARCH("sd",S42)))</formula>
    </cfRule>
    <cfRule type="containsText" dxfId="327" priority="1063" stopIfTrue="1" operator="containsText" text="sd">
      <formula>NOT(ISERROR(SEARCH("sd",S42)))</formula>
    </cfRule>
    <cfRule type="containsText" dxfId="326" priority="1061" stopIfTrue="1" operator="containsText" text="sd">
      <formula>NOT(ISERROR(SEARCH("sd",S42)))</formula>
    </cfRule>
    <cfRule type="containsText" dxfId="325" priority="1062" stopIfTrue="1" operator="containsText" text="sd">
      <formula>NOT(ISERROR(SEARCH("sd",S42)))</formula>
    </cfRule>
  </conditionalFormatting>
  <conditionalFormatting sqref="S48">
    <cfRule type="cellIs" dxfId="324" priority="784" stopIfTrue="1" operator="equal">
      <formula>"SD"</formula>
    </cfRule>
  </conditionalFormatting>
  <conditionalFormatting sqref="S22:T22">
    <cfRule type="containsText" dxfId="323" priority="1709" stopIfTrue="1" operator="containsText" text="sd">
      <formula>NOT(ISERROR(SEARCH("sd",S22)))</formula>
    </cfRule>
    <cfRule type="containsText" dxfId="322" priority="1708" stopIfTrue="1" operator="containsText" text="sd">
      <formula>NOT(ISERROR(SEARCH("sd",S22)))</formula>
    </cfRule>
    <cfRule type="containsText" dxfId="321" priority="1664" stopIfTrue="1" operator="containsText" text="sd">
      <formula>NOT(ISERROR(SEARCH("sd",S22)))</formula>
    </cfRule>
    <cfRule type="containsText" dxfId="320" priority="1665" stopIfTrue="1" operator="containsText" text="sd">
      <formula>NOT(ISERROR(SEARCH("sd",S22)))</formula>
    </cfRule>
  </conditionalFormatting>
  <conditionalFormatting sqref="S35:T36 S38:T42 S30:T33 S5:AI5 S5:T15 S17:T24 S26:T28 S48:T48 S45:T46">
    <cfRule type="cellIs" dxfId="319" priority="2078" stopIfTrue="1" operator="between">
      <formula>45</formula>
      <formula>100</formula>
    </cfRule>
  </conditionalFormatting>
  <conditionalFormatting sqref="S36:T36 S42:T42">
    <cfRule type="containsText" dxfId="318" priority="2076" stopIfTrue="1" operator="containsText" text="sd">
      <formula>NOT(ISERROR(SEARCH("sd",S36)))</formula>
    </cfRule>
    <cfRule type="containsText" dxfId="317" priority="2077" stopIfTrue="1" operator="containsText" text="sd">
      <formula>NOT(ISERROR(SEARCH("sd",S36)))</formula>
    </cfRule>
  </conditionalFormatting>
  <conditionalFormatting sqref="S22:U22">
    <cfRule type="containsText" dxfId="316" priority="1585" stopIfTrue="1" operator="containsText" text="sd">
      <formula>NOT(ISERROR(SEARCH("sd",S22)))</formula>
    </cfRule>
    <cfRule type="containsText" dxfId="315" priority="1584" stopIfTrue="1" operator="containsText" text="sd">
      <formula>NOT(ISERROR(SEARCH("sd",S22)))</formula>
    </cfRule>
  </conditionalFormatting>
  <conditionalFormatting sqref="S36:U36">
    <cfRule type="containsText" dxfId="314" priority="1230" stopIfTrue="1" operator="containsText" text="sd">
      <formula>NOT(ISERROR(SEARCH("sd",S36)))</formula>
    </cfRule>
    <cfRule type="containsText" dxfId="313" priority="1229" stopIfTrue="1" operator="containsText" text="sd">
      <formula>NOT(ISERROR(SEARCH("sd",S36)))</formula>
    </cfRule>
  </conditionalFormatting>
  <conditionalFormatting sqref="S42:U42">
    <cfRule type="containsText" dxfId="312" priority="989" stopIfTrue="1" operator="containsText" text="sd">
      <formula>NOT(ISERROR(SEARCH("sd",S42)))</formula>
    </cfRule>
    <cfRule type="containsText" dxfId="311" priority="990" stopIfTrue="1" operator="containsText" text="sd">
      <formula>NOT(ISERROR(SEARCH("sd",S42)))</formula>
    </cfRule>
  </conditionalFormatting>
  <conditionalFormatting sqref="S5:AI5 S5:T15 S17:T24 S26:T28 S30:T33 S35:T36 S38:T42 S45:T46 S48:T48">
    <cfRule type="cellIs" dxfId="310" priority="2079" stopIfTrue="1" operator="equal">
      <formula>"40.0"</formula>
    </cfRule>
    <cfRule type="cellIs" dxfId="309" priority="2080" stopIfTrue="1" operator="between">
      <formula>-8.1</formula>
      <formula>-10</formula>
    </cfRule>
    <cfRule type="cellIs" dxfId="308" priority="2081" stopIfTrue="1" operator="between">
      <formula>-9.9</formula>
      <formula>-10</formula>
    </cfRule>
    <cfRule type="cellIs" dxfId="307" priority="2083" stopIfTrue="1" operator="equal">
      <formula>"SD"</formula>
    </cfRule>
    <cfRule type="cellIs" dxfId="306" priority="2082" stopIfTrue="1" operator="between">
      <formula>-9.9</formula>
      <formula>-10</formula>
    </cfRule>
  </conditionalFormatting>
  <conditionalFormatting sqref="S22:AI22">
    <cfRule type="cellIs" dxfId="305" priority="918" stopIfTrue="1" operator="equal">
      <formula>"40.0"</formula>
    </cfRule>
    <cfRule type="cellIs" dxfId="304" priority="917" stopIfTrue="1" operator="between">
      <formula>45</formula>
      <formula>100</formula>
    </cfRule>
    <cfRule type="cellIs" dxfId="303" priority="919" stopIfTrue="1" operator="between">
      <formula>-8.1</formula>
      <formula>-10</formula>
    </cfRule>
    <cfRule type="cellIs" dxfId="302" priority="920" stopIfTrue="1" operator="between">
      <formula>-9.9</formula>
      <formula>-10</formula>
    </cfRule>
    <cfRule type="cellIs" dxfId="301" priority="921" stopIfTrue="1" operator="between">
      <formula>-9.9</formula>
      <formula>-10</formula>
    </cfRule>
    <cfRule type="cellIs" dxfId="300" priority="922" stopIfTrue="1" operator="equal">
      <formula>"SD"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4" stopIfTrue="1" operator="between">
      <formula>45</formula>
      <formula>100</formula>
    </cfRule>
    <cfRule type="cellIs" dxfId="297" priority="885" stopIfTrue="1" operator="equal">
      <formula>"40.0"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X8">
    <cfRule type="cellIs" dxfId="292" priority="58" stopIfTrue="1" operator="between">
      <formula>-9.9</formula>
      <formula>-10</formula>
    </cfRule>
    <cfRule type="cellIs" dxfId="291" priority="57" stopIfTrue="1" operator="between">
      <formula>-9.9</formula>
      <formula>-10</formula>
    </cfRule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</conditionalFormatting>
  <conditionalFormatting sqref="X11">
    <cfRule type="cellIs" dxfId="274" priority="68" stopIfTrue="1" operator="between">
      <formula>-8.1</formula>
      <formula>-10</formula>
    </cfRule>
    <cfRule type="cellIs" dxfId="273" priority="71" stopIfTrue="1" operator="equal">
      <formula>"SD"</formula>
    </cfRule>
    <cfRule type="cellIs" dxfId="272" priority="82" stopIfTrue="1" operator="between">
      <formula>-9.9</formula>
      <formula>-10</formula>
    </cfRule>
    <cfRule type="cellIs" dxfId="271" priority="83" stopIfTrue="1" operator="equal">
      <formula>"SD"</formula>
    </cfRule>
    <cfRule type="cellIs" dxfId="270" priority="80" stopIfTrue="1" operator="between">
      <formula>-8.1</formula>
      <formula>-10</formula>
    </cfRule>
    <cfRule type="cellIs" dxfId="269" priority="79" stopIfTrue="1" operator="equal">
      <formula>"40.0"</formula>
    </cfRule>
    <cfRule type="cellIs" dxfId="268" priority="78" stopIfTrue="1" operator="between">
      <formula>45</formula>
      <formula>100</formula>
    </cfRule>
    <cfRule type="cellIs" dxfId="267" priority="72" stopIfTrue="1" operator="between">
      <formula>45</formula>
      <formula>100</formula>
    </cfRule>
    <cfRule type="cellIs" dxfId="266" priority="81" stopIfTrue="1" operator="between">
      <formula>-9.9</formula>
      <formula>-10</formula>
    </cfRule>
    <cfRule type="cellIs" dxfId="265" priority="73" stopIfTrue="1" operator="equal">
      <formula>"40.0"</formula>
    </cfRule>
    <cfRule type="cellIs" dxfId="264" priority="74" stopIfTrue="1" operator="between">
      <formula>-8.1</formula>
      <formula>-10</formula>
    </cfRule>
    <cfRule type="cellIs" dxfId="263" priority="70" stopIfTrue="1" operator="between">
      <formula>-9.9</formula>
      <formula>-10</formula>
    </cfRule>
    <cfRule type="cellIs" dxfId="262" priority="69" stopIfTrue="1" operator="between">
      <formula>-9.9</formula>
      <formula>-10</formula>
    </cfRule>
    <cfRule type="cellIs" dxfId="261" priority="75" stopIfTrue="1" operator="between">
      <formula>-9.9</formula>
      <formula>-10</formula>
    </cfRule>
    <cfRule type="cellIs" dxfId="260" priority="76" stopIfTrue="1" operator="between">
      <formula>-9.9</formula>
      <formula>-10</formula>
    </cfRule>
    <cfRule type="cellIs" dxfId="259" priority="77" stopIfTrue="1" operator="equal">
      <formula>"SD"</formula>
    </cfRule>
    <cfRule type="cellIs" dxfId="258" priority="66" stopIfTrue="1" operator="between">
      <formula>45</formula>
      <formula>100</formula>
    </cfRule>
    <cfRule type="cellIs" dxfId="257" priority="67" stopIfTrue="1" operator="equal">
      <formula>"40.0"</formula>
    </cfRule>
  </conditionalFormatting>
  <conditionalFormatting sqref="X17:X28">
    <cfRule type="cellIs" dxfId="256" priority="1901" stopIfTrue="1" operator="equal">
      <formula>"SD"</formula>
    </cfRule>
  </conditionalFormatting>
  <conditionalFormatting sqref="X20">
    <cfRule type="cellIs" dxfId="255" priority="26" stopIfTrue="1" operator="equal">
      <formula>"40.0"</formula>
    </cfRule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34" stopIfTrue="1" operator="between">
      <formula>-9.9</formula>
      <formula>-10</formula>
    </cfRule>
    <cfRule type="cellIs" dxfId="246" priority="35" stopIfTrue="1" operator="between">
      <formula>-9.9</formula>
      <formula>-10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5" stopIfTrue="1" operator="between">
      <formula>-8.1</formula>
      <formula>-10</formula>
    </cfRule>
    <cfRule type="cellIs" dxfId="242" priority="44" stopIfTrue="1" operator="equal">
      <formula>"40.0"</formula>
    </cfRule>
    <cfRule type="cellIs" dxfId="241" priority="43" stopIfTrue="1" operator="between">
      <formula>45</formula>
      <formula>100</formula>
    </cfRule>
    <cfRule type="cellIs" dxfId="240" priority="42" stopIfTrue="1" operator="equal">
      <formula>"SD"</formula>
    </cfRule>
    <cfRule type="cellIs" dxfId="239" priority="41" stopIfTrue="1" operator="between">
      <formula>-9.9</formula>
      <formula>-10</formula>
    </cfRule>
    <cfRule type="cellIs" dxfId="238" priority="25" stopIfTrue="1" operator="between">
      <formula>45</formula>
      <formula>100</formula>
    </cfRule>
    <cfRule type="cellIs" dxfId="237" priority="40" stopIfTrue="1" operator="between">
      <formula>-9.9</formula>
      <formula>-10</formula>
    </cfRule>
    <cfRule type="cellIs" dxfId="236" priority="39" stopIfTrue="1" operator="between">
      <formula>-8.1</formula>
      <formula>-10</formula>
    </cfRule>
    <cfRule type="cellIs" dxfId="235" priority="38" stopIfTrue="1" operator="equal">
      <formula>"40.0"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</conditionalFormatting>
  <conditionalFormatting sqref="X22">
    <cfRule type="containsText" dxfId="232" priority="1705" stopIfTrue="1" operator="containsText" text="sd">
      <formula>NOT(ISERROR(SEARCH("sd",X22)))</formula>
    </cfRule>
    <cfRule type="containsText" dxfId="231" priority="1704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30" priority="1644" stopIfTrue="1" operator="between">
      <formula>-9.9</formula>
      <formula>-10</formula>
    </cfRule>
    <cfRule type="cellIs" dxfId="229" priority="1643" stopIfTrue="1" operator="between">
      <formula>-9.9</formula>
      <formula>-10</formula>
    </cfRule>
    <cfRule type="cellIs" dxfId="228" priority="1641" stopIfTrue="1" operator="equal">
      <formula>"40.0"</formula>
    </cfRule>
    <cfRule type="cellIs" dxfId="227" priority="1642" stopIfTrue="1" operator="between">
      <formula>-8.1</formula>
      <formula>-10</formula>
    </cfRule>
    <cfRule type="cellIs" dxfId="226" priority="1645" stopIfTrue="1" operator="equal">
      <formula>"SD"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5" stopIfTrue="1" operator="containsText" text="sd">
      <formula>NOT(ISERROR(SEARCH("sd",X42)))</formula>
    </cfRule>
    <cfRule type="containsText" dxfId="219" priority="1004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2" stopIfTrue="1" operator="containsText" text="sd">
      <formula>NOT(ISERROR(SEARCH("sd",Y42)))</formula>
    </cfRule>
    <cfRule type="containsText" dxfId="211" priority="1003" stopIfTrue="1" operator="containsText" text="sd">
      <formula>NOT(ISERROR(SEARCH("sd",Y42)))</formula>
    </cfRule>
  </conditionalFormatting>
  <conditionalFormatting sqref="AC5:AG5 E5:M15 O5:AB15 AD5:AI15 AC6:AC15 AC12:AG13 AJ16:AK16 AD17:AD21 P17:Q24 S17:T24 X17:X24 AE17:AE24 AG17:AG24 O17:O28 T17:W28 Y17:Y28 AC17:AC28 AF17:AF28 E17:M33 R17:R33 Z17:AB33 AH17:AI33 O22:Q22 S22:Y22 AE22:AG22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10" priority="3526" stopIfTrue="1" operator="equal">
      <formula>"SD"</formula>
    </cfRule>
  </conditionalFormatting>
  <conditionalFormatting sqref="AC5:AG13 E5:M15 O5:AB15 AD5:AI15 AC6:AC15 AJ16:AK16 AD17:AD21 O17:Q22 S17:Y22 AE17:AG22 P17:Q24 S17:T24 X17:X24 AE17:AE24 AG17:AG24 O17:O28 T17:W28 Y17:Y28 AC17:AC28 AF17:AF28 E17:M33 R17:R33 Z17:AB33 AH17:AI33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6" stopIfTrue="1" operator="between">
      <formula>-9.9</formula>
      <formula>-10</formula>
    </cfRule>
    <cfRule type="cellIs" dxfId="204" priority="907" stopIfTrue="1" operator="equal">
      <formula>"SD"</formula>
    </cfRule>
    <cfRule type="cellIs" dxfId="203" priority="904" stopIfTrue="1" operator="between">
      <formula>-8.1</formula>
      <formula>-10</formula>
    </cfRule>
    <cfRule type="cellIs" dxfId="202" priority="903" stopIfTrue="1" operator="equal">
      <formula>"40.0"</formula>
    </cfRule>
    <cfRule type="cellIs" dxfId="201" priority="905" stopIfTrue="1" operator="between">
      <formula>-9.9</formula>
      <formula>-10</formula>
    </cfRule>
  </conditionalFormatting>
  <conditionalFormatting sqref="AD17:AD28 AD5:AD15">
    <cfRule type="cellIs" dxfId="200" priority="902" stopIfTrue="1" operator="between">
      <formula>45</formula>
      <formula>100</formula>
    </cfRule>
  </conditionalFormatting>
  <conditionalFormatting sqref="AD22">
    <cfRule type="cellIs" dxfId="199" priority="892" stopIfTrue="1" operator="between">
      <formula>-8.1</formula>
      <formula>-10</formula>
    </cfRule>
    <cfRule type="cellIs" dxfId="198" priority="893" stopIfTrue="1" operator="between">
      <formula>-9.9</formula>
      <formula>-10</formula>
    </cfRule>
    <cfRule type="cellIs" dxfId="197" priority="894" stopIfTrue="1" operator="between">
      <formula>-9.9</formula>
      <formula>-10</formula>
    </cfRule>
    <cfRule type="cellIs" dxfId="196" priority="895" stopIfTrue="1" operator="equal">
      <formula>"SD"</formula>
    </cfRule>
    <cfRule type="cellIs" dxfId="195" priority="896" stopIfTrue="1" operator="between">
      <formula>45</formula>
      <formula>100</formula>
    </cfRule>
    <cfRule type="cellIs" dxfId="194" priority="897" stopIfTrue="1" operator="equal">
      <formula>"40.0"</formula>
    </cfRule>
    <cfRule type="cellIs" dxfId="193" priority="898" stopIfTrue="1" operator="between">
      <formula>-8.1</formula>
      <formula>-10</formula>
    </cfRule>
    <cfRule type="cellIs" dxfId="192" priority="899" stopIfTrue="1" operator="between">
      <formula>-9.9</formula>
      <formula>-10</formula>
    </cfRule>
    <cfRule type="cellIs" dxfId="191" priority="900" stopIfTrue="1" operator="between">
      <formula>-9.9</formula>
      <formula>-10</formula>
    </cfRule>
    <cfRule type="containsText" dxfId="190" priority="908" stopIfTrue="1" operator="containsText" text="sd">
      <formula>NOT(ISERROR(SEARCH("sd",AD22)))</formula>
    </cfRule>
    <cfRule type="containsText" dxfId="189" priority="909" stopIfTrue="1" operator="containsText" text="sd">
      <formula>NOT(ISERROR(SEARCH("sd",AD22)))</formula>
    </cfRule>
    <cfRule type="containsText" dxfId="188" priority="910" stopIfTrue="1" operator="containsText" text="sd">
      <formula>NOT(ISERROR(SEARCH("sd",AD22)))</formula>
    </cfRule>
    <cfRule type="containsText" dxfId="187" priority="911" stopIfTrue="1" operator="containsText" text="sd">
      <formula>NOT(ISERROR(SEARCH("sd",AD22)))</formula>
    </cfRule>
    <cfRule type="cellIs" dxfId="186" priority="901" stopIfTrue="1" operator="equal">
      <formula>"SD"</formula>
    </cfRule>
    <cfRule type="cellIs" dxfId="185" priority="890" stopIfTrue="1" operator="between">
      <formula>45</formula>
      <formula>100</formula>
    </cfRule>
    <cfRule type="cellIs" dxfId="184" priority="891" stopIfTrue="1" operator="equal">
      <formula>"40.0"</formula>
    </cfRule>
  </conditionalFormatting>
  <conditionalFormatting sqref="AD35:AD36 AD30:AE33">
    <cfRule type="cellIs" dxfId="183" priority="867" stopIfTrue="1" operator="between">
      <formula>45</formula>
      <formula>100</formula>
    </cfRule>
    <cfRule type="cellIs" dxfId="182" priority="887" stopIfTrue="1" operator="between">
      <formula>-9.9</formula>
      <formula>-10</formula>
    </cfRule>
  </conditionalFormatting>
  <conditionalFormatting sqref="AD36">
    <cfRule type="cellIs" dxfId="181" priority="862" stopIfTrue="1" operator="equal">
      <formula>"40.0"</formula>
    </cfRule>
    <cfRule type="containsText" dxfId="180" priority="873" stopIfTrue="1" operator="containsText" text="sd">
      <formula>NOT(ISERROR(SEARCH("sd",AD36)))</formula>
    </cfRule>
    <cfRule type="containsText" dxfId="179" priority="874" stopIfTrue="1" operator="containsText" text="sd">
      <formula>NOT(ISERROR(SEARCH("sd",AD36)))</formula>
    </cfRule>
    <cfRule type="cellIs" dxfId="178" priority="857" stopIfTrue="1" operator="between">
      <formula>-8.1</formula>
      <formula>-10</formula>
    </cfRule>
    <cfRule type="cellIs" dxfId="177" priority="858" stopIfTrue="1" operator="between">
      <formula>-9.9</formula>
      <formula>-10</formula>
    </cfRule>
    <cfRule type="containsText" dxfId="176" priority="882" stopIfTrue="1" operator="containsText" text="sd">
      <formula>NOT(ISERROR(SEARCH("sd",AD36)))</formula>
    </cfRule>
    <cfRule type="containsText" dxfId="175" priority="875" stopIfTrue="1" operator="containsText" text="sd">
      <formula>NOT(ISERROR(SEARCH("sd",AD36)))</formula>
    </cfRule>
    <cfRule type="cellIs" dxfId="174" priority="860" stopIfTrue="1" operator="equal">
      <formula>"SD"</formula>
    </cfRule>
    <cfRule type="cellIs" dxfId="173" priority="861" stopIfTrue="1" operator="between">
      <formula>45</formula>
      <formula>100</formula>
    </cfRule>
    <cfRule type="containsText" dxfId="172" priority="876" stopIfTrue="1" operator="containsText" text="sd">
      <formula>NOT(ISERROR(SEARCH("sd",AD36)))</formula>
    </cfRule>
    <cfRule type="cellIs" dxfId="171" priority="864" stopIfTrue="1" operator="between">
      <formula>-9.9</formula>
      <formula>-10</formula>
    </cfRule>
    <cfRule type="cellIs" dxfId="170" priority="865" stopIfTrue="1" operator="between">
      <formula>-9.9</formula>
      <formula>-10</formula>
    </cfRule>
    <cfRule type="cellIs" dxfId="169" priority="866" stopIfTrue="1" operator="equal">
      <formula>"SD"</formula>
    </cfRule>
    <cfRule type="cellIs" dxfId="168" priority="870" stopIfTrue="1" operator="between">
      <formula>-9.9</formula>
      <formula>-10</formula>
    </cfRule>
    <cfRule type="cellIs" dxfId="167" priority="871" stopIfTrue="1" operator="between">
      <formula>-9.9</formula>
      <formula>-10</formula>
    </cfRule>
    <cfRule type="cellIs" dxfId="166" priority="872" stopIfTrue="1" operator="equal">
      <formula>"SD"</formula>
    </cfRule>
    <cfRule type="cellIs" dxfId="165" priority="863" stopIfTrue="1" operator="between">
      <formula>-8.1</formula>
      <formula>-10</formula>
    </cfRule>
    <cfRule type="containsText" dxfId="164" priority="883" stopIfTrue="1" operator="containsText" text="sd">
      <formula>NOT(ISERROR(SEARCH("sd",AD36)))</formula>
    </cfRule>
    <cfRule type="cellIs" dxfId="163" priority="859" stopIfTrue="1" operator="between">
      <formula>-9.9</formula>
      <formula>-10</formula>
    </cfRule>
    <cfRule type="cellIs" dxfId="162" priority="855" stopIfTrue="1" operator="between">
      <formula>45</formula>
      <formula>100</formula>
    </cfRule>
    <cfRule type="cellIs" dxfId="161" priority="856" stopIfTrue="1" operator="equal">
      <formula>"40.0"</formula>
    </cfRule>
  </conditionalFormatting>
  <conditionalFormatting sqref="AD38:AD42">
    <cfRule type="cellIs" dxfId="160" priority="835" stopIfTrue="1" operator="between">
      <formula>-9.9</formula>
      <formula>-10</formula>
    </cfRule>
    <cfRule type="cellIs" dxfId="159" priority="834" stopIfTrue="1" operator="between">
      <formula>-8.1</formula>
      <formula>-10</formula>
    </cfRule>
    <cfRule type="cellIs" dxfId="158" priority="836" stopIfTrue="1" operator="between">
      <formula>-9.9</formula>
      <formula>-10</formula>
    </cfRule>
    <cfRule type="cellIs" dxfId="157" priority="837" stopIfTrue="1" operator="equal">
      <formula>"SD"</formula>
    </cfRule>
    <cfRule type="cellIs" dxfId="156" priority="833" stopIfTrue="1" operator="equal">
      <formula>"40.0"</formula>
    </cfRule>
    <cfRule type="cellIs" dxfId="155" priority="832" stopIfTrue="1" operator="between">
      <formula>45</formula>
      <formula>100</formula>
    </cfRule>
  </conditionalFormatting>
  <conditionalFormatting sqref="AD42">
    <cfRule type="cellIs" dxfId="154" priority="823" stopIfTrue="1" operator="between">
      <formula>-9.9</formula>
      <formula>-10</formula>
    </cfRule>
    <cfRule type="containsText" dxfId="153" priority="838" stopIfTrue="1" operator="containsText" text="sd">
      <formula>NOT(ISERROR(SEARCH("sd",AD42)))</formula>
    </cfRule>
    <cfRule type="containsText" dxfId="152" priority="839" stopIfTrue="1" operator="containsText" text="sd">
      <formula>NOT(ISERROR(SEARCH("sd",AD42)))</formula>
    </cfRule>
    <cfRule type="containsText" dxfId="151" priority="840" stopIfTrue="1" operator="containsText" text="sd">
      <formula>NOT(ISERROR(SEARCH("sd",AD42)))</formula>
    </cfRule>
    <cfRule type="containsText" dxfId="150" priority="841" stopIfTrue="1" operator="containsText" text="sd">
      <formula>NOT(ISERROR(SEARCH("sd",AD42)))</formula>
    </cfRule>
    <cfRule type="containsText" dxfId="149" priority="847" stopIfTrue="1" operator="containsText" text="sd">
      <formula>NOT(ISERROR(SEARCH("sd",AD42)))</formula>
    </cfRule>
    <cfRule type="containsText" dxfId="148" priority="848" stopIfTrue="1" operator="containsText" text="sd">
      <formula>NOT(ISERROR(SEARCH("sd",AD42)))</formula>
    </cfRule>
    <cfRule type="cellIs" dxfId="147" priority="822" stopIfTrue="1" operator="between">
      <formula>-8.1</formula>
      <formula>-10</formula>
    </cfRule>
    <cfRule type="cellIs" dxfId="146" priority="820" stopIfTrue="1" operator="between">
      <formula>45</formula>
      <formula>100</formula>
    </cfRule>
    <cfRule type="cellIs" dxfId="145" priority="821" stopIfTrue="1" operator="equal">
      <formula>"40.0"</formula>
    </cfRule>
    <cfRule type="cellIs" dxfId="144" priority="824" stopIfTrue="1" operator="between">
      <formula>-9.9</formula>
      <formula>-10</formula>
    </cfRule>
    <cfRule type="cellIs" dxfId="143" priority="831" stopIfTrue="1" operator="equal">
      <formula>"SD"</formula>
    </cfRule>
    <cfRule type="cellIs" dxfId="142" priority="830" stopIfTrue="1" operator="between">
      <formula>-9.9</formula>
      <formula>-10</formula>
    </cfRule>
    <cfRule type="cellIs" dxfId="141" priority="829" stopIfTrue="1" operator="between">
      <formula>-9.9</formula>
      <formula>-10</formula>
    </cfRule>
    <cfRule type="cellIs" dxfId="140" priority="828" stopIfTrue="1" operator="between">
      <formula>-8.1</formula>
      <formula>-10</formula>
    </cfRule>
    <cfRule type="cellIs" dxfId="139" priority="827" stopIfTrue="1" operator="equal">
      <formula>"40.0"</formula>
    </cfRule>
    <cfRule type="cellIs" dxfId="138" priority="826" stopIfTrue="1" operator="between">
      <formula>45</formula>
      <formula>100</formula>
    </cfRule>
    <cfRule type="cellIs" dxfId="137" priority="825" stopIfTrue="1" operator="equal">
      <formula>"SD"</formula>
    </cfRule>
  </conditionalFormatting>
  <conditionalFormatting sqref="AD44">
    <cfRule type="cellIs" dxfId="136" priority="365" stopIfTrue="1" operator="between">
      <formula>45</formula>
      <formula>100</formula>
    </cfRule>
    <cfRule type="containsText" dxfId="135" priority="388" stopIfTrue="1" operator="containsText" text="sd">
      <formula>NOT(ISERROR(SEARCH("sd",AD44)))</formula>
    </cfRule>
    <cfRule type="containsText" dxfId="134" priority="387" stopIfTrue="1" operator="containsText" text="sd">
      <formula>NOT(ISERROR(SEARCH("sd",AD44)))</formula>
    </cfRule>
    <cfRule type="containsText" dxfId="133" priority="386" stopIfTrue="1" operator="containsText" text="sd">
      <formula>NOT(ISERROR(SEARCH("sd",AD44)))</formula>
    </cfRule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</conditionalFormatting>
  <conditionalFormatting sqref="AD30:AE33 AD35:AD36">
    <cfRule type="cellIs" dxfId="118" priority="888" stopIfTrue="1" operator="between">
      <formula>-9.9</formula>
      <formula>-10</formula>
    </cfRule>
    <cfRule type="cellIs" dxfId="117" priority="868" stopIfTrue="1" operator="equal">
      <formula>"40.0"</formula>
    </cfRule>
    <cfRule type="cellIs" dxfId="116" priority="869" stopIfTrue="1" operator="between">
      <formula>-8.1</formula>
      <formula>-10</formula>
    </cfRule>
    <cfRule type="cellIs" dxfId="115" priority="889" stopIfTrue="1" operator="equal">
      <formula>"SD"</formula>
    </cfRule>
  </conditionalFormatting>
  <conditionalFormatting sqref="AD44:AE45">
    <cfRule type="cellIs" dxfId="114" priority="378" stopIfTrue="1" operator="equal">
      <formula>"40.0"</formula>
    </cfRule>
    <cfRule type="cellIs" dxfId="113" priority="377" stopIfTrue="1" operator="between">
      <formula>45</formula>
      <formula>100</formula>
    </cfRule>
    <cfRule type="cellIs" dxfId="112" priority="380" stopIfTrue="1" operator="between">
      <formula>-9.9</formula>
      <formula>-10</formula>
    </cfRule>
    <cfRule type="cellIs" dxfId="111" priority="381" stopIfTrue="1" operator="between">
      <formula>-9.9</formula>
      <formula>-10</formula>
    </cfRule>
    <cfRule type="cellIs" dxfId="110" priority="382" stopIfTrue="1" operator="equal">
      <formula>"SD"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3" stopIfTrue="1" operator="between">
      <formula>45</formula>
      <formula>100</formula>
    </cfRule>
    <cfRule type="cellIs" dxfId="106" priority="968" stopIfTrue="1" operator="equal">
      <formula>"SD"</formula>
    </cfRule>
    <cfRule type="cellIs" dxfId="105" priority="967" stopIfTrue="1" operator="between">
      <formula>-9.9</formula>
      <formula>-10</formula>
    </cfRule>
    <cfRule type="cellIs" dxfId="104" priority="966" stopIfTrue="1" operator="between">
      <formula>-9.9</formula>
      <formula>-10</formula>
    </cfRule>
    <cfRule type="cellIs" dxfId="103" priority="965" stopIfTrue="1" operator="between">
      <formula>-8.1</formula>
      <formula>-10</formula>
    </cfRule>
  </conditionalFormatting>
  <conditionalFormatting sqref="AE5:AE15 AE35:AE36 AE38:AE42">
    <cfRule type="cellIs" dxfId="102" priority="2171" stopIfTrue="1" operator="between">
      <formula>-8.1</formula>
      <formula>-10</formula>
    </cfRule>
    <cfRule type="cellIs" dxfId="101" priority="2174" stopIfTrue="1" operator="equal">
      <formula>"SD"</formula>
    </cfRule>
    <cfRule type="cellIs" dxfId="100" priority="2173" stopIfTrue="1" operator="between">
      <formula>-9.9</formula>
      <formula>-10</formula>
    </cfRule>
    <cfRule type="cellIs" dxfId="99" priority="2172" stopIfTrue="1" operator="between">
      <formula>-9.9</formula>
      <formula>-10</formula>
    </cfRule>
    <cfRule type="cellIs" dxfId="98" priority="2170" stopIfTrue="1" operator="equal">
      <formula>"40.0"</formula>
    </cfRule>
  </conditionalFormatting>
  <conditionalFormatting sqref="AE17:AE28">
    <cfRule type="cellIs" dxfId="97" priority="2000" stopIfTrue="1" operator="equal">
      <formula>"SD"</formula>
    </cfRule>
    <cfRule type="cellIs" dxfId="96" priority="1995" stopIfTrue="1" operator="between">
      <formula>45</formula>
      <formula>100</formula>
    </cfRule>
    <cfRule type="cellIs" dxfId="95" priority="1996" stopIfTrue="1" operator="equal">
      <formula>"40.0"</formula>
    </cfRule>
    <cfRule type="cellIs" dxfId="94" priority="1999" stopIfTrue="1" operator="between">
      <formula>-9.9</formula>
      <formula>-10</formula>
    </cfRule>
    <cfRule type="cellIs" dxfId="93" priority="1997" stopIfTrue="1" operator="between">
      <formula>-8.1</formula>
      <formula>-10</formula>
    </cfRule>
    <cfRule type="cellIs" dxfId="92" priority="1998" stopIfTrue="1" operator="between">
      <formula>-9.9</formula>
      <formula>-10</formula>
    </cfRule>
  </conditionalFormatting>
  <conditionalFormatting sqref="AE22">
    <cfRule type="containsText" dxfId="91" priority="1679" stopIfTrue="1" operator="containsText" text="sd">
      <formula>NOT(ISERROR(SEARCH("sd",AE22)))</formula>
    </cfRule>
    <cfRule type="containsText" dxfId="90" priority="1723" stopIfTrue="1" operator="containsText" text="sd">
      <formula>NOT(ISERROR(SEARCH("sd",AE22)))</formula>
    </cfRule>
    <cfRule type="containsText" dxfId="89" priority="1678" stopIfTrue="1" operator="containsText" text="sd">
      <formula>NOT(ISERROR(SEARCH("sd",AE22)))</formula>
    </cfRule>
    <cfRule type="containsText" dxfId="88" priority="1722" stopIfTrue="1" operator="containsText" text="sd">
      <formula>NOT(ISERROR(SEARCH("sd",AE22)))</formula>
    </cfRule>
  </conditionalFormatting>
  <conditionalFormatting sqref="AE35:AE36 AE38:AE42 AE5:AE15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7" stopIfTrue="1" operator="containsText" text="sd">
      <formula>NOT(ISERROR(SEARCH("sd",AE36)))</formula>
    </cfRule>
    <cfRule type="containsText" dxfId="85" priority="2168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7" stopIfTrue="1" operator="containsText" text="sd">
      <formula>NOT(ISERROR(SEARCH("sd",AE36)))</formula>
    </cfRule>
    <cfRule type="containsText" dxfId="82" priority="1316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7" stopIfTrue="1" operator="containsText" text="sd">
      <formula>NOT(ISERROR(SEARCH("sd",AE42)))</formula>
    </cfRule>
    <cfRule type="containsText" dxfId="79" priority="1076" stopIfTrue="1" operator="containsText" text="sd">
      <formula>NOT(ISERROR(SEARCH("sd",AE42)))</formula>
    </cfRule>
    <cfRule type="containsText" dxfId="78" priority="1075" stopIfTrue="1" operator="containsText" text="sd">
      <formula>NOT(ISERROR(SEARCH("sd",AE42)))</formula>
    </cfRule>
    <cfRule type="containsText" dxfId="77" priority="1078" stopIfTrue="1" operator="containsText" text="sd">
      <formula>NOT(ISERROR(SEARCH("sd",AE42)))</formula>
    </cfRule>
  </conditionalFormatting>
  <conditionalFormatting sqref="AG5:AG15 AG17:AG24 AG26:AG28 AG30:AG33 AG35:AG36 AG38:AG42 AG44:AG45 AG48">
    <cfRule type="cellIs" dxfId="76" priority="2159" stopIfTrue="1" operator="between">
      <formula>-9.9</formula>
      <formula>-10</formula>
    </cfRule>
    <cfRule type="cellIs" dxfId="75" priority="2160" stopIfTrue="1" operator="between">
      <formula>-9.9</formula>
      <formula>-10</formula>
    </cfRule>
    <cfRule type="cellIs" dxfId="74" priority="2161" stopIfTrue="1" operator="equal">
      <formula>"SD"</formula>
    </cfRule>
    <cfRule type="cellIs" dxfId="73" priority="2157" stopIfTrue="1" operator="equal">
      <formula>"40.0"</formula>
    </cfRule>
    <cfRule type="cellIs" dxfId="72" priority="2158" stopIfTrue="1" operator="between">
      <formula>-8.1</formula>
      <formula>-10</formula>
    </cfRule>
  </conditionalFormatting>
  <conditionalFormatting sqref="AG5:AG15 AG35:AG36 AG38:AG42 AG48">
    <cfRule type="cellIs" dxfId="71" priority="2147" stopIfTrue="1" operator="between">
      <formula>-9.9</formula>
      <formula>-10</formula>
    </cfRule>
    <cfRule type="cellIs" dxfId="70" priority="2148" stopIfTrue="1" operator="equal">
      <formula>"SD"</formula>
    </cfRule>
    <cfRule type="cellIs" dxfId="69" priority="2144" stopIfTrue="1" operator="equal">
      <formula>"40.0"</formula>
    </cfRule>
    <cfRule type="cellIs" dxfId="68" priority="2145" stopIfTrue="1" operator="between">
      <formula>-8.1</formula>
      <formula>-10</formula>
    </cfRule>
    <cfRule type="cellIs" dxfId="67" priority="2146" stopIfTrue="1" operator="between">
      <formula>-9.9</formula>
      <formula>-10</formula>
    </cfRule>
  </conditionalFormatting>
  <conditionalFormatting sqref="AG17:AG28">
    <cfRule type="cellIs" dxfId="66" priority="1984" stopIfTrue="1" operator="between">
      <formula>45</formula>
      <formula>100</formula>
    </cfRule>
    <cfRule type="cellIs" dxfId="65" priority="1985" stopIfTrue="1" operator="equal">
      <formula>"40.0"</formula>
    </cfRule>
    <cfRule type="cellIs" dxfId="64" priority="1986" stopIfTrue="1" operator="between">
      <formula>-8.1</formula>
      <formula>-10</formula>
    </cfRule>
    <cfRule type="cellIs" dxfId="63" priority="1987" stopIfTrue="1" operator="between">
      <formula>-9.9</formula>
      <formula>-10</formula>
    </cfRule>
    <cfRule type="cellIs" dxfId="62" priority="1988" stopIfTrue="1" operator="between">
      <formula>-9.9</formula>
      <formula>-10</formula>
    </cfRule>
    <cfRule type="cellIs" dxfId="61" priority="1989" stopIfTrue="1" operator="equal">
      <formula>"SD"</formula>
    </cfRule>
  </conditionalFormatting>
  <conditionalFormatting sqref="AG35:AG36 AG38:AG42 AG5:AG15 AG48 AG17:AG24 AG26:AG28 AG30:AG33 AG44:AG45">
    <cfRule type="cellIs" dxfId="60" priority="2156" stopIfTrue="1" operator="between">
      <formula>45</formula>
      <formula>100</formula>
    </cfRule>
  </conditionalFormatting>
  <conditionalFormatting sqref="AG35:AG36 AG38:AG42 AG5:AG15 AG48">
    <cfRule type="cellIs" dxfId="59" priority="2143" stopIfTrue="1" operator="between">
      <formula>45</formula>
      <formula>100</formula>
    </cfRule>
  </conditionalFormatting>
  <conditionalFormatting sqref="AG5:AH15 AG17:AH24 AG26:AH28 AG30:AH33 AG35:AH36 AG38:AH42 AG44:AH45 AG48:AH48">
    <cfRule type="cellIs" dxfId="58" priority="2200" stopIfTrue="1" operator="equal">
      <formula>"SD"</formula>
    </cfRule>
    <cfRule type="cellIs" dxfId="57" priority="2199" stopIfTrue="1" operator="between">
      <formula>-9.9</formula>
      <formula>-10</formula>
    </cfRule>
    <cfRule type="cellIs" dxfId="56" priority="2198" stopIfTrue="1" operator="between">
      <formula>-9.9</formula>
      <formula>-10</formula>
    </cfRule>
    <cfRule type="cellIs" dxfId="55" priority="2197" stopIfTrue="1" operator="between">
      <formula>-8.1</formula>
      <formula>-10</formula>
    </cfRule>
    <cfRule type="cellIs" dxfId="54" priority="2196" stopIfTrue="1" operator="equal">
      <formula>"40.0"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75" stopIfTrue="1" operator="containsText" text="sd">
      <formula>NOT(ISERROR(SEARCH("sd",AG22)))</formula>
    </cfRule>
    <cfRule type="containsText" dxfId="51" priority="1683" stopIfTrue="1" operator="containsText" text="sd">
      <formula>NOT(ISERROR(SEARCH("sd",AG22)))</formula>
    </cfRule>
    <cfRule type="containsText" dxfId="50" priority="1674" stopIfTrue="1" operator="containsText" text="sd">
      <formula>NOT(ISERROR(SEARCH("sd",AG22)))</formula>
    </cfRule>
    <cfRule type="containsText" dxfId="49" priority="1676" stopIfTrue="1" operator="containsText" text="sd">
      <formula>NOT(ISERROR(SEARCH("sd",AG22)))</formula>
    </cfRule>
    <cfRule type="containsText" dxfId="48" priority="1677" stopIfTrue="1" operator="containsText" text="sd">
      <formula>NOT(ISERROR(SEARCH("sd",AG22)))</formula>
    </cfRule>
    <cfRule type="containsText" dxfId="47" priority="1727" stopIfTrue="1" operator="containsText" text="sd">
      <formula>NOT(ISERROR(SEARCH("sd",AG22)))</formula>
    </cfRule>
    <cfRule type="containsText" dxfId="46" priority="1726" stopIfTrue="1" operator="containsText" text="sd">
      <formula>NOT(ISERROR(SEARCH("sd",AG22)))</formula>
    </cfRule>
    <cfRule type="containsText" dxfId="45" priority="1721" stopIfTrue="1" operator="containsText" text="sd">
      <formula>NOT(ISERROR(SEARCH("sd",AG22)))</formula>
    </cfRule>
    <cfRule type="containsText" dxfId="44" priority="1720" stopIfTrue="1" operator="containsText" text="sd">
      <formula>NOT(ISERROR(SEARCH("sd",AG22)))</formula>
    </cfRule>
    <cfRule type="containsText" dxfId="43" priority="1719" stopIfTrue="1" operator="containsText" text="sd">
      <formula>NOT(ISERROR(SEARCH("sd",AG22)))</formula>
    </cfRule>
    <cfRule type="containsText" dxfId="42" priority="1718" stopIfTrue="1" operator="containsText" text="sd">
      <formula>NOT(ISERROR(SEARCH("sd",AG22)))</formula>
    </cfRule>
  </conditionalFormatting>
  <conditionalFormatting sqref="AG30:AH33 AH35:AH36 AH38:AH42 AG44:AH45 AH5:AH15 AH17:AH24 AH26:AH28">
    <cfRule type="cellIs" dxfId="41" priority="121" stopIfTrue="1" operator="between">
      <formula>45</formula>
      <formula>100</formula>
    </cfRule>
  </conditionalFormatting>
  <conditionalFormatting sqref="AG35:AH36 AG38:AH42 AG5:AH15 AG17:AH24 AG26:AH28 AG30:AH33 AG44:AH45 AG48:AH48">
    <cfRule type="cellIs" dxfId="40" priority="2195" stopIfTrue="1" operator="between">
      <formula>45</formula>
      <formula>100</formula>
    </cfRule>
  </conditionalFormatting>
  <conditionalFormatting sqref="AG36:AH36 AG42:AH42">
    <cfRule type="containsText" dxfId="39" priority="2154" stopIfTrue="1" operator="containsText" text="sd">
      <formula>NOT(ISERROR(SEARCH("sd",AG36)))</formula>
    </cfRule>
    <cfRule type="containsText" dxfId="38" priority="2155" stopIfTrue="1" operator="containsText" text="sd">
      <formula>NOT(ISERROR(SEARCH("sd",AG36)))</formula>
    </cfRule>
    <cfRule type="containsText" dxfId="37" priority="2142" stopIfTrue="1" operator="containsText" text="sd">
      <formula>NOT(ISERROR(SEARCH("sd",AG36)))</formula>
    </cfRule>
    <cfRule type="containsText" dxfId="36" priority="2141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  <cfRule type="containsText" dxfId="34" priority="2193" stopIfTrue="1" operator="containsText" text="sd">
      <formula>NOT(ISERROR(SEARCH("sd",AG36)))</formula>
    </cfRule>
  </conditionalFormatting>
  <conditionalFormatting sqref="AH5:AH15 AH17:AH24 AH26:AH28 AG30:AH33 AH35:AH36 AH38:AH42 AG44:AH45">
    <cfRule type="cellIs" dxfId="33" priority="122" stopIfTrue="1" operator="equal">
      <formula>"40.0"</formula>
    </cfRule>
    <cfRule type="cellIs" dxfId="32" priority="123" stopIfTrue="1" operator="between">
      <formula>-8.1</formula>
      <formula>-10</formula>
    </cfRule>
    <cfRule type="cellIs" dxfId="31" priority="124" stopIfTrue="1" operator="between">
      <formula>-9.9</formula>
      <formula>-10</formula>
    </cfRule>
    <cfRule type="cellIs" dxfId="30" priority="125" stopIfTrue="1" operator="between">
      <formula>-9.9</formula>
      <formula>-10</formula>
    </cfRule>
    <cfRule type="cellIs" dxfId="29" priority="126" stopIfTrue="1" operator="equal">
      <formula>"SD"</formula>
    </cfRule>
  </conditionalFormatting>
  <conditionalFormatting sqref="AH5:AH15 AH17:AH28">
    <cfRule type="cellIs" dxfId="28" priority="106" stopIfTrue="1" operator="equal">
      <formula>"40.0"</formula>
    </cfRule>
    <cfRule type="cellIs" dxfId="27" priority="105" stopIfTrue="1" operator="between">
      <formula>45</formula>
      <formula>100</formula>
    </cfRule>
    <cfRule type="cellIs" dxfId="26" priority="110" stopIfTrue="1" operator="equal">
      <formula>"SD"</formula>
    </cfRule>
    <cfRule type="cellIs" dxfId="25" priority="109" stopIfTrue="1" operator="between">
      <formula>-9.9</formula>
      <formula>-10</formula>
    </cfRule>
    <cfRule type="cellIs" dxfId="24" priority="108" stopIfTrue="1" operator="between">
      <formula>-9.9</formula>
      <formula>-10</formula>
    </cfRule>
    <cfRule type="cellIs" dxfId="23" priority="107" stopIfTrue="1" operator="between">
      <formula>-8.1</formula>
      <formula>-10</formula>
    </cfRule>
  </conditionalFormatting>
  <conditionalFormatting sqref="AH30:AH33 AH35:AH36 AH38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8" stopIfTrue="1" operator="between">
      <formula>-9.9</formula>
      <formula>-10</formula>
    </cfRule>
    <cfRule type="cellIs" dxfId="19" priority="117" stopIfTrue="1" operator="between">
      <formula>-8.1</formula>
      <formula>-10</formula>
    </cfRule>
    <cfRule type="cellIs" dxfId="18" priority="116" stopIfTrue="1" operator="equal">
      <formula>"40.0"</formula>
    </cfRule>
    <cfRule type="cellIs" dxfId="17" priority="115" stopIfTrue="1" operator="between">
      <formula>45</formula>
      <formula>100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2" stopIfTrue="1" operator="greaterThan">
      <formula>0</formula>
    </cfRule>
    <cfRule type="cellIs" dxfId="13" priority="471" stopIfTrue="1" operator="less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50" stopIfTrue="1" operator="greaterThan">
      <formula>0</formula>
    </cfRule>
    <cfRule type="cellIs" dxfId="9" priority="1449" stopIfTrue="1" operator="lessThan">
      <formula>0</formula>
    </cfRule>
  </conditionalFormatting>
  <conditionalFormatting sqref="AP5:AP48">
    <cfRule type="cellIs" dxfId="8" priority="88" operator="between">
      <formula>2</formula>
      <formula>10</formula>
    </cfRule>
    <cfRule type="cellIs" dxfId="7" priority="91" operator="between">
      <formula>0.5</formula>
      <formula>1</formula>
    </cfRule>
    <cfRule type="cellIs" dxfId="6" priority="90" operator="between">
      <formula>1</formula>
      <formula>1.5</formula>
    </cfRule>
    <cfRule type="cellIs" dxfId="5" priority="86" operator="between">
      <formula>-1</formula>
      <formula>-1.5</formula>
    </cfRule>
    <cfRule type="cellIs" dxfId="4" priority="85" operator="between">
      <formula>-1.5</formula>
      <formula>-2</formula>
    </cfRule>
    <cfRule type="cellIs" dxfId="3" priority="84" operator="between">
      <formula>-2</formula>
      <formula>-10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D1" workbookViewId="0">
      <selection activeCell="AC3" sqref="AC3:AC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1" t="s">
        <v>122</v>
      </c>
      <c r="I1" s="72"/>
      <c r="J1" s="73"/>
      <c r="K1" s="68" t="s">
        <v>123</v>
      </c>
      <c r="L1" s="69"/>
      <c r="M1" s="70"/>
      <c r="N1" s="71" t="s">
        <v>124</v>
      </c>
      <c r="O1" s="72"/>
      <c r="P1" s="73"/>
      <c r="Q1" s="68" t="s">
        <v>125</v>
      </c>
      <c r="R1" s="69"/>
      <c r="S1" s="70"/>
      <c r="T1" s="71" t="s">
        <v>126</v>
      </c>
      <c r="U1" s="72"/>
      <c r="V1" s="73"/>
      <c r="W1" s="68" t="s">
        <v>127</v>
      </c>
      <c r="X1" s="69"/>
      <c r="Y1" s="70"/>
      <c r="Z1" s="71" t="s">
        <v>128</v>
      </c>
      <c r="AA1" s="72"/>
      <c r="AB1" s="73"/>
      <c r="AC1" s="68" t="s">
        <v>129</v>
      </c>
      <c r="AD1" s="69"/>
      <c r="AE1" s="70"/>
      <c r="AF1" s="71" t="s">
        <v>130</v>
      </c>
      <c r="AG1" s="72"/>
      <c r="AH1" s="73"/>
      <c r="AI1" s="68" t="s">
        <v>131</v>
      </c>
      <c r="AJ1" s="69"/>
      <c r="AK1" s="70"/>
      <c r="AL1" s="71" t="s">
        <v>132</v>
      </c>
      <c r="AM1" s="72"/>
      <c r="AN1" s="73"/>
      <c r="AO1" s="68" t="s">
        <v>133</v>
      </c>
      <c r="AP1" s="69"/>
      <c r="AQ1" s="70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1" workbookViewId="0">
      <selection activeCell="P2" sqref="P2:P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55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55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55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55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55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55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55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55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55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55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55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55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55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55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55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55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55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55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55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55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55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55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55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55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55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55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55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55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55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55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55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55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55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55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55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55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55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55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55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55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55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55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55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55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6" t="s">
        <v>1</v>
      </c>
      <c r="B1" s="78" t="s">
        <v>92</v>
      </c>
      <c r="C1" s="67" t="s">
        <v>93</v>
      </c>
      <c r="D1" s="74" t="s">
        <v>94</v>
      </c>
      <c r="E1" s="74" t="s">
        <v>95</v>
      </c>
      <c r="F1" s="74" t="s">
        <v>96</v>
      </c>
      <c r="G1" s="74" t="s">
        <v>97</v>
      </c>
      <c r="H1" s="74" t="s">
        <v>98</v>
      </c>
      <c r="I1" s="74" t="s">
        <v>99</v>
      </c>
      <c r="J1" s="74" t="s">
        <v>100</v>
      </c>
      <c r="K1" s="74" t="s">
        <v>101</v>
      </c>
      <c r="L1" s="74" t="s">
        <v>102</v>
      </c>
      <c r="M1" s="74" t="s">
        <v>103</v>
      </c>
      <c r="N1" s="74" t="s">
        <v>104</v>
      </c>
      <c r="O1" s="74" t="s">
        <v>105</v>
      </c>
    </row>
    <row r="2" spans="1:15" ht="12.75" customHeight="1" x14ac:dyDescent="0.2">
      <c r="A2" s="77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2022-10-25T13:14:52Z</cp:lastPrinted>
  <dcterms:created xsi:type="dcterms:W3CDTF">2007-01-09T17:41:42Z</dcterms:created>
  <dcterms:modified xsi:type="dcterms:W3CDTF">2026-08-05T13:29:02Z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