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455CBC9C-D01F-4193-86C5-3804D881B3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Temperatura!$N$1:$N$288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W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S286" i="1" s="1"/>
  <c r="AV285" i="1" a="1"/>
  <c r="AV285" i="1" s="1"/>
  <c r="AU285" i="1" a="1"/>
  <c r="AU285" i="1" s="1"/>
  <c r="AW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S280" i="1" s="1"/>
  <c r="AV279" i="1" a="1"/>
  <c r="AV279" i="1" s="1"/>
  <c r="AU279" i="1" a="1"/>
  <c r="AU279" i="1"/>
  <c r="AT279" i="1"/>
  <c r="AW279" i="1" s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W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/>
  <c r="AU273" i="1" a="1"/>
  <c r="AU273" i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W269" i="1" s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S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S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S263" i="1" s="1"/>
  <c r="AV262" i="1" a="1"/>
  <c r="AV262" i="1" s="1"/>
  <c r="AU262" i="1" a="1"/>
  <c r="AU262" i="1" s="1"/>
  <c r="AT262" i="1"/>
  <c r="AR262" i="1"/>
  <c r="AP262" i="1"/>
  <c r="AQ262" i="1" s="1"/>
  <c r="AS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S260" i="1" s="1"/>
  <c r="AV259" i="1" a="1"/>
  <c r="AV259" i="1" s="1"/>
  <c r="AU259" i="1" a="1"/>
  <c r="AU259" i="1" s="1"/>
  <c r="AW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S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/>
  <c r="AU240" i="1" a="1"/>
  <c r="AU240" i="1" s="1"/>
  <c r="AT240" i="1"/>
  <c r="AR240" i="1"/>
  <c r="AP240" i="1"/>
  <c r="AQ240" i="1" s="1"/>
  <c r="AV239" i="1" a="1"/>
  <c r="AV239" i="1" s="1"/>
  <c r="AU239" i="1" a="1"/>
  <c r="AU239" i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S235" i="1" s="1"/>
  <c r="AV234" i="1" a="1"/>
  <c r="AV234" i="1" s="1"/>
  <c r="AU234" i="1" a="1"/>
  <c r="AU234" i="1" s="1"/>
  <c r="AT234" i="1"/>
  <c r="AR234" i="1"/>
  <c r="AP234" i="1"/>
  <c r="AQ234" i="1" s="1"/>
  <c r="AS234" i="1" s="1"/>
  <c r="AV233" i="1" a="1"/>
  <c r="AV233" i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S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S229" i="1" s="1"/>
  <c r="AV228" i="1" a="1"/>
  <c r="AV228" i="1" s="1"/>
  <c r="AU228" i="1" a="1"/>
  <c r="AU228" i="1"/>
  <c r="AT228" i="1"/>
  <c r="AW228" i="1" s="1"/>
  <c r="AR228" i="1"/>
  <c r="AP228" i="1"/>
  <c r="AQ228" i="1" s="1"/>
  <c r="AV227" i="1" a="1"/>
  <c r="AV227" i="1" s="1"/>
  <c r="AU227" i="1" a="1"/>
  <c r="AU227" i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S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S218" i="1" s="1"/>
  <c r="AV217" i="1" a="1"/>
  <c r="AV217" i="1" s="1"/>
  <c r="AU217" i="1" a="1"/>
  <c r="AU217" i="1" s="1"/>
  <c r="AT217" i="1"/>
  <c r="AR217" i="1"/>
  <c r="AP217" i="1"/>
  <c r="AQ217" i="1" s="1"/>
  <c r="AS217" i="1" s="1"/>
  <c r="AV216" i="1" a="1"/>
  <c r="AV216" i="1" s="1"/>
  <c r="AU216" i="1" a="1"/>
  <c r="AU216" i="1" s="1"/>
  <c r="AT216" i="1"/>
  <c r="AR216" i="1"/>
  <c r="AP216" i="1"/>
  <c r="AQ216" i="1" s="1"/>
  <c r="AS216" i="1" s="1"/>
  <c r="AV215" i="1" a="1"/>
  <c r="AV215" i="1" s="1"/>
  <c r="AU215" i="1" a="1"/>
  <c r="AU215" i="1" s="1"/>
  <c r="AT215" i="1"/>
  <c r="AR215" i="1"/>
  <c r="AP215" i="1"/>
  <c r="AQ215" i="1" s="1"/>
  <c r="AS215" i="1" s="1"/>
  <c r="AV214" i="1" a="1"/>
  <c r="AV214" i="1" s="1"/>
  <c r="AU214" i="1" a="1"/>
  <c r="AU214" i="1"/>
  <c r="AT214" i="1"/>
  <c r="AR214" i="1"/>
  <c r="AP214" i="1"/>
  <c r="AQ214" i="1" s="1"/>
  <c r="AV213" i="1" a="1"/>
  <c r="AV213" i="1" s="1"/>
  <c r="AU213" i="1" a="1"/>
  <c r="AU213" i="1" s="1"/>
  <c r="AT213" i="1"/>
  <c r="AW213" i="1" s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S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S210" i="1" s="1"/>
  <c r="AV209" i="1" a="1"/>
  <c r="AV209" i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S194" i="1" s="1"/>
  <c r="AV193" i="1" a="1"/>
  <c r="AV193" i="1"/>
  <c r="AU193" i="1" a="1"/>
  <c r="AU193" i="1" s="1"/>
  <c r="AT193" i="1"/>
  <c r="AR193" i="1"/>
  <c r="AP193" i="1"/>
  <c r="AQ193" i="1" s="1"/>
  <c r="AS193" i="1" s="1"/>
  <c r="AV192" i="1" a="1"/>
  <c r="AV192" i="1" s="1"/>
  <c r="AU192" i="1" a="1"/>
  <c r="AU192" i="1"/>
  <c r="AT192" i="1"/>
  <c r="AR192" i="1"/>
  <c r="AP192" i="1"/>
  <c r="AQ192" i="1" s="1"/>
  <c r="AS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P187" i="1"/>
  <c r="AQ187" i="1" s="1"/>
  <c r="AS187" i="1" s="1"/>
  <c r="AV186" i="1" a="1"/>
  <c r="AV186" i="1" s="1"/>
  <c r="AU186" i="1" a="1"/>
  <c r="AU186" i="1" s="1"/>
  <c r="AT186" i="1"/>
  <c r="AR186" i="1"/>
  <c r="AP186" i="1"/>
  <c r="AQ186" i="1" s="1"/>
  <c r="AS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S184" i="1" s="1"/>
  <c r="AV183" i="1" a="1"/>
  <c r="AV183" i="1" s="1"/>
  <c r="AU183" i="1" a="1"/>
  <c r="AU183" i="1" s="1"/>
  <c r="AT183" i="1"/>
  <c r="AR183" i="1"/>
  <c r="AP183" i="1"/>
  <c r="AQ183" i="1" s="1"/>
  <c r="AS183" i="1" s="1"/>
  <c r="AV182" i="1" a="1"/>
  <c r="AV182" i="1" s="1"/>
  <c r="AU182" i="1" a="1"/>
  <c r="AU182" i="1" s="1"/>
  <c r="AT182" i="1"/>
  <c r="AW182" i="1" s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S171" i="1" s="1"/>
  <c r="AV170" i="1" a="1"/>
  <c r="AV170" i="1" s="1"/>
  <c r="AU170" i="1" a="1"/>
  <c r="AU170" i="1" s="1"/>
  <c r="AT170" i="1"/>
  <c r="AR170" i="1"/>
  <c r="AP170" i="1"/>
  <c r="AQ170" i="1" s="1"/>
  <c r="AS170" i="1" s="1"/>
  <c r="AV169" i="1" a="1"/>
  <c r="AV169" i="1" s="1"/>
  <c r="AU169" i="1" a="1"/>
  <c r="AU169" i="1" s="1"/>
  <c r="AT169" i="1"/>
  <c r="AR169" i="1"/>
  <c r="AP169" i="1"/>
  <c r="AQ169" i="1" s="1"/>
  <c r="AS169" i="1" s="1"/>
  <c r="AV168" i="1" a="1"/>
  <c r="AV168" i="1" s="1"/>
  <c r="AU168" i="1" a="1"/>
  <c r="AU168" i="1" s="1"/>
  <c r="AT168" i="1"/>
  <c r="AR168" i="1"/>
  <c r="AP168" i="1"/>
  <c r="AQ168" i="1" s="1"/>
  <c r="AS168" i="1" s="1"/>
  <c r="AV167" i="1" a="1"/>
  <c r="AV167" i="1" s="1"/>
  <c r="AU167" i="1" a="1"/>
  <c r="AU167" i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/>
  <c r="AT164" i="1"/>
  <c r="AR164" i="1"/>
  <c r="AP164" i="1"/>
  <c r="AQ164" i="1" s="1"/>
  <c r="AS164" i="1" s="1"/>
  <c r="AV163" i="1" a="1"/>
  <c r="AV163" i="1" s="1"/>
  <c r="AU163" i="1" a="1"/>
  <c r="AU163" i="1" s="1"/>
  <c r="AT163" i="1"/>
  <c r="AR163" i="1"/>
  <c r="AP163" i="1"/>
  <c r="AQ163" i="1" s="1"/>
  <c r="AS163" i="1" s="1"/>
  <c r="AV162" i="1" a="1"/>
  <c r="AV162" i="1" s="1"/>
  <c r="AU162" i="1" a="1"/>
  <c r="AU162" i="1"/>
  <c r="AT162" i="1"/>
  <c r="AR162" i="1"/>
  <c r="AP162" i="1"/>
  <c r="AQ162" i="1" s="1"/>
  <c r="AV161" i="1" a="1"/>
  <c r="AV161" i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S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S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W156" i="1" s="1"/>
  <c r="AT156" i="1"/>
  <c r="AR156" i="1"/>
  <c r="AP156" i="1"/>
  <c r="AQ156" i="1" s="1"/>
  <c r="AS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S153" i="1" s="1"/>
  <c r="AV152" i="1" a="1"/>
  <c r="AV152" i="1" s="1"/>
  <c r="AU152" i="1" a="1"/>
  <c r="AU152" i="1" s="1"/>
  <c r="AT152" i="1"/>
  <c r="AR152" i="1"/>
  <c r="AP152" i="1"/>
  <c r="AQ152" i="1" s="1"/>
  <c r="AS152" i="1" s="1"/>
  <c r="AV151" i="1" a="1"/>
  <c r="AV151" i="1" s="1"/>
  <c r="AU151" i="1" a="1"/>
  <c r="AU151" i="1" s="1"/>
  <c r="AT151" i="1"/>
  <c r="AW151" i="1" s="1"/>
  <c r="AR151" i="1"/>
  <c r="AP151" i="1"/>
  <c r="AQ151" i="1" s="1"/>
  <c r="AV150" i="1" a="1"/>
  <c r="AV150" i="1" s="1"/>
  <c r="AU150" i="1" a="1"/>
  <c r="AU150" i="1" s="1"/>
  <c r="AT150" i="1"/>
  <c r="AW150" i="1" s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S148" i="1" s="1"/>
  <c r="AV147" i="1" a="1"/>
  <c r="AV147" i="1"/>
  <c r="AU147" i="1" a="1"/>
  <c r="AU147" i="1" s="1"/>
  <c r="AT147" i="1"/>
  <c r="AR147" i="1"/>
  <c r="AP147" i="1"/>
  <c r="AQ147" i="1" s="1"/>
  <c r="AV146" i="1" a="1"/>
  <c r="AV146" i="1" s="1"/>
  <c r="AU146" i="1" a="1"/>
  <c r="AU146" i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S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W136" i="1" s="1"/>
  <c r="AR136" i="1"/>
  <c r="AP136" i="1"/>
  <c r="AQ136" i="1" s="1"/>
  <c r="AS136" i="1" s="1"/>
  <c r="AV135" i="1" a="1"/>
  <c r="AV135" i="1" s="1"/>
  <c r="AU135" i="1" a="1"/>
  <c r="AU135" i="1" s="1"/>
  <c r="AT135" i="1"/>
  <c r="AR135" i="1"/>
  <c r="AP135" i="1"/>
  <c r="AQ135" i="1" s="1"/>
  <c r="AS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/>
  <c r="AU130" i="1" a="1"/>
  <c r="AU130" i="1" s="1"/>
  <c r="AT130" i="1"/>
  <c r="AR130" i="1"/>
  <c r="AP130" i="1"/>
  <c r="AQ130" i="1" s="1"/>
  <c r="AS130" i="1" s="1"/>
  <c r="AV129" i="1" a="1"/>
  <c r="AV129" i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W123" i="1" s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S120" i="1" s="1"/>
  <c r="AV119" i="1" a="1"/>
  <c r="AV119" i="1" s="1"/>
  <c r="AU119" i="1" a="1"/>
  <c r="AU119" i="1" s="1"/>
  <c r="AT119" i="1"/>
  <c r="AW119" i="1" s="1"/>
  <c r="AR119" i="1"/>
  <c r="AP119" i="1"/>
  <c r="AQ119" i="1" s="1"/>
  <c r="AS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S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/>
  <c r="AU113" i="1" a="1"/>
  <c r="AU113" i="1" s="1"/>
  <c r="AT113" i="1"/>
  <c r="AR113" i="1"/>
  <c r="AP113" i="1"/>
  <c r="AQ113" i="1" s="1"/>
  <c r="AV112" i="1" a="1"/>
  <c r="AV112" i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S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S106" i="1" s="1"/>
  <c r="AV105" i="1" a="1"/>
  <c r="AV105" i="1" s="1"/>
  <c r="AU105" i="1" a="1"/>
  <c r="AU105" i="1" s="1"/>
  <c r="AW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W101" i="1" s="1"/>
  <c r="AR101" i="1"/>
  <c r="AP101" i="1"/>
  <c r="AQ101" i="1" s="1"/>
  <c r="AV100" i="1" a="1"/>
  <c r="AV100" i="1" s="1"/>
  <c r="AU100" i="1" a="1"/>
  <c r="AU100" i="1"/>
  <c r="AT100" i="1"/>
  <c r="AR100" i="1"/>
  <c r="AP100" i="1"/>
  <c r="AQ100" i="1" s="1"/>
  <c r="AS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S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W85" i="1" s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W83" i="1" s="1"/>
  <c r="AR83" i="1"/>
  <c r="AP83" i="1"/>
  <c r="AQ83" i="1" s="1"/>
  <c r="AS83" i="1" s="1"/>
  <c r="AV82" i="1" a="1"/>
  <c r="AV82" i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W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/>
  <c r="AT78" i="1"/>
  <c r="AW78" i="1" s="1"/>
  <c r="AR78" i="1"/>
  <c r="AP78" i="1"/>
  <c r="AQ78" i="1" s="1"/>
  <c r="AS78" i="1" s="1"/>
  <c r="AV77" i="1" a="1"/>
  <c r="AV77" i="1" s="1"/>
  <c r="AU77" i="1" a="1"/>
  <c r="AU77" i="1" s="1"/>
  <c r="AT77" i="1"/>
  <c r="AR77" i="1"/>
  <c r="AP77" i="1"/>
  <c r="AQ77" i="1" s="1"/>
  <c r="AS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W72" i="1" s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W70" i="1" s="1"/>
  <c r="AT70" i="1"/>
  <c r="AR70" i="1"/>
  <c r="AP70" i="1"/>
  <c r="AQ70" i="1" s="1"/>
  <c r="AV69" i="1" a="1"/>
  <c r="AV69" i="1" s="1"/>
  <c r="AU69" i="1" a="1"/>
  <c r="AU69" i="1" s="1"/>
  <c r="AT69" i="1"/>
  <c r="AW69" i="1" s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S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W62" i="1" s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S61" i="1" s="1"/>
  <c r="AV60" i="1" a="1"/>
  <c r="AV60" i="1" s="1"/>
  <c r="AU60" i="1" a="1"/>
  <c r="AU60" i="1" s="1"/>
  <c r="AT60" i="1"/>
  <c r="AR60" i="1"/>
  <c r="AP60" i="1"/>
  <c r="AQ60" i="1" s="1"/>
  <c r="AS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S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W55" i="1" s="1"/>
  <c r="AR55" i="1"/>
  <c r="AP55" i="1"/>
  <c r="AQ55" i="1" s="1"/>
  <c r="AV54" i="1" a="1"/>
  <c r="AV54" i="1" s="1"/>
  <c r="AU54" i="1" a="1"/>
  <c r="AU54" i="1" s="1"/>
  <c r="AT54" i="1"/>
  <c r="AW54" i="1" s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S51" i="1" s="1"/>
  <c r="AV50" i="1" a="1"/>
  <c r="AV50" i="1" s="1"/>
  <c r="AU50" i="1" a="1"/>
  <c r="AU50" i="1" s="1"/>
  <c r="AT50" i="1"/>
  <c r="AR50" i="1"/>
  <c r="AP50" i="1"/>
  <c r="AQ50" i="1" s="1"/>
  <c r="AS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S48" i="1" s="1"/>
  <c r="AV47" i="1" a="1"/>
  <c r="AV47" i="1" s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 s="1"/>
  <c r="AT46" i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W43" i="1" s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W34" i="1" s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S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/>
  <c r="AT17" i="1"/>
  <c r="AW17" i="1" s="1"/>
  <c r="AR17" i="1"/>
  <c r="AP17" i="1"/>
  <c r="AQ17" i="1" s="1"/>
  <c r="AS17" i="1" s="1"/>
  <c r="AV16" i="1" a="1"/>
  <c r="AV16" i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S13" i="1" s="1"/>
  <c r="AV12" i="1" a="1"/>
  <c r="AV12" i="1" s="1"/>
  <c r="AU12" i="1" a="1"/>
  <c r="AU12" i="1" s="1"/>
  <c r="AT12" i="1"/>
  <c r="AR12" i="1"/>
  <c r="AP12" i="1"/>
  <c r="AQ12" i="1" s="1"/>
  <c r="AS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24" i="1" l="1"/>
  <c r="AS62" i="1"/>
  <c r="AW183" i="1"/>
  <c r="AS232" i="1"/>
  <c r="AS244" i="1"/>
  <c r="AS196" i="1"/>
  <c r="AS282" i="1"/>
  <c r="AW184" i="1"/>
  <c r="AW25" i="1"/>
  <c r="AS38" i="1"/>
  <c r="AW100" i="1"/>
  <c r="AS161" i="1"/>
  <c r="AS209" i="1"/>
  <c r="AW245" i="1"/>
  <c r="AS258" i="1"/>
  <c r="AW195" i="1"/>
  <c r="AW173" i="1"/>
  <c r="AS222" i="1"/>
  <c r="AW147" i="1"/>
  <c r="AW77" i="1"/>
  <c r="AW125" i="1"/>
  <c r="AS27" i="1"/>
  <c r="AS284" i="1"/>
  <c r="AW284" i="1"/>
  <c r="AS90" i="1"/>
  <c r="AS114" i="1"/>
  <c r="AS126" i="1"/>
  <c r="AS211" i="1"/>
  <c r="AW26" i="1"/>
  <c r="AS39" i="1"/>
  <c r="AW29" i="1"/>
  <c r="AS104" i="1"/>
  <c r="AS140" i="1"/>
  <c r="AW261" i="1"/>
  <c r="AS55" i="1"/>
  <c r="AS177" i="1"/>
  <c r="AS189" i="1"/>
  <c r="AS287" i="1"/>
  <c r="AS18" i="1"/>
  <c r="AW30" i="1"/>
  <c r="AS43" i="1"/>
  <c r="AS275" i="1"/>
  <c r="AS129" i="1"/>
  <c r="AW141" i="1"/>
  <c r="AS31" i="1"/>
  <c r="AS154" i="1"/>
  <c r="AS178" i="1"/>
  <c r="AS276" i="1"/>
  <c r="AS264" i="1"/>
  <c r="AS70" i="1"/>
  <c r="AS252" i="1"/>
  <c r="AS166" i="1"/>
  <c r="AS228" i="1"/>
  <c r="AW264" i="1"/>
  <c r="AW220" i="1"/>
  <c r="AS71" i="1"/>
  <c r="AW144" i="1"/>
  <c r="AS34" i="1"/>
  <c r="AS72" i="1"/>
  <c r="AS132" i="1"/>
  <c r="AS157" i="1"/>
  <c r="AW278" i="1"/>
  <c r="AW82" i="1"/>
  <c r="AW9" i="1"/>
  <c r="AW133" i="1"/>
  <c r="AS11" i="1"/>
  <c r="AW23" i="1"/>
  <c r="AW193" i="1"/>
  <c r="AW230" i="1"/>
  <c r="AS74" i="1"/>
  <c r="AW218" i="1"/>
  <c r="AW11" i="1"/>
  <c r="AW13" i="1"/>
  <c r="AW120" i="1"/>
  <c r="AS167" i="1"/>
  <c r="AS202" i="1"/>
  <c r="AW74" i="1"/>
  <c r="AS98" i="1"/>
  <c r="AS110" i="1"/>
  <c r="AS121" i="1"/>
  <c r="AS179" i="1"/>
  <c r="AS214" i="1"/>
  <c r="AW225" i="1"/>
  <c r="AW237" i="1"/>
  <c r="AW86" i="1"/>
  <c r="AW110" i="1"/>
  <c r="AW214" i="1"/>
  <c r="AS248" i="1"/>
  <c r="AW282" i="1"/>
  <c r="AS87" i="1"/>
  <c r="AS99" i="1"/>
  <c r="AS122" i="1"/>
  <c r="AS180" i="1"/>
  <c r="AW248" i="1"/>
  <c r="AW271" i="1"/>
  <c r="AS146" i="1"/>
  <c r="AW168" i="1"/>
  <c r="AW260" i="1"/>
  <c r="AW238" i="1"/>
  <c r="AW111" i="1"/>
  <c r="AW122" i="1"/>
  <c r="AS134" i="1"/>
  <c r="AW146" i="1"/>
  <c r="AS204" i="1"/>
  <c r="AS272" i="1"/>
  <c r="AS181" i="1"/>
  <c r="AW204" i="1"/>
  <c r="AW227" i="1"/>
  <c r="AW249" i="1"/>
  <c r="AW63" i="1"/>
  <c r="AW169" i="1"/>
  <c r="AW181" i="1"/>
  <c r="AS250" i="1"/>
  <c r="AW50" i="1"/>
  <c r="AW40" i="1"/>
  <c r="AS285" i="1"/>
  <c r="AS125" i="1"/>
  <c r="AW135" i="1"/>
  <c r="AW205" i="1"/>
  <c r="AW39" i="1"/>
  <c r="AS159" i="1"/>
  <c r="AW112" i="1"/>
  <c r="AW250" i="1"/>
  <c r="AW170" i="1"/>
  <c r="AS67" i="1"/>
  <c r="AS79" i="1"/>
  <c r="AW90" i="1"/>
  <c r="AW102" i="1"/>
  <c r="AS137" i="1"/>
  <c r="AS172" i="1"/>
  <c r="AS195" i="1"/>
  <c r="AS207" i="1"/>
  <c r="AW229" i="1"/>
  <c r="AS241" i="1"/>
  <c r="AW5" i="1"/>
  <c r="AW124" i="1"/>
  <c r="AW171" i="1"/>
  <c r="AW79" i="1"/>
  <c r="AS103" i="1"/>
  <c r="AW114" i="1"/>
  <c r="AW160" i="1"/>
  <c r="AW103" i="1"/>
  <c r="AS219" i="1"/>
  <c r="AS68" i="1"/>
  <c r="AS150" i="1"/>
  <c r="AS173" i="1"/>
  <c r="AS253" i="1"/>
  <c r="AS32" i="1"/>
  <c r="AS44" i="1"/>
  <c r="AS56" i="1"/>
  <c r="AS242" i="1"/>
  <c r="AW68" i="1"/>
  <c r="AS162" i="1"/>
  <c r="AS220" i="1"/>
  <c r="AW92" i="1"/>
  <c r="AW104" i="1"/>
  <c r="AW115" i="1"/>
  <c r="AS151" i="1"/>
  <c r="AS174" i="1"/>
  <c r="AW162" i="1"/>
  <c r="AS254" i="1"/>
  <c r="AS197" i="1"/>
  <c r="AS243" i="1"/>
  <c r="AW209" i="1"/>
  <c r="AW116" i="1"/>
  <c r="AS175" i="1"/>
  <c r="AW277" i="1"/>
  <c r="AW44" i="1"/>
  <c r="AW221" i="1"/>
  <c r="AS198" i="1"/>
  <c r="AS233" i="1"/>
  <c r="AW93" i="1"/>
  <c r="AS45" i="1"/>
  <c r="AS267" i="1"/>
  <c r="AS93" i="1"/>
  <c r="AW106" i="1"/>
  <c r="AS279" i="1"/>
  <c r="AW10" i="1"/>
  <c r="AW21" i="1"/>
  <c r="AW176" i="1"/>
  <c r="AW46" i="1"/>
  <c r="AW223" i="1"/>
  <c r="AS257" i="1"/>
  <c r="AW256" i="1"/>
  <c r="AS57" i="1"/>
  <c r="AW118" i="1"/>
  <c r="AW84" i="1"/>
  <c r="AS131" i="1"/>
  <c r="AS224" i="1"/>
  <c r="AW235" i="1"/>
  <c r="AW246" i="1"/>
  <c r="AW154" i="1"/>
  <c r="AW49" i="1"/>
  <c r="AW61" i="1"/>
  <c r="AW234" i="1"/>
  <c r="AS25" i="1"/>
  <c r="AS37" i="1"/>
  <c r="AW73" i="1"/>
  <c r="AS109" i="1"/>
  <c r="AW280" i="1"/>
  <c r="AW48" i="1"/>
  <c r="AW178" i="1"/>
  <c r="AS190" i="1"/>
  <c r="AW130" i="1"/>
  <c r="AW142" i="1"/>
  <c r="AW37" i="1"/>
  <c r="AW109" i="1"/>
  <c r="AS144" i="1"/>
  <c r="AS247" i="1"/>
  <c r="AS281" i="1"/>
  <c r="AS76" i="1"/>
  <c r="AW254" i="1"/>
  <c r="AW36" i="1"/>
  <c r="AS123" i="1"/>
  <c r="AS185" i="1"/>
  <c r="AW215" i="1"/>
  <c r="AW283" i="1"/>
  <c r="AS81" i="1"/>
  <c r="AS113" i="1"/>
  <c r="AS133" i="1"/>
  <c r="AW164" i="1"/>
  <c r="AW175" i="1"/>
  <c r="AS206" i="1"/>
  <c r="AS225" i="1"/>
  <c r="AS245" i="1"/>
  <c r="AS274" i="1"/>
  <c r="AW14" i="1"/>
  <c r="AW81" i="1"/>
  <c r="AS92" i="1"/>
  <c r="AS102" i="1"/>
  <c r="AW113" i="1"/>
  <c r="AW185" i="1"/>
  <c r="AW206" i="1"/>
  <c r="AW274" i="1"/>
  <c r="AS155" i="1"/>
  <c r="AS176" i="1"/>
  <c r="AS255" i="1"/>
  <c r="AW42" i="1"/>
  <c r="AS165" i="1"/>
  <c r="AW255" i="1"/>
  <c r="AS226" i="1"/>
  <c r="AS236" i="1"/>
  <c r="AS246" i="1"/>
  <c r="AS265" i="1"/>
  <c r="AW165" i="1"/>
  <c r="AW186" i="1"/>
  <c r="AW216" i="1"/>
  <c r="AW226" i="1"/>
  <c r="AW134" i="1"/>
  <c r="AW196" i="1"/>
  <c r="AW207" i="1"/>
  <c r="AS256" i="1"/>
  <c r="AW265" i="1"/>
  <c r="AS237" i="1"/>
  <c r="AW59" i="1"/>
  <c r="AW187" i="1"/>
  <c r="AS208" i="1"/>
  <c r="AW217" i="1"/>
  <c r="AS227" i="1"/>
  <c r="AW31" i="1"/>
  <c r="AW145" i="1"/>
  <c r="AW177" i="1"/>
  <c r="AS82" i="1"/>
  <c r="AW71" i="1"/>
  <c r="AW208" i="1"/>
  <c r="AW197" i="1"/>
  <c r="AW247" i="1"/>
  <c r="AW266" i="1"/>
  <c r="AS105" i="1"/>
  <c r="AS147" i="1"/>
  <c r="AW157" i="1"/>
  <c r="AW167" i="1"/>
  <c r="AS238" i="1"/>
  <c r="AW15" i="1"/>
  <c r="AW16" i="1"/>
  <c r="AS277" i="1"/>
  <c r="AW286" i="1"/>
  <c r="AW38" i="1"/>
  <c r="AW28" i="1"/>
  <c r="AS14" i="1"/>
  <c r="AW155" i="1"/>
  <c r="AS54" i="1"/>
  <c r="AW60" i="1"/>
  <c r="AS65" i="1"/>
  <c r="AW65" i="1"/>
  <c r="AW166" i="1"/>
  <c r="AW94" i="1"/>
  <c r="AW126" i="1"/>
  <c r="AW188" i="1"/>
  <c r="AS95" i="1"/>
  <c r="AW198" i="1"/>
  <c r="AS7" i="1"/>
  <c r="AW18" i="1"/>
  <c r="AS30" i="1"/>
  <c r="AS41" i="1"/>
  <c r="AW52" i="1"/>
  <c r="AS85" i="1"/>
  <c r="AS127" i="1"/>
  <c r="AW137" i="1"/>
  <c r="AW189" i="1"/>
  <c r="AS199" i="1"/>
  <c r="AS239" i="1"/>
  <c r="AS29" i="1"/>
  <c r="AS52" i="1"/>
  <c r="AS117" i="1"/>
  <c r="AW127" i="1"/>
  <c r="AW258" i="1"/>
  <c r="AS63" i="1"/>
  <c r="AW199" i="1"/>
  <c r="AW239" i="1"/>
  <c r="AS278" i="1"/>
  <c r="AW267" i="1"/>
  <c r="AW41" i="1"/>
  <c r="AS53" i="1"/>
  <c r="AS96" i="1"/>
  <c r="AW117" i="1"/>
  <c r="AS138" i="1"/>
  <c r="AW148" i="1"/>
  <c r="AW210" i="1"/>
  <c r="AW287" i="1"/>
  <c r="AW95" i="1"/>
  <c r="AW64" i="1"/>
  <c r="AS75" i="1"/>
  <c r="AS107" i="1"/>
  <c r="AW268" i="1"/>
  <c r="AS84" i="1"/>
  <c r="AW6" i="1"/>
  <c r="AW96" i="1"/>
  <c r="AS116" i="1"/>
  <c r="AW158" i="1"/>
  <c r="AW219" i="1"/>
  <c r="AW7" i="1"/>
  <c r="AS8" i="1"/>
  <c r="AS86" i="1"/>
  <c r="AW138" i="1"/>
  <c r="AS149" i="1"/>
  <c r="AW159" i="1"/>
  <c r="AS200" i="1"/>
  <c r="AS240" i="1"/>
  <c r="AS259" i="1"/>
  <c r="AW128" i="1"/>
  <c r="AS269" i="1"/>
  <c r="AS288" i="1"/>
  <c r="AS139" i="1"/>
  <c r="AW149" i="1"/>
  <c r="AW190" i="1"/>
  <c r="AW180" i="1"/>
  <c r="AW200" i="1"/>
  <c r="AS230" i="1"/>
  <c r="AW240" i="1"/>
  <c r="AS97" i="1"/>
  <c r="AW139" i="1"/>
  <c r="AW211" i="1"/>
  <c r="AS201" i="1"/>
  <c r="AS191" i="1"/>
  <c r="AW201" i="1"/>
  <c r="AW241" i="1"/>
  <c r="AS270" i="1"/>
  <c r="AS66" i="1"/>
  <c r="AW87" i="1"/>
  <c r="AW129" i="1"/>
  <c r="AW140" i="1"/>
  <c r="AW191" i="1"/>
  <c r="AS251" i="1"/>
  <c r="AW32" i="1"/>
  <c r="AW270" i="1"/>
  <c r="AW231" i="1"/>
  <c r="AW251" i="1"/>
  <c r="AS141" i="1"/>
  <c r="AS182" i="1"/>
  <c r="AS20" i="1"/>
  <c r="AW20" i="1"/>
  <c r="AW161" i="1"/>
  <c r="AW202" i="1"/>
  <c r="AW222" i="1"/>
  <c r="AW19" i="1"/>
  <c r="AW76" i="1"/>
  <c r="AW172" i="1"/>
  <c r="AW192" i="1"/>
  <c r="AS213" i="1"/>
  <c r="AW242" i="1"/>
  <c r="AS261" i="1"/>
  <c r="AS271" i="1"/>
  <c r="AW98" i="1"/>
  <c r="AW108" i="1"/>
  <c r="AW66" i="1"/>
  <c r="AW45" i="1"/>
  <c r="AS23" i="1"/>
  <c r="AW56" i="1"/>
  <c r="AW67" i="1"/>
  <c r="AS89" i="1"/>
  <c r="AW99" i="1"/>
  <c r="AS142" i="1"/>
  <c r="AW203" i="1"/>
  <c r="AW232" i="1"/>
  <c r="AW252" i="1"/>
  <c r="AS223" i="1"/>
  <c r="AS10" i="1"/>
  <c r="AW281" i="1"/>
  <c r="AW33" i="1"/>
  <c r="AP2" i="1"/>
  <c r="AW8" i="1"/>
  <c r="AW88" i="1"/>
  <c r="AW22" i="1"/>
  <c r="AW131" i="1"/>
  <c r="AW243" i="1"/>
  <c r="AW262" i="1"/>
  <c r="AS205" i="1"/>
  <c r="AS273" i="1"/>
  <c r="AW89" i="1"/>
  <c r="AW152" i="1"/>
  <c r="AW35" i="1"/>
  <c r="AW47" i="1"/>
  <c r="AS80" i="1"/>
  <c r="AS112" i="1"/>
  <c r="AW143" i="1"/>
  <c r="AW174" i="1"/>
  <c r="AW224" i="1"/>
  <c r="AW121" i="1"/>
  <c r="AW272" i="1"/>
  <c r="AW57" i="1"/>
  <c r="AW24" i="1"/>
  <c r="AW132" i="1"/>
  <c r="AW153" i="1"/>
  <c r="AW163" i="1"/>
  <c r="AW273" i="1"/>
  <c r="AW233" i="1"/>
  <c r="AW253" i="1"/>
  <c r="AS36" i="1"/>
  <c r="AW58" i="1"/>
  <c r="AS69" i="1"/>
  <c r="AS101" i="1"/>
  <c r="AW194" i="1"/>
  <c r="AW263" i="1"/>
  <c r="AS91" i="1"/>
  <c r="AS283" i="1"/>
  <c r="AW91" i="1"/>
  <c r="AW236" i="1"/>
  <c r="AW276" i="1"/>
  <c r="AW257" i="1"/>
  <c r="AW51" i="1"/>
  <c r="AW179" i="1"/>
  <c r="AW53" i="1"/>
  <c r="AW75" i="1"/>
  <c r="AW107" i="1"/>
  <c r="AW97" i="1"/>
  <c r="AW212" i="1"/>
  <c r="AW27" i="1"/>
  <c r="AW12" i="1"/>
  <c r="AW244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<sst xmlns="http://schemas.openxmlformats.org/spreadsheetml/2006/main" count="3701" uniqueCount="1289">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</sst>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J242" zoomScale="66" zoomScaleNormal="66" workbookViewId="0">
      <selection activeCell="J287" sqref="A287:XFD287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56" width="32.42578125" style="51" customWidth="1"/>
    <col min="157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AGOSTO</v>
      </c>
      <c r="E2" s="80">
        <v>8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40.799999999999997</v>
      </c>
      <c r="L2" s="92">
        <f t="shared" si="0"/>
        <v>41</v>
      </c>
      <c r="M2" s="92">
        <f t="shared" si="0"/>
        <v>40</v>
      </c>
      <c r="N2" s="92">
        <f t="shared" si="0"/>
        <v>39.799999999999997</v>
      </c>
      <c r="O2" s="92">
        <f t="shared" si="0"/>
        <v>0</v>
      </c>
      <c r="P2" s="92">
        <f t="shared" si="0"/>
        <v>0</v>
      </c>
      <c r="Q2" s="92">
        <f t="shared" si="0"/>
        <v>0</v>
      </c>
      <c r="R2" s="92">
        <f t="shared" si="0"/>
        <v>0</v>
      </c>
      <c r="S2" s="92">
        <f t="shared" si="0"/>
        <v>0</v>
      </c>
      <c r="T2" s="92">
        <f t="shared" si="0"/>
        <v>0</v>
      </c>
      <c r="U2" s="92">
        <f t="shared" si="0"/>
        <v>0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41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31.8</v>
      </c>
      <c r="L5" s="66">
        <v>31.6</v>
      </c>
      <c r="M5" s="66">
        <v>30.6</v>
      </c>
      <c r="N5" s="66">
        <v>31.7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4</v>
      </c>
      <c r="AQ5" s="68" t="str">
        <f t="shared" ref="AQ5:AQ68" si="2">IF(AP5&gt;14,AVERAGE(K5:AO5),"")</f>
        <v/>
      </c>
      <c r="AR5" s="68">
        <f>IFERROR(VLOOKUP(A5,Climatologia_TMAX!A:U,9+$E$2,FALSE),"")</f>
        <v>30.51594346942419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31.8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33.1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37862</v>
      </c>
      <c r="AW5" s="69">
        <f t="shared" ref="AW5:AW68" si="5">IF(OR(AT5="",AU5=""),"NA",IFERROR(AT5-AU5,"NA"))</f>
        <v>-1.3000000000000007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31.5</v>
      </c>
      <c r="L6" s="66">
        <v>31</v>
      </c>
      <c r="M6" s="66">
        <v>32.200000000000003</v>
      </c>
      <c r="N6" s="66">
        <v>31.4</v>
      </c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4</v>
      </c>
      <c r="AQ6" s="68" t="str">
        <f t="shared" si="2"/>
        <v/>
      </c>
      <c r="AR6" s="68">
        <f>IFERROR(VLOOKUP(A6,Climatologia_TMAX!A:U,9+$E$2,FALSE),"")</f>
        <v>31.046424304488809</v>
      </c>
      <c r="AS6" s="68" t="str">
        <f t="shared" si="3"/>
        <v/>
      </c>
      <c r="AT6" s="74">
        <f t="shared" si="4"/>
        <v>32.200000000000003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33.4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6" s="69">
        <f t="shared" si="5"/>
        <v>-1.1999999999999957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35.200000000000003</v>
      </c>
      <c r="L7" s="66">
        <v>37.6</v>
      </c>
      <c r="M7" s="66">
        <v>36</v>
      </c>
      <c r="N7" s="66">
        <v>34.6</v>
      </c>
      <c r="O7" s="66"/>
      <c r="P7" s="66"/>
      <c r="Q7" s="66"/>
      <c r="R7" s="66"/>
      <c r="S7" s="66"/>
      <c r="T7" s="66"/>
      <c r="U7" s="66"/>
      <c r="V7" s="66"/>
      <c r="W7" s="66"/>
      <c r="X7" s="66"/>
      <c r="Y7" s="113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4</v>
      </c>
      <c r="AQ7" s="68" t="str">
        <f t="shared" si="2"/>
        <v/>
      </c>
      <c r="AR7" s="68">
        <f>IFERROR(VLOOKUP(A7,Climatologia_TMAX!A:U,9+$E$2,FALSE),"")</f>
        <v>33.115285708400279</v>
      </c>
      <c r="AS7" s="68" t="str">
        <f t="shared" si="3"/>
        <v/>
      </c>
      <c r="AT7" s="74">
        <f t="shared" si="4"/>
        <v>37.6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" s="69">
        <f t="shared" si="5"/>
        <v>-0.79999999999999716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</v>
      </c>
      <c r="M8" s="66">
        <v>34.4</v>
      </c>
      <c r="N8" s="66">
        <v>33.299999999999997</v>
      </c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4</v>
      </c>
      <c r="AQ8" s="68" t="str">
        <f t="shared" si="2"/>
        <v/>
      </c>
      <c r="AR8" s="68">
        <f>IFERROR(VLOOKUP(A8,Climatologia_TMAX!A:U,9+$E$2,FALSE),"")</f>
        <v>32.243805889046577</v>
      </c>
      <c r="AS8" s="68" t="str">
        <f t="shared" si="3"/>
        <v/>
      </c>
      <c r="AT8" s="74">
        <f t="shared" si="4"/>
        <v>34.4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36.9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44421</v>
      </c>
      <c r="AW8" s="69">
        <f t="shared" si="5"/>
        <v>-2.5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34.799999999999997</v>
      </c>
      <c r="L9" s="66">
        <v>36.299999999999997</v>
      </c>
      <c r="M9" s="66">
        <v>35.5</v>
      </c>
      <c r="N9" s="66">
        <v>35.799999999999997</v>
      </c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4</v>
      </c>
      <c r="AQ9" s="68" t="str">
        <f t="shared" si="2"/>
        <v/>
      </c>
      <c r="AR9" s="68">
        <f>IFERROR(VLOOKUP(A9,Climatologia_TMAX!A:U,9+$E$2,FALSE),"")</f>
        <v>33.507160697070823</v>
      </c>
      <c r="AS9" s="68" t="str">
        <f t="shared" si="3"/>
        <v/>
      </c>
      <c r="AT9" s="74">
        <f t="shared" si="4"/>
        <v>36.299999999999997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38.700000000000003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9" s="69">
        <f t="shared" si="5"/>
        <v>-2.4000000000000057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33</v>
      </c>
      <c r="L10" s="66">
        <v>37.9</v>
      </c>
      <c r="M10" s="66">
        <v>37.4</v>
      </c>
      <c r="N10" s="66">
        <v>37.1</v>
      </c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4</v>
      </c>
      <c r="AQ10" s="68" t="str">
        <f t="shared" si="2"/>
        <v/>
      </c>
      <c r="AR10" s="68">
        <f>IFERROR(VLOOKUP(A10,Climatologia_TMAX!A:U,9+$E$2,FALSE),"")</f>
        <v>35.037947033054557</v>
      </c>
      <c r="AS10" s="68" t="str">
        <f t="shared" si="3"/>
        <v/>
      </c>
      <c r="AT10" s="74">
        <f t="shared" si="4"/>
        <v>37.9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39.4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36767</v>
      </c>
      <c r="AW10" s="69">
        <f t="shared" si="5"/>
        <v>-1.5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40.200000000000003</v>
      </c>
      <c r="L11" s="66">
        <v>40.6</v>
      </c>
      <c r="M11" s="66">
        <v>39.200000000000003</v>
      </c>
      <c r="N11" s="66">
        <v>37.799999999999997</v>
      </c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4</v>
      </c>
      <c r="AQ11" s="68" t="str">
        <f t="shared" si="2"/>
        <v/>
      </c>
      <c r="AR11" s="68">
        <f>IFERROR(VLOOKUP(A11,Climatologia_TMAX!A:U,9+$E$2,FALSE),"")</f>
        <v>35.179462365591398</v>
      </c>
      <c r="AS11" s="68" t="str">
        <f t="shared" si="3"/>
        <v/>
      </c>
      <c r="AT11" s="112">
        <f t="shared" si="4"/>
        <v>40.6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41.2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37119</v>
      </c>
      <c r="AW11" s="69">
        <f t="shared" si="5"/>
        <v>-0.60000000000000142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36.700000000000003</v>
      </c>
      <c r="L12" s="66">
        <v>35.700000000000003</v>
      </c>
      <c r="M12" s="66">
        <v>34.4</v>
      </c>
      <c r="N12" s="66">
        <v>30.9</v>
      </c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4</v>
      </c>
      <c r="AQ12" s="68" t="str">
        <f t="shared" si="2"/>
        <v/>
      </c>
      <c r="AR12" s="68">
        <f>IFERROR(VLOOKUP(A12,Climatologia_TMAX!A:U,9+$E$2,FALSE),"")</f>
        <v>33.065084280874721</v>
      </c>
      <c r="AS12" s="68" t="str">
        <f t="shared" si="3"/>
        <v/>
      </c>
      <c r="AT12" s="74">
        <f t="shared" si="4"/>
        <v>36.700000000000003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36.9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12" s="69">
        <f t="shared" si="5"/>
        <v>-0.19999999999999574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36.700000000000003</v>
      </c>
      <c r="L13" s="66">
        <v>36.200000000000003</v>
      </c>
      <c r="M13" s="66">
        <v>34.1</v>
      </c>
      <c r="N13" s="66">
        <v>33.4</v>
      </c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4</v>
      </c>
      <c r="AQ13" s="68" t="str">
        <f t="shared" si="2"/>
        <v/>
      </c>
      <c r="AR13" s="68">
        <f>IFERROR(VLOOKUP(A13,Climatologia_TMAX!A:U,9+$E$2,FALSE),"")</f>
        <v>32.703385242862417</v>
      </c>
      <c r="AS13" s="68" t="str">
        <f t="shared" si="3"/>
        <v/>
      </c>
      <c r="AT13" s="74">
        <f t="shared" si="4"/>
        <v>36.700000000000003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37.200000000000003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3" s="69">
        <f t="shared" si="5"/>
        <v>-0.5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29.7</v>
      </c>
      <c r="L14" s="66">
        <v>30.5</v>
      </c>
      <c r="M14" s="66">
        <v>28.4</v>
      </c>
      <c r="N14" s="66">
        <v>27.5</v>
      </c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4</v>
      </c>
      <c r="AQ14" s="68" t="str">
        <f t="shared" si="2"/>
        <v/>
      </c>
      <c r="AR14" s="68">
        <f>IFERROR(VLOOKUP(A14,Climatologia_TMAX!A:U,9+$E$2,FALSE),"")</f>
        <v>26.343645559538029</v>
      </c>
      <c r="AS14" s="68" t="str">
        <f t="shared" si="3"/>
        <v/>
      </c>
      <c r="AT14" s="74">
        <f t="shared" si="4"/>
        <v>30.5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30.3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37859</v>
      </c>
      <c r="AW14" s="69">
        <f t="shared" si="5"/>
        <v>0.19999999999999929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35.5</v>
      </c>
      <c r="L15" s="66">
        <v>36.1</v>
      </c>
      <c r="M15" s="66">
        <v>34.5</v>
      </c>
      <c r="N15" s="66">
        <v>34.200000000000003</v>
      </c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4</v>
      </c>
      <c r="AQ15" s="68" t="str">
        <f t="shared" si="2"/>
        <v/>
      </c>
      <c r="AR15" s="68">
        <f>IFERROR(VLOOKUP(A15,Climatologia_TMAX!A:U,9+$E$2,FALSE),"")</f>
        <v>34.207406451612897</v>
      </c>
      <c r="AS15" s="68" t="str">
        <f t="shared" si="3"/>
        <v/>
      </c>
      <c r="AT15" s="74">
        <f t="shared" si="4"/>
        <v>36.1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38.700000000000003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5" s="69">
        <f t="shared" si="5"/>
        <v>-2.6000000000000014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33.4</v>
      </c>
      <c r="L16" s="66">
        <v>32.9</v>
      </c>
      <c r="M16" s="66">
        <v>28.9</v>
      </c>
      <c r="N16" s="66">
        <v>33.799999999999997</v>
      </c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4</v>
      </c>
      <c r="AQ16" s="68" t="str">
        <f t="shared" si="2"/>
        <v/>
      </c>
      <c r="AR16" s="68">
        <f>IFERROR(VLOOKUP(A16,Climatologia_TMAX!A:U,9+$E$2,FALSE),"")</f>
        <v>31.919167946748601</v>
      </c>
      <c r="AS16" s="68" t="str">
        <f t="shared" si="3"/>
        <v/>
      </c>
      <c r="AT16" s="74">
        <f t="shared" si="4"/>
        <v>33.799999999999997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40394</v>
      </c>
      <c r="AW16" s="69">
        <f t="shared" si="5"/>
        <v>-1.2000000000000028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30.9</v>
      </c>
      <c r="L17" s="66">
        <v>30.9</v>
      </c>
      <c r="M17" s="66">
        <v>30</v>
      </c>
      <c r="N17" s="66">
        <v>32</v>
      </c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4</v>
      </c>
      <c r="AQ17" s="68" t="str">
        <f t="shared" si="2"/>
        <v/>
      </c>
      <c r="AR17" s="68">
        <f>IFERROR(VLOOKUP(A17,Climatologia_TMAX!A:U,9+$E$2,FALSE),"")</f>
        <v>28.699699180747569</v>
      </c>
      <c r="AS17" s="68" t="str">
        <f t="shared" si="3"/>
        <v/>
      </c>
      <c r="AT17" s="74">
        <f t="shared" si="4"/>
        <v>32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33.6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7" s="69">
        <f t="shared" si="5"/>
        <v>-1.6000000000000014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24.7</v>
      </c>
      <c r="L18" s="66">
        <v>24.5</v>
      </c>
      <c r="M18" s="66">
        <v>23.7</v>
      </c>
      <c r="N18" s="66">
        <v>23.9</v>
      </c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4</v>
      </c>
      <c r="AQ18" s="68" t="str">
        <f t="shared" si="2"/>
        <v/>
      </c>
      <c r="AR18" s="68">
        <f>IFERROR(VLOOKUP(A18,Climatologia_TMAX!A:U,9+$E$2,FALSE),"")</f>
        <v>22.70234743584826</v>
      </c>
      <c r="AS18" s="68" t="str">
        <f t="shared" si="3"/>
        <v/>
      </c>
      <c r="AT18" s="74">
        <f t="shared" si="4"/>
        <v>24.7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18" s="69">
        <f t="shared" si="5"/>
        <v>-1.1999999999999993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29.6</v>
      </c>
      <c r="L19" s="66">
        <v>31.4</v>
      </c>
      <c r="M19" s="66">
        <v>29</v>
      </c>
      <c r="N19" s="66">
        <v>29</v>
      </c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4</v>
      </c>
      <c r="AQ19" s="68" t="str">
        <f t="shared" si="2"/>
        <v/>
      </c>
      <c r="AR19" s="68">
        <f>IFERROR(VLOOKUP(A19,Climatologia_TMAX!A:U,9+$E$2,FALSE),"")</f>
        <v>27.308103225806452</v>
      </c>
      <c r="AS19" s="68" t="str">
        <f t="shared" si="3"/>
        <v/>
      </c>
      <c r="AT19" s="74">
        <f t="shared" si="4"/>
        <v>31.4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32.6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19" s="69">
        <f t="shared" si="5"/>
        <v>-1.2000000000000028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31.9</v>
      </c>
      <c r="L20" s="66">
        <v>32.200000000000003</v>
      </c>
      <c r="M20" s="66">
        <v>30.3</v>
      </c>
      <c r="N20" s="66">
        <v>31.3</v>
      </c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4</v>
      </c>
      <c r="AQ20" s="68" t="str">
        <f t="shared" si="2"/>
        <v/>
      </c>
      <c r="AR20" s="68">
        <f>IFERROR(VLOOKUP(A20,Climatologia_TMAX!A:U,9+$E$2,FALSE),"")</f>
        <v>28.821983273596171</v>
      </c>
      <c r="AS20" s="68" t="str">
        <f t="shared" si="3"/>
        <v/>
      </c>
      <c r="AT20" s="74">
        <f t="shared" si="4"/>
        <v>32.200000000000003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34.4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0" s="69">
        <f t="shared" si="5"/>
        <v>-2.1999999999999957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36</v>
      </c>
      <c r="L21" s="66">
        <v>36.1</v>
      </c>
      <c r="M21" s="66">
        <v>34.700000000000003</v>
      </c>
      <c r="N21" s="66">
        <v>36.200000000000003</v>
      </c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4</v>
      </c>
      <c r="AQ21" s="68" t="str">
        <f t="shared" si="2"/>
        <v/>
      </c>
      <c r="AR21" s="68">
        <f>IFERROR(VLOOKUP(A21,Climatologia_TMAX!A:U,9+$E$2,FALSE),"")</f>
        <v>31.558535251017972</v>
      </c>
      <c r="AS21" s="68" t="str">
        <f t="shared" si="3"/>
        <v/>
      </c>
      <c r="AT21" s="74">
        <f t="shared" si="4"/>
        <v>36.200000000000003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1" s="69">
        <f t="shared" si="5"/>
        <v>-0.19999999999999574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19</v>
      </c>
      <c r="L22" s="66">
        <v>20.5</v>
      </c>
      <c r="M22" s="66">
        <v>19.3</v>
      </c>
      <c r="N22" s="66">
        <v>18.8</v>
      </c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4</v>
      </c>
      <c r="AQ22" s="68" t="str">
        <f t="shared" si="2"/>
        <v/>
      </c>
      <c r="AR22" s="68">
        <f>IFERROR(VLOOKUP(A22,Climatologia_TMAX!A:U,9+$E$2,FALSE),"")</f>
        <v>18.772940161432931</v>
      </c>
      <c r="AS22" s="68" t="str">
        <f t="shared" si="3"/>
        <v/>
      </c>
      <c r="AT22" s="74">
        <f t="shared" si="4"/>
        <v>20.5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29068</v>
      </c>
      <c r="AW22" s="69">
        <f t="shared" si="5"/>
        <v>-3.1000000000000014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32.799999999999997</v>
      </c>
      <c r="L23" s="66">
        <v>34.299999999999997</v>
      </c>
      <c r="M23" s="66">
        <v>30.1</v>
      </c>
      <c r="N23" s="66">
        <v>32.700000000000003</v>
      </c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4</v>
      </c>
      <c r="AQ23" s="68" t="str">
        <f t="shared" si="2"/>
        <v/>
      </c>
      <c r="AR23" s="68">
        <f>IFERROR(VLOOKUP(A23,Climatologia_TMAX!A:U,9+$E$2,FALSE),"")</f>
        <v>31.11792011972717</v>
      </c>
      <c r="AS23" s="68" t="str">
        <f t="shared" si="3"/>
        <v/>
      </c>
      <c r="AT23" s="74">
        <f t="shared" si="4"/>
        <v>34.299999999999997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36.1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" s="69">
        <f t="shared" si="5"/>
        <v>-1.8000000000000043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37.700000000000003</v>
      </c>
      <c r="L24" s="66">
        <v>38.200000000000003</v>
      </c>
      <c r="M24" s="66">
        <v>36</v>
      </c>
      <c r="N24" s="66">
        <v>34.700000000000003</v>
      </c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4</v>
      </c>
      <c r="AQ24" s="68" t="str">
        <f t="shared" si="2"/>
        <v/>
      </c>
      <c r="AR24" s="68">
        <f>IFERROR(VLOOKUP(A24,Climatologia_TMAX!A:U,9+$E$2,FALSE),"")</f>
        <v>34.619032258064507</v>
      </c>
      <c r="AS24" s="68" t="str">
        <f t="shared" si="3"/>
        <v/>
      </c>
      <c r="AT24" s="74">
        <f t="shared" si="4"/>
        <v>38.200000000000003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39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4" s="69">
        <f t="shared" si="5"/>
        <v>-0.79999999999999716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27.6</v>
      </c>
      <c r="L25" s="66">
        <v>27.5</v>
      </c>
      <c r="M25" s="66">
        <v>27.2</v>
      </c>
      <c r="N25" s="66">
        <v>27</v>
      </c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4</v>
      </c>
      <c r="AQ25" s="68" t="str">
        <f t="shared" si="2"/>
        <v/>
      </c>
      <c r="AR25" s="68">
        <f>IFERROR(VLOOKUP(A25,Climatologia_TMAX!A:U,9+$E$2,FALSE),"")</f>
        <v>26.14732965766952</v>
      </c>
      <c r="AS25" s="68" t="str">
        <f t="shared" si="3"/>
        <v/>
      </c>
      <c r="AT25" s="74">
        <f t="shared" si="4"/>
        <v>27.6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25" s="69">
        <f t="shared" si="5"/>
        <v>-3.6999999999999993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16.399999999999999</v>
      </c>
      <c r="L26" s="66">
        <v>16</v>
      </c>
      <c r="M26" s="66">
        <v>14.8</v>
      </c>
      <c r="N26" s="66">
        <v>14.4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4</v>
      </c>
      <c r="AQ26" s="68" t="str">
        <f t="shared" si="2"/>
        <v/>
      </c>
      <c r="AR26" s="68">
        <f>IFERROR(VLOOKUP(A26,Climatologia_TMAX!A:U,9+$E$2,FALSE),"")</f>
        <v>14.98521690767519</v>
      </c>
      <c r="AS26" s="68" t="str">
        <f t="shared" si="3"/>
        <v/>
      </c>
      <c r="AT26" s="74">
        <f t="shared" si="4"/>
        <v>16.399999999999999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20.6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26" s="69">
        <f t="shared" si="5"/>
        <v>-4.2000000000000028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</v>
      </c>
      <c r="L27" s="66">
        <v>34.799999999999997</v>
      </c>
      <c r="M27" s="66">
        <v>30</v>
      </c>
      <c r="N27" s="66">
        <v>31</v>
      </c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4</v>
      </c>
      <c r="AQ27" s="68" t="str">
        <f t="shared" si="2"/>
        <v/>
      </c>
      <c r="AR27" s="68">
        <f>IFERROR(VLOOKUP(A27,Climatologia_TMAX!A:U,9+$E$2,FALSE),"")</f>
        <v>31.229699666295879</v>
      </c>
      <c r="AS27" s="68" t="str">
        <f t="shared" si="3"/>
        <v/>
      </c>
      <c r="AT27" s="74">
        <f t="shared" si="4"/>
        <v>34.799999999999997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7" s="69">
        <f t="shared" si="5"/>
        <v>-0.40000000000000568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32</v>
      </c>
      <c r="L28" s="66">
        <v>34.1</v>
      </c>
      <c r="M28" s="66">
        <v>32.5</v>
      </c>
      <c r="N28" s="66">
        <v>33.4</v>
      </c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4</v>
      </c>
      <c r="AQ28" s="68" t="str">
        <f t="shared" si="2"/>
        <v/>
      </c>
      <c r="AR28" s="68">
        <f>IFERROR(VLOOKUP(A28,Climatologia_TMAX!A:U,9+$E$2,FALSE),"")</f>
        <v>30.80035842293907</v>
      </c>
      <c r="AS28" s="68" t="str">
        <f t="shared" si="3"/>
        <v/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34.4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37857</v>
      </c>
      <c r="AW28" s="69">
        <f t="shared" si="5"/>
        <v>-0.29999999999999716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32.4</v>
      </c>
      <c r="L29" s="66">
        <v>32</v>
      </c>
      <c r="M29" s="66">
        <v>32.4</v>
      </c>
      <c r="N29" s="66">
        <v>30</v>
      </c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4</v>
      </c>
      <c r="AQ29" s="68" t="str">
        <f t="shared" si="2"/>
        <v/>
      </c>
      <c r="AR29" s="68">
        <f>IFERROR(VLOOKUP(A29,Climatologia_TMAX!A:U,9+$E$2,FALSE),"")</f>
        <v>31.513637374860959</v>
      </c>
      <c r="AS29" s="68" t="str">
        <f t="shared" si="3"/>
        <v/>
      </c>
      <c r="AT29" s="74">
        <f t="shared" si="4"/>
        <v>32.4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36.1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34940</v>
      </c>
      <c r="AW29" s="69">
        <f t="shared" si="5"/>
        <v>-3.7000000000000028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32.1</v>
      </c>
      <c r="L30" s="66">
        <v>32</v>
      </c>
      <c r="M30" s="66">
        <v>30.6</v>
      </c>
      <c r="N30" s="66">
        <v>31.2</v>
      </c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4</v>
      </c>
      <c r="AQ30" s="68" t="str">
        <f t="shared" si="2"/>
        <v/>
      </c>
      <c r="AR30" s="68">
        <f>IFERROR(VLOOKUP(A30,Climatologia_TMAX!A:U,9+$E$2,FALSE),"")</f>
        <v>29.807563959955498</v>
      </c>
      <c r="AS30" s="68" t="str">
        <f t="shared" si="3"/>
        <v/>
      </c>
      <c r="AT30" s="74">
        <f t="shared" si="4"/>
        <v>32.1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30" s="69">
        <f t="shared" si="5"/>
        <v>-2.2999999999999972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27.8</v>
      </c>
      <c r="L31" s="105">
        <v>32.6</v>
      </c>
      <c r="M31" s="105">
        <v>31.9</v>
      </c>
      <c r="N31" s="105">
        <v>32</v>
      </c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4</v>
      </c>
      <c r="AQ31" s="68" t="str">
        <f t="shared" si="2"/>
        <v/>
      </c>
      <c r="AR31" s="68">
        <f>IFERROR(VLOOKUP(A31,Climatologia_TMAX!A:U,9+$E$2,FALSE),"")</f>
        <v>31.390004135649299</v>
      </c>
      <c r="AS31" s="68" t="str">
        <f t="shared" si="3"/>
        <v/>
      </c>
      <c r="AT31" s="74">
        <f t="shared" si="4"/>
        <v>32.6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35.700000000000003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34551</v>
      </c>
      <c r="AW31" s="69">
        <f t="shared" si="5"/>
        <v>-3.1000000000000014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25.29931745331762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33826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26.8</v>
      </c>
      <c r="L33" s="66">
        <v>27</v>
      </c>
      <c r="M33" s="66">
        <v>25</v>
      </c>
      <c r="N33" s="66">
        <v>25.4</v>
      </c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4</v>
      </c>
      <c r="AQ33" s="68" t="str">
        <f t="shared" si="2"/>
        <v/>
      </c>
      <c r="AR33" s="68">
        <f>IFERROR(VLOOKUP(A33,Climatologia_TMAX!A:U,9+$E$2,FALSE),"")</f>
        <v>24.65905872628246</v>
      </c>
      <c r="AS33" s="68" t="str">
        <f t="shared" si="3"/>
        <v/>
      </c>
      <c r="AT33" s="74">
        <f t="shared" si="4"/>
        <v>27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28.8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38939</v>
      </c>
      <c r="AW33" s="69">
        <f t="shared" si="5"/>
        <v>-1.8000000000000007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28.485769785358219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35670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28.497203366058908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34.6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37.6</v>
      </c>
      <c r="L36" s="66">
        <v>38.799999999999997</v>
      </c>
      <c r="M36" s="66">
        <v>36</v>
      </c>
      <c r="N36" s="66">
        <v>36.799999999999997</v>
      </c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4</v>
      </c>
      <c r="AQ36" s="68" t="str">
        <f t="shared" si="2"/>
        <v/>
      </c>
      <c r="AR36" s="68">
        <f>IFERROR(VLOOKUP(A36,Climatologia_TMAX!A:U,9+$E$2,FALSE),"")</f>
        <v>34.16273657398132</v>
      </c>
      <c r="AS36" s="68" t="str">
        <f t="shared" si="3"/>
        <v/>
      </c>
      <c r="AT36" s="74">
        <f t="shared" si="4"/>
        <v>38.799999999999997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37483</v>
      </c>
      <c r="AW36" s="69">
        <f t="shared" si="5"/>
        <v>-1.8000000000000043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28.763455394883199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36.6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41857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29.2</v>
      </c>
      <c r="L38" s="66">
        <v>29.6</v>
      </c>
      <c r="M38" s="66">
        <v>27.8</v>
      </c>
      <c r="N38" s="66">
        <v>27.4</v>
      </c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4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29.6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29.8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38" s="69">
        <f t="shared" si="5"/>
        <v>-0.19999999999999929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28.2</v>
      </c>
      <c r="L39" s="66">
        <v>28.2</v>
      </c>
      <c r="M39" s="66">
        <v>27.8</v>
      </c>
      <c r="N39" s="66">
        <v>26.8</v>
      </c>
      <c r="O39" s="66"/>
      <c r="P39" s="66"/>
      <c r="Q39" s="66"/>
      <c r="R39" s="66"/>
      <c r="S39" s="66"/>
      <c r="T39" s="66"/>
      <c r="U39" s="66"/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4</v>
      </c>
      <c r="AQ39" s="68" t="str">
        <f t="shared" si="2"/>
        <v/>
      </c>
      <c r="AR39" s="68">
        <f>IFERROR(VLOOKUP(A39,Climatologia_TMAX!A:U,9+$E$2,FALSE),"")</f>
        <v>23.769828120099859</v>
      </c>
      <c r="AS39" s="68" t="str">
        <f t="shared" si="3"/>
        <v/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29.6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42595</v>
      </c>
      <c r="AW39" s="69">
        <f t="shared" si="5"/>
        <v>-1.4000000000000021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21</v>
      </c>
      <c r="L40" s="66">
        <v>21.8</v>
      </c>
      <c r="M40" s="66">
        <v>21.6</v>
      </c>
      <c r="N40" s="66">
        <v>22</v>
      </c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4</v>
      </c>
      <c r="AQ40" s="68" t="str">
        <f t="shared" si="2"/>
        <v/>
      </c>
      <c r="AR40" s="68">
        <f>IFERROR(VLOOKUP(A40,Climatologia_TMAX!A:U,9+$E$2,FALSE),"")</f>
        <v>20.644739340007408</v>
      </c>
      <c r="AS40" s="68" t="str">
        <f t="shared" si="3"/>
        <v/>
      </c>
      <c r="AT40" s="74">
        <f t="shared" si="4"/>
        <v>22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26.36958024880775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43338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31.8</v>
      </c>
      <c r="L42" s="66">
        <v>33.6</v>
      </c>
      <c r="M42" s="66">
        <v>32</v>
      </c>
      <c r="N42" s="66">
        <v>34.200000000000003</v>
      </c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4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34.200000000000003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41852</v>
      </c>
      <c r="AW42" s="69">
        <f t="shared" si="5"/>
        <v>0.20000000000000284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33.200000000000003</v>
      </c>
      <c r="M43" s="66">
        <v>31.6</v>
      </c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3</v>
      </c>
      <c r="AQ43" s="68" t="str">
        <f t="shared" si="2"/>
        <v/>
      </c>
      <c r="AR43" s="68">
        <f>IFERROR(VLOOKUP(A43,Climatologia_TMAX!A:U,9+$E$2,FALSE),"")</f>
        <v>31.773456872106181</v>
      </c>
      <c r="AS43" s="68" t="str">
        <f t="shared" si="3"/>
        <v/>
      </c>
      <c r="AT43" s="74">
        <f t="shared" si="4"/>
        <v>33.200000000000003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37.4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43322</v>
      </c>
      <c r="AW43" s="69">
        <f t="shared" si="5"/>
        <v>-4.1999999999999957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27.6</v>
      </c>
      <c r="L44" s="66">
        <v>27.4</v>
      </c>
      <c r="M44" s="66">
        <v>27.2</v>
      </c>
      <c r="N44" s="66">
        <v>27</v>
      </c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4</v>
      </c>
      <c r="AQ44" s="68" t="str">
        <f t="shared" si="2"/>
        <v/>
      </c>
      <c r="AR44" s="68">
        <f>IFERROR(VLOOKUP(A44,Climatologia_TMAX!A:U,9+$E$2,FALSE),"")</f>
        <v>23.004822024471629</v>
      </c>
      <c r="AS44" s="68" t="str">
        <f t="shared" si="3"/>
        <v/>
      </c>
      <c r="AT44" s="74">
        <f t="shared" si="4"/>
        <v>27.6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28.3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45142</v>
      </c>
      <c r="AW44" s="69">
        <f t="shared" si="5"/>
        <v>-0.69999999999999929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36.200000000000003</v>
      </c>
      <c r="L45" s="66">
        <v>36.799999999999997</v>
      </c>
      <c r="M45" s="66">
        <v>36.6</v>
      </c>
      <c r="N45" s="66">
        <v>35.200000000000003</v>
      </c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4</v>
      </c>
      <c r="AQ45" s="68" t="str">
        <f t="shared" si="2"/>
        <v/>
      </c>
      <c r="AR45" s="68">
        <f>IFERROR(VLOOKUP(A45,Climatologia_TMAX!A:U,9+$E$2,FALSE),"")</f>
        <v>32.923758320532507</v>
      </c>
      <c r="AS45" s="68" t="str">
        <f t="shared" si="3"/>
        <v/>
      </c>
      <c r="AT45" s="74">
        <f t="shared" si="4"/>
        <v>36.799999999999997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45" s="69">
        <f t="shared" si="5"/>
        <v>-1.4000000000000057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32.6</v>
      </c>
      <c r="L46" s="66">
        <v>32.4</v>
      </c>
      <c r="M46" s="66">
        <v>32</v>
      </c>
      <c r="N46" s="66">
        <v>30.8</v>
      </c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4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32.6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39.4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46" s="69">
        <f t="shared" si="5"/>
        <v>-6.7999999999999972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36.6</v>
      </c>
      <c r="L49" s="66">
        <v>35.799999999999997</v>
      </c>
      <c r="M49" s="66">
        <v>36</v>
      </c>
      <c r="N49" s="66">
        <v>34.299999999999997</v>
      </c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4</v>
      </c>
      <c r="AQ49" s="68" t="str">
        <f t="shared" si="2"/>
        <v/>
      </c>
      <c r="AR49" s="68">
        <f>IFERROR(VLOOKUP(A49,Climatologia_TMAX!A:U,9+$E$2,FALSE),"")</f>
        <v>32.535336464610658</v>
      </c>
      <c r="AS49" s="68" t="str">
        <f t="shared" si="3"/>
        <v/>
      </c>
      <c r="AT49" s="74">
        <f t="shared" si="4"/>
        <v>36.6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38.6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43686</v>
      </c>
      <c r="AW49" s="69">
        <f t="shared" si="5"/>
        <v>-2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31.932845195425841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37.4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34</v>
      </c>
      <c r="L52" s="66">
        <v>33</v>
      </c>
      <c r="M52" s="66">
        <v>32.799999999999997</v>
      </c>
      <c r="N52" s="66">
        <v>31.6</v>
      </c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4</v>
      </c>
      <c r="AQ52" s="68" t="str">
        <f t="shared" si="2"/>
        <v/>
      </c>
      <c r="AR52" s="68">
        <f>IFERROR(VLOOKUP(A52,Climatologia_TMAX!A:U,9+$E$2,FALSE),"")</f>
        <v>31.265434885322311</v>
      </c>
      <c r="AS52" s="68" t="str">
        <f t="shared" si="3"/>
        <v/>
      </c>
      <c r="AT52" s="74">
        <f t="shared" si="4"/>
        <v>34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35</v>
      </c>
      <c r="M53" s="66">
        <v>32.200000000000003</v>
      </c>
      <c r="N53" s="66">
        <v>31</v>
      </c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4</v>
      </c>
      <c r="AQ53" s="68" t="str">
        <f t="shared" si="2"/>
        <v/>
      </c>
      <c r="AR53" s="68">
        <f>IFERROR(VLOOKUP(A53,Climatologia_TMAX!A:U,9+$E$2,FALSE),"")</f>
        <v>32.397587365591413</v>
      </c>
      <c r="AS53" s="68" t="str">
        <f t="shared" si="3"/>
        <v/>
      </c>
      <c r="AT53" s="74">
        <f t="shared" si="4"/>
        <v>35.200000000000003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37.200000000000003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33092</v>
      </c>
      <c r="AW53" s="69">
        <f t="shared" si="5"/>
        <v>-2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38.4</v>
      </c>
      <c r="L54" s="66">
        <v>38.6</v>
      </c>
      <c r="M54" s="66">
        <v>38.799999999999997</v>
      </c>
      <c r="N54" s="66">
        <v>36.6</v>
      </c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4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38.799999999999997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40.4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54" s="69">
        <f t="shared" si="5"/>
        <v>-1.6000000000000014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37.6</v>
      </c>
      <c r="L55" s="66">
        <v>36.4</v>
      </c>
      <c r="M55" s="66">
        <v>35.6</v>
      </c>
      <c r="N55" s="66">
        <v>31</v>
      </c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4</v>
      </c>
      <c r="AQ55" s="68" t="str">
        <f t="shared" si="2"/>
        <v/>
      </c>
      <c r="AR55" s="68">
        <f>IFERROR(VLOOKUP(A55,Climatologia_TMAX!A:U,9+$E$2,FALSE),"")</f>
        <v>32.916625540651467</v>
      </c>
      <c r="AS55" s="68" t="str">
        <f t="shared" si="3"/>
        <v/>
      </c>
      <c r="AT55" s="112">
        <f t="shared" si="4"/>
        <v>37.6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39.700000000000003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33842</v>
      </c>
      <c r="AW55" s="69">
        <f t="shared" si="5"/>
        <v>-2.1000000000000014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32.22981061325968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33465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34.511709895220079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40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37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35657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39.6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32.399840999803708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36.6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32000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38.6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33.200000000000003</v>
      </c>
      <c r="L67" s="66">
        <v>34.799999999999997</v>
      </c>
      <c r="M67" s="66">
        <v>34.4</v>
      </c>
      <c r="N67" s="66">
        <v>31.4</v>
      </c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114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4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34.799999999999997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39666</v>
      </c>
      <c r="AW67" s="69">
        <f t="shared" si="5"/>
        <v>-0.70000000000000284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32.905734767025088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33.159569892473122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39.200000000000003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34201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35.4</v>
      </c>
      <c r="L74" s="66">
        <v>36.200000000000003</v>
      </c>
      <c r="M74" s="66">
        <v>35.4</v>
      </c>
      <c r="N74" s="66">
        <v>34</v>
      </c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4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36.200000000000003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37.799999999999997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45897</v>
      </c>
      <c r="AW74" s="69">
        <f t="shared" si="10"/>
        <v>-1.5999999999999943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</v>
      </c>
      <c r="L76" s="66">
        <v>35.799999999999997</v>
      </c>
      <c r="M76" s="66">
        <v>35.200000000000003</v>
      </c>
      <c r="N76" s="66">
        <v>33.799999999999997</v>
      </c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4</v>
      </c>
      <c r="AQ76" s="68" t="str">
        <f t="shared" si="7"/>
        <v/>
      </c>
      <c r="AR76" s="68">
        <f>IFERROR(VLOOKUP(A76,Climatologia_TMAX!A:U,9+$E$2,FALSE),"")</f>
        <v>32.131914371977928</v>
      </c>
      <c r="AS76" s="68" t="str">
        <f t="shared" si="8"/>
        <v/>
      </c>
      <c r="AT76" s="74">
        <f t="shared" si="9"/>
        <v>36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37.4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6" s="69">
        <f t="shared" si="10"/>
        <v>-1.3999999999999986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30.6</v>
      </c>
      <c r="L77" s="66"/>
      <c r="M77" s="66">
        <v>31.8</v>
      </c>
      <c r="N77" s="66">
        <v>30.2</v>
      </c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3</v>
      </c>
      <c r="AQ77" s="68" t="str">
        <f t="shared" si="7"/>
        <v/>
      </c>
      <c r="AR77" s="68">
        <f>IFERROR(VLOOKUP(A77,Climatologia_TMAX!A:U,9+$E$2,FALSE),"")</f>
        <v>30.717419354838722</v>
      </c>
      <c r="AS77" s="68" t="str">
        <f t="shared" si="8"/>
        <v/>
      </c>
      <c r="AT77" s="74">
        <f t="shared" si="9"/>
        <v>31.8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35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38935</v>
      </c>
      <c r="AW77" s="69">
        <f t="shared" si="10"/>
        <v>-3.1999999999999993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30.08051334798272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0</v>
      </c>
      <c r="AQ79" s="68" t="str">
        <f t="shared" si="7"/>
        <v/>
      </c>
      <c r="AR79" s="68">
        <f>IFERROR(VLOOKUP(A79,Climatologia_TMAX!A:U,9+$E$2,FALSE),"")</f>
        <v>30.493981023477001</v>
      </c>
      <c r="AS79" s="68" t="str">
        <f t="shared" si="8"/>
        <v/>
      </c>
      <c r="AT79" s="74" t="str">
        <f t="shared" si="9"/>
        <v/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32373</v>
      </c>
      <c r="AW79" s="69" t="str">
        <f t="shared" si="10"/>
        <v>NA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/>
      <c r="L80" s="66">
        <v>31.4</v>
      </c>
      <c r="M80" s="66">
        <v>29.8</v>
      </c>
      <c r="N80" s="66">
        <v>31.8</v>
      </c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3</v>
      </c>
      <c r="AQ80" s="68" t="str">
        <f t="shared" si="7"/>
        <v/>
      </c>
      <c r="AR80" s="68">
        <f>IFERROR(VLOOKUP(A80,Climatologia_TMAX!A:U,9+$E$2,FALSE),"")</f>
        <v>30.68247751700186</v>
      </c>
      <c r="AS80" s="68" t="str">
        <f t="shared" si="8"/>
        <v/>
      </c>
      <c r="AT80" s="74">
        <f t="shared" si="9"/>
        <v>31.8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35.200000000000003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34555</v>
      </c>
      <c r="AW80" s="69">
        <f t="shared" si="10"/>
        <v>-3.4000000000000021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31.8</v>
      </c>
      <c r="L81" s="66">
        <v>32.799999999999997</v>
      </c>
      <c r="M81" s="66">
        <v>29.8</v>
      </c>
      <c r="N81" s="66">
        <v>32</v>
      </c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4</v>
      </c>
      <c r="AQ81" s="68" t="str">
        <f t="shared" si="7"/>
        <v/>
      </c>
      <c r="AR81" s="68">
        <f>IFERROR(VLOOKUP(A81,Climatologia_TMAX!A:U,9+$E$2,FALSE),"")</f>
        <v>30.066096038514271</v>
      </c>
      <c r="AS81" s="68" t="str">
        <f t="shared" si="8"/>
        <v/>
      </c>
      <c r="AT81" s="74">
        <f t="shared" si="9"/>
        <v>32.799999999999997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36016</v>
      </c>
      <c r="AW81" s="69">
        <f t="shared" si="10"/>
        <v>-1.2000000000000028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35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33</v>
      </c>
      <c r="L83" s="66">
        <v>34</v>
      </c>
      <c r="M83" s="66">
        <v>30</v>
      </c>
      <c r="N83" s="66">
        <v>32.799999999999997</v>
      </c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4</v>
      </c>
      <c r="AQ83" s="68" t="str">
        <f t="shared" si="7"/>
        <v/>
      </c>
      <c r="AR83" s="68">
        <f>IFERROR(VLOOKUP(A83,Climatologia_TMAX!A:U,9+$E$2,FALSE),"")</f>
        <v>30.100740998164522</v>
      </c>
      <c r="AS83" s="68" t="str">
        <f t="shared" si="8"/>
        <v/>
      </c>
      <c r="AT83" s="74">
        <f t="shared" si="9"/>
        <v>34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30.285774620262941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32.4</v>
      </c>
      <c r="L85" s="66">
        <v>33</v>
      </c>
      <c r="M85" s="66">
        <v>30</v>
      </c>
      <c r="N85" s="66">
        <v>32.200000000000003</v>
      </c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4</v>
      </c>
      <c r="AQ85" s="68" t="str">
        <f t="shared" si="7"/>
        <v/>
      </c>
      <c r="AR85" s="68">
        <f>IFERROR(VLOOKUP(A85,Climatologia_TMAX!A:U,9+$E$2,FALSE),"")</f>
        <v>30.126684246732939</v>
      </c>
      <c r="AS85" s="68" t="str">
        <f t="shared" si="8"/>
        <v/>
      </c>
      <c r="AT85" s="74">
        <f t="shared" si="9"/>
        <v>33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34.4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43317</v>
      </c>
      <c r="AW85" s="69">
        <f t="shared" si="10"/>
        <v>-1.3999999999999986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33.4</v>
      </c>
      <c r="L86" s="66">
        <v>32.799999999999997</v>
      </c>
      <c r="M86" s="66">
        <v>27.2</v>
      </c>
      <c r="N86" s="66">
        <v>32.4</v>
      </c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4</v>
      </c>
      <c r="AQ86" s="68" t="str">
        <f t="shared" si="7"/>
        <v/>
      </c>
      <c r="AR86" s="68">
        <f>IFERROR(VLOOKUP(A86,Climatologia_TMAX!A:U,9+$E$2,FALSE),"")</f>
        <v>30.211657926170119</v>
      </c>
      <c r="AS86" s="68" t="str">
        <f t="shared" si="8"/>
        <v/>
      </c>
      <c r="AT86" s="74">
        <f t="shared" si="9"/>
        <v>33.4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86" s="69">
        <f t="shared" si="10"/>
        <v>-2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33.200000000000003</v>
      </c>
      <c r="M87" s="66">
        <v>32</v>
      </c>
      <c r="N87" s="66">
        <v>30.6</v>
      </c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4</v>
      </c>
      <c r="AQ87" s="68" t="str">
        <f t="shared" si="7"/>
        <v/>
      </c>
      <c r="AR87" s="68">
        <f>IFERROR(VLOOKUP(A87,Climatologia_TMAX!A:U,9+$E$2,FALSE),"")</f>
        <v>30.420577139515899</v>
      </c>
      <c r="AS87" s="68" t="str">
        <f t="shared" si="8"/>
        <v/>
      </c>
      <c r="AT87" s="74">
        <f t="shared" si="9"/>
        <v>33.200000000000003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45163</v>
      </c>
      <c r="AW87" s="69">
        <f t="shared" si="10"/>
        <v>-1.7999999999999972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32.006013312852033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36.4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28.547356917664391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</v>
      </c>
      <c r="L90" s="66">
        <v>31</v>
      </c>
      <c r="M90" s="66">
        <v>31.3</v>
      </c>
      <c r="N90" s="66">
        <v>29</v>
      </c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4</v>
      </c>
      <c r="AQ90" s="68" t="str">
        <f t="shared" si="7"/>
        <v/>
      </c>
      <c r="AR90" s="68">
        <f>IFERROR(VLOOKUP(A90,Climatologia_TMAX!A:U,9+$E$2,FALSE),"")</f>
        <v>30.14398006331821</v>
      </c>
      <c r="AS90" s="68" t="str">
        <f t="shared" si="8"/>
        <v/>
      </c>
      <c r="AT90" s="74">
        <f t="shared" si="9"/>
        <v>32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34.4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42961</v>
      </c>
      <c r="AW90" s="69">
        <f t="shared" si="10"/>
        <v>-2.3999999999999986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33.200000000000003</v>
      </c>
      <c r="M91" s="66">
        <v>31.1</v>
      </c>
      <c r="N91" s="66">
        <v>31.3</v>
      </c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4</v>
      </c>
      <c r="AQ91" s="68" t="str">
        <f t="shared" si="7"/>
        <v/>
      </c>
      <c r="AR91" s="68">
        <f>IFERROR(VLOOKUP(A91,Climatologia_TMAX!A:U,9+$E$2,FALSE),"")</f>
        <v>30.948480459796951</v>
      </c>
      <c r="AS91" s="68" t="str">
        <f t="shared" si="8"/>
        <v/>
      </c>
      <c r="AT91" s="74">
        <f t="shared" si="9"/>
        <v>33.200000000000003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36.200000000000003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1" s="69">
        <f t="shared" si="10"/>
        <v>-3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32.6</v>
      </c>
      <c r="L92" s="66"/>
      <c r="M92" s="66">
        <v>33</v>
      </c>
      <c r="N92" s="66">
        <v>32.4</v>
      </c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3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2" s="69">
        <f t="shared" si="10"/>
        <v>-2.3999999999999986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32</v>
      </c>
      <c r="L94" s="66">
        <v>31.8</v>
      </c>
      <c r="M94" s="66">
        <v>32.200000000000003</v>
      </c>
      <c r="N94" s="66">
        <v>32</v>
      </c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4</v>
      </c>
      <c r="AQ94" s="68" t="str">
        <f t="shared" si="7"/>
        <v/>
      </c>
      <c r="AR94" s="68">
        <f>IFERROR(VLOOKUP(A94,Climatologia_TMAX!A:U,9+$E$2,FALSE),"")</f>
        <v>31.022074370307589</v>
      </c>
      <c r="AS94" s="68" t="str">
        <f t="shared" si="8"/>
        <v/>
      </c>
      <c r="AT94" s="74">
        <f t="shared" si="9"/>
        <v>32.200000000000003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35.4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43681</v>
      </c>
      <c r="AW94" s="69">
        <f t="shared" si="10"/>
        <v>-3.1999999999999957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30.64846774193548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29.875720301398591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33.799999999999997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38593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26</v>
      </c>
      <c r="L99" s="66">
        <v>28</v>
      </c>
      <c r="M99" s="66">
        <v>23.2</v>
      </c>
      <c r="N99" s="66">
        <v>26</v>
      </c>
      <c r="O99" s="66"/>
      <c r="P99" s="66"/>
      <c r="Q99" s="66"/>
      <c r="R99" s="66"/>
      <c r="S99" s="66"/>
      <c r="T99" s="66"/>
      <c r="U99" s="109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4</v>
      </c>
      <c r="AQ99" s="68" t="str">
        <f t="shared" si="7"/>
        <v/>
      </c>
      <c r="AR99" s="68">
        <f>IFERROR(VLOOKUP(A99,Climatologia_TMAX!A:U,9+$E$2,FALSE),"")</f>
        <v>24.718314208501919</v>
      </c>
      <c r="AS99" s="68" t="str">
        <f t="shared" si="8"/>
        <v/>
      </c>
      <c r="AT99" s="74">
        <f t="shared" si="9"/>
        <v>28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32.200000000000003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45872</v>
      </c>
      <c r="AW99" s="69">
        <f t="shared" si="10"/>
        <v>-4.2000000000000028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40.6</v>
      </c>
      <c r="L100" s="66">
        <v>41</v>
      </c>
      <c r="M100" s="66">
        <v>38</v>
      </c>
      <c r="N100" s="66">
        <v>39.6</v>
      </c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4</v>
      </c>
      <c r="AQ100" s="68" t="str">
        <f t="shared" si="7"/>
        <v/>
      </c>
      <c r="AR100" s="68">
        <f>IFERROR(VLOOKUP(A100,Climatologia_TMAX!A:U,9+$E$2,FALSE),"")</f>
        <v>37.075361698510143</v>
      </c>
      <c r="AS100" s="68" t="str">
        <f t="shared" si="8"/>
        <v/>
      </c>
      <c r="AT100" s="74">
        <f t="shared" si="9"/>
        <v>41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100" s="69">
        <f t="shared" si="10"/>
        <v>-1.3999999999999986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30.49059139784946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35.6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44063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31</v>
      </c>
      <c r="L102" s="66">
        <v>31.5</v>
      </c>
      <c r="M102" s="66"/>
      <c r="N102" s="66">
        <v>30.2</v>
      </c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3</v>
      </c>
      <c r="AQ102" s="68" t="str">
        <f t="shared" si="7"/>
        <v/>
      </c>
      <c r="AR102" s="68">
        <f>IFERROR(VLOOKUP(A102,Climatologia_TMAX!A:U,9+$E$2,FALSE),"")</f>
        <v>27.909677419354839</v>
      </c>
      <c r="AS102" s="68" t="str">
        <f t="shared" si="8"/>
        <v/>
      </c>
      <c r="AT102" s="74">
        <f t="shared" si="9"/>
        <v>31.5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35666</v>
      </c>
      <c r="AW102" s="69">
        <f t="shared" si="10"/>
        <v>-1.8999999999999986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22.164323570982631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27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40414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38.4</v>
      </c>
      <c r="L104" s="66">
        <v>38.6</v>
      </c>
      <c r="M104" s="66">
        <v>36.200000000000003</v>
      </c>
      <c r="N104" s="66">
        <v>37.6</v>
      </c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4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38.6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37130</v>
      </c>
      <c r="AW104" s="69">
        <f t="shared" si="10"/>
        <v>-2.7999999999999972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33</v>
      </c>
      <c r="L105" s="66">
        <v>32.6</v>
      </c>
      <c r="M105" s="66">
        <v>26.8</v>
      </c>
      <c r="N105" s="66">
        <v>30.4</v>
      </c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4</v>
      </c>
      <c r="AQ105" s="68" t="str">
        <f t="shared" si="7"/>
        <v/>
      </c>
      <c r="AR105" s="68">
        <f>IFERROR(VLOOKUP(A105,Climatologia_TMAX!A:U,9+$E$2,FALSE),"")</f>
        <v>30.030668369518938</v>
      </c>
      <c r="AS105" s="68" t="str">
        <f t="shared" si="8"/>
        <v/>
      </c>
      <c r="AT105" s="74">
        <f t="shared" si="9"/>
        <v>33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39300</v>
      </c>
      <c r="AW105" s="69">
        <f t="shared" si="10"/>
        <v>-3.6000000000000014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28.2</v>
      </c>
      <c r="L106" s="66">
        <v>27</v>
      </c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2</v>
      </c>
      <c r="AQ106" s="68" t="str">
        <f t="shared" si="7"/>
        <v/>
      </c>
      <c r="AR106" s="68">
        <f>IFERROR(VLOOKUP(A106,Climatologia_TMAX!A:U,9+$E$2,FALSE),"")</f>
        <v>25.412337253032469</v>
      </c>
      <c r="AS106" s="68" t="str">
        <f t="shared" si="8"/>
        <v/>
      </c>
      <c r="AT106" s="74">
        <f t="shared" si="9"/>
        <v>28.2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18.891170507591529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26.6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40775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34.200000000000003</v>
      </c>
      <c r="L108" s="66">
        <v>33.799999999999997</v>
      </c>
      <c r="M108" s="66">
        <v>27.8</v>
      </c>
      <c r="N108" s="66">
        <v>32.200000000000003</v>
      </c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4</v>
      </c>
      <c r="AQ108" s="68" t="str">
        <f t="shared" si="7"/>
        <v/>
      </c>
      <c r="AR108" s="68">
        <f>IFERROR(VLOOKUP(A108,Climatologia_TMAX!A:U,9+$E$2,FALSE),"")</f>
        <v>30.571207119021128</v>
      </c>
      <c r="AS108" s="68" t="str">
        <f t="shared" si="8"/>
        <v/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28732</v>
      </c>
      <c r="AW108" s="69">
        <f t="shared" si="10"/>
        <v>-2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28.2</v>
      </c>
      <c r="L109" s="66">
        <v>30.2</v>
      </c>
      <c r="M109" s="66">
        <v>24.2</v>
      </c>
      <c r="N109" s="66">
        <v>27.2</v>
      </c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4</v>
      </c>
      <c r="AQ109" s="68" t="str">
        <f t="shared" si="7"/>
        <v/>
      </c>
      <c r="AR109" s="68">
        <f>IFERROR(VLOOKUP(A109,Climatologia_TMAX!A:U,9+$E$2,FALSE),"")</f>
        <v>25.742317801672641</v>
      </c>
      <c r="AS109" s="68" t="str">
        <f t="shared" si="8"/>
        <v/>
      </c>
      <c r="AT109" s="74">
        <f t="shared" si="9"/>
        <v>30.2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31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45889</v>
      </c>
      <c r="AW109" s="69">
        <f t="shared" si="10"/>
        <v>-0.80000000000000071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34.777916232615887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39.4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40</v>
      </c>
      <c r="L111" s="66">
        <v>40.6</v>
      </c>
      <c r="M111" s="66">
        <v>39.200000000000003</v>
      </c>
      <c r="N111" s="66">
        <v>38.200000000000003</v>
      </c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4</v>
      </c>
      <c r="AQ111" s="68" t="str">
        <f t="shared" si="7"/>
        <v/>
      </c>
      <c r="AR111" s="68">
        <f>IFERROR(VLOOKUP(A111,Climatologia_TMAX!A:U,9+$E$2,FALSE),"")</f>
        <v>35.400483796811272</v>
      </c>
      <c r="AS111" s="68" t="str">
        <f t="shared" si="8"/>
        <v/>
      </c>
      <c r="AT111" s="74">
        <f t="shared" si="9"/>
        <v>40.6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41.8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111" s="69">
        <f t="shared" si="10"/>
        <v>-1.1999999999999957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36.799999999999997</v>
      </c>
      <c r="M112" s="66">
        <v>36.4</v>
      </c>
      <c r="N112" s="66">
        <v>36.6</v>
      </c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4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37.799999999999997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12" s="69">
        <f t="shared" si="10"/>
        <v>-3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35.595646120210191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33466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38</v>
      </c>
      <c r="L114" s="66">
        <v>38.200000000000003</v>
      </c>
      <c r="M114" s="66">
        <v>38.4</v>
      </c>
      <c r="N114" s="66">
        <v>37.200000000000003</v>
      </c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4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38.4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40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42219</v>
      </c>
      <c r="AW114" s="69">
        <f t="shared" si="10"/>
        <v>-1.6000000000000014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38.4</v>
      </c>
      <c r="L115" s="66">
        <v>38.799999999999997</v>
      </c>
      <c r="M115" s="66">
        <v>38</v>
      </c>
      <c r="N115" s="66">
        <v>38.6</v>
      </c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4</v>
      </c>
      <c r="AQ115" s="68" t="str">
        <f t="shared" si="7"/>
        <v/>
      </c>
      <c r="AR115" s="68">
        <f>IFERROR(VLOOKUP(A115,Climatologia_TMAX!A:U,9+$E$2,FALSE),"")</f>
        <v>35.599806409679189</v>
      </c>
      <c r="AS115" s="68" t="str">
        <f t="shared" si="8"/>
        <v/>
      </c>
      <c r="AT115" s="74">
        <f t="shared" si="9"/>
        <v>38.799999999999997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15" s="69">
        <f t="shared" si="10"/>
        <v>-2.6000000000000014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41.2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33.989967101011707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39.4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40402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38.4</v>
      </c>
      <c r="L118" s="66">
        <v>39.6</v>
      </c>
      <c r="M118" s="66">
        <v>39.200000000000003</v>
      </c>
      <c r="N118" s="66">
        <v>37.6</v>
      </c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4</v>
      </c>
      <c r="AQ118" s="68" t="str">
        <f t="shared" si="7"/>
        <v/>
      </c>
      <c r="AR118" s="68">
        <f>IFERROR(VLOOKUP(A118,Climatologia_TMAX!A:U,9+$E$2,FALSE),"")</f>
        <v>34.447006277967013</v>
      </c>
      <c r="AS118" s="68" t="str">
        <f t="shared" si="8"/>
        <v/>
      </c>
      <c r="AT118" s="74">
        <f t="shared" si="9"/>
        <v>39.6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40.799999999999997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42235</v>
      </c>
      <c r="AW118" s="69">
        <f t="shared" si="10"/>
        <v>-1.1999999999999957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40.799999999999997</v>
      </c>
      <c r="L119" s="66">
        <v>40</v>
      </c>
      <c r="M119" s="66">
        <v>40</v>
      </c>
      <c r="N119" s="66">
        <v>38.4</v>
      </c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4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40.799999999999997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41.6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37121</v>
      </c>
      <c r="AW119" s="69">
        <f t="shared" si="10"/>
        <v>-0.80000000000000426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39.799999999999997</v>
      </c>
      <c r="L120" s="66">
        <v>40</v>
      </c>
      <c r="M120" s="66">
        <v>39.6</v>
      </c>
      <c r="N120" s="66">
        <v>36.4</v>
      </c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4</v>
      </c>
      <c r="AQ120" s="68" t="str">
        <f t="shared" si="7"/>
        <v/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40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40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120" s="69">
        <f t="shared" si="10"/>
        <v>0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20.412865018439931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26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31.4</v>
      </c>
      <c r="L122" s="66">
        <v>31.8</v>
      </c>
      <c r="M122" s="66">
        <v>29.8</v>
      </c>
      <c r="N122" s="66">
        <v>30.4</v>
      </c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4</v>
      </c>
      <c r="AQ122" s="68" t="str">
        <f t="shared" si="7"/>
        <v/>
      </c>
      <c r="AR122" s="68">
        <f>IFERROR(VLOOKUP(A122,Climatologia_TMAX!A:U,9+$E$2,FALSE),"")</f>
        <v>28.13354838709677</v>
      </c>
      <c r="AS122" s="68" t="str">
        <f t="shared" si="8"/>
        <v/>
      </c>
      <c r="AT122" s="74">
        <f t="shared" si="9"/>
        <v>31.8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36749</v>
      </c>
      <c r="AW122" s="69">
        <f t="shared" si="10"/>
        <v>-1.5999999999999979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33</v>
      </c>
      <c r="L123" s="66">
        <v>33.6</v>
      </c>
      <c r="M123" s="66">
        <v>31.6</v>
      </c>
      <c r="N123" s="66">
        <v>32</v>
      </c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4</v>
      </c>
      <c r="AQ123" s="68" t="str">
        <f t="shared" si="7"/>
        <v/>
      </c>
      <c r="AR123" s="68">
        <f>IFERROR(VLOOKUP(A123,Climatologia_TMAX!A:U,9+$E$2,FALSE),"")</f>
        <v>29.851373954599769</v>
      </c>
      <c r="AS123" s="68" t="str">
        <f t="shared" si="8"/>
        <v/>
      </c>
      <c r="AT123" s="74">
        <f t="shared" si="9"/>
        <v>33.6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35.200000000000003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3" s="69">
        <f t="shared" si="10"/>
        <v>-1.6000000000000014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33.200000000000003</v>
      </c>
      <c r="L124" s="66">
        <v>34.4</v>
      </c>
      <c r="M124" s="66">
        <v>31</v>
      </c>
      <c r="N124" s="66">
        <v>32.6</v>
      </c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4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34.4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35.799999999999997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34199</v>
      </c>
      <c r="AW124" s="69">
        <f t="shared" si="10"/>
        <v>-1.3999999999999986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27</v>
      </c>
      <c r="L127" s="66">
        <v>26.2</v>
      </c>
      <c r="M127" s="66">
        <v>26.4</v>
      </c>
      <c r="N127" s="66">
        <v>25.4</v>
      </c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4</v>
      </c>
      <c r="AQ127" s="68" t="str">
        <f t="shared" si="7"/>
        <v/>
      </c>
      <c r="AR127" s="68">
        <f>IFERROR(VLOOKUP(A127,Climatologia_TMAX!A:U,9+$E$2,FALSE),"")</f>
        <v>23.873193546154688</v>
      </c>
      <c r="AS127" s="68" t="str">
        <f t="shared" si="8"/>
        <v/>
      </c>
      <c r="AT127" s="74">
        <f t="shared" si="9"/>
        <v>27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27" s="69">
        <f t="shared" si="10"/>
        <v>-2.6000000000000014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24</v>
      </c>
      <c r="L128" s="66">
        <v>24.2</v>
      </c>
      <c r="M128" s="66">
        <v>22.4</v>
      </c>
      <c r="N128" s="66">
        <v>23</v>
      </c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4</v>
      </c>
      <c r="AQ128" s="68" t="str">
        <f t="shared" si="7"/>
        <v/>
      </c>
      <c r="AR128" s="68">
        <f>IFERROR(VLOOKUP(A128,Climatologia_TMAX!A:U,9+$E$2,FALSE),"")</f>
        <v>19.945241107257019</v>
      </c>
      <c r="AS128" s="68" t="str">
        <f t="shared" si="8"/>
        <v/>
      </c>
      <c r="AT128" s="74">
        <f t="shared" si="9"/>
        <v>24.2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25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28" s="69">
        <f t="shared" si="10"/>
        <v>-0.80000000000000071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28.2</v>
      </c>
      <c r="L129" s="66">
        <v>29</v>
      </c>
      <c r="M129" s="66">
        <v>23.4</v>
      </c>
      <c r="N129" s="66">
        <v>27.4</v>
      </c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4</v>
      </c>
      <c r="AQ129" s="68" t="str">
        <f t="shared" si="7"/>
        <v/>
      </c>
      <c r="AR129" s="68">
        <f>IFERROR(VLOOKUP(A129,Climatologia_TMAX!A:U,9+$E$2,FALSE),"")</f>
        <v>24.697992831541221</v>
      </c>
      <c r="AS129" s="68" t="str">
        <f t="shared" si="8"/>
        <v/>
      </c>
      <c r="AT129" s="74">
        <f t="shared" si="9"/>
        <v>29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30.8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9" s="69">
        <f t="shared" si="10"/>
        <v>-1.8000000000000007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33.875629502866438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40.6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42599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>
        <v>20.399999999999999</v>
      </c>
      <c r="N131" s="66">
        <v>18.399999999999999</v>
      </c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2</v>
      </c>
      <c r="AQ131" s="68" t="str">
        <f t="shared" si="7"/>
        <v/>
      </c>
      <c r="AR131" s="68">
        <f>IFERROR(VLOOKUP(A131,Climatologia_TMAX!A:U,9+$E$2,FALSE),"")</f>
        <v>20.475268817204299</v>
      </c>
      <c r="AS131" s="68" t="str">
        <f t="shared" si="8"/>
        <v/>
      </c>
      <c r="AT131" s="74">
        <f t="shared" si="9"/>
        <v>20.399999999999999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21.617115903560421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16.399999999999999</v>
      </c>
      <c r="L133" s="66">
        <v>17.399999999999999</v>
      </c>
      <c r="M133" s="66">
        <v>17.8</v>
      </c>
      <c r="N133" s="66">
        <v>17</v>
      </c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4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16.170153546617101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17.8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24.8</v>
      </c>
      <c r="L135" s="66">
        <v>24</v>
      </c>
      <c r="M135" s="66">
        <v>23.6</v>
      </c>
      <c r="N135" s="66">
        <v>23.8</v>
      </c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4</v>
      </c>
      <c r="AQ135" s="68" t="str">
        <f t="shared" si="12"/>
        <v/>
      </c>
      <c r="AR135" s="68">
        <f>IFERROR(VLOOKUP(A135,Climatologia_TMAX!A:U,9+$E$2,FALSE),"")</f>
        <v>23.503001430160491</v>
      </c>
      <c r="AS135" s="68" t="str">
        <f t="shared" si="13"/>
        <v/>
      </c>
      <c r="AT135" s="74">
        <f t="shared" si="14"/>
        <v>24.8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41125</v>
      </c>
      <c r="AW135" s="69">
        <f t="shared" si="15"/>
        <v>-3.5999999999999979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21</v>
      </c>
      <c r="M138" s="66">
        <v>22</v>
      </c>
      <c r="N138" s="66">
        <v>19.899999999999999</v>
      </c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4</v>
      </c>
      <c r="AQ138" s="68" t="str">
        <f t="shared" si="12"/>
        <v/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22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22.2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41129</v>
      </c>
      <c r="AW138" s="69">
        <f t="shared" si="15"/>
        <v>-0.19999999999999929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22.6</v>
      </c>
      <c r="L139" s="66">
        <v>23.2</v>
      </c>
      <c r="M139" s="66">
        <v>19.2</v>
      </c>
      <c r="N139" s="66">
        <v>22.8</v>
      </c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4</v>
      </c>
      <c r="AQ139" s="68" t="str">
        <f t="shared" si="12"/>
        <v/>
      </c>
      <c r="AR139" s="68">
        <f>IFERROR(VLOOKUP(A139,Climatologia_TMAX!A:U,9+$E$2,FALSE),"")</f>
        <v>20.714326639736161</v>
      </c>
      <c r="AS139" s="68" t="str">
        <f t="shared" si="13"/>
        <v/>
      </c>
      <c r="AT139" s="74">
        <f t="shared" si="14"/>
        <v>23.2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28.2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34183</v>
      </c>
      <c r="AW139" s="69">
        <f t="shared" si="15"/>
        <v>-5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23.2</v>
      </c>
      <c r="L140" s="66">
        <v>23.4</v>
      </c>
      <c r="M140" s="66">
        <v>22.8</v>
      </c>
      <c r="N140" s="66">
        <v>21.8</v>
      </c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4</v>
      </c>
      <c r="AQ140" s="68" t="str">
        <f t="shared" si="12"/>
        <v/>
      </c>
      <c r="AR140" s="68">
        <f>IFERROR(VLOOKUP(A140,Climatologia_TMAX!A:U,9+$E$2,FALSE),"")</f>
        <v>21.647136438274369</v>
      </c>
      <c r="AS140" s="68" t="str">
        <f t="shared" si="13"/>
        <v/>
      </c>
      <c r="AT140" s="74">
        <f t="shared" si="14"/>
        <v>23.4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28.6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40" s="69">
        <f t="shared" si="15"/>
        <v>-5.2000000000000028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19.8</v>
      </c>
      <c r="M141" s="66">
        <v>20</v>
      </c>
      <c r="N141" s="66">
        <v>17.8</v>
      </c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4</v>
      </c>
      <c r="AQ141" s="68" t="str">
        <f t="shared" si="12"/>
        <v/>
      </c>
      <c r="AR141" s="68">
        <f>IFERROR(VLOOKUP(A141,Climatologia_TMAX!A:U,9+$E$2,FALSE),"")</f>
        <v>18.072580645161288</v>
      </c>
      <c r="AS141" s="68" t="str">
        <f t="shared" si="13"/>
        <v/>
      </c>
      <c r="AT141" s="74">
        <f t="shared" si="14"/>
        <v>20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24.4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38948</v>
      </c>
      <c r="AW141" s="69">
        <f t="shared" si="15"/>
        <v>-4.3999999999999986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18</v>
      </c>
      <c r="L142" s="66">
        <v>18.2</v>
      </c>
      <c r="M142" s="66">
        <v>18.399999999999999</v>
      </c>
      <c r="N142" s="66">
        <v>18.2</v>
      </c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4</v>
      </c>
      <c r="AQ142" s="68" t="str">
        <f t="shared" si="12"/>
        <v/>
      </c>
      <c r="AR142" s="68">
        <f>IFERROR(VLOOKUP(A142,Climatologia_TMAX!A:U,9+$E$2,FALSE),"")</f>
        <v>17.502950587315588</v>
      </c>
      <c r="AS142" s="68" t="str">
        <f t="shared" si="13"/>
        <v/>
      </c>
      <c r="AT142" s="74">
        <f t="shared" si="14"/>
        <v>18.399999999999999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30555</v>
      </c>
      <c r="AW142" s="69">
        <f t="shared" si="15"/>
        <v>-4.6000000000000014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33</v>
      </c>
      <c r="L143" s="66">
        <v>34</v>
      </c>
      <c r="M143" s="66">
        <v>33.4</v>
      </c>
      <c r="N143" s="66">
        <v>32.799999999999997</v>
      </c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4</v>
      </c>
      <c r="AQ143" s="68" t="str">
        <f t="shared" si="12"/>
        <v/>
      </c>
      <c r="AR143" s="68">
        <f>IFERROR(VLOOKUP(A143,Climatologia_TMAX!A:U,9+$E$2,FALSE),"")</f>
        <v>30.587147942157952</v>
      </c>
      <c r="AS143" s="68" t="str">
        <f t="shared" si="13"/>
        <v/>
      </c>
      <c r="AT143" s="74">
        <f t="shared" si="14"/>
        <v>34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42962</v>
      </c>
      <c r="AW143" s="69">
        <f t="shared" si="15"/>
        <v>-0.79999999999999716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26.2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21.27991716987129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20.8</v>
      </c>
      <c r="L146" s="66">
        <v>21.2</v>
      </c>
      <c r="M146" s="66">
        <v>21.2</v>
      </c>
      <c r="N146" s="66">
        <v>20.6</v>
      </c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4</v>
      </c>
      <c r="AQ146" s="68" t="str">
        <f t="shared" si="12"/>
        <v/>
      </c>
      <c r="AR146" s="68">
        <f>IFERROR(VLOOKUP(A146,Climatologia_TMAX!A:U,9+$E$2,FALSE),"")</f>
        <v>21.065636230144019</v>
      </c>
      <c r="AS146" s="68" t="str">
        <f t="shared" si="13"/>
        <v/>
      </c>
      <c r="AT146" s="74">
        <f t="shared" si="14"/>
        <v>21.2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45154</v>
      </c>
      <c r="AW146" s="69">
        <f t="shared" si="15"/>
        <v>-5.4000000000000021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/>
      <c r="L147" s="66">
        <v>23</v>
      </c>
      <c r="M147" s="66">
        <v>19</v>
      </c>
      <c r="N147" s="66">
        <v>22.6</v>
      </c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3</v>
      </c>
      <c r="AQ147" s="68" t="str">
        <f t="shared" si="12"/>
        <v/>
      </c>
      <c r="AR147" s="68">
        <f>IFERROR(VLOOKUP(A147,Climatologia_TMAX!A:U,9+$E$2,FALSE),"")</f>
        <v>21.75379211469534</v>
      </c>
      <c r="AS147" s="68" t="str">
        <f t="shared" si="13"/>
        <v/>
      </c>
      <c r="AT147" s="74">
        <f t="shared" si="14"/>
        <v>23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26.8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40773</v>
      </c>
      <c r="AW147" s="69">
        <f t="shared" si="15"/>
        <v>-3.8000000000000007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25.4</v>
      </c>
      <c r="M148" s="66">
        <v>26.2</v>
      </c>
      <c r="N148" s="66">
        <v>26.4</v>
      </c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4</v>
      </c>
      <c r="AQ148" s="68" t="str">
        <f t="shared" si="12"/>
        <v/>
      </c>
      <c r="AR148" s="68">
        <f>IFERROR(VLOOKUP(A148,Climatologia_TMAX!A:U,9+$E$2,FALSE),"")</f>
        <v>25.418951612903221</v>
      </c>
      <c r="AS148" s="68" t="str">
        <f t="shared" si="13"/>
        <v/>
      </c>
      <c r="AT148" s="74">
        <f t="shared" si="14"/>
        <v>26.4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30.8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42602</v>
      </c>
      <c r="AW148" s="69">
        <f t="shared" si="15"/>
        <v>-4.4000000000000021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33.512021505376353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29.42508342602892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34.200000000000003</v>
      </c>
      <c r="L151" s="66">
        <v>35</v>
      </c>
      <c r="M151" s="66">
        <v>33.4</v>
      </c>
      <c r="N151" s="66">
        <v>34</v>
      </c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107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4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22.4</v>
      </c>
      <c r="L152" s="66">
        <v>23.4</v>
      </c>
      <c r="M152" s="66">
        <v>23.2</v>
      </c>
      <c r="N152" s="66">
        <v>23.2</v>
      </c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4</v>
      </c>
      <c r="AQ152" s="68" t="str">
        <f t="shared" si="12"/>
        <v/>
      </c>
      <c r="AR152" s="68">
        <f>IFERROR(VLOOKUP(A152,Climatologia_TMAX!A:U,9+$E$2,FALSE),"")</f>
        <v>20.997508479591449</v>
      </c>
      <c r="AS152" s="68" t="str">
        <f t="shared" si="13"/>
        <v/>
      </c>
      <c r="AT152" s="74">
        <f t="shared" si="14"/>
        <v>23.4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20.2</v>
      </c>
      <c r="L153" s="66">
        <v>20.399999999999999</v>
      </c>
      <c r="M153" s="66">
        <v>20.8</v>
      </c>
      <c r="N153" s="66">
        <v>19</v>
      </c>
      <c r="O153" s="66"/>
      <c r="P153" s="66"/>
      <c r="Q153" s="66"/>
      <c r="R153" s="66"/>
      <c r="S153" s="66"/>
      <c r="T153" s="109"/>
      <c r="U153" s="66"/>
      <c r="V153" s="66"/>
      <c r="W153" s="66"/>
      <c r="X153" s="110"/>
      <c r="Y153" s="114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4</v>
      </c>
      <c r="AQ153" s="68" t="str">
        <f t="shared" si="12"/>
        <v/>
      </c>
      <c r="AR153" s="68">
        <f>IFERROR(VLOOKUP(A153,Climatologia_TMAX!A:U,9+$E$2,FALSE),"")</f>
        <v>17.087318670151451</v>
      </c>
      <c r="AS153" s="68" t="str">
        <f t="shared" si="13"/>
        <v/>
      </c>
      <c r="AT153" s="74">
        <f t="shared" si="14"/>
        <v>20.8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45159</v>
      </c>
      <c r="AW153" s="69">
        <f t="shared" si="15"/>
        <v>-1.5999999999999979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19.2</v>
      </c>
      <c r="L154" s="66">
        <v>18.8</v>
      </c>
      <c r="M154" s="66">
        <v>19.2</v>
      </c>
      <c r="N154" s="66">
        <v>17.8</v>
      </c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4</v>
      </c>
      <c r="AQ154" s="68" t="str">
        <f t="shared" si="12"/>
        <v/>
      </c>
      <c r="AR154" s="68">
        <f>IFERROR(VLOOKUP(A154,Climatologia_TMAX!A:U,9+$E$2,FALSE),"")</f>
        <v>17.894822708653351</v>
      </c>
      <c r="AS154" s="68" t="str">
        <f t="shared" si="13"/>
        <v/>
      </c>
      <c r="AT154" s="74">
        <f t="shared" si="14"/>
        <v>19.2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154" s="69">
        <f t="shared" si="15"/>
        <v>-4.1999999999999993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23.537201646090541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21.6</v>
      </c>
      <c r="L156" s="66">
        <v>20.399999999999999</v>
      </c>
      <c r="M156" s="66">
        <v>20.6</v>
      </c>
      <c r="N156" s="66">
        <v>21.2</v>
      </c>
      <c r="O156" s="66"/>
      <c r="P156" s="66"/>
      <c r="Q156" s="66"/>
      <c r="R156" s="66"/>
      <c r="S156" s="66"/>
      <c r="T156" s="66"/>
      <c r="U156" s="66"/>
      <c r="V156" s="66"/>
      <c r="W156" s="66"/>
      <c r="X156" s="110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4</v>
      </c>
      <c r="AQ156" s="68" t="str">
        <f t="shared" si="12"/>
        <v/>
      </c>
      <c r="AR156" s="68">
        <f>IFERROR(VLOOKUP(A156,Climatologia_TMAX!A:U,9+$E$2,FALSE),"")</f>
        <v>19.9787274899533</v>
      </c>
      <c r="AS156" s="68" t="str">
        <f t="shared" si="13"/>
        <v/>
      </c>
      <c r="AT156" s="74">
        <f t="shared" si="14"/>
        <v>21.6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156" s="69">
        <f t="shared" si="15"/>
        <v>-4.5999999999999979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24.4</v>
      </c>
      <c r="L158" s="66">
        <v>24.8</v>
      </c>
      <c r="M158" s="66">
        <v>24.6</v>
      </c>
      <c r="N158" s="66">
        <v>23.4</v>
      </c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4</v>
      </c>
      <c r="AQ158" s="68" t="str">
        <f t="shared" si="12"/>
        <v/>
      </c>
      <c r="AR158" s="68">
        <f>IFERROR(VLOOKUP(A158,Climatologia_TMAX!A:U,9+$E$2,FALSE),"")</f>
        <v>22.279202508960569</v>
      </c>
      <c r="AS158" s="68" t="str">
        <f t="shared" si="13"/>
        <v/>
      </c>
      <c r="AT158" s="74">
        <f t="shared" si="14"/>
        <v>24.8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27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36035</v>
      </c>
      <c r="AW158" s="69">
        <f t="shared" si="15"/>
        <v>-2.1999999999999993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27.456970337411931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32.799999999999997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32.6</v>
      </c>
      <c r="L160" s="66">
        <v>32</v>
      </c>
      <c r="M160" s="66">
        <v>30.4</v>
      </c>
      <c r="N160" s="66">
        <v>30</v>
      </c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4</v>
      </c>
      <c r="AQ160" s="68" t="str">
        <f t="shared" si="12"/>
        <v/>
      </c>
      <c r="AR160" s="68">
        <f>IFERROR(VLOOKUP(A160,Climatologia_TMAX!A:U,9+$E$2,FALSE),"")</f>
        <v>29.899582174638489</v>
      </c>
      <c r="AS160" s="68" t="str">
        <f t="shared" si="13"/>
        <v/>
      </c>
      <c r="AT160" s="74">
        <f t="shared" si="14"/>
        <v>32.6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29.913364055299539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36751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28.557691156988469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27.21987400588711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17</v>
      </c>
      <c r="L164" s="66">
        <v>19</v>
      </c>
      <c r="M164" s="66">
        <v>15.6</v>
      </c>
      <c r="N164" s="66">
        <v>16</v>
      </c>
      <c r="O164" s="66"/>
      <c r="P164" s="66"/>
      <c r="Q164" s="66"/>
      <c r="R164" s="66"/>
      <c r="S164" s="66"/>
      <c r="T164" s="66"/>
      <c r="U164" s="109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4</v>
      </c>
      <c r="AQ164" s="68" t="str">
        <f t="shared" si="12"/>
        <v/>
      </c>
      <c r="AR164" s="68">
        <f>IFERROR(VLOOKUP(A164,Climatologia_TMAX!A:U,9+$E$2,FALSE),"")</f>
        <v>16.438135408145051</v>
      </c>
      <c r="AS164" s="68" t="str">
        <f t="shared" si="13"/>
        <v/>
      </c>
      <c r="AT164" s="74">
        <f t="shared" si="14"/>
        <v>19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22.2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45158</v>
      </c>
      <c r="AW164" s="69">
        <f t="shared" si="15"/>
        <v>-3.1999999999999993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13.2</v>
      </c>
      <c r="L165" s="66">
        <v>13</v>
      </c>
      <c r="M165" s="66">
        <v>13.6</v>
      </c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3</v>
      </c>
      <c r="AQ165" s="68" t="str">
        <f t="shared" si="12"/>
        <v/>
      </c>
      <c r="AR165" s="68">
        <f>IFERROR(VLOOKUP(A165,Climatologia_TMAX!A:U,9+$E$2,FALSE),"")</f>
        <v>13.11626251390434</v>
      </c>
      <c r="AS165" s="68" t="str">
        <f t="shared" si="13"/>
        <v/>
      </c>
      <c r="AT165" s="74">
        <f t="shared" si="14"/>
        <v>13.6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18.600000000000001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165" s="69">
        <f t="shared" si="15"/>
        <v>-5.0000000000000018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14</v>
      </c>
      <c r="L166" s="66">
        <v>15.4</v>
      </c>
      <c r="M166" s="66">
        <v>13.4</v>
      </c>
      <c r="N166" s="66">
        <v>13.8</v>
      </c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4</v>
      </c>
      <c r="AQ166" s="68" t="str">
        <f t="shared" si="12"/>
        <v/>
      </c>
      <c r="AR166" s="68">
        <f>IFERROR(VLOOKUP(A166,Climatologia_TMAX!A:U,9+$E$2,FALSE),"")</f>
        <v>14.28566120241295</v>
      </c>
      <c r="AS166" s="68" t="str">
        <f t="shared" si="13"/>
        <v/>
      </c>
      <c r="AT166" s="74">
        <f t="shared" si="14"/>
        <v>15.4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6" s="69">
        <f t="shared" si="15"/>
        <v>-4.5999999999999996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16.600000000000001</v>
      </c>
      <c r="L167" s="66">
        <v>17.2</v>
      </c>
      <c r="M167" s="66">
        <v>17</v>
      </c>
      <c r="N167" s="66">
        <v>17.899999999999999</v>
      </c>
      <c r="O167" s="66"/>
      <c r="P167" s="66"/>
      <c r="Q167" s="66"/>
      <c r="R167" s="66"/>
      <c r="S167" s="66"/>
      <c r="T167" s="66"/>
      <c r="U167" s="109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4</v>
      </c>
      <c r="AQ167" s="68" t="str">
        <f t="shared" si="12"/>
        <v/>
      </c>
      <c r="AR167" s="68">
        <f>IFERROR(VLOOKUP(A167,Climatologia_TMAX!A:U,9+$E$2,FALSE),"")</f>
        <v>15.33697398819201</v>
      </c>
      <c r="AS167" s="68" t="str">
        <f t="shared" si="13"/>
        <v/>
      </c>
      <c r="AT167" s="74">
        <f t="shared" si="14"/>
        <v>17.899999999999999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7" s="69">
        <f t="shared" si="15"/>
        <v>-1.9000000000000021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21.2</v>
      </c>
      <c r="L168" s="66">
        <v>22.6</v>
      </c>
      <c r="M168" s="66">
        <v>23.4</v>
      </c>
      <c r="N168" s="66">
        <v>21.4</v>
      </c>
      <c r="O168" s="66"/>
      <c r="P168" s="66"/>
      <c r="Q168" s="66"/>
      <c r="R168" s="66"/>
      <c r="S168" s="66"/>
      <c r="T168" s="66"/>
      <c r="U168" s="109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4</v>
      </c>
      <c r="AQ168" s="68" t="str">
        <f t="shared" si="12"/>
        <v/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23.4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44790</v>
      </c>
      <c r="AW168" s="69">
        <f t="shared" si="15"/>
        <v>-2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30.47315153227278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35.714440489432697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23.740846604987318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30.2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24.4</v>
      </c>
      <c r="L172" s="66">
        <v>24.6</v>
      </c>
      <c r="M172" s="66">
        <v>23</v>
      </c>
      <c r="N172" s="66">
        <v>23.2</v>
      </c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4</v>
      </c>
      <c r="AQ172" s="68" t="str">
        <f t="shared" si="12"/>
        <v/>
      </c>
      <c r="AR172" s="68">
        <f>IFERROR(VLOOKUP(A172,Climatologia_TMAX!A:U,9+$E$2,FALSE),"")</f>
        <v>21.606312954104371</v>
      </c>
      <c r="AS172" s="68" t="str">
        <f t="shared" si="13"/>
        <v/>
      </c>
      <c r="AT172" s="74">
        <f t="shared" si="14"/>
        <v>24.6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26.6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42611</v>
      </c>
      <c r="AW172" s="69">
        <f t="shared" si="15"/>
        <v>-2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21.8</v>
      </c>
      <c r="L173" s="66"/>
      <c r="M173" s="66">
        <v>19</v>
      </c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2</v>
      </c>
      <c r="AQ173" s="68" t="str">
        <f t="shared" si="12"/>
        <v/>
      </c>
      <c r="AR173" s="68">
        <f>IFERROR(VLOOKUP(A173,Climatologia_TMAX!A:U,9+$E$2,FALSE),"")</f>
        <v>19.144848035988591</v>
      </c>
      <c r="AS173" s="68" t="str">
        <f t="shared" si="13"/>
        <v/>
      </c>
      <c r="AT173" s="74">
        <f t="shared" si="14"/>
        <v>21.8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27989</v>
      </c>
      <c r="AW173" s="69">
        <f t="shared" si="15"/>
        <v>-3.6999999999999993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20.262072871974151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24.8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</v>
      </c>
      <c r="L175" s="66">
        <v>18.8</v>
      </c>
      <c r="M175" s="66">
        <v>16.399999999999999</v>
      </c>
      <c r="N175" s="66">
        <v>16</v>
      </c>
      <c r="O175" s="66"/>
      <c r="P175" s="66"/>
      <c r="Q175" s="66"/>
      <c r="R175" s="66"/>
      <c r="S175" s="66"/>
      <c r="T175" s="66"/>
      <c r="U175" s="109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4</v>
      </c>
      <c r="AQ175" s="68" t="str">
        <f t="shared" si="12"/>
        <v/>
      </c>
      <c r="AR175" s="68">
        <f>IFERROR(VLOOKUP(A175,Climatologia_TMAX!A:U,9+$E$2,FALSE),"")</f>
        <v>16.77337009846331</v>
      </c>
      <c r="AS175" s="68" t="str">
        <f t="shared" si="13"/>
        <v/>
      </c>
      <c r="AT175" s="74">
        <f t="shared" si="14"/>
        <v>18.8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31647</v>
      </c>
      <c r="AW175" s="69">
        <f t="shared" si="15"/>
        <v>-3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19.5</v>
      </c>
      <c r="L176" s="66">
        <v>20.3</v>
      </c>
      <c r="M176" s="66">
        <v>19.399999999999999</v>
      </c>
      <c r="N176" s="66">
        <v>18.600000000000001</v>
      </c>
      <c r="O176" s="66"/>
      <c r="P176" s="66"/>
      <c r="Q176" s="66"/>
      <c r="R176" s="66"/>
      <c r="S176" s="66"/>
      <c r="T176" s="66"/>
      <c r="U176" s="109"/>
      <c r="V176" s="109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4</v>
      </c>
      <c r="AQ176" s="68" t="str">
        <f t="shared" si="12"/>
        <v/>
      </c>
      <c r="AR176" s="68">
        <f>IFERROR(VLOOKUP(A176,Climatologia_TMAX!A:U,9+$E$2,FALSE),"")</f>
        <v>18.929410456062289</v>
      </c>
      <c r="AS176" s="68" t="str">
        <f t="shared" si="13"/>
        <v/>
      </c>
      <c r="AT176" s="74">
        <f t="shared" si="14"/>
        <v>20.3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176" s="69">
        <f t="shared" si="15"/>
        <v>-3.3000000000000007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30.49135465331851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37864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30.1325809574518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42968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34211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25.2</v>
      </c>
      <c r="M180" s="66">
        <v>23.4</v>
      </c>
      <c r="N180" s="66">
        <v>24.4</v>
      </c>
      <c r="O180" s="66"/>
      <c r="P180" s="66"/>
      <c r="Q180" s="66"/>
      <c r="R180" s="66"/>
      <c r="S180" s="66"/>
      <c r="T180" s="66"/>
      <c r="U180" s="109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4</v>
      </c>
      <c r="AQ180" s="68" t="str">
        <f t="shared" si="12"/>
        <v/>
      </c>
      <c r="AR180" s="68">
        <f>IFERROR(VLOOKUP(A180,Climatologia_TMAX!A:U,9+$E$2,FALSE),"")</f>
        <v>22.045425414753339</v>
      </c>
      <c r="AS180" s="68" t="str">
        <f t="shared" si="13"/>
        <v/>
      </c>
      <c r="AT180" s="74">
        <f t="shared" si="14"/>
        <v>25.2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27.4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80" s="69">
        <f t="shared" si="15"/>
        <v>-2.1999999999999993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18.8</v>
      </c>
      <c r="L181" s="66">
        <v>18.899999999999999</v>
      </c>
      <c r="M181" s="66">
        <v>17</v>
      </c>
      <c r="N181" s="66">
        <v>17.5</v>
      </c>
      <c r="O181" s="66"/>
      <c r="P181" s="66"/>
      <c r="Q181" s="66"/>
      <c r="R181" s="66"/>
      <c r="S181" s="66"/>
      <c r="T181" s="66"/>
      <c r="U181" s="109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4</v>
      </c>
      <c r="AQ181" s="68" t="str">
        <f t="shared" si="12"/>
        <v/>
      </c>
      <c r="AR181" s="68">
        <f>IFERROR(VLOOKUP(A181,Climatologia_TMAX!A:U,9+$E$2,FALSE),"")</f>
        <v>17.645817781073621</v>
      </c>
      <c r="AS181" s="68" t="str">
        <f t="shared" si="13"/>
        <v/>
      </c>
      <c r="AT181" s="74">
        <f t="shared" si="14"/>
        <v>18.899999999999999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23.8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81" s="69">
        <f t="shared" si="15"/>
        <v>-4.9000000000000021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27.4</v>
      </c>
      <c r="L182" s="66">
        <v>29</v>
      </c>
      <c r="M182" s="66">
        <v>27</v>
      </c>
      <c r="N182" s="66">
        <v>28</v>
      </c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4</v>
      </c>
      <c r="AQ182" s="68" t="str">
        <f t="shared" si="12"/>
        <v/>
      </c>
      <c r="AR182" s="68">
        <f>IFERROR(VLOOKUP(A182,Climatologia_TMAX!A:U,9+$E$2,FALSE),"")</f>
        <v>25.244773595756431</v>
      </c>
      <c r="AS182" s="68" t="str">
        <f t="shared" si="13"/>
        <v/>
      </c>
      <c r="AT182" s="74">
        <f t="shared" si="14"/>
        <v>29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29.8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82" s="69">
        <f t="shared" si="15"/>
        <v>-0.80000000000000071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30.2</v>
      </c>
      <c r="L183" s="66">
        <v>31.4</v>
      </c>
      <c r="M183" s="66">
        <v>28.8</v>
      </c>
      <c r="N183" s="66">
        <v>29.6</v>
      </c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4</v>
      </c>
      <c r="AQ183" s="68" t="str">
        <f t="shared" si="12"/>
        <v/>
      </c>
      <c r="AR183" s="68">
        <f>IFERROR(VLOOKUP(A183,Climatologia_TMAX!A:U,9+$E$2,FALSE),"")</f>
        <v>27.239077646938501</v>
      </c>
      <c r="AS183" s="68" t="str">
        <f t="shared" si="13"/>
        <v/>
      </c>
      <c r="AT183" s="74">
        <f t="shared" si="14"/>
        <v>31.4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32.6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83" s="69">
        <f t="shared" si="15"/>
        <v>-1.2000000000000028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17.600000000000001</v>
      </c>
      <c r="M184" s="66">
        <v>15.8</v>
      </c>
      <c r="N184" s="66">
        <v>15.6</v>
      </c>
      <c r="O184" s="66"/>
      <c r="P184" s="66"/>
      <c r="Q184" s="66"/>
      <c r="R184" s="66"/>
      <c r="S184" s="66"/>
      <c r="T184" s="66"/>
      <c r="U184" s="109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4</v>
      </c>
      <c r="AQ184" s="68" t="str">
        <f t="shared" si="12"/>
        <v/>
      </c>
      <c r="AR184" s="68">
        <f>IFERROR(VLOOKUP(A184,Climatologia_TMAX!A:U,9+$E$2,FALSE),"")</f>
        <v>14.56273340748981</v>
      </c>
      <c r="AS184" s="68" t="str">
        <f t="shared" si="13"/>
        <v/>
      </c>
      <c r="AT184" s="74">
        <f t="shared" si="14"/>
        <v>17.8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20.8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38573</v>
      </c>
      <c r="AW184" s="69">
        <f t="shared" si="15"/>
        <v>-3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/>
      <c r="L185" s="66">
        <v>33.200000000000003</v>
      </c>
      <c r="M185" s="66">
        <v>32.200000000000003</v>
      </c>
      <c r="N185" s="66">
        <v>32.200000000000003</v>
      </c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3</v>
      </c>
      <c r="AQ185" s="68" t="str">
        <f t="shared" si="12"/>
        <v/>
      </c>
      <c r="AR185" s="68">
        <f>IFERROR(VLOOKUP(A185,Climatologia_TMAX!A:U,9+$E$2,FALSE),"")</f>
        <v>28.271515834024871</v>
      </c>
      <c r="AS185" s="68" t="str">
        <f t="shared" si="13"/>
        <v/>
      </c>
      <c r="AT185" s="74">
        <f t="shared" si="14"/>
        <v>33.200000000000003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42583</v>
      </c>
      <c r="AW185" s="69">
        <f t="shared" si="15"/>
        <v>0.40000000000000568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30.6</v>
      </c>
      <c r="L186" s="66">
        <v>31.4</v>
      </c>
      <c r="M186" s="66">
        <v>29.6</v>
      </c>
      <c r="N186" s="66">
        <v>29.2</v>
      </c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4</v>
      </c>
      <c r="AQ186" s="68" t="str">
        <f t="shared" si="12"/>
        <v/>
      </c>
      <c r="AR186" s="68">
        <f>IFERROR(VLOOKUP(A186,Climatologia_TMAX!A:U,9+$E$2,FALSE),"")</f>
        <v>28.080800691244239</v>
      </c>
      <c r="AS186" s="68" t="str">
        <f t="shared" si="13"/>
        <v/>
      </c>
      <c r="AT186" s="74">
        <f t="shared" si="14"/>
        <v>31.4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37469</v>
      </c>
      <c r="AW186" s="69">
        <f t="shared" si="15"/>
        <v>-0.60000000000000142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27.4</v>
      </c>
      <c r="L187" s="66">
        <v>28.6</v>
      </c>
      <c r="M187" s="66">
        <v>27</v>
      </c>
      <c r="N187" s="66">
        <v>27.2</v>
      </c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4</v>
      </c>
      <c r="AQ187" s="68" t="str">
        <f t="shared" si="12"/>
        <v/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28.6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7" s="69">
        <f t="shared" si="15"/>
        <v>-0.79999999999999716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13.8</v>
      </c>
      <c r="L188" s="66">
        <v>13.8</v>
      </c>
      <c r="M188" s="66">
        <v>13.2</v>
      </c>
      <c r="N188" s="66">
        <v>10.8</v>
      </c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4</v>
      </c>
      <c r="AQ188" s="68" t="str">
        <f t="shared" si="12"/>
        <v/>
      </c>
      <c r="AR188" s="68">
        <f>IFERROR(VLOOKUP(A188,Climatologia_TMAX!A:U,9+$E$2,FALSE),"")</f>
        <v>13.20223385477499</v>
      </c>
      <c r="AS188" s="68" t="str">
        <f t="shared" si="13"/>
        <v/>
      </c>
      <c r="AT188" s="74">
        <f t="shared" si="14"/>
        <v>13.8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88" s="69">
        <f t="shared" si="15"/>
        <v>-3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39.200000000000003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38.799999999999997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/>
      <c r="L191" s="66">
        <v>37.799999999999997</v>
      </c>
      <c r="M191" s="66">
        <v>36</v>
      </c>
      <c r="N191" s="66">
        <v>36.6</v>
      </c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3</v>
      </c>
      <c r="AQ191" s="68" t="str">
        <f t="shared" si="12"/>
        <v/>
      </c>
      <c r="AR191" s="68">
        <f>IFERROR(VLOOKUP(A191,Climatologia_TMAX!A:U,9+$E$2,FALSE),"")</f>
        <v>34.386602574288887</v>
      </c>
      <c r="AS191" s="68" t="str">
        <f t="shared" si="13"/>
        <v/>
      </c>
      <c r="AT191" s="74">
        <f t="shared" si="14"/>
        <v>37.799999999999997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39.6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45512</v>
      </c>
      <c r="AW191" s="69">
        <f t="shared" si="15"/>
        <v>-1.8000000000000043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32.200000000000003</v>
      </c>
      <c r="L192" s="66"/>
      <c r="M192" s="66">
        <v>31.6</v>
      </c>
      <c r="N192" s="66">
        <v>31.8</v>
      </c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3</v>
      </c>
      <c r="AQ192" s="68" t="str">
        <f t="shared" si="12"/>
        <v/>
      </c>
      <c r="AR192" s="68">
        <f>IFERROR(VLOOKUP(A192,Climatologia_TMAX!A:U,9+$E$2,FALSE),"")</f>
        <v>30.53754007980649</v>
      </c>
      <c r="AS192" s="68" t="str">
        <f t="shared" si="13"/>
        <v/>
      </c>
      <c r="AT192" s="74">
        <f t="shared" si="14"/>
        <v>32.200000000000003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35.5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38212</v>
      </c>
      <c r="AW192" s="69">
        <f t="shared" si="15"/>
        <v>-3.2999999999999972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36.4</v>
      </c>
      <c r="L193" s="66">
        <v>35</v>
      </c>
      <c r="M193" s="66">
        <v>34.799999999999997</v>
      </c>
      <c r="N193" s="66">
        <v>32.6</v>
      </c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4</v>
      </c>
      <c r="AQ193" s="68" t="str">
        <f t="shared" si="12"/>
        <v/>
      </c>
      <c r="AR193" s="68">
        <f>IFERROR(VLOOKUP(A193,Climatologia_TMAX!A:U,9+$E$2,FALSE),"")</f>
        <v>32.604882188186302</v>
      </c>
      <c r="AS193" s="68" t="str">
        <f t="shared" si="13"/>
        <v/>
      </c>
      <c r="AT193" s="74">
        <f t="shared" si="14"/>
        <v>36.4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93" s="69">
        <f t="shared" si="15"/>
        <v>-0.39999999999999858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38</v>
      </c>
      <c r="L194" s="66">
        <v>38.200000000000003</v>
      </c>
      <c r="M194" s="66">
        <v>37.4</v>
      </c>
      <c r="N194" s="66">
        <v>35</v>
      </c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4</v>
      </c>
      <c r="AQ194" s="68" t="str">
        <f t="shared" si="12"/>
        <v/>
      </c>
      <c r="AR194" s="68">
        <f>IFERROR(VLOOKUP(A194,Climatologia_TMAX!A:U,9+$E$2,FALSE),"")</f>
        <v>33.982628113224877</v>
      </c>
      <c r="AS194" s="68" t="str">
        <f t="shared" si="13"/>
        <v/>
      </c>
      <c r="AT194" s="74">
        <f t="shared" si="14"/>
        <v>38.200000000000003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39.4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35669</v>
      </c>
      <c r="AW194" s="69">
        <f t="shared" si="15"/>
        <v>-1.1999999999999957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33.192794882320747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36.799999999999997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35663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28.320294426781651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34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38208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/>
      <c r="L197" s="66">
        <v>36.200000000000003</v>
      </c>
      <c r="M197" s="66">
        <v>35.200000000000003</v>
      </c>
      <c r="N197" s="66">
        <v>33.799999999999997</v>
      </c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3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33.32113210309651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36.200000000000003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38.4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37126</v>
      </c>
      <c r="AW197" s="69">
        <f t="shared" ref="AW197:AW260" si="20">IF(OR(AT197="",AU197=""),"NA",IFERROR(AT197-AU197,"NA"))</f>
        <v>-2.1999999999999957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31.569636633296259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</v>
      </c>
      <c r="L199" s="66">
        <v>36.799999999999997</v>
      </c>
      <c r="M199" s="66">
        <v>35</v>
      </c>
      <c r="N199" s="66">
        <v>34.200000000000003</v>
      </c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4</v>
      </c>
      <c r="AQ199" s="68" t="str">
        <f t="shared" si="17"/>
        <v/>
      </c>
      <c r="AR199" s="68">
        <f>IFERROR(VLOOKUP(A199,Climatologia_TMAX!A:U,9+$E$2,FALSE),"")</f>
        <v>32.492888905936347</v>
      </c>
      <c r="AS199" s="68" t="str">
        <f t="shared" si="18"/>
        <v/>
      </c>
      <c r="AT199" s="74">
        <f t="shared" si="19"/>
        <v>36.799999999999997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37.200000000000003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99" s="69">
        <f t="shared" si="20"/>
        <v>-0.40000000000000568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19.2</v>
      </c>
      <c r="L200" s="66">
        <v>19.600000000000001</v>
      </c>
      <c r="M200" s="66">
        <v>19.2</v>
      </c>
      <c r="N200" s="66">
        <v>18</v>
      </c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4</v>
      </c>
      <c r="AQ200" s="68" t="str">
        <f t="shared" si="17"/>
        <v/>
      </c>
      <c r="AR200" s="68">
        <f>IFERROR(VLOOKUP(A200,Climatologia_TMAX!A:U,9+$E$2,FALSE),"")</f>
        <v>17.735029868578259</v>
      </c>
      <c r="AS200" s="68" t="str">
        <f t="shared" si="18"/>
        <v/>
      </c>
      <c r="AT200" s="74">
        <f t="shared" si="19"/>
        <v>19.600000000000001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21.8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42964</v>
      </c>
      <c r="AW200" s="69">
        <f t="shared" si="20"/>
        <v>-2.1999999999999993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>
        <v>26.2</v>
      </c>
      <c r="L201" s="66">
        <v>26.4</v>
      </c>
      <c r="M201" s="66">
        <v>25</v>
      </c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3</v>
      </c>
      <c r="AQ201" s="68" t="str">
        <f t="shared" si="17"/>
        <v/>
      </c>
      <c r="AR201" s="68">
        <f>IFERROR(VLOOKUP(A201,Climatologia_TMAX!A:U,9+$E$2,FALSE),"")</f>
        <v>22.75197498391692</v>
      </c>
      <c r="AS201" s="68" t="str">
        <f t="shared" si="18"/>
        <v/>
      </c>
      <c r="AT201" s="74">
        <f t="shared" si="19"/>
        <v>26.4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38200</v>
      </c>
      <c r="AW201" s="69">
        <f t="shared" si="20"/>
        <v>-1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25.85756280925165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31.4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20.6</v>
      </c>
      <c r="L203" s="66">
        <v>20.8</v>
      </c>
      <c r="M203" s="66">
        <v>21.4</v>
      </c>
      <c r="N203" s="66">
        <v>19.8</v>
      </c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4</v>
      </c>
      <c r="AQ203" s="68" t="str">
        <f t="shared" si="17"/>
        <v/>
      </c>
      <c r="AR203" s="68">
        <f>IFERROR(VLOOKUP(A203,Climatologia_TMAX!A:U,9+$E$2,FALSE),"")</f>
        <v>19.985882256004611</v>
      </c>
      <c r="AS203" s="68" t="str">
        <f t="shared" si="18"/>
        <v/>
      </c>
      <c r="AT203" s="74">
        <f t="shared" si="19"/>
        <v>21.4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23.4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41873</v>
      </c>
      <c r="AW203" s="69">
        <f t="shared" si="20"/>
        <v>-2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29.8</v>
      </c>
      <c r="L205" s="66">
        <v>28.2</v>
      </c>
      <c r="M205" s="66">
        <v>27.8</v>
      </c>
      <c r="N205" s="66">
        <v>28</v>
      </c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4</v>
      </c>
      <c r="AQ205" s="68" t="str">
        <f t="shared" si="17"/>
        <v/>
      </c>
      <c r="AR205" s="68">
        <f>IFERROR(VLOOKUP(A205,Climatologia_TMAX!A:U,9+$E$2,FALSE),"")</f>
        <v>26.486742471058381</v>
      </c>
      <c r="AS205" s="68" t="str">
        <f t="shared" si="18"/>
        <v/>
      </c>
      <c r="AT205" s="74">
        <f t="shared" si="19"/>
        <v>29.8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30168</v>
      </c>
      <c r="AW205" s="69">
        <f t="shared" si="20"/>
        <v>-0.19999999999999929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34.212768096238612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31627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27.283254501648688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32.4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34.799999999999997</v>
      </c>
      <c r="L208" s="66">
        <v>34.799999999999997</v>
      </c>
      <c r="M208" s="66">
        <v>33.799999999999997</v>
      </c>
      <c r="N208" s="66">
        <v>34</v>
      </c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113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4</v>
      </c>
      <c r="AQ208" s="68" t="str">
        <f t="shared" si="17"/>
        <v/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34.799999999999997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35.5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36030</v>
      </c>
      <c r="AW208" s="69">
        <f t="shared" si="20"/>
        <v>-0.70000000000000284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26</v>
      </c>
      <c r="M209" s="66">
        <v>24.6</v>
      </c>
      <c r="N209" s="66">
        <v>23.8</v>
      </c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4</v>
      </c>
      <c r="AQ209" s="68" t="str">
        <f t="shared" si="17"/>
        <v/>
      </c>
      <c r="AR209" s="68">
        <f>IFERROR(VLOOKUP(A209,Climatologia_TMAX!A:U,9+$E$2,FALSE),"")</f>
        <v>24.015476455320719</v>
      </c>
      <c r="AS209" s="68" t="str">
        <f t="shared" si="18"/>
        <v/>
      </c>
      <c r="AT209" s="74">
        <f t="shared" si="19"/>
        <v>26.6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28.2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209" s="69">
        <f t="shared" si="20"/>
        <v>-1.5999999999999979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32.799999999999997</v>
      </c>
      <c r="L210" s="66">
        <v>32.200000000000003</v>
      </c>
      <c r="M210" s="66">
        <v>31.6</v>
      </c>
      <c r="N210" s="66">
        <v>30.2</v>
      </c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4</v>
      </c>
      <c r="AQ210" s="68" t="str">
        <f t="shared" si="17"/>
        <v/>
      </c>
      <c r="AR210" s="68">
        <f>IFERROR(VLOOKUP(A210,Climatologia_TMAX!A:U,9+$E$2,FALSE),"")</f>
        <v>29.654423963133631</v>
      </c>
      <c r="AS210" s="68" t="str">
        <f t="shared" si="18"/>
        <v/>
      </c>
      <c r="AT210" s="74">
        <f t="shared" si="19"/>
        <v>32.799999999999997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210" s="69">
        <f t="shared" si="20"/>
        <v>-0.60000000000000142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29.450205936245052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34.200000000000003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34.395185965005197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28</v>
      </c>
      <c r="L214" s="66">
        <v>33</v>
      </c>
      <c r="M214" s="66">
        <v>28</v>
      </c>
      <c r="N214" s="66">
        <v>32</v>
      </c>
      <c r="O214" s="66"/>
      <c r="P214" s="66"/>
      <c r="Q214" s="66"/>
      <c r="R214" s="66"/>
      <c r="S214" s="66"/>
      <c r="T214" s="109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4</v>
      </c>
      <c r="AQ214" s="68" t="str">
        <f t="shared" si="17"/>
        <v/>
      </c>
      <c r="AR214" s="68">
        <f>IFERROR(VLOOKUP(A214,Climatologia_TMAX!A:U,9+$E$2,FALSE),"")</f>
        <v>29.107319792911181</v>
      </c>
      <c r="AS214" s="68" t="str">
        <f t="shared" si="18"/>
        <v/>
      </c>
      <c r="AT214" s="74">
        <f t="shared" si="19"/>
        <v>33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14" s="69">
        <f t="shared" si="20"/>
        <v>-2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33.815831588677668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35662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27.8</v>
      </c>
      <c r="M216" s="66">
        <v>27.8</v>
      </c>
      <c r="N216" s="66">
        <v>27</v>
      </c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4</v>
      </c>
      <c r="AQ216" s="68" t="str">
        <f t="shared" si="17"/>
        <v/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27.8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29.4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38215</v>
      </c>
      <c r="AW216" s="69">
        <f t="shared" si="20"/>
        <v>-1.5999999999999979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26.8</v>
      </c>
      <c r="M217" s="66">
        <v>26.2</v>
      </c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3</v>
      </c>
      <c r="AQ217" s="68" t="str">
        <f t="shared" si="17"/>
        <v/>
      </c>
      <c r="AR217" s="68">
        <f>IFERROR(VLOOKUP(A217,Climatologia_TMAX!A:U,9+$E$2,FALSE),"")</f>
        <v>23.98799853208218</v>
      </c>
      <c r="AS217" s="68" t="str">
        <f t="shared" si="18"/>
        <v/>
      </c>
      <c r="AT217" s="74">
        <f t="shared" si="19"/>
        <v>26.8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31.6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45896</v>
      </c>
      <c r="AW217" s="69">
        <f t="shared" si="20"/>
        <v>-4.8000000000000007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30.176612903225809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34.4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32004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30.76215402735065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21.522857738757349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17.2</v>
      </c>
      <c r="L221" s="66">
        <v>19</v>
      </c>
      <c r="M221" s="109">
        <v>17</v>
      </c>
      <c r="N221" s="66">
        <v>16</v>
      </c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4</v>
      </c>
      <c r="AQ221" s="68" t="str">
        <f t="shared" si="17"/>
        <v/>
      </c>
      <c r="AR221" s="68">
        <f>IFERROR(VLOOKUP(A221,Climatologia_TMAX!A:U,9+$E$2,FALSE),"")</f>
        <v>15.966759634455681</v>
      </c>
      <c r="AS221" s="68" t="str">
        <f t="shared" si="18"/>
        <v/>
      </c>
      <c r="AT221" s="74">
        <f t="shared" si="19"/>
        <v>19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45161</v>
      </c>
      <c r="AW221" s="69">
        <f t="shared" si="20"/>
        <v>-2.1999999999999993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25</v>
      </c>
      <c r="L222" s="66">
        <v>26.2</v>
      </c>
      <c r="M222" s="66">
        <v>23.8</v>
      </c>
      <c r="N222" s="66">
        <v>24.6</v>
      </c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4</v>
      </c>
      <c r="AQ222" s="68" t="str">
        <f t="shared" si="17"/>
        <v/>
      </c>
      <c r="AR222" s="68">
        <f>IFERROR(VLOOKUP(A222,Climatologia_TMAX!A:U,9+$E$2,FALSE),"")</f>
        <v>22.71125914315569</v>
      </c>
      <c r="AS222" s="68" t="str">
        <f t="shared" si="18"/>
        <v/>
      </c>
      <c r="AT222" s="74">
        <f t="shared" si="19"/>
        <v>26.2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22" s="69">
        <f t="shared" si="20"/>
        <v>-2.6000000000000014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33.4</v>
      </c>
      <c r="L224" s="66">
        <v>34.200000000000003</v>
      </c>
      <c r="M224" s="66">
        <v>30.4</v>
      </c>
      <c r="N224" s="66">
        <v>32.6</v>
      </c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4</v>
      </c>
      <c r="AQ224" s="68" t="str">
        <f t="shared" si="17"/>
        <v/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34.200000000000003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24" s="69">
        <f t="shared" si="20"/>
        <v>-1.3999999999999986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24.660332241585309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30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32.411369552914543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30.283376344086019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39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30545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24.77470115172828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31.8</v>
      </c>
      <c r="L231" s="66">
        <v>34.200000000000003</v>
      </c>
      <c r="M231" s="66">
        <v>30.6</v>
      </c>
      <c r="N231" s="66">
        <v>33.200000000000003</v>
      </c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114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4</v>
      </c>
      <c r="AQ231" s="68" t="str">
        <f t="shared" si="17"/>
        <v/>
      </c>
      <c r="AR231" s="68">
        <f>IFERROR(VLOOKUP(A231,Climatologia_TMAX!A:U,9+$E$2,FALSE),"")</f>
        <v>30.333152235427281</v>
      </c>
      <c r="AS231" s="68" t="str">
        <f t="shared" si="18"/>
        <v/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33.799999999999997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45520</v>
      </c>
      <c r="AW231" s="69">
        <f t="shared" si="20"/>
        <v>0.40000000000000568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30.47663771104796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37488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32.4</v>
      </c>
      <c r="L235" s="66">
        <v>34.4</v>
      </c>
      <c r="M235" s="66">
        <v>30.2</v>
      </c>
      <c r="N235" s="66">
        <v>33.200000000000003</v>
      </c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4</v>
      </c>
      <c r="AQ235" s="68" t="str">
        <f t="shared" si="17"/>
        <v/>
      </c>
      <c r="AR235" s="68">
        <f>IFERROR(VLOOKUP(A235,Climatologia_TMAX!A:U,9+$E$2,FALSE),"")</f>
        <v>30.387096774193552</v>
      </c>
      <c r="AS235" s="68" t="str">
        <f t="shared" si="18"/>
        <v/>
      </c>
      <c r="AT235" s="74">
        <f t="shared" si="19"/>
        <v>34.4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5" s="69">
        <f t="shared" si="20"/>
        <v>-0.60000000000000142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22.4204546517064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24.766085465331852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33.6</v>
      </c>
      <c r="L238" s="66">
        <v>32.4</v>
      </c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2</v>
      </c>
      <c r="AQ238" s="68" t="str">
        <f t="shared" si="17"/>
        <v/>
      </c>
      <c r="AR238" s="68">
        <f>IFERROR(VLOOKUP(A238,Climatologia_TMAX!A:U,9+$E$2,FALSE),"")</f>
        <v>30.317402116402121</v>
      </c>
      <c r="AS238" s="68" t="str">
        <f t="shared" si="18"/>
        <v/>
      </c>
      <c r="AT238" s="74">
        <f t="shared" si="19"/>
        <v>33.6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35.4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30185</v>
      </c>
      <c r="AW238" s="69">
        <f t="shared" si="20"/>
        <v>-1.7999999999999972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22.417301075268821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26.2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25.2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45871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25.302151762301531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34210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31.294630312851758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38.1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28.4</v>
      </c>
      <c r="L244" s="66">
        <v>28</v>
      </c>
      <c r="M244" s="66">
        <v>27</v>
      </c>
      <c r="N244" s="66">
        <v>27.2</v>
      </c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4</v>
      </c>
      <c r="AQ244" s="68" t="str">
        <f t="shared" si="17"/>
        <v/>
      </c>
      <c r="AR244" s="68">
        <f>IFERROR(VLOOKUP(A244,Climatologia_TMAX!A:U,9+$E$2,FALSE),"")</f>
        <v>25.772090800477901</v>
      </c>
      <c r="AS244" s="68" t="str">
        <f t="shared" si="18"/>
        <v/>
      </c>
      <c r="AT244" s="74">
        <f t="shared" si="19"/>
        <v>28.4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30.4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33102</v>
      </c>
      <c r="AW244" s="69">
        <f t="shared" si="20"/>
        <v>-2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35.20415902545399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42.4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37134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34.6</v>
      </c>
      <c r="L246" s="66">
        <v>35.4</v>
      </c>
      <c r="M246" s="66">
        <v>33.6</v>
      </c>
      <c r="N246" s="66">
        <v>34.4</v>
      </c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4</v>
      </c>
      <c r="AQ246" s="68" t="str">
        <f t="shared" si="17"/>
        <v/>
      </c>
      <c r="AR246" s="68">
        <f>IFERROR(VLOOKUP(A246,Climatologia_TMAX!A:U,9+$E$2,FALSE),"")</f>
        <v>30.365280795815501</v>
      </c>
      <c r="AS246" s="68" t="str">
        <f t="shared" si="18"/>
        <v/>
      </c>
      <c r="AT246" s="74">
        <f t="shared" si="19"/>
        <v>35.4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36.4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6" s="69">
        <f t="shared" si="20"/>
        <v>-1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37.200000000000003</v>
      </c>
      <c r="L247" s="66">
        <v>38.6</v>
      </c>
      <c r="M247" s="66">
        <v>36.4</v>
      </c>
      <c r="N247" s="66">
        <v>38</v>
      </c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4</v>
      </c>
      <c r="AQ247" s="68" t="str">
        <f t="shared" si="17"/>
        <v/>
      </c>
      <c r="AR247" s="68">
        <f>IFERROR(VLOOKUP(A247,Climatologia_TMAX!A:U,9+$E$2,FALSE),"")</f>
        <v>35.840573622107357</v>
      </c>
      <c r="AS247" s="68" t="str">
        <f t="shared" si="18"/>
        <v/>
      </c>
      <c r="AT247" s="74">
        <f t="shared" si="19"/>
        <v>38.6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41.2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7" s="69">
        <f t="shared" si="20"/>
        <v>-2.6000000000000014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37.799999999999997</v>
      </c>
      <c r="L248" s="66">
        <v>38.4</v>
      </c>
      <c r="M248" s="66">
        <v>36.200000000000003</v>
      </c>
      <c r="N248" s="66">
        <v>38</v>
      </c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4</v>
      </c>
      <c r="AQ248" s="68" t="str">
        <f t="shared" si="17"/>
        <v/>
      </c>
      <c r="AR248" s="68">
        <f>IFERROR(VLOOKUP(A248,Climatologia_TMAX!A:U,9+$E$2,FALSE),"")</f>
        <v>34.327826313407613</v>
      </c>
      <c r="AS248" s="68" t="str">
        <f t="shared" si="18"/>
        <v/>
      </c>
      <c r="AT248" s="74">
        <f t="shared" si="19"/>
        <v>38.4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39.200000000000003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48" s="69">
        <f t="shared" si="20"/>
        <v>-0.80000000000000426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32.6</v>
      </c>
      <c r="M249" s="66">
        <v>32.4</v>
      </c>
      <c r="N249" s="66">
        <v>32.200000000000003</v>
      </c>
      <c r="O249" s="66"/>
      <c r="P249" s="66"/>
      <c r="Q249" s="66"/>
      <c r="R249" s="66"/>
      <c r="S249" s="66"/>
      <c r="T249" s="66"/>
      <c r="U249" s="66"/>
      <c r="V249" s="66"/>
      <c r="W249" s="106"/>
      <c r="X249" s="66"/>
      <c r="Y249" s="10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4</v>
      </c>
      <c r="AQ249" s="68" t="str">
        <f t="shared" si="17"/>
        <v/>
      </c>
      <c r="AR249" s="68">
        <f>IFERROR(VLOOKUP(A249,Climatologia_TMAX!A:U,9+$E$2,FALSE),"")</f>
        <v>31.369964157706089</v>
      </c>
      <c r="AS249" s="68" t="str">
        <f t="shared" si="18"/>
        <v/>
      </c>
      <c r="AT249" s="74">
        <f t="shared" si="19"/>
        <v>32.6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36.200000000000003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249" s="69">
        <f t="shared" si="20"/>
        <v>-3.6000000000000014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38.4</v>
      </c>
      <c r="L250" s="66">
        <v>39.4</v>
      </c>
      <c r="M250" s="66">
        <v>39.4</v>
      </c>
      <c r="N250" s="66">
        <v>38.6</v>
      </c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4</v>
      </c>
      <c r="AQ250" s="68" t="str">
        <f t="shared" si="17"/>
        <v/>
      </c>
      <c r="AR250" s="68">
        <f>IFERROR(VLOOKUP(A250,Climatologia_TMAX!A:U,9+$E$2,FALSE),"")</f>
        <v>36.452131073091188</v>
      </c>
      <c r="AS250" s="68" t="str">
        <f t="shared" si="18"/>
        <v/>
      </c>
      <c r="AT250" s="74">
        <f t="shared" si="19"/>
        <v>39.4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42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30542</v>
      </c>
      <c r="AW250" s="69">
        <f t="shared" si="20"/>
        <v>-2.6000000000000014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35.271240497030263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40.6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40.200000000000003</v>
      </c>
      <c r="L252" s="66">
        <v>39.799999999999997</v>
      </c>
      <c r="M252" s="66">
        <v>38.4</v>
      </c>
      <c r="N252" s="66">
        <v>39.799999999999997</v>
      </c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4</v>
      </c>
      <c r="AQ252" s="68" t="str">
        <f t="shared" si="17"/>
        <v/>
      </c>
      <c r="AR252" s="68">
        <f>IFERROR(VLOOKUP(A252,Climatologia_TMAX!A:U,9+$E$2,FALSE),"")</f>
        <v>35.220558268183389</v>
      </c>
      <c r="AS252" s="68" t="str">
        <f t="shared" si="18"/>
        <v/>
      </c>
      <c r="AT252" s="74">
        <f t="shared" si="19"/>
        <v>40.200000000000003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42241</v>
      </c>
      <c r="AW252" s="69">
        <f t="shared" si="20"/>
        <v>0.20000000000000284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36.609312460867521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37.6</v>
      </c>
      <c r="M255" s="66">
        <v>35.799999999999997</v>
      </c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114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3</v>
      </c>
      <c r="AQ255" s="68" t="str">
        <f t="shared" si="17"/>
        <v/>
      </c>
      <c r="AR255" s="68">
        <f>IFERROR(VLOOKUP(A255,Climatologia_TMAX!A:U,9+$E$2,FALSE),"")</f>
        <v>33.060314020206199</v>
      </c>
      <c r="AS255" s="68" t="str">
        <f t="shared" si="18"/>
        <v/>
      </c>
      <c r="AT255" s="74">
        <f t="shared" si="19"/>
        <v>37.6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38.799999999999997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255" s="69">
        <f t="shared" si="20"/>
        <v>-1.1999999999999957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32.964968080936487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37.6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35.058304061828103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40.200000000000003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36390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25.8</v>
      </c>
      <c r="L258" s="66">
        <v>27.2</v>
      </c>
      <c r="M258" s="66">
        <v>25.6</v>
      </c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3</v>
      </c>
      <c r="AQ258" s="68" t="str">
        <f t="shared" si="17"/>
        <v/>
      </c>
      <c r="AR258" s="68">
        <f>IFERROR(VLOOKUP(A258,Climatologia_TMAX!A:U,9+$E$2,FALSE),"")</f>
        <v>23.450636822409319</v>
      </c>
      <c r="AS258" s="68" t="str">
        <f t="shared" si="18"/>
        <v/>
      </c>
      <c r="AT258" s="74">
        <f t="shared" si="19"/>
        <v>27.2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30539</v>
      </c>
      <c r="AW258" s="69">
        <f t="shared" si="20"/>
        <v>-1.1999999999999993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27.2</v>
      </c>
      <c r="L259" s="66">
        <v>28</v>
      </c>
      <c r="M259" s="66">
        <v>27.8</v>
      </c>
      <c r="N259" s="66">
        <v>27.2</v>
      </c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4</v>
      </c>
      <c r="AQ259" s="68" t="str">
        <f t="shared" si="17"/>
        <v/>
      </c>
      <c r="AR259" s="68">
        <f>IFERROR(VLOOKUP(A259,Climatologia_TMAX!A:U,9+$E$2,FALSE),"")</f>
        <v>26.859267723583631</v>
      </c>
      <c r="AS259" s="68" t="str">
        <f t="shared" si="18"/>
        <v/>
      </c>
      <c r="AT259" s="74">
        <f t="shared" si="19"/>
        <v>28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31.8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34573</v>
      </c>
      <c r="AW259" s="69">
        <f t="shared" si="20"/>
        <v>-3.8000000000000007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22.2</v>
      </c>
      <c r="L260" s="66">
        <v>23</v>
      </c>
      <c r="M260" s="66">
        <v>22.8</v>
      </c>
      <c r="N260" s="66">
        <v>22.2</v>
      </c>
      <c r="O260" s="66"/>
      <c r="P260" s="66"/>
      <c r="Q260" s="66"/>
      <c r="R260" s="66"/>
      <c r="S260" s="66"/>
      <c r="T260" s="66"/>
      <c r="U260" s="66"/>
      <c r="V260" s="66"/>
      <c r="W260" s="109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4</v>
      </c>
      <c r="AQ260" s="68" t="str">
        <f t="shared" si="17"/>
        <v/>
      </c>
      <c r="AR260" s="68">
        <f>IFERROR(VLOOKUP(A260,Climatologia_TMAX!A:U,9+$E$2,FALSE),"")</f>
        <v>18.882112739608111</v>
      </c>
      <c r="AS260" s="68" t="str">
        <f t="shared" si="18"/>
        <v/>
      </c>
      <c r="AT260" s="74">
        <f t="shared" si="19"/>
        <v>23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40028</v>
      </c>
      <c r="AW260" s="69">
        <f t="shared" si="20"/>
        <v>-0.19999999999999929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36.799999999999997</v>
      </c>
      <c r="L261" s="66">
        <v>37.200000000000003</v>
      </c>
      <c r="M261" s="66">
        <v>36.6</v>
      </c>
      <c r="N261" s="66">
        <v>36.799999999999997</v>
      </c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4</v>
      </c>
      <c r="AQ261" s="68" t="str">
        <f t="shared" ref="AQ261:AQ324" si="22">IF(AP261&gt;14,AVERAGE(K261:AO261),"")</f>
        <v/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37.200000000000003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261" s="69">
        <f t="shared" ref="AW261:AW288" si="25">IF(OR(AT261="",AU261=""),"NA",IFERROR(AT261-AU261,"NA"))</f>
        <v>-1.3999999999999986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23.4</v>
      </c>
      <c r="M262" s="66">
        <v>23.6</v>
      </c>
      <c r="N262" s="66">
        <v>22.4</v>
      </c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4</v>
      </c>
      <c r="AQ262" s="68" t="str">
        <f t="shared" si="22"/>
        <v/>
      </c>
      <c r="AR262" s="68">
        <f>IFERROR(VLOOKUP(A262,Climatologia_TMAX!A:U,9+$E$2,FALSE),"")</f>
        <v>21.05350412968302</v>
      </c>
      <c r="AS262" s="68" t="str">
        <f t="shared" si="23"/>
        <v/>
      </c>
      <c r="AT262" s="74">
        <f t="shared" si="24"/>
        <v>23.6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24.8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37482</v>
      </c>
      <c r="AW262" s="69">
        <f t="shared" si="25"/>
        <v>-1.1999999999999993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15.637194928521399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/>
      <c r="L266" s="66">
        <v>19.399999999999999</v>
      </c>
      <c r="M266" s="66">
        <v>18</v>
      </c>
      <c r="N266" s="66">
        <v>17.8</v>
      </c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3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19.399999999999999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23.8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266" s="69">
        <f t="shared" si="25"/>
        <v>-4.4000000000000021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16.2</v>
      </c>
      <c r="N268" s="66">
        <v>15.6</v>
      </c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4</v>
      </c>
      <c r="AQ268" s="68" t="str">
        <f t="shared" si="22"/>
        <v/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19.5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38954</v>
      </c>
      <c r="AW268" s="69">
        <f t="shared" si="25"/>
        <v>-3.3000000000000007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18.8</v>
      </c>
      <c r="L269" s="66">
        <v>20.399999999999999</v>
      </c>
      <c r="M269" s="66">
        <v>19.399999999999999</v>
      </c>
      <c r="N269" s="66">
        <v>19</v>
      </c>
      <c r="O269" s="66"/>
      <c r="P269" s="66"/>
      <c r="Q269" s="66"/>
      <c r="R269" s="66"/>
      <c r="S269" s="66"/>
      <c r="T269" s="66"/>
      <c r="U269" s="109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4</v>
      </c>
      <c r="AQ269" s="68" t="str">
        <f t="shared" si="22"/>
        <v/>
      </c>
      <c r="AR269" s="68">
        <f>IFERROR(VLOOKUP(A269,Climatologia_TMAX!A:U,9+$E$2,FALSE),"")</f>
        <v>19.143200050320459</v>
      </c>
      <c r="AS269" s="68" t="str">
        <f t="shared" si="23"/>
        <v/>
      </c>
      <c r="AT269" s="74">
        <f t="shared" si="24"/>
        <v>20.399999999999999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45526</v>
      </c>
      <c r="AW269" s="69">
        <f t="shared" si="25"/>
        <v>-5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</v>
      </c>
      <c r="L270" s="66">
        <v>18.8</v>
      </c>
      <c r="M270" s="66">
        <v>18.600000000000001</v>
      </c>
      <c r="N270" s="66">
        <v>18.399999999999999</v>
      </c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4</v>
      </c>
      <c r="AQ270" s="68" t="str">
        <f t="shared" si="22"/>
        <v/>
      </c>
      <c r="AR270" s="68">
        <f>IFERROR(VLOOKUP(A270,Climatologia_TMAX!A:U,9+$E$2,FALSE),"")</f>
        <v>16.385184798575551</v>
      </c>
      <c r="AS270" s="68" t="str">
        <f t="shared" si="23"/>
        <v/>
      </c>
      <c r="AT270" s="74">
        <f t="shared" si="24"/>
        <v>19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45508</v>
      </c>
      <c r="AW270" s="69">
        <f t="shared" si="25"/>
        <v>-3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17.2</v>
      </c>
      <c r="L271" s="66">
        <v>17.399999999999999</v>
      </c>
      <c r="M271" s="66">
        <v>15.4</v>
      </c>
      <c r="N271" s="66">
        <v>15.8</v>
      </c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4</v>
      </c>
      <c r="AQ271" s="68" t="str">
        <f t="shared" si="22"/>
        <v/>
      </c>
      <c r="AR271" s="68">
        <f>IFERROR(VLOOKUP(A271,Climatologia_TMAX!A:U,9+$E$2,FALSE),"")</f>
        <v>17.371682824188088</v>
      </c>
      <c r="AS271" s="68" t="str">
        <f t="shared" si="23"/>
        <v/>
      </c>
      <c r="AT271" s="74">
        <f t="shared" si="24"/>
        <v>17.399999999999999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22.6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34188</v>
      </c>
      <c r="AW271" s="69">
        <f t="shared" si="25"/>
        <v>-5.2000000000000028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21</v>
      </c>
      <c r="L272" s="66">
        <v>22.4</v>
      </c>
      <c r="M272" s="66">
        <v>22.8</v>
      </c>
      <c r="N272" s="66">
        <v>20.6</v>
      </c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4</v>
      </c>
      <c r="AQ272" s="68" t="str">
        <f t="shared" si="22"/>
        <v/>
      </c>
      <c r="AR272" s="68">
        <f>IFERROR(VLOOKUP(A272,Climatologia_TMAX!A:U,9+$E$2,FALSE),"")</f>
        <v>20.524700215122909</v>
      </c>
      <c r="AS272" s="68" t="str">
        <f t="shared" si="23"/>
        <v/>
      </c>
      <c r="AT272" s="74">
        <f t="shared" si="24"/>
        <v>22.8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27.6</v>
      </c>
      <c r="L273" s="66">
        <v>28.2</v>
      </c>
      <c r="M273" s="66">
        <v>27.4</v>
      </c>
      <c r="N273" s="66">
        <v>27</v>
      </c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4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28.2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30.6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73" s="69">
        <f t="shared" si="25"/>
        <v>-2.4000000000000021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23.8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35671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11</v>
      </c>
      <c r="L275" s="66">
        <v>12.6</v>
      </c>
      <c r="M275" s="66">
        <v>12</v>
      </c>
      <c r="N275" s="66">
        <v>11.8</v>
      </c>
      <c r="O275" s="66"/>
      <c r="P275" s="66"/>
      <c r="Q275" s="66"/>
      <c r="R275" s="66"/>
      <c r="S275" s="66"/>
      <c r="T275" s="66"/>
      <c r="U275" s="109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4</v>
      </c>
      <c r="AQ275" s="68" t="str">
        <f t="shared" si="22"/>
        <v/>
      </c>
      <c r="AR275" s="68">
        <f>IFERROR(VLOOKUP(A275,Climatologia_TMAX!A:U,9+$E$2,FALSE),"")</f>
        <v>11.567283004043301</v>
      </c>
      <c r="AS275" s="68" t="str">
        <f t="shared" si="23"/>
        <v/>
      </c>
      <c r="AT275" s="74">
        <f t="shared" si="24"/>
        <v>12.6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75" s="69">
        <f t="shared" si="25"/>
        <v>-3.7999999999999989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38.4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21.41203839521415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32356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33.799999999999997</v>
      </c>
      <c r="L278" s="66">
        <v>35</v>
      </c>
      <c r="M278" s="66">
        <v>33.200000000000003</v>
      </c>
      <c r="N278" s="66">
        <v>33.4</v>
      </c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4</v>
      </c>
      <c r="AQ278" s="68" t="str">
        <f t="shared" si="22"/>
        <v/>
      </c>
      <c r="AR278" s="68">
        <f>IFERROR(VLOOKUP(A278,Climatologia_TMAX!A:U,9+$E$2,FALSE),"")</f>
        <v>31.62928722448812</v>
      </c>
      <c r="AS278" s="68" t="str">
        <f t="shared" si="23"/>
        <v/>
      </c>
      <c r="AT278" s="74">
        <f t="shared" si="24"/>
        <v>35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36.200000000000003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42607</v>
      </c>
      <c r="AW278" s="69">
        <f t="shared" si="25"/>
        <v>-1.2000000000000028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21.4</v>
      </c>
      <c r="M279" s="66">
        <v>20.2</v>
      </c>
      <c r="N279" s="66">
        <v>21.2</v>
      </c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4</v>
      </c>
      <c r="AQ279" s="68" t="str">
        <f t="shared" si="22"/>
        <v/>
      </c>
      <c r="AR279" s="68">
        <f>IFERROR(VLOOKUP(A279,Climatologia_TMAX!A:U,9+$E$2,FALSE),"")</f>
        <v>20.492876344086021</v>
      </c>
      <c r="AS279" s="68" t="str">
        <f t="shared" si="23"/>
        <v/>
      </c>
      <c r="AT279" s="74">
        <f t="shared" si="24"/>
        <v>21.4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38218</v>
      </c>
      <c r="AW279" s="69">
        <f t="shared" si="25"/>
        <v>-4.6000000000000014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33.6</v>
      </c>
      <c r="L280" s="66">
        <v>34.799999999999997</v>
      </c>
      <c r="M280" s="66">
        <v>32.4</v>
      </c>
      <c r="N280" s="66">
        <v>33.200000000000003</v>
      </c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4</v>
      </c>
      <c r="AQ280" s="68" t="str">
        <f t="shared" si="22"/>
        <v/>
      </c>
      <c r="AR280" s="68">
        <f>IFERROR(VLOOKUP(A280,Climatologia_TMAX!A:U,9+$E$2,FALSE),"")</f>
        <v>29.755468215712931</v>
      </c>
      <c r="AS280" s="68" t="str">
        <f t="shared" si="23"/>
        <v/>
      </c>
      <c r="AT280" s="74">
        <f t="shared" si="24"/>
        <v>34.799999999999997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34.799999999999997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80" s="69">
        <f t="shared" si="25"/>
        <v>0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23.8</v>
      </c>
      <c r="L281" s="66">
        <v>23.2</v>
      </c>
      <c r="M281" s="66">
        <v>21.8</v>
      </c>
      <c r="N281" s="66">
        <v>22.6</v>
      </c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4</v>
      </c>
      <c r="AQ281" s="68" t="str">
        <f t="shared" si="22"/>
        <v/>
      </c>
      <c r="AR281" s="68">
        <f>IFERROR(VLOOKUP(A281,Climatologia_TMAX!A:U,9+$E$2,FALSE),"")</f>
        <v>19.62978110599078</v>
      </c>
      <c r="AS281" s="68" t="str">
        <f t="shared" si="23"/>
        <v/>
      </c>
      <c r="AT281" s="74">
        <f t="shared" si="24"/>
        <v>23.8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15.95851436170426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20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36393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17.399999999999999</v>
      </c>
      <c r="L283" s="66">
        <v>19.2</v>
      </c>
      <c r="M283" s="66">
        <v>19.2</v>
      </c>
      <c r="N283" s="66">
        <v>18.600000000000001</v>
      </c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4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19.2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23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283" s="69">
        <f t="shared" si="25"/>
        <v>-3.8000000000000007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18.399999999999999</v>
      </c>
      <c r="L284" s="66">
        <v>19.600000000000001</v>
      </c>
      <c r="M284" s="66">
        <v>18.600000000000001</v>
      </c>
      <c r="N284" s="66">
        <v>17.2</v>
      </c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4</v>
      </c>
      <c r="AQ284" s="68" t="str">
        <f t="shared" si="22"/>
        <v/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19.600000000000001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22.8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44431</v>
      </c>
      <c r="AW284" s="69">
        <f t="shared" si="25"/>
        <v>-3.1999999999999993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20.6</v>
      </c>
      <c r="L285" s="66">
        <v>21</v>
      </c>
      <c r="M285" s="66">
        <v>19.8</v>
      </c>
      <c r="N285" s="66">
        <v>20.399999999999999</v>
      </c>
      <c r="O285" s="66"/>
      <c r="P285" s="66"/>
      <c r="Q285" s="66"/>
      <c r="R285" s="66"/>
      <c r="S285" s="66"/>
      <c r="T285" s="66"/>
      <c r="U285" s="109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4</v>
      </c>
      <c r="AQ285" s="68" t="str">
        <f t="shared" si="22"/>
        <v/>
      </c>
      <c r="AR285" s="68">
        <f>IFERROR(VLOOKUP(A285,Climatologia_TMAX!A:U,9+$E$2,FALSE),"")</f>
        <v>19.309961016360539</v>
      </c>
      <c r="AS285" s="68" t="str">
        <f t="shared" si="23"/>
        <v/>
      </c>
      <c r="AT285" s="74">
        <f t="shared" si="24"/>
        <v>21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23.8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285" s="69">
        <f t="shared" si="25"/>
        <v>-2.8000000000000007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29.88523778448717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37.6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35660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18.399999999999999</v>
      </c>
      <c r="L287" s="66">
        <v>22.2</v>
      </c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2</v>
      </c>
      <c r="AQ287" s="68" t="str">
        <f t="shared" si="22"/>
        <v/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45519</v>
      </c>
      <c r="AW287" s="69">
        <f t="shared" si="25"/>
        <v>0.19999999999999929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26.43118650825976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5" t="s">
        <v>540</v>
      </c>
      <c r="B1" s="116"/>
      <c r="C1" s="116"/>
      <c r="D1" s="116"/>
      <c r="E1" s="116"/>
      <c r="F1" s="116"/>
      <c r="G1" s="116"/>
      <c r="H1" s="116"/>
      <c r="I1" s="117"/>
      <c r="J1" s="118" t="s">
        <v>541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9" t="s">
        <v>542</v>
      </c>
      <c r="X1" s="117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3" t="s">
        <v>869</v>
      </c>
      <c r="B1" s="123" t="s">
        <v>7</v>
      </c>
      <c r="C1" s="123" t="s">
        <v>10</v>
      </c>
      <c r="D1" s="123" t="s">
        <v>9</v>
      </c>
      <c r="E1" s="123" t="s">
        <v>11</v>
      </c>
      <c r="F1" s="123" t="s">
        <v>15</v>
      </c>
      <c r="G1" s="123" t="s">
        <v>870</v>
      </c>
      <c r="H1" s="120" t="s">
        <v>871</v>
      </c>
      <c r="I1" s="121"/>
      <c r="J1" s="122"/>
      <c r="K1" s="120" t="s">
        <v>872</v>
      </c>
      <c r="L1" s="121"/>
      <c r="M1" s="122"/>
      <c r="N1" s="120" t="s">
        <v>873</v>
      </c>
      <c r="O1" s="121"/>
      <c r="P1" s="122"/>
      <c r="Q1" s="120" t="s">
        <v>874</v>
      </c>
      <c r="R1" s="121"/>
      <c r="S1" s="122"/>
      <c r="T1" s="120" t="s">
        <v>875</v>
      </c>
      <c r="U1" s="121"/>
      <c r="V1" s="122"/>
      <c r="W1" s="120" t="s">
        <v>876</v>
      </c>
      <c r="X1" s="121"/>
      <c r="Y1" s="122"/>
      <c r="Z1" s="120" t="s">
        <v>877</v>
      </c>
      <c r="AA1" s="121"/>
      <c r="AB1" s="122"/>
      <c r="AC1" s="120" t="s">
        <v>878</v>
      </c>
      <c r="AD1" s="121"/>
      <c r="AE1" s="122"/>
      <c r="AF1" s="120" t="s">
        <v>879</v>
      </c>
      <c r="AG1" s="121"/>
      <c r="AH1" s="122"/>
      <c r="AI1" s="120" t="s">
        <v>880</v>
      </c>
      <c r="AJ1" s="121"/>
      <c r="AK1" s="122"/>
      <c r="AL1" s="120" t="s">
        <v>881</v>
      </c>
      <c r="AM1" s="121"/>
      <c r="AN1" s="122"/>
      <c r="AO1" s="120" t="s">
        <v>882</v>
      </c>
      <c r="AP1" s="121"/>
      <c r="AQ1" s="122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4"/>
      <c r="B2" s="124"/>
      <c r="C2" s="124"/>
      <c r="D2" s="124"/>
      <c r="E2" s="124"/>
      <c r="F2" s="124"/>
      <c r="G2" s="124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04" width="11.42578125" style="42" customWidth="1"/>
    <col min="105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2026-08-05T15:01:12Z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2026-08-05T15:00:12Z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c28faa5b-df87-46ca-966c-5ba8fab954f7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