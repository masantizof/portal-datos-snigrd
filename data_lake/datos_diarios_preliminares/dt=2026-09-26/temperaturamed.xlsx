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2"/>
  <sheetViews>
    <sheetView tabSelected="1" topLeftCell="Q1" zoomScale="85" zoomScaleNormal="85" workbookViewId="0">
      <selection activeCell="AI5" sqref="AI5:AI31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59.42578125" bestFit="1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174"/>
    <col width="32.42578125" customWidth="1" style="50" min="175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9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Grupo Observación y Monitoreo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28.6</v>
      </c>
      <c r="L5" s="56" t="n">
        <v>30.1</v>
      </c>
      <c r="M5" s="56" t="n">
        <v>30</v>
      </c>
      <c r="N5" s="56" t="n">
        <v>30.3</v>
      </c>
      <c r="O5" s="56" t="n">
        <v>29.9</v>
      </c>
      <c r="P5" s="56" t="n">
        <v>30</v>
      </c>
      <c r="Q5" s="56" t="n">
        <v>29</v>
      </c>
      <c r="R5" s="56" t="n">
        <v>30.3</v>
      </c>
      <c r="S5" s="56" t="n">
        <v>30.2</v>
      </c>
      <c r="T5" s="56" t="n">
        <v>30</v>
      </c>
      <c r="U5" s="56" t="n">
        <v>30.4</v>
      </c>
      <c r="V5" s="56" t="n">
        <v>29.9</v>
      </c>
      <c r="W5" s="56" t="n">
        <v>30.4</v>
      </c>
      <c r="X5" s="56" t="n">
        <v>29.7</v>
      </c>
      <c r="Y5" s="56" t="n">
        <v>28.3</v>
      </c>
      <c r="Z5" s="56" t="n">
        <v>29</v>
      </c>
      <c r="AA5" s="56" t="n">
        <v>28.9</v>
      </c>
      <c r="AB5" s="56" t="n">
        <v>30</v>
      </c>
      <c r="AC5" s="56" t="n">
        <v>29.8</v>
      </c>
      <c r="AD5" s="56" t="n">
        <v>28.7</v>
      </c>
      <c r="AE5" s="56" t="n">
        <v>28.9</v>
      </c>
      <c r="AF5" s="56" t="n">
        <v>29.8</v>
      </c>
      <c r="AG5" s="56" t="n">
        <v>30</v>
      </c>
      <c r="AH5" s="56" t="n">
        <v>30.1</v>
      </c>
      <c r="AI5" s="56" t="n">
        <v>29.5</v>
      </c>
      <c r="AJ5" s="56" t="n"/>
      <c r="AK5" s="56" t="n"/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Grupo Observación y Monitoreo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28.2</v>
      </c>
      <c r="L6" s="56" t="n">
        <v>29.7</v>
      </c>
      <c r="M6" s="56" t="n">
        <v>29.8</v>
      </c>
      <c r="N6" s="56" t="n">
        <v>29.7</v>
      </c>
      <c r="O6" s="56" t="n">
        <v>29.9</v>
      </c>
      <c r="P6" s="56" t="n">
        <v>30.1</v>
      </c>
      <c r="Q6" s="56" t="n">
        <v>30.2</v>
      </c>
      <c r="R6" s="56" t="n">
        <v>30.6</v>
      </c>
      <c r="S6" s="56" t="n">
        <v>30.5</v>
      </c>
      <c r="T6" s="56" t="n">
        <v>30.1</v>
      </c>
      <c r="U6" s="56" t="n">
        <v>29.6</v>
      </c>
      <c r="V6" s="56" t="n">
        <v>30.1</v>
      </c>
      <c r="W6" s="56" t="n">
        <v>29.6</v>
      </c>
      <c r="X6" s="56" t="n">
        <v>30.1</v>
      </c>
      <c r="Y6" s="56" t="n">
        <v>29.7</v>
      </c>
      <c r="Z6" s="56" t="n">
        <v>29.9</v>
      </c>
      <c r="AA6" s="56" t="n">
        <v>29.2</v>
      </c>
      <c r="AB6" s="56" t="n">
        <v>30</v>
      </c>
      <c r="AC6" s="56" t="n">
        <v>30.3</v>
      </c>
      <c r="AD6" s="56" t="n">
        <v>28.7</v>
      </c>
      <c r="AE6" s="56" t="n">
        <v>27.7</v>
      </c>
      <c r="AF6" s="56" t="n">
        <v>29.9</v>
      </c>
      <c r="AG6" s="56" t="n">
        <v>29.6</v>
      </c>
      <c r="AH6" s="56" t="n">
        <v>30.3</v>
      </c>
      <c r="AI6" s="56" t="n">
        <v>30</v>
      </c>
      <c r="AJ6" s="56" t="n"/>
      <c r="AK6" s="56" t="n"/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Grupo Observación y Monitoreo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28.9</v>
      </c>
      <c r="L7" s="56" t="n">
        <v>31</v>
      </c>
      <c r="M7" s="56" t="n">
        <v>31.5</v>
      </c>
      <c r="N7" s="56" t="n">
        <v>31.4</v>
      </c>
      <c r="O7" s="56" t="n">
        <v>32.5</v>
      </c>
      <c r="P7" s="56" t="n">
        <v>31.2</v>
      </c>
      <c r="Q7" s="56" t="n">
        <v>30.7</v>
      </c>
      <c r="R7" s="56" t="n">
        <v>30.6</v>
      </c>
      <c r="S7" s="56" t="n">
        <v>32.8</v>
      </c>
      <c r="T7" s="56" t="n">
        <v>30.7</v>
      </c>
      <c r="U7" s="56" t="n">
        <v>31.5</v>
      </c>
      <c r="V7" s="56" t="n">
        <v>30.2</v>
      </c>
      <c r="W7" s="56" t="n">
        <v>31.5</v>
      </c>
      <c r="X7" s="56" t="n">
        <v>30.9</v>
      </c>
      <c r="Y7" s="56" t="n">
        <v>31.3</v>
      </c>
      <c r="Z7" s="56" t="n">
        <v>29.9</v>
      </c>
      <c r="AA7" s="56" t="n">
        <v>32.6</v>
      </c>
      <c r="AB7" s="56" t="n">
        <v>32.5</v>
      </c>
      <c r="AC7" s="56" t="n">
        <v>29.7</v>
      </c>
      <c r="AD7" s="56" t="n">
        <v>29.4</v>
      </c>
      <c r="AE7" s="56" t="n">
        <v>29.3</v>
      </c>
      <c r="AF7" s="56" t="n">
        <v>31</v>
      </c>
      <c r="AG7" s="56" t="n">
        <v>32.5</v>
      </c>
      <c r="AH7" s="56" t="n">
        <v>31</v>
      </c>
      <c r="AI7" s="56" t="n">
        <v>29.6</v>
      </c>
      <c r="AJ7" s="56" t="n"/>
      <c r="AK7" s="56" t="n"/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Grupo Observación y Monitoreo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29.8</v>
      </c>
      <c r="L8" s="56" t="n">
        <v>30.5</v>
      </c>
      <c r="M8" s="56" t="n">
        <v>30.5</v>
      </c>
      <c r="N8" s="56" t="n">
        <v>30.6</v>
      </c>
      <c r="O8" s="56" t="n">
        <v>31.7</v>
      </c>
      <c r="P8" s="56" t="n">
        <v>31.5</v>
      </c>
      <c r="Q8" s="56" t="n">
        <v>30.2</v>
      </c>
      <c r="R8" s="56" t="n">
        <v>31.1</v>
      </c>
      <c r="S8" s="56" t="n">
        <v>31.3</v>
      </c>
      <c r="T8" s="56" t="n">
        <v>31.2</v>
      </c>
      <c r="U8" s="56" t="n">
        <v>30.3</v>
      </c>
      <c r="V8" s="56" t="n">
        <v>30.6</v>
      </c>
      <c r="W8" s="56" t="n">
        <v>30.3</v>
      </c>
      <c r="X8" s="56" t="n">
        <v>29.8</v>
      </c>
      <c r="Y8" s="56" t="n">
        <v>29.5</v>
      </c>
      <c r="Z8" s="56" t="n">
        <v>29.7</v>
      </c>
      <c r="AA8" s="56" t="n">
        <v>30.2</v>
      </c>
      <c r="AB8" s="56" t="n">
        <v>31</v>
      </c>
      <c r="AC8" s="56" t="n"/>
      <c r="AD8" s="56" t="n">
        <v>29.9</v>
      </c>
      <c r="AE8" s="56" t="n">
        <v>29.2</v>
      </c>
      <c r="AF8" s="56" t="n">
        <v>29.8</v>
      </c>
      <c r="AG8" s="56" t="n">
        <v>30.9</v>
      </c>
      <c r="AH8" s="56" t="n">
        <v>30.9</v>
      </c>
      <c r="AI8" s="56" t="n">
        <v>30.6</v>
      </c>
      <c r="AJ8" s="56" t="n"/>
      <c r="AK8" s="56" t="n"/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Grupo Observación y Monitoreo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29.8</v>
      </c>
      <c r="L9" s="56" t="n">
        <v>30.4</v>
      </c>
      <c r="M9" s="56" t="n">
        <v>30.4</v>
      </c>
      <c r="N9" s="56" t="n">
        <v>31</v>
      </c>
      <c r="O9" s="56" t="n">
        <v>29.6</v>
      </c>
      <c r="P9" s="56" t="n">
        <v>31.6</v>
      </c>
      <c r="Q9" s="56" t="n">
        <v>30.1</v>
      </c>
      <c r="R9" s="56" t="n">
        <v>30.7</v>
      </c>
      <c r="S9" s="56" t="n">
        <v>31</v>
      </c>
      <c r="T9" s="56" t="n">
        <v>30.8</v>
      </c>
      <c r="U9" s="56" t="n">
        <v>30.1</v>
      </c>
      <c r="V9" s="56" t="n">
        <v>30.1</v>
      </c>
      <c r="W9" s="56" t="n">
        <v>30.1</v>
      </c>
      <c r="X9" s="56" t="n">
        <v>29.8</v>
      </c>
      <c r="Y9" s="56" t="n">
        <v>30</v>
      </c>
      <c r="Z9" s="56" t="n">
        <v>29.2</v>
      </c>
      <c r="AA9" s="56" t="n">
        <v>29.4</v>
      </c>
      <c r="AB9" s="56" t="n">
        <v>32.5</v>
      </c>
      <c r="AC9" s="56" t="n">
        <v>28.6</v>
      </c>
      <c r="AD9" s="56" t="n">
        <v>29.9</v>
      </c>
      <c r="AE9" s="56" t="n"/>
      <c r="AF9" s="56" t="n">
        <v>30.1</v>
      </c>
      <c r="AG9" s="56" t="n">
        <v>30.7</v>
      </c>
      <c r="AH9" s="56" t="n">
        <v>30.4</v>
      </c>
      <c r="AI9" s="56" t="n">
        <v>29.5</v>
      </c>
      <c r="AJ9" s="56" t="n"/>
      <c r="AK9" s="56" t="n"/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Grupo Observación y Monitoreo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29.7</v>
      </c>
      <c r="L10" s="56" t="n">
        <v>30.5</v>
      </c>
      <c r="M10" s="56" t="n">
        <v>33.3</v>
      </c>
      <c r="N10" s="56" t="n">
        <v>31.3</v>
      </c>
      <c r="O10" s="56" t="n">
        <v>32.5</v>
      </c>
      <c r="P10" s="56" t="n">
        <v>33.3</v>
      </c>
      <c r="Q10" s="56" t="n">
        <v>32.4</v>
      </c>
      <c r="R10" s="56" t="n">
        <v>33.9</v>
      </c>
      <c r="S10" s="56" t="n">
        <v>32.3</v>
      </c>
      <c r="T10" s="56" t="n">
        <v>32.5</v>
      </c>
      <c r="U10" s="56" t="n">
        <v>33.2</v>
      </c>
      <c r="V10" s="56" t="n">
        <v>32.9</v>
      </c>
      <c r="W10" s="56" t="n">
        <v>33.2</v>
      </c>
      <c r="X10" s="56" t="n">
        <v>31.4</v>
      </c>
      <c r="Y10" s="56" t="n">
        <v>30.3</v>
      </c>
      <c r="Z10" s="56" t="n">
        <v>32.5</v>
      </c>
      <c r="AA10" s="56" t="n">
        <v>30.4</v>
      </c>
      <c r="AB10" s="56" t="n">
        <v>33.1</v>
      </c>
      <c r="AC10" s="56" t="n">
        <v>28.7</v>
      </c>
      <c r="AD10" s="56" t="n">
        <v>28.8</v>
      </c>
      <c r="AE10" s="56" t="n">
        <v>29.6</v>
      </c>
      <c r="AF10" s="56" t="n">
        <v>29.8</v>
      </c>
      <c r="AG10" s="56" t="n">
        <v>30.5</v>
      </c>
      <c r="AH10" s="56" t="n">
        <v>31.7</v>
      </c>
      <c r="AI10" s="56" t="n">
        <v>31</v>
      </c>
      <c r="AJ10" s="56" t="n"/>
      <c r="AK10" s="56" t="n"/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Grupo Observación y Monitoreo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28.5</v>
      </c>
      <c r="L11" s="56" t="n">
        <v>31.6</v>
      </c>
      <c r="M11" s="56" t="n">
        <v>32.8</v>
      </c>
      <c r="N11" s="56" t="n">
        <v>33.5</v>
      </c>
      <c r="O11" s="56" t="n">
        <v>32.6</v>
      </c>
      <c r="P11" s="56" t="n">
        <v>31.5</v>
      </c>
      <c r="Q11" s="56" t="n">
        <v>30.9</v>
      </c>
      <c r="R11" s="56" t="n">
        <v>34.8</v>
      </c>
      <c r="S11" s="56" t="n">
        <v>34.5</v>
      </c>
      <c r="T11" s="56" t="n">
        <v>33.2</v>
      </c>
      <c r="U11" s="56" t="n">
        <v>32.9</v>
      </c>
      <c r="V11" s="56" t="n">
        <v>32.9</v>
      </c>
      <c r="W11" s="56" t="n">
        <v>32.9</v>
      </c>
      <c r="X11" s="56" t="n">
        <v>31.7</v>
      </c>
      <c r="Y11" s="56" t="n">
        <v>31.3</v>
      </c>
      <c r="Z11" s="56" t="n">
        <v>30.9</v>
      </c>
      <c r="AA11" s="56" t="n">
        <v>34.4</v>
      </c>
      <c r="AB11" s="56" t="n">
        <v>33.7</v>
      </c>
      <c r="AC11" s="56" t="n">
        <v>29.8</v>
      </c>
      <c r="AD11" s="56" t="n">
        <v>30.3</v>
      </c>
      <c r="AE11" s="56" t="n">
        <v>30</v>
      </c>
      <c r="AF11" s="56" t="n">
        <v>31.4</v>
      </c>
      <c r="AG11" s="56" t="n">
        <v>30.6</v>
      </c>
      <c r="AH11" s="56" t="n">
        <v>30.8</v>
      </c>
      <c r="AI11" s="56" t="n">
        <v>27.8</v>
      </c>
      <c r="AJ11" s="56" t="n"/>
      <c r="AK11" s="56" t="n"/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Grupo Observación y Monitoreo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29.7</v>
      </c>
      <c r="L12" s="56" t="n">
        <v>29.9</v>
      </c>
      <c r="M12" s="56" t="n">
        <v>30.5</v>
      </c>
      <c r="N12" s="56" t="n">
        <v>30.3</v>
      </c>
      <c r="O12" s="56" t="n">
        <v>29.5</v>
      </c>
      <c r="P12" s="56" t="n">
        <v>28.2</v>
      </c>
      <c r="Q12" s="56" t="n">
        <v>29.4</v>
      </c>
      <c r="R12" s="56" t="n">
        <v>31.4</v>
      </c>
      <c r="S12" s="56" t="n">
        <v>30.3</v>
      </c>
      <c r="T12" s="56" t="n">
        <v>28.3</v>
      </c>
      <c r="U12" s="56" t="n">
        <v>28.1</v>
      </c>
      <c r="V12" s="56" t="n">
        <v>30.2</v>
      </c>
      <c r="W12" s="56" t="n">
        <v>28.1</v>
      </c>
      <c r="X12" s="56" t="n">
        <v>29.4</v>
      </c>
      <c r="Y12" s="56" t="n">
        <v>28.2</v>
      </c>
      <c r="Z12" s="56" t="n">
        <v>28.9</v>
      </c>
      <c r="AA12" s="56" t="n">
        <v>31.9</v>
      </c>
      <c r="AB12" s="56" t="n">
        <v>31.3</v>
      </c>
      <c r="AC12" s="56" t="n"/>
      <c r="AD12" s="56" t="n">
        <v>29</v>
      </c>
      <c r="AE12" s="56" t="n">
        <v>28.9</v>
      </c>
      <c r="AF12" s="56" t="n">
        <v>29.2</v>
      </c>
      <c r="AG12" s="56" t="n">
        <v>28.5</v>
      </c>
      <c r="AH12" s="56" t="n">
        <v>29.8</v>
      </c>
      <c r="AI12" s="56" t="n">
        <v>29.5</v>
      </c>
      <c r="AJ12" s="56" t="n"/>
      <c r="AK12" s="56" t="n"/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Grupo Observación y Monitoreo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30.1</v>
      </c>
      <c r="L13" s="56" t="n">
        <v>29.9</v>
      </c>
      <c r="M13" s="56" t="n">
        <v>29.8</v>
      </c>
      <c r="N13" s="56" t="n">
        <v>31.1</v>
      </c>
      <c r="O13" s="56" t="n">
        <v>31.6</v>
      </c>
      <c r="P13" s="56" t="n">
        <v>29.5</v>
      </c>
      <c r="Q13" s="56" t="n">
        <v>30.7</v>
      </c>
      <c r="R13" s="56" t="n">
        <v>31</v>
      </c>
      <c r="S13" s="56" t="n">
        <v>32.9</v>
      </c>
      <c r="T13" s="56" t="n">
        <v>31.3</v>
      </c>
      <c r="U13" s="56" t="n">
        <v>28.5</v>
      </c>
      <c r="V13" s="56" t="n">
        <v>31.9</v>
      </c>
      <c r="W13" s="56" t="n">
        <v>28.5</v>
      </c>
      <c r="X13" s="56" t="n">
        <v>32.1</v>
      </c>
      <c r="Y13" s="56" t="n">
        <v>31</v>
      </c>
      <c r="Z13" s="56" t="n">
        <v>27.8</v>
      </c>
      <c r="AA13" s="56" t="n">
        <v>31.8</v>
      </c>
      <c r="AB13" s="56" t="n">
        <v>32.4</v>
      </c>
      <c r="AC13" s="56" t="n">
        <v>26.9</v>
      </c>
      <c r="AD13" s="56" t="n">
        <v>30.4</v>
      </c>
      <c r="AE13" s="56" t="n">
        <v>28.1</v>
      </c>
      <c r="AF13" s="56" t="n">
        <v>29.6</v>
      </c>
      <c r="AG13" s="56" t="n">
        <v>27.5</v>
      </c>
      <c r="AH13" s="56" t="n">
        <v>29.9</v>
      </c>
      <c r="AI13" s="56" t="n">
        <v>26.3</v>
      </c>
      <c r="AJ13" s="56" t="n"/>
      <c r="AK13" s="56" t="n"/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Grupo Observación y Monitoreo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22.3</v>
      </c>
      <c r="L14" s="56" t="n">
        <v>23</v>
      </c>
      <c r="M14" s="56" t="n">
        <v>23.4</v>
      </c>
      <c r="N14" s="56" t="n">
        <v>24.3</v>
      </c>
      <c r="O14" s="56" t="n">
        <v>24.8</v>
      </c>
      <c r="P14" s="56" t="n">
        <v>23.5</v>
      </c>
      <c r="Q14" s="56" t="n">
        <v>22.7</v>
      </c>
      <c r="R14" s="56" t="n">
        <v>24.4</v>
      </c>
      <c r="S14" s="56" t="n">
        <v>24.8</v>
      </c>
      <c r="T14" s="56" t="n">
        <v>24.3</v>
      </c>
      <c r="U14" s="56" t="n">
        <v>23.6</v>
      </c>
      <c r="V14" s="56" t="n">
        <v>24.6</v>
      </c>
      <c r="W14" s="56" t="n">
        <v>23.6</v>
      </c>
      <c r="X14" s="56" t="n">
        <v>23.6</v>
      </c>
      <c r="Y14" s="56" t="n">
        <v>24.7</v>
      </c>
      <c r="Z14" s="56" t="n">
        <v>23.3</v>
      </c>
      <c r="AA14" s="56" t="n">
        <v>25.5</v>
      </c>
      <c r="AB14" s="56" t="n">
        <v>24.1</v>
      </c>
      <c r="AC14" s="56" t="n">
        <v>23.8</v>
      </c>
      <c r="AD14" s="56" t="n">
        <v>22.9</v>
      </c>
      <c r="AE14" s="56" t="n">
        <v>23.2</v>
      </c>
      <c r="AF14" s="56" t="n">
        <v>23.8</v>
      </c>
      <c r="AG14" s="56" t="n">
        <v>23.9</v>
      </c>
      <c r="AH14" s="56" t="n">
        <v>24.1</v>
      </c>
      <c r="AI14" s="56" t="n">
        <v>23.1</v>
      </c>
      <c r="AJ14" s="56" t="n"/>
      <c r="AK14" s="56" t="n"/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Grupo Observación y Monitoreo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30.6</v>
      </c>
      <c r="L15" s="56" t="n">
        <v>29.6</v>
      </c>
      <c r="M15" s="56" t="n">
        <v>31.1</v>
      </c>
      <c r="N15" s="56" t="n">
        <v>31</v>
      </c>
      <c r="O15" s="56" t="n">
        <v>31.6</v>
      </c>
      <c r="P15" s="56" t="n">
        <v>29.8</v>
      </c>
      <c r="Q15" s="56" t="n">
        <v>31.3</v>
      </c>
      <c r="R15" s="56" t="n">
        <v>29.9</v>
      </c>
      <c r="S15" s="56" t="n">
        <v>31.9</v>
      </c>
      <c r="T15" s="56" t="n">
        <v>30</v>
      </c>
      <c r="U15" s="56" t="n">
        <v>30.5</v>
      </c>
      <c r="V15" s="56" t="n">
        <v>31.8</v>
      </c>
      <c r="W15" s="56" t="n">
        <v>30.5</v>
      </c>
      <c r="X15" s="56" t="n">
        <v>31.9</v>
      </c>
      <c r="Y15" s="56" t="n">
        <v>32</v>
      </c>
      <c r="Z15" s="56" t="n">
        <v>31.5</v>
      </c>
      <c r="AA15" s="56" t="n">
        <v>31.3</v>
      </c>
      <c r="AB15" s="56" t="n">
        <v>32.4</v>
      </c>
      <c r="AC15" s="56" t="n">
        <v>32</v>
      </c>
      <c r="AD15" s="56" t="n">
        <v>31</v>
      </c>
      <c r="AE15" s="56" t="n">
        <v>33.2</v>
      </c>
      <c r="AF15" s="56" t="n">
        <v>32.3</v>
      </c>
      <c r="AG15" s="56" t="n">
        <v>32.8</v>
      </c>
      <c r="AH15" s="56" t="n">
        <v>29.9</v>
      </c>
      <c r="AI15" s="56" t="n">
        <v>31.4</v>
      </c>
      <c r="AJ15" s="56" t="n"/>
      <c r="AK15" s="56" t="n"/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Grupo Observación y Monitoreo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28.4</v>
      </c>
      <c r="L16" s="56" t="n">
        <v>28.7</v>
      </c>
      <c r="M16" s="56" t="n">
        <v>29.1</v>
      </c>
      <c r="N16" s="56" t="n">
        <v>29.3</v>
      </c>
      <c r="O16" s="56" t="n">
        <v>28.4</v>
      </c>
      <c r="P16" s="56" t="n">
        <v>28.1</v>
      </c>
      <c r="Q16" s="56" t="n">
        <v>28.7</v>
      </c>
      <c r="R16" s="56" t="n">
        <v>29.3</v>
      </c>
      <c r="S16" s="56" t="n">
        <v>29.6</v>
      </c>
      <c r="T16" s="56" t="n">
        <v>28.3</v>
      </c>
      <c r="U16" s="56" t="n">
        <v>26.8</v>
      </c>
      <c r="V16" s="56" t="n">
        <v>28.5</v>
      </c>
      <c r="W16" s="56" t="n">
        <v>26.8</v>
      </c>
      <c r="X16" s="56" t="n">
        <v>28.8</v>
      </c>
      <c r="Y16" s="56" t="n">
        <v>28.3</v>
      </c>
      <c r="Z16" s="56" t="n">
        <v>29.6</v>
      </c>
      <c r="AA16" s="56" t="n">
        <v>30.7</v>
      </c>
      <c r="AB16" s="56" t="n">
        <v>29</v>
      </c>
      <c r="AC16" s="56" t="n">
        <v>28.6</v>
      </c>
      <c r="AD16" s="56" t="n">
        <v>28.3</v>
      </c>
      <c r="AE16" s="56" t="n">
        <v>28.1</v>
      </c>
      <c r="AF16" s="56" t="n">
        <v>29.8</v>
      </c>
      <c r="AG16" s="56" t="n">
        <v>28.8</v>
      </c>
      <c r="AH16" s="56" t="n">
        <v>28.7</v>
      </c>
      <c r="AI16" s="56" t="n">
        <v>27.6</v>
      </c>
      <c r="AJ16" s="56" t="n"/>
      <c r="AK16" s="56" t="n"/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Grupo Observación y Monitoreo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24.3</v>
      </c>
      <c r="L17" s="56" t="n">
        <v>24.8</v>
      </c>
      <c r="M17" s="56" t="n">
        <v>26.5</v>
      </c>
      <c r="N17" s="56" t="n">
        <v>26.3</v>
      </c>
      <c r="O17" s="56" t="n">
        <v>26</v>
      </c>
      <c r="P17" s="56" t="n">
        <v>25.1</v>
      </c>
      <c r="Q17" s="56" t="n">
        <v>24.8</v>
      </c>
      <c r="R17" s="56" t="n">
        <v>26</v>
      </c>
      <c r="S17" s="56" t="n">
        <v>27.1</v>
      </c>
      <c r="T17" s="56" t="n">
        <v>26</v>
      </c>
      <c r="U17" s="56" t="n">
        <v>23.8</v>
      </c>
      <c r="V17" s="56" t="n">
        <v>26.6</v>
      </c>
      <c r="W17" s="56" t="n">
        <v>23.8</v>
      </c>
      <c r="X17" s="56" t="n">
        <v>26.2</v>
      </c>
      <c r="Y17" s="56" t="n">
        <v>25.8</v>
      </c>
      <c r="Z17" s="56" t="n">
        <v>25.3</v>
      </c>
      <c r="AA17" s="56" t="n">
        <v>26.1</v>
      </c>
      <c r="AB17" s="56" t="n">
        <v>26.9</v>
      </c>
      <c r="AC17" s="56" t="n">
        <v>24</v>
      </c>
      <c r="AD17" s="56" t="n">
        <v>24.5</v>
      </c>
      <c r="AE17" s="56" t="n">
        <v>25.4</v>
      </c>
      <c r="AF17" s="56" t="n">
        <v>26</v>
      </c>
      <c r="AG17" s="56" t="n">
        <v>24.7</v>
      </c>
      <c r="AH17" s="56" t="n">
        <v>24</v>
      </c>
      <c r="AI17" s="56" t="n">
        <v>23.4</v>
      </c>
      <c r="AJ17" s="56" t="n"/>
      <c r="AK17" s="56" t="n"/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Grupo Observación y Monitoreo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19.1</v>
      </c>
      <c r="L18" s="56" t="n">
        <v>18.5</v>
      </c>
      <c r="M18" s="56" t="n">
        <v>19.2</v>
      </c>
      <c r="N18" s="56" t="n">
        <v>19.8</v>
      </c>
      <c r="O18" s="56" t="n">
        <v>18.7</v>
      </c>
      <c r="P18" s="56" t="n">
        <v>19.6</v>
      </c>
      <c r="Q18" s="56" t="n">
        <v>17.9</v>
      </c>
      <c r="R18" s="56" t="n">
        <v>19.9</v>
      </c>
      <c r="S18" s="56" t="n">
        <v>19.8</v>
      </c>
      <c r="T18" s="56" t="n">
        <v>19.8</v>
      </c>
      <c r="U18" s="56" t="n">
        <v>20</v>
      </c>
      <c r="V18" s="56" t="n">
        <v>19.8</v>
      </c>
      <c r="W18" s="56" t="n">
        <v>20</v>
      </c>
      <c r="X18" s="56" t="n">
        <v>19.5</v>
      </c>
      <c r="Y18" s="56" t="n">
        <v>19.8</v>
      </c>
      <c r="Z18" s="56" t="n">
        <v>19.9</v>
      </c>
      <c r="AA18" s="56" t="n">
        <v>19.3</v>
      </c>
      <c r="AB18" s="56" t="n">
        <v>19.8</v>
      </c>
      <c r="AC18" s="56" t="n">
        <v>18.4</v>
      </c>
      <c r="AD18" s="56" t="n">
        <v>19</v>
      </c>
      <c r="AE18" s="56" t="n">
        <v>19.5</v>
      </c>
      <c r="AF18" s="56" t="n">
        <v>20.2</v>
      </c>
      <c r="AG18" s="56" t="n">
        <v>18.7</v>
      </c>
      <c r="AH18" s="56" t="n">
        <v>18.8</v>
      </c>
      <c r="AI18" s="56" t="n">
        <v>17.8</v>
      </c>
      <c r="AJ18" s="56" t="n"/>
      <c r="AK18" s="56" t="n"/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Grupo Observación y Monitoreo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23.8</v>
      </c>
      <c r="L19" s="56" t="n">
        <v>24</v>
      </c>
      <c r="M19" s="56" t="n">
        <v>25.1</v>
      </c>
      <c r="N19" s="56" t="n">
        <v>24.2</v>
      </c>
      <c r="O19" s="56" t="n">
        <v>25.3</v>
      </c>
      <c r="P19" s="56" t="n">
        <v>23.8</v>
      </c>
      <c r="Q19" s="56" t="n">
        <v>23.1</v>
      </c>
      <c r="R19" s="56" t="n">
        <v>27.2</v>
      </c>
      <c r="S19" s="56" t="n">
        <v>25.4</v>
      </c>
      <c r="T19" s="56" t="n">
        <v>25.9</v>
      </c>
      <c r="U19" s="56" t="n">
        <v>23.2</v>
      </c>
      <c r="V19" s="56" t="n">
        <v>24.2</v>
      </c>
      <c r="W19" s="56" t="n">
        <v>23.2</v>
      </c>
      <c r="X19" s="56" t="n">
        <v>24.8</v>
      </c>
      <c r="Y19" s="56" t="n">
        <v>25.8</v>
      </c>
      <c r="Z19" s="56" t="n">
        <v>25.6</v>
      </c>
      <c r="AA19" s="56" t="n">
        <v>27.8</v>
      </c>
      <c r="AB19" s="56" t="n">
        <v>26.3</v>
      </c>
      <c r="AC19" s="56" t="n">
        <v>25.1</v>
      </c>
      <c r="AD19" s="56" t="n">
        <v>23.6</v>
      </c>
      <c r="AE19" s="56" t="n">
        <v>24.1</v>
      </c>
      <c r="AF19" s="56" t="n">
        <v>23.8</v>
      </c>
      <c r="AG19" s="56" t="n">
        <v>25.1</v>
      </c>
      <c r="AH19" s="56" t="n">
        <v>23.3</v>
      </c>
      <c r="AI19" s="56" t="n">
        <v>23.1</v>
      </c>
      <c r="AJ19" s="56" t="n"/>
      <c r="AK19" s="56" t="n"/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Grupo Observación y Monitoreo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24.7</v>
      </c>
      <c r="L20" s="56" t="n">
        <v>25.1</v>
      </c>
      <c r="M20" s="56" t="n">
        <v>25.9</v>
      </c>
      <c r="N20" s="56" t="n">
        <v>25.3</v>
      </c>
      <c r="O20" s="56" t="n">
        <v>25.1</v>
      </c>
      <c r="P20" s="56" t="n">
        <v>26.3</v>
      </c>
      <c r="Q20" s="56" t="n">
        <v>23</v>
      </c>
      <c r="R20" s="56" t="n">
        <v>26.4</v>
      </c>
      <c r="S20" s="56" t="n">
        <v>24.7</v>
      </c>
      <c r="T20" s="56" t="n">
        <v>25.3</v>
      </c>
      <c r="U20" s="56" t="n">
        <v>24</v>
      </c>
      <c r="V20" s="56" t="n">
        <v>25.3</v>
      </c>
      <c r="W20" s="56" t="n">
        <v>24</v>
      </c>
      <c r="X20" s="56" t="n">
        <v>25.1</v>
      </c>
      <c r="Y20" s="56" t="n">
        <v>25</v>
      </c>
      <c r="Z20" s="56" t="n">
        <v>26.1</v>
      </c>
      <c r="AA20" s="56" t="n">
        <v>27.1</v>
      </c>
      <c r="AB20" s="56" t="n">
        <v>26.3</v>
      </c>
      <c r="AC20" s="56" t="n">
        <v>25</v>
      </c>
      <c r="AD20" s="56" t="n">
        <v>24.4</v>
      </c>
      <c r="AE20" s="56" t="n">
        <v>22.7</v>
      </c>
      <c r="AF20" s="56" t="n">
        <v>24.2</v>
      </c>
      <c r="AG20" s="56" t="n">
        <v>25.1</v>
      </c>
      <c r="AH20" s="56" t="n">
        <v>23.5</v>
      </c>
      <c r="AI20" s="56" t="n">
        <v>24.6</v>
      </c>
      <c r="AJ20" s="56" t="n"/>
      <c r="AK20" s="56" t="n"/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Grupo Observación y Monitoreo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28.1</v>
      </c>
      <c r="L21" s="56" t="n">
        <v>26.8</v>
      </c>
      <c r="M21" s="56" t="n">
        <v>28.3</v>
      </c>
      <c r="N21" s="56" t="n">
        <v>28</v>
      </c>
      <c r="O21" s="56" t="n">
        <v>28.9</v>
      </c>
      <c r="P21" s="56" t="n">
        <v>28.4</v>
      </c>
      <c r="Q21" s="56" t="n">
        <v>27.6</v>
      </c>
      <c r="R21" s="56" t="n">
        <v>29.6</v>
      </c>
      <c r="S21" s="56" t="n">
        <v>29.1</v>
      </c>
      <c r="T21" s="56" t="n">
        <v>29.7</v>
      </c>
      <c r="U21" s="56" t="n">
        <v>27.8</v>
      </c>
      <c r="V21" s="56" t="n">
        <v>29.1</v>
      </c>
      <c r="W21" s="56" t="n">
        <v>27.8</v>
      </c>
      <c r="X21" s="56" t="n">
        <v>28.3</v>
      </c>
      <c r="Y21" s="56" t="n">
        <v>29.7</v>
      </c>
      <c r="Z21" s="56" t="n">
        <v>28.8</v>
      </c>
      <c r="AA21" s="56" t="n">
        <v>29.2</v>
      </c>
      <c r="AB21" s="56" t="n">
        <v>30</v>
      </c>
      <c r="AC21" s="56" t="n">
        <v>29.5</v>
      </c>
      <c r="AD21" s="56" t="n">
        <v>28.6</v>
      </c>
      <c r="AE21" s="56" t="n">
        <v>28.4</v>
      </c>
      <c r="AF21" s="56" t="n">
        <v>28</v>
      </c>
      <c r="AG21" s="56" t="n">
        <v>27.8</v>
      </c>
      <c r="AH21" s="56" t="n">
        <v>27.2</v>
      </c>
      <c r="AI21" s="56" t="n">
        <v>24</v>
      </c>
      <c r="AJ21" s="56" t="n"/>
      <c r="AK21" s="56" t="n"/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Grupo Observación y Monitoreo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16.2</v>
      </c>
      <c r="L22" s="56" t="n">
        <v>15.6</v>
      </c>
      <c r="M22" s="56" t="n">
        <v>16</v>
      </c>
      <c r="N22" s="56" t="n">
        <v>15.6</v>
      </c>
      <c r="O22" s="56" t="n">
        <v>15.7</v>
      </c>
      <c r="P22" s="56" t="n">
        <v>16.1</v>
      </c>
      <c r="Q22" s="56" t="n">
        <v>13.5</v>
      </c>
      <c r="R22" s="56" t="n">
        <v>15.6</v>
      </c>
      <c r="S22" s="56" t="n">
        <v>16.6</v>
      </c>
      <c r="T22" s="56" t="n">
        <v>15.1</v>
      </c>
      <c r="U22" s="56" t="n">
        <v>16</v>
      </c>
      <c r="V22" s="56" t="n">
        <v>16.2</v>
      </c>
      <c r="W22" s="56" t="n">
        <v>16</v>
      </c>
      <c r="X22" s="56" t="n">
        <v>16.6</v>
      </c>
      <c r="Y22" s="56" t="n">
        <v>15</v>
      </c>
      <c r="Z22" s="56" t="n">
        <v>15.6</v>
      </c>
      <c r="AA22" s="56" t="n">
        <v>15.3</v>
      </c>
      <c r="AB22" s="56" t="n">
        <v>15.2</v>
      </c>
      <c r="AC22" s="56" t="n">
        <v>16.1</v>
      </c>
      <c r="AD22" s="56" t="n">
        <v>16.2</v>
      </c>
      <c r="AE22" s="56" t="n">
        <v>15.7</v>
      </c>
      <c r="AF22" s="56" t="n">
        <v>15.7</v>
      </c>
      <c r="AG22" s="56" t="n">
        <v>16.7</v>
      </c>
      <c r="AH22" s="56" t="n">
        <v>15.3</v>
      </c>
      <c r="AI22" s="56" t="n">
        <v>14.9</v>
      </c>
      <c r="AJ22" s="56" t="n"/>
      <c r="AK22" s="56" t="n"/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Grupo Observación y Monitoreo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26.5</v>
      </c>
      <c r="L23" s="56" t="n">
        <v>27.1</v>
      </c>
      <c r="M23" s="56" t="n">
        <v>27.5</v>
      </c>
      <c r="N23" s="56" t="n">
        <v>27.1</v>
      </c>
      <c r="O23" s="56" t="n">
        <v>26.3</v>
      </c>
      <c r="P23" s="56" t="n">
        <v>27</v>
      </c>
      <c r="Q23" s="56" t="n">
        <v>25.7</v>
      </c>
      <c r="R23" s="56" t="n">
        <v>26.7</v>
      </c>
      <c r="S23" s="56" t="n">
        <v>27.2</v>
      </c>
      <c r="T23" s="56" t="n">
        <v>27.2</v>
      </c>
      <c r="U23" s="56" t="n">
        <v>26.7</v>
      </c>
      <c r="V23" s="56" t="n">
        <v>26.9</v>
      </c>
      <c r="W23" s="56" t="n">
        <v>26.7</v>
      </c>
      <c r="X23" s="56" t="n">
        <v>27.4</v>
      </c>
      <c r="Y23" s="56" t="n">
        <v>27.9</v>
      </c>
      <c r="Z23" s="56" t="n">
        <v>27.1</v>
      </c>
      <c r="AA23" s="56" t="n">
        <v>27.4</v>
      </c>
      <c r="AB23" s="56" t="n">
        <v>27.2</v>
      </c>
      <c r="AC23" s="56" t="n">
        <v>27.5</v>
      </c>
      <c r="AD23" s="56" t="n">
        <v>26.7</v>
      </c>
      <c r="AE23" s="56" t="n">
        <v>27.4</v>
      </c>
      <c r="AF23" s="56" t="n">
        <v>27.3</v>
      </c>
      <c r="AG23" s="56" t="n">
        <v>26.3</v>
      </c>
      <c r="AH23" s="56" t="n">
        <v>26.6</v>
      </c>
      <c r="AI23" s="56" t="n">
        <v>24.9</v>
      </c>
      <c r="AJ23" s="56" t="n"/>
      <c r="AK23" s="56" t="n"/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Grupo Observación y Monitoreo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29.4</v>
      </c>
      <c r="L24" s="56" t="n">
        <v>30</v>
      </c>
      <c r="M24" s="56" t="n">
        <v>29.7</v>
      </c>
      <c r="N24" s="56" t="n">
        <v>31.5</v>
      </c>
      <c r="O24" s="56" t="n">
        <v>30.9</v>
      </c>
      <c r="P24" s="56" t="n">
        <v>31.7</v>
      </c>
      <c r="Q24" s="56" t="n">
        <v>31.2</v>
      </c>
      <c r="R24" s="56" t="n">
        <v>31.2</v>
      </c>
      <c r="S24" s="56" t="n">
        <v>32</v>
      </c>
      <c r="T24" s="56" t="n">
        <v>31.5</v>
      </c>
      <c r="U24" s="56" t="n">
        <v>30.6</v>
      </c>
      <c r="V24" s="56" t="n">
        <v>30.8</v>
      </c>
      <c r="W24" s="56" t="n">
        <v>30.6</v>
      </c>
      <c r="X24" s="56" t="n">
        <v>32.4</v>
      </c>
      <c r="Y24" s="56" t="n">
        <v>33.1</v>
      </c>
      <c r="Z24" s="56" t="n">
        <v>29.5</v>
      </c>
      <c r="AA24" s="56" t="n">
        <v>31.6</v>
      </c>
      <c r="AB24" s="56" t="n">
        <v>32.4</v>
      </c>
      <c r="AC24" s="56" t="n">
        <v>31.1</v>
      </c>
      <c r="AD24" s="56" t="n">
        <v>32</v>
      </c>
      <c r="AE24" s="56" t="n">
        <v>33</v>
      </c>
      <c r="AF24" s="56" t="n">
        <v>33.1</v>
      </c>
      <c r="AG24" s="56" t="n">
        <v>33.4</v>
      </c>
      <c r="AH24" s="56" t="n">
        <v>32.5</v>
      </c>
      <c r="AI24" s="56" t="n">
        <v>28.3</v>
      </c>
      <c r="AJ24" s="56" t="n"/>
      <c r="AK24" s="56" t="n"/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Grupo Observación y Monitoreo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21.2</v>
      </c>
      <c r="L25" s="56" t="n">
        <v>22.2</v>
      </c>
      <c r="M25" s="56" t="n">
        <v>23.6</v>
      </c>
      <c r="N25" s="56" t="n">
        <v>23.9</v>
      </c>
      <c r="O25" s="56" t="n">
        <v>22.3</v>
      </c>
      <c r="P25" s="56" t="n">
        <v>22.8</v>
      </c>
      <c r="Q25" s="56" t="n">
        <v>22.1</v>
      </c>
      <c r="R25" s="56" t="n">
        <v>23.5</v>
      </c>
      <c r="S25" s="56" t="n">
        <v>23</v>
      </c>
      <c r="T25" s="56" t="n">
        <v>24.8</v>
      </c>
      <c r="U25" s="56" t="n">
        <v>22.9</v>
      </c>
      <c r="V25" s="56" t="n">
        <v>23.2</v>
      </c>
      <c r="W25" s="56" t="n">
        <v>22.9</v>
      </c>
      <c r="X25" s="56" t="n">
        <v>24.3</v>
      </c>
      <c r="Y25" s="56" t="n">
        <v>23.9</v>
      </c>
      <c r="Z25" s="56" t="n">
        <v>23.7</v>
      </c>
      <c r="AA25" s="56" t="n">
        <v>23.9</v>
      </c>
      <c r="AB25" s="56" t="n">
        <v>23.6</v>
      </c>
      <c r="AC25" s="56" t="n">
        <v>22.5</v>
      </c>
      <c r="AD25" s="56" t="n">
        <v>22.9</v>
      </c>
      <c r="AE25" s="56" t="n">
        <v>21.1</v>
      </c>
      <c r="AF25" s="56" t="n">
        <v>20.2</v>
      </c>
      <c r="AG25" s="56" t="n">
        <v>21</v>
      </c>
      <c r="AH25" s="56" t="n">
        <v>19</v>
      </c>
      <c r="AI25" s="56" t="n">
        <v>20.7</v>
      </c>
      <c r="AJ25" s="56" t="n"/>
      <c r="AK25" s="56" t="n"/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Grupo Observación y Monitoreo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12.3</v>
      </c>
      <c r="L26" s="56" t="n">
        <v>10.7</v>
      </c>
      <c r="M26" s="56" t="n">
        <v>10.8</v>
      </c>
      <c r="N26" s="56" t="n">
        <v>10.9</v>
      </c>
      <c r="O26" s="56" t="n">
        <v>10.3</v>
      </c>
      <c r="P26" s="56" t="n">
        <v>10.7</v>
      </c>
      <c r="Q26" s="56" t="n">
        <v>10.5</v>
      </c>
      <c r="R26" s="56" t="n">
        <v>11.2</v>
      </c>
      <c r="S26" s="56" t="n">
        <v>12.5</v>
      </c>
      <c r="T26" s="56" t="n">
        <v>12.6</v>
      </c>
      <c r="U26" s="56" t="n">
        <v>12.1</v>
      </c>
      <c r="V26" s="56" t="n">
        <v>11</v>
      </c>
      <c r="W26" s="56" t="n">
        <v>12.1</v>
      </c>
      <c r="X26" s="56" t="n">
        <v>12.4</v>
      </c>
      <c r="Y26" s="56" t="n">
        <v>11.7</v>
      </c>
      <c r="Z26" s="56" t="n">
        <v>11</v>
      </c>
      <c r="AA26" s="56" t="n">
        <v>12</v>
      </c>
      <c r="AB26" s="56" t="n">
        <v>11.7</v>
      </c>
      <c r="AC26" s="56" t="n">
        <v>11.3</v>
      </c>
      <c r="AD26" s="56" t="n">
        <v>12.8</v>
      </c>
      <c r="AE26" s="56" t="n">
        <v>12.9</v>
      </c>
      <c r="AF26" s="56" t="n">
        <v>12.5</v>
      </c>
      <c r="AG26" s="56" t="n">
        <v>13.1</v>
      </c>
      <c r="AH26" s="56" t="n">
        <v>14.1</v>
      </c>
      <c r="AI26" s="56" t="n">
        <v>12.5</v>
      </c>
      <c r="AJ26" s="56" t="n"/>
      <c r="AK26" s="56" t="n"/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Grupo Observación y Monitoreo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26.6</v>
      </c>
      <c r="L27" s="56" t="n">
        <v>26.7</v>
      </c>
      <c r="M27" s="56" t="n">
        <v>28.3</v>
      </c>
      <c r="N27" s="56" t="n">
        <v>28.3</v>
      </c>
      <c r="O27" s="56" t="n">
        <v>28</v>
      </c>
      <c r="P27" s="56" t="n">
        <v>26.6</v>
      </c>
      <c r="Q27" s="56" t="n">
        <v>27.1</v>
      </c>
      <c r="R27" s="56" t="n">
        <v>29.3</v>
      </c>
      <c r="S27" s="56" t="n">
        <v>28.3</v>
      </c>
      <c r="T27" s="56" t="n">
        <v>27.1</v>
      </c>
      <c r="U27" s="56" t="n">
        <v>26.4</v>
      </c>
      <c r="V27" s="56" t="n">
        <v>29.9</v>
      </c>
      <c r="W27" s="56" t="n">
        <v>26.4</v>
      </c>
      <c r="X27" s="56" t="n">
        <v>28.3</v>
      </c>
      <c r="Y27" s="56" t="n">
        <v>27.3</v>
      </c>
      <c r="Z27" s="56" t="n">
        <v>27.1</v>
      </c>
      <c r="AA27" s="56" t="n">
        <v>29.9</v>
      </c>
      <c r="AB27" s="56" t="n">
        <v>28.1</v>
      </c>
      <c r="AC27" s="56" t="n">
        <v>28.3</v>
      </c>
      <c r="AD27" s="56" t="n">
        <v>27.1</v>
      </c>
      <c r="AE27" s="56" t="n">
        <v>28.1</v>
      </c>
      <c r="AF27" s="56" t="n">
        <v>26.7</v>
      </c>
      <c r="AG27" s="56" t="n">
        <v>28.6</v>
      </c>
      <c r="AH27" s="56" t="n">
        <v>27.8</v>
      </c>
      <c r="AI27" s="56" t="n">
        <v>28.7</v>
      </c>
      <c r="AJ27" s="56" t="n"/>
      <c r="AK27" s="56" t="n"/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Grupo Observación y Monitoreo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29.2</v>
      </c>
      <c r="L28" s="99" t="n"/>
      <c r="M28" s="56" t="n">
        <v>29.2</v>
      </c>
      <c r="N28" s="56" t="n">
        <v>26.8</v>
      </c>
      <c r="O28" s="56" t="n">
        <v>28.8</v>
      </c>
      <c r="P28" s="56" t="n">
        <v>23.1</v>
      </c>
      <c r="Q28" s="56" t="n">
        <v>27.5</v>
      </c>
      <c r="R28" s="56" t="n">
        <v>27.3</v>
      </c>
      <c r="S28" s="56" t="n">
        <v>29.1</v>
      </c>
      <c r="T28" s="56" t="n">
        <v>24.1</v>
      </c>
      <c r="U28" s="56" t="n">
        <v>28.9</v>
      </c>
      <c r="V28" s="56" t="n">
        <v>28.3</v>
      </c>
      <c r="W28" s="56" t="n">
        <v>28.9</v>
      </c>
      <c r="X28" s="56" t="n">
        <v>29.3</v>
      </c>
      <c r="Y28" s="56" t="n">
        <v>28.3</v>
      </c>
      <c r="Z28" s="56" t="n">
        <v>27.3</v>
      </c>
      <c r="AA28" s="56" t="n">
        <v>27.1</v>
      </c>
      <c r="AB28" s="56" t="n">
        <v>29.4</v>
      </c>
      <c r="AC28" s="56" t="n">
        <v>28.7</v>
      </c>
      <c r="AD28" s="56" t="n">
        <v>28.7</v>
      </c>
      <c r="AE28" s="56" t="n">
        <v>30.1</v>
      </c>
      <c r="AF28" s="56" t="n">
        <v>29.7</v>
      </c>
      <c r="AG28" s="56" t="n">
        <v>30.4</v>
      </c>
      <c r="AH28" s="99" t="n">
        <v>24.4</v>
      </c>
      <c r="AI28" s="56" t="n">
        <v>26.9</v>
      </c>
      <c r="AJ28" s="56" t="n"/>
      <c r="AK28" s="56" t="n"/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Grupo Observación y Monitoreo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30</v>
      </c>
      <c r="L29" s="56" t="n">
        <v>27.3</v>
      </c>
      <c r="M29" s="56" t="n">
        <v>28.4</v>
      </c>
      <c r="N29" s="56" t="n">
        <v>29.9</v>
      </c>
      <c r="O29" s="56" t="n">
        <v>29.6</v>
      </c>
      <c r="P29" s="56" t="n">
        <v>27.4</v>
      </c>
      <c r="Q29" s="56" t="n">
        <v>28.1</v>
      </c>
      <c r="R29" s="56" t="n">
        <v>28.8</v>
      </c>
      <c r="S29" s="56" t="n">
        <v>30.2</v>
      </c>
      <c r="T29" s="56" t="n">
        <v>27.7</v>
      </c>
      <c r="U29" s="56" t="n">
        <v>30.1</v>
      </c>
      <c r="V29" s="56" t="n">
        <v>28.9</v>
      </c>
      <c r="W29" s="56" t="n">
        <v>30.1</v>
      </c>
      <c r="X29" s="56" t="n">
        <v>29.2</v>
      </c>
      <c r="Y29" s="56" t="n">
        <v>28.8</v>
      </c>
      <c r="Z29" s="56" t="n">
        <v>27.1</v>
      </c>
      <c r="AA29" s="56" t="n">
        <v>28.9</v>
      </c>
      <c r="AB29" s="56" t="n">
        <v>26.6</v>
      </c>
      <c r="AC29" s="56" t="n">
        <v>27.1</v>
      </c>
      <c r="AD29" s="56" t="n">
        <v>29.5</v>
      </c>
      <c r="AE29" s="56" t="n">
        <v>30.2</v>
      </c>
      <c r="AF29" s="56" t="n">
        <v>31.6</v>
      </c>
      <c r="AG29" s="56" t="n">
        <v>29.8</v>
      </c>
      <c r="AH29" s="56" t="n">
        <v>25.9</v>
      </c>
      <c r="AI29" s="56" t="n">
        <v>29.7</v>
      </c>
      <c r="AJ29" s="56" t="n"/>
      <c r="AK29" s="56" t="n"/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Grupo Observación y Monitoreo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27.3</v>
      </c>
      <c r="L30" s="56" t="n">
        <v>25.8</v>
      </c>
      <c r="M30" s="56" t="n">
        <v>27.8</v>
      </c>
      <c r="N30" s="56" t="n">
        <v>26.2</v>
      </c>
      <c r="O30" s="56" t="n">
        <v>25.3</v>
      </c>
      <c r="P30" s="56" t="n">
        <v>27.5</v>
      </c>
      <c r="Q30" s="56" t="n">
        <v>25.9</v>
      </c>
      <c r="R30" s="56" t="n">
        <v>24.1</v>
      </c>
      <c r="S30" s="56" t="n">
        <v>26.2</v>
      </c>
      <c r="T30" s="56" t="n">
        <v>24.9</v>
      </c>
      <c r="U30" s="56" t="n">
        <v>25.9</v>
      </c>
      <c r="V30" s="56" t="n">
        <v>26.6</v>
      </c>
      <c r="W30" s="56" t="n">
        <v>25.9</v>
      </c>
      <c r="X30" s="56" t="n">
        <v>26.5</v>
      </c>
      <c r="Y30" s="56" t="n">
        <v>26.2</v>
      </c>
      <c r="Z30" s="56" t="n">
        <v>26.1</v>
      </c>
      <c r="AA30" s="56" t="n">
        <v>26.4</v>
      </c>
      <c r="AB30" s="56" t="n">
        <v>24.7</v>
      </c>
      <c r="AC30" s="56" t="n">
        <v>25.3</v>
      </c>
      <c r="AD30" s="56" t="n">
        <v>27.4</v>
      </c>
      <c r="AE30" s="56" t="n">
        <v>27.3</v>
      </c>
      <c r="AF30" s="56" t="n">
        <v>28.8</v>
      </c>
      <c r="AG30" s="56" t="n">
        <v>27.8</v>
      </c>
      <c r="AH30" s="56" t="n">
        <v>25</v>
      </c>
      <c r="AI30" s="56" t="n">
        <v>27</v>
      </c>
      <c r="AJ30" s="56" t="n"/>
      <c r="AK30" s="56" t="n"/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Grupo Observación y Monitoreo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30.3</v>
      </c>
      <c r="L31" s="98" t="n">
        <v>28.5</v>
      </c>
      <c r="M31" s="98" t="n">
        <v>28.4</v>
      </c>
      <c r="N31" s="98" t="n">
        <v>28.7</v>
      </c>
      <c r="O31" s="98" t="n">
        <v>27.5</v>
      </c>
      <c r="P31" s="98" t="n">
        <v>27.8</v>
      </c>
      <c r="Q31" s="98" t="n">
        <v>27.4</v>
      </c>
      <c r="R31" s="98" t="n">
        <v>26.3</v>
      </c>
      <c r="S31" s="98" t="n">
        <v>28.6</v>
      </c>
      <c r="T31" s="98" t="n">
        <v>29</v>
      </c>
      <c r="U31" s="98" t="n">
        <v>28.1</v>
      </c>
      <c r="V31" s="98" t="n">
        <v>27.6</v>
      </c>
      <c r="W31" s="98" t="n">
        <v>28.1</v>
      </c>
      <c r="X31" s="98" t="n">
        <v>25.5</v>
      </c>
      <c r="Y31" s="98" t="n">
        <v>26</v>
      </c>
      <c r="Z31" s="98" t="n">
        <v>28</v>
      </c>
      <c r="AA31" s="98" t="n">
        <v>26.2</v>
      </c>
      <c r="AB31" s="98" t="n">
        <v>28.2</v>
      </c>
      <c r="AC31" s="98" t="n">
        <v>27.1</v>
      </c>
      <c r="AD31" s="98" t="n">
        <v>28.6</v>
      </c>
      <c r="AE31" s="98" t="n">
        <v>29.2</v>
      </c>
      <c r="AF31" s="98" t="n">
        <v>28.8</v>
      </c>
      <c r="AG31" s="98" t="n">
        <v>29</v>
      </c>
      <c r="AH31" s="98" t="n">
        <v>28</v>
      </c>
      <c r="AI31" s="98" t="n">
        <v>29.5</v>
      </c>
      <c r="AJ31" s="98" t="n"/>
      <c r="AK31" s="98" t="n"/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19.53333333333333</v>
      </c>
      <c r="L32" s="56" t="n">
        <v>21.26666666666667</v>
      </c>
      <c r="M32" s="56" t="n">
        <v>20.1</v>
      </c>
      <c r="N32" s="56" t="n">
        <v>19.93333333333333</v>
      </c>
      <c r="O32" s="56" t="n">
        <v>20.2</v>
      </c>
      <c r="P32" s="56" t="n">
        <v>20.2</v>
      </c>
      <c r="Q32" s="56" t="n">
        <v>20.26666666666667</v>
      </c>
      <c r="R32" s="56" t="n">
        <v>21.4</v>
      </c>
      <c r="S32" s="56" t="n">
        <v>20</v>
      </c>
      <c r="T32" s="56" t="n">
        <v>20.53333333333333</v>
      </c>
      <c r="U32" s="56" t="n">
        <v>19.53333333333333</v>
      </c>
      <c r="V32" s="56" t="n">
        <v>19.73333333333333</v>
      </c>
      <c r="W32" s="56" t="n">
        <v>23.73333333333333</v>
      </c>
      <c r="X32" s="56" t="n">
        <v>20.2</v>
      </c>
      <c r="Y32" s="56" t="n">
        <v>20.13333333333334</v>
      </c>
      <c r="Z32" s="56" t="n">
        <v>21.13333333333334</v>
      </c>
      <c r="AA32" s="56" t="n">
        <v>20.66666666666667</v>
      </c>
      <c r="AB32" s="56" t="n">
        <v>20.93333333333333</v>
      </c>
      <c r="AC32" s="56" t="n">
        <v>20.93333333333333</v>
      </c>
      <c r="AD32" s="56" t="n">
        <v>21.13333333333334</v>
      </c>
      <c r="AE32" s="56" t="n">
        <v>19.86666666666666</v>
      </c>
      <c r="AF32" s="56" t="n">
        <v>19.53333333333333</v>
      </c>
      <c r="AG32" s="56" t="n">
        <v>19.46666666666667</v>
      </c>
      <c r="AH32" s="56" t="n">
        <v>19.93333333333333</v>
      </c>
      <c r="AI32" s="56" t="n">
        <v>20.26666666666667</v>
      </c>
      <c r="AJ32" s="56" t="n"/>
      <c r="AK32" s="56" t="n"/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</v>
      </c>
      <c r="L33" s="56" t="n">
        <v>28.65</v>
      </c>
      <c r="M33" s="56" t="n">
        <v>27.3</v>
      </c>
      <c r="N33" s="56" t="n">
        <v>28.4</v>
      </c>
      <c r="O33" s="56" t="n">
        <v>27.85</v>
      </c>
      <c r="P33" s="56" t="n">
        <v>28</v>
      </c>
      <c r="Q33" s="56" t="n">
        <v>27.55</v>
      </c>
      <c r="R33" s="56" t="n">
        <v>29.55</v>
      </c>
      <c r="S33" s="56" t="n">
        <v>29.35</v>
      </c>
      <c r="T33" s="56" t="n">
        <v>27.2</v>
      </c>
      <c r="U33" s="56" t="n">
        <v>27.05</v>
      </c>
      <c r="V33" s="56" t="n">
        <v>28.1</v>
      </c>
      <c r="W33" s="56" t="n">
        <v>28.1</v>
      </c>
      <c r="X33" s="56" t="n">
        <v>28.85</v>
      </c>
      <c r="Y33" s="56" t="n">
        <v>28.2</v>
      </c>
      <c r="Z33" s="56" t="n">
        <v>29.45</v>
      </c>
      <c r="AA33" s="56" t="n">
        <v>30.3</v>
      </c>
      <c r="AB33" s="56" t="n">
        <v>28.4</v>
      </c>
      <c r="AC33" s="56" t="n">
        <v>28.95</v>
      </c>
      <c r="AD33" s="56" t="n">
        <v>27.7</v>
      </c>
      <c r="AE33" s="56" t="n">
        <v>27.75</v>
      </c>
      <c r="AF33" s="56" t="n">
        <v>29</v>
      </c>
      <c r="AG33" s="56" t="n">
        <v>28.25</v>
      </c>
      <c r="AH33" s="56" t="n">
        <v>28.55</v>
      </c>
      <c r="AI33" s="56" t="n">
        <v>27.85</v>
      </c>
      <c r="AJ33" s="56" t="n"/>
      <c r="AK33" s="56" t="n"/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21.73333333333333</v>
      </c>
      <c r="L34" s="56" t="n">
        <v>21.26666666666667</v>
      </c>
      <c r="M34" s="56" t="n">
        <v>21.73333333333333</v>
      </c>
      <c r="N34" s="56" t="n">
        <v>21.8</v>
      </c>
      <c r="O34" s="56" t="n">
        <v>22.33333333333333</v>
      </c>
      <c r="P34" s="56" t="n">
        <v>21.2</v>
      </c>
      <c r="Q34" s="56" t="n">
        <v>20.4</v>
      </c>
      <c r="R34" s="56" t="n">
        <v>22.26666666666667</v>
      </c>
      <c r="S34" s="56" t="n">
        <v>22.73333333333333</v>
      </c>
      <c r="T34" s="56" t="n">
        <v>22</v>
      </c>
      <c r="U34" s="56" t="n">
        <v>22.26666666666667</v>
      </c>
      <c r="V34" s="56" t="n">
        <v>22.6</v>
      </c>
      <c r="W34" s="56" t="n">
        <v>21.33333333333333</v>
      </c>
      <c r="X34" s="56" t="n">
        <v>22.46666666666667</v>
      </c>
      <c r="Y34" s="56" t="n">
        <v>21.86666666666666</v>
      </c>
      <c r="Z34" s="56" t="n">
        <v>21.46666666666667</v>
      </c>
      <c r="AA34" s="56" t="n">
        <v>22.33333333333333</v>
      </c>
      <c r="AB34" s="56" t="n">
        <v>22</v>
      </c>
      <c r="AC34" s="56" t="n">
        <v>20.4</v>
      </c>
      <c r="AD34" s="56" t="n">
        <v>22.06666666666667</v>
      </c>
      <c r="AE34" s="56" t="n">
        <v>20.26666666666667</v>
      </c>
      <c r="AF34" s="56" t="n">
        <v>21.6</v>
      </c>
      <c r="AG34" s="56" t="n">
        <v>21.4</v>
      </c>
      <c r="AH34" s="56" t="n">
        <v>20.6</v>
      </c>
      <c r="AI34" s="56" t="n">
        <v>19.8</v>
      </c>
      <c r="AJ34" s="56" t="n"/>
      <c r="AK34" s="56" t="n"/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26</v>
      </c>
      <c r="L35" s="56" t="n">
        <v>24.2</v>
      </c>
      <c r="M35" s="56" t="n">
        <v>24.8</v>
      </c>
      <c r="N35" s="56" t="n">
        <v>23.65</v>
      </c>
      <c r="O35" s="56" t="n">
        <v>26.6</v>
      </c>
      <c r="P35" s="56" t="n">
        <v>25.75</v>
      </c>
      <c r="Q35" s="56" t="n">
        <v>25.1</v>
      </c>
      <c r="R35" s="56" t="n">
        <v>26.3</v>
      </c>
      <c r="S35" s="56" t="n">
        <v>26.35</v>
      </c>
      <c r="T35" s="56" t="n">
        <v>25.2</v>
      </c>
      <c r="U35" s="56" t="n">
        <v>25.45</v>
      </c>
      <c r="V35" s="56" t="n">
        <v>26.6</v>
      </c>
      <c r="W35" s="56" t="n">
        <v>25.8</v>
      </c>
      <c r="X35" s="56" t="n">
        <v>25.95</v>
      </c>
      <c r="Y35" s="56" t="n">
        <v>24.95</v>
      </c>
      <c r="Z35" s="56" t="n">
        <v>24.05</v>
      </c>
      <c r="AA35" s="56" t="n">
        <v>24.9</v>
      </c>
      <c r="AB35" s="56" t="n">
        <v>25.65</v>
      </c>
      <c r="AC35" s="56" t="n">
        <v>23.65</v>
      </c>
      <c r="AD35" s="56" t="n">
        <v>25.05</v>
      </c>
      <c r="AE35" s="56" t="n">
        <v>23.8</v>
      </c>
      <c r="AF35" s="56" t="n">
        <v>25.15</v>
      </c>
      <c r="AG35" s="56" t="n">
        <v>25.55</v>
      </c>
      <c r="AH35" s="56" t="n">
        <v>25.55</v>
      </c>
      <c r="AI35" s="56" t="n">
        <v>23.15</v>
      </c>
      <c r="AJ35" s="56" t="n"/>
      <c r="AK35" s="56" t="n"/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19.45</v>
      </c>
      <c r="L36" s="56" t="n">
        <v>19.65</v>
      </c>
      <c r="M36" s="56" t="n">
        <v>20.3</v>
      </c>
      <c r="N36" s="56" t="n">
        <v>20.4</v>
      </c>
      <c r="O36" s="56" t="n">
        <v>20</v>
      </c>
      <c r="P36" s="56" t="n">
        <v>19.55</v>
      </c>
      <c r="Q36" s="56" t="n">
        <v>19.75</v>
      </c>
      <c r="R36" s="56" t="n">
        <v>20.35</v>
      </c>
      <c r="S36" s="56" t="n">
        <v>21</v>
      </c>
      <c r="T36" s="56" t="n">
        <v>20</v>
      </c>
      <c r="U36" s="56" t="n">
        <v>19.6</v>
      </c>
      <c r="V36" s="56" t="n">
        <v>19.95</v>
      </c>
      <c r="W36" s="56" t="n">
        <v>18.15</v>
      </c>
      <c r="X36" s="56" t="n">
        <v>20.4</v>
      </c>
      <c r="Y36" s="56" t="n">
        <v>19.45</v>
      </c>
      <c r="Z36" s="56" t="n">
        <v>19.6</v>
      </c>
      <c r="AA36" s="56" t="n">
        <v>20.45</v>
      </c>
      <c r="AB36" s="56" t="n">
        <v>21</v>
      </c>
      <c r="AC36" s="56" t="n">
        <v>18.3</v>
      </c>
      <c r="AD36" s="56" t="n">
        <v>20.9</v>
      </c>
      <c r="AE36" s="56" t="n">
        <v>19.7</v>
      </c>
      <c r="AF36" s="56" t="n">
        <v>20.55</v>
      </c>
      <c r="AG36" s="56" t="n">
        <v>19.4</v>
      </c>
      <c r="AH36" s="56" t="n">
        <v>19.15</v>
      </c>
      <c r="AI36" s="56" t="n">
        <v>17.6</v>
      </c>
      <c r="AJ36" s="56" t="n"/>
      <c r="AK36" s="56" t="n"/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27.7</v>
      </c>
      <c r="L37" s="56" t="n">
        <v>27.8</v>
      </c>
      <c r="M37" s="56" t="n">
        <v>28.5</v>
      </c>
      <c r="N37" s="56" t="n">
        <v>28.55</v>
      </c>
      <c r="O37" s="56" t="n">
        <v>28</v>
      </c>
      <c r="P37" s="56" t="n">
        <v>28.2</v>
      </c>
      <c r="Q37" s="56" t="n">
        <v>27.4</v>
      </c>
      <c r="R37" s="56" t="n">
        <v>28.95</v>
      </c>
      <c r="S37" s="56" t="n">
        <v>28.45</v>
      </c>
      <c r="T37" s="56" t="n">
        <v>28.75</v>
      </c>
      <c r="U37" s="56" t="n">
        <v>27.25</v>
      </c>
      <c r="V37" s="56" t="n">
        <v>28.6</v>
      </c>
      <c r="W37" s="56" t="n">
        <v>28.05</v>
      </c>
      <c r="X37" s="56" t="n">
        <v>28.8</v>
      </c>
      <c r="Y37" s="56" t="n">
        <v>28.45</v>
      </c>
      <c r="Z37" s="56" t="n">
        <v>27.45</v>
      </c>
      <c r="AA37" s="56" t="n">
        <v>29.45</v>
      </c>
      <c r="AB37" s="56" t="n">
        <v>28.5</v>
      </c>
      <c r="AC37" s="56" t="n">
        <v>27.9</v>
      </c>
      <c r="AD37" s="56" t="n">
        <v>26.15</v>
      </c>
      <c r="AE37" s="56" t="n">
        <v>25.4</v>
      </c>
      <c r="AF37" s="56" t="n">
        <v>26.55</v>
      </c>
      <c r="AG37" s="56" t="n">
        <v>27.7</v>
      </c>
      <c r="AH37" s="56" t="n">
        <v>28.7</v>
      </c>
      <c r="AI37" s="56" t="n">
        <v>28.75</v>
      </c>
      <c r="AJ37" s="56" t="n"/>
      <c r="AK37" s="56" t="n"/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16.45</v>
      </c>
      <c r="L38" s="56" t="n">
        <v>16.05</v>
      </c>
      <c r="M38" s="56" t="n">
        <v>16.5</v>
      </c>
      <c r="N38" s="56" t="n">
        <v>16.95</v>
      </c>
      <c r="O38" s="56" t="n">
        <v>16.7</v>
      </c>
      <c r="P38" s="56" t="n">
        <v>15.4</v>
      </c>
      <c r="Q38" s="56" t="n">
        <v>15.6</v>
      </c>
      <c r="R38" s="56" t="n">
        <v>16.85</v>
      </c>
      <c r="S38" s="56" t="n">
        <v>15.95</v>
      </c>
      <c r="T38" s="56" t="n">
        <v>16.05</v>
      </c>
      <c r="U38" s="56" t="n">
        <v>17.3</v>
      </c>
      <c r="V38" s="56" t="n">
        <v>17.1</v>
      </c>
      <c r="W38" s="56" t="n">
        <v>16</v>
      </c>
      <c r="X38" s="56" t="n">
        <v>17.2</v>
      </c>
      <c r="Y38" s="56" t="n">
        <v>17.15</v>
      </c>
      <c r="Z38" s="56" t="n">
        <v>16.95</v>
      </c>
      <c r="AA38" s="56" t="n">
        <v>15</v>
      </c>
      <c r="AB38" s="56" t="n">
        <v>17</v>
      </c>
      <c r="AC38" s="56" t="n">
        <v>15.35</v>
      </c>
      <c r="AD38" s="56" t="n">
        <v>16.35</v>
      </c>
      <c r="AE38" s="56" t="n">
        <v/>
      </c>
      <c r="AF38" s="56" t="n">
        <v/>
      </c>
      <c r="AG38" s="56" t="n">
        <v>15.5</v>
      </c>
      <c r="AH38" s="56" t="n">
        <v>15.35</v>
      </c>
      <c r="AI38" s="56" t="n">
        <v>14.8</v>
      </c>
      <c r="AJ38" s="56" t="n"/>
      <c r="AK38" s="56" t="n"/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20.66666666666667</v>
      </c>
      <c r="L39" s="56" t="n">
        <v>22.13333333333334</v>
      </c>
      <c r="M39" s="56" t="n">
        <v>23.13333333333334</v>
      </c>
      <c r="N39" s="56" t="n">
        <v>22.6</v>
      </c>
      <c r="O39" s="56" t="n">
        <v>22.66666666666667</v>
      </c>
      <c r="P39" s="56" t="n">
        <v>23.13333333333334</v>
      </c>
      <c r="Q39" s="56" t="n">
        <v>22.6</v>
      </c>
      <c r="R39" s="56" t="n">
        <v>24.06666666666667</v>
      </c>
      <c r="S39" s="56" t="n">
        <v>23.66666666666667</v>
      </c>
      <c r="T39" s="56" t="n">
        <v>24.13333333333334</v>
      </c>
      <c r="U39" s="56" t="n">
        <v>20.33333333333333</v>
      </c>
      <c r="V39" s="56" t="n">
        <v>22.06666666666666</v>
      </c>
      <c r="W39" s="56" t="n">
        <v>20.93333333333333</v>
      </c>
      <c r="X39" s="56" t="n">
        <v>23.46666666666667</v>
      </c>
      <c r="Y39" s="56" t="n">
        <v>23.13333333333334</v>
      </c>
      <c r="Z39" s="56" t="n">
        <v>23.2</v>
      </c>
      <c r="AA39" s="56" t="n">
        <v>24.13333333333334</v>
      </c>
      <c r="AB39" s="56" t="n">
        <v>24.2</v>
      </c>
      <c r="AC39" s="56" t="n">
        <v>21</v>
      </c>
      <c r="AD39" s="56" t="n">
        <v>22.13333333333334</v>
      </c>
      <c r="AE39" s="56" t="n">
        <v>21.93333333333333</v>
      </c>
      <c r="AF39" s="56" t="n">
        <v>21.86666666666667</v>
      </c>
      <c r="AG39" s="56" t="n">
        <v>21.73333333333333</v>
      </c>
      <c r="AH39" s="56" t="n">
        <v>22</v>
      </c>
      <c r="AI39" s="56" t="n">
        <v>21.2</v>
      </c>
      <c r="AJ39" s="56" t="n"/>
      <c r="AK39" s="56" t="n"/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24.2</v>
      </c>
      <c r="L40" s="56" t="n">
        <v>24.26666666666667</v>
      </c>
      <c r="M40" s="56" t="n">
        <v>26.13333333333334</v>
      </c>
      <c r="N40" s="56" t="n">
        <v>25.93333333333334</v>
      </c>
      <c r="O40" s="56" t="n">
        <v>25.6</v>
      </c>
      <c r="P40" s="56" t="n">
        <v>25.13333333333334</v>
      </c>
      <c r="Q40" s="56" t="n">
        <v>24.33333333333333</v>
      </c>
      <c r="R40" s="56" t="n">
        <v>26.13333333333334</v>
      </c>
      <c r="S40" s="56" t="n">
        <v/>
      </c>
      <c r="T40" s="56" t="n">
        <v>25.73333333333333</v>
      </c>
      <c r="U40" s="56" t="n">
        <v>24.26666666666667</v>
      </c>
      <c r="V40" s="56" t="n">
        <v/>
      </c>
      <c r="W40" s="56" t="n">
        <v>24.33333333333333</v>
      </c>
      <c r="X40" s="56" t="n">
        <v>25.6</v>
      </c>
      <c r="Y40" s="56" t="n">
        <v/>
      </c>
      <c r="Z40" s="56" t="n">
        <v>24.93333333333333</v>
      </c>
      <c r="AA40" s="56" t="n">
        <v>26.46666666666667</v>
      </c>
      <c r="AB40" s="56" t="n">
        <v>27.2</v>
      </c>
      <c r="AC40" s="56" t="n">
        <v>23</v>
      </c>
      <c r="AD40" s="56" t="n">
        <v>25.4</v>
      </c>
      <c r="AE40" s="56" t="n">
        <v>24.86666666666666</v>
      </c>
      <c r="AF40" s="56" t="n">
        <v>25.6</v>
      </c>
      <c r="AG40" s="56" t="n">
        <v>24.6</v>
      </c>
      <c r="AH40" s="56" t="n">
        <v>25.33333333333333</v>
      </c>
      <c r="AI40" s="56" t="n">
        <v>23.4</v>
      </c>
      <c r="AJ40" s="56" t="n"/>
      <c r="AK40" s="56" t="n"/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17.8</v>
      </c>
      <c r="L41" s="56" t="n">
        <v>18.66666666666667</v>
      </c>
      <c r="M41" s="56" t="n">
        <v>21.33333333333333</v>
      </c>
      <c r="N41" s="56" t="n">
        <v>19.06666666666667</v>
      </c>
      <c r="O41" s="56" t="n">
        <v>21.13333333333334</v>
      </c>
      <c r="P41" s="56" t="n">
        <v>20.43333333333333</v>
      </c>
      <c r="Q41" s="56" t="n">
        <v>20.76666666666667</v>
      </c>
      <c r="R41" s="56" t="n">
        <v>21.73333333333333</v>
      </c>
      <c r="S41" s="56" t="n">
        <v>21.93333333333334</v>
      </c>
      <c r="T41" s="56" t="n">
        <v>19.13333333333333</v>
      </c>
      <c r="U41" s="56" t="n">
        <v>19.33333333333333</v>
      </c>
      <c r="V41" s="56" t="n">
        <v>20.93333333333333</v>
      </c>
      <c r="W41" s="56" t="n">
        <v>19.33333333333333</v>
      </c>
      <c r="X41" s="56" t="n">
        <v>20.06666666666667</v>
      </c>
      <c r="Y41" s="56" t="n">
        <v>18.8</v>
      </c>
      <c r="Z41" s="56" t="n">
        <v>19.06666666666667</v>
      </c>
      <c r="AA41" s="56" t="n">
        <v>21.8</v>
      </c>
      <c r="AB41" s="56" t="n">
        <v>20.06666666666667</v>
      </c>
      <c r="AC41" s="56" t="n">
        <v/>
      </c>
      <c r="AD41" s="56" t="n">
        <v/>
      </c>
      <c r="AE41" s="56" t="n">
        <v>19.13333333333333</v>
      </c>
      <c r="AF41" s="56" t="n">
        <v>19.6</v>
      </c>
      <c r="AG41" s="56" t="n">
        <v>18.8</v>
      </c>
      <c r="AH41" s="56" t="n">
        <v>17.06666666666667</v>
      </c>
      <c r="AI41" s="56" t="n">
        <v>17.93333333333333</v>
      </c>
      <c r="AJ41" s="56" t="n"/>
      <c r="AK41" s="56" t="n"/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28.3</v>
      </c>
      <c r="L42" s="56" t="n">
        <v>28.1</v>
      </c>
      <c r="M42" s="56" t="n">
        <v>29.05</v>
      </c>
      <c r="N42" s="56" t="n">
        <v>28.6</v>
      </c>
      <c r="O42" s="56" t="n">
        <v>28.25</v>
      </c>
      <c r="P42" s="56" t="n">
        <v>28.2</v>
      </c>
      <c r="Q42" s="56" t="n">
        <v>27.35</v>
      </c>
      <c r="R42" s="56" t="n">
        <v>29.1</v>
      </c>
      <c r="S42" s="56" t="n">
        <v>28.8</v>
      </c>
      <c r="T42" s="56" t="n">
        <v>27.5</v>
      </c>
      <c r="U42" s="56" t="n">
        <v>26.4</v>
      </c>
      <c r="V42" s="56" t="n">
        <v>27.85</v>
      </c>
      <c r="W42" s="56" t="n">
        <v>27.45</v>
      </c>
      <c r="X42" s="56" t="n">
        <v>27.125</v>
      </c>
      <c r="Y42" s="56" t="n">
        <v>26.45</v>
      </c>
      <c r="Z42" s="56" t="n">
        <v>28.05</v>
      </c>
      <c r="AA42" s="56" t="n">
        <v>28.9</v>
      </c>
      <c r="AB42" s="56" t="n">
        <v>28.5</v>
      </c>
      <c r="AC42" s="56" t="n">
        <v>27.65</v>
      </c>
      <c r="AD42" s="56" t="n">
        <v>27.35</v>
      </c>
      <c r="AE42" s="56" t="n">
        <v>27.45</v>
      </c>
      <c r="AF42" s="56" t="n">
        <v>28.75</v>
      </c>
      <c r="AG42" s="56" t="n">
        <v>29.2</v>
      </c>
      <c r="AH42" s="56" t="n">
        <v>28.6</v>
      </c>
      <c r="AI42" s="56" t="n">
        <v>28.55</v>
      </c>
      <c r="AJ42" s="56" t="n"/>
      <c r="AK42" s="56" t="n"/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28.65</v>
      </c>
      <c r="L43" s="56" t="n">
        <v>30</v>
      </c>
      <c r="M43" s="56" t="n">
        <v>29</v>
      </c>
      <c r="N43" s="56" t="n">
        <v>30.35</v>
      </c>
      <c r="O43" s="56" t="n">
        <v>30.65</v>
      </c>
      <c r="P43" s="56" t="n">
        <v>28.85</v>
      </c>
      <c r="Q43" s="56" t="n">
        <v>28.3</v>
      </c>
      <c r="R43" s="56" t="n">
        <v>30.75</v>
      </c>
      <c r="S43" s="56" t="n">
        <v>31</v>
      </c>
      <c r="T43" s="56" t="n">
        <v>28.5</v>
      </c>
      <c r="U43" s="56" t="n">
        <v>27.4</v>
      </c>
      <c r="V43" s="56" t="n">
        <v>29.05</v>
      </c>
      <c r="W43" s="56" t="n">
        <v>26.8</v>
      </c>
      <c r="X43" s="56" t="n">
        <v>27.65</v>
      </c>
      <c r="Y43" s="56" t="n">
        <v>28.7</v>
      </c>
      <c r="Z43" s="56" t="n">
        <v>28.6</v>
      </c>
      <c r="AA43" s="56" t="n">
        <v>30.75</v>
      </c>
      <c r="AB43" s="56" t="n">
        <v>29.75</v>
      </c>
      <c r="AC43" s="56" t="n">
        <v>27.55</v>
      </c>
      <c r="AD43" s="56" t="n">
        <v>27.5</v>
      </c>
      <c r="AE43" s="56" t="n">
        <v>27.8</v>
      </c>
      <c r="AF43" s="56" t="n">
        <v>28.95</v>
      </c>
      <c r="AG43" s="56" t="n">
        <v>28.8</v>
      </c>
      <c r="AH43" s="56" t="n">
        <v>29.4</v>
      </c>
      <c r="AI43" s="56" t="n">
        <v/>
      </c>
      <c r="AJ43" s="56" t="n"/>
      <c r="AK43" s="56" t="n"/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27.3</v>
      </c>
      <c r="L44" s="56" t="n">
        <v>28.35</v>
      </c>
      <c r="M44" s="56" t="n">
        <v>29.25</v>
      </c>
      <c r="N44" s="56" t="n">
        <v>28.95</v>
      </c>
      <c r="O44" s="56" t="n">
        <v>29.1</v>
      </c>
      <c r="P44" s="56" t="n">
        <v>26.375</v>
      </c>
      <c r="Q44" s="56" t="n">
        <v>26.75</v>
      </c>
      <c r="R44" s="56" t="n">
        <v>29.55</v>
      </c>
      <c r="S44" s="56" t="n">
        <v>30.425</v>
      </c>
      <c r="T44" s="56" t="n">
        <v>27.75</v>
      </c>
      <c r="U44" s="56" t="n">
        <v>27.45</v>
      </c>
      <c r="V44" s="56" t="n">
        <v>28.325</v>
      </c>
      <c r="W44" s="56" t="n">
        <v>29</v>
      </c>
      <c r="X44" s="56" t="n">
        <v>27.375</v>
      </c>
      <c r="Y44" s="56" t="n">
        <v>27.65</v>
      </c>
      <c r="Z44" s="56" t="n">
        <v>28.975</v>
      </c>
      <c r="AA44" s="56" t="n">
        <v>29.625</v>
      </c>
      <c r="AB44" s="56" t="n">
        <v>28.825</v>
      </c>
      <c r="AC44" s="56" t="n">
        <v>27.55</v>
      </c>
      <c r="AD44" s="56" t="n">
        <v>29.475</v>
      </c>
      <c r="AE44" s="56" t="n">
        <v>28.1</v>
      </c>
      <c r="AF44" s="56" t="n">
        <v>28.5</v>
      </c>
      <c r="AG44" s="56" t="n">
        <v>28.075</v>
      </c>
      <c r="AH44" s="56" t="n">
        <v>28.975</v>
      </c>
      <c r="AI44" s="56" t="n">
        <v>27.9</v>
      </c>
      <c r="AJ44" s="56" t="n"/>
      <c r="AK44" s="56" t="n"/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25025080</v>
      </c>
      <c r="B45" s="59" t="inlineStr">
        <is>
          <t>Aeropuerto Rafael Barvo</t>
        </is>
      </c>
      <c r="C45" s="59" t="inlineStr">
        <is>
          <t>Area Operativa 02 - Atlántico-Bolivar-Sucre</t>
        </is>
      </c>
      <c r="D45" s="73" t="n">
        <v>-75.28305555999999</v>
      </c>
      <c r="E45" s="73" t="n">
        <v>9.333888889000001</v>
      </c>
      <c r="F45" s="58" t="n">
        <v>166</v>
      </c>
      <c r="G45" s="58" t="n">
        <v>70</v>
      </c>
      <c r="H45" s="58" t="n">
        <v>70215</v>
      </c>
      <c r="I45" s="60" t="inlineStr">
        <is>
          <t>Sucre</t>
        </is>
      </c>
      <c r="J45" s="60" t="inlineStr">
        <is>
          <t>Corozal</t>
        </is>
      </c>
      <c r="K45" s="56" t="n">
        <v>27.3</v>
      </c>
      <c r="L45" s="56" t="n">
        <v>29</v>
      </c>
      <c r="M45" s="56" t="n">
        <v>28.95</v>
      </c>
      <c r="N45" s="56" t="n">
        <v>29.7</v>
      </c>
      <c r="O45" s="56" t="n">
        <v>30.45</v>
      </c>
      <c r="P45" s="56" t="n">
        <v>28.4</v>
      </c>
      <c r="Q45" s="56" t="n">
        <v>28.4</v>
      </c>
      <c r="R45" s="56" t="n">
        <v>30.35</v>
      </c>
      <c r="S45" s="56" t="n">
        <v>31</v>
      </c>
      <c r="T45" s="56" t="n">
        <v>28.8</v>
      </c>
      <c r="U45" s="56" t="n">
        <v>27.75</v>
      </c>
      <c r="V45" s="56" t="n">
        <v>28.65</v>
      </c>
      <c r="W45" s="56" t="n">
        <v>27.4</v>
      </c>
      <c r="X45" s="56" t="n">
        <v>28.5</v>
      </c>
      <c r="Y45" s="56" t="n">
        <v>28.6</v>
      </c>
      <c r="Z45" s="56" t="n">
        <v>27.95</v>
      </c>
      <c r="AA45" s="56" t="n">
        <v>30.45</v>
      </c>
      <c r="AB45" s="56" t="n">
        <v>30.4</v>
      </c>
      <c r="AC45" s="56" t="n">
        <v>26.15</v>
      </c>
      <c r="AD45" s="56" t="n">
        <v>28.45</v>
      </c>
      <c r="AE45" s="56" t="n">
        <v>27.95</v>
      </c>
      <c r="AF45" s="56" t="n">
        <v>29.3</v>
      </c>
      <c r="AG45" s="56" t="n">
        <v>29.5</v>
      </c>
      <c r="AH45" s="56" t="n">
        <v>28.75</v>
      </c>
      <c r="AI45" s="56" t="n">
        <v>27.25</v>
      </c>
      <c r="AJ45" s="56" t="n"/>
      <c r="AK45" s="56" t="n"/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13075010</v>
      </c>
      <c r="B46" s="59" t="inlineStr">
        <is>
          <t>Chima</t>
        </is>
      </c>
      <c r="C46" s="59" t="inlineStr">
        <is>
          <t>Area Operativa 02 - Atlántico-Bolivar-Sucre</t>
        </is>
      </c>
      <c r="D46" s="73" t="n">
        <v>-75.62208333</v>
      </c>
      <c r="E46" s="73" t="n">
        <v>9.15075</v>
      </c>
      <c r="F46" s="58" t="n">
        <v>20</v>
      </c>
      <c r="G46" s="58" t="n">
        <v>5</v>
      </c>
      <c r="H46" s="58" t="n">
        <v>5172</v>
      </c>
      <c r="I46" s="60" t="inlineStr">
        <is>
          <t>Antioquia</t>
        </is>
      </c>
      <c r="J46" s="60" t="inlineStr">
        <is>
          <t>Chigorodó</t>
        </is>
      </c>
      <c r="K46" s="56" t="n">
        <v>27.75</v>
      </c>
      <c r="L46" s="56" t="n">
        <v>28.4</v>
      </c>
      <c r="M46" s="56" t="n">
        <v>28.9</v>
      </c>
      <c r="N46" s="56" t="n">
        <v>29.05</v>
      </c>
      <c r="O46" s="56" t="n">
        <v>29.5</v>
      </c>
      <c r="P46" s="56" t="n">
        <v>27.9</v>
      </c>
      <c r="Q46" s="56" t="n">
        <v>28.75</v>
      </c>
      <c r="R46" s="56" t="n">
        <v>29.05</v>
      </c>
      <c r="S46" s="56" t="n">
        <v>29.9</v>
      </c>
      <c r="T46" s="56" t="n">
        <v>28.55</v>
      </c>
      <c r="U46" s="56" t="n">
        <v>27.8</v>
      </c>
      <c r="V46" s="56" t="n">
        <v>29.3</v>
      </c>
      <c r="W46" s="56" t="n">
        <v>28.05</v>
      </c>
      <c r="X46" s="56" t="n">
        <v>28.85</v>
      </c>
      <c r="Y46" s="56" t="n">
        <v>28</v>
      </c>
      <c r="Z46" s="56" t="n">
        <v>28.2</v>
      </c>
      <c r="AA46" s="56" t="n">
        <v>28.15</v>
      </c>
      <c r="AB46" s="56" t="n">
        <v>28.8</v>
      </c>
      <c r="AC46" s="56" t="n">
        <v>27.4</v>
      </c>
      <c r="AD46" s="56" t="n">
        <v>28.45</v>
      </c>
      <c r="AE46" s="56" t="n">
        <v>27.55</v>
      </c>
      <c r="AF46" s="56" t="n">
        <v>28.7</v>
      </c>
      <c r="AG46" s="56" t="n">
        <v>28.5</v>
      </c>
      <c r="AH46" s="56" t="n">
        <v>28.7</v>
      </c>
      <c r="AI46" s="56" t="n">
        <v>29.2</v>
      </c>
      <c r="AJ46" s="56" t="n"/>
      <c r="AK46" s="56" t="n"/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13075020</v>
      </c>
      <c r="B47" s="59" t="inlineStr">
        <is>
          <t xml:space="preserve">El Salado </t>
        </is>
      </c>
      <c r="C47" s="59" t="inlineStr">
        <is>
          <t>Area Operativa 02 - Atlántico-Bolivar-Sucre</t>
        </is>
      </c>
      <c r="D47" s="73" t="n">
        <v>-75.58222222000001</v>
      </c>
      <c r="E47" s="73" t="n">
        <v>8.913888889000001</v>
      </c>
      <c r="F47" s="58" t="n">
        <v>40</v>
      </c>
      <c r="G47" s="58" t="n">
        <v>23</v>
      </c>
      <c r="H47" s="58" t="n">
        <v>23189</v>
      </c>
      <c r="I47" s="60" t="inlineStr">
        <is>
          <t>Córdoba</t>
        </is>
      </c>
      <c r="J47" s="60" t="inlineStr">
        <is>
          <t>Ciénaga De Oro</t>
        </is>
      </c>
      <c r="K47" s="56" t="n">
        <v>29.4</v>
      </c>
      <c r="L47" s="56" t="n">
        <v>30.26666666666667</v>
      </c>
      <c r="M47" s="56" t="n">
        <v>30.26666666666667</v>
      </c>
      <c r="N47" s="56" t="n">
        <v>30.73333333333333</v>
      </c>
      <c r="O47" s="56" t="n">
        <v>30.66666666666667</v>
      </c>
      <c r="P47" s="56" t="n">
        <v>28.26666666666667</v>
      </c>
      <c r="Q47" s="56" t="n">
        <v>29.2</v>
      </c>
      <c r="R47" s="56" t="n">
        <v>31.93333333333334</v>
      </c>
      <c r="S47" s="56" t="n">
        <v>31.06666666666667</v>
      </c>
      <c r="T47" s="56" t="n">
        <v>28.66666666666667</v>
      </c>
      <c r="U47" s="56" t="n">
        <v>28.2</v>
      </c>
      <c r="V47" s="56" t="n">
        <v>30.86666666666666</v>
      </c>
      <c r="W47" s="56" t="n">
        <v>26</v>
      </c>
      <c r="X47" s="56" t="n">
        <v>29.2</v>
      </c>
      <c r="Y47" s="56" t="n">
        <v>28.6</v>
      </c>
      <c r="Z47" s="56" t="n">
        <v/>
      </c>
      <c r="AA47" s="56" t="n">
        <v/>
      </c>
      <c r="AB47" s="56" t="n">
        <v/>
      </c>
      <c r="AC47" s="56" t="n">
        <v/>
      </c>
      <c r="AD47" s="56" t="n">
        <v/>
      </c>
      <c r="AE47" s="56" t="n">
        <v/>
      </c>
      <c r="AF47" s="56" t="n">
        <v/>
      </c>
      <c r="AG47" s="56" t="n">
        <v/>
      </c>
      <c r="AH47" s="56" t="n">
        <v/>
      </c>
      <c r="AI47" s="56" t="n">
        <v/>
      </c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13085010</v>
      </c>
      <c r="B48" s="59" t="inlineStr">
        <is>
          <t xml:space="preserve">La Doctrina </t>
        </is>
      </c>
      <c r="C48" s="59" t="inlineStr">
        <is>
          <t>Area Operativa 02 - Atlántico-Bolivar-Sucre</t>
        </is>
      </c>
      <c r="D48" s="73" t="n">
        <v>-75.89277778</v>
      </c>
      <c r="E48" s="73" t="n">
        <v>9.297222222</v>
      </c>
      <c r="F48" s="58" t="n">
        <v>20</v>
      </c>
      <c r="G48" s="58" t="n">
        <v>23</v>
      </c>
      <c r="H48" s="58" t="n">
        <v>23417</v>
      </c>
      <c r="I48" s="60" t="inlineStr">
        <is>
          <t>Córdoba</t>
        </is>
      </c>
      <c r="J48" s="60" t="inlineStr">
        <is>
          <t>Lorica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13085030</v>
      </c>
      <c r="B49" s="59" t="inlineStr">
        <is>
          <t>San Bernardo Del Viento</t>
        </is>
      </c>
      <c r="C49" s="59" t="inlineStr">
        <is>
          <t>Area Operativa 02 - Atlántico-Bolivar-Sucre</t>
        </is>
      </c>
      <c r="D49" s="73" t="n">
        <v>-75.95</v>
      </c>
      <c r="E49" s="73" t="n">
        <v>9.369999999999999</v>
      </c>
      <c r="F49" s="58" t="n">
        <v>22</v>
      </c>
      <c r="G49" s="58" t="n">
        <v>23</v>
      </c>
      <c r="H49" s="58" t="n">
        <v>23675</v>
      </c>
      <c r="I49" s="60" t="inlineStr">
        <is>
          <t>Córdoba</t>
        </is>
      </c>
      <c r="J49" s="60" t="inlineStr">
        <is>
          <t>San Bernardo Del Viento</t>
        </is>
      </c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25025160</v>
      </c>
      <c r="B50" s="59" t="inlineStr">
        <is>
          <t>Cuba Hacienda</t>
        </is>
      </c>
      <c r="C50" s="59" t="inlineStr">
        <is>
          <t>Area Operativa 02 - Atlántico-Bolivar-Sucre</t>
        </is>
      </c>
      <c r="D50" s="73" t="n">
        <v>-75.40277777999999</v>
      </c>
      <c r="E50" s="73" t="n">
        <v>8.003888889000001</v>
      </c>
      <c r="F50" s="58" t="n">
        <v>50</v>
      </c>
      <c r="G50" s="58" t="n">
        <v>23</v>
      </c>
      <c r="H50" s="58" t="n">
        <v>23466</v>
      </c>
      <c r="I50" s="60" t="inlineStr">
        <is>
          <t>Córdoba</t>
        </is>
      </c>
      <c r="J50" s="60" t="inlineStr">
        <is>
          <t>Montelíbano</t>
        </is>
      </c>
      <c r="K50" s="56" t="n">
        <v>28.8</v>
      </c>
      <c r="L50" s="56" t="n">
        <v>27.5</v>
      </c>
      <c r="M50" s="56" t="n">
        <v>29.45</v>
      </c>
      <c r="N50" s="56" t="n">
        <v>28.05</v>
      </c>
      <c r="O50" s="56" t="n">
        <v>27.6</v>
      </c>
      <c r="P50" s="56" t="n">
        <v>25.35</v>
      </c>
      <c r="Q50" s="56" t="n">
        <v>28.55</v>
      </c>
      <c r="R50" s="56" t="n">
        <v>30.4</v>
      </c>
      <c r="S50" s="56" t="n">
        <v>29.9</v>
      </c>
      <c r="T50" s="56" t="n">
        <v>28</v>
      </c>
      <c r="U50" s="56" t="n">
        <v>27.75</v>
      </c>
      <c r="V50" s="56" t="n">
        <v>29.05</v>
      </c>
      <c r="W50" s="56" t="n">
        <v>25.85</v>
      </c>
      <c r="X50" s="56" t="n">
        <v>29.2</v>
      </c>
      <c r="Y50" s="56" t="n">
        <v>27.55</v>
      </c>
      <c r="Z50" s="56" t="n">
        <v>28.55</v>
      </c>
      <c r="AA50" s="56" t="n">
        <v>30.4</v>
      </c>
      <c r="AB50" s="56" t="n">
        <v>29.8</v>
      </c>
      <c r="AC50" s="56" t="n">
        <v>25.75</v>
      </c>
      <c r="AD50" s="56" t="n">
        <v>28.05</v>
      </c>
      <c r="AE50" s="56" t="n">
        <v>28.95</v>
      </c>
      <c r="AF50" s="56" t="n">
        <v>30.3</v>
      </c>
      <c r="AG50" s="56" t="n">
        <v>28.85</v>
      </c>
      <c r="AH50" s="56" t="n">
        <v>30.9</v>
      </c>
      <c r="AI50" s="56" t="n">
        <v>29.9</v>
      </c>
      <c r="AJ50" s="56" t="n"/>
      <c r="AK50" s="56" t="n"/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25025190</v>
      </c>
      <c r="B51" s="59" t="inlineStr">
        <is>
          <t>Planeta Rica  - Aut</t>
        </is>
      </c>
      <c r="C51" s="59" t="inlineStr">
        <is>
          <t>Area Operativa 02 - Atlántico-Bolivar-Sucre</t>
        </is>
      </c>
      <c r="D51" s="73" t="n">
        <v>-75.58372222</v>
      </c>
      <c r="E51" s="73" t="n">
        <v>8.399333333</v>
      </c>
      <c r="F51" s="58" t="n">
        <v>90</v>
      </c>
      <c r="G51" s="58" t="n">
        <v>23</v>
      </c>
      <c r="H51" s="58" t="n">
        <v>23555</v>
      </c>
      <c r="I51" s="60" t="inlineStr">
        <is>
          <t>Córdoba</t>
        </is>
      </c>
      <c r="J51" s="60" t="inlineStr">
        <is>
          <t>Planeta Rica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25025210</v>
      </c>
      <c r="B52" s="59" t="inlineStr">
        <is>
          <t>Pinillos</t>
        </is>
      </c>
      <c r="C52" s="59" t="inlineStr">
        <is>
          <t>Area Operativa 02 - Atlántico-Bolivar-Sucre</t>
        </is>
      </c>
      <c r="D52" s="73" t="n">
        <v>-74.45777778</v>
      </c>
      <c r="E52" s="73" t="n">
        <v>8.911388888999999</v>
      </c>
      <c r="F52" s="58" t="n">
        <v>10</v>
      </c>
      <c r="G52" s="58" t="n">
        <v>13</v>
      </c>
      <c r="H52" s="58" t="n">
        <v>13549</v>
      </c>
      <c r="I52" s="60" t="inlineStr">
        <is>
          <t>Bolívar</t>
        </is>
      </c>
      <c r="J52" s="60" t="inlineStr">
        <is>
          <t>Pinillos</t>
        </is>
      </c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25025270</v>
      </c>
      <c r="B53" s="59" t="inlineStr">
        <is>
          <t>Unisucre Aut</t>
        </is>
      </c>
      <c r="C53" s="59" t="inlineStr">
        <is>
          <t>Area Operativa 02 - Atlántico-Bolivar-Sucre</t>
        </is>
      </c>
      <c r="D53" s="73" t="n">
        <v>-75.3875</v>
      </c>
      <c r="E53" s="73" t="n">
        <v>9.316388889000001</v>
      </c>
      <c r="F53" s="58" t="n">
        <v>160</v>
      </c>
      <c r="G53" s="58" t="n">
        <v>70</v>
      </c>
      <c r="H53" s="58" t="n">
        <v>70670</v>
      </c>
      <c r="I53" s="60" t="inlineStr">
        <is>
          <t>Sucre</t>
        </is>
      </c>
      <c r="J53" s="60" t="inlineStr">
        <is>
          <t>Sampués</t>
        </is>
      </c>
      <c r="K53" s="56" t="n">
        <v>27.85</v>
      </c>
      <c r="L53" s="56" t="n">
        <v>28.35</v>
      </c>
      <c r="M53" s="56" t="n">
        <v>28.7</v>
      </c>
      <c r="N53" s="56" t="n">
        <v>29.55</v>
      </c>
      <c r="O53" s="56" t="n">
        <v>30.15</v>
      </c>
      <c r="P53" s="56" t="n">
        <v>27.85</v>
      </c>
      <c r="Q53" s="56" t="n">
        <v>27.85</v>
      </c>
      <c r="R53" s="56" t="n">
        <v>29.5</v>
      </c>
      <c r="S53" s="56" t="n">
        <v>30.85</v>
      </c>
      <c r="T53" s="56" t="n">
        <v>29.55</v>
      </c>
      <c r="U53" s="56" t="n">
        <v>26.95</v>
      </c>
      <c r="V53" s="56" t="n">
        <v>29.35</v>
      </c>
      <c r="W53" s="56" t="n">
        <v>27.5</v>
      </c>
      <c r="X53" s="56" t="n">
        <v>27.5</v>
      </c>
      <c r="Y53" s="56" t="n">
        <v>28.3</v>
      </c>
      <c r="Z53" s="56" t="n">
        <v>26.95</v>
      </c>
      <c r="AA53" s="56" t="n">
        <v>30</v>
      </c>
      <c r="AB53" s="56" t="n">
        <v>30.4</v>
      </c>
      <c r="AC53" s="56" t="n">
        <v>26.85</v>
      </c>
      <c r="AD53" s="56" t="n">
        <v>27.4</v>
      </c>
      <c r="AE53" s="56" t="n">
        <v>26.8</v>
      </c>
      <c r="AF53" s="56" t="n">
        <v>28.75</v>
      </c>
      <c r="AG53" s="56" t="n">
        <v>28.1</v>
      </c>
      <c r="AH53" s="56" t="n">
        <v>27.7</v>
      </c>
      <c r="AI53" s="56" t="n">
        <v>27.9</v>
      </c>
      <c r="AJ53" s="56" t="n"/>
      <c r="AK53" s="56" t="n"/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25025380</v>
      </c>
      <c r="B54" s="59" t="inlineStr">
        <is>
          <t>San Benito - Aut</t>
        </is>
      </c>
      <c r="C54" s="59" t="inlineStr">
        <is>
          <t>Area Operativa 02 - Atlántico-Bolivar-Sucre</t>
        </is>
      </c>
      <c r="D54" s="73" t="n">
        <v>-75.04472222</v>
      </c>
      <c r="E54" s="73" t="n">
        <v>9.163888889000001</v>
      </c>
      <c r="F54" s="58" t="n">
        <v>20</v>
      </c>
      <c r="G54" s="58" t="n">
        <v>70</v>
      </c>
      <c r="H54" s="58" t="n">
        <v>70678</v>
      </c>
      <c r="I54" s="60" t="inlineStr">
        <is>
          <t>Sucre</t>
        </is>
      </c>
      <c r="J54" s="60" t="inlineStr">
        <is>
          <t>San Benito Abad</t>
        </is>
      </c>
      <c r="K54" s="56" t="n">
        <v>28.25</v>
      </c>
      <c r="L54" s="56" t="n">
        <v>29.9</v>
      </c>
      <c r="M54" s="56" t="n">
        <v>30.7</v>
      </c>
      <c r="N54" s="56" t="n">
        <v>31.05</v>
      </c>
      <c r="O54" s="56" t="n">
        <v>31</v>
      </c>
      <c r="P54" s="56" t="n">
        <v>29.15</v>
      </c>
      <c r="Q54" s="56" t="n">
        <v>29.7</v>
      </c>
      <c r="R54" s="56" t="n">
        <v>31.5</v>
      </c>
      <c r="S54" s="56" t="n">
        <v>31.1</v>
      </c>
      <c r="T54" s="56" t="n">
        <v>29.45</v>
      </c>
      <c r="U54" s="56" t="n">
        <v>28.7</v>
      </c>
      <c r="V54" s="56" t="n">
        <v>30.9</v>
      </c>
      <c r="W54" s="56" t="n">
        <v>26.85</v>
      </c>
      <c r="X54" s="56" t="n">
        <v>30.1</v>
      </c>
      <c r="Y54" s="56" t="n">
        <v>29.3</v>
      </c>
      <c r="Z54" s="56" t="n">
        <v>29.1</v>
      </c>
      <c r="AA54" s="56" t="n">
        <v>30.6</v>
      </c>
      <c r="AB54" s="56" t="n">
        <v>31.6</v>
      </c>
      <c r="AC54" s="56" t="n">
        <v>26</v>
      </c>
      <c r="AD54" s="56" t="n">
        <v>29.85</v>
      </c>
      <c r="AE54" s="56" t="n">
        <v>28.25</v>
      </c>
      <c r="AF54" s="56" t="n">
        <v>29.6</v>
      </c>
      <c r="AG54" s="56" t="n">
        <v>29.1</v>
      </c>
      <c r="AH54" s="56" t="n">
        <v>30.1</v>
      </c>
      <c r="AI54" s="56" t="n">
        <v>28.85</v>
      </c>
      <c r="AJ54" s="56" t="n"/>
      <c r="AK54" s="56" t="n"/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29015000</v>
      </c>
      <c r="B55" s="59" t="inlineStr">
        <is>
          <t>El Guamo - Aut</t>
        </is>
      </c>
      <c r="C55" s="59" t="inlineStr">
        <is>
          <t>Area Operativa 02 - Atlántico-Bolivar-Sucre</t>
        </is>
      </c>
      <c r="D55" s="73" t="n">
        <v>-74.97663799999999</v>
      </c>
      <c r="E55" s="73" t="n">
        <v>10.034607</v>
      </c>
      <c r="F55" s="58" t="n">
        <v>75</v>
      </c>
      <c r="G55" s="58" t="n">
        <v>13</v>
      </c>
      <c r="H55" s="58" t="n">
        <v>13248</v>
      </c>
      <c r="I55" s="60" t="inlineStr">
        <is>
          <t>Bolívar</t>
        </is>
      </c>
      <c r="J55" s="60" t="inlineStr">
        <is>
          <t>El Guamo</t>
        </is>
      </c>
      <c r="K55" s="56" t="n">
        <v/>
      </c>
      <c r="L55" s="56" t="n">
        <v>30.6</v>
      </c>
      <c r="M55" s="56" t="n">
        <v>30.6</v>
      </c>
      <c r="N55" s="56" t="n">
        <v>31.15</v>
      </c>
      <c r="O55" s="56" t="n">
        <v>31.55</v>
      </c>
      <c r="P55" s="56" t="n">
        <v/>
      </c>
      <c r="Q55" s="56" t="n">
        <v>28.9</v>
      </c>
      <c r="R55" s="56" t="n">
        <v>31.35</v>
      </c>
      <c r="S55" s="56" t="n">
        <v>31.25</v>
      </c>
      <c r="T55" s="56" t="n">
        <v>31.1</v>
      </c>
      <c r="U55" s="56" t="n">
        <v>30.65</v>
      </c>
      <c r="V55" s="56" t="n">
        <v/>
      </c>
      <c r="W55" s="56" t="n">
        <v/>
      </c>
      <c r="X55" s="56" t="n">
        <v/>
      </c>
      <c r="Y55" s="56" t="n">
        <v>30.1</v>
      </c>
      <c r="Z55" s="56" t="n">
        <v>30.1</v>
      </c>
      <c r="AA55" s="56" t="n">
        <v>32.15</v>
      </c>
      <c r="AB55" s="56" t="n">
        <v>32.1</v>
      </c>
      <c r="AC55" s="56" t="n">
        <v>26.6</v>
      </c>
      <c r="AD55" s="56" t="n">
        <v>29.75</v>
      </c>
      <c r="AE55" s="56" t="n">
        <v>30.05</v>
      </c>
      <c r="AF55" s="56" t="n">
        <v>29.9</v>
      </c>
      <c r="AG55" s="56" t="n">
        <v>31</v>
      </c>
      <c r="AH55" s="56" t="n">
        <v>30.25</v>
      </c>
      <c r="AI55" s="56" t="n">
        <v>28.45</v>
      </c>
      <c r="AJ55" s="56" t="n"/>
      <c r="AK55" s="56" t="n"/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29035000</v>
      </c>
      <c r="B56" s="59" t="inlineStr">
        <is>
          <t>Sincerin  - Aut</t>
        </is>
      </c>
      <c r="C56" s="59" t="inlineStr">
        <is>
          <t>Area Operativa 02 - Atlántico-Bolivar-Sucre</t>
        </is>
      </c>
      <c r="D56" s="73" t="n">
        <v>-75.27827778</v>
      </c>
      <c r="E56" s="73" t="n">
        <v>10.14258333</v>
      </c>
      <c r="F56" s="58" t="n">
        <v>10</v>
      </c>
      <c r="G56" s="58" t="n">
        <v>13</v>
      </c>
      <c r="H56" s="58" t="n">
        <v>13052</v>
      </c>
      <c r="I56" s="60" t="inlineStr">
        <is>
          <t>Bolívar</t>
        </is>
      </c>
      <c r="J56" s="60" t="inlineStr">
        <is>
          <t>Arjona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29035030</v>
      </c>
      <c r="B57" s="59" t="inlineStr">
        <is>
          <t>Presa Ay Grande</t>
        </is>
      </c>
      <c r="C57" s="59" t="inlineStr">
        <is>
          <t>Area Operativa 02 - Atlántico-Bolivar-Sucre</t>
        </is>
      </c>
      <c r="D57" s="73" t="n">
        <v>-75.326301</v>
      </c>
      <c r="E57" s="73" t="n">
        <v>9.879633999999999</v>
      </c>
      <c r="F57" s="58" t="n">
        <v>60</v>
      </c>
      <c r="G57" s="58" t="n">
        <v>13</v>
      </c>
      <c r="H57" s="58" t="n">
        <v>13442</v>
      </c>
      <c r="I57" s="60" t="inlineStr">
        <is>
          <t>Bolívar</t>
        </is>
      </c>
      <c r="J57" s="60" t="inlineStr">
        <is>
          <t>María La Baja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29035080</v>
      </c>
      <c r="B58" s="59" t="inlineStr">
        <is>
          <t>Normal Manati  - Aut</t>
        </is>
      </c>
      <c r="C58" s="59" t="inlineStr">
        <is>
          <t>Area Operativa 02 - Atlántico-Bolivar-Sucre</t>
        </is>
      </c>
      <c r="D58" s="73" t="n">
        <v>-74.95472599999999</v>
      </c>
      <c r="E58" s="73" t="n">
        <v>10.453966</v>
      </c>
      <c r="F58" s="58" t="n">
        <v>10</v>
      </c>
      <c r="G58" s="58" t="n">
        <v>8</v>
      </c>
      <c r="H58" s="58" t="n">
        <v>8436</v>
      </c>
      <c r="I58" s="60" t="inlineStr">
        <is>
          <t>Atlántico</t>
        </is>
      </c>
      <c r="J58" s="60" t="inlineStr">
        <is>
          <t>Manatí</t>
        </is>
      </c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29035110</v>
      </c>
      <c r="B59" s="59" t="inlineStr">
        <is>
          <t>San Pablo</t>
        </is>
      </c>
      <c r="C59" s="59" t="inlineStr">
        <is>
          <t>Area Operativa 02 - Atlántico-Bolivar-Sucre</t>
        </is>
      </c>
      <c r="D59" s="73" t="n">
        <v>-75.25861111</v>
      </c>
      <c r="E59" s="73" t="n">
        <v>10.04316667</v>
      </c>
      <c r="F59" s="58" t="n">
        <v>20</v>
      </c>
      <c r="G59" s="58" t="n">
        <v>13</v>
      </c>
      <c r="H59" s="58" t="n">
        <v>13442</v>
      </c>
      <c r="I59" s="60" t="inlineStr">
        <is>
          <t>Bolívar</t>
        </is>
      </c>
      <c r="J59" s="60" t="inlineStr">
        <is>
          <t>María La Baja</t>
        </is>
      </c>
      <c r="K59" s="56" t="n">
        <v>27.95</v>
      </c>
      <c r="L59" s="56" t="n">
        <v>30.2</v>
      </c>
      <c r="M59" s="56" t="n">
        <v>28.1</v>
      </c>
      <c r="N59" s="56" t="n">
        <v>27.7</v>
      </c>
      <c r="O59" s="56" t="n">
        <v>28.95</v>
      </c>
      <c r="P59" s="56" t="n">
        <v>26.1</v>
      </c>
      <c r="Q59" s="56" t="n">
        <v>28.75</v>
      </c>
      <c r="R59" s="56" t="n">
        <v>30.7</v>
      </c>
      <c r="S59" s="56" t="n">
        <v>29.9</v>
      </c>
      <c r="T59" s="56" t="n">
        <v>28.75</v>
      </c>
      <c r="U59" s="56" t="n">
        <v>29.15</v>
      </c>
      <c r="V59" s="56" t="n">
        <v>29.9</v>
      </c>
      <c r="W59" s="56" t="n">
        <v>28.45</v>
      </c>
      <c r="X59" s="56" t="n">
        <v>29.9</v>
      </c>
      <c r="Y59" s="56" t="n">
        <v>31.3</v>
      </c>
      <c r="Z59" s="56" t="n">
        <v>29.7</v>
      </c>
      <c r="AA59" s="56" t="n">
        <v>34.09999999999999</v>
      </c>
      <c r="AB59" s="56" t="n">
        <v>29.55</v>
      </c>
      <c r="AC59" s="99" t="n">
        <v>25.15</v>
      </c>
      <c r="AD59" s="56" t="n">
        <v>29.35</v>
      </c>
      <c r="AE59" s="56" t="n">
        <v>29.1</v>
      </c>
      <c r="AF59" s="56" t="n">
        <v>29.05</v>
      </c>
      <c r="AG59" s="56" t="n">
        <v>30.85</v>
      </c>
      <c r="AH59" s="56" t="n">
        <v>29.2</v>
      </c>
      <c r="AI59" s="56" t="n">
        <v>27.95</v>
      </c>
      <c r="AJ59" s="56" t="n"/>
      <c r="AK59" s="56" t="n"/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31015010</v>
      </c>
      <c r="B60" s="59" t="inlineStr">
        <is>
          <t>El Trueno</t>
        </is>
      </c>
      <c r="C60" s="59" t="inlineStr">
        <is>
          <t>Area Operativa 03 - Meta-Guaviare-Guainía</t>
        </is>
      </c>
      <c r="D60" s="73" t="n">
        <v>-72.639861</v>
      </c>
      <c r="E60" s="73" t="n">
        <v>2.372592</v>
      </c>
      <c r="F60" s="58" t="n">
        <v>216</v>
      </c>
      <c r="G60" s="58" t="n">
        <v>95</v>
      </c>
      <c r="H60" s="58" t="n">
        <v>95025</v>
      </c>
      <c r="I60" s="60" t="inlineStr">
        <is>
          <t>Guaviare</t>
        </is>
      </c>
      <c r="J60" s="60" t="inlineStr">
        <is>
          <t>El Retorno</t>
        </is>
      </c>
      <c r="K60" s="56" t="n">
        <v>27.15</v>
      </c>
      <c r="L60" s="56" t="n">
        <v/>
      </c>
      <c r="M60" s="56" t="n">
        <v>28.2</v>
      </c>
      <c r="N60" s="56" t="n">
        <v>26.65</v>
      </c>
      <c r="O60" s="56" t="n">
        <v>24.4</v>
      </c>
      <c r="P60" s="56" t="n">
        <v>26.35</v>
      </c>
      <c r="Q60" s="56" t="n">
        <v>26.1</v>
      </c>
      <c r="R60" s="56" t="n">
        <v>26.1</v>
      </c>
      <c r="S60" s="56" t="n">
        <v/>
      </c>
      <c r="T60" s="56" t="n">
        <v>25.35</v>
      </c>
      <c r="U60" s="56" t="n">
        <v>28.25</v>
      </c>
      <c r="V60" s="56" t="n">
        <v>27.5</v>
      </c>
      <c r="W60" s="56" t="n">
        <v>26.85</v>
      </c>
      <c r="X60" s="56" t="n">
        <v>25.25</v>
      </c>
      <c r="Y60" s="56" t="n">
        <v>24.45</v>
      </c>
      <c r="Z60" s="56" t="n">
        <v/>
      </c>
      <c r="AA60" s="56" t="n">
        <v>27</v>
      </c>
      <c r="AB60" s="56" t="n">
        <v>25.1</v>
      </c>
      <c r="AC60" s="56" t="n">
        <v>24.7</v>
      </c>
      <c r="AD60" s="56" t="n">
        <v>26.35</v>
      </c>
      <c r="AE60" s="56" t="n">
        <v/>
      </c>
      <c r="AF60" s="56" t="n">
        <v>26.9</v>
      </c>
      <c r="AG60" s="56" t="n">
        <v>25.85</v>
      </c>
      <c r="AH60" s="56" t="n">
        <v>27.2</v>
      </c>
      <c r="AI60" s="56" t="n">
        <v>26.45</v>
      </c>
      <c r="AJ60" s="56" t="n"/>
      <c r="AK60" s="56" t="n"/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31095030</v>
      </c>
      <c r="B61" s="59" t="inlineStr">
        <is>
          <t>Puerto Inirida - Aut</t>
        </is>
      </c>
      <c r="C61" s="59" t="inlineStr">
        <is>
          <t>Area Operativa 03 - Meta-Guaviare-Guainía</t>
        </is>
      </c>
      <c r="D61" s="73" t="n">
        <v>-67.91911111</v>
      </c>
      <c r="E61" s="73" t="n">
        <v>3.874444</v>
      </c>
      <c r="F61" s="58" t="n">
        <v>98</v>
      </c>
      <c r="G61" s="58" t="n">
        <v>94</v>
      </c>
      <c r="H61" s="58" t="n">
        <v>94001</v>
      </c>
      <c r="I61" s="60" t="inlineStr">
        <is>
          <t>Guainía</t>
        </is>
      </c>
      <c r="J61" s="60" t="inlineStr">
        <is>
          <t>Inírida</t>
        </is>
      </c>
      <c r="K61" s="56" t="n">
        <v>27.95</v>
      </c>
      <c r="L61" s="56" t="n">
        <v>28.35</v>
      </c>
      <c r="M61" s="56" t="n">
        <v>28.25</v>
      </c>
      <c r="N61" s="56" t="n">
        <v>28.3</v>
      </c>
      <c r="O61" s="56" t="n">
        <v>28.15</v>
      </c>
      <c r="P61" s="56" t="n">
        <v>26.7</v>
      </c>
      <c r="Q61" s="56" t="n">
        <v>27.85</v>
      </c>
      <c r="R61" s="56" t="n">
        <v>27.05</v>
      </c>
      <c r="S61" s="56" t="n">
        <v>28.35</v>
      </c>
      <c r="T61" s="56" t="n">
        <v>26.5</v>
      </c>
      <c r="U61" s="56" t="n">
        <v>27.15</v>
      </c>
      <c r="V61" s="56" t="n">
        <v>26.95</v>
      </c>
      <c r="W61" s="56" t="n">
        <v>27.5</v>
      </c>
      <c r="X61" s="56" t="n">
        <v>29.4</v>
      </c>
      <c r="Y61" s="56" t="n">
        <v>26.9</v>
      </c>
      <c r="Z61" s="56" t="n">
        <v>26.9</v>
      </c>
      <c r="AA61" s="56" t="n">
        <v>28.25</v>
      </c>
      <c r="AB61" s="56" t="n">
        <v>27.15</v>
      </c>
      <c r="AC61" s="56" t="n">
        <v>28.8</v>
      </c>
      <c r="AD61" s="56" t="n">
        <v>26.4</v>
      </c>
      <c r="AE61" s="56" t="n">
        <v>29.75</v>
      </c>
      <c r="AF61" s="56" t="n">
        <v>29.65</v>
      </c>
      <c r="AG61" s="56" t="n">
        <v>27.8</v>
      </c>
      <c r="AH61" s="56" t="n">
        <v>25.3</v>
      </c>
      <c r="AI61" s="56" t="n">
        <v>28.55</v>
      </c>
      <c r="AJ61" s="56" t="n"/>
      <c r="AK61" s="56" t="n"/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32035010</v>
      </c>
      <c r="B62" s="59" t="inlineStr">
        <is>
          <t>La Macarena</t>
        </is>
      </c>
      <c r="C62" s="59" t="inlineStr">
        <is>
          <t>Area Operativa 03 - Meta-Guaviare-Guainía</t>
        </is>
      </c>
      <c r="D62" s="73" t="n">
        <v>-73.79347199999999</v>
      </c>
      <c r="E62" s="73" t="n">
        <v>2.176139</v>
      </c>
      <c r="F62" s="58" t="n">
        <v>227</v>
      </c>
      <c r="G62" s="58" t="n">
        <v>50</v>
      </c>
      <c r="H62" s="58" t="n">
        <v>50350</v>
      </c>
      <c r="I62" s="60" t="inlineStr">
        <is>
          <t>Meta</t>
        </is>
      </c>
      <c r="J62" s="60" t="inlineStr">
        <is>
          <t>La Macarena</t>
        </is>
      </c>
      <c r="K62" s="56" t="n">
        <v>29</v>
      </c>
      <c r="L62" s="56" t="n">
        <v>28.26666666666667</v>
      </c>
      <c r="M62" s="56" t="n">
        <v>29</v>
      </c>
      <c r="N62" s="56" t="n">
        <v>27.86666666666666</v>
      </c>
      <c r="O62" s="56" t="n">
        <v>28</v>
      </c>
      <c r="P62" s="56" t="n">
        <v>26.86666666666666</v>
      </c>
      <c r="Q62" s="56" t="n">
        <v>27.93333333333333</v>
      </c>
      <c r="R62" s="56" t="n">
        <v>27.33333333333333</v>
      </c>
      <c r="S62" s="56" t="n">
        <v>26.06666666666666</v>
      </c>
      <c r="T62" s="56" t="n">
        <v>26.66666666666667</v>
      </c>
      <c r="U62" s="56" t="n">
        <v>27.26666666666667</v>
      </c>
      <c r="V62" s="56" t="n">
        <v>26.33333333333333</v>
      </c>
      <c r="W62" s="56" t="n">
        <v>27.2</v>
      </c>
      <c r="X62" s="56" t="n">
        <v>26.86666666666666</v>
      </c>
      <c r="Y62" s="56" t="n">
        <v>26.6</v>
      </c>
      <c r="Z62" s="56" t="n">
        <v>27.53333333333333</v>
      </c>
      <c r="AA62" s="56" t="n">
        <v>27.33333333333333</v>
      </c>
      <c r="AB62" s="56" t="n">
        <v>28.2</v>
      </c>
      <c r="AC62" s="56" t="n">
        <v>26.13333333333334</v>
      </c>
      <c r="AD62" s="56" t="n">
        <v>29.13333333333334</v>
      </c>
      <c r="AE62" s="56" t="n">
        <v>28.53333333333333</v>
      </c>
      <c r="AF62" s="56" t="n">
        <v>29</v>
      </c>
      <c r="AG62" s="56" t="n">
        <v>28.33333333333333</v>
      </c>
      <c r="AH62" s="56" t="n">
        <v>26.66666666666667</v>
      </c>
      <c r="AI62" s="56" t="n">
        <v>27.93333333333333</v>
      </c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32075050</v>
      </c>
      <c r="B63" s="59" t="inlineStr">
        <is>
          <t>Mesetas</t>
        </is>
      </c>
      <c r="C63" s="59" t="inlineStr">
        <is>
          <t>Area Operativa 03 - Meta-Guaviare-Guainía</t>
        </is>
      </c>
      <c r="D63" s="73" t="n">
        <v>-74.04300000000001</v>
      </c>
      <c r="E63" s="73" t="n">
        <v>3.38008</v>
      </c>
      <c r="F63" s="58" t="n">
        <v>556</v>
      </c>
      <c r="G63" s="58" t="n">
        <v>50</v>
      </c>
      <c r="H63" s="58" t="n">
        <v>50330</v>
      </c>
      <c r="I63" s="60" t="inlineStr">
        <is>
          <t>Meta</t>
        </is>
      </c>
      <c r="J63" s="60" t="inlineStr">
        <is>
          <t>Mesetas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32155010</v>
      </c>
      <c r="B64" s="59" t="inlineStr">
        <is>
          <t>Mapiripana</t>
        </is>
      </c>
      <c r="C64" s="59" t="inlineStr">
        <is>
          <t>Area Operativa 03 - Meta-Guaviare-Guainía</t>
        </is>
      </c>
      <c r="D64" s="73" t="n">
        <v>-70.475139</v>
      </c>
      <c r="E64" s="73" t="n">
        <v>2.811778</v>
      </c>
      <c r="F64" s="58" t="n">
        <v>154</v>
      </c>
      <c r="G64" s="58" t="n">
        <v>94</v>
      </c>
      <c r="H64" s="58" t="n">
        <v>94343</v>
      </c>
      <c r="I64" s="60" t="inlineStr">
        <is>
          <t>Guainía</t>
        </is>
      </c>
      <c r="J64" s="60" t="inlineStr">
        <is>
          <t>Barrancominas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33055010</v>
      </c>
      <c r="B65" s="59" t="inlineStr">
        <is>
          <t>Cumaribo</t>
        </is>
      </c>
      <c r="C65" s="59" t="inlineStr">
        <is>
          <t>Area Operativa 03 - Meta-Guaviare-Guainía</t>
        </is>
      </c>
      <c r="D65" s="73" t="n">
        <v>-69.81230600000001</v>
      </c>
      <c r="E65" s="73" t="n">
        <v>4.494806</v>
      </c>
      <c r="F65" s="58" t="n">
        <v>158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26.65</v>
      </c>
      <c r="L65" s="56" t="n">
        <v>26.35</v>
      </c>
      <c r="M65" s="56" t="n">
        <v>26.3</v>
      </c>
      <c r="N65" s="56" t="n">
        <v>26.6</v>
      </c>
      <c r="O65" s="56" t="n">
        <v>27.95</v>
      </c>
      <c r="P65" s="56" t="n">
        <v>25.5</v>
      </c>
      <c r="Q65" s="56" t="n">
        <v>25.9</v>
      </c>
      <c r="R65" s="56" t="n">
        <v>26.4</v>
      </c>
      <c r="S65" s="56" t="n">
        <v>27.1</v>
      </c>
      <c r="T65" s="56" t="n">
        <v>23.85</v>
      </c>
      <c r="U65" s="56" t="n">
        <v/>
      </c>
      <c r="V65" s="56" t="n">
        <v/>
      </c>
      <c r="W65" s="56" t="n">
        <v>25.4</v>
      </c>
      <c r="X65" s="56" t="n">
        <v>27.05</v>
      </c>
      <c r="Y65" s="56" t="n">
        <v>23.85</v>
      </c>
      <c r="Z65" s="56" t="n">
        <v>25.9</v>
      </c>
      <c r="AA65" s="56" t="n">
        <v>27.15</v>
      </c>
      <c r="AB65" s="56" t="n">
        <v>26.55</v>
      </c>
      <c r="AC65" s="56" t="n">
        <v>26.8</v>
      </c>
      <c r="AD65" s="56" t="n">
        <v>27.75</v>
      </c>
      <c r="AE65" s="56" t="n">
        <v>27.175</v>
      </c>
      <c r="AF65" s="56" t="n">
        <v>28.45</v>
      </c>
      <c r="AG65" s="56" t="n">
        <v>28.1</v>
      </c>
      <c r="AH65" s="56" t="n">
        <v>25.8</v>
      </c>
      <c r="AI65" s="56" t="n">
        <v>27.5</v>
      </c>
      <c r="AJ65" s="56" t="n"/>
      <c r="AK65" s="56" t="n"/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34015010</v>
      </c>
      <c r="B66" s="59" t="inlineStr">
        <is>
          <t>Las Gaviotas</t>
        </is>
      </c>
      <c r="C66" s="59" t="inlineStr">
        <is>
          <t>Area Operativa 03 - Meta-Guaviare-Guainía</t>
        </is>
      </c>
      <c r="D66" s="73" t="n">
        <v>-70.93022499999999</v>
      </c>
      <c r="E66" s="73" t="n">
        <v>4.553891</v>
      </c>
      <c r="F66" s="58" t="n">
        <v>173</v>
      </c>
      <c r="G66" s="58" t="n">
        <v>99</v>
      </c>
      <c r="H66" s="58" t="n">
        <v>99773</v>
      </c>
      <c r="I66" s="60" t="inlineStr">
        <is>
          <t>Vichada</t>
        </is>
      </c>
      <c r="J66" s="60" t="inlineStr">
        <is>
          <t>Cumaribo</t>
        </is>
      </c>
      <c r="K66" s="56" t="n">
        <v>26.95</v>
      </c>
      <c r="L66" s="56" t="n">
        <v>27.9</v>
      </c>
      <c r="M66" s="56" t="n">
        <v>26.6</v>
      </c>
      <c r="N66" s="56" t="n">
        <v>27.05</v>
      </c>
      <c r="O66" s="56" t="n">
        <v>26.9</v>
      </c>
      <c r="P66" s="56" t="n">
        <v>25.6</v>
      </c>
      <c r="Q66" s="56" t="n">
        <v>25.95</v>
      </c>
      <c r="R66" s="56" t="n">
        <v>27.05</v>
      </c>
      <c r="S66" s="56" t="n">
        <v>26.35</v>
      </c>
      <c r="T66" s="56" t="n">
        <v>23.85</v>
      </c>
      <c r="U66" s="56" t="n">
        <v>26.3</v>
      </c>
      <c r="V66" s="56" t="n">
        <v>28</v>
      </c>
      <c r="W66" s="56" t="n">
        <v>26.1</v>
      </c>
      <c r="X66" s="56" t="n">
        <v>26.95</v>
      </c>
      <c r="Y66" s="56" t="n">
        <v>24.15</v>
      </c>
      <c r="Z66" s="56" t="n">
        <v>25.9</v>
      </c>
      <c r="AA66" s="56" t="n">
        <v>27.6</v>
      </c>
      <c r="AB66" s="56" t="n">
        <v>26.8</v>
      </c>
      <c r="AC66" s="56" t="n">
        <v>26.65</v>
      </c>
      <c r="AD66" s="56" t="n">
        <v>26.7</v>
      </c>
      <c r="AE66" s="56" t="n">
        <v>28.85</v>
      </c>
      <c r="AF66" s="56" t="n">
        <v>27.65</v>
      </c>
      <c r="AG66" s="56" t="n">
        <v>27.35</v>
      </c>
      <c r="AH66" s="56" t="n">
        <v>25.65</v>
      </c>
      <c r="AI66" s="56" t="n">
        <v>27.46666666666667</v>
      </c>
      <c r="AJ66" s="56" t="n"/>
      <c r="AK66" s="56" t="n"/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35025110</v>
      </c>
      <c r="B67" s="59" t="inlineStr">
        <is>
          <t>La Libertad - Aut</t>
        </is>
      </c>
      <c r="C67" s="59" t="inlineStr">
        <is>
          <t>Area Operativa 03 - Meta-Guaviare-Guainía</t>
        </is>
      </c>
      <c r="D67" s="73" t="n">
        <v>-73.467865</v>
      </c>
      <c r="E67" s="73" t="n">
        <v>4.057415</v>
      </c>
      <c r="F67" s="58" t="n">
        <v>340</v>
      </c>
      <c r="G67" s="58" t="n">
        <v>50</v>
      </c>
      <c r="H67" s="58" t="n">
        <v>50001</v>
      </c>
      <c r="I67" s="60" t="inlineStr">
        <is>
          <t>Meta</t>
        </is>
      </c>
      <c r="J67" s="60" t="inlineStr">
        <is>
          <t>Villavicencio</t>
        </is>
      </c>
      <c r="K67" s="56" t="n">
        <v>28.2</v>
      </c>
      <c r="L67" s="56" t="n">
        <v>26.9</v>
      </c>
      <c r="M67" s="56" t="n">
        <v>26.75</v>
      </c>
      <c r="N67" s="56" t="n">
        <v>26.75</v>
      </c>
      <c r="O67" s="56" t="n">
        <v>26.55</v>
      </c>
      <c r="P67" s="56" t="n">
        <v>27.65</v>
      </c>
      <c r="Q67" s="56" t="n">
        <v>27.15</v>
      </c>
      <c r="R67" s="56" t="n">
        <v>25.9</v>
      </c>
      <c r="S67" s="56" t="n">
        <v>25.375</v>
      </c>
      <c r="T67" s="56" t="n">
        <v>26.3</v>
      </c>
      <c r="U67" s="56" t="n">
        <v>27.7</v>
      </c>
      <c r="V67" s="56" t="n">
        <v>27.1</v>
      </c>
      <c r="W67" s="56" t="n">
        <v/>
      </c>
      <c r="X67" s="56" t="n">
        <v>26.45</v>
      </c>
      <c r="Y67" s="56" t="n">
        <v>25.55</v>
      </c>
      <c r="Z67" s="56" t="n">
        <v>26.55</v>
      </c>
      <c r="AA67" s="56" t="n">
        <v>26.35</v>
      </c>
      <c r="AB67" s="56" t="n">
        <v>25.2</v>
      </c>
      <c r="AC67" s="56" t="n">
        <v>25.9</v>
      </c>
      <c r="AD67" s="56" t="n">
        <v>27.7</v>
      </c>
      <c r="AE67" s="56" t="n">
        <v>28.95</v>
      </c>
      <c r="AF67" s="56" t="n">
        <v>30.4</v>
      </c>
      <c r="AG67" s="56" t="n">
        <v>29.3</v>
      </c>
      <c r="AH67" s="56" t="n">
        <v>25.35</v>
      </c>
      <c r="AI67" s="56" t="n">
        <v>27.85</v>
      </c>
      <c r="AJ67" s="56" t="n"/>
      <c r="AK67" s="56" t="n"/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35045020</v>
      </c>
      <c r="B68" s="59" t="inlineStr">
        <is>
          <t>Hacienda La Cabaña</t>
        </is>
      </c>
      <c r="C68" s="59" t="inlineStr">
        <is>
          <t>Area Operativa 03 - Meta-Guaviare-Guainía</t>
        </is>
      </c>
      <c r="D68" s="73" t="n">
        <v>-73.3575</v>
      </c>
      <c r="E68" s="73" t="n">
        <v>4.300444444</v>
      </c>
      <c r="F68" s="58" t="n">
        <v>310</v>
      </c>
      <c r="G68" s="58" t="n">
        <v>50</v>
      </c>
      <c r="H68" s="58" t="n">
        <v>50226</v>
      </c>
      <c r="I68" s="60" t="inlineStr">
        <is>
          <t>Meta</t>
        </is>
      </c>
      <c r="J68" s="60" t="inlineStr">
        <is>
          <t>Cumaral</t>
        </is>
      </c>
      <c r="K68" s="56" t="n">
        <v>26.25</v>
      </c>
      <c r="L68" s="56" t="n">
        <v>24.75</v>
      </c>
      <c r="M68" s="56" t="n">
        <v>26.15</v>
      </c>
      <c r="N68" s="56" t="n">
        <v>26.1</v>
      </c>
      <c r="O68" s="56" t="n">
        <v>24.85</v>
      </c>
      <c r="P68" s="56" t="n">
        <v>25.3</v>
      </c>
      <c r="Q68" s="56" t="n">
        <v>24.9</v>
      </c>
      <c r="R68" s="56" t="n">
        <v>25.05</v>
      </c>
      <c r="S68" s="56" t="n">
        <v>25.15</v>
      </c>
      <c r="T68" s="56" t="n">
        <v>26.75</v>
      </c>
      <c r="U68" s="56" t="n">
        <v>25.5</v>
      </c>
      <c r="V68" s="56" t="n">
        <v>26.1</v>
      </c>
      <c r="W68" s="56" t="n">
        <v>26</v>
      </c>
      <c r="X68" s="56" t="n">
        <v>26.1</v>
      </c>
      <c r="Y68" s="56" t="n">
        <v>25</v>
      </c>
      <c r="Z68" s="56" t="n">
        <v>25.7</v>
      </c>
      <c r="AA68" s="56" t="n">
        <v>24.95</v>
      </c>
      <c r="AB68" s="56" t="n">
        <v>24.25</v>
      </c>
      <c r="AC68" s="56" t="n">
        <v>25.55</v>
      </c>
      <c r="AD68" s="56" t="n">
        <v>25.9</v>
      </c>
      <c r="AE68" s="56" t="n">
        <v>26.75</v>
      </c>
      <c r="AF68" s="56" t="n">
        <v>27.4</v>
      </c>
      <c r="AG68" s="56" t="n">
        <v>28.3</v>
      </c>
      <c r="AH68" s="56" t="n">
        <v>25.1</v>
      </c>
      <c r="AI68" s="56" t="n">
        <v>25.75</v>
      </c>
      <c r="AJ68" s="56" t="n"/>
      <c r="AK68" s="56" t="n"/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35095110</v>
      </c>
      <c r="B69" s="59" t="inlineStr">
        <is>
          <t>Huerta La Grande</t>
        </is>
      </c>
      <c r="C69" s="59" t="inlineStr">
        <is>
          <t>Area Operativa 03 - Meta-Guaviare-Guainía</t>
        </is>
      </c>
      <c r="D69" s="73" t="n">
        <v>-72.915458</v>
      </c>
      <c r="E69" s="73" t="n">
        <v>4.65144</v>
      </c>
      <c r="F69" s="58" t="n">
        <v>345</v>
      </c>
      <c r="G69" s="58" t="n">
        <v>85</v>
      </c>
      <c r="H69" s="58" t="n">
        <v>85440</v>
      </c>
      <c r="I69" s="60" t="inlineStr">
        <is>
          <t>Casanare</t>
        </is>
      </c>
      <c r="J69" s="60" t="inlineStr">
        <is>
          <t>Villanueva</t>
        </is>
      </c>
      <c r="K69" s="56" t="n">
        <v>27.35</v>
      </c>
      <c r="L69" s="56" t="n">
        <v>27.35</v>
      </c>
      <c r="M69" s="56" t="n">
        <v>26.65</v>
      </c>
      <c r="N69" s="56" t="n">
        <v>26.1</v>
      </c>
      <c r="O69" s="56" t="n">
        <v>25.55</v>
      </c>
      <c r="P69" s="56" t="n">
        <v>26.5</v>
      </c>
      <c r="Q69" s="56" t="n">
        <v>24.8</v>
      </c>
      <c r="R69" s="56" t="n">
        <v>26.5</v>
      </c>
      <c r="S69" s="56" t="n">
        <v>24.95</v>
      </c>
      <c r="T69" s="56" t="n">
        <v>24.85</v>
      </c>
      <c r="U69" s="56" t="n">
        <v>26.4</v>
      </c>
      <c r="V69" s="56" t="n">
        <v>25.2</v>
      </c>
      <c r="W69" s="56" t="n">
        <v>25.05</v>
      </c>
      <c r="X69" s="56" t="n">
        <v>26.65</v>
      </c>
      <c r="Y69" s="56" t="n">
        <v>24</v>
      </c>
      <c r="Z69" s="56" t="n">
        <v>25.7</v>
      </c>
      <c r="AA69" s="56" t="n">
        <v>26.75</v>
      </c>
      <c r="AB69" s="56" t="n">
        <v>24.55</v>
      </c>
      <c r="AC69" s="56" t="n">
        <v>25.8</v>
      </c>
      <c r="AD69" s="56" t="n">
        <v>27</v>
      </c>
      <c r="AE69" s="56" t="n">
        <v>27.35</v>
      </c>
      <c r="AF69" s="56" t="n">
        <v>28.05</v>
      </c>
      <c r="AG69" s="56" t="n">
        <v>27.45</v>
      </c>
      <c r="AH69" s="56" t="n">
        <v>23.4</v>
      </c>
      <c r="AI69" s="56" t="n">
        <v>25.525</v>
      </c>
      <c r="AJ69" s="56" t="n"/>
      <c r="AK69" s="56" t="n"/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35105050</v>
      </c>
      <c r="B70" s="59" t="inlineStr">
        <is>
          <t>Guaicaramo</t>
        </is>
      </c>
      <c r="C70" s="59" t="inlineStr">
        <is>
          <t>Area Operativa 03 - Meta-Guaviare-Guainía</t>
        </is>
      </c>
      <c r="D70" s="73" t="n">
        <v>-72.95363999999999</v>
      </c>
      <c r="E70" s="73" t="n">
        <v>4.46865</v>
      </c>
      <c r="F70" s="58" t="n">
        <v>199</v>
      </c>
      <c r="G70" s="58" t="n">
        <v>50</v>
      </c>
      <c r="H70" s="58" t="n">
        <v>50110</v>
      </c>
      <c r="I70" s="60" t="inlineStr">
        <is>
          <t>Meta</t>
        </is>
      </c>
      <c r="J70" s="60" t="inlineStr">
        <is>
          <t>Barranca De Upía</t>
        </is>
      </c>
      <c r="K70" s="56" t="n">
        <v>28.93333333333334</v>
      </c>
      <c r="L70" s="56" t="n">
        <v>28.13333333333334</v>
      </c>
      <c r="M70" s="56" t="n">
        <v>28.2</v>
      </c>
      <c r="N70" s="56" t="n">
        <v>27.86666666666666</v>
      </c>
      <c r="O70" s="56" t="n">
        <v>26.13333333333334</v>
      </c>
      <c r="P70" s="56" t="n">
        <v>27.66666666666667</v>
      </c>
      <c r="Q70" s="56" t="n">
        <v>26.53333333333333</v>
      </c>
      <c r="R70" s="56" t="n">
        <v>28.33333333333333</v>
      </c>
      <c r="S70" s="56" t="n">
        <v>25.53333333333333</v>
      </c>
      <c r="T70" s="56" t="n">
        <v>25.46666666666667</v>
      </c>
      <c r="U70" s="56" t="n">
        <v>27.8</v>
      </c>
      <c r="V70" s="56" t="n">
        <v>28.46666666666667</v>
      </c>
      <c r="W70" s="56" t="n">
        <v>25.4</v>
      </c>
      <c r="X70" s="56" t="n">
        <v>27.6</v>
      </c>
      <c r="Y70" s="56" t="n">
        <v>27.26666666666667</v>
      </c>
      <c r="Z70" s="56" t="n">
        <v>27.26666666666667</v>
      </c>
      <c r="AA70" s="56" t="n">
        <v>28.13333333333334</v>
      </c>
      <c r="AB70" s="56" t="n">
        <v>26.6</v>
      </c>
      <c r="AC70" s="56" t="n">
        <v>27.6</v>
      </c>
      <c r="AD70" s="56" t="n">
        <v>28.73333333333333</v>
      </c>
      <c r="AE70" s="56" t="n">
        <v>29.86666666666666</v>
      </c>
      <c r="AF70" s="56" t="n">
        <v>29.26666666666667</v>
      </c>
      <c r="AG70" s="56" t="n">
        <v>29.46666666666667</v>
      </c>
      <c r="AH70" s="56" t="n">
        <v>25.6</v>
      </c>
      <c r="AI70" s="56" t="n">
        <v>28.4</v>
      </c>
      <c r="AJ70" s="56" t="n"/>
      <c r="AK70" s="56" t="n"/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35225030</v>
      </c>
      <c r="B71" s="59" t="inlineStr">
        <is>
          <t>Modulos - Aut</t>
        </is>
      </c>
      <c r="C71" s="59" t="inlineStr">
        <is>
          <t>Area Operativa 03 - Meta-Guaviare-Guainía</t>
        </is>
      </c>
      <c r="D71" s="73" t="n">
        <v>-71.433083</v>
      </c>
      <c r="E71" s="73" t="n">
        <v>4.910528</v>
      </c>
      <c r="F71" s="58" t="n">
        <v>139</v>
      </c>
      <c r="G71" s="58" t="n">
        <v>85</v>
      </c>
      <c r="H71" s="58" t="n">
        <v>85230</v>
      </c>
      <c r="I71" s="60" t="inlineStr">
        <is>
          <t>Casanare</t>
        </is>
      </c>
      <c r="J71" s="60" t="inlineStr">
        <is>
          <t>Orocué</t>
        </is>
      </c>
      <c r="K71" s="56" t="n">
        <v>27.5</v>
      </c>
      <c r="L71" s="56" t="n">
        <v>27.23333333333333</v>
      </c>
      <c r="M71" s="56" t="n">
        <v>27.76666666666667</v>
      </c>
      <c r="N71" s="56" t="n">
        <v>26.6</v>
      </c>
      <c r="O71" s="56" t="n">
        <v/>
      </c>
      <c r="P71" s="56" t="n">
        <v/>
      </c>
      <c r="Q71" s="56" t="n">
        <v>27.4</v>
      </c>
      <c r="R71" s="56" t="n">
        <v>27.96666666666667</v>
      </c>
      <c r="S71" s="56" t="n">
        <v>27.3</v>
      </c>
      <c r="T71" s="56" t="n">
        <v>25.23333333333333</v>
      </c>
      <c r="U71" s="56" t="n">
        <v>27.03333333333333</v>
      </c>
      <c r="V71" s="56" t="n">
        <v>27.63333333333334</v>
      </c>
      <c r="W71" s="56" t="n">
        <v>26.56666666666666</v>
      </c>
      <c r="X71" s="56" t="n">
        <v>27.53333333333333</v>
      </c>
      <c r="Y71" s="56" t="n">
        <v>27.26666666666667</v>
      </c>
      <c r="Z71" s="56" t="n">
        <v>27.5</v>
      </c>
      <c r="AA71" s="56" t="n">
        <v>27.8</v>
      </c>
      <c r="AB71" s="56" t="n">
        <v>27.6</v>
      </c>
      <c r="AC71" s="56" t="n">
        <v>26.7</v>
      </c>
      <c r="AD71" s="56" t="n">
        <v>27.63333333333333</v>
      </c>
      <c r="AE71" s="56" t="n">
        <v>28.53333333333333</v>
      </c>
      <c r="AF71" s="56" t="n">
        <v>29.36666666666666</v>
      </c>
      <c r="AG71" s="56" t="n">
        <v>27.93333333333333</v>
      </c>
      <c r="AH71" s="56" t="n">
        <v>25.4</v>
      </c>
      <c r="AI71" s="56" t="n">
        <v>26.63333333333334</v>
      </c>
      <c r="AJ71" s="56" t="n"/>
      <c r="AK71" s="56" t="n"/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42075010</v>
      </c>
      <c r="B72" s="59" t="inlineStr">
        <is>
          <t>Mitu</t>
        </is>
      </c>
      <c r="C72" s="59" t="inlineStr">
        <is>
          <t>Area Operativa 03 - Meta-Guaviare-Guainía</t>
        </is>
      </c>
      <c r="D72" s="73" t="n">
        <v>-70.239204</v>
      </c>
      <c r="E72" s="73" t="n">
        <v>1.259702</v>
      </c>
      <c r="F72" s="58" t="n">
        <v>168</v>
      </c>
      <c r="G72" s="58" t="n">
        <v>97</v>
      </c>
      <c r="H72" s="58" t="n">
        <v>97001</v>
      </c>
      <c r="I72" s="60" t="inlineStr">
        <is>
          <t>Vaupés</t>
        </is>
      </c>
      <c r="J72" s="60" t="inlineStr">
        <is>
          <t>Mitú</t>
        </is>
      </c>
      <c r="K72" s="56" t="n">
        <v>27.2</v>
      </c>
      <c r="L72" s="56" t="n">
        <v>26.16666666666667</v>
      </c>
      <c r="M72" s="56" t="n">
        <v>26.96666666666667</v>
      </c>
      <c r="N72" s="56" t="n">
        <v>25.73333333333333</v>
      </c>
      <c r="O72" s="56" t="n">
        <v>25.7</v>
      </c>
      <c r="P72" s="56" t="n">
        <v>26.23333333333333</v>
      </c>
      <c r="Q72" s="56" t="n">
        <v>26.53333333333333</v>
      </c>
      <c r="R72" s="56" t="n">
        <v>23.83333333333333</v>
      </c>
      <c r="S72" s="56" t="n">
        <v>27.16666666666667</v>
      </c>
      <c r="T72" s="56" t="n">
        <v>26.3</v>
      </c>
      <c r="U72" s="56" t="n">
        <v>25.6</v>
      </c>
      <c r="V72" s="56" t="n">
        <v>26.6</v>
      </c>
      <c r="W72" s="56" t="n">
        <v>26.86666666666666</v>
      </c>
      <c r="X72" s="56" t="n">
        <v>25.1</v>
      </c>
      <c r="Y72" s="56" t="n">
        <v>24.13333333333334</v>
      </c>
      <c r="Z72" s="56" t="n">
        <v>26.9</v>
      </c>
      <c r="AA72" s="56" t="n">
        <v>25.53333333333333</v>
      </c>
      <c r="AB72" s="56" t="n">
        <v>26.46666666666667</v>
      </c>
      <c r="AC72" s="56" t="n">
        <v>25.46666666666667</v>
      </c>
      <c r="AD72" s="56" t="n">
        <v>26.83333333333333</v>
      </c>
      <c r="AE72" s="56" t="n">
        <v>28.56666666666667</v>
      </c>
      <c r="AF72" s="56" t="n">
        <v>24.03333333333333</v>
      </c>
      <c r="AG72" s="56" t="n">
        <v>23.2</v>
      </c>
      <c r="AH72" s="56" t="n">
        <v/>
      </c>
      <c r="AI72" s="56" t="n">
        <v/>
      </c>
      <c r="AJ72" s="56" t="n"/>
      <c r="AK72" s="56" t="n"/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3502500006</v>
      </c>
      <c r="B73" s="59" t="inlineStr">
        <is>
          <t>Morichal</t>
        </is>
      </c>
      <c r="C73" s="59" t="inlineStr">
        <is>
          <t>Area Operativa 03 - Meta-Guaviare-Guainía</t>
        </is>
      </c>
      <c r="D73" s="73" t="n">
        <v>-73.24296388899999</v>
      </c>
      <c r="E73" s="73" t="n">
        <v>3.932547222</v>
      </c>
      <c r="F73" s="58" t="n">
        <v>277</v>
      </c>
      <c r="G73" s="58" t="n">
        <v>50</v>
      </c>
      <c r="H73" s="58" t="n">
        <v>50680</v>
      </c>
      <c r="I73" s="60" t="inlineStr">
        <is>
          <t>Meta</t>
        </is>
      </c>
      <c r="J73" s="60" t="inlineStr">
        <is>
          <t>San Carlos De Guaroa</t>
        </is>
      </c>
      <c r="K73" s="56" t="n">
        <v>27</v>
      </c>
      <c r="L73" s="56" t="n">
        <v>26.9</v>
      </c>
      <c r="M73" s="56" t="n">
        <v>25.55</v>
      </c>
      <c r="N73" s="56" t="n">
        <v>27.25</v>
      </c>
      <c r="O73" s="56" t="n">
        <v>25.6</v>
      </c>
      <c r="P73" s="56" t="n">
        <v/>
      </c>
      <c r="Q73" s="56" t="n">
        <v/>
      </c>
      <c r="R73" s="56" t="n">
        <v>26.5</v>
      </c>
      <c r="S73" s="56" t="n">
        <v>26.1</v>
      </c>
      <c r="T73" s="56" t="n">
        <v>24.3</v>
      </c>
      <c r="U73" s="56" t="n">
        <v>28.4</v>
      </c>
      <c r="V73" s="56" t="n">
        <v/>
      </c>
      <c r="W73" s="56" t="n">
        <v/>
      </c>
      <c r="X73" s="56" t="n">
        <v/>
      </c>
      <c r="Y73" s="56" t="n">
        <v>25.45</v>
      </c>
      <c r="Z73" s="56" t="n">
        <v>25.65</v>
      </c>
      <c r="AA73" s="56" t="n">
        <v>26.3</v>
      </c>
      <c r="AB73" s="56" t="n">
        <v>23.95</v>
      </c>
      <c r="AC73" s="56" t="n">
        <v/>
      </c>
      <c r="AD73" s="56" t="n">
        <v/>
      </c>
      <c r="AE73" s="56" t="n">
        <v/>
      </c>
      <c r="AF73" s="56" t="n">
        <v>26.95</v>
      </c>
      <c r="AG73" s="56" t="n">
        <v>27.65</v>
      </c>
      <c r="AH73" s="56" t="n">
        <v>25.25</v>
      </c>
      <c r="AI73" s="56" t="n">
        <v/>
      </c>
      <c r="AJ73" s="56" t="n"/>
      <c r="AK73" s="56" t="n"/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21025030</v>
      </c>
      <c r="B74" s="59" t="inlineStr">
        <is>
          <t>Altamira El Grifo Aut</t>
        </is>
      </c>
      <c r="C74" s="59" t="inlineStr">
        <is>
          <t>Area Operativa 04 - Huila-Caquetá</t>
        </is>
      </c>
      <c r="D74" s="73" t="n">
        <v>-75.73622222</v>
      </c>
      <c r="E74" s="73" t="n">
        <v>2.079166667</v>
      </c>
      <c r="F74" s="58" t="n">
        <v>1368</v>
      </c>
      <c r="G74" s="58" t="n">
        <v>41</v>
      </c>
      <c r="H74" s="58" t="n">
        <v>41026</v>
      </c>
      <c r="I74" s="60" t="inlineStr">
        <is>
          <t>Huila</t>
        </is>
      </c>
      <c r="J74" s="60" t="inlineStr">
        <is>
          <t>Altamira</t>
        </is>
      </c>
      <c r="K74" s="56" t="n">
        <v>22.65</v>
      </c>
      <c r="L74" s="56" t="n">
        <v>20.6</v>
      </c>
      <c r="M74" s="56" t="n">
        <v>21.95</v>
      </c>
      <c r="N74" s="56" t="n">
        <v>22.55</v>
      </c>
      <c r="O74" s="56" t="n">
        <v>20.85</v>
      </c>
      <c r="P74" s="56" t="n">
        <v>21.9</v>
      </c>
      <c r="Q74" s="56" t="n">
        <v>22.3</v>
      </c>
      <c r="R74" s="56" t="n">
        <v>22.95</v>
      </c>
      <c r="S74" s="56" t="n">
        <v>21.3</v>
      </c>
      <c r="T74" s="56" t="n">
        <v>21.55</v>
      </c>
      <c r="U74" s="56" t="n">
        <v>22.25</v>
      </c>
      <c r="V74" s="56" t="n">
        <v>21.65</v>
      </c>
      <c r="W74" s="56" t="n">
        <v>22.85</v>
      </c>
      <c r="X74" s="56" t="n">
        <v>23</v>
      </c>
      <c r="Y74" s="56" t="n">
        <v>22.8</v>
      </c>
      <c r="Z74" s="56" t="n">
        <v>21.65</v>
      </c>
      <c r="AA74" s="56" t="n">
        <v>21.9</v>
      </c>
      <c r="AB74" s="56" t="n">
        <v>22.65</v>
      </c>
      <c r="AC74" s="56" t="n">
        <v>21.1</v>
      </c>
      <c r="AD74" s="56" t="n">
        <v>23.4</v>
      </c>
      <c r="AE74" s="56" t="n">
        <v>24.5</v>
      </c>
      <c r="AF74" s="56" t="n">
        <v>24.25</v>
      </c>
      <c r="AG74" s="56" t="n">
        <v>23.2</v>
      </c>
      <c r="AH74" s="56" t="n">
        <v>23.5</v>
      </c>
      <c r="AI74" s="56" t="n">
        <v>21.5</v>
      </c>
      <c r="AJ74" s="56" t="n"/>
      <c r="AK74" s="56" t="n"/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21055030</v>
      </c>
      <c r="B75" s="59" t="inlineStr">
        <is>
          <t>Santa Leticia</t>
        </is>
      </c>
      <c r="C75" s="59" t="inlineStr">
        <is>
          <t>Area Operativa 04 - Huila-Caquetá</t>
        </is>
      </c>
      <c r="D75" s="73" t="n">
        <v>-76.16</v>
      </c>
      <c r="E75" s="73" t="n">
        <v>2.24</v>
      </c>
      <c r="F75" s="58" t="n">
        <v>2085</v>
      </c>
      <c r="G75" s="58" t="n">
        <v>19</v>
      </c>
      <c r="H75" s="58" t="n">
        <v>19355</v>
      </c>
      <c r="I75" s="60" t="inlineStr">
        <is>
          <t>Cauca</t>
        </is>
      </c>
      <c r="J75" s="60" t="inlineStr">
        <is>
          <t>Inzá</t>
        </is>
      </c>
      <c r="K75" s="56" t="n">
        <v>15.93333333333333</v>
      </c>
      <c r="L75" s="56" t="n">
        <v>16.46666666666667</v>
      </c>
      <c r="M75" s="56" t="n">
        <v>15.6</v>
      </c>
      <c r="N75" s="56" t="n">
        <v>15.86666666666667</v>
      </c>
      <c r="O75" s="56" t="n">
        <v>15.86666666666667</v>
      </c>
      <c r="P75" s="56" t="n">
        <v>15.8</v>
      </c>
      <c r="Q75" s="56" t="n">
        <v>14.53333333333333</v>
      </c>
      <c r="R75" s="56" t="n">
        <v>16.93333333333333</v>
      </c>
      <c r="S75" s="56" t="n">
        <v>17.33333333333333</v>
      </c>
      <c r="T75" s="56" t="n">
        <v>20.06666666666667</v>
      </c>
      <c r="U75" s="56" t="n">
        <v>17.66666666666667</v>
      </c>
      <c r="V75" s="56" t="n">
        <v>15</v>
      </c>
      <c r="W75" s="56" t="n">
        <v>16.66666666666667</v>
      </c>
      <c r="X75" s="56" t="n">
        <v>16.06666666666667</v>
      </c>
      <c r="Y75" s="56" t="n">
        <v>17.06666666666667</v>
      </c>
      <c r="Z75" s="56" t="n">
        <v>15.4</v>
      </c>
      <c r="AA75" s="56" t="n">
        <v>16.06666666666667</v>
      </c>
      <c r="AB75" s="56" t="n">
        <v>15.8</v>
      </c>
      <c r="AC75" s="56" t="n">
        <v>15.6</v>
      </c>
      <c r="AD75" s="56" t="n">
        <v>16.6</v>
      </c>
      <c r="AE75" s="56" t="n">
        <v>16.53333333333333</v>
      </c>
      <c r="AF75" s="56" t="n">
        <v>17.86666666666667</v>
      </c>
      <c r="AG75" s="56" t="n">
        <v>17.4</v>
      </c>
      <c r="AH75" s="56" t="n">
        <v>16.93333333333333</v>
      </c>
      <c r="AI75" s="56" t="n">
        <v>16.33333333333333</v>
      </c>
      <c r="AJ75" s="56" t="n"/>
      <c r="AK75" s="56" t="n"/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21065040</v>
      </c>
      <c r="B76" s="59" t="inlineStr">
        <is>
          <t>Zuluaga Aut</t>
        </is>
      </c>
      <c r="C76" s="59" t="inlineStr">
        <is>
          <t>Area Operativa 04 - Huila-Caquetá</t>
        </is>
      </c>
      <c r="D76" s="73" t="n">
        <v>-75.52944444000001</v>
      </c>
      <c r="E76" s="73" t="n">
        <v>2.2525</v>
      </c>
      <c r="F76" s="58" t="n">
        <v>1270</v>
      </c>
      <c r="G76" s="58" t="n">
        <v>41</v>
      </c>
      <c r="H76" s="58" t="n">
        <v>41298</v>
      </c>
      <c r="I76" s="60" t="inlineStr">
        <is>
          <t>Huila</t>
        </is>
      </c>
      <c r="J76" s="60" t="inlineStr">
        <is>
          <t>Garzón</t>
        </is>
      </c>
      <c r="K76" s="56" t="n">
        <v>22.1</v>
      </c>
      <c r="L76" s="56" t="n">
        <v>20.95</v>
      </c>
      <c r="M76" s="56" t="n">
        <v>21.55</v>
      </c>
      <c r="N76" s="56" t="n">
        <v>21.6</v>
      </c>
      <c r="O76" s="56" t="n">
        <v>20.85</v>
      </c>
      <c r="P76" s="56" t="n">
        <v>20.35</v>
      </c>
      <c r="Q76" s="56" t="n">
        <v>21.9</v>
      </c>
      <c r="R76" s="56" t="n">
        <v>23.5</v>
      </c>
      <c r="S76" s="56" t="n">
        <v>22.15</v>
      </c>
      <c r="T76" s="56" t="n">
        <v>20.7</v>
      </c>
      <c r="U76" s="56" t="n">
        <v>20.9</v>
      </c>
      <c r="V76" s="56" t="n">
        <v>20.65</v>
      </c>
      <c r="W76" s="56" t="n">
        <v>21.45</v>
      </c>
      <c r="X76" s="56" t="n">
        <v>21.85</v>
      </c>
      <c r="Y76" s="56" t="n">
        <v>21.8</v>
      </c>
      <c r="Z76" s="56" t="n">
        <v>19.85</v>
      </c>
      <c r="AA76" s="56" t="n">
        <v>22.25</v>
      </c>
      <c r="AB76" s="56" t="n">
        <v>22.85</v>
      </c>
      <c r="AC76" s="56" t="n">
        <v>20.8</v>
      </c>
      <c r="AD76" s="56" t="n">
        <v>21.55</v>
      </c>
      <c r="AE76" s="56" t="n">
        <v>24.75</v>
      </c>
      <c r="AF76" s="56" t="n">
        <v>24.05</v>
      </c>
      <c r="AG76" s="56" t="n">
        <v>21.05</v>
      </c>
      <c r="AH76" s="56" t="n">
        <v>22.55</v>
      </c>
      <c r="AI76" s="56" t="n">
        <v>22.15</v>
      </c>
      <c r="AJ76" s="56" t="n"/>
      <c r="AK76" s="56" t="n"/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21115100</v>
      </c>
      <c r="B77" s="59" t="inlineStr">
        <is>
          <t>Palacio-Vegalarga</t>
        </is>
      </c>
      <c r="C77" s="59" t="inlineStr">
        <is>
          <t>Area Operativa 04 - Huila-Caquetá</t>
        </is>
      </c>
      <c r="D77" s="73" t="n">
        <v>-75.06638889</v>
      </c>
      <c r="E77" s="73" t="n">
        <v>2.942638889</v>
      </c>
      <c r="F77" s="58" t="n">
        <v>1100</v>
      </c>
      <c r="G77" s="58" t="n">
        <v>41</v>
      </c>
      <c r="H77" s="58" t="n">
        <v>41001</v>
      </c>
      <c r="I77" s="60" t="inlineStr">
        <is>
          <t>Huila</t>
        </is>
      </c>
      <c r="J77" s="60" t="inlineStr">
        <is>
          <t>Neiva</t>
        </is>
      </c>
      <c r="K77" s="56" t="n">
        <v>24.53333333333333</v>
      </c>
      <c r="L77" s="56" t="n">
        <v>24.06666666666667</v>
      </c>
      <c r="M77" s="56" t="n">
        <v>24.6</v>
      </c>
      <c r="N77" s="56" t="n">
        <v>25.26666666666667</v>
      </c>
      <c r="O77" s="56" t="n">
        <v>24.26666666666667</v>
      </c>
      <c r="P77" s="56" t="n">
        <v>25.6</v>
      </c>
      <c r="Q77" s="56" t="n">
        <v>25</v>
      </c>
      <c r="R77" s="56" t="n">
        <v>25.26666666666667</v>
      </c>
      <c r="S77" s="56" t="n">
        <v>25.46666666666667</v>
      </c>
      <c r="T77" s="56" t="n">
        <v>25.4</v>
      </c>
      <c r="U77" s="56" t="n">
        <v>24.2</v>
      </c>
      <c r="V77" s="56" t="n">
        <v>25.66666666666667</v>
      </c>
      <c r="W77" s="56" t="n">
        <v>25.8</v>
      </c>
      <c r="X77" s="56" t="n">
        <v>25.4</v>
      </c>
      <c r="Y77" s="56" t="n">
        <v>25.66666666666667</v>
      </c>
      <c r="Z77" s="56" t="n">
        <v>23.6</v>
      </c>
      <c r="AA77" s="56" t="n">
        <v>24.93333333333333</v>
      </c>
      <c r="AB77" s="56" t="n">
        <v>26</v>
      </c>
      <c r="AC77" s="56" t="n">
        <v>25.6</v>
      </c>
      <c r="AD77" s="56" t="n">
        <v>26.33333333333333</v>
      </c>
      <c r="AE77" s="56" t="n">
        <v>26.66666666666667</v>
      </c>
      <c r="AF77" s="56" t="n">
        <v>25.73333333333333</v>
      </c>
      <c r="AG77" s="56" t="n">
        <v>25.46666666666667</v>
      </c>
      <c r="AH77" s="56" t="n">
        <v>25.26666666666667</v>
      </c>
      <c r="AI77" s="56" t="n">
        <v>24</v>
      </c>
      <c r="AJ77" s="56" t="n"/>
      <c r="AK77" s="56" t="n"/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21135030</v>
      </c>
      <c r="B78" s="59" t="inlineStr">
        <is>
          <t>Anchique</t>
        </is>
      </c>
      <c r="C78" s="59" t="inlineStr">
        <is>
          <t>Area Operativa 04 - Huila-Caquetá</t>
        </is>
      </c>
      <c r="D78" s="73" t="n">
        <v>-75.10899999999999</v>
      </c>
      <c r="E78" s="73" t="n">
        <v>3.573833333</v>
      </c>
      <c r="F78" s="58" t="n">
        <v>415</v>
      </c>
      <c r="G78" s="58" t="n">
        <v>73</v>
      </c>
      <c r="H78" s="58" t="n">
        <v>73483</v>
      </c>
      <c r="I78" s="60" t="inlineStr">
        <is>
          <t>Tolima</t>
        </is>
      </c>
      <c r="J78" s="60" t="inlineStr">
        <is>
          <t>Natagaima</t>
        </is>
      </c>
      <c r="K78" s="56" t="n">
        <v>31.1</v>
      </c>
      <c r="L78" s="56" t="n">
        <v>31.9</v>
      </c>
      <c r="M78" s="56" t="n">
        <v>31.3</v>
      </c>
      <c r="N78" s="56" t="n">
        <v>33.1</v>
      </c>
      <c r="O78" s="56" t="n">
        <v>33.6</v>
      </c>
      <c r="P78" s="56" t="n">
        <v>33.65</v>
      </c>
      <c r="Q78" s="56" t="n">
        <v/>
      </c>
      <c r="R78" s="56" t="n">
        <v>33.90000000000001</v>
      </c>
      <c r="S78" s="56" t="n">
        <v>32.7</v>
      </c>
      <c r="T78" s="56" t="n">
        <v>34.05</v>
      </c>
      <c r="U78" s="56" t="n">
        <v>33.2</v>
      </c>
      <c r="V78" s="56" t="n">
        <v>33.4</v>
      </c>
      <c r="W78" s="56" t="n">
        <v>32.59999999999999</v>
      </c>
      <c r="X78" s="56" t="n">
        <v>34.7</v>
      </c>
      <c r="Y78" s="56" t="n">
        <v>33.84999999999999</v>
      </c>
      <c r="Z78" s="56" t="n">
        <v>32.05</v>
      </c>
      <c r="AA78" s="56" t="n">
        <v>33.7</v>
      </c>
      <c r="AB78" s="56" t="n">
        <v>34.6</v>
      </c>
      <c r="AC78" s="56" t="n">
        <v>32.25</v>
      </c>
      <c r="AD78" s="56" t="n">
        <v>32.75</v>
      </c>
      <c r="AE78" s="56" t="n">
        <v>34.6</v>
      </c>
      <c r="AF78" s="56" t="n">
        <v>33.84999999999999</v>
      </c>
      <c r="AG78" s="56" t="n">
        <v>33.75</v>
      </c>
      <c r="AH78" s="56" t="n">
        <v>31.1</v>
      </c>
      <c r="AI78" s="56" t="n">
        <v>30.5</v>
      </c>
      <c r="AJ78" s="56" t="n"/>
      <c r="AK78" s="56" t="n"/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21145040</v>
      </c>
      <c r="B79" s="59" t="inlineStr">
        <is>
          <t>San Alfonso</t>
        </is>
      </c>
      <c r="C79" s="59" t="inlineStr">
        <is>
          <t>Area Operativa 04 - Huila-Caquetá</t>
        </is>
      </c>
      <c r="D79" s="73" t="n">
        <v>-75.11011111000001</v>
      </c>
      <c r="E79" s="73" t="n">
        <v>3.373361111</v>
      </c>
      <c r="F79" s="58" t="n">
        <v>440</v>
      </c>
      <c r="G79" s="58" t="n">
        <v>41</v>
      </c>
      <c r="H79" s="58" t="n">
        <v>41872</v>
      </c>
      <c r="I79" s="60" t="inlineStr">
        <is>
          <t>Huila</t>
        </is>
      </c>
      <c r="J79" s="60" t="inlineStr">
        <is>
          <t>Villavieja</t>
        </is>
      </c>
      <c r="K79" s="56" t="n">
        <v>32.4</v>
      </c>
      <c r="L79" s="56" t="n">
        <v>32.13333333333333</v>
      </c>
      <c r="M79" s="56" t="n">
        <v>31.46666666666667</v>
      </c>
      <c r="N79" s="56" t="n">
        <v>33.26666666666667</v>
      </c>
      <c r="O79" s="56" t="n">
        <v>33.73333333333333</v>
      </c>
      <c r="P79" s="56" t="n">
        <v>33.7</v>
      </c>
      <c r="Q79" s="56" t="n">
        <v>32.46666666666667</v>
      </c>
      <c r="R79" s="56" t="n">
        <v>33.6</v>
      </c>
      <c r="S79" s="56" t="n">
        <v>33.66666666666666</v>
      </c>
      <c r="T79" s="56" t="n">
        <v>33</v>
      </c>
      <c r="U79" s="56" t="n">
        <v>32.6</v>
      </c>
      <c r="V79" s="56" t="n">
        <v>32.8</v>
      </c>
      <c r="W79" s="56" t="n">
        <v>32.8</v>
      </c>
      <c r="X79" s="56" t="n">
        <v>34.33333333333334</v>
      </c>
      <c r="Y79" s="56" t="n">
        <v>32.8</v>
      </c>
      <c r="Z79" s="56" t="n">
        <v>31.46666666666667</v>
      </c>
      <c r="AA79" s="56" t="n">
        <v>33.13333333333333</v>
      </c>
      <c r="AB79" s="56" t="n">
        <v>33.06666666666667</v>
      </c>
      <c r="AC79" s="56" t="n">
        <v>31.6</v>
      </c>
      <c r="AD79" s="56" t="n">
        <v>33.4</v>
      </c>
      <c r="AE79" s="56" t="n">
        <v>33.6</v>
      </c>
      <c r="AF79" s="56" t="n">
        <v>33.66666666666666</v>
      </c>
      <c r="AG79" s="56" t="n">
        <v>33.46666666666667</v>
      </c>
      <c r="AH79" s="56" t="n">
        <v>32.86666666666667</v>
      </c>
      <c r="AI79" s="56" t="n">
        <v>32</v>
      </c>
      <c r="AJ79" s="56" t="n"/>
      <c r="AK79" s="56" t="n"/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21145080</v>
      </c>
      <c r="B80" s="59" t="inlineStr">
        <is>
          <t>Santa Ana - Aut</t>
        </is>
      </c>
      <c r="C80" s="59" t="inlineStr">
        <is>
          <t>Area Operativa 04 - Huila-Caquetá</t>
        </is>
      </c>
      <c r="D80" s="73" t="n">
        <v>-74.70294444</v>
      </c>
      <c r="E80" s="73" t="n">
        <v>3.589777778</v>
      </c>
      <c r="F80" s="58" t="n">
        <v>1410</v>
      </c>
      <c r="G80" s="58" t="n">
        <v>41</v>
      </c>
      <c r="H80" s="58" t="n">
        <v>41206</v>
      </c>
      <c r="I80" s="60" t="inlineStr">
        <is>
          <t>Huila</t>
        </is>
      </c>
      <c r="J80" s="60" t="inlineStr">
        <is>
          <t>Colombia</t>
        </is>
      </c>
      <c r="K80" s="56" t="n">
        <v>20.93333333333333</v>
      </c>
      <c r="L80" s="56" t="n">
        <v>20.6</v>
      </c>
      <c r="M80" s="56" t="n">
        <v>20.4</v>
      </c>
      <c r="N80" s="56" t="n">
        <v>21.06666666666667</v>
      </c>
      <c r="O80" s="56" t="n">
        <v>22.86666666666667</v>
      </c>
      <c r="P80" s="56" t="n">
        <v>22.26666666666667</v>
      </c>
      <c r="Q80" s="56" t="n">
        <v>20.53333333333333</v>
      </c>
      <c r="R80" s="56" t="n">
        <v>22.06666666666667</v>
      </c>
      <c r="S80" s="56" t="n">
        <v>22.53333333333333</v>
      </c>
      <c r="T80" s="56" t="n">
        <v>22.26666666666667</v>
      </c>
      <c r="U80" s="56" t="n">
        <v>21.73333333333333</v>
      </c>
      <c r="V80" s="56" t="n">
        <v>22.4</v>
      </c>
      <c r="W80" s="56" t="n">
        <v>22.93333333333333</v>
      </c>
      <c r="X80" s="56" t="n">
        <v>23.13333333333334</v>
      </c>
      <c r="Y80" s="56" t="n">
        <v>22.6</v>
      </c>
      <c r="Z80" s="56" t="n">
        <v>20.73333333333333</v>
      </c>
      <c r="AA80" s="56" t="n">
        <v>21.6</v>
      </c>
      <c r="AB80" s="56" t="n">
        <v>22.4</v>
      </c>
      <c r="AC80" s="56" t="n">
        <v>22.06666666666667</v>
      </c>
      <c r="AD80" s="56" t="n">
        <v>23.06666666666667</v>
      </c>
      <c r="AE80" s="56" t="n">
        <v>23.66666666666667</v>
      </c>
      <c r="AF80" s="56" t="n">
        <v>23.06666666666666</v>
      </c>
      <c r="AG80" s="56" t="n">
        <v>24.06666666666666</v>
      </c>
      <c r="AH80" s="56" t="n">
        <v>21.46666666666667</v>
      </c>
      <c r="AI80" s="56" t="n">
        <v>22.2</v>
      </c>
      <c r="AJ80" s="56" t="n"/>
      <c r="AK80" s="56" t="n"/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44045010</v>
      </c>
      <c r="B81" s="59" t="inlineStr">
        <is>
          <t>San Jose De Fragua</t>
        </is>
      </c>
      <c r="C81" s="59" t="inlineStr">
        <is>
          <t>Area Operativa 04 - Huila-Caquetá</t>
        </is>
      </c>
      <c r="D81" s="73" t="n">
        <v>-75.9615</v>
      </c>
      <c r="E81" s="73" t="n">
        <v>1.325138889</v>
      </c>
      <c r="F81" s="58" t="n">
        <v>320</v>
      </c>
      <c r="G81" s="58" t="n">
        <v>18</v>
      </c>
      <c r="H81" s="58" t="n">
        <v>18610</v>
      </c>
      <c r="I81" s="60" t="inlineStr">
        <is>
          <t>Caquetá</t>
        </is>
      </c>
      <c r="J81" s="60" t="inlineStr">
        <is>
          <t>San José Del Fragua</t>
        </is>
      </c>
      <c r="K81" s="56" t="n">
        <v>28.1</v>
      </c>
      <c r="L81" s="56" t="n">
        <v>25.5</v>
      </c>
      <c r="M81" s="56" t="n">
        <v>26.3</v>
      </c>
      <c r="N81" s="56" t="n">
        <v>26</v>
      </c>
      <c r="O81" s="56" t="n">
        <v>26.25</v>
      </c>
      <c r="P81" s="56" t="n">
        <v>26.35</v>
      </c>
      <c r="Q81" s="56" t="n">
        <v>26.05</v>
      </c>
      <c r="R81" s="56" t="n">
        <v>25.5</v>
      </c>
      <c r="S81" s="56" t="n">
        <v>24.4</v>
      </c>
      <c r="T81" s="56" t="n">
        <v>26.1</v>
      </c>
      <c r="U81" s="56" t="n">
        <v>25.85</v>
      </c>
      <c r="V81" s="56" t="n">
        <v>25.65</v>
      </c>
      <c r="W81" s="56" t="n">
        <v>25.15</v>
      </c>
      <c r="X81" s="56" t="n">
        <v>24.8</v>
      </c>
      <c r="Y81" s="56" t="n">
        <v>26.55</v>
      </c>
      <c r="Z81" s="56" t="n">
        <v>25.35</v>
      </c>
      <c r="AA81" s="56" t="n">
        <v>26.05</v>
      </c>
      <c r="AB81" s="56" t="n">
        <v>25.05</v>
      </c>
      <c r="AC81" s="56" t="n">
        <v/>
      </c>
      <c r="AD81" s="56" t="n">
        <v>26.15</v>
      </c>
      <c r="AE81" s="56" t="n">
        <v>28.35</v>
      </c>
      <c r="AF81" s="56" t="n">
        <v>27.8</v>
      </c>
      <c r="AG81" s="56" t="n">
        <v>25.3</v>
      </c>
      <c r="AH81" s="56" t="n">
        <v>27.2</v>
      </c>
      <c r="AI81" s="56" t="n">
        <v>25</v>
      </c>
      <c r="AJ81" s="56" t="n"/>
      <c r="AK81" s="56" t="n"/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44045020</v>
      </c>
      <c r="B82" s="59" t="inlineStr">
        <is>
          <t>Valparaiso</t>
        </is>
      </c>
      <c r="C82" s="59" t="inlineStr">
        <is>
          <t>Area Operativa 04 - Huila-Caquetá</t>
        </is>
      </c>
      <c r="D82" s="73" t="n">
        <v>-75.70447222</v>
      </c>
      <c r="E82" s="73" t="n">
        <v>1.19525</v>
      </c>
      <c r="F82" s="58" t="n">
        <v>270</v>
      </c>
      <c r="G82" s="58" t="n">
        <v>18</v>
      </c>
      <c r="H82" s="58" t="n">
        <v>18860</v>
      </c>
      <c r="I82" s="60" t="inlineStr">
        <is>
          <t>Caquetá</t>
        </is>
      </c>
      <c r="J82" s="60" t="inlineStr">
        <is>
          <t>Valparaíso</t>
        </is>
      </c>
      <c r="K82" s="56" t="n">
        <v>29.06666666666667</v>
      </c>
      <c r="L82" s="56" t="n">
        <v>27.13333333333334</v>
      </c>
      <c r="M82" s="56" t="n">
        <v>27.93333333333334</v>
      </c>
      <c r="N82" s="56" t="n">
        <v>27.8</v>
      </c>
      <c r="O82" s="56" t="n">
        <v>27.9</v>
      </c>
      <c r="P82" s="56" t="n">
        <v>28.06666666666667</v>
      </c>
      <c r="Q82" s="56" t="n">
        <v>27.4</v>
      </c>
      <c r="R82" s="56" t="n">
        <v>27.33333333333333</v>
      </c>
      <c r="S82" s="56" t="n">
        <v>27.06666666666666</v>
      </c>
      <c r="T82" s="56" t="n">
        <v>27.26666666666667</v>
      </c>
      <c r="U82" s="56" t="n">
        <v>26.53333333333333</v>
      </c>
      <c r="V82" s="56" t="n">
        <v>27.66666666666667</v>
      </c>
      <c r="W82" s="56" t="n">
        <v>27.33333333333333</v>
      </c>
      <c r="X82" s="56" t="n">
        <v>25.13333333333334</v>
      </c>
      <c r="Y82" s="56" t="n">
        <v>27.33333333333333</v>
      </c>
      <c r="Z82" s="56" t="n">
        <v>26.6</v>
      </c>
      <c r="AA82" s="56" t="n">
        <v>27.26666666666667</v>
      </c>
      <c r="AB82" s="56" t="n">
        <v>27.4</v>
      </c>
      <c r="AC82" s="56" t="n">
        <v>27.93333333333333</v>
      </c>
      <c r="AD82" s="56" t="n">
        <v>28.06666666666667</v>
      </c>
      <c r="AE82" s="56" t="n">
        <v>28</v>
      </c>
      <c r="AF82" s="56" t="n">
        <v>28.8</v>
      </c>
      <c r="AG82" s="56" t="n">
        <v>28.13333333333334</v>
      </c>
      <c r="AH82" s="56" t="n">
        <v>28.46666666666667</v>
      </c>
      <c r="AI82" s="56" t="n">
        <v>27.93333333333333</v>
      </c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15045010</v>
      </c>
      <c r="B83" s="59" t="inlineStr">
        <is>
          <t>Matitas</t>
        </is>
      </c>
      <c r="C83" s="59" t="inlineStr">
        <is>
          <t>Area Operativa 05 - Magdalena-Cesar-Guajira-San Andrés</t>
        </is>
      </c>
      <c r="D83" s="73" t="n">
        <v>-73.03027778000001</v>
      </c>
      <c r="E83" s="73" t="n">
        <v>11.26388889</v>
      </c>
      <c r="F83" s="58" t="n">
        <v>20</v>
      </c>
      <c r="G83" s="58" t="n">
        <v>44</v>
      </c>
      <c r="H83" s="58" t="n">
        <v>44001</v>
      </c>
      <c r="I83" s="60" t="inlineStr">
        <is>
          <t>La Guajira</t>
        </is>
      </c>
      <c r="J83" s="60" t="inlineStr">
        <is>
          <t>Riohacha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15065501</v>
      </c>
      <c r="B84" s="59" t="inlineStr">
        <is>
          <t>La Mina Cerrejon  - Aut</t>
        </is>
      </c>
      <c r="C84" s="59" t="inlineStr">
        <is>
          <t>Area Operativa 05 - Magdalena-Cesar-Guajira-San Andrés</t>
        </is>
      </c>
      <c r="D84" s="73" t="n">
        <v>-72.61594444000001</v>
      </c>
      <c r="E84" s="73" t="n">
        <v>11.13758333</v>
      </c>
      <c r="F84" s="58" t="n">
        <v>80</v>
      </c>
      <c r="G84" s="58" t="n">
        <v>44</v>
      </c>
      <c r="H84" s="58" t="n">
        <v>44035</v>
      </c>
      <c r="I84" s="60" t="inlineStr">
        <is>
          <t>La Guajira</t>
        </is>
      </c>
      <c r="J84" s="60" t="inlineStr">
        <is>
          <t>Albania</t>
        </is>
      </c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15075030</v>
      </c>
      <c r="B85" s="59" t="inlineStr">
        <is>
          <t>Manaure</t>
        </is>
      </c>
      <c r="C85" s="59" t="inlineStr">
        <is>
          <t>Area Operativa 05 - Magdalena-Cesar-Guajira-San Andrés</t>
        </is>
      </c>
      <c r="D85" s="73" t="n">
        <v>-72.4635</v>
      </c>
      <c r="E85" s="73" t="n">
        <v>11.78105556</v>
      </c>
      <c r="F85" s="58" t="n">
        <v>1</v>
      </c>
      <c r="G85" s="58" t="n">
        <v>44</v>
      </c>
      <c r="H85" s="58" t="n">
        <v>44560</v>
      </c>
      <c r="I85" s="60" t="inlineStr">
        <is>
          <t>La Guajira</t>
        </is>
      </c>
      <c r="J85" s="60" t="inlineStr">
        <is>
          <t>Manaure</t>
        </is>
      </c>
      <c r="K85" s="56" t="n">
        <v>29.2</v>
      </c>
      <c r="L85" s="56" t="n">
        <v>29.85</v>
      </c>
      <c r="M85" s="56" t="n">
        <v>32.5</v>
      </c>
      <c r="N85" s="56" t="n">
        <v>32.05</v>
      </c>
      <c r="O85" s="56" t="n">
        <v>32.55</v>
      </c>
      <c r="P85" s="56" t="n">
        <v>33.40000000000001</v>
      </c>
      <c r="Q85" s="56" t="n">
        <v>32.1</v>
      </c>
      <c r="R85" s="56" t="n">
        <v>32.73333333333333</v>
      </c>
      <c r="S85" s="56" t="n">
        <v>32.1</v>
      </c>
      <c r="T85" s="56" t="n">
        <v>33.05</v>
      </c>
      <c r="U85" s="56" t="n">
        <v>32.35</v>
      </c>
      <c r="V85" s="56" t="n">
        <v>31.25</v>
      </c>
      <c r="W85" s="56" t="n">
        <v>31.1</v>
      </c>
      <c r="X85" s="56" t="n">
        <v>30.7</v>
      </c>
      <c r="Y85" s="56" t="n">
        <v>31.7</v>
      </c>
      <c r="Z85" s="56" t="n">
        <v>31.4</v>
      </c>
      <c r="AA85" s="56" t="n">
        <v>32.55</v>
      </c>
      <c r="AB85" s="56" t="n">
        <v>33.2</v>
      </c>
      <c r="AC85" s="56" t="n">
        <v>31.65</v>
      </c>
      <c r="AD85" s="56" t="n">
        <v>30.3</v>
      </c>
      <c r="AE85" s="56" t="n">
        <v>28.9</v>
      </c>
      <c r="AF85" s="56" t="n">
        <v>29.2</v>
      </c>
      <c r="AG85" s="56" t="n">
        <v>31.75</v>
      </c>
      <c r="AH85" s="56" t="n">
        <v>32.45</v>
      </c>
      <c r="AI85" s="56" t="n">
        <v/>
      </c>
      <c r="AJ85" s="56" t="n"/>
      <c r="AK85" s="56" t="n"/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15085030</v>
      </c>
      <c r="B86" s="59" t="inlineStr">
        <is>
          <t>Escuela Agricola Carraipia  - Aut</t>
        </is>
      </c>
      <c r="C86" s="59" t="inlineStr">
        <is>
          <t>Area Operativa 05 - Magdalena-Cesar-Guajira-San Andrés</t>
        </is>
      </c>
      <c r="D86" s="73" t="n">
        <v>-72.35994444000001</v>
      </c>
      <c r="E86" s="73" t="n">
        <v>11.21675</v>
      </c>
      <c r="F86" s="58" t="n">
        <v>118</v>
      </c>
      <c r="G86" s="58" t="n">
        <v>44</v>
      </c>
      <c r="H86" s="58" t="n">
        <v>44430</v>
      </c>
      <c r="I86" s="60" t="inlineStr">
        <is>
          <t>La Guajira</t>
        </is>
      </c>
      <c r="J86" s="60" t="inlineStr">
        <is>
          <t>Maicao</t>
        </is>
      </c>
      <c r="K86" s="56" t="n">
        <v>30.5</v>
      </c>
      <c r="L86" s="56" t="n">
        <v>29.75</v>
      </c>
      <c r="M86" s="56" t="n">
        <v>30</v>
      </c>
      <c r="N86" s="56" t="n">
        <v>30.25</v>
      </c>
      <c r="O86" s="56" t="n">
        <v>30.55</v>
      </c>
      <c r="P86" s="56" t="n">
        <v>30.85</v>
      </c>
      <c r="Q86" s="56" t="n">
        <v>30.35</v>
      </c>
      <c r="R86" s="56" t="n">
        <v>29.9</v>
      </c>
      <c r="S86" s="56" t="n">
        <v>30.35</v>
      </c>
      <c r="T86" s="56" t="n">
        <v>30.7</v>
      </c>
      <c r="U86" s="56" t="n">
        <v>30.45</v>
      </c>
      <c r="V86" s="56" t="n">
        <v>30.6</v>
      </c>
      <c r="W86" s="56" t="n">
        <v>30.75</v>
      </c>
      <c r="X86" s="56" t="n">
        <v>29.45</v>
      </c>
      <c r="Y86" s="56" t="n">
        <v>30.6</v>
      </c>
      <c r="Z86" s="56" t="n">
        <v>29.8</v>
      </c>
      <c r="AA86" s="56" t="n">
        <v>32.09999999999999</v>
      </c>
      <c r="AB86" s="56" t="n">
        <v/>
      </c>
      <c r="AC86" s="56" t="n">
        <v>31.45</v>
      </c>
      <c r="AD86" s="56" t="n">
        <v>31.8</v>
      </c>
      <c r="AE86" s="56" t="n">
        <v>30.3</v>
      </c>
      <c r="AF86" s="56" t="n">
        <v>28.95</v>
      </c>
      <c r="AG86" s="56" t="n">
        <v>30.15</v>
      </c>
      <c r="AH86" s="56" t="n">
        <v>29.85</v>
      </c>
      <c r="AI86" s="56" t="n">
        <v>29.65</v>
      </c>
      <c r="AJ86" s="56" t="n"/>
      <c r="AK86" s="56" t="n"/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25025002</v>
      </c>
      <c r="B87" s="59" t="inlineStr">
        <is>
          <t>Los Alamos - Aut</t>
        </is>
      </c>
      <c r="C87" s="59" t="inlineStr">
        <is>
          <t>Area Operativa 05 - Magdalena-Cesar-Guajira-San Andrés</t>
        </is>
      </c>
      <c r="D87" s="73" t="n">
        <v>-74.27363889</v>
      </c>
      <c r="E87" s="73" t="n">
        <v>9.304055556</v>
      </c>
      <c r="F87" s="58" t="n">
        <v>25</v>
      </c>
      <c r="G87" s="58" t="n">
        <v>47</v>
      </c>
      <c r="H87" s="58" t="n">
        <v>47692</v>
      </c>
      <c r="I87" s="60" t="inlineStr">
        <is>
          <t>Magdalena</t>
        </is>
      </c>
      <c r="J87" s="60" t="inlineStr">
        <is>
          <t>San Sebastián De Buenavista</t>
        </is>
      </c>
      <c r="K87" s="56" t="n">
        <v>29</v>
      </c>
      <c r="L87" s="56" t="n">
        <v>30.7</v>
      </c>
      <c r="M87" s="56" t="n">
        <v>31.2</v>
      </c>
      <c r="N87" s="56" t="n">
        <v>30.45</v>
      </c>
      <c r="O87" s="56" t="n">
        <v>31.15</v>
      </c>
      <c r="P87" s="56" t="n">
        <v>30.15</v>
      </c>
      <c r="Q87" s="56" t="n">
        <v>29.15</v>
      </c>
      <c r="R87" s="56" t="n">
        <v>32</v>
      </c>
      <c r="S87" s="56" t="n">
        <v>32.75</v>
      </c>
      <c r="T87" s="56" t="n">
        <v>31.75</v>
      </c>
      <c r="U87" s="56" t="n">
        <v>30.6</v>
      </c>
      <c r="V87" s="56" t="n">
        <v>31.6</v>
      </c>
      <c r="W87" s="56" t="n">
        <v>30.6</v>
      </c>
      <c r="X87" s="56" t="n">
        <v>29.9</v>
      </c>
      <c r="Y87" s="56" t="n">
        <v>30.3</v>
      </c>
      <c r="Z87" s="56" t="n">
        <v>28.2</v>
      </c>
      <c r="AA87" s="56" t="n">
        <v>32.35</v>
      </c>
      <c r="AB87" s="56" t="n">
        <v/>
      </c>
      <c r="AC87" s="56" t="n">
        <v>27.9</v>
      </c>
      <c r="AD87" s="56" t="n">
        <v>29.95</v>
      </c>
      <c r="AE87" s="56" t="n">
        <v>27</v>
      </c>
      <c r="AF87" s="56" t="n">
        <v>29.15</v>
      </c>
      <c r="AG87" s="56" t="n">
        <v>29.85</v>
      </c>
      <c r="AH87" s="56" t="n">
        <v>29.75</v>
      </c>
      <c r="AI87" s="56" t="n">
        <v/>
      </c>
      <c r="AJ87" s="56" t="n"/>
      <c r="AK87" s="56" t="n"/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28015070</v>
      </c>
      <c r="B88" s="59" t="inlineStr">
        <is>
          <t>Urumita Aut</t>
        </is>
      </c>
      <c r="C88" s="59" t="inlineStr">
        <is>
          <t>Area Operativa 05 - Magdalena-Cesar-Guajira-San Andrés</t>
        </is>
      </c>
      <c r="D88" s="73" t="n">
        <v>-73.01638889</v>
      </c>
      <c r="E88" s="73" t="n">
        <v>10.56638889</v>
      </c>
      <c r="F88" s="58" t="n">
        <v>255</v>
      </c>
      <c r="G88" s="58" t="n">
        <v>44</v>
      </c>
      <c r="H88" s="58" t="n">
        <v>44855</v>
      </c>
      <c r="I88" s="60" t="inlineStr">
        <is>
          <t>La Guajira</t>
        </is>
      </c>
      <c r="J88" s="60" t="inlineStr">
        <is>
          <t>Urumita</t>
        </is>
      </c>
      <c r="K88" s="56" t="n">
        <v>26.7</v>
      </c>
      <c r="L88" s="56" t="n">
        <v>29.65</v>
      </c>
      <c r="M88" s="56" t="n">
        <v>29.65</v>
      </c>
      <c r="N88" s="56" t="n">
        <v>31.9</v>
      </c>
      <c r="O88" s="56" t="n">
        <v>30.65</v>
      </c>
      <c r="P88" s="56" t="n">
        <v>27.8</v>
      </c>
      <c r="Q88" s="56" t="n">
        <v>30.3</v>
      </c>
      <c r="R88" s="56" t="n">
        <v>31.75</v>
      </c>
      <c r="S88" s="56" t="n">
        <v>32</v>
      </c>
      <c r="T88" s="56" t="n">
        <v>30.2</v>
      </c>
      <c r="U88" s="56" t="n">
        <v>29.8</v>
      </c>
      <c r="V88" s="56" t="n">
        <v>30.85</v>
      </c>
      <c r="W88" s="56" t="n">
        <v>30.5</v>
      </c>
      <c r="X88" s="56" t="n">
        <v>29.55</v>
      </c>
      <c r="Y88" s="56" t="n">
        <v>29.65</v>
      </c>
      <c r="Z88" s="56" t="n">
        <v>31.05</v>
      </c>
      <c r="AA88" s="56" t="n">
        <v>31.8</v>
      </c>
      <c r="AB88" s="56" t="n">
        <v>31.35</v>
      </c>
      <c r="AC88" s="56" t="n">
        <v>27.55</v>
      </c>
      <c r="AD88" s="56" t="n">
        <v>29</v>
      </c>
      <c r="AE88" s="56" t="n">
        <v>25.8</v>
      </c>
      <c r="AF88" s="56" t="n">
        <v>29.45</v>
      </c>
      <c r="AG88" s="56" t="n">
        <v>31.4</v>
      </c>
      <c r="AH88" s="56" t="n">
        <v>29.85</v>
      </c>
      <c r="AI88" s="56" t="n">
        <v>25.45</v>
      </c>
      <c r="AJ88" s="56" t="n"/>
      <c r="AK88" s="56" t="n"/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28035010</v>
      </c>
      <c r="B89" s="59" t="inlineStr">
        <is>
          <t>Villa Rosa</t>
        </is>
      </c>
      <c r="C89" s="59" t="inlineStr">
        <is>
          <t>Area Operativa 05 - Magdalena-Cesar-Guajira-San Andrés</t>
        </is>
      </c>
      <c r="D89" s="73" t="n">
        <v>-73.54738888999999</v>
      </c>
      <c r="E89" s="73" t="n">
        <v>10.19066667</v>
      </c>
      <c r="F89" s="58" t="n">
        <v>70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26.8</v>
      </c>
      <c r="L89" s="56" t="n">
        <v/>
      </c>
      <c r="M89" s="56" t="n">
        <v>31.05</v>
      </c>
      <c r="N89" s="56" t="n">
        <v>31.5</v>
      </c>
      <c r="O89" s="56" t="n">
        <v>31.05</v>
      </c>
      <c r="P89" s="56" t="n">
        <v>28.7</v>
      </c>
      <c r="Q89" s="56" t="n">
        <v>29.4</v>
      </c>
      <c r="R89" s="56" t="n">
        <v>32.75</v>
      </c>
      <c r="S89" s="56" t="n">
        <v>34.55</v>
      </c>
      <c r="T89" s="56" t="n">
        <v>32.35</v>
      </c>
      <c r="U89" s="56" t="n">
        <v/>
      </c>
      <c r="V89" s="56" t="n">
        <v>33.09999999999999</v>
      </c>
      <c r="W89" s="56" t="n">
        <v/>
      </c>
      <c r="X89" s="56" t="n">
        <v>33.09999999999999</v>
      </c>
      <c r="Y89" s="56" t="n">
        <v>30.2</v>
      </c>
      <c r="Z89" s="56" t="n">
        <v>29.55</v>
      </c>
      <c r="AA89" s="56" t="n">
        <v>32.75</v>
      </c>
      <c r="AB89" s="56" t="n">
        <v>32.84999999999999</v>
      </c>
      <c r="AC89" s="56" t="n">
        <v>26.8</v>
      </c>
      <c r="AD89" s="56" t="n">
        <v>27.7</v>
      </c>
      <c r="AE89" s="56" t="n">
        <v>30.25</v>
      </c>
      <c r="AF89" s="56" t="n">
        <v>29.65</v>
      </c>
      <c r="AG89" s="56" t="n">
        <v>29</v>
      </c>
      <c r="AH89" s="56" t="n">
        <v/>
      </c>
      <c r="AI89" s="56" t="n">
        <v>29.2</v>
      </c>
      <c r="AJ89" s="56" t="n"/>
      <c r="AK89" s="56" t="n"/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28035020</v>
      </c>
      <c r="B90" s="59" t="inlineStr">
        <is>
          <t>El Callao</t>
        </is>
      </c>
      <c r="C90" s="59" t="inlineStr">
        <is>
          <t>Area Operativa 05 - Magdalena-Cesar-Guajira-San Andrés</t>
        </is>
      </c>
      <c r="D90" s="73" t="n">
        <v>-73.31944444</v>
      </c>
      <c r="E90" s="73" t="n">
        <v>10.36305556</v>
      </c>
      <c r="F90" s="58" t="n">
        <v>110</v>
      </c>
      <c r="G90" s="58" t="n">
        <v>20</v>
      </c>
      <c r="H90" s="58" t="n">
        <v>20001</v>
      </c>
      <c r="I90" s="60" t="inlineStr">
        <is>
          <t>Cesar</t>
        </is>
      </c>
      <c r="J90" s="60" t="inlineStr">
        <is>
          <t>Valledupar</t>
        </is>
      </c>
      <c r="K90" s="56" t="n">
        <v>29.5</v>
      </c>
      <c r="L90" s="56" t="n">
        <v>30.05</v>
      </c>
      <c r="M90" s="56" t="n">
        <v>30.8</v>
      </c>
      <c r="N90" s="56" t="n">
        <v>32.09999999999999</v>
      </c>
      <c r="O90" s="56" t="n">
        <v>32</v>
      </c>
      <c r="P90" s="56" t="n">
        <v>31.9</v>
      </c>
      <c r="Q90" s="56" t="n">
        <v>29.8</v>
      </c>
      <c r="R90" s="56" t="n">
        <v>32.9</v>
      </c>
      <c r="S90" s="56" t="n">
        <v>33.95</v>
      </c>
      <c r="T90" s="56" t="n">
        <v>32.15</v>
      </c>
      <c r="U90" s="56" t="n">
        <v>32.5</v>
      </c>
      <c r="V90" s="56" t="n">
        <v>32.5</v>
      </c>
      <c r="W90" s="56" t="n">
        <v>33.45</v>
      </c>
      <c r="X90" s="56" t="n">
        <v>31.9</v>
      </c>
      <c r="Y90" s="56" t="n">
        <v>30.55</v>
      </c>
      <c r="Z90" s="56" t="n">
        <v>32.8</v>
      </c>
      <c r="AA90" s="56" t="n">
        <v>33.7</v>
      </c>
      <c r="AB90" s="56" t="n">
        <v>34.2</v>
      </c>
      <c r="AC90" s="56" t="n">
        <v>31.25</v>
      </c>
      <c r="AD90" s="56" t="n">
        <v>30.15</v>
      </c>
      <c r="AE90" s="56" t="n">
        <v>31.55</v>
      </c>
      <c r="AF90" s="56" t="n">
        <v>32.3</v>
      </c>
      <c r="AG90" s="56" t="n">
        <v>32.35</v>
      </c>
      <c r="AH90" s="56" t="n">
        <v>32.6</v>
      </c>
      <c r="AI90" s="56" t="n">
        <v>30.25</v>
      </c>
      <c r="AJ90" s="56" t="n"/>
      <c r="AK90" s="56" t="n"/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25025330</v>
      </c>
      <c r="B91" s="59" t="inlineStr">
        <is>
          <t>Colegio Agropecuario Pailitas</t>
        </is>
      </c>
      <c r="C91" s="59" t="inlineStr">
        <is>
          <t>Area Operativa 05 - Magdalena-Cesar-Guajira-San Andrés</t>
        </is>
      </c>
      <c r="D91" s="73" t="n">
        <v>-73.63008333000001</v>
      </c>
      <c r="E91" s="73" t="n">
        <v>8.954222222</v>
      </c>
      <c r="F91" s="58" t="n">
        <v>50</v>
      </c>
      <c r="G91" s="58" t="n">
        <v>20</v>
      </c>
      <c r="H91" s="58" t="n">
        <v>20517</v>
      </c>
      <c r="I91" s="60" t="inlineStr">
        <is>
          <t>Cesar</t>
        </is>
      </c>
      <c r="J91" s="60" t="inlineStr">
        <is>
          <t>Pailitas</t>
        </is>
      </c>
      <c r="K91" s="56" t="n">
        <v>30.55</v>
      </c>
      <c r="L91" s="56" t="n">
        <v>30.875</v>
      </c>
      <c r="M91" s="56" t="n">
        <v>30.25</v>
      </c>
      <c r="N91" s="56" t="n">
        <v>28.45</v>
      </c>
      <c r="O91" s="56" t="n">
        <v>31.45</v>
      </c>
      <c r="P91" s="56" t="n">
        <v>32.09999999999999</v>
      </c>
      <c r="Q91" s="56" t="n">
        <v>31.05</v>
      </c>
      <c r="R91" s="56" t="n">
        <v>32.65000000000001</v>
      </c>
      <c r="S91" s="56" t="n">
        <v>34</v>
      </c>
      <c r="T91" s="56" t="n">
        <v>33.1</v>
      </c>
      <c r="U91" s="56" t="n">
        <v>31.05</v>
      </c>
      <c r="V91" s="56" t="n">
        <v>34.3</v>
      </c>
      <c r="W91" s="56" t="n">
        <v>31.55</v>
      </c>
      <c r="X91" s="56" t="n">
        <v>28.65</v>
      </c>
      <c r="Y91" s="56" t="n">
        <v>31.4</v>
      </c>
      <c r="Z91" s="56" t="n">
        <v>28.6</v>
      </c>
      <c r="AA91" s="56" t="n">
        <v>27.95</v>
      </c>
      <c r="AB91" s="56" t="n">
        <v>30.375</v>
      </c>
      <c r="AC91" s="56" t="n">
        <v>31.1</v>
      </c>
      <c r="AD91" s="56" t="n">
        <v>27.75</v>
      </c>
      <c r="AE91" s="56" t="n">
        <v>29.05</v>
      </c>
      <c r="AF91" s="56" t="n">
        <v>30.65</v>
      </c>
      <c r="AG91" s="56" t="n">
        <v>31.7</v>
      </c>
      <c r="AH91" s="56" t="n">
        <v>29.35</v>
      </c>
      <c r="AI91" s="56" t="n">
        <v>27.8</v>
      </c>
      <c r="AJ91" s="56" t="n"/>
      <c r="AK91" s="56" t="n"/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23125100</v>
      </c>
      <c r="B92" s="59" t="inlineStr">
        <is>
          <t>Buenavista</t>
        </is>
      </c>
      <c r="C92" s="59" t="inlineStr">
        <is>
          <t>Area Operativa 06 - Boyacá-Casanare-Vichada</t>
        </is>
      </c>
      <c r="D92" s="73" t="n">
        <v>-73.94311111</v>
      </c>
      <c r="E92" s="73" t="n">
        <v>5.514916667</v>
      </c>
      <c r="F92" s="58" t="n">
        <v>2200</v>
      </c>
      <c r="G92" s="58" t="n">
        <v>15</v>
      </c>
      <c r="H92" s="58" t="n">
        <v>15109</v>
      </c>
      <c r="I92" s="60" t="inlineStr">
        <is>
          <t>Boyacá</t>
        </is>
      </c>
      <c r="J92" s="60" t="inlineStr">
        <is>
          <t>Buenavista</t>
        </is>
      </c>
      <c r="K92" s="56" t="n">
        <v>16.45</v>
      </c>
      <c r="L92" s="56" t="n">
        <v>17.95</v>
      </c>
      <c r="M92" s="56" t="n">
        <v>18.55</v>
      </c>
      <c r="N92" s="56" t="n">
        <v>17.2</v>
      </c>
      <c r="O92" s="56" t="n">
        <v>18.275</v>
      </c>
      <c r="P92" s="56" t="n">
        <v>19.3</v>
      </c>
      <c r="Q92" s="56" t="n">
        <v>18.025</v>
      </c>
      <c r="R92" s="56" t="n">
        <v>19.75</v>
      </c>
      <c r="S92" s="56" t="n">
        <v>19.1</v>
      </c>
      <c r="T92" s="56" t="n">
        <v>19.15</v>
      </c>
      <c r="U92" s="56" t="n">
        <v>18.55</v>
      </c>
      <c r="V92" s="56" t="n">
        <v>17.9</v>
      </c>
      <c r="W92" s="56" t="n">
        <v>18.1</v>
      </c>
      <c r="X92" s="56" t="n">
        <v>19.5</v>
      </c>
      <c r="Y92" s="56" t="n">
        <v>17.25</v>
      </c>
      <c r="Z92" s="56" t="n">
        <v>18.95</v>
      </c>
      <c r="AA92" s="56" t="n">
        <v>19.6</v>
      </c>
      <c r="AB92" s="56" t="n">
        <v>19.7</v>
      </c>
      <c r="AC92" s="56" t="n">
        <v>18.15</v>
      </c>
      <c r="AD92" s="56" t="n">
        <v>17.55</v>
      </c>
      <c r="AE92" s="56" t="n">
        <v>17.85</v>
      </c>
      <c r="AF92" s="56" t="n">
        <v>17.95</v>
      </c>
      <c r="AG92" s="56" t="n">
        <v>17.05</v>
      </c>
      <c r="AH92" s="56" t="n">
        <v>17.45</v>
      </c>
      <c r="AI92" s="56" t="n">
        <v>16.35</v>
      </c>
      <c r="AJ92" s="56" t="n"/>
      <c r="AK92" s="56" t="n"/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23125140</v>
      </c>
      <c r="B93" s="59" t="inlineStr">
        <is>
          <t>Aeropuerto Furatena  - Aut</t>
        </is>
      </c>
      <c r="C93" s="59" t="inlineStr">
        <is>
          <t>Area Operativa 06 - Boyacá-Casanare-Vichada</t>
        </is>
      </c>
      <c r="D93" s="73" t="n">
        <v>-74.18241666999999</v>
      </c>
      <c r="E93" s="73" t="n">
        <v>5.520833333</v>
      </c>
      <c r="F93" s="58" t="n">
        <v>1250</v>
      </c>
      <c r="G93" s="58" t="n">
        <v>15</v>
      </c>
      <c r="H93" s="58" t="n">
        <v>15580</v>
      </c>
      <c r="I93" s="60" t="inlineStr">
        <is>
          <t>Boyacá</t>
        </is>
      </c>
      <c r="J93" s="60" t="inlineStr">
        <is>
          <t>Quípama</t>
        </is>
      </c>
      <c r="K93" s="56" t="n">
        <v>24.46666666666667</v>
      </c>
      <c r="L93" s="56" t="n">
        <v>24.8</v>
      </c>
      <c r="M93" s="56" t="n">
        <v>25.4</v>
      </c>
      <c r="N93" s="56" t="n">
        <v>25</v>
      </c>
      <c r="O93" s="56" t="n">
        <v>25.86666666666666</v>
      </c>
      <c r="P93" s="56" t="n">
        <v>25.06666666666667</v>
      </c>
      <c r="Q93" s="56" t="n">
        <v>23.33333333333333</v>
      </c>
      <c r="R93" s="56" t="n">
        <v>24.46666666666667</v>
      </c>
      <c r="S93" s="56" t="n">
        <v>25.26666666666667</v>
      </c>
      <c r="T93" s="56" t="n">
        <v>25.46666666666667</v>
      </c>
      <c r="U93" s="56" t="n">
        <v>25.86666666666666</v>
      </c>
      <c r="V93" s="56" t="n">
        <v>25.73333333333333</v>
      </c>
      <c r="W93" s="56" t="n">
        <v>25.4</v>
      </c>
      <c r="X93" s="56" t="n">
        <v>26</v>
      </c>
      <c r="Y93" s="56" t="n">
        <v>26.4</v>
      </c>
      <c r="Z93" s="56" t="n">
        <v>24.6</v>
      </c>
      <c r="AA93" s="56" t="n">
        <v>26.33333333333333</v>
      </c>
      <c r="AB93" s="56" t="n">
        <v>26.6</v>
      </c>
      <c r="AC93" s="56" t="n">
        <v>25</v>
      </c>
      <c r="AD93" s="56" t="n">
        <v>26.33333333333333</v>
      </c>
      <c r="AE93" s="56" t="n">
        <v>25</v>
      </c>
      <c r="AF93" s="56" t="n">
        <v>25.66666666666667</v>
      </c>
      <c r="AG93" s="56" t="n">
        <v>23.2</v>
      </c>
      <c r="AH93" s="56" t="n">
        <v>23.33333333333333</v>
      </c>
      <c r="AI93" s="56" t="n">
        <v>23.46666666666667</v>
      </c>
      <c r="AJ93" s="56" t="n"/>
      <c r="AK93" s="56" t="n"/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24015090</v>
      </c>
      <c r="B94" s="59" t="inlineStr">
        <is>
          <t>Institucion Agricola Santa Sofia</t>
        </is>
      </c>
      <c r="C94" s="59" t="inlineStr">
        <is>
          <t>Area Operativa 06 - Boyacá-Casanare-Vichada</t>
        </is>
      </c>
      <c r="D94" s="73" t="n">
        <v>-73.60227777999999</v>
      </c>
      <c r="E94" s="73" t="n">
        <v>5.710666667</v>
      </c>
      <c r="F94" s="58" t="n">
        <v>2300</v>
      </c>
      <c r="G94" s="58" t="n">
        <v>15</v>
      </c>
      <c r="H94" s="58" t="n">
        <v>15696</v>
      </c>
      <c r="I94" s="60" t="inlineStr">
        <is>
          <t>Boyacá</t>
        </is>
      </c>
      <c r="J94" s="60" t="inlineStr">
        <is>
          <t>Santa Sofía</t>
        </is>
      </c>
      <c r="K94" s="56" t="n">
        <v>18.05</v>
      </c>
      <c r="L94" s="56" t="n">
        <v>17.45</v>
      </c>
      <c r="M94" s="56" t="n">
        <v>18</v>
      </c>
      <c r="N94" s="56" t="n">
        <v/>
      </c>
      <c r="O94" s="56" t="n">
        <v/>
      </c>
      <c r="P94" s="56" t="n">
        <v/>
      </c>
      <c r="Q94" s="56" t="n">
        <v>17.8</v>
      </c>
      <c r="R94" s="56" t="n">
        <v>18</v>
      </c>
      <c r="S94" s="56" t="n">
        <v>17.75</v>
      </c>
      <c r="T94" s="56" t="n">
        <v>17.1</v>
      </c>
      <c r="U94" s="56" t="n">
        <v>18.45</v>
      </c>
      <c r="V94" s="56" t="n">
        <v>17.3</v>
      </c>
      <c r="W94" s="56" t="n">
        <v>17.5</v>
      </c>
      <c r="X94" s="56" t="n">
        <v>18.5</v>
      </c>
      <c r="Y94" s="56" t="n">
        <v>18.3</v>
      </c>
      <c r="Z94" s="56" t="n">
        <v>18</v>
      </c>
      <c r="AA94" s="56" t="n">
        <v>17.7</v>
      </c>
      <c r="AB94" s="56" t="n">
        <v>17.5</v>
      </c>
      <c r="AC94" s="56" t="n">
        <v>18.35</v>
      </c>
      <c r="AD94" s="56" t="n">
        <v>17.65</v>
      </c>
      <c r="AE94" s="56" t="n">
        <v>17.2</v>
      </c>
      <c r="AF94" s="56" t="n">
        <v>18.4</v>
      </c>
      <c r="AG94" s="56" t="n">
        <v>17.95</v>
      </c>
      <c r="AH94" s="56" t="n">
        <v>17.6</v>
      </c>
      <c r="AI94" s="56" t="n">
        <v>17.45</v>
      </c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24015220</v>
      </c>
      <c r="B95" s="59" t="inlineStr">
        <is>
          <t>Villa Carmen</t>
        </is>
      </c>
      <c r="C95" s="59" t="inlineStr">
        <is>
          <t>Area Operativa 06 - Boyacá-Casanare-Vichada</t>
        </is>
      </c>
      <c r="D95" s="73" t="n">
        <v>-73.49577778</v>
      </c>
      <c r="E95" s="73" t="n">
        <v>5.509388889</v>
      </c>
      <c r="F95" s="58" t="n">
        <v>2600</v>
      </c>
      <c r="G95" s="58" t="n">
        <v>15</v>
      </c>
      <c r="H95" s="58" t="n">
        <v>15646</v>
      </c>
      <c r="I95" s="60" t="inlineStr">
        <is>
          <t>Boyacá</t>
        </is>
      </c>
      <c r="J95" s="60" t="inlineStr">
        <is>
          <t>Samacá</t>
        </is>
      </c>
      <c r="K95" s="56" t="n">
        <v>15</v>
      </c>
      <c r="L95" s="56" t="n">
        <v>14.6</v>
      </c>
      <c r="M95" s="56" t="n">
        <v>13.35</v>
      </c>
      <c r="N95" s="56" t="n">
        <v>14.95</v>
      </c>
      <c r="O95" s="56" t="n">
        <v>14.45</v>
      </c>
      <c r="P95" s="56" t="n">
        <v>14.15</v>
      </c>
      <c r="Q95" s="56" t="n">
        <v>13.8</v>
      </c>
      <c r="R95" s="56" t="n">
        <v>14.75</v>
      </c>
      <c r="S95" s="56" t="n">
        <v>15.65</v>
      </c>
      <c r="T95" s="56" t="n">
        <v>14.55</v>
      </c>
      <c r="U95" s="56" t="n">
        <v>14.6</v>
      </c>
      <c r="V95" s="56" t="n">
        <v>16.2</v>
      </c>
      <c r="W95" s="56" t="n">
        <v>14.5</v>
      </c>
      <c r="X95" s="56" t="n">
        <v>14.6</v>
      </c>
      <c r="Y95" s="56" t="n">
        <v>15.95</v>
      </c>
      <c r="Z95" s="56" t="n">
        <v>14.45</v>
      </c>
      <c r="AA95" s="56" t="n">
        <v>14.7</v>
      </c>
      <c r="AB95" s="56" t="n">
        <v>14.3</v>
      </c>
      <c r="AC95" s="56" t="n">
        <v>14.7</v>
      </c>
      <c r="AD95" s="56" t="n">
        <v>15.35</v>
      </c>
      <c r="AE95" s="56" t="n">
        <v>15.55</v>
      </c>
      <c r="AF95" s="56" t="n">
        <v>17</v>
      </c>
      <c r="AG95" s="56" t="n">
        <v>16.5</v>
      </c>
      <c r="AH95" s="56" t="n">
        <v>15.75</v>
      </c>
      <c r="AI95" s="56" t="n">
        <v>15.35</v>
      </c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24015300</v>
      </c>
      <c r="B96" s="59" t="inlineStr">
        <is>
          <t>Villa De Leiva  - Aut</t>
        </is>
      </c>
      <c r="C96" s="59" t="inlineStr">
        <is>
          <t>Area Operativa 06 - Boyacá-Casanare-Vichada</t>
        </is>
      </c>
      <c r="D96" s="73" t="n">
        <v>-73.51774</v>
      </c>
      <c r="E96" s="73" t="n">
        <v>5.64326</v>
      </c>
      <c r="F96" s="58" t="n">
        <v>2174</v>
      </c>
      <c r="G96" s="58" t="n">
        <v>15</v>
      </c>
      <c r="H96" s="58" t="n">
        <v>15407</v>
      </c>
      <c r="I96" s="60" t="inlineStr">
        <is>
          <t>Boyacá</t>
        </is>
      </c>
      <c r="J96" s="60" t="inlineStr">
        <is>
          <t>Villa De Leyva</t>
        </is>
      </c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24015360</v>
      </c>
      <c r="B97" s="59" t="inlineStr">
        <is>
          <t>Saboya La Granja</t>
        </is>
      </c>
      <c r="C97" s="59" t="inlineStr">
        <is>
          <t>Area Operativa 06 - Boyacá-Casanare-Vichada</t>
        </is>
      </c>
      <c r="D97" s="73" t="n">
        <v>-73.759</v>
      </c>
      <c r="E97" s="73" t="n">
        <v>5.696222222</v>
      </c>
      <c r="F97" s="58" t="n">
        <v>2550</v>
      </c>
      <c r="G97" s="58" t="n">
        <v>15</v>
      </c>
      <c r="H97" s="58" t="n">
        <v>15632</v>
      </c>
      <c r="I97" s="60" t="inlineStr">
        <is>
          <t>Boyacá</t>
        </is>
      </c>
      <c r="J97" s="60" t="inlineStr">
        <is>
          <t>Saboyá</t>
        </is>
      </c>
      <c r="K97" s="56" t="n">
        <v>17.73333333333333</v>
      </c>
      <c r="L97" s="56" t="n">
        <v>17.33333333333333</v>
      </c>
      <c r="M97" s="56" t="n">
        <v>18</v>
      </c>
      <c r="N97" s="56" t="n">
        <v>13.9</v>
      </c>
      <c r="O97" s="56" t="n">
        <v>14.73333333333333</v>
      </c>
      <c r="P97" s="56" t="n">
        <v>14.93333333333333</v>
      </c>
      <c r="Q97" s="56" t="n">
        <v>16.73333333333333</v>
      </c>
      <c r="R97" s="56" t="n">
        <v>17.33333333333333</v>
      </c>
      <c r="S97" s="56" t="n">
        <v>18.33333333333333</v>
      </c>
      <c r="T97" s="56" t="n">
        <v>16.6</v>
      </c>
      <c r="U97" s="56" t="n">
        <v>16.66666666666666</v>
      </c>
      <c r="V97" s="56" t="n">
        <v>15.93333333333333</v>
      </c>
      <c r="W97" s="56" t="n">
        <v>17.33333333333333</v>
      </c>
      <c r="X97" s="56" t="n">
        <v/>
      </c>
      <c r="Y97" s="56" t="n">
        <v>17.53333333333333</v>
      </c>
      <c r="Z97" s="56" t="n">
        <v>16.93333333333333</v>
      </c>
      <c r="AA97" s="56" t="n">
        <v>16.93333333333333</v>
      </c>
      <c r="AB97" s="56" t="n">
        <v>15.53333333333333</v>
      </c>
      <c r="AC97" s="56" t="n">
        <v>15</v>
      </c>
      <c r="AD97" s="56" t="n">
        <v>16.4</v>
      </c>
      <c r="AE97" s="56" t="n">
        <v>17.53333333333333</v>
      </c>
      <c r="AF97" s="56" t="n">
        <v>17.26666666666667</v>
      </c>
      <c r="AG97" s="56" t="n">
        <v>18.53333333333333</v>
      </c>
      <c r="AH97" s="56" t="n">
        <v/>
      </c>
      <c r="AI97" s="56" t="n">
        <v>15.6</v>
      </c>
      <c r="AJ97" s="56" t="n"/>
      <c r="AK97" s="56" t="n"/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24035040</v>
      </c>
      <c r="B98" s="59" t="inlineStr">
        <is>
          <t>La Copa</t>
        </is>
      </c>
      <c r="C98" s="59" t="inlineStr">
        <is>
          <t>Area Operativa 06 - Boyacá-Casanare-Vichada</t>
        </is>
      </c>
      <c r="D98" s="73" t="n">
        <v>-73.208777778</v>
      </c>
      <c r="E98" s="73" t="n">
        <v>5.579194444</v>
      </c>
      <c r="F98" s="58" t="n">
        <v>2700</v>
      </c>
      <c r="G98" s="58" t="n">
        <v>15</v>
      </c>
      <c r="H98" s="58" t="n">
        <v>15814</v>
      </c>
      <c r="I98" s="60" t="inlineStr">
        <is>
          <t>Boyacá</t>
        </is>
      </c>
      <c r="J98" s="60" t="inlineStr">
        <is>
          <t>Toca</t>
        </is>
      </c>
      <c r="K98" s="56" t="n">
        <v>11.7</v>
      </c>
      <c r="L98" s="56" t="n">
        <v>13.15</v>
      </c>
      <c r="M98" s="56" t="n">
        <v>12.95</v>
      </c>
      <c r="N98" s="56" t="n">
        <v>13.1</v>
      </c>
      <c r="O98" s="56" t="n">
        <v>11.95</v>
      </c>
      <c r="P98" s="56" t="n">
        <v>12.2</v>
      </c>
      <c r="Q98" s="56" t="n">
        <v>12.1</v>
      </c>
      <c r="R98" s="56" t="n">
        <v>13.2</v>
      </c>
      <c r="S98" s="56" t="n">
        <v>14.35</v>
      </c>
      <c r="T98" s="56" t="n">
        <v>14.2</v>
      </c>
      <c r="U98" s="56" t="n">
        <v>13.8</v>
      </c>
      <c r="V98" s="56" t="n">
        <v>13.2</v>
      </c>
      <c r="W98" s="56" t="n">
        <v>12.25</v>
      </c>
      <c r="X98" s="56" t="n">
        <v>12.8</v>
      </c>
      <c r="Y98" s="56" t="n">
        <v>13.2</v>
      </c>
      <c r="Z98" s="56" t="n">
        <v>13.8</v>
      </c>
      <c r="AA98" s="56" t="n">
        <v>13.85</v>
      </c>
      <c r="AB98" s="56" t="n">
        <v>13.8</v>
      </c>
      <c r="AC98" s="56" t="n">
        <v>12.3</v>
      </c>
      <c r="AD98" s="56" t="n">
        <v>12.55</v>
      </c>
      <c r="AE98" s="56" t="n">
        <v>11.95</v>
      </c>
      <c r="AF98" s="56" t="n">
        <v>12.65</v>
      </c>
      <c r="AG98" s="56" t="n">
        <v>13.5</v>
      </c>
      <c r="AH98" s="56" t="n">
        <v>12.8</v>
      </c>
      <c r="AI98" s="56" t="n">
        <v>12.35</v>
      </c>
      <c r="AJ98" s="56" t="n"/>
      <c r="AK98" s="56" t="n"/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24035070</v>
      </c>
      <c r="B99" s="59" t="inlineStr">
        <is>
          <t>Guican</t>
        </is>
      </c>
      <c r="C99" s="59" t="inlineStr">
        <is>
          <t>Area Operativa 06 - Boyacá-Casanare-Vichada</t>
        </is>
      </c>
      <c r="D99" s="73" t="n">
        <v>-72.40919443999999</v>
      </c>
      <c r="E99" s="73" t="n">
        <v>6.463472222</v>
      </c>
      <c r="F99" s="58" t="n">
        <v>2963</v>
      </c>
      <c r="G99" s="58" t="n">
        <v>15</v>
      </c>
      <c r="H99" s="58" t="n">
        <v>15332</v>
      </c>
      <c r="I99" s="60" t="inlineStr">
        <is>
          <t>Boyacá</t>
        </is>
      </c>
      <c r="J99" s="60" t="inlineStr">
        <is>
          <t>Güicán De La Sierra</t>
        </is>
      </c>
      <c r="K99" s="56" t="n">
        <v>14.83333333333333</v>
      </c>
      <c r="L99" s="56" t="n">
        <v>14.93333333333333</v>
      </c>
      <c r="M99" s="56" t="n">
        <v>15.5</v>
      </c>
      <c r="N99" s="56" t="n">
        <v>15.6</v>
      </c>
      <c r="O99" s="56" t="n">
        <v>14.63333333333333</v>
      </c>
      <c r="P99" s="56" t="n">
        <v>14.66666666666667</v>
      </c>
      <c r="Q99" s="56" t="n">
        <v>13.6</v>
      </c>
      <c r="R99" s="56" t="n">
        <v>15.56666666666667</v>
      </c>
      <c r="S99" s="56" t="n">
        <v>16.23333333333333</v>
      </c>
      <c r="T99" s="56" t="n">
        <v>15.66666666666667</v>
      </c>
      <c r="U99" s="56" t="n">
        <v>14.8</v>
      </c>
      <c r="V99" s="56" t="n">
        <v>16.3</v>
      </c>
      <c r="W99" s="56" t="n">
        <v>15.33333333333333</v>
      </c>
      <c r="X99" s="56" t="n">
        <v>15.7</v>
      </c>
      <c r="Y99" s="56" t="n">
        <v>15.46666666666667</v>
      </c>
      <c r="Z99" s="56" t="n">
        <v>15.46666666666667</v>
      </c>
      <c r="AA99" s="56" t="n">
        <v/>
      </c>
      <c r="AB99" s="56" t="n">
        <v>16.53333333333333</v>
      </c>
      <c r="AC99" s="56" t="n">
        <v>14.93333333333333</v>
      </c>
      <c r="AD99" s="56" t="n">
        <v>15.26666666666667</v>
      </c>
      <c r="AE99" s="56" t="n">
        <v>14.63333333333333</v>
      </c>
      <c r="AF99" s="56" t="n">
        <v>15.06666666666667</v>
      </c>
      <c r="AG99" s="56" t="n">
        <v>15.43333333333333</v>
      </c>
      <c r="AH99" s="56" t="n">
        <v>15.33333333333333</v>
      </c>
      <c r="AI99" s="56" t="n">
        <v>14.53333333333333</v>
      </c>
      <c r="AJ99" s="56" t="n"/>
      <c r="AK99" s="56" t="n"/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24035120</v>
      </c>
      <c r="B100" s="59" t="inlineStr">
        <is>
          <t>Surbata Bonza</t>
        </is>
      </c>
      <c r="C100" s="59" t="inlineStr">
        <is>
          <t>Area Operativa 06 - Boyacá-Casanare-Vichada</t>
        </is>
      </c>
      <c r="D100" s="73" t="n">
        <v>-73.07447222</v>
      </c>
      <c r="E100" s="73" t="n">
        <v>5.802444444</v>
      </c>
      <c r="F100" s="58" t="n">
        <v>2485</v>
      </c>
      <c r="G100" s="58" t="n">
        <v>15</v>
      </c>
      <c r="H100" s="58" t="n">
        <v>15238</v>
      </c>
      <c r="I100" s="60" t="inlineStr">
        <is>
          <t>Boyacá</t>
        </is>
      </c>
      <c r="J100" s="60" t="inlineStr">
        <is>
          <t>Duitama</t>
        </is>
      </c>
      <c r="K100" s="56" t="n">
        <v>15.46666666666667</v>
      </c>
      <c r="L100" s="56" t="n">
        <v>16.33333333333333</v>
      </c>
      <c r="M100" s="56" t="n">
        <v>15.73333333333333</v>
      </c>
      <c r="N100" s="56" t="n">
        <v>15.73333333333333</v>
      </c>
      <c r="O100" s="56" t="n">
        <v>15.46666666666667</v>
      </c>
      <c r="P100" s="56" t="n">
        <v>15.6</v>
      </c>
      <c r="Q100" s="56" t="n">
        <v>15.33333333333333</v>
      </c>
      <c r="R100" s="56" t="n">
        <v>15</v>
      </c>
      <c r="S100" s="56" t="n">
        <v>17.66666666666667</v>
      </c>
      <c r="T100" s="56" t="n">
        <v>17.46666666666667</v>
      </c>
      <c r="U100" s="56" t="n">
        <v>16.6</v>
      </c>
      <c r="V100" s="56" t="n">
        <v>16.53333333333333</v>
      </c>
      <c r="W100" s="56" t="n">
        <v>14.8</v>
      </c>
      <c r="X100" s="56" t="n">
        <v>16.66666666666667</v>
      </c>
      <c r="Y100" s="56" t="n">
        <v>17.26666666666667</v>
      </c>
      <c r="Z100" s="56" t="n">
        <v>16.66666666666667</v>
      </c>
      <c r="AA100" s="56" t="n">
        <v>16.4</v>
      </c>
      <c r="AB100" s="56" t="n">
        <v>16.2</v>
      </c>
      <c r="AC100" s="56" t="n">
        <v>15.86666666666667</v>
      </c>
      <c r="AD100" s="56" t="n">
        <v>15.26666666666667</v>
      </c>
      <c r="AE100" s="56" t="n">
        <v>14.86666666666667</v>
      </c>
      <c r="AF100" s="56" t="n">
        <v>16.9</v>
      </c>
      <c r="AG100" s="56" t="n">
        <v>17.93333333333333</v>
      </c>
      <c r="AH100" s="56" t="n">
        <v>14.53333333333333</v>
      </c>
      <c r="AI100" s="56" t="n">
        <v>17.8</v>
      </c>
      <c r="AJ100" s="56" t="n"/>
      <c r="AK100" s="56" t="n"/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24035130</v>
      </c>
      <c r="B101" s="59" t="inlineStr">
        <is>
          <t>U P T C</t>
        </is>
      </c>
      <c r="C101" s="59" t="inlineStr">
        <is>
          <t>Area Operativa 06 - Boyacá-Casanare-Vichada</t>
        </is>
      </c>
      <c r="D101" s="73" t="n">
        <v>-73.36081306</v>
      </c>
      <c r="E101" s="73" t="n">
        <v>5.5430775</v>
      </c>
      <c r="F101" s="58" t="n">
        <v>2690</v>
      </c>
      <c r="G101" s="58" t="n">
        <v>15</v>
      </c>
      <c r="H101" s="58" t="n">
        <v>15001</v>
      </c>
      <c r="I101" s="60" t="inlineStr">
        <is>
          <t>Boyacá</t>
        </is>
      </c>
      <c r="J101" s="60" t="inlineStr">
        <is>
          <t>Tunja</t>
        </is>
      </c>
      <c r="K101" s="56" t="n">
        <v>13.2</v>
      </c>
      <c r="L101" s="56" t="n">
        <v>13</v>
      </c>
      <c r="M101" s="56" t="n">
        <v>13.3</v>
      </c>
      <c r="N101" s="56" t="n">
        <v>14.2</v>
      </c>
      <c r="O101" s="56" t="n">
        <v>12.65</v>
      </c>
      <c r="P101" s="56" t="n">
        <v>13.2</v>
      </c>
      <c r="Q101" s="56" t="n">
        <v>12.95</v>
      </c>
      <c r="R101" s="56" t="n">
        <v>13.6</v>
      </c>
      <c r="S101" s="56" t="n">
        <v>14.45</v>
      </c>
      <c r="T101" s="56" t="n">
        <v>14.25</v>
      </c>
      <c r="U101" s="56" t="n">
        <v>14.05</v>
      </c>
      <c r="V101" s="56" t="n">
        <v>15.2</v>
      </c>
      <c r="W101" s="56" t="n">
        <v>13.6</v>
      </c>
      <c r="X101" s="56" t="n">
        <v>14.2</v>
      </c>
      <c r="Y101" s="56" t="n">
        <v>13.65</v>
      </c>
      <c r="Z101" s="56" t="n">
        <v>13.45</v>
      </c>
      <c r="AA101" s="56" t="n">
        <v>13.25</v>
      </c>
      <c r="AB101" s="56" t="n">
        <v>14.05</v>
      </c>
      <c r="AC101" s="56" t="n">
        <v>13.5</v>
      </c>
      <c r="AD101" s="56" t="n">
        <v>14.05</v>
      </c>
      <c r="AE101" s="56" t="n">
        <v>13.65</v>
      </c>
      <c r="AF101" s="56" t="n">
        <v>14.9</v>
      </c>
      <c r="AG101" s="56" t="n">
        <v>13.4</v>
      </c>
      <c r="AH101" s="56" t="n">
        <v>13.8</v>
      </c>
      <c r="AI101" s="56" t="n">
        <v>13.75</v>
      </c>
      <c r="AJ101" s="56" t="n"/>
      <c r="AK101" s="56" t="n"/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24035250</v>
      </c>
      <c r="B102" s="59" t="inlineStr">
        <is>
          <t>Chita  - Aut</t>
        </is>
      </c>
      <c r="C102" s="59" t="inlineStr">
        <is>
          <t>Area Operativa 06 - Boyacá-Casanare-Vichada</t>
        </is>
      </c>
      <c r="D102" s="73" t="n">
        <v>-72.46556</v>
      </c>
      <c r="E102" s="73" t="n">
        <v>6.18778</v>
      </c>
      <c r="F102" s="58" t="n">
        <v>2961</v>
      </c>
      <c r="G102" s="58" t="n">
        <v>15</v>
      </c>
      <c r="H102" s="58" t="n">
        <v>15183</v>
      </c>
      <c r="I102" s="60" t="inlineStr">
        <is>
          <t>Boyacá</t>
        </is>
      </c>
      <c r="J102" s="60" t="inlineStr">
        <is>
          <t>Chita</t>
        </is>
      </c>
      <c r="K102" s="56" t="n">
        <v/>
      </c>
      <c r="L102" s="56" t="n">
        <v/>
      </c>
      <c r="M102" s="56" t="n">
        <v>14</v>
      </c>
      <c r="N102" s="56" t="n">
        <v/>
      </c>
      <c r="O102" s="56" t="n">
        <v/>
      </c>
      <c r="P102" s="56" t="n">
        <v/>
      </c>
      <c r="Q102" s="56" t="n">
        <v/>
      </c>
      <c r="R102" s="56" t="n">
        <v>13.33333333333333</v>
      </c>
      <c r="S102" s="56" t="n">
        <v>13.46666666666667</v>
      </c>
      <c r="T102" s="56" t="n">
        <v>13.2</v>
      </c>
      <c r="U102" s="56" t="n">
        <v>13.86666666666667</v>
      </c>
      <c r="V102" s="56" t="n">
        <v>15.2</v>
      </c>
      <c r="W102" s="56" t="n">
        <v>13.13333333333333</v>
      </c>
      <c r="X102" s="56" t="n">
        <v>13.8</v>
      </c>
      <c r="Y102" s="56" t="n">
        <v>14.06666666666666</v>
      </c>
      <c r="Z102" s="56" t="n">
        <v>13.53333333333333</v>
      </c>
      <c r="AA102" s="56" t="n">
        <v>13.53333333333333</v>
      </c>
      <c r="AB102" s="56" t="n">
        <v>13.06666666666667</v>
      </c>
      <c r="AC102" s="56" t="n">
        <v>13.93333333333333</v>
      </c>
      <c r="AD102" s="56" t="n">
        <v>13.4</v>
      </c>
      <c r="AE102" s="56" t="n">
        <v>13.13333333333333</v>
      </c>
      <c r="AF102" s="56" t="n">
        <v>14.66666666666667</v>
      </c>
      <c r="AG102" s="56" t="n">
        <v>14.26666666666667</v>
      </c>
      <c r="AH102" s="56" t="n">
        <v>12.4</v>
      </c>
      <c r="AI102" s="56" t="n">
        <v>14.26666666666667</v>
      </c>
      <c r="AJ102" s="56" t="n"/>
      <c r="AK102" s="56" t="n"/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24035260</v>
      </c>
      <c r="B103" s="59" t="inlineStr">
        <is>
          <t>Capitanejo</t>
        </is>
      </c>
      <c r="C103" s="59" t="inlineStr">
        <is>
          <t>Area Operativa 06 - Boyacá-Casanare-Vichada</t>
        </is>
      </c>
      <c r="D103" s="73" t="n">
        <v>-72.69661111000001</v>
      </c>
      <c r="E103" s="73" t="n">
        <v>6.520722222</v>
      </c>
      <c r="F103" s="58" t="n">
        <v>1160</v>
      </c>
      <c r="G103" s="58" t="n">
        <v>68</v>
      </c>
      <c r="H103" s="58" t="n">
        <v>68147</v>
      </c>
      <c r="I103" s="60" t="inlineStr">
        <is>
          <t>Santander</t>
        </is>
      </c>
      <c r="J103" s="60" t="inlineStr">
        <is>
          <t>Capitanejo</t>
        </is>
      </c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24035310</v>
      </c>
      <c r="B104" s="59" t="inlineStr">
        <is>
          <t>Chiscas</t>
        </is>
      </c>
      <c r="C104" s="59" t="inlineStr">
        <is>
          <t>Area Operativa 06 - Boyacá-Casanare-Vichada</t>
        </is>
      </c>
      <c r="D104" s="73" t="n">
        <v>-72.50472222</v>
      </c>
      <c r="E104" s="73" t="n">
        <v>6.549527778</v>
      </c>
      <c r="F104" s="58" t="n">
        <v>2350</v>
      </c>
      <c r="G104" s="58" t="n">
        <v>15</v>
      </c>
      <c r="H104" s="58" t="n">
        <v>15180</v>
      </c>
      <c r="I104" s="60" t="inlineStr">
        <is>
          <t>Boyacá</t>
        </is>
      </c>
      <c r="J104" s="60" t="inlineStr">
        <is>
          <t>Chiscas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24035330</v>
      </c>
      <c r="B105" s="59" t="inlineStr">
        <is>
          <t>Boavita</t>
        </is>
      </c>
      <c r="C105" s="59" t="inlineStr">
        <is>
          <t>Area Operativa 06 - Boyacá-Casanare-Vichada</t>
        </is>
      </c>
      <c r="D105" s="73" t="n">
        <v>-72.58227778</v>
      </c>
      <c r="E105" s="73" t="n">
        <v>6.328972222</v>
      </c>
      <c r="F105" s="58" t="n">
        <v>2150</v>
      </c>
      <c r="G105" s="58" t="n">
        <v>15</v>
      </c>
      <c r="H105" s="58" t="n">
        <v>15097</v>
      </c>
      <c r="I105" s="60" t="inlineStr">
        <is>
          <t>Boyacá</t>
        </is>
      </c>
      <c r="J105" s="60" t="inlineStr">
        <is>
          <t>Boavita</t>
        </is>
      </c>
      <c r="K105" s="56" t="n">
        <v>19.06666666666667</v>
      </c>
      <c r="L105" s="56" t="n">
        <v>20.2</v>
      </c>
      <c r="M105" s="56" t="n">
        <v>20.73333333333333</v>
      </c>
      <c r="N105" s="56" t="n">
        <v>20.6</v>
      </c>
      <c r="O105" s="56" t="n">
        <v>19.53333333333333</v>
      </c>
      <c r="P105" s="56" t="n">
        <v>19.13333333333333</v>
      </c>
      <c r="Q105" s="56" t="n">
        <v>20.06666666666667</v>
      </c>
      <c r="R105" s="56" t="n">
        <v>19.4</v>
      </c>
      <c r="S105" s="56" t="n">
        <v>20.93333333333333</v>
      </c>
      <c r="T105" s="56" t="n">
        <v>19.6</v>
      </c>
      <c r="U105" s="56" t="n">
        <v>18.66666666666667</v>
      </c>
      <c r="V105" s="56" t="n">
        <v>19.2</v>
      </c>
      <c r="W105" s="56" t="n">
        <v>17.8</v>
      </c>
      <c r="X105" s="56" t="n">
        <v>20.46666666666667</v>
      </c>
      <c r="Y105" s="56" t="n">
        <v>20.73333333333333</v>
      </c>
      <c r="Z105" s="56" t="n">
        <v>20.26666666666667</v>
      </c>
      <c r="AA105" s="56" t="n">
        <v>19.66666666666667</v>
      </c>
      <c r="AB105" s="56" t="n">
        <v>20.8</v>
      </c>
      <c r="AC105" s="56" t="n">
        <v>19.33333333333333</v>
      </c>
      <c r="AD105" s="56" t="n">
        <v>20</v>
      </c>
      <c r="AE105" s="56" t="n">
        <v>20.6</v>
      </c>
      <c r="AF105" s="56" t="n">
        <v>20.73333333333333</v>
      </c>
      <c r="AG105" s="56" t="n">
        <v>19.26666666666667</v>
      </c>
      <c r="AH105" s="56" t="n">
        <v>18.53333333333333</v>
      </c>
      <c r="AI105" s="56" t="n">
        <v>17.66666666666667</v>
      </c>
      <c r="AJ105" s="56" t="n"/>
      <c r="AK105" s="56" t="n"/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24035340</v>
      </c>
      <c r="B106" s="59" t="inlineStr">
        <is>
          <t>Aeropuerto A Lleras C Aut</t>
        </is>
      </c>
      <c r="C106" s="59" t="inlineStr">
        <is>
          <t>Area Operativa 06 - Boyacá-Casanare-Vichada</t>
        </is>
      </c>
      <c r="D106" s="73" t="n">
        <v>-72.96791666999999</v>
      </c>
      <c r="E106" s="73" t="n">
        <v>5.676944444</v>
      </c>
      <c r="F106" s="58" t="n">
        <v>2500</v>
      </c>
      <c r="G106" s="58" t="n">
        <v>15</v>
      </c>
      <c r="H106" s="58" t="n">
        <v>15759</v>
      </c>
      <c r="I106" s="60" t="inlineStr">
        <is>
          <t>Boyacá</t>
        </is>
      </c>
      <c r="J106" s="60" t="inlineStr">
        <is>
          <t>Sogamoso</t>
        </is>
      </c>
      <c r="K106" s="56" t="n">
        <v/>
      </c>
      <c r="L106" s="56" t="n">
        <v/>
      </c>
      <c r="M106" s="56" t="n">
        <v/>
      </c>
      <c r="N106" s="56" t="n">
        <v/>
      </c>
      <c r="O106" s="56" t="n">
        <v/>
      </c>
      <c r="P106" s="56" t="n">
        <v/>
      </c>
      <c r="Q106" s="56" t="n">
        <v/>
      </c>
      <c r="R106" s="56" t="n">
        <v/>
      </c>
      <c r="S106" s="56" t="n">
        <v/>
      </c>
      <c r="T106" s="56" t="n">
        <v/>
      </c>
      <c r="U106" s="56" t="n">
        <v/>
      </c>
      <c r="V106" s="56" t="n">
        <v/>
      </c>
      <c r="W106" s="56" t="n">
        <v/>
      </c>
      <c r="X106" s="56" t="n">
        <v/>
      </c>
      <c r="Y106" s="56" t="n">
        <v>13.85</v>
      </c>
      <c r="Z106" s="56" t="n">
        <v>13.45</v>
      </c>
      <c r="AA106" s="56" t="n">
        <v>13.8</v>
      </c>
      <c r="AB106" s="56" t="n">
        <v>14.1</v>
      </c>
      <c r="AC106" s="56" t="n">
        <v>14.5</v>
      </c>
      <c r="AD106" s="56" t="n">
        <v>11.85</v>
      </c>
      <c r="AE106" s="56" t="n">
        <v>15.15</v>
      </c>
      <c r="AF106" s="56" t="n">
        <v>14.8</v>
      </c>
      <c r="AG106" s="56" t="n">
        <v>16.1</v>
      </c>
      <c r="AH106" s="56" t="n">
        <v>14.5</v>
      </c>
      <c r="AI106" s="56" t="n">
        <v>15.45</v>
      </c>
      <c r="AJ106" s="56" t="n"/>
      <c r="AK106" s="56" t="n"/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24035420</v>
      </c>
      <c r="B107" s="59" t="inlineStr">
        <is>
          <t>Cerinza</t>
        </is>
      </c>
      <c r="C107" s="59" t="inlineStr">
        <is>
          <t>Area Operativa 06 - Boyacá-Casanare-Vichada</t>
        </is>
      </c>
      <c r="D107" s="73" t="n">
        <v>-72.9385</v>
      </c>
      <c r="E107" s="73" t="n">
        <v>5.96225</v>
      </c>
      <c r="F107" s="58" t="n">
        <v>2643</v>
      </c>
      <c r="G107" s="58" t="n">
        <v>15</v>
      </c>
      <c r="H107" s="58" t="n">
        <v>15162</v>
      </c>
      <c r="I107" s="60" t="inlineStr">
        <is>
          <t>Boyacá</t>
        </is>
      </c>
      <c r="J107" s="60" t="inlineStr">
        <is>
          <t>Cerinza</t>
        </is>
      </c>
      <c r="K107" s="56" t="n">
        <v>14.33333333333333</v>
      </c>
      <c r="L107" s="56" t="n">
        <v/>
      </c>
      <c r="M107" s="56" t="n">
        <v/>
      </c>
      <c r="N107" s="56" t="n">
        <v/>
      </c>
      <c r="O107" s="56" t="n">
        <v/>
      </c>
      <c r="P107" s="56" t="n">
        <v/>
      </c>
      <c r="Q107" s="56" t="n">
        <v/>
      </c>
      <c r="R107" s="56" t="n">
        <v/>
      </c>
      <c r="S107" s="56" t="n">
        <v/>
      </c>
      <c r="T107" s="56" t="n">
        <v/>
      </c>
      <c r="U107" s="56" t="n">
        <v/>
      </c>
      <c r="V107" s="56" t="n">
        <v/>
      </c>
      <c r="W107" s="56" t="n">
        <v/>
      </c>
      <c r="X107" s="56" t="n">
        <v/>
      </c>
      <c r="Y107" s="56" t="n">
        <v/>
      </c>
      <c r="Z107" s="56" t="n">
        <v>13.5</v>
      </c>
      <c r="AA107" s="56" t="n">
        <v/>
      </c>
      <c r="AB107" s="56" t="n">
        <v/>
      </c>
      <c r="AC107" s="56" t="n">
        <v/>
      </c>
      <c r="AD107" s="56" t="n">
        <v/>
      </c>
      <c r="AE107" s="56" t="n">
        <v/>
      </c>
      <c r="AF107" s="56" t="n">
        <v>15.35</v>
      </c>
      <c r="AG107" s="56" t="n">
        <v>15.35</v>
      </c>
      <c r="AH107" s="56" t="n">
        <v/>
      </c>
      <c r="AI107" s="56" t="n">
        <v>14.45</v>
      </c>
      <c r="AJ107" s="56" t="n"/>
      <c r="AK107" s="56" t="n"/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24035430</v>
      </c>
      <c r="B108" s="59" t="inlineStr">
        <is>
          <t>Tunguavita - Aut</t>
        </is>
      </c>
      <c r="C108" s="59" t="inlineStr">
        <is>
          <t>Area Operativa 06 - Boyacá-Casanare-Vichada</t>
        </is>
      </c>
      <c r="D108" s="73" t="n">
        <v>-73.11636</v>
      </c>
      <c r="E108" s="73" t="n">
        <v>5.74583</v>
      </c>
      <c r="F108" s="58" t="n">
        <v>2521</v>
      </c>
      <c r="G108" s="58" t="n">
        <v>15</v>
      </c>
      <c r="H108" s="58" t="n">
        <v>15516</v>
      </c>
      <c r="I108" s="60" t="inlineStr">
        <is>
          <t>Boyacá</t>
        </is>
      </c>
      <c r="J108" s="60" t="inlineStr">
        <is>
          <t>Paipa</t>
        </is>
      </c>
      <c r="K108" s="56" t="n">
        <v>13.2</v>
      </c>
      <c r="L108" s="56" t="n">
        <v>13.45</v>
      </c>
      <c r="M108" s="56" t="n">
        <v>13.05</v>
      </c>
      <c r="N108" s="56" t="n">
        <v>15.4</v>
      </c>
      <c r="O108" s="56" t="n">
        <v>12.1</v>
      </c>
      <c r="P108" s="56" t="n">
        <v>14.1</v>
      </c>
      <c r="Q108" s="56" t="n">
        <v>13.2</v>
      </c>
      <c r="R108" s="56" t="n">
        <v>14.9</v>
      </c>
      <c r="S108" s="56" t="n">
        <v>14</v>
      </c>
      <c r="T108" s="56" t="n">
        <v>15.2</v>
      </c>
      <c r="U108" s="56" t="n">
        <v>13.75</v>
      </c>
      <c r="V108" s="56" t="n">
        <v>13.85</v>
      </c>
      <c r="W108" s="56" t="n">
        <v>11.6</v>
      </c>
      <c r="X108" s="56" t="n">
        <v>13.2</v>
      </c>
      <c r="Y108" s="56" t="n">
        <v>14.3</v>
      </c>
      <c r="Z108" s="56" t="n">
        <v>15.15</v>
      </c>
      <c r="AA108" s="56" t="n">
        <v>13.6</v>
      </c>
      <c r="AB108" s="56" t="n">
        <v>12.4</v>
      </c>
      <c r="AC108" s="56" t="n">
        <v>14.25</v>
      </c>
      <c r="AD108" s="56" t="n">
        <v>13.6</v>
      </c>
      <c r="AE108" s="56" t="n">
        <v>14.325</v>
      </c>
      <c r="AF108" s="56" t="n">
        <v>13.7</v>
      </c>
      <c r="AG108" s="56" t="n">
        <v>15.45</v>
      </c>
      <c r="AH108" s="56" t="n">
        <v>14.75</v>
      </c>
      <c r="AI108" s="56" t="n">
        <v>14.3</v>
      </c>
      <c r="AJ108" s="56" t="n"/>
      <c r="AK108" s="56" t="n"/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35075010</v>
      </c>
      <c r="B109" s="59" t="inlineStr">
        <is>
          <t>Nuevo Colon</t>
        </is>
      </c>
      <c r="C109" s="59" t="inlineStr">
        <is>
          <t>Area Operativa 06 - Boyacá-Casanare-Vichada</t>
        </is>
      </c>
      <c r="D109" s="73" t="n">
        <v>-73.45377778</v>
      </c>
      <c r="E109" s="73" t="n">
        <v>5.352694444</v>
      </c>
      <c r="F109" s="58" t="n">
        <v>2438</v>
      </c>
      <c r="G109" s="58" t="n">
        <v>15</v>
      </c>
      <c r="H109" s="58" t="n">
        <v>15494</v>
      </c>
      <c r="I109" s="60" t="inlineStr">
        <is>
          <t>Boyacá</t>
        </is>
      </c>
      <c r="J109" s="60" t="inlineStr">
        <is>
          <t>Nuevo Colón</t>
        </is>
      </c>
      <c r="K109" s="56" t="n">
        <v>15</v>
      </c>
      <c r="L109" s="56" t="n">
        <v>14.65</v>
      </c>
      <c r="M109" s="56" t="n">
        <v>14.35</v>
      </c>
      <c r="N109" s="56" t="n">
        <v>13.8</v>
      </c>
      <c r="O109" s="56" t="n">
        <v>14.3</v>
      </c>
      <c r="P109" s="56" t="n">
        <v>14.35</v>
      </c>
      <c r="Q109" s="56" t="n">
        <v>14.15</v>
      </c>
      <c r="R109" s="56" t="n">
        <v>13.85</v>
      </c>
      <c r="S109" s="56" t="n">
        <v>15.8</v>
      </c>
      <c r="T109" s="56" t="n">
        <v>14.45</v>
      </c>
      <c r="U109" s="56" t="n">
        <v>15.2</v>
      </c>
      <c r="V109" s="56" t="n">
        <v>15.85</v>
      </c>
      <c r="W109" s="56" t="n">
        <v>14.25</v>
      </c>
      <c r="X109" s="56" t="n">
        <v>15.9</v>
      </c>
      <c r="Y109" s="56" t="n">
        <v>16.55</v>
      </c>
      <c r="Z109" s="56" t="n">
        <v>14.65</v>
      </c>
      <c r="AA109" s="56" t="n">
        <v>13.4</v>
      </c>
      <c r="AB109" s="56" t="n">
        <v>15.25</v>
      </c>
      <c r="AC109" s="56" t="n">
        <v>13.35</v>
      </c>
      <c r="AD109" s="56" t="n">
        <v>15.7</v>
      </c>
      <c r="AE109" s="56" t="n">
        <v>14.95</v>
      </c>
      <c r="AF109" s="56" t="n">
        <v>15.05</v>
      </c>
      <c r="AG109" s="56" t="n">
        <v>15.8</v>
      </c>
      <c r="AH109" s="56" t="n">
        <v>16</v>
      </c>
      <c r="AI109" s="56" t="n">
        <v>15.1</v>
      </c>
      <c r="AJ109" s="56" t="n"/>
      <c r="AK109" s="56" t="n"/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35075020</v>
      </c>
      <c r="B110" s="59" t="inlineStr">
        <is>
          <t>Sutatenza</t>
        </is>
      </c>
      <c r="C110" s="59" t="inlineStr">
        <is>
          <t>Area Operativa 06 - Boyacá-Casanare-Vichada</t>
        </is>
      </c>
      <c r="D110" s="73" t="n">
        <v>-73.44916667</v>
      </c>
      <c r="E110" s="73" t="n">
        <v>5.022277778</v>
      </c>
      <c r="F110" s="58" t="n">
        <v>1930</v>
      </c>
      <c r="G110" s="58" t="n">
        <v>15</v>
      </c>
      <c r="H110" s="58" t="n">
        <v>15778</v>
      </c>
      <c r="I110" s="60" t="inlineStr">
        <is>
          <t>Boyacá</t>
        </is>
      </c>
      <c r="J110" s="60" t="inlineStr">
        <is>
          <t>Sutatenza</t>
        </is>
      </c>
      <c r="K110" s="56" t="n">
        <v/>
      </c>
      <c r="L110" s="56" t="n">
        <v>18.13333333333334</v>
      </c>
      <c r="M110" s="56" t="n">
        <v>17</v>
      </c>
      <c r="N110" s="56" t="n">
        <v>17.4</v>
      </c>
      <c r="O110" s="56" t="n">
        <v>18.46666666666667</v>
      </c>
      <c r="P110" s="56" t="n">
        <v/>
      </c>
      <c r="Q110" s="56" t="n">
        <v/>
      </c>
      <c r="R110" s="56" t="n">
        <v>17.06666666666667</v>
      </c>
      <c r="S110" s="56" t="n">
        <v>18</v>
      </c>
      <c r="T110" s="56" t="n">
        <v>17.13333333333334</v>
      </c>
      <c r="U110" s="56" t="n">
        <v>18.13333333333333</v>
      </c>
      <c r="V110" s="56" t="n">
        <v>18.6</v>
      </c>
      <c r="W110" s="56" t="n">
        <v>17.2</v>
      </c>
      <c r="X110" s="56" t="n">
        <v>19.06666666666667</v>
      </c>
      <c r="Y110" s="56" t="n">
        <v>18.6</v>
      </c>
      <c r="Z110" s="56" t="n">
        <v>18.06666666666667</v>
      </c>
      <c r="AA110" s="56" t="n">
        <v>18.4</v>
      </c>
      <c r="AB110" s="56" t="n">
        <v>17.46666666666667</v>
      </c>
      <c r="AC110" s="56" t="n">
        <v>17.13333333333334</v>
      </c>
      <c r="AD110" s="56" t="n">
        <v>18.86666666666667</v>
      </c>
      <c r="AE110" s="56" t="n">
        <v>17.73333333333333</v>
      </c>
      <c r="AF110" s="56" t="n">
        <v>19.53333333333333</v>
      </c>
      <c r="AG110" s="56" t="n">
        <v>18.73333333333333</v>
      </c>
      <c r="AH110" s="56" t="n">
        <v>18</v>
      </c>
      <c r="AI110" s="56" t="n">
        <v>18.86666666666667</v>
      </c>
      <c r="AJ110" s="56" t="n"/>
      <c r="AK110" s="56" t="n"/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35075030</v>
      </c>
      <c r="B111" s="59" t="inlineStr">
        <is>
          <t>Villa Luisa</t>
        </is>
      </c>
      <c r="C111" s="59" t="inlineStr">
        <is>
          <t>Area Operativa 06 - Boyacá-Casanare-Vichada</t>
        </is>
      </c>
      <c r="D111" s="73" t="n">
        <v>-73.34941667</v>
      </c>
      <c r="E111" s="73" t="n">
        <v>5.422222222</v>
      </c>
      <c r="F111" s="58" t="n">
        <v>2200</v>
      </c>
      <c r="G111" s="58" t="n">
        <v>15</v>
      </c>
      <c r="H111" s="58" t="n">
        <v>15599</v>
      </c>
      <c r="I111" s="60" t="inlineStr">
        <is>
          <t>Boyacá</t>
        </is>
      </c>
      <c r="J111" s="60" t="inlineStr">
        <is>
          <t>Ramiriquí</t>
        </is>
      </c>
      <c r="K111" s="56" t="n">
        <v>15</v>
      </c>
      <c r="L111" s="56" t="n">
        <v>16</v>
      </c>
      <c r="M111" s="56" t="n">
        <v>15.26666666666667</v>
      </c>
      <c r="N111" s="56" t="n">
        <v>16.73333333333333</v>
      </c>
      <c r="O111" s="56" t="n">
        <v>14.93333333333333</v>
      </c>
      <c r="P111" s="56" t="n">
        <v>15.13333333333333</v>
      </c>
      <c r="Q111" s="56" t="n">
        <v>15.13333333333333</v>
      </c>
      <c r="R111" s="56" t="n">
        <v>14.8</v>
      </c>
      <c r="S111" s="56" t="n">
        <v>17</v>
      </c>
      <c r="T111" s="56" t="n">
        <v>15.66666666666667</v>
      </c>
      <c r="U111" s="56" t="n">
        <v>16.26666666666667</v>
      </c>
      <c r="V111" s="56" t="n">
        <v>17.73333333333333</v>
      </c>
      <c r="W111" s="56" t="n">
        <v>16.6</v>
      </c>
      <c r="X111" s="56" t="n">
        <v>15.53333333333333</v>
      </c>
      <c r="Y111" s="56" t="n">
        <v>16.8</v>
      </c>
      <c r="Z111" s="56" t="n">
        <v>15.6</v>
      </c>
      <c r="AA111" s="56" t="n">
        <v>16.46666666666667</v>
      </c>
      <c r="AB111" s="56" t="n">
        <v>15.73333333333333</v>
      </c>
      <c r="AC111" s="56" t="n">
        <v>15.73333333333333</v>
      </c>
      <c r="AD111" s="56" t="n">
        <v>16.33333333333333</v>
      </c>
      <c r="AE111" s="56" t="n">
        <v>16.9</v>
      </c>
      <c r="AF111" s="56" t="n">
        <v>15.95</v>
      </c>
      <c r="AG111" s="56" t="n">
        <v>17.4</v>
      </c>
      <c r="AH111" s="56" t="n">
        <v>16.7</v>
      </c>
      <c r="AI111" s="56" t="n">
        <v>16</v>
      </c>
      <c r="AJ111" s="56" t="n"/>
      <c r="AK111" s="56" t="n"/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35075040</v>
      </c>
      <c r="B112" s="59" t="inlineStr">
        <is>
          <t>Institucion Agricola Macanal</t>
        </is>
      </c>
      <c r="C112" s="59" t="inlineStr">
        <is>
          <t>Area Operativa 06 - Boyacá-Casanare-Vichada</t>
        </is>
      </c>
      <c r="D112" s="73" t="n">
        <v>-73.31675</v>
      </c>
      <c r="E112" s="73" t="n">
        <v>4.974361111</v>
      </c>
      <c r="F112" s="58" t="n">
        <v>1300</v>
      </c>
      <c r="G112" s="58" t="n">
        <v>15</v>
      </c>
      <c r="H112" s="58" t="n">
        <v>15425</v>
      </c>
      <c r="I112" s="60" t="inlineStr">
        <is>
          <t>Boyacá</t>
        </is>
      </c>
      <c r="J112" s="60" t="inlineStr">
        <is>
          <t>Macanal</t>
        </is>
      </c>
      <c r="K112" s="56" t="n">
        <v>19.53333333333333</v>
      </c>
      <c r="L112" s="56" t="n">
        <v>18.86666666666667</v>
      </c>
      <c r="M112" s="56" t="n">
        <v>18.2</v>
      </c>
      <c r="N112" s="56" t="n">
        <v>18.46666666666667</v>
      </c>
      <c r="O112" s="56" t="n">
        <v>18.8</v>
      </c>
      <c r="P112" s="56" t="n">
        <v>18.66666666666667</v>
      </c>
      <c r="Q112" s="56" t="n">
        <v>18.8</v>
      </c>
      <c r="R112" s="56" t="n">
        <v>17</v>
      </c>
      <c r="S112" s="56" t="n">
        <v>18.46666666666667</v>
      </c>
      <c r="T112" s="56" t="n">
        <v>17.73333333333333</v>
      </c>
      <c r="U112" s="56" t="n">
        <v>18.53333333333333</v>
      </c>
      <c r="V112" s="56" t="n">
        <v>18.6</v>
      </c>
      <c r="W112" s="56" t="n">
        <v>18.6</v>
      </c>
      <c r="X112" s="56" t="n">
        <v>19.53333333333333</v>
      </c>
      <c r="Y112" s="56" t="n">
        <v>19.13333333333334</v>
      </c>
      <c r="Z112" s="56" t="n">
        <v>18.8</v>
      </c>
      <c r="AA112" s="56" t="n">
        <v>19.2</v>
      </c>
      <c r="AB112" s="56" t="n">
        <v>18</v>
      </c>
      <c r="AC112" s="56" t="n">
        <v>18.66666666666667</v>
      </c>
      <c r="AD112" s="56" t="n">
        <v>20</v>
      </c>
      <c r="AE112" s="56" t="n">
        <v>19.06666666666667</v>
      </c>
      <c r="AF112" s="56" t="n">
        <v>19.86666666666666</v>
      </c>
      <c r="AG112" s="56" t="n">
        <v>20.13333333333333</v>
      </c>
      <c r="AH112" s="56" t="n">
        <v>17.33333333333333</v>
      </c>
      <c r="AI112" s="56" t="n">
        <v>18.26666666666667</v>
      </c>
      <c r="AJ112" s="56" t="n"/>
      <c r="AK112" s="56" t="n"/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35085040</v>
      </c>
      <c r="B113" s="59" t="inlineStr">
        <is>
          <t xml:space="preserve">El Vivero </t>
        </is>
      </c>
      <c r="C113" s="59" t="inlineStr">
        <is>
          <t>Area Operativa 06 - Boyacá-Casanare-Vichada</t>
        </is>
      </c>
      <c r="D113" s="73" t="n">
        <v>-73.14477778</v>
      </c>
      <c r="E113" s="73" t="n">
        <v>5.192555556</v>
      </c>
      <c r="F113" s="58" t="n">
        <v>1640</v>
      </c>
      <c r="G113" s="58" t="n">
        <v>15</v>
      </c>
      <c r="H113" s="58" t="n">
        <v>15455</v>
      </c>
      <c r="I113" s="60" t="inlineStr">
        <is>
          <t>Boyacá</t>
        </is>
      </c>
      <c r="J113" s="60" t="inlineStr">
        <is>
          <t>Miraflores</t>
        </is>
      </c>
      <c r="K113" s="56" t="n">
        <v/>
      </c>
      <c r="L113" s="56" t="n">
        <v>18.6</v>
      </c>
      <c r="M113" s="56" t="n">
        <v/>
      </c>
      <c r="N113" s="56" t="n">
        <v>18.13333333333333</v>
      </c>
      <c r="O113" s="56" t="n">
        <v>20.26666666666667</v>
      </c>
      <c r="P113" s="56" t="n">
        <v>19</v>
      </c>
      <c r="Q113" s="56" t="n">
        <v>20</v>
      </c>
      <c r="R113" s="56" t="n">
        <v>19.66666666666667</v>
      </c>
      <c r="S113" s="56" t="n">
        <v/>
      </c>
      <c r="T113" s="56" t="n">
        <v>18.4</v>
      </c>
      <c r="U113" s="56" t="n">
        <v>19.8</v>
      </c>
      <c r="V113" s="56" t="n">
        <v/>
      </c>
      <c r="W113" s="56" t="n">
        <v>19.53333333333333</v>
      </c>
      <c r="X113" s="56" t="n">
        <v>21.2</v>
      </c>
      <c r="Y113" s="56" t="n">
        <v>20.46666666666667</v>
      </c>
      <c r="Z113" s="56" t="n">
        <v>18.93333333333333</v>
      </c>
      <c r="AA113" s="56" t="n">
        <v>18.66666666666667</v>
      </c>
      <c r="AB113" s="56" t="n">
        <v>17.6</v>
      </c>
      <c r="AC113" s="56" t="n">
        <v>19.06666666666667</v>
      </c>
      <c r="AD113" s="56" t="n">
        <v>20.73333333333333</v>
      </c>
      <c r="AE113" s="56" t="n">
        <v/>
      </c>
      <c r="AF113" s="56" t="n">
        <v>21.6</v>
      </c>
      <c r="AG113" s="56" t="n">
        <v>21.73333333333333</v>
      </c>
      <c r="AH113" s="56" t="n">
        <v/>
      </c>
      <c r="AI113" s="56" t="n">
        <v>20.86666666666667</v>
      </c>
      <c r="AJ113" s="56" t="n"/>
      <c r="AK113" s="56" t="n"/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35085050</v>
      </c>
      <c r="B114" s="59" t="inlineStr">
        <is>
          <t>Campohermoso</t>
        </is>
      </c>
      <c r="C114" s="59" t="inlineStr">
        <is>
          <t>Area Operativa 06 - Boyacá-Casanare-Vichada</t>
        </is>
      </c>
      <c r="D114" s="73" t="n">
        <v>-73.10366667</v>
      </c>
      <c r="E114" s="73" t="n">
        <v>5.0345</v>
      </c>
      <c r="F114" s="58" t="n">
        <v>1300</v>
      </c>
      <c r="G114" s="58" t="n">
        <v>15</v>
      </c>
      <c r="H114" s="58" t="n">
        <v>15135</v>
      </c>
      <c r="I114" s="60" t="inlineStr">
        <is>
          <t>Boyacá</t>
        </is>
      </c>
      <c r="J114" s="60" t="inlineStr">
        <is>
          <t>Campohermoso</t>
        </is>
      </c>
      <c r="K114" s="56" t="n">
        <v>22.73333333333333</v>
      </c>
      <c r="L114" s="56" t="n">
        <v>22.33333333333333</v>
      </c>
      <c r="M114" s="56" t="n">
        <v>22.2</v>
      </c>
      <c r="N114" s="56" t="n">
        <v/>
      </c>
      <c r="O114" s="56" t="n">
        <v/>
      </c>
      <c r="P114" s="56" t="n">
        <v/>
      </c>
      <c r="Q114" s="56" t="n">
        <v>22.33333333333333</v>
      </c>
      <c r="R114" s="56" t="n">
        <v>21.8</v>
      </c>
      <c r="S114" s="56" t="n">
        <v>22.53333333333333</v>
      </c>
      <c r="T114" s="56" t="n">
        <v>21.33333333333333</v>
      </c>
      <c r="U114" s="56" t="n">
        <v/>
      </c>
      <c r="V114" s="56" t="n">
        <v/>
      </c>
      <c r="W114" s="56" t="n">
        <v/>
      </c>
      <c r="X114" s="56" t="n">
        <v>24.33333333333333</v>
      </c>
      <c r="Y114" s="56" t="n">
        <v>23.26666666666667</v>
      </c>
      <c r="Z114" s="56" t="n">
        <v>23.13333333333334</v>
      </c>
      <c r="AA114" s="56" t="n">
        <v>23.13333333333334</v>
      </c>
      <c r="AB114" s="56" t="n">
        <v>21.8</v>
      </c>
      <c r="AC114" s="56" t="n">
        <v>22.66666666666667</v>
      </c>
      <c r="AD114" s="56" t="n">
        <v/>
      </c>
      <c r="AE114" s="56" t="n">
        <v>23.53333333333333</v>
      </c>
      <c r="AF114" s="56" t="n">
        <v>24.13333333333334</v>
      </c>
      <c r="AG114" s="56" t="n">
        <v>24.6</v>
      </c>
      <c r="AH114" s="56" t="n">
        <v/>
      </c>
      <c r="AI114" s="56" t="n">
        <v/>
      </c>
      <c r="AJ114" s="56" t="n"/>
      <c r="AK114" s="56" t="n"/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35195030</v>
      </c>
      <c r="B115" s="59" t="inlineStr">
        <is>
          <t>Aguazul</t>
        </is>
      </c>
      <c r="C115" s="59" t="inlineStr">
        <is>
          <t>Area Operativa 06 - Boyacá-Casanare-Vichada</t>
        </is>
      </c>
      <c r="D115" s="73" t="n">
        <v>-72.54738888999999</v>
      </c>
      <c r="E115" s="73" t="n">
        <v>5.177083333</v>
      </c>
      <c r="F115" s="58" t="n">
        <v>380</v>
      </c>
      <c r="G115" s="58" t="n">
        <v>85</v>
      </c>
      <c r="H115" s="58" t="n">
        <v>85010</v>
      </c>
      <c r="I115" s="60" t="inlineStr">
        <is>
          <t>Casanare</t>
        </is>
      </c>
      <c r="J115" s="60" t="inlineStr">
        <is>
          <t>Aguazul</t>
        </is>
      </c>
      <c r="K115" s="56" t="n">
        <v>29.4</v>
      </c>
      <c r="L115" s="56" t="n">
        <v>27.55</v>
      </c>
      <c r="M115" s="56" t="n">
        <v>28.35</v>
      </c>
      <c r="N115" s="56" t="n">
        <v>27.45</v>
      </c>
      <c r="O115" s="56" t="n">
        <v>28.45</v>
      </c>
      <c r="P115" s="56" t="n">
        <v>26.9</v>
      </c>
      <c r="Q115" s="56" t="n">
        <v>27.95</v>
      </c>
      <c r="R115" s="56" t="n">
        <v>27.85</v>
      </c>
      <c r="S115" s="56" t="n">
        <v>27.1</v>
      </c>
      <c r="T115" s="56" t="n">
        <v>26.15</v>
      </c>
      <c r="U115" s="56" t="n">
        <v>27.2</v>
      </c>
      <c r="V115" s="56" t="n">
        <v>28.85</v>
      </c>
      <c r="W115" s="56" t="n">
        <v>26.25</v>
      </c>
      <c r="X115" s="56" t="n">
        <v>28.55</v>
      </c>
      <c r="Y115" s="56" t="n">
        <v>26.85</v>
      </c>
      <c r="Z115" s="56" t="n">
        <v>28.1</v>
      </c>
      <c r="AA115" s="56" t="n">
        <v>27.4</v>
      </c>
      <c r="AB115" s="56" t="n">
        <v>27.25</v>
      </c>
      <c r="AC115" s="56" t="n">
        <v>27</v>
      </c>
      <c r="AD115" s="56" t="n">
        <v>28.35</v>
      </c>
      <c r="AE115" s="56" t="n">
        <v>29.4</v>
      </c>
      <c r="AF115" s="56" t="n">
        <v>29</v>
      </c>
      <c r="AG115" s="56" t="n">
        <v>29.95</v>
      </c>
      <c r="AH115" s="56" t="n">
        <v>26</v>
      </c>
      <c r="AI115" s="56" t="n">
        <v>27.3</v>
      </c>
      <c r="AJ115" s="56" t="n"/>
      <c r="AK115" s="56" t="n"/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35195050</v>
      </c>
      <c r="B116" s="59" t="inlineStr">
        <is>
          <t>Corinto</t>
        </is>
      </c>
      <c r="C116" s="59" t="inlineStr">
        <is>
          <t>Area Operativa 06 - Boyacá-Casanare-Vichada</t>
        </is>
      </c>
      <c r="D116" s="73" t="n">
        <v>-72.71722222</v>
      </c>
      <c r="E116" s="73" t="n">
        <v>5.407277778</v>
      </c>
      <c r="F116" s="58" t="n">
        <v>1550</v>
      </c>
      <c r="G116" s="58" t="n">
        <v>15</v>
      </c>
      <c r="H116" s="58" t="n">
        <v>15518</v>
      </c>
      <c r="I116" s="60" t="inlineStr">
        <is>
          <t>Boyacá</t>
        </is>
      </c>
      <c r="J116" s="60" t="inlineStr">
        <is>
          <t>Pajarito</t>
        </is>
      </c>
      <c r="K116" s="56" t="n">
        <v>19.53333333333333</v>
      </c>
      <c r="L116" s="56" t="n">
        <v>19.26666666666667</v>
      </c>
      <c r="M116" s="56" t="n">
        <v>20</v>
      </c>
      <c r="N116" s="56" t="n">
        <v>19.26666666666667</v>
      </c>
      <c r="O116" s="56" t="n">
        <v>20.13333333333333</v>
      </c>
      <c r="P116" s="56" t="n">
        <v>19.46666666666667</v>
      </c>
      <c r="Q116" s="56" t="n">
        <v>19.93333333333333</v>
      </c>
      <c r="R116" s="56" t="n">
        <v>19.46666666666667</v>
      </c>
      <c r="S116" s="56" t="n">
        <v>18.93333333333333</v>
      </c>
      <c r="T116" s="56" t="n">
        <v>19.2</v>
      </c>
      <c r="U116" s="56" t="n">
        <v>19.93333333333333</v>
      </c>
      <c r="V116" s="56" t="n">
        <v>20</v>
      </c>
      <c r="W116" s="56" t="n">
        <v>18.43333333333333</v>
      </c>
      <c r="X116" s="56" t="n">
        <v>20</v>
      </c>
      <c r="Y116" s="56" t="n">
        <v>19.46666666666667</v>
      </c>
      <c r="Z116" s="56" t="n">
        <v>19.6</v>
      </c>
      <c r="AA116" s="56" t="n">
        <v>19.93333333333333</v>
      </c>
      <c r="AB116" s="56" t="n">
        <v>19.26666666666667</v>
      </c>
      <c r="AC116" s="56" t="n">
        <v>19.73333333333333</v>
      </c>
      <c r="AD116" s="56" t="n">
        <v>20</v>
      </c>
      <c r="AE116" s="56" t="n">
        <v>19.53333333333333</v>
      </c>
      <c r="AF116" s="56" t="n">
        <v>20</v>
      </c>
      <c r="AG116" s="56" t="n">
        <v>19.8</v>
      </c>
      <c r="AH116" s="56" t="n">
        <v>20.06666666666667</v>
      </c>
      <c r="AI116" s="56" t="n">
        <v>20.06666666666667</v>
      </c>
      <c r="AJ116" s="56" t="n"/>
      <c r="AK116" s="56" t="n"/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35215020</v>
      </c>
      <c r="B117" s="59" t="inlineStr">
        <is>
          <t>Aeropuerto Yopal - Aut</t>
        </is>
      </c>
      <c r="C117" s="59" t="inlineStr">
        <is>
          <t>Area Operativa 06 - Boyacá-Casanare-Vichada</t>
        </is>
      </c>
      <c r="D117" s="73" t="n">
        <v>-72.3875</v>
      </c>
      <c r="E117" s="73" t="n">
        <v>5.320444444</v>
      </c>
      <c r="F117" s="58" t="n">
        <v>325</v>
      </c>
      <c r="G117" s="58" t="n">
        <v>85</v>
      </c>
      <c r="H117" s="58" t="n">
        <v>85001</v>
      </c>
      <c r="I117" s="60" t="inlineStr">
        <is>
          <t>Casanare</t>
        </is>
      </c>
      <c r="J117" s="60" t="inlineStr">
        <is>
          <t>Yopal</t>
        </is>
      </c>
      <c r="K117" s="56" t="n">
        <v>28.73333333333333</v>
      </c>
      <c r="L117" s="56" t="n">
        <v>26.93333333333334</v>
      </c>
      <c r="M117" s="56" t="n">
        <v>27.93333333333333</v>
      </c>
      <c r="N117" s="56" t="n">
        <v>26.26666666666667</v>
      </c>
      <c r="O117" s="56" t="n">
        <v>27.6</v>
      </c>
      <c r="P117" s="56" t="n">
        <v>26.26666666666667</v>
      </c>
      <c r="Q117" s="56" t="n">
        <v>27.86666666666666</v>
      </c>
      <c r="R117" s="56" t="n">
        <v>27.26666666666667</v>
      </c>
      <c r="S117" s="56" t="n">
        <v>27</v>
      </c>
      <c r="T117" s="56" t="n">
        <v>25.6</v>
      </c>
      <c r="U117" s="56" t="n">
        <v>27.2</v>
      </c>
      <c r="V117" s="56" t="n">
        <v/>
      </c>
      <c r="W117" s="56" t="n">
        <v>25.66666666666667</v>
      </c>
      <c r="X117" s="56" t="n">
        <v>27.93333333333334</v>
      </c>
      <c r="Y117" s="56" t="n">
        <v>26.66666666666667</v>
      </c>
      <c r="Z117" s="56" t="n">
        <v>27.6</v>
      </c>
      <c r="AA117" s="56" t="n">
        <v>26.86666666666666</v>
      </c>
      <c r="AB117" s="56" t="n">
        <v>27.66666666666667</v>
      </c>
      <c r="AC117" s="56" t="n">
        <v>27</v>
      </c>
      <c r="AD117" s="56" t="n">
        <v>28.6</v>
      </c>
      <c r="AE117" s="56" t="n">
        <v>29.46666666666667</v>
      </c>
      <c r="AF117" s="56" t="n">
        <v>29.46666666666667</v>
      </c>
      <c r="AG117" s="56" t="n">
        <v>28.86666666666666</v>
      </c>
      <c r="AH117" s="56" t="n">
        <v>25.6</v>
      </c>
      <c r="AI117" s="56" t="n">
        <v>27.06666666666667</v>
      </c>
      <c r="AJ117" s="56" t="n"/>
      <c r="AK117" s="56" t="n"/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35235040</v>
      </c>
      <c r="B118" s="59" t="inlineStr">
        <is>
          <t>Trinidad - Aut</t>
        </is>
      </c>
      <c r="C118" s="59" t="inlineStr">
        <is>
          <t>Area Operativa 06 - Boyacá-Casanare-Vichada</t>
        </is>
      </c>
      <c r="D118" s="73" t="n">
        <v>-71.66616667</v>
      </c>
      <c r="E118" s="73" t="n">
        <v>5.419027778</v>
      </c>
      <c r="F118" s="58" t="n">
        <v>265</v>
      </c>
      <c r="G118" s="58" t="n">
        <v>85</v>
      </c>
      <c r="H118" s="58" t="n">
        <v>85430</v>
      </c>
      <c r="I118" s="60" t="inlineStr">
        <is>
          <t>Casanare</t>
        </is>
      </c>
      <c r="J118" s="60" t="inlineStr">
        <is>
          <t>Trinidad</t>
        </is>
      </c>
      <c r="K118" s="56" t="n">
        <v/>
      </c>
      <c r="L118" s="56" t="n">
        <v/>
      </c>
      <c r="M118" s="56" t="n">
        <v/>
      </c>
      <c r="N118" s="56" t="n">
        <v/>
      </c>
      <c r="O118" s="56" t="n">
        <v/>
      </c>
      <c r="P118" s="56" t="n">
        <v>29</v>
      </c>
      <c r="Q118" s="56" t="n">
        <v>29.73333333333333</v>
      </c>
      <c r="R118" s="56" t="n">
        <v>29.46666666666667</v>
      </c>
      <c r="S118" s="56" t="n">
        <v>30.8</v>
      </c>
      <c r="T118" s="56" t="n">
        <v>29.4</v>
      </c>
      <c r="U118" s="56" t="n">
        <v>29.26666666666667</v>
      </c>
      <c r="V118" s="56" t="n">
        <v>29.4</v>
      </c>
      <c r="W118" s="56" t="n">
        <v>29.33333333333333</v>
      </c>
      <c r="X118" s="56" t="n">
        <v>30.13333333333334</v>
      </c>
      <c r="Y118" s="56" t="n">
        <v>30.93333333333333</v>
      </c>
      <c r="Z118" s="56" t="n">
        <v>29.93333333333334</v>
      </c>
      <c r="AA118" s="56" t="n">
        <v>30</v>
      </c>
      <c r="AB118" s="56" t="n">
        <v>30.8</v>
      </c>
      <c r="AC118" s="56" t="n">
        <v>28.06666666666667</v>
      </c>
      <c r="AD118" s="56" t="n">
        <v>29.93333333333334</v>
      </c>
      <c r="AE118" s="56" t="n">
        <v>30.66666666666667</v>
      </c>
      <c r="AF118" s="56" t="n">
        <v>30.4</v>
      </c>
      <c r="AG118" s="56" t="n">
        <v>29.86666666666666</v>
      </c>
      <c r="AH118" s="56" t="n">
        <v/>
      </c>
      <c r="AI118" s="56" t="n">
        <v>29.4</v>
      </c>
      <c r="AJ118" s="56" t="n"/>
      <c r="AK118" s="56" t="n"/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35235050</v>
      </c>
      <c r="B119" s="59" t="inlineStr">
        <is>
          <t>Tamara - Aut</t>
        </is>
      </c>
      <c r="C119" s="59" t="inlineStr">
        <is>
          <t>Area Operativa 06 - Boyacá-Casanare-Vichada</t>
        </is>
      </c>
      <c r="D119" s="73" t="n">
        <v>-72.16677778</v>
      </c>
      <c r="E119" s="73" t="n">
        <v>5.818583333</v>
      </c>
      <c r="F119" s="58" t="n">
        <v>117</v>
      </c>
      <c r="G119" s="58" t="n">
        <v>85</v>
      </c>
      <c r="H119" s="58" t="n">
        <v>85400</v>
      </c>
      <c r="I119" s="60" t="inlineStr">
        <is>
          <t>Casanare</t>
        </is>
      </c>
      <c r="J119" s="60" t="inlineStr">
        <is>
          <t>Támara</t>
        </is>
      </c>
      <c r="K119" s="56" t="n">
        <v>24.33333333333333</v>
      </c>
      <c r="L119" s="56" t="n">
        <v>23.93333333333333</v>
      </c>
      <c r="M119" s="56" t="n">
        <v>25</v>
      </c>
      <c r="N119" s="56" t="n">
        <v>24.73333333333333</v>
      </c>
      <c r="O119" s="56" t="n">
        <v>24.33333333333333</v>
      </c>
      <c r="P119" s="56" t="n">
        <v>23.73333333333333</v>
      </c>
      <c r="Q119" s="56" t="n">
        <v>23.73333333333333</v>
      </c>
      <c r="R119" s="56" t="n">
        <v>23.4</v>
      </c>
      <c r="S119" s="56" t="n">
        <v>23.6</v>
      </c>
      <c r="T119" s="56" t="n">
        <v/>
      </c>
      <c r="U119" s="56" t="n">
        <v/>
      </c>
      <c r="V119" s="56" t="n">
        <v>24.06666666666666</v>
      </c>
      <c r="W119" s="56" t="n">
        <v>24.6</v>
      </c>
      <c r="X119" s="56" t="n">
        <v>24.26666666666667</v>
      </c>
      <c r="Y119" s="56" t="n">
        <v/>
      </c>
      <c r="Z119" s="56" t="n">
        <v/>
      </c>
      <c r="AA119" s="56" t="n">
        <v/>
      </c>
      <c r="AB119" s="56" t="n">
        <v/>
      </c>
      <c r="AC119" s="56" t="n">
        <v/>
      </c>
      <c r="AD119" s="56" t="n">
        <v>24.26666666666667</v>
      </c>
      <c r="AE119" s="56" t="n">
        <v>24</v>
      </c>
      <c r="AF119" s="56" t="n">
        <v>24.26666666666667</v>
      </c>
      <c r="AG119" s="56" t="n">
        <v>25</v>
      </c>
      <c r="AH119" s="56" t="n">
        <v>24.06666666666666</v>
      </c>
      <c r="AI119" s="56" t="n">
        <v>23.93333333333333</v>
      </c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36015010</v>
      </c>
      <c r="B120" s="59" t="inlineStr">
        <is>
          <t>Paz De Ariporo</t>
        </is>
      </c>
      <c r="C120" s="59" t="inlineStr">
        <is>
          <t>Area Operativa 06 - Boyacá-Casanare-Vichada</t>
        </is>
      </c>
      <c r="D120" s="73" t="n">
        <v>-71.88719444</v>
      </c>
      <c r="E120" s="73" t="n">
        <v>5.878527778</v>
      </c>
      <c r="F120" s="58" t="n">
        <v>342</v>
      </c>
      <c r="G120" s="58" t="n">
        <v>85</v>
      </c>
      <c r="H120" s="58" t="n">
        <v>85250</v>
      </c>
      <c r="I120" s="60" t="inlineStr">
        <is>
          <t>Casanare</t>
        </is>
      </c>
      <c r="J120" s="60" t="inlineStr">
        <is>
          <t>Paz De Ariporo</t>
        </is>
      </c>
      <c r="K120" s="56" t="n">
        <v/>
      </c>
      <c r="L120" s="56" t="n">
        <v/>
      </c>
      <c r="M120" s="56" t="n">
        <v>29.2</v>
      </c>
      <c r="N120" s="56" t="n">
        <v>29.13333333333334</v>
      </c>
      <c r="O120" s="56" t="n">
        <v/>
      </c>
      <c r="P120" s="56" t="n">
        <v/>
      </c>
      <c r="Q120" s="56" t="n">
        <v/>
      </c>
      <c r="R120" s="56" t="n">
        <v>28.06666666666667</v>
      </c>
      <c r="S120" s="56" t="n">
        <v>28.26666666666667</v>
      </c>
      <c r="T120" s="56" t="n">
        <v>27.13333333333334</v>
      </c>
      <c r="U120" s="56" t="n">
        <v>27.8</v>
      </c>
      <c r="V120" s="56" t="n">
        <v>28.26666666666667</v>
      </c>
      <c r="W120" s="56" t="n">
        <v/>
      </c>
      <c r="X120" s="56" t="n">
        <v/>
      </c>
      <c r="Y120" s="56" t="n">
        <v>28.33333333333333</v>
      </c>
      <c r="Z120" s="56" t="n">
        <v>28.33333333333333</v>
      </c>
      <c r="AA120" s="56" t="n">
        <v>29</v>
      </c>
      <c r="AB120" s="56" t="n">
        <v>28.73333333333333</v>
      </c>
      <c r="AC120" s="56" t="n">
        <v>29.4</v>
      </c>
      <c r="AD120" s="56" t="n">
        <v/>
      </c>
      <c r="AE120" s="56" t="n">
        <v>29.53333333333333</v>
      </c>
      <c r="AF120" s="56" t="n">
        <v>29.06666666666667</v>
      </c>
      <c r="AG120" s="56" t="n">
        <v/>
      </c>
      <c r="AH120" s="56" t="n">
        <v/>
      </c>
      <c r="AI120" s="56" t="n">
        <v/>
      </c>
      <c r="AJ120" s="56" t="n"/>
      <c r="AK120" s="56" t="n"/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36025010</v>
      </c>
      <c r="B121" s="59" t="inlineStr">
        <is>
          <t>Tame</t>
        </is>
      </c>
      <c r="C121" s="59" t="inlineStr">
        <is>
          <t>Area Operativa 06 - Boyacá-Casanare-Vichada</t>
        </is>
      </c>
      <c r="D121" s="73" t="n">
        <v>-71.74502778</v>
      </c>
      <c r="E121" s="73" t="n">
        <v>6.456194444</v>
      </c>
      <c r="F121" s="58" t="n">
        <v>350</v>
      </c>
      <c r="G121" s="58" t="n">
        <v>81</v>
      </c>
      <c r="H121" s="58" t="n">
        <v>81794</v>
      </c>
      <c r="I121" s="60" t="inlineStr">
        <is>
          <t>Arauca</t>
        </is>
      </c>
      <c r="J121" s="60" t="inlineStr">
        <is>
          <t>Tame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44015030</v>
      </c>
      <c r="B122" s="59" t="inlineStr">
        <is>
          <t>Valencia</t>
        </is>
      </c>
      <c r="C122" s="59" t="inlineStr">
        <is>
          <t>Area Operativa 07 - Nariño-Putumayo</t>
        </is>
      </c>
      <c r="D122" s="73" t="n">
        <v>-76.66875</v>
      </c>
      <c r="E122" s="73" t="n">
        <v>1.900416667</v>
      </c>
      <c r="F122" s="58" t="n">
        <v>2900</v>
      </c>
      <c r="G122" s="58" t="n">
        <v>19</v>
      </c>
      <c r="H122" s="58" t="n">
        <v>19693</v>
      </c>
      <c r="I122" s="60" t="inlineStr">
        <is>
          <t>Cauca</t>
        </is>
      </c>
      <c r="J122" s="60" t="inlineStr">
        <is>
          <t>San Sebastián</t>
        </is>
      </c>
      <c r="K122" s="56" t="n">
        <v>12.93333333333333</v>
      </c>
      <c r="L122" s="56" t="n">
        <v>13</v>
      </c>
      <c r="M122" s="56" t="n">
        <v>11.86666666666667</v>
      </c>
      <c r="N122" s="56" t="n">
        <v>13.66666666666667</v>
      </c>
      <c r="O122" s="56" t="n">
        <v>11.93333333333333</v>
      </c>
      <c r="P122" s="56" t="n">
        <v>12.06666666666667</v>
      </c>
      <c r="Q122" s="56" t="n">
        <v>11.06666666666666</v>
      </c>
      <c r="R122" s="56" t="n">
        <v>13</v>
      </c>
      <c r="S122" s="56" t="n">
        <v>13.06666666666666</v>
      </c>
      <c r="T122" s="56" t="n">
        <v>14.26666666666667</v>
      </c>
      <c r="U122" s="56" t="n">
        <v>12.93333333333333</v>
      </c>
      <c r="V122" s="56" t="n">
        <v>13</v>
      </c>
      <c r="W122" s="56" t="n">
        <v>13.73333333333333</v>
      </c>
      <c r="X122" s="56" t="n">
        <v>13.13333333333333</v>
      </c>
      <c r="Y122" s="56" t="n">
        <v>13.73333333333333</v>
      </c>
      <c r="Z122" s="56" t="n">
        <v>12.26666666666667</v>
      </c>
      <c r="AA122" s="56" t="n">
        <v>13.93333333333333</v>
      </c>
      <c r="AB122" s="56" t="n">
        <v>12.73333333333333</v>
      </c>
      <c r="AC122" s="56" t="n">
        <v>12.4</v>
      </c>
      <c r="AD122" s="56" t="n">
        <v>11.53333333333333</v>
      </c>
      <c r="AE122" s="56" t="n">
        <v>12.66666666666667</v>
      </c>
      <c r="AF122" s="56" t="n">
        <v>13</v>
      </c>
      <c r="AG122" s="56" t="n">
        <v>13.33333333333333</v>
      </c>
      <c r="AH122" s="56" t="n">
        <v>13.53333333333333</v>
      </c>
      <c r="AI122" s="56" t="n">
        <v>12.26666666666667</v>
      </c>
      <c r="AJ122" s="56" t="n"/>
      <c r="AK122" s="56" t="n"/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44015060</v>
      </c>
      <c r="B123" s="59" t="inlineStr">
        <is>
          <t>Acueducto Mocoa - Aut</t>
        </is>
      </c>
      <c r="C123" s="59" t="inlineStr">
        <is>
          <t>Area Operativa 07 - Nariño-Putumayo</t>
        </is>
      </c>
      <c r="D123" s="73" t="n">
        <v>-76.65183333</v>
      </c>
      <c r="E123" s="73" t="n">
        <v>1.157333333</v>
      </c>
      <c r="F123" s="58" t="n">
        <v>650</v>
      </c>
      <c r="G123" s="58" t="n">
        <v>86</v>
      </c>
      <c r="H123" s="58" t="n">
        <v>86001</v>
      </c>
      <c r="I123" s="60" t="inlineStr">
        <is>
          <t>Putumayo</t>
        </is>
      </c>
      <c r="J123" s="60" t="inlineStr">
        <is>
          <t>Mocoa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47015040</v>
      </c>
      <c r="B124" s="59" t="inlineStr">
        <is>
          <t>Michoacan</t>
        </is>
      </c>
      <c r="C124" s="59" t="inlineStr">
        <is>
          <t>Area Operativa 07 - Nariño-Putumayo</t>
        </is>
      </c>
      <c r="D124" s="73" t="n">
        <v>-76.96097222</v>
      </c>
      <c r="E124" s="73" t="n">
        <v>1.198277778</v>
      </c>
      <c r="F124" s="58" t="n">
        <v>2100</v>
      </c>
      <c r="G124" s="58" t="n">
        <v>86</v>
      </c>
      <c r="H124" s="58" t="n">
        <v>86219</v>
      </c>
      <c r="I124" s="60" t="inlineStr">
        <is>
          <t>Putumayo</t>
        </is>
      </c>
      <c r="J124" s="60" t="inlineStr">
        <is>
          <t>Colón</t>
        </is>
      </c>
      <c r="K124" s="56" t="n">
        <v>16.06666666666667</v>
      </c>
      <c r="L124" s="56" t="n">
        <v>15.6</v>
      </c>
      <c r="M124" s="56" t="n">
        <v>16.13333333333334</v>
      </c>
      <c r="N124" s="56" t="n">
        <v>17.4</v>
      </c>
      <c r="O124" s="56" t="n">
        <v>16.33333333333333</v>
      </c>
      <c r="P124" s="56" t="n">
        <v>16.66666666666667</v>
      </c>
      <c r="Q124" s="56" t="n">
        <v>16.46666666666667</v>
      </c>
      <c r="R124" s="56" t="n">
        <v>16.73333333333333</v>
      </c>
      <c r="S124" s="56" t="n">
        <v>17.53333333333333</v>
      </c>
      <c r="T124" s="56" t="n">
        <v>17.73333333333333</v>
      </c>
      <c r="U124" s="56" t="n">
        <v>16.4</v>
      </c>
      <c r="V124" s="56" t="n">
        <v>14.53333333333333</v>
      </c>
      <c r="W124" s="56" t="n">
        <v>16.96666666666667</v>
      </c>
      <c r="X124" s="56" t="n">
        <v>17.06666666666667</v>
      </c>
      <c r="Y124" s="56" t="n">
        <v>16.33333333333333</v>
      </c>
      <c r="Z124" s="56" t="n">
        <v>14.53333333333333</v>
      </c>
      <c r="AA124" s="56" t="n">
        <v>18</v>
      </c>
      <c r="AB124" s="56" t="n">
        <v>16.2</v>
      </c>
      <c r="AC124" s="56" t="n">
        <v>15.4</v>
      </c>
      <c r="AD124" s="56" t="n">
        <v>17.46666666666667</v>
      </c>
      <c r="AE124" s="56" t="n">
        <v>17.13333333333333</v>
      </c>
      <c r="AF124" s="56" t="n">
        <v>17.4</v>
      </c>
      <c r="AG124" s="56" t="n">
        <v>18</v>
      </c>
      <c r="AH124" s="56" t="n">
        <v>18.6</v>
      </c>
      <c r="AI124" s="56" t="n">
        <v>17.26666666666667</v>
      </c>
      <c r="AJ124" s="56" t="n"/>
      <c r="AK124" s="56" t="n"/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47015080</v>
      </c>
      <c r="B125" s="59" t="inlineStr">
        <is>
          <t>Monopamba</t>
        </is>
      </c>
      <c r="C125" s="59" t="inlineStr">
        <is>
          <t>Area Operativa 07 - Nariño-Putumayo</t>
        </is>
      </c>
      <c r="D125" s="73" t="n">
        <v>-77.30361111000001</v>
      </c>
      <c r="E125" s="73" t="n">
        <v>0.804916667</v>
      </c>
      <c r="F125" s="58" t="n">
        <v>1776</v>
      </c>
      <c r="G125" s="58" t="n">
        <v>52</v>
      </c>
      <c r="H125" s="58" t="n">
        <v>52573</v>
      </c>
      <c r="I125" s="60" t="inlineStr">
        <is>
          <t>Nariño</t>
        </is>
      </c>
      <c r="J125" s="60" t="inlineStr">
        <is>
          <t>Puerres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47015100</v>
      </c>
      <c r="B126" s="59" t="inlineStr">
        <is>
          <t>El Encano - Aut</t>
        </is>
      </c>
      <c r="C126" s="59" t="inlineStr">
        <is>
          <t>Area Operativa 07 - Nariño-Putumayo</t>
        </is>
      </c>
      <c r="D126" s="73" t="n">
        <v>-77.16147221999999</v>
      </c>
      <c r="E126" s="73" t="n">
        <v>1.159944444</v>
      </c>
      <c r="F126" s="58" t="n">
        <v>2830</v>
      </c>
      <c r="G126" s="58" t="n">
        <v>52</v>
      </c>
      <c r="H126" s="58" t="n">
        <v>52001</v>
      </c>
      <c r="I126" s="60" t="inlineStr">
        <is>
          <t>Nariño</t>
        </is>
      </c>
      <c r="J126" s="60" t="inlineStr">
        <is>
          <t>Pasto</t>
        </is>
      </c>
      <c r="K126" s="56" t="n">
        <v>12.33333333333333</v>
      </c>
      <c r="L126" s="56" t="n">
        <v>11.46666666666667</v>
      </c>
      <c r="M126" s="56" t="n">
        <v/>
      </c>
      <c r="N126" s="56" t="n">
        <v>12</v>
      </c>
      <c r="O126" s="56" t="n">
        <v>11.6</v>
      </c>
      <c r="P126" s="56" t="n">
        <v>11.33333333333333</v>
      </c>
      <c r="Q126" s="56" t="n">
        <v/>
      </c>
      <c r="R126" s="56" t="n">
        <v>10.63333333333333</v>
      </c>
      <c r="S126" s="56" t="n">
        <v>11.93333333333333</v>
      </c>
      <c r="T126" s="56" t="n">
        <v>13</v>
      </c>
      <c r="U126" s="56" t="n">
        <v>12.73333333333333</v>
      </c>
      <c r="V126" s="56" t="n">
        <v>11.73333333333333</v>
      </c>
      <c r="W126" s="56" t="n">
        <v>12.66666666666667</v>
      </c>
      <c r="X126" s="56" t="n">
        <v>12.66666666666667</v>
      </c>
      <c r="Y126" s="56" t="n">
        <v/>
      </c>
      <c r="Z126" s="56" t="n">
        <v>11.53333333333333</v>
      </c>
      <c r="AA126" s="56" t="n">
        <v>12.33333333333333</v>
      </c>
      <c r="AB126" s="56" t="n">
        <v>11.8</v>
      </c>
      <c r="AC126" s="56" t="n">
        <v>12.13333333333333</v>
      </c>
      <c r="AD126" s="56" t="n">
        <v/>
      </c>
      <c r="AE126" s="56" t="n">
        <v/>
      </c>
      <c r="AF126" s="56" t="n">
        <v>12.66666666666667</v>
      </c>
      <c r="AG126" s="56" t="n">
        <v>13.66666666666667</v>
      </c>
      <c r="AH126" s="56" t="n">
        <v>13.53333333333333</v>
      </c>
      <c r="AI126" s="56" t="n">
        <v>12.6</v>
      </c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47035020</v>
      </c>
      <c r="B127" s="59" t="inlineStr">
        <is>
          <t>Puerto Ospina</t>
        </is>
      </c>
      <c r="C127" s="59" t="inlineStr">
        <is>
          <t>Area Operativa 07 - Nariño-Putumayo</t>
        </is>
      </c>
      <c r="D127" s="73" t="n">
        <v>-75.85111111000001</v>
      </c>
      <c r="E127" s="73" t="n">
        <v>0.132861111</v>
      </c>
      <c r="F127" s="58" t="n">
        <v>190</v>
      </c>
      <c r="G127" s="58" t="n">
        <v>86</v>
      </c>
      <c r="H127" s="58" t="n">
        <v>86573</v>
      </c>
      <c r="I127" s="60" t="inlineStr">
        <is>
          <t>Putumayo</t>
        </is>
      </c>
      <c r="J127" s="60" t="inlineStr">
        <is>
          <t>Puerto Leguízamo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47045010</v>
      </c>
      <c r="B128" s="59" t="inlineStr">
        <is>
          <t>Puerto Leguizamo</t>
        </is>
      </c>
      <c r="C128" s="59" t="inlineStr">
        <is>
          <t>Area Operativa 07 - Nariño-Putumayo</t>
        </is>
      </c>
      <c r="D128" s="73" t="n">
        <v>-74.77627778</v>
      </c>
      <c r="E128" s="73" t="n">
        <v>-0.180611111</v>
      </c>
      <c r="F128" s="58" t="n">
        <v>147</v>
      </c>
      <c r="G128" s="58" t="n">
        <v>86</v>
      </c>
      <c r="H128" s="58" t="n">
        <v>86573</v>
      </c>
      <c r="I128" s="60" t="inlineStr">
        <is>
          <t>Putumayo</t>
        </is>
      </c>
      <c r="J128" s="60" t="inlineStr">
        <is>
          <t>Puerto Leguízamo</t>
        </is>
      </c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51025090</v>
      </c>
      <c r="B129" s="59" t="inlineStr">
        <is>
          <t>Granja El Mira - - Aut</t>
        </is>
      </c>
      <c r="C129" s="59" t="inlineStr">
        <is>
          <t>Area Operativa 07 - Nariño-Putumayo</t>
        </is>
      </c>
      <c r="D129" s="73" t="n">
        <v>-78.69558333000001</v>
      </c>
      <c r="E129" s="73" t="n">
        <v>1.550194444</v>
      </c>
      <c r="F129" s="58" t="n">
        <v>16</v>
      </c>
      <c r="G129" s="58" t="n">
        <v>52</v>
      </c>
      <c r="H129" s="58" t="n">
        <v>52835</v>
      </c>
      <c r="I129" s="60" t="inlineStr">
        <is>
          <t>Nariño</t>
        </is>
      </c>
      <c r="J129" s="60" t="inlineStr">
        <is>
          <t>San Andrés De Tumaco</t>
        </is>
      </c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52015010</v>
      </c>
      <c r="B130" s="59" t="inlineStr">
        <is>
          <t>Paispamba</t>
        </is>
      </c>
      <c r="C130" s="59" t="inlineStr">
        <is>
          <t>Area Operativa 07 - Nariño-Putumayo</t>
        </is>
      </c>
      <c r="D130" s="73" t="n">
        <v>-76.61194444</v>
      </c>
      <c r="E130" s="73" t="n">
        <v>2.249722222</v>
      </c>
      <c r="F130" s="58" t="n">
        <v>2450</v>
      </c>
      <c r="G130" s="58" t="n">
        <v>19</v>
      </c>
      <c r="H130" s="58" t="n">
        <v>19760</v>
      </c>
      <c r="I130" s="60" t="inlineStr">
        <is>
          <t>Cauca</t>
        </is>
      </c>
      <c r="J130" s="60" t="inlineStr">
        <is>
          <t>Sotará Paispamba</t>
        </is>
      </c>
      <c r="K130" s="56" t="n">
        <v>16.26666666666667</v>
      </c>
      <c r="L130" s="56" t="n">
        <v>15.6</v>
      </c>
      <c r="M130" s="56" t="n">
        <v>15.7</v>
      </c>
      <c r="N130" s="56" t="n">
        <v>16.86666666666667</v>
      </c>
      <c r="O130" s="56" t="n">
        <v>15.53333333333333</v>
      </c>
      <c r="P130" s="56" t="n">
        <v>14.9</v>
      </c>
      <c r="Q130" s="56" t="n">
        <v>15.73333333333333</v>
      </c>
      <c r="R130" s="56" t="n">
        <v>15.86666666666667</v>
      </c>
      <c r="S130" s="56" t="n">
        <v>17.73333333333333</v>
      </c>
      <c r="T130" s="56" t="n">
        <v>16.8</v>
      </c>
      <c r="U130" s="56" t="n">
        <v>16.03333333333333</v>
      </c>
      <c r="V130" s="56" t="n">
        <v>15.63333333333333</v>
      </c>
      <c r="W130" s="56" t="n">
        <v>16.86666666666666</v>
      </c>
      <c r="X130" s="56" t="n">
        <v>16.23333333333333</v>
      </c>
      <c r="Y130" s="56" t="n">
        <v>16.06666666666667</v>
      </c>
      <c r="Z130" s="56" t="n">
        <v>15.86666666666667</v>
      </c>
      <c r="AA130" s="56" t="n">
        <v>17.5</v>
      </c>
      <c r="AB130" s="56" t="n">
        <v>16.3</v>
      </c>
      <c r="AC130" s="56" t="n">
        <v>17.06666666666667</v>
      </c>
      <c r="AD130" s="56" t="n">
        <v>16.73333333333333</v>
      </c>
      <c r="AE130" s="56" t="n">
        <v>16.9</v>
      </c>
      <c r="AF130" s="56" t="n">
        <v>15.8</v>
      </c>
      <c r="AG130" s="56" t="n">
        <v>15</v>
      </c>
      <c r="AH130" s="56" t="n">
        <v>14.1</v>
      </c>
      <c r="AI130" s="56" t="n">
        <v>14.23333333333333</v>
      </c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52025020</v>
      </c>
      <c r="B131" s="59" t="inlineStr">
        <is>
          <t>Milagros Los</t>
        </is>
      </c>
      <c r="C131" s="59" t="inlineStr">
        <is>
          <t>Area Operativa 07 - Nariño-Putumayo</t>
        </is>
      </c>
      <c r="D131" s="73" t="n">
        <v>-76.89166667000001</v>
      </c>
      <c r="E131" s="73" t="n">
        <v>1.753333333</v>
      </c>
      <c r="F131" s="58" t="n">
        <v>2300</v>
      </c>
      <c r="G131" s="58" t="n">
        <v>19</v>
      </c>
      <c r="H131" s="58" t="n">
        <v>19100</v>
      </c>
      <c r="I131" s="60" t="inlineStr">
        <is>
          <t>Cauca</t>
        </is>
      </c>
      <c r="J131" s="60" t="inlineStr">
        <is>
          <t>Bolívar</t>
        </is>
      </c>
      <c r="K131" s="56" t="n">
        <v>19.25</v>
      </c>
      <c r="L131" s="56" t="n">
        <v>19.35</v>
      </c>
      <c r="M131" s="56" t="n">
        <v>18.05</v>
      </c>
      <c r="N131" s="56" t="n">
        <v>19.3</v>
      </c>
      <c r="O131" s="56" t="n">
        <v>17.75</v>
      </c>
      <c r="P131" s="56" t="n">
        <v>18.25</v>
      </c>
      <c r="Q131" s="56" t="n">
        <v>18.1</v>
      </c>
      <c r="R131" s="56" t="n">
        <v>18.65</v>
      </c>
      <c r="S131" s="56" t="n">
        <v>18.55</v>
      </c>
      <c r="T131" s="56" t="n">
        <v>19</v>
      </c>
      <c r="U131" s="56" t="n">
        <v>19.2</v>
      </c>
      <c r="V131" s="56" t="n">
        <v>19.35</v>
      </c>
      <c r="W131" s="56" t="n">
        <v>19.25</v>
      </c>
      <c r="X131" s="56" t="n">
        <v>19.45</v>
      </c>
      <c r="Y131" s="56" t="n">
        <v>19.5</v>
      </c>
      <c r="Z131" s="56" t="n">
        <v>18.25</v>
      </c>
      <c r="AA131" s="56" t="n">
        <v>18.85</v>
      </c>
      <c r="AB131" s="56" t="n">
        <v>18.5</v>
      </c>
      <c r="AC131" s="56" t="n">
        <v>18.5</v>
      </c>
      <c r="AD131" s="56" t="n">
        <v>19.25</v>
      </c>
      <c r="AE131" s="56" t="n">
        <v>19.7</v>
      </c>
      <c r="AF131" s="56" t="n">
        <v>18.45</v>
      </c>
      <c r="AG131" s="56" t="n">
        <v>19.3</v>
      </c>
      <c r="AH131" s="56" t="n">
        <v>17.8</v>
      </c>
      <c r="AI131" s="56" t="n">
        <v>17.65</v>
      </c>
      <c r="AJ131" s="56" t="n"/>
      <c r="AK131" s="56" t="n"/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52025090</v>
      </c>
      <c r="B132" s="59" t="inlineStr">
        <is>
          <t>La Sierra - Aut</t>
        </is>
      </c>
      <c r="C132" s="59" t="inlineStr">
        <is>
          <t>Area Operativa 07 - Nariño-Putumayo</t>
        </is>
      </c>
      <c r="D132" s="73" t="n">
        <v>-76.75033333</v>
      </c>
      <c r="E132" s="73" t="n">
        <v>2.193833333</v>
      </c>
      <c r="F132" s="58" t="n">
        <v>1870</v>
      </c>
      <c r="G132" s="58" t="n">
        <v>19</v>
      </c>
      <c r="H132" s="58" t="n">
        <v>19392</v>
      </c>
      <c r="I132" s="60" t="inlineStr">
        <is>
          <t>Cauca</t>
        </is>
      </c>
      <c r="J132" s="60" t="inlineStr">
        <is>
          <t>La Sierra</t>
        </is>
      </c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52045010</v>
      </c>
      <c r="B133" s="59" t="inlineStr">
        <is>
          <t>Obonuco</t>
        </is>
      </c>
      <c r="C133" s="59" t="inlineStr">
        <is>
          <t>Area Operativa 07 - Nariño-Putumayo</t>
        </is>
      </c>
      <c r="D133" s="73" t="n">
        <v>-77.30308333000001</v>
      </c>
      <c r="E133" s="73" t="n">
        <v>1.198222222</v>
      </c>
      <c r="F133" s="58" t="n">
        <v>2710</v>
      </c>
      <c r="G133" s="58" t="n">
        <v>52</v>
      </c>
      <c r="H133" s="58" t="n">
        <v>52001</v>
      </c>
      <c r="I133" s="60" t="inlineStr">
        <is>
          <t>Nariño</t>
        </is>
      </c>
      <c r="J133" s="60" t="inlineStr">
        <is>
          <t>Pasto</t>
        </is>
      </c>
      <c r="K133" s="56" t="n">
        <v>14.93333333333333</v>
      </c>
      <c r="L133" s="56" t="n">
        <v>14.36666666666667</v>
      </c>
      <c r="M133" s="56" t="n">
        <v>13.73333333333333</v>
      </c>
      <c r="N133" s="56" t="n">
        <v>13.8</v>
      </c>
      <c r="O133" s="56" t="n">
        <v>13.56666666666667</v>
      </c>
      <c r="P133" s="56" t="n">
        <v>12.73333333333333</v>
      </c>
      <c r="Q133" s="56" t="n">
        <v>13.4</v>
      </c>
      <c r="R133" s="56" t="n">
        <v>13.63333333333333</v>
      </c>
      <c r="S133" s="56" t="n">
        <v>13.16666666666667</v>
      </c>
      <c r="T133" s="56" t="n">
        <v>14.53333333333333</v>
      </c>
      <c r="U133" s="56" t="n">
        <v>14.2</v>
      </c>
      <c r="V133" s="56" t="n">
        <v>14.43333333333333</v>
      </c>
      <c r="W133" s="56" t="n">
        <v>14.73333333333333</v>
      </c>
      <c r="X133" s="56" t="n">
        <v>14.2</v>
      </c>
      <c r="Y133" s="56" t="n">
        <v>14</v>
      </c>
      <c r="Z133" s="56" t="n">
        <v>14.06666666666667</v>
      </c>
      <c r="AA133" s="56" t="n">
        <v>14.63333333333333</v>
      </c>
      <c r="AB133" s="56" t="n">
        <v>14</v>
      </c>
      <c r="AC133" s="56" t="n">
        <v>14.46666666666667</v>
      </c>
      <c r="AD133" s="56" t="n">
        <v>14.5</v>
      </c>
      <c r="AE133" s="56" t="n">
        <v>14.13333333333333</v>
      </c>
      <c r="AF133" s="56" t="n">
        <v>15.26666666666667</v>
      </c>
      <c r="AG133" s="56" t="n">
        <v>15</v>
      </c>
      <c r="AH133" s="56" t="n">
        <v>15.4</v>
      </c>
      <c r="AI133" s="56" t="n">
        <v>13.73333333333333</v>
      </c>
      <c r="AJ133" s="56" t="n"/>
      <c r="AK133" s="56" t="n"/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52045030</v>
      </c>
      <c r="B134" s="59" t="inlineStr">
        <is>
          <t>San Bernardo</t>
        </is>
      </c>
      <c r="C134" s="59" t="inlineStr">
        <is>
          <t>Area Operativa 07 - Nariño-Putumayo</t>
        </is>
      </c>
      <c r="D134" s="73" t="n">
        <v>-77.03261111</v>
      </c>
      <c r="E134" s="73" t="n">
        <v>1.538722222</v>
      </c>
      <c r="F134" s="58" t="n">
        <v>2190</v>
      </c>
      <c r="G134" s="58" t="n">
        <v>52</v>
      </c>
      <c r="H134" s="58" t="n">
        <v>52685</v>
      </c>
      <c r="I134" s="60" t="inlineStr">
        <is>
          <t>Nariño</t>
        </is>
      </c>
      <c r="J134" s="60" t="inlineStr">
        <is>
          <t>San Bernardo</t>
        </is>
      </c>
      <c r="K134" s="56" t="n">
        <v>18.46666666666667</v>
      </c>
      <c r="L134" s="56" t="n">
        <v>18.4</v>
      </c>
      <c r="M134" s="56" t="n">
        <v>17.2</v>
      </c>
      <c r="N134" s="56" t="n">
        <v>19.46666666666667</v>
      </c>
      <c r="O134" s="56" t="n">
        <v>18.26666666666667</v>
      </c>
      <c r="P134" s="56" t="n">
        <v>18.2</v>
      </c>
      <c r="Q134" s="56" t="n">
        <v>17.13333333333333</v>
      </c>
      <c r="R134" s="56" t="n">
        <v>18.2</v>
      </c>
      <c r="S134" s="56" t="n">
        <v>19.66666666666667</v>
      </c>
      <c r="T134" s="56" t="n">
        <v>18.46666666666667</v>
      </c>
      <c r="U134" s="56" t="n">
        <v>18.53333333333333</v>
      </c>
      <c r="V134" s="56" t="n">
        <v>17.8</v>
      </c>
      <c r="W134" s="56" t="n">
        <v>17.6</v>
      </c>
      <c r="X134" s="56" t="n">
        <v>19.73333333333333</v>
      </c>
      <c r="Y134" s="56" t="n">
        <v>18.4</v>
      </c>
      <c r="Z134" s="56" t="n">
        <v>18.73333333333333</v>
      </c>
      <c r="AA134" s="56" t="n">
        <v>18.93333333333333</v>
      </c>
      <c r="AB134" s="56" t="n">
        <v>18.53333333333333</v>
      </c>
      <c r="AC134" s="56" t="n">
        <v>18.53333333333333</v>
      </c>
      <c r="AD134" s="56" t="n">
        <v>18.26666666666667</v>
      </c>
      <c r="AE134" s="56" t="n">
        <v>19.73333333333333</v>
      </c>
      <c r="AF134" s="56" t="n">
        <v>18.46666666666667</v>
      </c>
      <c r="AG134" s="56" t="n">
        <v>18.6</v>
      </c>
      <c r="AH134" s="56" t="n">
        <v>18.26666666666667</v>
      </c>
      <c r="AI134" s="56" t="n">
        <v>19.2</v>
      </c>
      <c r="AJ134" s="56" t="n"/>
      <c r="AK134" s="56" t="n"/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52045040</v>
      </c>
      <c r="B135" s="59" t="inlineStr">
        <is>
          <t>Taminango</t>
        </is>
      </c>
      <c r="C135" s="59" t="inlineStr">
        <is>
          <t>Area Operativa 07 - Nariño-Putumayo</t>
        </is>
      </c>
      <c r="D135" s="73" t="n">
        <v>-77.2675</v>
      </c>
      <c r="E135" s="73" t="n">
        <v>1.549166667</v>
      </c>
      <c r="F135" s="58" t="n">
        <v>1875</v>
      </c>
      <c r="G135" s="58" t="n">
        <v>52</v>
      </c>
      <c r="H135" s="58" t="n">
        <v>52786</v>
      </c>
      <c r="I135" s="60" t="inlineStr">
        <is>
          <t>Nariño</t>
        </is>
      </c>
      <c r="J135" s="60" t="inlineStr">
        <is>
          <t>Taminango</t>
        </is>
      </c>
      <c r="K135" s="56" t="n">
        <v>19.65</v>
      </c>
      <c r="L135" s="56" t="n">
        <v>19.9</v>
      </c>
      <c r="M135" s="56" t="n">
        <v>22.65</v>
      </c>
      <c r="N135" s="56" t="n">
        <v>22.4</v>
      </c>
      <c r="O135" s="56" t="n">
        <v>21.95</v>
      </c>
      <c r="P135" s="56" t="n">
        <v>21.9</v>
      </c>
      <c r="Q135" s="56" t="n">
        <v>20.7</v>
      </c>
      <c r="R135" s="56" t="n">
        <v>22.25</v>
      </c>
      <c r="S135" s="56" t="n">
        <v>22.6</v>
      </c>
      <c r="T135" s="56" t="n">
        <v>20.2</v>
      </c>
      <c r="U135" s="56" t="n">
        <v>19.1</v>
      </c>
      <c r="V135" s="56" t="n">
        <v>22.05</v>
      </c>
      <c r="W135" s="56" t="n">
        <v>22.8</v>
      </c>
      <c r="X135" s="56" t="n">
        <v>21.7</v>
      </c>
      <c r="Y135" s="56" t="n">
        <v>22.55</v>
      </c>
      <c r="Z135" s="56" t="n">
        <v>22.3</v>
      </c>
      <c r="AA135" s="56" t="n">
        <v>23.15</v>
      </c>
      <c r="AB135" s="56" t="n">
        <v>22.7</v>
      </c>
      <c r="AC135" s="56" t="n">
        <v>21.65</v>
      </c>
      <c r="AD135" s="56" t="n">
        <v>21.6</v>
      </c>
      <c r="AE135" s="56" t="n">
        <v>19.9</v>
      </c>
      <c r="AF135" s="56" t="n">
        <v>18.4</v>
      </c>
      <c r="AG135" s="56" t="n">
        <v>19.75</v>
      </c>
      <c r="AH135" s="56" t="n">
        <v>17.8</v>
      </c>
      <c r="AI135" s="56" t="n">
        <v>20.15</v>
      </c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52045090</v>
      </c>
      <c r="B136" s="59" t="inlineStr">
        <is>
          <t>El Comun</t>
        </is>
      </c>
      <c r="C136" s="59" t="inlineStr">
        <is>
          <t>Area Operativa 07 - Nariño-Putumayo</t>
        </is>
      </c>
      <c r="D136" s="73" t="n">
        <v>-77.62958333</v>
      </c>
      <c r="E136" s="73" t="n">
        <v>0.932638889</v>
      </c>
      <c r="F136" s="58" t="n">
        <v>3141</v>
      </c>
      <c r="G136" s="58" t="n">
        <v>52</v>
      </c>
      <c r="H136" s="58" t="n">
        <v>52585</v>
      </c>
      <c r="I136" s="60" t="inlineStr">
        <is>
          <t>Nariño</t>
        </is>
      </c>
      <c r="J136" s="60" t="inlineStr">
        <is>
          <t>Pupiales</t>
        </is>
      </c>
      <c r="K136" s="56" t="n">
        <v>11.6</v>
      </c>
      <c r="L136" s="56" t="n">
        <v>11</v>
      </c>
      <c r="M136" s="56" t="n">
        <v>11.66666666666667</v>
      </c>
      <c r="N136" s="56" t="n">
        <v>11.8</v>
      </c>
      <c r="O136" s="56" t="n">
        <v>11</v>
      </c>
      <c r="P136" s="56" t="n">
        <v>10.73333333333333</v>
      </c>
      <c r="Q136" s="56" t="n">
        <v>11.13333333333333</v>
      </c>
      <c r="R136" s="56" t="n">
        <v>11.06666666666667</v>
      </c>
      <c r="S136" s="56" t="n">
        <v>11.33333333333333</v>
      </c>
      <c r="T136" s="56" t="n">
        <v>11.6</v>
      </c>
      <c r="U136" s="56" t="n">
        <v>11.6</v>
      </c>
      <c r="V136" s="56" t="n">
        <v/>
      </c>
      <c r="W136" s="56" t="n">
        <v>10.73333333333333</v>
      </c>
      <c r="X136" s="56" t="n">
        <v>11.46666666666667</v>
      </c>
      <c r="Y136" s="56" t="n">
        <v>12.06666666666667</v>
      </c>
      <c r="Z136" s="56" t="n">
        <v>11.8</v>
      </c>
      <c r="AA136" s="56" t="n">
        <v>11.73333333333333</v>
      </c>
      <c r="AB136" s="56" t="n">
        <v>11.33333333333333</v>
      </c>
      <c r="AC136" s="56" t="n">
        <v>10.06666666666667</v>
      </c>
      <c r="AD136" s="56" t="n">
        <v>10.93333333333333</v>
      </c>
      <c r="AE136" s="56" t="n">
        <v>12.8</v>
      </c>
      <c r="AF136" s="56" t="n">
        <v>12.13333333333333</v>
      </c>
      <c r="AG136" s="56" t="n">
        <v>12.46666666666667</v>
      </c>
      <c r="AH136" s="56" t="n">
        <v>13.06666666666667</v>
      </c>
      <c r="AI136" s="56" t="n">
        <v>11.86666666666667</v>
      </c>
      <c r="AJ136" s="56" t="n"/>
      <c r="AK136" s="56" t="n"/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52055030</v>
      </c>
      <c r="B137" s="59" t="inlineStr">
        <is>
          <t>Bombona</t>
        </is>
      </c>
      <c r="C137" s="59" t="inlineStr">
        <is>
          <t>Area Operativa 07 - Nariño-Putumayo</t>
        </is>
      </c>
      <c r="D137" s="73" t="n">
        <v>-77.46511111</v>
      </c>
      <c r="E137" s="73" t="n">
        <v>1.184361111</v>
      </c>
      <c r="F137" s="58" t="n">
        <v>1493</v>
      </c>
      <c r="G137" s="58" t="n">
        <v>52</v>
      </c>
      <c r="H137" s="58" t="n">
        <v>52207</v>
      </c>
      <c r="I137" s="60" t="inlineStr">
        <is>
          <t>Nariño</t>
        </is>
      </c>
      <c r="J137" s="60" t="inlineStr">
        <is>
          <t>Consacá</t>
        </is>
      </c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52055060</v>
      </c>
      <c r="B138" s="59" t="inlineStr">
        <is>
          <t>Tanama</t>
        </is>
      </c>
      <c r="C138" s="59" t="inlineStr">
        <is>
          <t>Area Operativa 07 - Nariño-Putumayo</t>
        </is>
      </c>
      <c r="D138" s="73" t="n">
        <v>-77.58305556000001</v>
      </c>
      <c r="E138" s="73" t="n">
        <v>1.373555556</v>
      </c>
      <c r="F138" s="58" t="n">
        <v>1500</v>
      </c>
      <c r="G138" s="58" t="n">
        <v>52</v>
      </c>
      <c r="H138" s="58" t="n">
        <v>52678</v>
      </c>
      <c r="I138" s="60" t="inlineStr">
        <is>
          <t>Nariño</t>
        </is>
      </c>
      <c r="J138" s="60" t="inlineStr">
        <is>
          <t>Samaniego</t>
        </is>
      </c>
      <c r="K138" s="56" t="n">
        <v>22.66666666666667</v>
      </c>
      <c r="L138" s="56" t="n">
        <v>21.73333333333333</v>
      </c>
      <c r="M138" s="56" t="n">
        <v>22.6</v>
      </c>
      <c r="N138" s="56" t="n">
        <v>22.93333333333333</v>
      </c>
      <c r="O138" s="56" t="n">
        <v>22.26666666666667</v>
      </c>
      <c r="P138" s="56" t="n">
        <v>23.86666666666666</v>
      </c>
      <c r="Q138" s="56" t="n">
        <v>21.73333333333333</v>
      </c>
      <c r="R138" s="56" t="n">
        <v>23.53333333333333</v>
      </c>
      <c r="S138" s="56" t="n">
        <v>23.73333333333333</v>
      </c>
      <c r="T138" s="56" t="n">
        <v>23.46666666666667</v>
      </c>
      <c r="U138" s="56" t="n">
        <v>22.93333333333333</v>
      </c>
      <c r="V138" s="56" t="n">
        <v>24.86666666666666</v>
      </c>
      <c r="W138" s="56" t="n">
        <v>23.26666666666667</v>
      </c>
      <c r="X138" s="56" t="n">
        <v>23.2</v>
      </c>
      <c r="Y138" s="56" t="n">
        <v>24.06666666666667</v>
      </c>
      <c r="Z138" s="56" t="n">
        <v>22.13333333333333</v>
      </c>
      <c r="AA138" s="56" t="n">
        <v>24.2</v>
      </c>
      <c r="AB138" s="56" t="n">
        <v>23.33333333333333</v>
      </c>
      <c r="AC138" s="56" t="n">
        <v>22.4</v>
      </c>
      <c r="AD138" s="56" t="n">
        <v>23.6</v>
      </c>
      <c r="AE138" s="56" t="n">
        <v>22.86666666666666</v>
      </c>
      <c r="AF138" s="56" t="n">
        <v>23.13333333333334</v>
      </c>
      <c r="AG138" s="56" t="n">
        <v>23.2</v>
      </c>
      <c r="AH138" s="56" t="n">
        <v>21.13333333333334</v>
      </c>
      <c r="AI138" s="56" t="n">
        <v>22.2</v>
      </c>
      <c r="AJ138" s="56" t="n"/>
      <c r="AK138" s="56" t="n"/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52055090</v>
      </c>
      <c r="B139" s="59" t="inlineStr">
        <is>
          <t>Sindagua</t>
        </is>
      </c>
      <c r="C139" s="59" t="inlineStr">
        <is>
          <t>Area Operativa 07 - Nariño-Putumayo</t>
        </is>
      </c>
      <c r="D139" s="73" t="n">
        <v>-77.38936111</v>
      </c>
      <c r="E139" s="73" t="n">
        <v>1.107583333</v>
      </c>
      <c r="F139" s="58" t="n">
        <v>2800</v>
      </c>
      <c r="G139" s="58" t="n">
        <v>52</v>
      </c>
      <c r="H139" s="58" t="n">
        <v>52788</v>
      </c>
      <c r="I139" s="60" t="inlineStr">
        <is>
          <t>Nariño</t>
        </is>
      </c>
      <c r="J139" s="60" t="inlineStr">
        <is>
          <t>Tangua</t>
        </is>
      </c>
      <c r="K139" s="56" t="n">
        <v>14.1</v>
      </c>
      <c r="L139" s="56" t="n">
        <v>14.75</v>
      </c>
      <c r="M139" s="56" t="n">
        <v>13.275</v>
      </c>
      <c r="N139" s="56" t="n">
        <v/>
      </c>
      <c r="O139" s="56" t="n">
        <v/>
      </c>
      <c r="P139" s="56" t="n">
        <v/>
      </c>
      <c r="Q139" s="56" t="n">
        <v>13.025</v>
      </c>
      <c r="R139" s="56" t="n">
        <v>13.975</v>
      </c>
      <c r="S139" s="56" t="n">
        <v>14</v>
      </c>
      <c r="T139" s="56" t="n">
        <v>14.85</v>
      </c>
      <c r="U139" s="56" t="n">
        <v>15.4</v>
      </c>
      <c r="V139" s="56" t="n">
        <v>15.325</v>
      </c>
      <c r="W139" s="56" t="n">
        <v>15.2</v>
      </c>
      <c r="X139" s="56" t="n">
        <v>14.85</v>
      </c>
      <c r="Y139" s="56" t="n">
        <v>13.65</v>
      </c>
      <c r="Z139" s="56" t="n">
        <v>13.35</v>
      </c>
      <c r="AA139" s="56" t="n">
        <v>13.95</v>
      </c>
      <c r="AB139" s="56" t="n">
        <v>14.225</v>
      </c>
      <c r="AC139" s="56" t="n">
        <v>14.775</v>
      </c>
      <c r="AD139" s="56" t="n">
        <v>12.95</v>
      </c>
      <c r="AE139" s="56" t="n">
        <v>14.6</v>
      </c>
      <c r="AF139" s="56" t="n">
        <v>14.4</v>
      </c>
      <c r="AG139" s="56" t="n">
        <v>15.525</v>
      </c>
      <c r="AH139" s="56" t="n">
        <v>14.925</v>
      </c>
      <c r="AI139" s="56" t="n">
        <v>15.1</v>
      </c>
      <c r="AJ139" s="56" t="n"/>
      <c r="AK139" s="56" t="n"/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52055200</v>
      </c>
      <c r="B140" s="59" t="inlineStr">
        <is>
          <t>Funes</t>
        </is>
      </c>
      <c r="C140" s="59" t="inlineStr">
        <is>
          <t>Area Operativa 07 - Nariño-Putumayo</t>
        </is>
      </c>
      <c r="D140" s="73" t="n">
        <v>-77.44580556</v>
      </c>
      <c r="E140" s="73" t="n">
        <v>1.004222222</v>
      </c>
      <c r="F140" s="58" t="n">
        <v>2181</v>
      </c>
      <c r="G140" s="58" t="n">
        <v>52</v>
      </c>
      <c r="H140" s="58" t="n">
        <v>52287</v>
      </c>
      <c r="I140" s="60" t="inlineStr">
        <is>
          <t>Nariño</t>
        </is>
      </c>
      <c r="J140" s="60" t="inlineStr">
        <is>
          <t>Funes</t>
        </is>
      </c>
      <c r="K140" s="56" t="n">
        <v>15.85</v>
      </c>
      <c r="L140" s="56" t="n">
        <v>16</v>
      </c>
      <c r="M140" s="56" t="n">
        <v>15.4</v>
      </c>
      <c r="N140" s="56" t="n">
        <v>17.35</v>
      </c>
      <c r="O140" s="56" t="n">
        <v>17.2</v>
      </c>
      <c r="P140" s="56" t="n">
        <v>15.75</v>
      </c>
      <c r="Q140" s="56" t="n">
        <v>15.75</v>
      </c>
      <c r="R140" s="56" t="n">
        <v>17.9</v>
      </c>
      <c r="S140" s="56" t="n">
        <v>16.55</v>
      </c>
      <c r="T140" s="56" t="n">
        <v>16.05</v>
      </c>
      <c r="U140" s="56" t="n">
        <v>15.95</v>
      </c>
      <c r="V140" s="56" t="n">
        <v>17.3</v>
      </c>
      <c r="W140" s="56" t="n">
        <v>17.4</v>
      </c>
      <c r="X140" s="56" t="n">
        <v>16.55</v>
      </c>
      <c r="Y140" s="56" t="n">
        <v>17.15</v>
      </c>
      <c r="Z140" s="56" t="n">
        <v>15.25</v>
      </c>
      <c r="AA140" s="56" t="n">
        <v>15.4</v>
      </c>
      <c r="AB140" s="56" t="n">
        <v>16.4</v>
      </c>
      <c r="AC140" s="56" t="n">
        <v>16.2</v>
      </c>
      <c r="AD140" s="56" t="n">
        <v>16.3</v>
      </c>
      <c r="AE140" s="56" t="n">
        <v>15.8</v>
      </c>
      <c r="AF140" s="56" t="n">
        <v>16.35</v>
      </c>
      <c r="AG140" s="56" t="n">
        <v>16.85</v>
      </c>
      <c r="AH140" s="56" t="n">
        <v>16.3</v>
      </c>
      <c r="AI140" s="56" t="n">
        <v>15.1</v>
      </c>
      <c r="AJ140" s="56" t="n"/>
      <c r="AK140" s="56" t="n"/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52055210</v>
      </c>
      <c r="B141" s="59" t="inlineStr">
        <is>
          <t>Botana - Aut</t>
        </is>
      </c>
      <c r="C141" s="59" t="inlineStr">
        <is>
          <t>Area Operativa 07 - Nariño-Putumayo</t>
        </is>
      </c>
      <c r="D141" s="73" t="n">
        <v>-77.27880556</v>
      </c>
      <c r="E141" s="73" t="n">
        <v>1.16</v>
      </c>
      <c r="F141" s="58" t="n">
        <v>2820</v>
      </c>
      <c r="G141" s="58" t="n">
        <v>52</v>
      </c>
      <c r="H141" s="58" t="n">
        <v>52001</v>
      </c>
      <c r="I141" s="60" t="inlineStr">
        <is>
          <t>Nariño</t>
        </is>
      </c>
      <c r="J141" s="60" t="inlineStr">
        <is>
          <t>Pasto</t>
        </is>
      </c>
      <c r="K141" s="56" t="n">
        <v>13.73333333333333</v>
      </c>
      <c r="L141" s="56" t="n">
        <v>13.66666666666667</v>
      </c>
      <c r="M141" s="56" t="n">
        <v>13.13333333333333</v>
      </c>
      <c r="N141" s="56" t="n">
        <v>13.4</v>
      </c>
      <c r="O141" s="56" t="n">
        <v>13.13333333333333</v>
      </c>
      <c r="P141" s="56" t="n">
        <v>11.86666666666667</v>
      </c>
      <c r="Q141" s="56" t="n">
        <v>12.4</v>
      </c>
      <c r="R141" s="56" t="n">
        <v>13.2</v>
      </c>
      <c r="S141" s="56" t="n">
        <v>13.53333333333333</v>
      </c>
      <c r="T141" s="56" t="n">
        <v>14.73333333333333</v>
      </c>
      <c r="U141" s="56" t="n">
        <v>13.46666666666667</v>
      </c>
      <c r="V141" s="56" t="n">
        <v>14.6</v>
      </c>
      <c r="W141" s="56" t="n">
        <v>14.06666666666667</v>
      </c>
      <c r="X141" s="56" t="n">
        <v>13.8</v>
      </c>
      <c r="Y141" s="56" t="n">
        <v>14.06666666666667</v>
      </c>
      <c r="Z141" s="56" t="n">
        <v>13.86666666666667</v>
      </c>
      <c r="AA141" s="56" t="n">
        <v>14.06666666666667</v>
      </c>
      <c r="AB141" s="56" t="n">
        <v>13.46666666666667</v>
      </c>
      <c r="AC141" s="56" t="n">
        <v>13.66666666666667</v>
      </c>
      <c r="AD141" s="56" t="n">
        <v>14.8</v>
      </c>
      <c r="AE141" s="56" t="n">
        <v>13.26666666666667</v>
      </c>
      <c r="AF141" s="56" t="n">
        <v>13.86666666666667</v>
      </c>
      <c r="AG141" s="56" t="n">
        <v>15.66666666666667</v>
      </c>
      <c r="AH141" s="56" t="n">
        <v>15.6</v>
      </c>
      <c r="AI141" s="56" t="n">
        <v>14</v>
      </c>
      <c r="AJ141" s="56" t="n"/>
      <c r="AK141" s="56" t="n"/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52055220</v>
      </c>
      <c r="B142" s="59" t="inlineStr">
        <is>
          <t>El Paraiso - Aut</t>
        </is>
      </c>
      <c r="C142" s="59" t="inlineStr">
        <is>
          <t>Area Operativa 07 - Nariño-Putumayo</t>
        </is>
      </c>
      <c r="D142" s="73" t="n">
        <v>-77.636935689</v>
      </c>
      <c r="E142" s="73" t="n">
        <v>1.070707855</v>
      </c>
      <c r="F142" s="58" t="n">
        <v>3033</v>
      </c>
      <c r="G142" s="58" t="n">
        <v>52</v>
      </c>
      <c r="H142" s="58" t="n">
        <v>52838</v>
      </c>
      <c r="I142" s="60" t="inlineStr">
        <is>
          <t>Nariño</t>
        </is>
      </c>
      <c r="J142" s="60" t="inlineStr">
        <is>
          <t>Túquerres</t>
        </is>
      </c>
      <c r="K142" s="56" t="n">
        <v>13.2</v>
      </c>
      <c r="L142" s="56" t="n">
        <v>12.2</v>
      </c>
      <c r="M142" s="56" t="n">
        <v>11.475</v>
      </c>
      <c r="N142" s="56" t="n">
        <v>11.375</v>
      </c>
      <c r="O142" s="56" t="n">
        <v>10.8</v>
      </c>
      <c r="P142" s="56" t="n">
        <v>10.5</v>
      </c>
      <c r="Q142" s="56" t="n">
        <v>10.1</v>
      </c>
      <c r="R142" s="56" t="n">
        <v>11.25</v>
      </c>
      <c r="S142" s="56" t="n">
        <v>12</v>
      </c>
      <c r="T142" s="56" t="n">
        <v>11.55</v>
      </c>
      <c r="U142" s="56" t="n">
        <v>12.1</v>
      </c>
      <c r="V142" s="56" t="n">
        <v>11.75</v>
      </c>
      <c r="W142" s="56" t="n">
        <v>11.35</v>
      </c>
      <c r="X142" s="56" t="n">
        <v>12.3</v>
      </c>
      <c r="Y142" s="56" t="n">
        <v>10.85</v>
      </c>
      <c r="Z142" s="56" t="n">
        <v>11.75</v>
      </c>
      <c r="AA142" s="56" t="n">
        <v>11.575</v>
      </c>
      <c r="AB142" s="56" t="n">
        <v>11.4</v>
      </c>
      <c r="AC142" s="56" t="n">
        <v>11.35</v>
      </c>
      <c r="AD142" s="56" t="n">
        <v>11.85</v>
      </c>
      <c r="AE142" s="56" t="n">
        <v>12.15</v>
      </c>
      <c r="AF142" s="56" t="n">
        <v>12.85</v>
      </c>
      <c r="AG142" s="56" t="n">
        <v>14.1</v>
      </c>
      <c r="AH142" s="56" t="n">
        <v>12.4</v>
      </c>
      <c r="AI142" s="56" t="n">
        <v>12.1</v>
      </c>
      <c r="AJ142" s="56" t="n"/>
      <c r="AK142" s="56" t="n"/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53045040</v>
      </c>
      <c r="B143" s="59" t="inlineStr">
        <is>
          <t>Aeropuerto Guapi - Aut</t>
        </is>
      </c>
      <c r="C143" s="59" t="inlineStr">
        <is>
          <t>Area Operativa 07 - Nariño-Putumayo</t>
        </is>
      </c>
      <c r="D143" s="73" t="n">
        <v>-77.89475</v>
      </c>
      <c r="E143" s="73" t="n">
        <v>2.574416667</v>
      </c>
      <c r="F143" s="58" t="n">
        <v>42</v>
      </c>
      <c r="G143" s="58" t="n">
        <v>19</v>
      </c>
      <c r="H143" s="58" t="n">
        <v>19318</v>
      </c>
      <c r="I143" s="60" t="inlineStr">
        <is>
          <t>Cauca</t>
        </is>
      </c>
      <c r="J143" s="60" t="inlineStr">
        <is>
          <t>Guapi</t>
        </is>
      </c>
      <c r="K143" s="56" t="n">
        <v>28.06666666666667</v>
      </c>
      <c r="L143" s="56" t="n">
        <v>28.53333333333333</v>
      </c>
      <c r="M143" s="56" t="n">
        <v>28.06666666666666</v>
      </c>
      <c r="N143" s="56" t="n">
        <v>27.66666666666667</v>
      </c>
      <c r="O143" s="56" t="n">
        <v>27.33333333333333</v>
      </c>
      <c r="P143" s="56" t="n">
        <v>27</v>
      </c>
      <c r="Q143" s="56" t="n">
        <v>27.13333333333334</v>
      </c>
      <c r="R143" s="56" t="n">
        <v>27.53333333333333</v>
      </c>
      <c r="S143" s="56" t="n">
        <v>28.66666666666667</v>
      </c>
      <c r="T143" s="56" t="n">
        <v>28.33333333333333</v>
      </c>
      <c r="U143" s="56" t="n">
        <v>26.8</v>
      </c>
      <c r="V143" s="56" t="n">
        <v>28.46666666666667</v>
      </c>
      <c r="W143" s="56" t="n">
        <v>27.73333333333333</v>
      </c>
      <c r="X143" s="56" t="n">
        <v>27.13333333333334</v>
      </c>
      <c r="Y143" s="56" t="n">
        <v>27.93333333333334</v>
      </c>
      <c r="Z143" s="56" t="n">
        <v>28.46666666666667</v>
      </c>
      <c r="AA143" s="56" t="n">
        <v>28.86666666666666</v>
      </c>
      <c r="AB143" s="56" t="n">
        <v>28.4</v>
      </c>
      <c r="AC143" s="56" t="n">
        <v>26.46666666666667</v>
      </c>
      <c r="AD143" s="56" t="n">
        <v>26.93333333333333</v>
      </c>
      <c r="AE143" s="56" t="n">
        <v>27.6</v>
      </c>
      <c r="AF143" s="56" t="n">
        <v>28.4</v>
      </c>
      <c r="AG143" s="56" t="n">
        <v>28.33333333333333</v>
      </c>
      <c r="AH143" s="56" t="n">
        <v>26.26666666666667</v>
      </c>
      <c r="AI143" s="56" t="n">
        <v>28.13333333333334</v>
      </c>
      <c r="AJ143" s="56" t="n"/>
      <c r="AK143" s="56" t="n"/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16015020</v>
      </c>
      <c r="B144" s="59" t="inlineStr">
        <is>
          <t>Iser Pamplona</t>
        </is>
      </c>
      <c r="C144" s="59" t="inlineStr">
        <is>
          <t>Area Operativa 08 - Santanderes-Arauca</t>
        </is>
      </c>
      <c r="D144" s="73" t="n">
        <v>-72.645</v>
      </c>
      <c r="E144" s="73" t="n">
        <v>7.373111111</v>
      </c>
      <c r="F144" s="58" t="n">
        <v>2340</v>
      </c>
      <c r="G144" s="58" t="n">
        <v>54</v>
      </c>
      <c r="H144" s="58" t="n">
        <v>54518</v>
      </c>
      <c r="I144" s="60" t="inlineStr">
        <is>
          <t>Norte De Santander</t>
        </is>
      </c>
      <c r="J144" s="60" t="inlineStr">
        <is>
          <t>Pamplona</t>
        </is>
      </c>
      <c r="K144" s="56" t="n">
        <v>17.66666666666667</v>
      </c>
      <c r="L144" s="56" t="n">
        <v>16.2</v>
      </c>
      <c r="M144" s="56" t="n">
        <v>16.2</v>
      </c>
      <c r="N144" s="56" t="n">
        <v>16.36666666666666</v>
      </c>
      <c r="O144" s="56" t="n">
        <v>15.73333333333333</v>
      </c>
      <c r="P144" s="56" t="n">
        <v>15.33333333333333</v>
      </c>
      <c r="Q144" s="56" t="n">
        <v>15.6</v>
      </c>
      <c r="R144" s="56" t="n">
        <v>14.33333333333333</v>
      </c>
      <c r="S144" s="56" t="n">
        <v>16.26666666666667</v>
      </c>
      <c r="T144" s="56" t="n">
        <v>15.53333333333333</v>
      </c>
      <c r="U144" s="56" t="n">
        <v>15.93333333333333</v>
      </c>
      <c r="V144" s="56" t="n">
        <v>16.53333333333333</v>
      </c>
      <c r="W144" s="56" t="n">
        <v>15.66666666666667</v>
      </c>
      <c r="X144" s="56" t="n">
        <v>16.8</v>
      </c>
      <c r="Y144" s="56" t="n">
        <v>15.46666666666667</v>
      </c>
      <c r="Z144" s="56" t="n">
        <v>15.06666666666667</v>
      </c>
      <c r="AA144" s="56" t="n">
        <v>16.46666666666667</v>
      </c>
      <c r="AB144" s="56" t="n">
        <v>15.6</v>
      </c>
      <c r="AC144" s="56" t="n">
        <v>16.6</v>
      </c>
      <c r="AD144" s="56" t="n">
        <v>17.06666666666667</v>
      </c>
      <c r="AE144" s="56" t="n">
        <v>17.66666666666667</v>
      </c>
      <c r="AF144" s="56" t="n">
        <v>17.2</v>
      </c>
      <c r="AG144" s="56" t="n">
        <v>18</v>
      </c>
      <c r="AH144" s="56" t="n">
        <v>17.8</v>
      </c>
      <c r="AI144" s="56" t="n">
        <v>16.4</v>
      </c>
      <c r="AJ144" s="56" t="n"/>
      <c r="AK144" s="56" t="n"/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16015100</v>
      </c>
      <c r="B145" s="59" t="inlineStr">
        <is>
          <t>Ragonvalia</t>
        </is>
      </c>
      <c r="C145" s="59" t="inlineStr">
        <is>
          <t>Area Operativa 08 - Santanderes-Arauca</t>
        </is>
      </c>
      <c r="D145" s="73" t="n">
        <v>-72.48388889</v>
      </c>
      <c r="E145" s="73" t="n">
        <v>7.576666667</v>
      </c>
      <c r="F145" s="58" t="n">
        <v>1550</v>
      </c>
      <c r="G145" s="58" t="n">
        <v>54</v>
      </c>
      <c r="H145" s="58" t="n">
        <v>54599</v>
      </c>
      <c r="I145" s="60" t="inlineStr">
        <is>
          <t>Norte De Santander</t>
        </is>
      </c>
      <c r="J145" s="60" t="inlineStr">
        <is>
          <t>Ragonvalia</t>
        </is>
      </c>
      <c r="K145" s="56" t="n">
        <v>20.53333333333333</v>
      </c>
      <c r="L145" s="56" t="n">
        <v>19.6</v>
      </c>
      <c r="M145" s="56" t="n">
        <v>21.46666666666667</v>
      </c>
      <c r="N145" s="56" t="n">
        <v>21.2</v>
      </c>
      <c r="O145" s="56" t="n">
        <v>21</v>
      </c>
      <c r="P145" s="56" t="n">
        <v>21</v>
      </c>
      <c r="Q145" s="56" t="n">
        <v>20.73333333333333</v>
      </c>
      <c r="R145" s="56" t="n">
        <v>19.53333333333333</v>
      </c>
      <c r="S145" s="56" t="n">
        <v>20.33333333333333</v>
      </c>
      <c r="T145" s="56" t="n">
        <v>20.6</v>
      </c>
      <c r="U145" s="56" t="n">
        <v>20.13333333333333</v>
      </c>
      <c r="V145" s="56" t="n">
        <v>20.53333333333333</v>
      </c>
      <c r="W145" s="56" t="n">
        <v>19.8</v>
      </c>
      <c r="X145" s="56" t="n">
        <v>20.46666666666667</v>
      </c>
      <c r="Y145" s="56" t="n">
        <v>21.6</v>
      </c>
      <c r="Z145" s="56" t="n">
        <v>21.93333333333333</v>
      </c>
      <c r="AA145" s="56" t="n">
        <v>21.06666666666667</v>
      </c>
      <c r="AB145" s="56" t="n">
        <v>20.93333333333333</v>
      </c>
      <c r="AC145" s="56" t="n">
        <v>20.8</v>
      </c>
      <c r="AD145" s="56" t="n">
        <v>21.13333333333333</v>
      </c>
      <c r="AE145" s="56" t="n">
        <v>21.86666666666666</v>
      </c>
      <c r="AF145" s="56" t="n">
        <v>24.53333333333333</v>
      </c>
      <c r="AG145" s="56" t="n">
        <v>23.6</v>
      </c>
      <c r="AH145" s="56" t="n">
        <v>20</v>
      </c>
      <c r="AI145" s="56" t="n">
        <v>19.73333333333333</v>
      </c>
      <c r="AJ145" s="56" t="n"/>
      <c r="AK145" s="56" t="n"/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16025010</v>
      </c>
      <c r="B146" s="59" t="inlineStr">
        <is>
          <t>Carmen De Tonchala</t>
        </is>
      </c>
      <c r="C146" s="59" t="inlineStr">
        <is>
          <t>Area Operativa 08 - Santanderes-Arauca</t>
        </is>
      </c>
      <c r="D146" s="73" t="n">
        <v>-72.56611110999999</v>
      </c>
      <c r="E146" s="73" t="n">
        <v>7.848888889</v>
      </c>
      <c r="F146" s="58" t="n">
        <v>285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30.53333333333333</v>
      </c>
      <c r="L146" s="56" t="n">
        <v>30.46666666666667</v>
      </c>
      <c r="M146" s="56" t="n">
        <v>31.06666666666667</v>
      </c>
      <c r="N146" s="56" t="n">
        <v>31.63333333333334</v>
      </c>
      <c r="O146" s="56" t="n">
        <v>31.06666666666666</v>
      </c>
      <c r="P146" s="56" t="n">
        <v>30.66666666666667</v>
      </c>
      <c r="Q146" s="56" t="n">
        <v>32.6</v>
      </c>
      <c r="R146" s="56" t="n">
        <v>30.46666666666667</v>
      </c>
      <c r="S146" s="56" t="n">
        <v>31.33333333333333</v>
      </c>
      <c r="T146" s="56" t="n">
        <v>29.73333333333333</v>
      </c>
      <c r="U146" s="56" t="n">
        <v>31.06666666666667</v>
      </c>
      <c r="V146" s="56" t="n">
        <v>32</v>
      </c>
      <c r="W146" s="56" t="n">
        <v>29</v>
      </c>
      <c r="X146" s="56" t="n">
        <v>31.2</v>
      </c>
      <c r="Y146" s="56" t="n">
        <v>32.93333333333333</v>
      </c>
      <c r="Z146" s="56" t="n">
        <v>31.4</v>
      </c>
      <c r="AA146" s="56" t="n">
        <v>31.6</v>
      </c>
      <c r="AB146" s="56" t="n">
        <v>33.26666666666667</v>
      </c>
      <c r="AC146" s="56" t="n">
        <v>31.6</v>
      </c>
      <c r="AD146" s="56" t="n">
        <v>31.46666666666667</v>
      </c>
      <c r="AE146" s="56" t="n">
        <v>32</v>
      </c>
      <c r="AF146" s="56" t="n">
        <v>33.06666666666667</v>
      </c>
      <c r="AG146" s="56" t="n">
        <v>33.13333333333333</v>
      </c>
      <c r="AH146" s="56" t="n">
        <v>29.26666666666667</v>
      </c>
      <c r="AI146" s="56" t="n">
        <v>31</v>
      </c>
      <c r="AJ146" s="56" t="n"/>
      <c r="AK146" s="56" t="n"/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16025030</v>
      </c>
      <c r="B147" s="59" t="inlineStr">
        <is>
          <t>Salazar</t>
        </is>
      </c>
      <c r="C147" s="59" t="inlineStr">
        <is>
          <t>Area Operativa 08 - Santanderes-Arauca</t>
        </is>
      </c>
      <c r="D147" s="73" t="n">
        <v>-72.83055555999999</v>
      </c>
      <c r="E147" s="73" t="n">
        <v>7.774583333</v>
      </c>
      <c r="F147" s="58" t="n">
        <v>860</v>
      </c>
      <c r="G147" s="58" t="n">
        <v>54</v>
      </c>
      <c r="H147" s="58" t="n">
        <v>54660</v>
      </c>
      <c r="I147" s="60" t="inlineStr">
        <is>
          <t>Norte De Santander</t>
        </is>
      </c>
      <c r="J147" s="60" t="inlineStr">
        <is>
          <t>Salazar</t>
        </is>
      </c>
      <c r="K147" s="56" t="n">
        <v>25.66666666666667</v>
      </c>
      <c r="L147" s="56" t="n">
        <v>26</v>
      </c>
      <c r="M147" s="56" t="n">
        <v>26.93333333333333</v>
      </c>
      <c r="N147" s="56" t="n">
        <v>26.4</v>
      </c>
      <c r="O147" s="56" t="n">
        <v>27.13333333333334</v>
      </c>
      <c r="P147" s="56" t="n">
        <v>25.73333333333333</v>
      </c>
      <c r="Q147" s="56" t="n">
        <v>27.33333333333333</v>
      </c>
      <c r="R147" s="56" t="n">
        <v>24.53333333333333</v>
      </c>
      <c r="S147" s="56" t="n">
        <v>27.33333333333333</v>
      </c>
      <c r="T147" s="56" t="n">
        <v>26.06666666666666</v>
      </c>
      <c r="U147" s="56" t="n">
        <v>26.46666666666667</v>
      </c>
      <c r="V147" s="56" t="n">
        <v>27.46666666666667</v>
      </c>
      <c r="W147" s="56" t="n">
        <v>24.66666666666667</v>
      </c>
      <c r="X147" s="56" t="n">
        <v>27.46666666666667</v>
      </c>
      <c r="Y147" s="56" t="n">
        <v>28.26666666666667</v>
      </c>
      <c r="Z147" s="56" t="n">
        <v>26.8</v>
      </c>
      <c r="AA147" s="56" t="n">
        <v>27.26666666666667</v>
      </c>
      <c r="AB147" s="56" t="n">
        <v>28</v>
      </c>
      <c r="AC147" s="56" t="n">
        <v>26.4</v>
      </c>
      <c r="AD147" s="56" t="n">
        <v>28.26666666666667</v>
      </c>
      <c r="AE147" s="56" t="n">
        <v>28</v>
      </c>
      <c r="AF147" s="56" t="n">
        <v>28.73333333333333</v>
      </c>
      <c r="AG147" s="56" t="n">
        <v>29.53333333333333</v>
      </c>
      <c r="AH147" s="56" t="n">
        <v>26.93333333333333</v>
      </c>
      <c r="AI147" s="56" t="n">
        <v>25.8</v>
      </c>
      <c r="AJ147" s="56" t="n"/>
      <c r="AK147" s="56" t="n"/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16025040</v>
      </c>
      <c r="B148" s="59" t="inlineStr">
        <is>
          <t>Cinera-Villa Olga Aut</t>
        </is>
      </c>
      <c r="C148" s="59" t="inlineStr">
        <is>
          <t>Area Operativa 08 - Santanderes-Arauca</t>
        </is>
      </c>
      <c r="D148" s="73" t="n">
        <v>-72.47878</v>
      </c>
      <c r="E148" s="73" t="n">
        <v>8.16728</v>
      </c>
      <c r="F148" s="58" t="n">
        <v>96</v>
      </c>
      <c r="G148" s="58" t="n">
        <v>54</v>
      </c>
      <c r="H148" s="58" t="n">
        <v>54001</v>
      </c>
      <c r="I148" s="60" t="inlineStr">
        <is>
          <t>Norte De Santander</t>
        </is>
      </c>
      <c r="J148" s="60" t="inlineStr">
        <is>
          <t>San José De Cúcuta</t>
        </is>
      </c>
      <c r="K148" s="56" t="n">
        <v>29.4</v>
      </c>
      <c r="L148" s="56" t="n">
        <v>30.66666666666667</v>
      </c>
      <c r="M148" s="56" t="n">
        <v>29.4</v>
      </c>
      <c r="N148" s="56" t="n">
        <v>29.8</v>
      </c>
      <c r="O148" s="56" t="n">
        <v>32.13333333333333</v>
      </c>
      <c r="P148" s="56" t="n">
        <v>31.66666666666667</v>
      </c>
      <c r="Q148" s="56" t="n">
        <v>31.66666666666667</v>
      </c>
      <c r="R148" s="56" t="n">
        <v>30.6</v>
      </c>
      <c r="S148" s="56" t="n">
        <v>30.6</v>
      </c>
      <c r="T148" s="56" t="n">
        <v>30.13333333333334</v>
      </c>
      <c r="U148" s="56" t="n">
        <v>28.73333333333333</v>
      </c>
      <c r="V148" s="56" t="n">
        <v>31.26666666666667</v>
      </c>
      <c r="W148" s="56" t="n">
        <v>28.66666666666667</v>
      </c>
      <c r="X148" s="56" t="n">
        <v>32</v>
      </c>
      <c r="Y148" s="56" t="n">
        <v>31.46666666666667</v>
      </c>
      <c r="Z148" s="56" t="n">
        <v>30.26666666666667</v>
      </c>
      <c r="AA148" s="56" t="n">
        <v>31.4</v>
      </c>
      <c r="AB148" s="56" t="n">
        <v>34.8</v>
      </c>
      <c r="AC148" s="56" t="n">
        <v>33.53333333333333</v>
      </c>
      <c r="AD148" s="56" t="n">
        <v>30.93333333333333</v>
      </c>
      <c r="AE148" s="56" t="n">
        <v>32</v>
      </c>
      <c r="AF148" s="56" t="n">
        <v>32.33333333333334</v>
      </c>
      <c r="AG148" s="56" t="n">
        <v>32.66666666666666</v>
      </c>
      <c r="AH148" s="56" t="n">
        <v>33</v>
      </c>
      <c r="AI148" s="56" t="n">
        <v>30.53333333333333</v>
      </c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16055010</v>
      </c>
      <c r="B149" s="59" t="inlineStr">
        <is>
          <t>Aeropuerto Aguas Claras</t>
        </is>
      </c>
      <c r="C149" s="59" t="inlineStr">
        <is>
          <t>Area Operativa 08 - Santanderes-Arauca</t>
        </is>
      </c>
      <c r="D149" s="73" t="n">
        <v>-73.3575</v>
      </c>
      <c r="E149" s="73" t="n">
        <v>8.315277778</v>
      </c>
      <c r="F149" s="58" t="n">
        <v>1435</v>
      </c>
      <c r="G149" s="58" t="n">
        <v>54</v>
      </c>
      <c r="H149" s="58" t="n">
        <v>54498</v>
      </c>
      <c r="I149" s="60" t="inlineStr">
        <is>
          <t>Norte De Santander</t>
        </is>
      </c>
      <c r="J149" s="60" t="inlineStr">
        <is>
          <t>Ocaña</t>
        </is>
      </c>
      <c r="K149" s="56" t="n">
        <v>22.8</v>
      </c>
      <c r="L149" s="56" t="n">
        <v>21.73333333333333</v>
      </c>
      <c r="M149" s="56" t="n">
        <v>23.4</v>
      </c>
      <c r="N149" s="56" t="n">
        <v>23.73333333333333</v>
      </c>
      <c r="O149" s="56" t="n">
        <v>23.93333333333333</v>
      </c>
      <c r="P149" s="56" t="n">
        <v>23.53333333333333</v>
      </c>
      <c r="Q149" s="56" t="n">
        <v>23.66666666666667</v>
      </c>
      <c r="R149" s="56" t="n">
        <v>27.06666666666666</v>
      </c>
      <c r="S149" s="56" t="n">
        <v>24.93333333333333</v>
      </c>
      <c r="T149" s="56" t="n">
        <v>24.4</v>
      </c>
      <c r="U149" s="56" t="n">
        <v>23.4</v>
      </c>
      <c r="V149" s="56" t="n">
        <v>23.8</v>
      </c>
      <c r="W149" s="56" t="n">
        <v>23.26666666666667</v>
      </c>
      <c r="X149" s="56" t="n">
        <v>23.53333333333333</v>
      </c>
      <c r="Y149" s="56" t="n">
        <v>23.8</v>
      </c>
      <c r="Z149" s="56" t="n">
        <v>23.66666666666667</v>
      </c>
      <c r="AA149" s="56" t="n">
        <v>24.56666666666667</v>
      </c>
      <c r="AB149" s="56" t="n">
        <v>24.06666666666667</v>
      </c>
      <c r="AC149" s="56" t="n">
        <v>23.26666666666667</v>
      </c>
      <c r="AD149" s="56" t="n">
        <v>23.2</v>
      </c>
      <c r="AE149" s="56" t="n">
        <v>24.06666666666667</v>
      </c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16055020</v>
      </c>
      <c r="B150" s="59" t="inlineStr">
        <is>
          <t>Teorama</t>
        </is>
      </c>
      <c r="C150" s="59" t="inlineStr">
        <is>
          <t>Area Operativa 08 - Santanderes-Arauca</t>
        </is>
      </c>
      <c r="D150" s="73" t="n">
        <v>-73.28527778</v>
      </c>
      <c r="E150" s="73" t="n">
        <v>8.442222222</v>
      </c>
      <c r="F150" s="58" t="n">
        <v>1160</v>
      </c>
      <c r="G150" s="58" t="n">
        <v>54</v>
      </c>
      <c r="H150" s="58" t="n">
        <v>54800</v>
      </c>
      <c r="I150" s="60" t="inlineStr">
        <is>
          <t>Norte De Santander</t>
        </is>
      </c>
      <c r="J150" s="60" t="inlineStr">
        <is>
          <t>Teorama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16055040</v>
      </c>
      <c r="B151" s="59" t="inlineStr">
        <is>
          <t>Abrego Centro Admo</t>
        </is>
      </c>
      <c r="C151" s="59" t="inlineStr">
        <is>
          <t>Area Operativa 08 - Santanderes-Arauca</t>
        </is>
      </c>
      <c r="D151" s="73" t="n">
        <v>-73.22305556000001</v>
      </c>
      <c r="E151" s="73" t="n">
        <v>8.087222221999999</v>
      </c>
      <c r="F151" s="58" t="n">
        <v>1430</v>
      </c>
      <c r="G151" s="58" t="n">
        <v>54</v>
      </c>
      <c r="H151" s="58" t="n">
        <v>54003</v>
      </c>
      <c r="I151" s="60" t="inlineStr">
        <is>
          <t>Norte De Santander</t>
        </is>
      </c>
      <c r="J151" s="60" t="inlineStr">
        <is>
          <t>Ábrego</t>
        </is>
      </c>
      <c r="K151" s="56" t="n">
        <v>22.53333333333333</v>
      </c>
      <c r="L151" s="56" t="n">
        <v>22.33333333333333</v>
      </c>
      <c r="M151" s="56" t="n">
        <v>23.53333333333333</v>
      </c>
      <c r="N151" s="56" t="n">
        <v>23.73333333333333</v>
      </c>
      <c r="O151" s="56" t="n">
        <v>23.93333333333334</v>
      </c>
      <c r="P151" s="56" t="n">
        <v>23.13333333333334</v>
      </c>
      <c r="Q151" s="56" t="n">
        <v>23.8</v>
      </c>
      <c r="R151" s="56" t="n">
        <v>25.93333333333333</v>
      </c>
      <c r="S151" s="56" t="n">
        <v>24</v>
      </c>
      <c r="T151" s="56" t="n">
        <v>23.66666666666667</v>
      </c>
      <c r="U151" s="56" t="n">
        <v>25.46666666666667</v>
      </c>
      <c r="V151" s="56" t="n">
        <v>22.33333333333333</v>
      </c>
      <c r="W151" s="56" t="n">
        <v>22.33333333333333</v>
      </c>
      <c r="X151" s="56" t="n">
        <v>24.93333333333333</v>
      </c>
      <c r="Y151" s="56" t="n">
        <v>24.66666666666667</v>
      </c>
      <c r="Z151" s="56" t="n">
        <v>24.2</v>
      </c>
      <c r="AA151" s="56" t="n">
        <v>25.4</v>
      </c>
      <c r="AB151" s="56" t="n">
        <v/>
      </c>
      <c r="AC151" s="56" t="n">
        <v>23.13333333333334</v>
      </c>
      <c r="AD151" s="56" t="n">
        <v>23.53333333333333</v>
      </c>
      <c r="AE151" s="56" t="n">
        <v>23.4</v>
      </c>
      <c r="AF151" s="56" t="n">
        <v>23.53333333333333</v>
      </c>
      <c r="AG151" s="56" t="n">
        <v>23.93333333333333</v>
      </c>
      <c r="AH151" s="56" t="n">
        <v>22.8</v>
      </c>
      <c r="AI151" s="56" t="n">
        <v>21.86666666666666</v>
      </c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16055100</v>
      </c>
      <c r="B152" s="59" t="inlineStr">
        <is>
          <t>Universidad Francisco De Paula Santander</t>
        </is>
      </c>
      <c r="C152" s="59" t="inlineStr">
        <is>
          <t>Area Operativa 08 - Santanderes-Arauca</t>
        </is>
      </c>
      <c r="D152" s="73" t="n">
        <v>-73.32222222</v>
      </c>
      <c r="E152" s="73" t="n">
        <v>8.237777778</v>
      </c>
      <c r="F152" s="58" t="n">
        <v>1150</v>
      </c>
      <c r="G152" s="58" t="n">
        <v>54</v>
      </c>
      <c r="H152" s="58" t="n">
        <v>54498</v>
      </c>
      <c r="I152" s="60" t="inlineStr">
        <is>
          <t>Norte De Santander</t>
        </is>
      </c>
      <c r="J152" s="60" t="inlineStr">
        <is>
          <t>Ocaña</t>
        </is>
      </c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23125050</v>
      </c>
      <c r="B153" s="59" t="inlineStr">
        <is>
          <t>Carare</t>
        </is>
      </c>
      <c r="C153" s="59" t="inlineStr">
        <is>
          <t>Area Operativa 08 - Santanderes-Arauca</t>
        </is>
      </c>
      <c r="D153" s="73" t="n">
        <v>-74.06138889</v>
      </c>
      <c r="E153" s="73" t="n">
        <v>6.649444444</v>
      </c>
      <c r="F153" s="58" t="n">
        <v>168</v>
      </c>
      <c r="G153" s="58" t="n">
        <v>68</v>
      </c>
      <c r="H153" s="58" t="n">
        <v>68573</v>
      </c>
      <c r="I153" s="60" t="inlineStr">
        <is>
          <t>Santander</t>
        </is>
      </c>
      <c r="J153" s="60" t="inlineStr">
        <is>
          <t>Puerto Parra</t>
        </is>
      </c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23125060</v>
      </c>
      <c r="B154" s="59" t="inlineStr">
        <is>
          <t>Albania</t>
        </is>
      </c>
      <c r="C154" s="59" t="inlineStr">
        <is>
          <t>Area Operativa 08 - Santanderes-Arauca</t>
        </is>
      </c>
      <c r="D154" s="73" t="n">
        <v>-73.91333333</v>
      </c>
      <c r="E154" s="73" t="n">
        <v>5.758333333</v>
      </c>
      <c r="F154" s="58" t="n">
        <v>1690</v>
      </c>
      <c r="G154" s="58" t="n">
        <v>68</v>
      </c>
      <c r="H154" s="58" t="n">
        <v>68020</v>
      </c>
      <c r="I154" s="60" t="inlineStr">
        <is>
          <t>Santander</t>
        </is>
      </c>
      <c r="J154" s="60" t="inlineStr">
        <is>
          <t>Albania</t>
        </is>
      </c>
      <c r="K154" s="56" t="n">
        <v>19.85</v>
      </c>
      <c r="L154" s="56" t="n">
        <v>19.75</v>
      </c>
      <c r="M154" s="56" t="n">
        <v>21.55</v>
      </c>
      <c r="N154" s="56" t="n">
        <v>21.6</v>
      </c>
      <c r="O154" s="56" t="n">
        <v>22.55</v>
      </c>
      <c r="P154" s="56" t="n">
        <v>22.5</v>
      </c>
      <c r="Q154" s="56" t="n">
        <v>20.1</v>
      </c>
      <c r="R154" s="56" t="n">
        <v/>
      </c>
      <c r="S154" s="56" t="n">
        <v/>
      </c>
      <c r="T154" s="56" t="n">
        <v/>
      </c>
      <c r="U154" s="56" t="n">
        <v/>
      </c>
      <c r="V154" s="56" t="n">
        <v/>
      </c>
      <c r="W154" s="56" t="n">
        <v>20.6</v>
      </c>
      <c r="X154" s="56" t="n">
        <v/>
      </c>
      <c r="Y154" s="56" t="n">
        <v>21.85</v>
      </c>
      <c r="Z154" s="56" t="n">
        <v>21.2</v>
      </c>
      <c r="AA154" s="56" t="n">
        <v>24.85</v>
      </c>
      <c r="AB154" s="56" t="n">
        <v>22.75</v>
      </c>
      <c r="AC154" s="56" t="n">
        <v>20.6</v>
      </c>
      <c r="AD154" s="56" t="n">
        <v>20.95</v>
      </c>
      <c r="AE154" s="56" t="n">
        <v>20.95</v>
      </c>
      <c r="AF154" s="56" t="n">
        <v>20.75</v>
      </c>
      <c r="AG154" s="56" t="n">
        <v>20.4</v>
      </c>
      <c r="AH154" s="56" t="n">
        <v>20.35</v>
      </c>
      <c r="AI154" s="56" t="n">
        <v>19.75</v>
      </c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23125120</v>
      </c>
      <c r="B155" s="59" t="inlineStr">
        <is>
          <t>Cimitarra</t>
        </is>
      </c>
      <c r="C155" s="59" t="inlineStr">
        <is>
          <t>Area Operativa 08 - Santanderes-Arauca</t>
        </is>
      </c>
      <c r="D155" s="73" t="n">
        <v>-73.95222222</v>
      </c>
      <c r="E155" s="73" t="n">
        <v>6.308611111</v>
      </c>
      <c r="F155" s="58" t="n">
        <v>198</v>
      </c>
      <c r="G155" s="58" t="n">
        <v>68</v>
      </c>
      <c r="H155" s="58" t="n">
        <v>68190</v>
      </c>
      <c r="I155" s="60" t="inlineStr">
        <is>
          <t>Santander</t>
        </is>
      </c>
      <c r="J155" s="60" t="inlineStr">
        <is>
          <t>Cimitarra</t>
        </is>
      </c>
      <c r="K155" s="56" t="n">
        <v>28.13333333333334</v>
      </c>
      <c r="L155" s="56" t="n">
        <v>28.73333333333333</v>
      </c>
      <c r="M155" s="56" t="n">
        <v>29.46666666666667</v>
      </c>
      <c r="N155" s="56" t="n">
        <v>29.06666666666667</v>
      </c>
      <c r="O155" s="56" t="n">
        <v>28.6</v>
      </c>
      <c r="P155" s="56" t="n">
        <v>27.93333333333334</v>
      </c>
      <c r="Q155" s="56" t="n">
        <v>29.4</v>
      </c>
      <c r="R155" s="56" t="n">
        <v>30.33333333333333</v>
      </c>
      <c r="S155" s="56" t="n">
        <v>30.86666666666666</v>
      </c>
      <c r="T155" s="56" t="n">
        <v>29.4</v>
      </c>
      <c r="U155" s="56" t="n">
        <v>28.13333333333334</v>
      </c>
      <c r="V155" s="56" t="n">
        <v>30.06666666666666</v>
      </c>
      <c r="W155" s="56" t="n">
        <v>28</v>
      </c>
      <c r="X155" s="56" t="n">
        <v>30.33333333333333</v>
      </c>
      <c r="Y155" s="56" t="n">
        <v>29.46666666666667</v>
      </c>
      <c r="Z155" s="56" t="n">
        <v>27.8</v>
      </c>
      <c r="AA155" s="56" t="n">
        <v>29.73333333333333</v>
      </c>
      <c r="AB155" s="56" t="n">
        <v>28.46666666666667</v>
      </c>
      <c r="AC155" s="56" t="n">
        <v>26.86666666666666</v>
      </c>
      <c r="AD155" s="56" t="n">
        <v>28.53333333333333</v>
      </c>
      <c r="AE155" s="56" t="n">
        <v>27.33333333333333</v>
      </c>
      <c r="AF155" s="56" t="n">
        <v>28.8</v>
      </c>
      <c r="AG155" s="56" t="n">
        <v>28.73333333333333</v>
      </c>
      <c r="AH155" s="56" t="n">
        <v>29.4</v>
      </c>
      <c r="AI155" s="56" t="n">
        <v>26.66666666666667</v>
      </c>
      <c r="AJ155" s="56" t="n"/>
      <c r="AK155" s="56" t="n"/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23145020</v>
      </c>
      <c r="B156" s="59" t="inlineStr">
        <is>
          <t>El Carmen</t>
        </is>
      </c>
      <c r="C156" s="59" t="inlineStr">
        <is>
          <t>Area Operativa 08 - Santanderes-Arauca</t>
        </is>
      </c>
      <c r="D156" s="73" t="n">
        <v>-73.51000000000001</v>
      </c>
      <c r="E156" s="73" t="n">
        <v>6.696388889</v>
      </c>
      <c r="F156" s="58" t="n">
        <v>805</v>
      </c>
      <c r="G156" s="58" t="n">
        <v>68</v>
      </c>
      <c r="H156" s="58" t="n">
        <v>68235</v>
      </c>
      <c r="I156" s="60" t="inlineStr">
        <is>
          <t>Santander</t>
        </is>
      </c>
      <c r="J156" s="60" t="inlineStr">
        <is>
          <t>El Carmen De Chucurí</t>
        </is>
      </c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23155040</v>
      </c>
      <c r="B157" s="59" t="inlineStr">
        <is>
          <t xml:space="preserve">El Centro </t>
        </is>
      </c>
      <c r="C157" s="59" t="inlineStr">
        <is>
          <t>Area Operativa 08 - Santanderes-Arauca</t>
        </is>
      </c>
      <c r="D157" s="73" t="n">
        <v>-73.76508333</v>
      </c>
      <c r="E157" s="73" t="n">
        <v>6.859555556</v>
      </c>
      <c r="F157" s="58" t="n">
        <v>114</v>
      </c>
      <c r="G157" s="58" t="n">
        <v>68</v>
      </c>
      <c r="H157" s="58" t="n">
        <v>68081</v>
      </c>
      <c r="I157" s="60" t="inlineStr">
        <is>
          <t>Santander</t>
        </is>
      </c>
      <c r="J157" s="60" t="inlineStr">
        <is>
          <t>Barrancabermeja</t>
        </is>
      </c>
      <c r="K157" s="56" t="n">
        <v>29.86666666666666</v>
      </c>
      <c r="L157" s="56" t="n">
        <v>29.46666666666667</v>
      </c>
      <c r="M157" s="56" t="n">
        <v>30.46666666666667</v>
      </c>
      <c r="N157" s="56" t="n">
        <v>30.06666666666667</v>
      </c>
      <c r="O157" s="56" t="n">
        <v/>
      </c>
      <c r="P157" s="56" t="n">
        <v>30.93333333333333</v>
      </c>
      <c r="Q157" s="56" t="n">
        <v>30.26666666666667</v>
      </c>
      <c r="R157" s="56" t="n">
        <v>30.53333333333333</v>
      </c>
      <c r="S157" s="56" t="n">
        <v>32.73333333333333</v>
      </c>
      <c r="T157" s="56" t="n">
        <v>31.53333333333333</v>
      </c>
      <c r="U157" s="56" t="n">
        <v>29.06666666666666</v>
      </c>
      <c r="V157" s="56" t="n">
        <v/>
      </c>
      <c r="W157" s="56" t="n">
        <v>30.53333333333333</v>
      </c>
      <c r="X157" s="56" t="n">
        <v>30.8</v>
      </c>
      <c r="Y157" s="56" t="n">
        <v>30.53333333333333</v>
      </c>
      <c r="Z157" s="56" t="n">
        <v>27.73333333333333</v>
      </c>
      <c r="AA157" s="56" t="n">
        <v>30.53333333333333</v>
      </c>
      <c r="AB157" s="56" t="n">
        <v/>
      </c>
      <c r="AC157" s="56" t="n">
        <v/>
      </c>
      <c r="AD157" s="56" t="n">
        <v>30.33333333333333</v>
      </c>
      <c r="AE157" s="56" t="n">
        <v>27.86666666666667</v>
      </c>
      <c r="AF157" s="56" t="n">
        <v>29.4</v>
      </c>
      <c r="AG157" s="56" t="n">
        <v>27.33333333333333</v>
      </c>
      <c r="AH157" s="56" t="n">
        <v>28.4</v>
      </c>
      <c r="AI157" s="56" t="n">
        <v>26.46666666666667</v>
      </c>
      <c r="AJ157" s="56" t="n"/>
      <c r="AK157" s="56" t="n"/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23185010</v>
      </c>
      <c r="B158" s="59" t="inlineStr">
        <is>
          <t>Villa Leiva</t>
        </is>
      </c>
      <c r="C158" s="59" t="inlineStr">
        <is>
          <t>Area Operativa 08 - Santanderes-Arauca</t>
        </is>
      </c>
      <c r="D158" s="73" t="n">
        <v>-73.53722222</v>
      </c>
      <c r="E158" s="73" t="n">
        <v>7.456111111</v>
      </c>
      <c r="F158" s="58" t="n">
        <v>328</v>
      </c>
      <c r="G158" s="58" t="n">
        <v>68</v>
      </c>
      <c r="H158" s="58" t="n">
        <v>68655</v>
      </c>
      <c r="I158" s="60" t="inlineStr">
        <is>
          <t>Santander</t>
        </is>
      </c>
      <c r="J158" s="60" t="inlineStr">
        <is>
          <t>Sabana De Torres</t>
        </is>
      </c>
      <c r="K158" s="56" t="n">
        <v>30.73333333333333</v>
      </c>
      <c r="L158" s="56" t="n">
        <v>30.86666666666666</v>
      </c>
      <c r="M158" s="56" t="n">
        <v>30</v>
      </c>
      <c r="N158" s="56" t="n">
        <v>30.06666666666667</v>
      </c>
      <c r="O158" s="56" t="n">
        <v>31.33333333333333</v>
      </c>
      <c r="P158" s="56" t="n">
        <v>31.13333333333334</v>
      </c>
      <c r="Q158" s="56" t="n">
        <v>30.4</v>
      </c>
      <c r="R158" s="56" t="n">
        <v>31.66666666666667</v>
      </c>
      <c r="S158" s="56" t="n">
        <v>31.6</v>
      </c>
      <c r="T158" s="56" t="n">
        <v>32.06666666666667</v>
      </c>
      <c r="U158" s="56" t="n">
        <v>31.46666666666667</v>
      </c>
      <c r="V158" s="56" t="n">
        <v>31.06666666666667</v>
      </c>
      <c r="W158" s="56" t="n">
        <v>31.26666666666667</v>
      </c>
      <c r="X158" s="56" t="n">
        <v>30.86666666666666</v>
      </c>
      <c r="Y158" s="56" t="n">
        <v>32</v>
      </c>
      <c r="Z158" s="56" t="n">
        <v>28.33333333333333</v>
      </c>
      <c r="AA158" s="56" t="n">
        <v>31.93333333333333</v>
      </c>
      <c r="AB158" s="56" t="n">
        <v>32.2</v>
      </c>
      <c r="AC158" s="56" t="n">
        <v>28.13333333333334</v>
      </c>
      <c r="AD158" s="56" t="n">
        <v>30.8</v>
      </c>
      <c r="AE158" s="56" t="n">
        <v>29.66666666666667</v>
      </c>
      <c r="AF158" s="56" t="n">
        <v>31.53333333333333</v>
      </c>
      <c r="AG158" s="56" t="n">
        <v>29.73333333333333</v>
      </c>
      <c r="AH158" s="56" t="n">
        <v>31</v>
      </c>
      <c r="AI158" s="56" t="n">
        <v>28.33333333333333</v>
      </c>
      <c r="AJ158" s="56" t="n"/>
      <c r="AK158" s="56" t="n"/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23195090</v>
      </c>
      <c r="B159" s="59" t="inlineStr">
        <is>
          <t>Vivero Surata  - Aut</t>
        </is>
      </c>
      <c r="C159" s="59" t="inlineStr">
        <is>
          <t>Area Operativa 08 - Santanderes-Arauca</t>
        </is>
      </c>
      <c r="D159" s="73" t="n">
        <v>-72.9875</v>
      </c>
      <c r="E159" s="73" t="n">
        <v>7.36583</v>
      </c>
      <c r="F159" s="58" t="n">
        <v>1791</v>
      </c>
      <c r="G159" s="58" t="n">
        <v>68</v>
      </c>
      <c r="H159" s="58" t="n">
        <v>68780</v>
      </c>
      <c r="I159" s="60" t="inlineStr">
        <is>
          <t>Santander</t>
        </is>
      </c>
      <c r="J159" s="60" t="inlineStr">
        <is>
          <t>Suratá</t>
        </is>
      </c>
      <c r="K159" s="56" t="n">
        <v>19.86666666666666</v>
      </c>
      <c r="L159" s="56" t="n">
        <v>20.13333333333333</v>
      </c>
      <c r="M159" s="56" t="n">
        <v>21.33333333333333</v>
      </c>
      <c r="N159" s="56" t="n">
        <v>20.26666666666667</v>
      </c>
      <c r="O159" s="56" t="n">
        <v>21.46666666666667</v>
      </c>
      <c r="P159" s="56" t="n">
        <v>20.33333333333333</v>
      </c>
      <c r="Q159" s="56" t="n">
        <v>21</v>
      </c>
      <c r="R159" s="56" t="n">
        <v>20.8</v>
      </c>
      <c r="S159" s="56" t="n">
        <v>22.33333333333333</v>
      </c>
      <c r="T159" s="56" t="n">
        <v>22.66666666666667</v>
      </c>
      <c r="U159" s="56" t="n">
        <v>21.33333333333333</v>
      </c>
      <c r="V159" s="56" t="n">
        <v>21.4</v>
      </c>
      <c r="W159" s="56" t="n">
        <v>20.93333333333333</v>
      </c>
      <c r="X159" s="56" t="n">
        <v>20.93333333333333</v>
      </c>
      <c r="Y159" s="56" t="n">
        <v>22.4</v>
      </c>
      <c r="Z159" s="56" t="n">
        <v>21.6</v>
      </c>
      <c r="AA159" s="56" t="n">
        <v>22.6</v>
      </c>
      <c r="AB159" s="56" t="n">
        <v>22.46666666666667</v>
      </c>
      <c r="AC159" s="56" t="n">
        <v>21.13333333333333</v>
      </c>
      <c r="AD159" s="56" t="n">
        <v>21.26666666666667</v>
      </c>
      <c r="AE159" s="56" t="n">
        <v>20.66666666666667</v>
      </c>
      <c r="AF159" s="56" t="n">
        <v>20.93333333333333</v>
      </c>
      <c r="AG159" s="56" t="n">
        <v>21.4</v>
      </c>
      <c r="AH159" s="56" t="n">
        <v>21.53333333333333</v>
      </c>
      <c r="AI159" s="56" t="n">
        <v>18.26666666666667</v>
      </c>
      <c r="AJ159" s="56" t="n"/>
      <c r="AK159" s="56" t="n"/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23195110</v>
      </c>
      <c r="B160" s="59" t="inlineStr">
        <is>
          <t>Llano Grande  - Aut</t>
        </is>
      </c>
      <c r="C160" s="59" t="inlineStr">
        <is>
          <t>Area Operativa 08 - Santanderes-Arauca</t>
        </is>
      </c>
      <c r="D160" s="73" t="n">
        <v>-73.16722222</v>
      </c>
      <c r="E160" s="73" t="n">
        <v>7.025555556</v>
      </c>
      <c r="F160" s="58" t="n">
        <v>777</v>
      </c>
      <c r="G160" s="58" t="n">
        <v>68</v>
      </c>
      <c r="H160" s="58" t="n">
        <v>68307</v>
      </c>
      <c r="I160" s="60" t="inlineStr">
        <is>
          <t>Santander</t>
        </is>
      </c>
      <c r="J160" s="60" t="inlineStr">
        <is>
          <t>Girón</t>
        </is>
      </c>
      <c r="K160" s="56" t="n">
        <v>27.13333333333334</v>
      </c>
      <c r="L160" s="56" t="n">
        <v>27.26666666666667</v>
      </c>
      <c r="M160" s="56" t="n">
        <v>26.86666666666666</v>
      </c>
      <c r="N160" s="56" t="n">
        <v>27.53333333333333</v>
      </c>
      <c r="O160" s="56" t="n">
        <v>28.93333333333333</v>
      </c>
      <c r="P160" s="56" t="n">
        <v/>
      </c>
      <c r="Q160" s="56" t="n">
        <v>26.13333333333334</v>
      </c>
      <c r="R160" s="56" t="n">
        <v>26.93333333333333</v>
      </c>
      <c r="S160" s="56" t="n">
        <v>28.26666666666667</v>
      </c>
      <c r="T160" s="56" t="n">
        <v>27.53333333333333</v>
      </c>
      <c r="U160" s="56" t="n">
        <v>27.26666666666667</v>
      </c>
      <c r="V160" s="56" t="n">
        <v>28.33333333333333</v>
      </c>
      <c r="W160" s="56" t="n">
        <v>27.13333333333333</v>
      </c>
      <c r="X160" s="56" t="n">
        <v>26.53333333333333</v>
      </c>
      <c r="Y160" s="56" t="n">
        <v>28</v>
      </c>
      <c r="Z160" s="56" t="n">
        <v>27.86666666666667</v>
      </c>
      <c r="AA160" s="56" t="n">
        <v>28.4</v>
      </c>
      <c r="AB160" s="56" t="n">
        <v>27.26666666666667</v>
      </c>
      <c r="AC160" s="56" t="n">
        <v>27.33333333333333</v>
      </c>
      <c r="AD160" s="56" t="n">
        <v>25.73333333333333</v>
      </c>
      <c r="AE160" s="56" t="n">
        <v>26.73333333333333</v>
      </c>
      <c r="AF160" s="56" t="n">
        <v>28.33333333333333</v>
      </c>
      <c r="AG160" s="56" t="n">
        <v>27.93333333333333</v>
      </c>
      <c r="AH160" s="56" t="n">
        <v>27.73333333333333</v>
      </c>
      <c r="AI160" s="56" t="n">
        <v/>
      </c>
      <c r="AJ160" s="56" t="n"/>
      <c r="AK160" s="56" t="n"/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23195180</v>
      </c>
      <c r="B161" s="59" t="inlineStr">
        <is>
          <t>Escuela Agricola Cachira</t>
        </is>
      </c>
      <c r="C161" s="59" t="inlineStr">
        <is>
          <t>Area Operativa 08 - Santanderes-Arauca</t>
        </is>
      </c>
      <c r="D161" s="73" t="n">
        <v>-73.05166667</v>
      </c>
      <c r="E161" s="73" t="n">
        <v>7.735277778</v>
      </c>
      <c r="F161" s="58" t="n">
        <v>1882</v>
      </c>
      <c r="G161" s="58" t="n">
        <v>54</v>
      </c>
      <c r="H161" s="58" t="n">
        <v>54128</v>
      </c>
      <c r="I161" s="60" t="inlineStr">
        <is>
          <t>Norte De Santander</t>
        </is>
      </c>
      <c r="J161" s="60" t="inlineStr">
        <is>
          <t>Cáchira</t>
        </is>
      </c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23205020</v>
      </c>
      <c r="B162" s="59" t="inlineStr">
        <is>
          <t>Colegio Cooperativo</t>
        </is>
      </c>
      <c r="C162" s="59" t="inlineStr">
        <is>
          <t>Area Operativa 08 - Santanderes-Arauca</t>
        </is>
      </c>
      <c r="D162" s="73" t="n">
        <v>-73.92555556000001</v>
      </c>
      <c r="E162" s="73" t="n">
        <v>7.475</v>
      </c>
      <c r="F162" s="58" t="n">
        <v>165</v>
      </c>
      <c r="G162" s="58" t="n">
        <v>13</v>
      </c>
      <c r="H162" s="58" t="n">
        <v>13670</v>
      </c>
      <c r="I162" s="60" t="inlineStr">
        <is>
          <t>Bolívar</t>
        </is>
      </c>
      <c r="J162" s="60" t="inlineStr">
        <is>
          <t>San Pablo</t>
        </is>
      </c>
      <c r="K162" s="56" t="n">
        <v>28.6</v>
      </c>
      <c r="L162" s="56" t="n">
        <v>28.53333333333333</v>
      </c>
      <c r="M162" s="56" t="n">
        <v>29.26666666666667</v>
      </c>
      <c r="N162" s="56" t="n">
        <v>30</v>
      </c>
      <c r="O162" s="56" t="n">
        <v>29.93333333333333</v>
      </c>
      <c r="P162" s="56" t="n">
        <v>28.13333333333334</v>
      </c>
      <c r="Q162" s="56" t="n">
        <v>28.66666666666667</v>
      </c>
      <c r="R162" s="56" t="n">
        <v>30</v>
      </c>
      <c r="S162" s="56" t="n">
        <v>29.73333333333333</v>
      </c>
      <c r="T162" s="56" t="n">
        <v>28.8</v>
      </c>
      <c r="U162" s="56" t="n">
        <v>28</v>
      </c>
      <c r="V162" s="56" t="n">
        <v>28.93333333333334</v>
      </c>
      <c r="W162" s="56" t="n">
        <v>28.86666666666666</v>
      </c>
      <c r="X162" s="56" t="n">
        <v>29</v>
      </c>
      <c r="Y162" s="56" t="n">
        <v>29.86666666666667</v>
      </c>
      <c r="Z162" s="56" t="n">
        <v>27.93333333333334</v>
      </c>
      <c r="AA162" s="56" t="n">
        <v>29.53333333333333</v>
      </c>
      <c r="AB162" s="56" t="n">
        <v>30.26666666666667</v>
      </c>
      <c r="AC162" s="56" t="n">
        <v>26.26666666666667</v>
      </c>
      <c r="AD162" s="56" t="n">
        <v>29</v>
      </c>
      <c r="AE162" s="56" t="n">
        <v>27.66666666666667</v>
      </c>
      <c r="AF162" s="56" t="n">
        <v>28.8</v>
      </c>
      <c r="AG162" s="56" t="n">
        <v>28.06666666666667</v>
      </c>
      <c r="AH162" s="56" t="n">
        <v>28.46666666666667</v>
      </c>
      <c r="AI162" s="56" t="n">
        <v>27.46666666666667</v>
      </c>
      <c r="AJ162" s="56" t="n"/>
      <c r="AK162" s="56" t="n"/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24015250</v>
      </c>
      <c r="B163" s="59" t="inlineStr">
        <is>
          <t xml:space="preserve">La Laja </t>
        </is>
      </c>
      <c r="C163" s="59" t="inlineStr">
        <is>
          <t>Area Operativa 08 - Santanderes-Arauca</t>
        </is>
      </c>
      <c r="D163" s="73" t="n">
        <v>-73.41538889</v>
      </c>
      <c r="E163" s="73" t="n">
        <v>6.237166667</v>
      </c>
      <c r="F163" s="58" t="n">
        <v>1400</v>
      </c>
      <c r="G163" s="58" t="n">
        <v>68</v>
      </c>
      <c r="H163" s="58" t="n">
        <v>68320</v>
      </c>
      <c r="I163" s="60" t="inlineStr">
        <is>
          <t>Santander</t>
        </is>
      </c>
      <c r="J163" s="60" t="inlineStr">
        <is>
          <t>Guadalupe</t>
        </is>
      </c>
      <c r="K163" s="56" t="n">
        <v>21.06666666666667</v>
      </c>
      <c r="L163" s="56" t="n">
        <v>21.46666666666667</v>
      </c>
      <c r="M163" s="56" t="n">
        <v>22.13333333333334</v>
      </c>
      <c r="N163" s="56" t="n">
        <v>21.13333333333333</v>
      </c>
      <c r="O163" s="56" t="n">
        <v>21.66666666666667</v>
      </c>
      <c r="P163" s="56" t="n">
        <v>20.06666666666667</v>
      </c>
      <c r="Q163" s="56" t="n">
        <v>21</v>
      </c>
      <c r="R163" s="56" t="n">
        <v>21.86666666666666</v>
      </c>
      <c r="S163" s="56" t="n">
        <v>21.93333333333334</v>
      </c>
      <c r="T163" s="56" t="n">
        <v>21.53333333333333</v>
      </c>
      <c r="U163" s="56" t="n">
        <v>21.53333333333333</v>
      </c>
      <c r="V163" s="56" t="n">
        <v>22.2</v>
      </c>
      <c r="W163" s="56" t="n">
        <v>20.86666666666667</v>
      </c>
      <c r="X163" s="56" t="n">
        <v>22.26666666666667</v>
      </c>
      <c r="Y163" s="56" t="n">
        <v>22</v>
      </c>
      <c r="Z163" s="56" t="n">
        <v>21.93333333333333</v>
      </c>
      <c r="AA163" s="56" t="n">
        <v>22.2</v>
      </c>
      <c r="AB163" s="56" t="n">
        <v>23</v>
      </c>
      <c r="AC163" s="56" t="n">
        <v>20.6</v>
      </c>
      <c r="AD163" s="56" t="n">
        <v>21.66666666666667</v>
      </c>
      <c r="AE163" s="56" t="n">
        <v>20.53333333333333</v>
      </c>
      <c r="AF163" s="56" t="n">
        <v>22.46666666666667</v>
      </c>
      <c r="AG163" s="56" t="n">
        <v>20.6</v>
      </c>
      <c r="AH163" s="56" t="n">
        <v>21.4</v>
      </c>
      <c r="AI163" s="56" t="n">
        <v>20.86666666666667</v>
      </c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24015260</v>
      </c>
      <c r="B164" s="59" t="inlineStr">
        <is>
          <t>Chima</t>
        </is>
      </c>
      <c r="C164" s="59" t="inlineStr">
        <is>
          <t>Area Operativa 08 - Santanderes-Arauca</t>
        </is>
      </c>
      <c r="D164" s="73" t="n">
        <v>-73.36833333</v>
      </c>
      <c r="E164" s="73" t="n">
        <v>6.355</v>
      </c>
      <c r="F164" s="58" t="n">
        <v>190</v>
      </c>
      <c r="G164" s="58" t="n">
        <v>68</v>
      </c>
      <c r="H164" s="58" t="n">
        <v>68176</v>
      </c>
      <c r="I164" s="60" t="inlineStr">
        <is>
          <t>Santander</t>
        </is>
      </c>
      <c r="J164" s="60" t="inlineStr">
        <is>
          <t>Chima</t>
        </is>
      </c>
      <c r="K164" s="56" t="n">
        <v>25.2</v>
      </c>
      <c r="L164" s="56" t="n">
        <v>25.9</v>
      </c>
      <c r="M164" s="56" t="n">
        <v>25.3</v>
      </c>
      <c r="N164" s="56" t="n">
        <v>25.7</v>
      </c>
      <c r="O164" s="56" t="n">
        <v>26.5</v>
      </c>
      <c r="P164" s="56" t="n">
        <v>24.05</v>
      </c>
      <c r="Q164" s="56" t="n">
        <v>25.1</v>
      </c>
      <c r="R164" s="56" t="n">
        <v>25.9</v>
      </c>
      <c r="S164" s="56" t="n">
        <v>26.55</v>
      </c>
      <c r="T164" s="56" t="n">
        <v>25.75</v>
      </c>
      <c r="U164" s="56" t="n">
        <v>25.2</v>
      </c>
      <c r="V164" s="56" t="n">
        <v>25.25</v>
      </c>
      <c r="W164" s="56" t="n">
        <v>23.95</v>
      </c>
      <c r="X164" s="56" t="n">
        <v>26.2</v>
      </c>
      <c r="Y164" s="56" t="n">
        <v>26.5</v>
      </c>
      <c r="Z164" s="56" t="n">
        <v>26.15</v>
      </c>
      <c r="AA164" s="56" t="n">
        <v>26.9</v>
      </c>
      <c r="AB164" s="56" t="n">
        <v>26.1</v>
      </c>
      <c r="AC164" s="56" t="n">
        <v>25.2</v>
      </c>
      <c r="AD164" s="56" t="n">
        <v>26.15</v>
      </c>
      <c r="AE164" s="56" t="n">
        <v>24.45</v>
      </c>
      <c r="AF164" s="56" t="n">
        <v>25.55</v>
      </c>
      <c r="AG164" s="56" t="n">
        <v>23.75</v>
      </c>
      <c r="AH164" s="56" t="n">
        <v>25.2</v>
      </c>
      <c r="AI164" s="56" t="n">
        <v>23.85</v>
      </c>
      <c r="AJ164" s="56" t="n"/>
      <c r="AK164" s="56" t="n"/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24025040</v>
      </c>
      <c r="B165" s="59" t="inlineStr">
        <is>
          <t>Escuela Agricola Mogotes</t>
        </is>
      </c>
      <c r="C165" s="59" t="inlineStr">
        <is>
          <t>Area Operativa 08 - Santanderes-Arauca</t>
        </is>
      </c>
      <c r="D165" s="73" t="n">
        <v>-72.96888889</v>
      </c>
      <c r="E165" s="73" t="n">
        <v>6.47</v>
      </c>
      <c r="F165" s="58" t="n">
        <v>1673</v>
      </c>
      <c r="G165" s="58" t="n">
        <v>68</v>
      </c>
      <c r="H165" s="58" t="n">
        <v>68464</v>
      </c>
      <c r="I165" s="60" t="inlineStr">
        <is>
          <t>Santander</t>
        </is>
      </c>
      <c r="J165" s="60" t="inlineStr">
        <is>
          <t>Mogotes</t>
        </is>
      </c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24035400</v>
      </c>
      <c r="B166" s="59" t="inlineStr">
        <is>
          <t xml:space="preserve">El Volcan </t>
        </is>
      </c>
      <c r="C166" s="59" t="inlineStr">
        <is>
          <t>Area Operativa 08 - Santanderes-Arauca</t>
        </is>
      </c>
      <c r="D166" s="73" t="n">
        <v>-72.67777778</v>
      </c>
      <c r="E166" s="73" t="n">
        <v>6.845277778</v>
      </c>
      <c r="F166" s="58" t="n">
        <v>2841</v>
      </c>
      <c r="G166" s="58" t="n">
        <v>68</v>
      </c>
      <c r="H166" s="58" t="n">
        <v>68162</v>
      </c>
      <c r="I166" s="60" t="inlineStr">
        <is>
          <t>Santander</t>
        </is>
      </c>
      <c r="J166" s="60" t="inlineStr">
        <is>
          <t>Cerrito</t>
        </is>
      </c>
      <c r="K166" s="56" t="n">
        <v>14.93333333333333</v>
      </c>
      <c r="L166" s="56" t="n">
        <v>14.6</v>
      </c>
      <c r="M166" s="56" t="n">
        <v>14.7</v>
      </c>
      <c r="N166" s="56" t="n">
        <v>15.13333333333333</v>
      </c>
      <c r="O166" s="56" t="n">
        <v>14.06666666666667</v>
      </c>
      <c r="P166" s="56" t="n">
        <v>14.13333333333333</v>
      </c>
      <c r="Q166" s="56" t="n">
        <v>14.13333333333333</v>
      </c>
      <c r="R166" s="56" t="n">
        <v>14.53333333333333</v>
      </c>
      <c r="S166" s="56" t="n">
        <v>15.8</v>
      </c>
      <c r="T166" s="56" t="n">
        <v>14.93333333333333</v>
      </c>
      <c r="U166" s="56" t="n">
        <v>14.8</v>
      </c>
      <c r="V166" s="56" t="n">
        <v>15</v>
      </c>
      <c r="W166" s="56" t="n">
        <v>14.73333333333333</v>
      </c>
      <c r="X166" s="56" t="n">
        <v>15.33333333333333</v>
      </c>
      <c r="Y166" s="56" t="n">
        <v>14.8</v>
      </c>
      <c r="Z166" s="56" t="n">
        <v>14.86666666666667</v>
      </c>
      <c r="AA166" s="56" t="n">
        <v>15.66666666666667</v>
      </c>
      <c r="AB166" s="56" t="n">
        <v>15.4</v>
      </c>
      <c r="AC166" s="56" t="n">
        <v>14.8</v>
      </c>
      <c r="AD166" s="56" t="n">
        <v>13.93333333333333</v>
      </c>
      <c r="AE166" s="56" t="n">
        <v>15.26666666666667</v>
      </c>
      <c r="AF166" s="56" t="n">
        <v>16.13333333333334</v>
      </c>
      <c r="AG166" s="56" t="n">
        <v>16.2</v>
      </c>
      <c r="AH166" s="56" t="n">
        <v>15.4</v>
      </c>
      <c r="AI166" s="56" t="n">
        <v>14.2</v>
      </c>
      <c r="AJ166" s="56" t="n"/>
      <c r="AK166" s="56" t="n"/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24055030</v>
      </c>
      <c r="B167" s="59" t="inlineStr">
        <is>
          <t>Zapatoca</t>
        </is>
      </c>
      <c r="C167" s="59" t="inlineStr">
        <is>
          <t>Area Operativa 08 - Santanderes-Arauca</t>
        </is>
      </c>
      <c r="D167" s="73" t="n">
        <v>-73.28274999999999</v>
      </c>
      <c r="E167" s="73" t="n">
        <v>6.792777778</v>
      </c>
      <c r="F167" s="58" t="n">
        <v>1810</v>
      </c>
      <c r="G167" s="58" t="n">
        <v>68</v>
      </c>
      <c r="H167" s="58" t="n">
        <v>68895</v>
      </c>
      <c r="I167" s="60" t="inlineStr">
        <is>
          <t>Santander</t>
        </is>
      </c>
      <c r="J167" s="60" t="inlineStr">
        <is>
          <t>Zapatoca</t>
        </is>
      </c>
      <c r="K167" s="56" t="n">
        <v>20.66666666666667</v>
      </c>
      <c r="L167" s="56" t="n">
        <v>20.73333333333333</v>
      </c>
      <c r="M167" s="56" t="n">
        <v>20.4</v>
      </c>
      <c r="N167" s="56" t="n">
        <v>21.26666666666667</v>
      </c>
      <c r="O167" s="56" t="n">
        <v>21.33333333333333</v>
      </c>
      <c r="P167" s="56" t="n">
        <v>22.33333333333333</v>
      </c>
      <c r="Q167" s="56" t="n">
        <v>20.73333333333333</v>
      </c>
      <c r="R167" s="56" t="n">
        <v>21.6</v>
      </c>
      <c r="S167" s="56" t="n">
        <v>23.06666666666667</v>
      </c>
      <c r="T167" s="56" t="n">
        <v>21.93333333333334</v>
      </c>
      <c r="U167" s="56" t="n">
        <v>20.93333333333333</v>
      </c>
      <c r="V167" s="56" t="n">
        <v>21.66666666666667</v>
      </c>
      <c r="W167" s="56" t="n">
        <v>21.6</v>
      </c>
      <c r="X167" s="56" t="n">
        <v>21.2</v>
      </c>
      <c r="Y167" s="56" t="n">
        <v>22</v>
      </c>
      <c r="Z167" s="56" t="n">
        <v>20.6</v>
      </c>
      <c r="AA167" s="56" t="n">
        <v>21.93333333333334</v>
      </c>
      <c r="AB167" s="56" t="n">
        <v>21.8</v>
      </c>
      <c r="AC167" s="56" t="n">
        <v>21.06666666666667</v>
      </c>
      <c r="AD167" s="56" t="n">
        <v>21.46666666666667</v>
      </c>
      <c r="AE167" s="56" t="n">
        <v>19.8</v>
      </c>
      <c r="AF167" s="56" t="n">
        <v>21.2</v>
      </c>
      <c r="AG167" s="56" t="n">
        <v>20.93333333333333</v>
      </c>
      <c r="AH167" s="56" t="n">
        <v>21.26666666666667</v>
      </c>
      <c r="AI167" s="56" t="n">
        <v>21.06666666666667</v>
      </c>
      <c r="AJ167" s="56" t="n"/>
      <c r="AK167" s="56" t="n"/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24055040</v>
      </c>
      <c r="B168" s="59" t="inlineStr">
        <is>
          <t xml:space="preserve">El Palmar </t>
        </is>
      </c>
      <c r="C168" s="59" t="inlineStr">
        <is>
          <t>Area Operativa 08 - Santanderes-Arauca</t>
        </is>
      </c>
      <c r="D168" s="73" t="n">
        <v>-73.292</v>
      </c>
      <c r="E168" s="73" t="n">
        <v>6.549722222</v>
      </c>
      <c r="F168" s="58" t="n">
        <v>940</v>
      </c>
      <c r="G168" s="58" t="n">
        <v>68</v>
      </c>
      <c r="H168" s="58" t="n">
        <v>68522</v>
      </c>
      <c r="I168" s="60" t="inlineStr">
        <is>
          <t>Santander</t>
        </is>
      </c>
      <c r="J168" s="60" t="inlineStr">
        <is>
          <t>Palmar</t>
        </is>
      </c>
      <c r="K168" s="56" t="n">
        <v>27.8</v>
      </c>
      <c r="L168" s="56" t="n">
        <v>28.3</v>
      </c>
      <c r="M168" s="56" t="n">
        <v>28.35</v>
      </c>
      <c r="N168" s="56" t="n">
        <v>28.7</v>
      </c>
      <c r="O168" s="56" t="n">
        <v>29.55</v>
      </c>
      <c r="P168" s="56" t="n">
        <v>27.6</v>
      </c>
      <c r="Q168" s="56" t="n">
        <v>27.75</v>
      </c>
      <c r="R168" s="56" t="n">
        <v>29.05</v>
      </c>
      <c r="S168" s="56" t="n">
        <v>30.5</v>
      </c>
      <c r="T168" s="56" t="n">
        <v>27.55</v>
      </c>
      <c r="U168" s="56" t="n">
        <v>28.05</v>
      </c>
      <c r="V168" s="56" t="n">
        <v>29.1</v>
      </c>
      <c r="W168" s="56" t="n">
        <v>28</v>
      </c>
      <c r="X168" s="56" t="n">
        <v>29</v>
      </c>
      <c r="Y168" s="56" t="n">
        <v>29.6</v>
      </c>
      <c r="Z168" s="56" t="n">
        <v>28.2</v>
      </c>
      <c r="AA168" s="56" t="n">
        <v>29.35</v>
      </c>
      <c r="AB168" s="56" t="n">
        <v>30.25</v>
      </c>
      <c r="AC168" s="56" t="n">
        <v>27</v>
      </c>
      <c r="AD168" s="56" t="n">
        <v>28.55</v>
      </c>
      <c r="AE168" s="56" t="n">
        <v>27.8</v>
      </c>
      <c r="AF168" s="56" t="n">
        <v>28.95</v>
      </c>
      <c r="AG168" s="56" t="n">
        <v>27.75</v>
      </c>
      <c r="AH168" s="56" t="n">
        <v>26.1</v>
      </c>
      <c r="AI168" s="56" t="n">
        <v>26.35</v>
      </c>
      <c r="AJ168" s="56" t="n"/>
      <c r="AK168" s="56" t="n"/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37015020</v>
      </c>
      <c r="B169" s="59" t="inlineStr">
        <is>
          <t>Berlin</t>
        </is>
      </c>
      <c r="C169" s="59" t="inlineStr">
        <is>
          <t>Area Operativa 08 - Santanderes-Arauca</t>
        </is>
      </c>
      <c r="D169" s="73" t="n">
        <v>-72.86861111</v>
      </c>
      <c r="E169" s="73" t="n">
        <v>7.186944444</v>
      </c>
      <c r="F169" s="58" t="n">
        <v>3214</v>
      </c>
      <c r="G169" s="58" t="n">
        <v>68</v>
      </c>
      <c r="H169" s="58" t="n">
        <v>68820</v>
      </c>
      <c r="I169" s="60" t="inlineStr">
        <is>
          <t>Santander</t>
        </is>
      </c>
      <c r="J169" s="60" t="inlineStr">
        <is>
          <t>Tona</t>
        </is>
      </c>
      <c r="K169" s="56" t="n">
        <v>10.65</v>
      </c>
      <c r="L169" s="56" t="n">
        <v>10</v>
      </c>
      <c r="M169" s="56" t="n">
        <v>9.700000000000001</v>
      </c>
      <c r="N169" s="56" t="n">
        <v>9.100000000000001</v>
      </c>
      <c r="O169" s="56" t="n">
        <v>9.399999999999999</v>
      </c>
      <c r="P169" s="56" t="n">
        <v>8.25</v>
      </c>
      <c r="Q169" s="56" t="n">
        <v>8.300000000000001</v>
      </c>
      <c r="R169" s="56" t="n">
        <v>8.25</v>
      </c>
      <c r="S169" s="56" t="n">
        <v>9.25</v>
      </c>
      <c r="T169" s="56" t="n">
        <v>9.600000000000001</v>
      </c>
      <c r="U169" s="56" t="n">
        <v>8.399999999999999</v>
      </c>
      <c r="V169" s="56" t="n">
        <v>10.2</v>
      </c>
      <c r="W169" s="56" t="n">
        <v>10.1</v>
      </c>
      <c r="X169" s="56" t="n">
        <v>9.899999999999999</v>
      </c>
      <c r="Y169" s="56" t="n">
        <v>10.2</v>
      </c>
      <c r="Z169" s="56" t="n">
        <v>9.449999999999999</v>
      </c>
      <c r="AA169" s="56" t="n">
        <v>9.949999999999999</v>
      </c>
      <c r="AB169" s="56" t="n">
        <v>9.149999999999999</v>
      </c>
      <c r="AC169" s="56" t="n">
        <v>9.699999999999999</v>
      </c>
      <c r="AD169" s="56" t="n">
        <v>9.350000000000001</v>
      </c>
      <c r="AE169" s="56" t="n">
        <v>9.850000000000001</v>
      </c>
      <c r="AF169" s="56" t="n">
        <v>10.45</v>
      </c>
      <c r="AG169" s="56" t="n">
        <v>10.5</v>
      </c>
      <c r="AH169" s="56" t="n">
        <v>10.15</v>
      </c>
      <c r="AI169" s="56" t="n">
        <v>9.85</v>
      </c>
      <c r="AJ169" s="56" t="n"/>
      <c r="AK169" s="56" t="n"/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37035010</v>
      </c>
      <c r="B170" s="59" t="inlineStr">
        <is>
          <t>Tunebia</t>
        </is>
      </c>
      <c r="C170" s="59" t="inlineStr">
        <is>
          <t>Area Operativa 08 - Santanderes-Arauca</t>
        </is>
      </c>
      <c r="D170" s="73" t="n">
        <v>-72.11583333</v>
      </c>
      <c r="E170" s="73" t="n">
        <v>7.006111111</v>
      </c>
      <c r="F170" s="58" t="n">
        <v>370</v>
      </c>
      <c r="G170" s="58" t="n">
        <v>54</v>
      </c>
      <c r="H170" s="58" t="n">
        <v>54820</v>
      </c>
      <c r="I170" s="60" t="inlineStr">
        <is>
          <t>Norte De Santander</t>
        </is>
      </c>
      <c r="J170" s="60" t="inlineStr">
        <is>
          <t>Toledo</t>
        </is>
      </c>
      <c r="K170" s="56" t="n">
        <v>25.26666666666667</v>
      </c>
      <c r="L170" s="56" t="n">
        <v>23.86666666666666</v>
      </c>
      <c r="M170" s="56" t="n">
        <v>26.6</v>
      </c>
      <c r="N170" s="56" t="n">
        <v>27.06666666666667</v>
      </c>
      <c r="O170" s="56" t="n">
        <v>25.53333333333333</v>
      </c>
      <c r="P170" s="56" t="n">
        <v>25.6</v>
      </c>
      <c r="Q170" s="56" t="n">
        <v>27.26666666666667</v>
      </c>
      <c r="R170" s="56" t="n">
        <v>23.13333333333334</v>
      </c>
      <c r="S170" s="56" t="n">
        <v>26.93333333333333</v>
      </c>
      <c r="T170" s="56" t="n">
        <v>26.66666666666667</v>
      </c>
      <c r="U170" s="56" t="n">
        <v>24.2</v>
      </c>
      <c r="V170" s="56" t="n">
        <v>26.33333333333333</v>
      </c>
      <c r="W170" s="56" t="n">
        <v>24.33333333333333</v>
      </c>
      <c r="X170" s="56" t="n">
        <v>26.26666666666667</v>
      </c>
      <c r="Y170" s="56" t="n">
        <v>23.2</v>
      </c>
      <c r="Z170" s="56" t="n">
        <v>25.2</v>
      </c>
      <c r="AA170" s="56" t="n">
        <v>26.33333333333333</v>
      </c>
      <c r="AB170" s="56" t="n">
        <v>27.2</v>
      </c>
      <c r="AC170" s="56" t="n">
        <v>25.33333333333333</v>
      </c>
      <c r="AD170" s="56" t="n">
        <v>25.73333333333333</v>
      </c>
      <c r="AE170" s="56" t="n">
        <v>26.53333333333333</v>
      </c>
      <c r="AF170" s="56" t="n">
        <v>27.4</v>
      </c>
      <c r="AG170" s="56" t="n">
        <v>27.86666666666667</v>
      </c>
      <c r="AH170" s="56" t="n">
        <v>22.93333333333333</v>
      </c>
      <c r="AI170" s="56" t="n">
        <v>26.2</v>
      </c>
      <c r="AJ170" s="56" t="n"/>
      <c r="AK170" s="56" t="n"/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26025090</v>
      </c>
      <c r="B171" s="59" t="inlineStr">
        <is>
          <t>Venta De Cajibio</t>
        </is>
      </c>
      <c r="C171" s="59" t="inlineStr">
        <is>
          <t>Area Operativa 09 - Cauca-Valle-Caldas</t>
        </is>
      </c>
      <c r="D171" s="73" t="n">
        <v>-76.561833333</v>
      </c>
      <c r="E171" s="73" t="n">
        <v>2.58475</v>
      </c>
      <c r="F171" s="58" t="n">
        <v>1850</v>
      </c>
      <c r="G171" s="58" t="n">
        <v>19</v>
      </c>
      <c r="H171" s="58" t="n">
        <v>19130</v>
      </c>
      <c r="I171" s="60" t="inlineStr">
        <is>
          <t>Cauca</t>
        </is>
      </c>
      <c r="J171" s="60" t="inlineStr">
        <is>
          <t>Cajibío</t>
        </is>
      </c>
      <c r="K171" s="56" t="n">
        <v>22.13333333333334</v>
      </c>
      <c r="L171" s="56" t="n">
        <v>22.13333333333334</v>
      </c>
      <c r="M171" s="56" t="n">
        <v>20.86666666666666</v>
      </c>
      <c r="N171" s="56" t="n">
        <v>22.53333333333333</v>
      </c>
      <c r="O171" s="56" t="n">
        <v/>
      </c>
      <c r="P171" s="56" t="n">
        <v/>
      </c>
      <c r="Q171" s="56" t="n">
        <v>21.4</v>
      </c>
      <c r="R171" s="56" t="n">
        <v>22.86666666666666</v>
      </c>
      <c r="S171" s="56" t="n">
        <v>22.13333333333334</v>
      </c>
      <c r="T171" s="56" t="n">
        <v>23.26666666666667</v>
      </c>
      <c r="U171" s="56" t="n">
        <v>22.26666666666667</v>
      </c>
      <c r="V171" s="56" t="n">
        <v>22.73333333333333</v>
      </c>
      <c r="W171" s="56" t="n">
        <v>23.06666666666667</v>
      </c>
      <c r="X171" s="56" t="n">
        <v>22.26666666666667</v>
      </c>
      <c r="Y171" s="56" t="n">
        <v>22.06666666666667</v>
      </c>
      <c r="Z171" s="56" t="n">
        <v>21.26666666666667</v>
      </c>
      <c r="AA171" s="56" t="n">
        <v>23.13333333333334</v>
      </c>
      <c r="AB171" s="56" t="n">
        <v>22.2</v>
      </c>
      <c r="AC171" s="56" t="n">
        <v>23.33333333333333</v>
      </c>
      <c r="AD171" s="56" t="n">
        <v>22</v>
      </c>
      <c r="AE171" s="56" t="n">
        <v>22.4</v>
      </c>
      <c r="AF171" s="56" t="n">
        <v>19.6</v>
      </c>
      <c r="AG171" s="56" t="n">
        <v>20.53333333333333</v>
      </c>
      <c r="AH171" s="56" t="n">
        <v>18.93333333333333</v>
      </c>
      <c r="AI171" s="56" t="n">
        <v>19.8</v>
      </c>
      <c r="AJ171" s="56" t="n"/>
      <c r="AK171" s="56" t="n"/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26025110</v>
      </c>
      <c r="B172" s="59" t="inlineStr">
        <is>
          <t>Lomitas</t>
        </is>
      </c>
      <c r="C172" s="59" t="inlineStr">
        <is>
          <t>Area Operativa 09 - Cauca-Valle-Caldas</t>
        </is>
      </c>
      <c r="D172" s="73" t="n">
        <v>-76.55625000000001</v>
      </c>
      <c r="E172" s="73" t="n">
        <v>3.075388889</v>
      </c>
      <c r="F172" s="58" t="n">
        <v>1009</v>
      </c>
      <c r="G172" s="58" t="n">
        <v>19</v>
      </c>
      <c r="H172" s="58" t="n">
        <v>19698</v>
      </c>
      <c r="I172" s="60" t="inlineStr">
        <is>
          <t>Cauca</t>
        </is>
      </c>
      <c r="J172" s="60" t="inlineStr">
        <is>
          <t>Santander De Quilichao</t>
        </is>
      </c>
      <c r="K172" s="56" t="n">
        <v>26.85</v>
      </c>
      <c r="L172" s="56" t="n">
        <v>26.45</v>
      </c>
      <c r="M172" s="56" t="n">
        <v>26.75</v>
      </c>
      <c r="N172" s="56" t="n">
        <v>23.75</v>
      </c>
      <c r="O172" s="56" t="n">
        <v>27.1</v>
      </c>
      <c r="P172" s="56" t="n">
        <v>26.45</v>
      </c>
      <c r="Q172" s="56" t="n">
        <v>25.85</v>
      </c>
      <c r="R172" s="56" t="n">
        <v>26.75</v>
      </c>
      <c r="S172" s="56" t="n">
        <v>26.6</v>
      </c>
      <c r="T172" s="56" t="n">
        <v>25.95</v>
      </c>
      <c r="U172" s="56" t="n">
        <v>25.3</v>
      </c>
      <c r="V172" s="56" t="n">
        <v>26.3</v>
      </c>
      <c r="W172" s="56" t="n">
        <v>26.6</v>
      </c>
      <c r="X172" s="56" t="n">
        <v>26.05</v>
      </c>
      <c r="Y172" s="56" t="n">
        <v>27.4</v>
      </c>
      <c r="Z172" s="56" t="n">
        <v>26.35</v>
      </c>
      <c r="AA172" s="56" t="n">
        <v>25.55</v>
      </c>
      <c r="AB172" s="56" t="n">
        <v>27.1</v>
      </c>
      <c r="AC172" s="56" t="n">
        <v>26.1</v>
      </c>
      <c r="AD172" s="56" t="n">
        <v>25.65</v>
      </c>
      <c r="AE172" s="56" t="n">
        <v>28.1</v>
      </c>
      <c r="AF172" s="56" t="n">
        <v>25.75</v>
      </c>
      <c r="AG172" s="56" t="n">
        <v>27</v>
      </c>
      <c r="AH172" s="56" t="n">
        <v>24.65</v>
      </c>
      <c r="AI172" s="56" t="n">
        <v>25.65</v>
      </c>
      <c r="AJ172" s="56" t="n"/>
      <c r="AK172" s="56" t="n"/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26075010</v>
      </c>
      <c r="B173" s="59" t="inlineStr">
        <is>
          <t>Palmira Ica</t>
        </is>
      </c>
      <c r="C173" s="59" t="inlineStr">
        <is>
          <t>Area Operativa 09 - Cauca-Valle-Caldas</t>
        </is>
      </c>
      <c r="D173" s="73" t="n">
        <v>-76.314888889</v>
      </c>
      <c r="E173" s="73" t="n">
        <v>3.513472222</v>
      </c>
      <c r="F173" s="58" t="n">
        <v>1018</v>
      </c>
      <c r="G173" s="58" t="n">
        <v>76</v>
      </c>
      <c r="H173" s="58" t="n">
        <v>76520</v>
      </c>
      <c r="I173" s="60" t="inlineStr">
        <is>
          <t>Valle Del Cauca</t>
        </is>
      </c>
      <c r="J173" s="60" t="inlineStr">
        <is>
          <t>Palmira</t>
        </is>
      </c>
      <c r="K173" s="56" t="n">
        <v>25.45</v>
      </c>
      <c r="L173" s="56" t="n">
        <v>26.1</v>
      </c>
      <c r="M173" s="56" t="n">
        <v>25.95</v>
      </c>
      <c r="N173" s="56" t="n">
        <v>25.85</v>
      </c>
      <c r="O173" s="56" t="n">
        <v>25.75</v>
      </c>
      <c r="P173" s="56" t="n">
        <v>25.9</v>
      </c>
      <c r="Q173" s="56" t="n">
        <v>24.95</v>
      </c>
      <c r="R173" s="56" t="n">
        <v>25.55</v>
      </c>
      <c r="S173" s="56" t="n">
        <v>26.05</v>
      </c>
      <c r="T173" s="56" t="n">
        <v>26.15</v>
      </c>
      <c r="U173" s="56" t="n">
        <v>25.05</v>
      </c>
      <c r="V173" s="56" t="n">
        <v>25.95</v>
      </c>
      <c r="W173" s="56" t="n">
        <v>26.2</v>
      </c>
      <c r="X173" s="56" t="n">
        <v>26.1</v>
      </c>
      <c r="Y173" s="56" t="n">
        <v>26.75</v>
      </c>
      <c r="Z173" s="56" t="n">
        <v>26.5</v>
      </c>
      <c r="AA173" s="56" t="n">
        <v>26.45</v>
      </c>
      <c r="AB173" s="56" t="n">
        <v>26.35</v>
      </c>
      <c r="AC173" s="56" t="n">
        <v>26.75</v>
      </c>
      <c r="AD173" s="56" t="n">
        <v>26.15</v>
      </c>
      <c r="AE173" s="56" t="n">
        <v>26.6</v>
      </c>
      <c r="AF173" s="56" t="n">
        <v>26.1</v>
      </c>
      <c r="AG173" s="56" t="n">
        <v>25.3</v>
      </c>
      <c r="AH173" s="56" t="n">
        <v>25.2</v>
      </c>
      <c r="AI173" s="56" t="n">
        <v>24.1</v>
      </c>
      <c r="AJ173" s="56" t="n"/>
      <c r="AK173" s="56" t="n"/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26105140</v>
      </c>
      <c r="B174" s="59" t="inlineStr">
        <is>
          <t>Barragan</t>
        </is>
      </c>
      <c r="C174" s="59" t="inlineStr">
        <is>
          <t>Area Operativa 09 - Cauca-Valle-Caldas</t>
        </is>
      </c>
      <c r="D174" s="73" t="n">
        <v>-75.88802777799999</v>
      </c>
      <c r="E174" s="73" t="n">
        <v>4.033055556</v>
      </c>
      <c r="F174" s="58" t="n">
        <v>2902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>
        <v>12.46666666666667</v>
      </c>
      <c r="L174" s="56" t="n">
        <v>12.26666666666667</v>
      </c>
      <c r="M174" s="56" t="n">
        <v>12.26666666666667</v>
      </c>
      <c r="N174" s="56" t="n">
        <v>11.66666666666667</v>
      </c>
      <c r="O174" s="56" t="n">
        <v>14.26666666666667</v>
      </c>
      <c r="P174" s="56" t="n">
        <v>12.86666666666667</v>
      </c>
      <c r="Q174" s="56" t="n">
        <v>11.33333333333333</v>
      </c>
      <c r="R174" s="56" t="n">
        <v/>
      </c>
      <c r="S174" s="56" t="n">
        <v/>
      </c>
      <c r="T174" s="56" t="n">
        <v/>
      </c>
      <c r="U174" s="56" t="n">
        <v/>
      </c>
      <c r="V174" s="56" t="n">
        <v/>
      </c>
      <c r="W174" s="56" t="n">
        <v/>
      </c>
      <c r="X174" s="56" t="n">
        <v/>
      </c>
      <c r="Y174" s="56" t="n">
        <v/>
      </c>
      <c r="Z174" s="56" t="n">
        <v/>
      </c>
      <c r="AA174" s="56" t="n">
        <v/>
      </c>
      <c r="AB174" s="56" t="n">
        <v/>
      </c>
      <c r="AC174" s="56" t="n">
        <v/>
      </c>
      <c r="AD174" s="56" t="n">
        <v/>
      </c>
      <c r="AE174" s="56" t="n">
        <v/>
      </c>
      <c r="AF174" s="56" t="n">
        <v/>
      </c>
      <c r="AG174" s="56" t="n">
        <v/>
      </c>
      <c r="AH174" s="56" t="n">
        <v/>
      </c>
      <c r="AI174" s="56" t="n">
        <v/>
      </c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26105150</v>
      </c>
      <c r="B175" s="59" t="inlineStr">
        <is>
          <t>San Marcos</t>
        </is>
      </c>
      <c r="C175" s="59" t="inlineStr">
        <is>
          <t>Area Operativa 09 - Cauca-Valle-Caldas</t>
        </is>
      </c>
      <c r="D175" s="73" t="n">
        <v>-76.03305555599999</v>
      </c>
      <c r="E175" s="73" t="n">
        <v>4.238916667</v>
      </c>
      <c r="F175" s="58" t="n">
        <v>1011</v>
      </c>
      <c r="G175" s="58" t="n">
        <v>76</v>
      </c>
      <c r="H175" s="58" t="n">
        <v>76113</v>
      </c>
      <c r="I175" s="60" t="inlineStr">
        <is>
          <t>Valle Del Cauca</t>
        </is>
      </c>
      <c r="J175" s="60" t="inlineStr">
        <is>
          <t>Bugalagrande</t>
        </is>
      </c>
      <c r="K175" s="56" t="n">
        <v>24.66666666666667</v>
      </c>
      <c r="L175" s="56" t="n">
        <v>24.93333333333333</v>
      </c>
      <c r="M175" s="56" t="n">
        <v>25.4</v>
      </c>
      <c r="N175" s="56" t="n">
        <v/>
      </c>
      <c r="O175" s="56" t="n">
        <v>26.2</v>
      </c>
      <c r="P175" s="56" t="n">
        <v>25.73333333333333</v>
      </c>
      <c r="Q175" s="56" t="n">
        <v>24.2</v>
      </c>
      <c r="R175" s="56" t="n">
        <v>25.06666666666666</v>
      </c>
      <c r="S175" s="56" t="n">
        <v>25.4</v>
      </c>
      <c r="T175" s="56" t="n">
        <v>25.6</v>
      </c>
      <c r="U175" s="56" t="n">
        <v>24.93333333333334</v>
      </c>
      <c r="V175" s="56" t="n">
        <v>24.93333333333333</v>
      </c>
      <c r="W175" s="56" t="n">
        <v>26.4</v>
      </c>
      <c r="X175" s="56" t="n">
        <v>24.6</v>
      </c>
      <c r="Y175" s="56" t="n">
        <v>25.86666666666666</v>
      </c>
      <c r="Z175" s="56" t="n">
        <v>25.46666666666667</v>
      </c>
      <c r="AA175" s="56" t="n">
        <v>25.2</v>
      </c>
      <c r="AB175" s="56" t="n">
        <v>24.6</v>
      </c>
      <c r="AC175" s="56" t="n">
        <v>25.13333333333334</v>
      </c>
      <c r="AD175" s="56" t="n">
        <v>24.73333333333333</v>
      </c>
      <c r="AE175" s="56" t="n">
        <v>25.86666666666666</v>
      </c>
      <c r="AF175" s="56" t="n">
        <v>24.26666666666667</v>
      </c>
      <c r="AG175" s="56" t="n">
        <v>25.13333333333334</v>
      </c>
      <c r="AH175" s="56" t="n">
        <v/>
      </c>
      <c r="AI175" s="56" t="n">
        <v/>
      </c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26105230</v>
      </c>
      <c r="B176" s="59" t="inlineStr">
        <is>
          <t>Mateguadua</t>
        </is>
      </c>
      <c r="C176" s="59" t="inlineStr">
        <is>
          <t>Area Operativa 09 - Cauca-Valle-Caldas</t>
        </is>
      </c>
      <c r="D176" s="73" t="n">
        <v>-76.16852778000001</v>
      </c>
      <c r="E176" s="73" t="n">
        <v>4.028333333</v>
      </c>
      <c r="F176" s="58" t="n">
        <v>1119</v>
      </c>
      <c r="G176" s="58" t="n">
        <v>76</v>
      </c>
      <c r="H176" s="58" t="n">
        <v>76834</v>
      </c>
      <c r="I176" s="60" t="inlineStr">
        <is>
          <t>Valle Del Cauca</t>
        </is>
      </c>
      <c r="J176" s="60" t="inlineStr">
        <is>
          <t>Tuluá</t>
        </is>
      </c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26125130</v>
      </c>
      <c r="B177" s="59" t="inlineStr">
        <is>
          <t>Cumbarco</t>
        </is>
      </c>
      <c r="C177" s="59" t="inlineStr">
        <is>
          <t>Area Operativa 09 - Cauca-Valle-Caldas</t>
        </is>
      </c>
      <c r="D177" s="73" t="n">
        <v>-75.83236110999999</v>
      </c>
      <c r="E177" s="73" t="n">
        <v>4.185055556</v>
      </c>
      <c r="F177" s="58" t="n">
        <v>1749</v>
      </c>
      <c r="G177" s="58" t="n">
        <v>76</v>
      </c>
      <c r="H177" s="58" t="n">
        <v>76736</v>
      </c>
      <c r="I177" s="60" t="inlineStr">
        <is>
          <t>Valle Del Cauca</t>
        </is>
      </c>
      <c r="J177" s="60" t="inlineStr">
        <is>
          <t>Sevilla</t>
        </is>
      </c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26135100</v>
      </c>
      <c r="B178" s="59" t="inlineStr">
        <is>
          <t>La Bohemia</t>
        </is>
      </c>
      <c r="C178" s="59" t="inlineStr">
        <is>
          <t>Area Operativa 09 - Cauca-Valle-Caldas</t>
        </is>
      </c>
      <c r="D178" s="73" t="n">
        <v>-75.87755556</v>
      </c>
      <c r="E178" s="73" t="n">
        <v>4.878027778</v>
      </c>
      <c r="F178" s="58" t="n">
        <v>995</v>
      </c>
      <c r="G178" s="58" t="n">
        <v>66</v>
      </c>
      <c r="H178" s="58" t="n">
        <v>66001</v>
      </c>
      <c r="I178" s="60" t="inlineStr">
        <is>
          <t>Risaralda</t>
        </is>
      </c>
      <c r="J178" s="60" t="inlineStr">
        <is>
          <t>Pereira</t>
        </is>
      </c>
      <c r="K178" s="56" t="n">
        <v>24.46666666666667</v>
      </c>
      <c r="L178" s="56" t="n">
        <v>25.4</v>
      </c>
      <c r="M178" s="56" t="n">
        <v>25.4</v>
      </c>
      <c r="N178" s="56" t="n">
        <v>25.86666666666666</v>
      </c>
      <c r="O178" s="56" t="n">
        <v>26.4</v>
      </c>
      <c r="P178" s="56" t="n">
        <v>24.86666666666666</v>
      </c>
      <c r="Q178" s="56" t="n">
        <v>25.4</v>
      </c>
      <c r="R178" s="56" t="n">
        <v>26.13333333333333</v>
      </c>
      <c r="S178" s="56" t="n">
        <v>24.8</v>
      </c>
      <c r="T178" s="56" t="n">
        <v>25.86666666666666</v>
      </c>
      <c r="U178" s="56" t="n">
        <v>24.53333333333333</v>
      </c>
      <c r="V178" s="56" t="n">
        <v>26.33333333333333</v>
      </c>
      <c r="W178" s="56" t="n">
        <v>23.4</v>
      </c>
      <c r="X178" s="56" t="n">
        <v>24.46666666666667</v>
      </c>
      <c r="Y178" s="56" t="n">
        <v>25.6</v>
      </c>
      <c r="Z178" s="56" t="n">
        <v>26.86666666666667</v>
      </c>
      <c r="AA178" s="56" t="n">
        <v>27.6</v>
      </c>
      <c r="AB178" s="56" t="n">
        <v>26.8</v>
      </c>
      <c r="AC178" s="56" t="n">
        <v>25.93333333333334</v>
      </c>
      <c r="AD178" s="56" t="n">
        <v>24.8</v>
      </c>
      <c r="AE178" s="56" t="n">
        <v>25.86666666666666</v>
      </c>
      <c r="AF178" s="56" t="n">
        <v>24.4</v>
      </c>
      <c r="AG178" s="56" t="n">
        <v>26.6</v>
      </c>
      <c r="AH178" s="56" t="n">
        <v>25.26666666666667</v>
      </c>
      <c r="AI178" s="56" t="n">
        <v>24.2</v>
      </c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26145020</v>
      </c>
      <c r="B179" s="59" t="inlineStr">
        <is>
          <t>Bellavista</t>
        </is>
      </c>
      <c r="C179" s="59" t="inlineStr">
        <is>
          <t>Area Operativa 09 - Cauca-Valle-Caldas</t>
        </is>
      </c>
      <c r="D179" s="73" t="n">
        <v>-75.800138889</v>
      </c>
      <c r="E179" s="73" t="n">
        <v>5.275944444</v>
      </c>
      <c r="F179" s="58" t="n">
        <v>1984</v>
      </c>
      <c r="G179" s="58" t="n">
        <v>17</v>
      </c>
      <c r="H179" s="58" t="n">
        <v>17042</v>
      </c>
      <c r="I179" s="60" t="inlineStr">
        <is>
          <t>Caldas</t>
        </is>
      </c>
      <c r="J179" s="60" t="inlineStr">
        <is>
          <t>Anserma</t>
        </is>
      </c>
      <c r="K179" s="56" t="n">
        <v>18.05</v>
      </c>
      <c r="L179" s="56" t="n">
        <v>18.8</v>
      </c>
      <c r="M179" s="56" t="n">
        <v>18.65</v>
      </c>
      <c r="N179" s="56" t="n">
        <v>20.1</v>
      </c>
      <c r="O179" s="56" t="n">
        <v>19.8</v>
      </c>
      <c r="P179" s="56" t="n">
        <v>17.85</v>
      </c>
      <c r="Q179" s="56" t="n">
        <v>18.35</v>
      </c>
      <c r="R179" s="56" t="n">
        <v>19.7</v>
      </c>
      <c r="S179" s="56" t="n">
        <v>18.65</v>
      </c>
      <c r="T179" s="56" t="n">
        <v>18.45</v>
      </c>
      <c r="U179" s="56" t="n">
        <v>18.55</v>
      </c>
      <c r="V179" s="56" t="n">
        <v>18.8</v>
      </c>
      <c r="W179" s="56" t="n">
        <v>18.65</v>
      </c>
      <c r="X179" s="56" t="n">
        <v>18.35</v>
      </c>
      <c r="Y179" s="56" t="n">
        <v>19.4</v>
      </c>
      <c r="Z179" s="56" t="n">
        <v>18.4</v>
      </c>
      <c r="AA179" s="56" t="n">
        <v>20.25</v>
      </c>
      <c r="AB179" s="56" t="n">
        <v>19.85</v>
      </c>
      <c r="AC179" s="56" t="n">
        <v>18.8</v>
      </c>
      <c r="AD179" s="56" t="n">
        <v>18.05</v>
      </c>
      <c r="AE179" s="56" t="n">
        <v>18.4</v>
      </c>
      <c r="AF179" s="56" t="n">
        <v>17.1</v>
      </c>
      <c r="AG179" s="56" t="n">
        <v>18.15</v>
      </c>
      <c r="AH179" s="56" t="n">
        <v>18.25</v>
      </c>
      <c r="AI179" s="56" t="n">
        <v/>
      </c>
      <c r="AJ179" s="56" t="n"/>
      <c r="AK179" s="56" t="n"/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26155170</v>
      </c>
      <c r="B180" s="59" t="inlineStr">
        <is>
          <t>Tesorito Finca  - Aut</t>
        </is>
      </c>
      <c r="C180" s="59" t="inlineStr">
        <is>
          <t>Area Operativa 09 - Cauca-Valle-Caldas</t>
        </is>
      </c>
      <c r="D180" s="73" t="n">
        <v>-75.43833333000001</v>
      </c>
      <c r="E180" s="73" t="n">
        <v>5.032222222</v>
      </c>
      <c r="F180" s="58" t="n">
        <v>2325</v>
      </c>
      <c r="G180" s="58" t="n">
        <v>17</v>
      </c>
      <c r="H180" s="58" t="n">
        <v>17001</v>
      </c>
      <c r="I180" s="60" t="inlineStr">
        <is>
          <t>Caldas</t>
        </is>
      </c>
      <c r="J180" s="60" t="inlineStr">
        <is>
          <t>Manizales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21135020</v>
      </c>
      <c r="B181" s="59" t="inlineStr">
        <is>
          <t>Jabalcon</t>
        </is>
      </c>
      <c r="C181" s="59" t="inlineStr">
        <is>
          <t>Area Operativa 10 - Tolima</t>
        </is>
      </c>
      <c r="D181" s="73" t="n">
        <v>-75.01575</v>
      </c>
      <c r="E181" s="73" t="n">
        <v>3.85575</v>
      </c>
      <c r="F181" s="58" t="n">
        <v>313</v>
      </c>
      <c r="G181" s="58" t="n">
        <v>73</v>
      </c>
      <c r="H181" s="58" t="n">
        <v>73671</v>
      </c>
      <c r="I181" s="60" t="inlineStr">
        <is>
          <t>Tolima</t>
        </is>
      </c>
      <c r="J181" s="60" t="inlineStr">
        <is>
          <t>Saldaña</t>
        </is>
      </c>
      <c r="K181" s="56" t="n">
        <v>30.66666666666667</v>
      </c>
      <c r="L181" s="56" t="n">
        <v>32.4</v>
      </c>
      <c r="M181" s="56" t="n">
        <v>30.93333333333333</v>
      </c>
      <c r="N181" s="56" t="n">
        <v>32.46666666666667</v>
      </c>
      <c r="O181" s="56" t="n">
        <v>34.26666666666667</v>
      </c>
      <c r="P181" s="56" t="n">
        <v>32.06666666666667</v>
      </c>
      <c r="Q181" s="56" t="n">
        <v>32.73333333333333</v>
      </c>
      <c r="R181" s="56" t="n">
        <v>32.86666666666667</v>
      </c>
      <c r="S181" s="56" t="n">
        <v>32.93333333333334</v>
      </c>
      <c r="T181" s="56" t="n">
        <v>34</v>
      </c>
      <c r="U181" s="56" t="n">
        <v>33.2</v>
      </c>
      <c r="V181" s="56" t="n">
        <v>33.66666666666666</v>
      </c>
      <c r="W181" s="56" t="n">
        <v>33.93333333333334</v>
      </c>
      <c r="X181" s="56" t="n">
        <v>32.53333333333333</v>
      </c>
      <c r="Y181" s="56" t="n">
        <v>34.53333333333334</v>
      </c>
      <c r="Z181" s="56" t="n">
        <v>33.2</v>
      </c>
      <c r="AA181" s="56" t="n">
        <v/>
      </c>
      <c r="AB181" s="56" t="n">
        <v/>
      </c>
      <c r="AC181" s="56" t="n">
        <v>33.46666666666667</v>
      </c>
      <c r="AD181" s="56" t="n">
        <v>33.4</v>
      </c>
      <c r="AE181" s="56" t="n">
        <v>33.66666666666666</v>
      </c>
      <c r="AF181" s="56" t="n">
        <v>32.46666666666667</v>
      </c>
      <c r="AG181" s="56" t="n">
        <v>32.13333333333333</v>
      </c>
      <c r="AH181" s="56" t="n">
        <v>30.73333333333333</v>
      </c>
      <c r="AI181" s="56" t="n">
        <v>29.26666666666667</v>
      </c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21165010</v>
      </c>
      <c r="B182" s="59" t="inlineStr">
        <is>
          <t>Pst De Monta</t>
        </is>
      </c>
      <c r="C182" s="59" t="inlineStr">
        <is>
          <t>Area Operativa 10 - Tolima</t>
        </is>
      </c>
      <c r="D182" s="73" t="n">
        <v>-74.91702778</v>
      </c>
      <c r="E182" s="73" t="n">
        <v>3.787611111</v>
      </c>
      <c r="F182" s="58" t="n">
        <v>311</v>
      </c>
      <c r="G182" s="58" t="n">
        <v>73</v>
      </c>
      <c r="H182" s="58" t="n">
        <v>73563</v>
      </c>
      <c r="I182" s="60" t="inlineStr">
        <is>
          <t>Tolima</t>
        </is>
      </c>
      <c r="J182" s="60" t="inlineStr">
        <is>
          <t>Prado</t>
        </is>
      </c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21185030</v>
      </c>
      <c r="B183" s="59" t="inlineStr">
        <is>
          <t>Guamo</t>
        </is>
      </c>
      <c r="C183" s="59" t="inlineStr">
        <is>
          <t>Area Operativa 10 - Tolima</t>
        </is>
      </c>
      <c r="D183" s="73" t="n">
        <v>-74.98138889000001</v>
      </c>
      <c r="E183" s="73" t="n">
        <v>4.008833333</v>
      </c>
      <c r="F183" s="58" t="n">
        <v>332</v>
      </c>
      <c r="G183" s="58" t="n">
        <v>73</v>
      </c>
      <c r="H183" s="58" t="n">
        <v>73319</v>
      </c>
      <c r="I183" s="60" t="inlineStr">
        <is>
          <t>Tolima</t>
        </is>
      </c>
      <c r="J183" s="60" t="inlineStr">
        <is>
          <t>Guamo</t>
        </is>
      </c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21185080</v>
      </c>
      <c r="B184" s="59" t="inlineStr">
        <is>
          <t>Valle De San Juan</t>
        </is>
      </c>
      <c r="C184" s="59" t="inlineStr">
        <is>
          <t>Area Operativa 10 - Tolima</t>
        </is>
      </c>
      <c r="D184" s="73" t="n">
        <v>-75.104611111</v>
      </c>
      <c r="E184" s="73" t="n">
        <v>4.216458333</v>
      </c>
      <c r="F184" s="58" t="n">
        <v>591</v>
      </c>
      <c r="G184" s="58" t="n">
        <v>73</v>
      </c>
      <c r="H184" s="58" t="n">
        <v>73854</v>
      </c>
      <c r="I184" s="60" t="inlineStr">
        <is>
          <t>Tolima</t>
        </is>
      </c>
      <c r="J184" s="60" t="inlineStr">
        <is>
          <t>Valle De San Juan</t>
        </is>
      </c>
      <c r="K184" s="56" t="n">
        <v>29.33333333333333</v>
      </c>
      <c r="L184" s="56" t="n">
        <v>27.66666666666667</v>
      </c>
      <c r="M184" s="56" t="n">
        <v>27.6</v>
      </c>
      <c r="N184" s="56" t="n">
        <v>30.8</v>
      </c>
      <c r="O184" s="56" t="n">
        <v>29.06666666666667</v>
      </c>
      <c r="P184" s="56" t="n">
        <v>28.53333333333333</v>
      </c>
      <c r="Q184" s="56" t="n">
        <v>28.2</v>
      </c>
      <c r="R184" s="56" t="n">
        <v>28.6</v>
      </c>
      <c r="S184" s="56" t="n">
        <v>28.33333333333333</v>
      </c>
      <c r="T184" s="56" t="n">
        <v>28.73333333333333</v>
      </c>
      <c r="U184" s="56" t="n">
        <v>28.53333333333333</v>
      </c>
      <c r="V184" s="56" t="n">
        <v>29</v>
      </c>
      <c r="W184" s="56" t="n">
        <v/>
      </c>
      <c r="X184" s="56" t="n">
        <v/>
      </c>
      <c r="Y184" s="56" t="n">
        <v/>
      </c>
      <c r="Z184" s="56" t="n">
        <v>30.86666666666666</v>
      </c>
      <c r="AA184" s="56" t="n">
        <v/>
      </c>
      <c r="AB184" s="56" t="n">
        <v/>
      </c>
      <c r="AC184" s="56" t="n">
        <v>31.93333333333333</v>
      </c>
      <c r="AD184" s="56" t="n">
        <v>31.73333333333333</v>
      </c>
      <c r="AE184" s="56" t="n">
        <v>31.73333333333333</v>
      </c>
      <c r="AF184" s="56" t="n">
        <v>30.46666666666667</v>
      </c>
      <c r="AG184" s="56" t="n">
        <v>28.93333333333333</v>
      </c>
      <c r="AH184" s="56" t="n">
        <v>29.93333333333333</v>
      </c>
      <c r="AI184" s="56" t="n">
        <v>28.46666666666667</v>
      </c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21215080</v>
      </c>
      <c r="B185" s="59" t="inlineStr">
        <is>
          <t>Chicoral</t>
        </is>
      </c>
      <c r="C185" s="59" t="inlineStr">
        <is>
          <t>Area Operativa 10 - Tolima</t>
        </is>
      </c>
      <c r="D185" s="73" t="n">
        <v>-74.99536111</v>
      </c>
      <c r="E185" s="73" t="n">
        <v>4.231527778</v>
      </c>
      <c r="F185" s="58" t="n">
        <v>432</v>
      </c>
      <c r="G185" s="58" t="n">
        <v>73</v>
      </c>
      <c r="H185" s="58" t="n">
        <v>73268</v>
      </c>
      <c r="I185" s="60" t="inlineStr">
        <is>
          <t>Tolima</t>
        </is>
      </c>
      <c r="J185" s="60" t="inlineStr">
        <is>
          <t>Espinal</t>
        </is>
      </c>
      <c r="K185" s="56" t="n">
        <v>30</v>
      </c>
      <c r="L185" s="56" t="n">
        <v>30.8</v>
      </c>
      <c r="M185" s="56" t="n">
        <v>30.2</v>
      </c>
      <c r="N185" s="56" t="n">
        <v>31.4</v>
      </c>
      <c r="O185" s="56" t="n">
        <v>32.93333333333334</v>
      </c>
      <c r="P185" s="56" t="n">
        <v/>
      </c>
      <c r="Q185" s="56" t="n">
        <v>31.2</v>
      </c>
      <c r="R185" s="56" t="n">
        <v>31.66666666666667</v>
      </c>
      <c r="S185" s="56" t="n">
        <v>30.33333333333333</v>
      </c>
      <c r="T185" s="56" t="n">
        <v>31.26666666666667</v>
      </c>
      <c r="U185" s="56" t="n">
        <v>30.4</v>
      </c>
      <c r="V185" s="56" t="n">
        <v>32.26666666666667</v>
      </c>
      <c r="W185" s="56" t="n">
        <v/>
      </c>
      <c r="X185" s="56" t="n">
        <v>33.13333333333333</v>
      </c>
      <c r="Y185" s="56" t="n">
        <v>30.8</v>
      </c>
      <c r="Z185" s="56" t="n">
        <v/>
      </c>
      <c r="AA185" s="56" t="n">
        <v>32.66666666666666</v>
      </c>
      <c r="AB185" s="56" t="n">
        <v>32.4</v>
      </c>
      <c r="AC185" s="56" t="n">
        <v>31.86666666666666</v>
      </c>
      <c r="AD185" s="56" t="n">
        <v>32</v>
      </c>
      <c r="AE185" s="56" t="n">
        <v>31.73333333333333</v>
      </c>
      <c r="AF185" s="56" t="n">
        <v>31.66666666666667</v>
      </c>
      <c r="AG185" s="56" t="n">
        <v>31.93333333333333</v>
      </c>
      <c r="AH185" s="56" t="n">
        <v>31</v>
      </c>
      <c r="AI185" s="56" t="n">
        <v>28.93333333333333</v>
      </c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21235010</v>
      </c>
      <c r="B186" s="59" t="inlineStr">
        <is>
          <t>Jerusalen</t>
        </is>
      </c>
      <c r="C186" s="59" t="inlineStr">
        <is>
          <t>Area Operativa 10 - Tolima</t>
        </is>
      </c>
      <c r="D186" s="73" t="n">
        <v>-74.70238888999999</v>
      </c>
      <c r="E186" s="73" t="n">
        <v>4.561805556</v>
      </c>
      <c r="F186" s="58" t="n">
        <v>297</v>
      </c>
      <c r="G186" s="58" t="n">
        <v>25</v>
      </c>
      <c r="H186" s="58" t="n">
        <v>25368</v>
      </c>
      <c r="I186" s="60" t="inlineStr">
        <is>
          <t>Cundinamarca</t>
        </is>
      </c>
      <c r="J186" s="60" t="inlineStr">
        <is>
          <t>Jerusalén</t>
        </is>
      </c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21245010</v>
      </c>
      <c r="B187" s="59" t="inlineStr">
        <is>
          <t>Perales Hato Opia</t>
        </is>
      </c>
      <c r="C187" s="59" t="inlineStr">
        <is>
          <t>Area Operativa 10 - Tolima</t>
        </is>
      </c>
      <c r="D187" s="73" t="n">
        <v>-75.20052222</v>
      </c>
      <c r="E187" s="73" t="n">
        <v>4.429666667</v>
      </c>
      <c r="F187" s="58" t="n">
        <v>826</v>
      </c>
      <c r="G187" s="58" t="n">
        <v>73</v>
      </c>
      <c r="H187" s="58" t="n">
        <v>73001</v>
      </c>
      <c r="I187" s="60" t="inlineStr">
        <is>
          <t>Tolima</t>
        </is>
      </c>
      <c r="J187" s="60" t="inlineStr">
        <is>
          <t>Ibagué</t>
        </is>
      </c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21245140</v>
      </c>
      <c r="B188" s="59" t="inlineStr">
        <is>
          <t>Santa Isabel</t>
        </is>
      </c>
      <c r="C188" s="59" t="inlineStr">
        <is>
          <t>Area Operativa 10 - Tolima</t>
        </is>
      </c>
      <c r="D188" s="73" t="n">
        <v>-75.09445556</v>
      </c>
      <c r="E188" s="73" t="n">
        <v>4.711861111</v>
      </c>
      <c r="F188" s="58" t="n">
        <v>2288</v>
      </c>
      <c r="G188" s="58" t="n">
        <v>73</v>
      </c>
      <c r="H188" s="58" t="n">
        <v>73686</v>
      </c>
      <c r="I188" s="60" t="inlineStr">
        <is>
          <t>Tolima</t>
        </is>
      </c>
      <c r="J188" s="60" t="inlineStr">
        <is>
          <t>Santa Isabel</t>
        </is>
      </c>
      <c r="K188" s="56" t="n">
        <v>16.8</v>
      </c>
      <c r="L188" s="56" t="n">
        <v>17.06666666666667</v>
      </c>
      <c r="M188" s="56" t="n">
        <v>17.46666666666667</v>
      </c>
      <c r="N188" s="56" t="n">
        <v>18</v>
      </c>
      <c r="O188" s="56" t="n">
        <v>19.06666666666667</v>
      </c>
      <c r="P188" s="56" t="n">
        <v>18.13333333333333</v>
      </c>
      <c r="Q188" s="56" t="n">
        <v>17</v>
      </c>
      <c r="R188" s="56" t="n">
        <v>18.8</v>
      </c>
      <c r="S188" s="56" t="n">
        <v>19.13333333333334</v>
      </c>
      <c r="T188" s="56" t="n">
        <v/>
      </c>
      <c r="U188" s="56" t="n">
        <v>17.53333333333333</v>
      </c>
      <c r="V188" s="56" t="n">
        <v>18.53333333333333</v>
      </c>
      <c r="W188" s="56" t="n">
        <v>17.73333333333333</v>
      </c>
      <c r="X188" s="56" t="n">
        <v>19.4</v>
      </c>
      <c r="Y188" s="56" t="n">
        <v>18.46666666666667</v>
      </c>
      <c r="Z188" s="56" t="n">
        <v>16.93333333333333</v>
      </c>
      <c r="AA188" s="56" t="n">
        <v>19.2</v>
      </c>
      <c r="AB188" s="56" t="n">
        <v>19.73333333333333</v>
      </c>
      <c r="AC188" s="56" t="n">
        <v>18.2</v>
      </c>
      <c r="AD188" s="56" t="n">
        <v>19</v>
      </c>
      <c r="AE188" s="56" t="n">
        <v>17</v>
      </c>
      <c r="AF188" s="56" t="n">
        <v>17.46666666666667</v>
      </c>
      <c r="AG188" s="56" t="n">
        <v>16.93333333333333</v>
      </c>
      <c r="AH188" s="56" t="n">
        <v>16.6</v>
      </c>
      <c r="AI188" s="56" t="n">
        <v>16</v>
      </c>
      <c r="AJ188" s="56" t="n"/>
      <c r="AK188" s="56" t="n"/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21255080</v>
      </c>
      <c r="B189" s="59" t="inlineStr">
        <is>
          <t xml:space="preserve">El Salto </t>
        </is>
      </c>
      <c r="C189" s="59" t="inlineStr">
        <is>
          <t>Area Operativa 10 - Tolima</t>
        </is>
      </c>
      <c r="D189" s="73" t="n">
        <v>-74.76794443999999</v>
      </c>
      <c r="E189" s="73" t="n">
        <v>4.783778</v>
      </c>
      <c r="F189" s="58" t="n">
        <v>308</v>
      </c>
      <c r="G189" s="58" t="n">
        <v>73</v>
      </c>
      <c r="H189" s="58" t="n">
        <v>73030</v>
      </c>
      <c r="I189" s="60" t="inlineStr">
        <is>
          <t>Tolima</t>
        </is>
      </c>
      <c r="J189" s="60" t="inlineStr">
        <is>
          <t>Ambalema</t>
        </is>
      </c>
      <c r="K189" s="56" t="n">
        <v>31</v>
      </c>
      <c r="L189" s="56" t="n">
        <v>30.6</v>
      </c>
      <c r="M189" s="56" t="n">
        <v/>
      </c>
      <c r="N189" s="56" t="n">
        <v>33.26666666666667</v>
      </c>
      <c r="O189" s="56" t="n">
        <v/>
      </c>
      <c r="P189" s="56" t="n">
        <v>33.46666666666667</v>
      </c>
      <c r="Q189" s="56" t="n">
        <v/>
      </c>
      <c r="R189" s="56" t="n">
        <v>34</v>
      </c>
      <c r="S189" s="56" t="n">
        <v>33.2</v>
      </c>
      <c r="T189" s="56" t="n">
        <v/>
      </c>
      <c r="U189" s="56" t="n">
        <v>32.6</v>
      </c>
      <c r="V189" s="56" t="n">
        <v>33.46666666666667</v>
      </c>
      <c r="W189" s="56" t="n">
        <v/>
      </c>
      <c r="X189" s="56" t="n">
        <v>34.93333333333333</v>
      </c>
      <c r="Y189" s="56" t="n">
        <v>33.86666666666667</v>
      </c>
      <c r="Z189" s="56" t="n">
        <v>32.86666666666667</v>
      </c>
      <c r="AA189" s="56" t="n">
        <v/>
      </c>
      <c r="AB189" s="56" t="n">
        <v/>
      </c>
      <c r="AC189" s="56" t="n">
        <v>35.06666666666666</v>
      </c>
      <c r="AD189" s="56" t="n">
        <v>33.8</v>
      </c>
      <c r="AE189" s="56" t="n">
        <v>33.26666666666667</v>
      </c>
      <c r="AF189" s="56" t="n">
        <v/>
      </c>
      <c r="AG189" s="56" t="n">
        <v>32.13333333333333</v>
      </c>
      <c r="AH189" s="56" t="n">
        <v>31.4</v>
      </c>
      <c r="AI189" s="56" t="n">
        <v/>
      </c>
      <c r="AJ189" s="56" t="n"/>
      <c r="AK189" s="56" t="n"/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21255090</v>
      </c>
      <c r="B190" s="59" t="inlineStr">
        <is>
          <t>Armero Granja</t>
        </is>
      </c>
      <c r="C190" s="59" t="inlineStr">
        <is>
          <t>Area Operativa 10 - Tolima</t>
        </is>
      </c>
      <c r="D190" s="73" t="n">
        <v>-74.89999166699999</v>
      </c>
      <c r="E190" s="73" t="n">
        <v>5</v>
      </c>
      <c r="F190" s="58" t="n">
        <v>321</v>
      </c>
      <c r="G190" s="58" t="n">
        <v>73</v>
      </c>
      <c r="H190" s="58" t="n">
        <v>73055</v>
      </c>
      <c r="I190" s="60" t="inlineStr">
        <is>
          <t>Tolima</t>
        </is>
      </c>
      <c r="J190" s="60" t="inlineStr">
        <is>
          <t>Armero</t>
        </is>
      </c>
      <c r="K190" s="56" t="n">
        <v>30.8</v>
      </c>
      <c r="L190" s="56" t="n">
        <v>29.6</v>
      </c>
      <c r="M190" s="56" t="n">
        <v>31.2</v>
      </c>
      <c r="N190" s="56" t="n">
        <v>31.46666666666667</v>
      </c>
      <c r="O190" s="56" t="n">
        <v>32.26666666666667</v>
      </c>
      <c r="P190" s="56" t="n">
        <v>31.66666666666667</v>
      </c>
      <c r="Q190" s="56" t="n">
        <v>29.33333333333333</v>
      </c>
      <c r="R190" s="56" t="n">
        <v>32</v>
      </c>
      <c r="S190" s="56" t="n">
        <v>30.4</v>
      </c>
      <c r="T190" s="56" t="n">
        <v>32.13333333333333</v>
      </c>
      <c r="U190" s="56" t="n">
        <v>31.13333333333334</v>
      </c>
      <c r="V190" s="56" t="n">
        <v>32.6</v>
      </c>
      <c r="W190" s="56" t="n">
        <v/>
      </c>
      <c r="X190" s="56" t="n">
        <v/>
      </c>
      <c r="Y190" s="56" t="n">
        <v>33.26666666666667</v>
      </c>
      <c r="Z190" s="56" t="n">
        <v>30.33333333333333</v>
      </c>
      <c r="AA190" s="56" t="n">
        <v>31.6</v>
      </c>
      <c r="AB190" s="56" t="n">
        <v>32.53333333333333</v>
      </c>
      <c r="AC190" s="56" t="n">
        <v>33.2</v>
      </c>
      <c r="AD190" s="56" t="n">
        <v>33</v>
      </c>
      <c r="AE190" s="56" t="n">
        <v>33</v>
      </c>
      <c r="AF190" s="56" t="n">
        <v>33.8</v>
      </c>
      <c r="AG190" s="56" t="n">
        <v>31.4</v>
      </c>
      <c r="AH190" s="56" t="n">
        <v>30.13333333333334</v>
      </c>
      <c r="AI190" s="56" t="n">
        <v>24.8</v>
      </c>
      <c r="AJ190" s="56" t="n"/>
      <c r="AK190" s="56" t="n"/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21255120</v>
      </c>
      <c r="B191" s="59" t="inlineStr">
        <is>
          <t>Villahermosa</t>
        </is>
      </c>
      <c r="C191" s="59" t="inlineStr">
        <is>
          <t>Area Operativa 10 - Tolima</t>
        </is>
      </c>
      <c r="D191" s="73" t="n">
        <v>-75.117336111</v>
      </c>
      <c r="E191" s="73" t="n">
        <v>5.026761944</v>
      </c>
      <c r="F191" s="58" t="n">
        <v>2069</v>
      </c>
      <c r="G191" s="58" t="n">
        <v>73</v>
      </c>
      <c r="H191" s="58" t="n">
        <v>73870</v>
      </c>
      <c r="I191" s="60" t="inlineStr">
        <is>
          <t>Tolima</t>
        </is>
      </c>
      <c r="J191" s="60" t="inlineStr">
        <is>
          <t>Villahermosa</t>
        </is>
      </c>
      <c r="K191" s="56" t="n">
        <v>18.5</v>
      </c>
      <c r="L191" s="56" t="n">
        <v>18.95</v>
      </c>
      <c r="M191" s="56" t="n">
        <v>18.9</v>
      </c>
      <c r="N191" s="56" t="n">
        <v>19.25</v>
      </c>
      <c r="O191" s="56" t="n">
        <v>19.45</v>
      </c>
      <c r="P191" s="56" t="n">
        <v>19.8</v>
      </c>
      <c r="Q191" s="56" t="n">
        <v>18</v>
      </c>
      <c r="R191" s="56" t="n">
        <v>20.15</v>
      </c>
      <c r="S191" s="56" t="n">
        <v>19.65</v>
      </c>
      <c r="T191" s="56" t="n">
        <v>20.7</v>
      </c>
      <c r="U191" s="56" t="n">
        <v>19.45</v>
      </c>
      <c r="V191" s="56" t="n">
        <v>20.15</v>
      </c>
      <c r="W191" s="56" t="n">
        <v>19.3</v>
      </c>
      <c r="X191" s="56" t="n">
        <v>20</v>
      </c>
      <c r="Y191" s="56" t="n">
        <v>20.2</v>
      </c>
      <c r="Z191" s="56" t="n">
        <v>18</v>
      </c>
      <c r="AA191" s="56" t="n">
        <v>20.25</v>
      </c>
      <c r="AB191" s="56" t="n">
        <v>21</v>
      </c>
      <c r="AC191" s="56" t="n">
        <v>19.4</v>
      </c>
      <c r="AD191" s="56" t="n">
        <v>19.55</v>
      </c>
      <c r="AE191" s="56" t="n">
        <v>18.6</v>
      </c>
      <c r="AF191" s="56" t="n">
        <v>18.95</v>
      </c>
      <c r="AG191" s="56" t="n">
        <v>18.85</v>
      </c>
      <c r="AH191" s="56" t="n">
        <v>19.25</v>
      </c>
      <c r="AI191" s="56" t="n">
        <v>17.5</v>
      </c>
      <c r="AJ191" s="56" t="n"/>
      <c r="AK191" s="56" t="n"/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22045010</v>
      </c>
      <c r="B192" s="59" t="inlineStr">
        <is>
          <t>Demostracion Granja  - Aut</t>
        </is>
      </c>
      <c r="C192" s="59" t="inlineStr">
        <is>
          <t>Area Operativa 10 - Tolima</t>
        </is>
      </c>
      <c r="D192" s="73" t="n">
        <v>-75.50344444</v>
      </c>
      <c r="E192" s="73" t="n">
        <v>3.722444444</v>
      </c>
      <c r="F192" s="58" t="n">
        <v>895</v>
      </c>
      <c r="G192" s="58" t="n">
        <v>73</v>
      </c>
      <c r="H192" s="58" t="n">
        <v>73168</v>
      </c>
      <c r="I192" s="60" t="inlineStr">
        <is>
          <t>Tolima</t>
        </is>
      </c>
      <c r="J192" s="60" t="inlineStr">
        <is>
          <t>Chaparral</t>
        </is>
      </c>
      <c r="K192" s="56" t="n">
        <v>26.66666666666667</v>
      </c>
      <c r="L192" s="56" t="n">
        <v>25.86666666666666</v>
      </c>
      <c r="M192" s="56" t="n">
        <v>25.4</v>
      </c>
      <c r="N192" s="56" t="n">
        <v>25.53333333333333</v>
      </c>
      <c r="O192" s="56" t="n">
        <v>25.93333333333334</v>
      </c>
      <c r="P192" s="56" t="n">
        <v>26.86666666666666</v>
      </c>
      <c r="Q192" s="56" t="n">
        <v>26.53333333333333</v>
      </c>
      <c r="R192" s="56" t="n">
        <v>26</v>
      </c>
      <c r="S192" s="56" t="n">
        <v>26.8</v>
      </c>
      <c r="T192" s="56" t="n">
        <v>27.46666666666667</v>
      </c>
      <c r="U192" s="56" t="n">
        <v>26.53333333333333</v>
      </c>
      <c r="V192" s="56" t="n">
        <v>27.6</v>
      </c>
      <c r="W192" s="56" t="n">
        <v>26.46666666666667</v>
      </c>
      <c r="X192" s="56" t="n">
        <v>27.53333333333333</v>
      </c>
      <c r="Y192" s="56" t="n">
        <v>26.8</v>
      </c>
      <c r="Z192" s="56" t="n">
        <v>26.4</v>
      </c>
      <c r="AA192" s="56" t="n">
        <v>27.86666666666666</v>
      </c>
      <c r="AB192" s="56" t="n">
        <v>29.46666666666667</v>
      </c>
      <c r="AC192" s="56" t="n">
        <v>27.2</v>
      </c>
      <c r="AD192" s="56" t="n">
        <v>26.4</v>
      </c>
      <c r="AE192" s="56" t="n">
        <v>27.46666666666667</v>
      </c>
      <c r="AF192" s="56" t="n">
        <v>28.33333333333333</v>
      </c>
      <c r="AG192" s="56" t="n">
        <v>26.8</v>
      </c>
      <c r="AH192" s="56" t="n">
        <v>26.6</v>
      </c>
      <c r="AI192" s="56" t="n">
        <v>25.8</v>
      </c>
      <c r="AJ192" s="56" t="n"/>
      <c r="AK192" s="56" t="n"/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22055020</v>
      </c>
      <c r="B193" s="59" t="inlineStr">
        <is>
          <t>Mesa De Pole</t>
        </is>
      </c>
      <c r="C193" s="59" t="inlineStr">
        <is>
          <t>Area Operativa 10 - Tolima</t>
        </is>
      </c>
      <c r="D193" s="73" t="n">
        <v>-75.53636111</v>
      </c>
      <c r="E193" s="73" t="n">
        <v>3.455777778</v>
      </c>
      <c r="F193" s="58" t="n">
        <v>699</v>
      </c>
      <c r="G193" s="58" t="n">
        <v>73</v>
      </c>
      <c r="H193" s="58" t="n">
        <v>73067</v>
      </c>
      <c r="I193" s="60" t="inlineStr">
        <is>
          <t>Tolima</t>
        </is>
      </c>
      <c r="J193" s="60" t="inlineStr">
        <is>
          <t>Ataco</t>
        </is>
      </c>
      <c r="K193" s="56" t="n">
        <v>28.95</v>
      </c>
      <c r="L193" s="56" t="n">
        <v>30.3</v>
      </c>
      <c r="M193" s="56" t="n">
        <v>30.4</v>
      </c>
      <c r="N193" s="56" t="n">
        <v>30.2</v>
      </c>
      <c r="O193" s="56" t="n">
        <v>30.7</v>
      </c>
      <c r="P193" s="56" t="n">
        <v>30.65</v>
      </c>
      <c r="Q193" s="56" t="n">
        <v>30.1</v>
      </c>
      <c r="R193" s="56" t="n">
        <v>30.6</v>
      </c>
      <c r="S193" s="56" t="n">
        <v>30</v>
      </c>
      <c r="T193" s="56" t="n">
        <v>30.75</v>
      </c>
      <c r="U193" s="56" t="n">
        <v>29.9</v>
      </c>
      <c r="V193" s="56" t="n">
        <v>30.05</v>
      </c>
      <c r="W193" s="56" t="n">
        <v>28.95</v>
      </c>
      <c r="X193" s="56" t="n">
        <v>31.5</v>
      </c>
      <c r="Y193" s="56" t="n">
        <v>30.8</v>
      </c>
      <c r="Z193" s="56" t="n">
        <v>29.65</v>
      </c>
      <c r="AA193" s="56" t="n">
        <v>30</v>
      </c>
      <c r="AB193" s="56" t="n">
        <v>30.95</v>
      </c>
      <c r="AC193" s="56" t="n">
        <v>30.45</v>
      </c>
      <c r="AD193" s="56" t="n">
        <v>29.45</v>
      </c>
      <c r="AE193" s="56" t="n">
        <v>31.4</v>
      </c>
      <c r="AF193" s="56" t="n">
        <v>32.05</v>
      </c>
      <c r="AG193" s="56" t="n">
        <v/>
      </c>
      <c r="AH193" s="56" t="n">
        <v/>
      </c>
      <c r="AI193" s="56" t="n">
        <v>29.95</v>
      </c>
      <c r="AJ193" s="56" t="n"/>
      <c r="AK193" s="56" t="n"/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22065040</v>
      </c>
      <c r="B194" s="59" t="inlineStr">
        <is>
          <t>San Antonio Quinta</t>
        </is>
      </c>
      <c r="C194" s="59" t="inlineStr">
        <is>
          <t>Area Operativa 10 - Tolima</t>
        </is>
      </c>
      <c r="D194" s="73" t="n">
        <v>-75.46775</v>
      </c>
      <c r="E194" s="73" t="n">
        <v>3.9212</v>
      </c>
      <c r="F194" s="58" t="n">
        <v>1566</v>
      </c>
      <c r="G194" s="58" t="n">
        <v>73</v>
      </c>
      <c r="H194" s="58" t="n">
        <v>73675</v>
      </c>
      <c r="I194" s="60" t="inlineStr">
        <is>
          <t>Tolima</t>
        </is>
      </c>
      <c r="J194" s="60" t="inlineStr">
        <is>
          <t>San Antonio</t>
        </is>
      </c>
      <c r="K194" s="56" t="n">
        <v>22.13333333333334</v>
      </c>
      <c r="L194" s="56" t="n">
        <v>22.2</v>
      </c>
      <c r="M194" s="56" t="n">
        <v>21.8</v>
      </c>
      <c r="N194" s="56" t="n">
        <v>22.73333333333333</v>
      </c>
      <c r="O194" s="56" t="n">
        <v>23.06666666666667</v>
      </c>
      <c r="P194" s="56" t="n">
        <v>23</v>
      </c>
      <c r="Q194" s="56" t="n">
        <v>21.86666666666667</v>
      </c>
      <c r="R194" s="56" t="n">
        <v>22.93333333333334</v>
      </c>
      <c r="S194" s="56" t="n">
        <v>24.13333333333334</v>
      </c>
      <c r="T194" s="56" t="n">
        <v>23.2</v>
      </c>
      <c r="U194" s="56" t="n">
        <v>21.93333333333333</v>
      </c>
      <c r="V194" s="56" t="n">
        <v>23.26666666666667</v>
      </c>
      <c r="W194" s="56" t="n">
        <v/>
      </c>
      <c r="X194" s="56" t="n">
        <v>23.93333333333333</v>
      </c>
      <c r="Y194" s="56" t="n">
        <v>22</v>
      </c>
      <c r="Z194" s="56" t="n">
        <v>22.4</v>
      </c>
      <c r="AA194" s="56" t="n">
        <v>22.66666666666667</v>
      </c>
      <c r="AB194" s="56" t="n">
        <v>24.13333333333334</v>
      </c>
      <c r="AC194" s="56" t="n">
        <v>22.06666666666667</v>
      </c>
      <c r="AD194" s="56" t="n">
        <v>23</v>
      </c>
      <c r="AE194" s="56" t="n">
        <v>22.86666666666666</v>
      </c>
      <c r="AF194" s="56" t="n">
        <v>22.33333333333333</v>
      </c>
      <c r="AG194" s="56" t="n">
        <v>22.46666666666667</v>
      </c>
      <c r="AH194" s="56" t="n">
        <v>23</v>
      </c>
      <c r="AI194" s="56" t="n">
        <v>20.06666666666667</v>
      </c>
      <c r="AJ194" s="56" t="n"/>
      <c r="AK194" s="56" t="n"/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23025040</v>
      </c>
      <c r="B195" s="59" t="inlineStr">
        <is>
          <t>Albania</t>
        </is>
      </c>
      <c r="C195" s="59" t="inlineStr">
        <is>
          <t>Area Operativa 10 - Tolima</t>
        </is>
      </c>
      <c r="D195" s="73" t="n">
        <v>-74.914580556</v>
      </c>
      <c r="E195" s="73" t="n">
        <v>5.301108889</v>
      </c>
      <c r="F195" s="58" t="n">
        <v>788</v>
      </c>
      <c r="G195" s="58" t="n">
        <v>73</v>
      </c>
      <c r="H195" s="58" t="n">
        <v>73443</v>
      </c>
      <c r="I195" s="60" t="inlineStr">
        <is>
          <t>Tolima</t>
        </is>
      </c>
      <c r="J195" s="60" t="inlineStr">
        <is>
          <t>San Sebastián De Mariquita</t>
        </is>
      </c>
      <c r="K195" s="56" t="n">
        <v>27.4</v>
      </c>
      <c r="L195" s="56" t="n">
        <v>27</v>
      </c>
      <c r="M195" s="56" t="n">
        <v>27.73333333333333</v>
      </c>
      <c r="N195" s="56" t="n">
        <v/>
      </c>
      <c r="O195" s="56" t="n">
        <v/>
      </c>
      <c r="P195" s="56" t="n">
        <v>29.86666666666666</v>
      </c>
      <c r="Q195" s="56" t="n">
        <v>27.86666666666666</v>
      </c>
      <c r="R195" s="56" t="n">
        <v>29.73333333333333</v>
      </c>
      <c r="S195" s="56" t="n">
        <v>30.33333333333333</v>
      </c>
      <c r="T195" s="56" t="n">
        <v>30.6</v>
      </c>
      <c r="U195" s="56" t="n">
        <v>27.53333333333333</v>
      </c>
      <c r="V195" s="56" t="n">
        <v>28.46666666666667</v>
      </c>
      <c r="W195" s="56" t="n">
        <v/>
      </c>
      <c r="X195" s="56" t="n">
        <v/>
      </c>
      <c r="Y195" s="56" t="n">
        <v/>
      </c>
      <c r="Z195" s="56" t="n">
        <v/>
      </c>
      <c r="AA195" s="56" t="n">
        <v/>
      </c>
      <c r="AB195" s="56" t="n">
        <v>30.6</v>
      </c>
      <c r="AC195" s="56" t="n">
        <v>27.73333333333333</v>
      </c>
      <c r="AD195" s="56" t="n">
        <v>29.53333333333333</v>
      </c>
      <c r="AE195" s="56" t="n">
        <v>25.8</v>
      </c>
      <c r="AF195" s="56" t="n">
        <v>29.46666666666667</v>
      </c>
      <c r="AG195" s="56" t="n">
        <v>25.86666666666666</v>
      </c>
      <c r="AH195" s="56" t="n">
        <v>28.66666666666667</v>
      </c>
      <c r="AI195" s="56" t="n">
        <v>26</v>
      </c>
      <c r="AJ195" s="56" t="n"/>
      <c r="AK195" s="56" t="n"/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23055040</v>
      </c>
      <c r="B196" s="59" t="inlineStr">
        <is>
          <t>Samana</t>
        </is>
      </c>
      <c r="C196" s="59" t="inlineStr">
        <is>
          <t>Area Operativa 10 - Tolima</t>
        </is>
      </c>
      <c r="D196" s="73" t="n">
        <v>-74.99292777799999</v>
      </c>
      <c r="E196" s="73" t="n">
        <v>5.418288056</v>
      </c>
      <c r="F196" s="58" t="n">
        <v>1532</v>
      </c>
      <c r="G196" s="58" t="n">
        <v>17</v>
      </c>
      <c r="H196" s="58" t="n">
        <v>17662</v>
      </c>
      <c r="I196" s="60" t="inlineStr">
        <is>
          <t>Caldas</t>
        </is>
      </c>
      <c r="J196" s="60" t="inlineStr">
        <is>
          <t>Samaná</t>
        </is>
      </c>
      <c r="K196" s="56" t="n">
        <v>20.73333333333333</v>
      </c>
      <c r="L196" s="56" t="n">
        <v>20.86666666666667</v>
      </c>
      <c r="M196" s="56" t="n">
        <v>23.06666666666666</v>
      </c>
      <c r="N196" s="56" t="n">
        <v>23.2</v>
      </c>
      <c r="O196" s="56" t="n">
        <v>23.86666666666666</v>
      </c>
      <c r="P196" s="56" t="n">
        <v>24.13333333333334</v>
      </c>
      <c r="Q196" s="56" t="n">
        <v>22.2</v>
      </c>
      <c r="R196" s="56" t="n">
        <v>24.13333333333334</v>
      </c>
      <c r="S196" s="56" t="n">
        <v>24.86666666666666</v>
      </c>
      <c r="T196" s="56" t="n">
        <v>23.66666666666667</v>
      </c>
      <c r="U196" s="56" t="n">
        <v>23.2</v>
      </c>
      <c r="V196" s="56" t="n">
        <v>23.6</v>
      </c>
      <c r="W196" s="56" t="n">
        <v>23.33333333333333</v>
      </c>
      <c r="X196" s="56" t="n">
        <v>24</v>
      </c>
      <c r="Y196" s="56" t="n">
        <v>22.8</v>
      </c>
      <c r="Z196" s="56" t="n">
        <v>21.53333333333333</v>
      </c>
      <c r="AA196" s="56" t="n">
        <v>24.53333333333333</v>
      </c>
      <c r="AB196" s="56" t="n">
        <v>25.06666666666667</v>
      </c>
      <c r="AC196" s="56" t="n">
        <v>21.53333333333333</v>
      </c>
      <c r="AD196" s="56" t="n">
        <v>22.8</v>
      </c>
      <c r="AE196" s="56" t="n">
        <v>20.13333333333333</v>
      </c>
      <c r="AF196" s="56" t="n">
        <v>22.2</v>
      </c>
      <c r="AG196" s="56" t="n">
        <v>20.6</v>
      </c>
      <c r="AH196" s="56" t="n">
        <v>22.26666666666667</v>
      </c>
      <c r="AI196" s="56" t="n">
        <v>19.46666666666667</v>
      </c>
      <c r="AJ196" s="56" t="n"/>
      <c r="AK196" s="56" t="n"/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21195060</v>
      </c>
      <c r="B197" s="59" t="inlineStr">
        <is>
          <t>Pandi</t>
        </is>
      </c>
      <c r="C197" s="59" t="inlineStr">
        <is>
          <t>Area Operativa 11 - Cundinamarca-Amazonas</t>
        </is>
      </c>
      <c r="D197" s="73" t="n">
        <v>-74.48741667</v>
      </c>
      <c r="E197" s="73" t="n">
        <v>4.192722222</v>
      </c>
      <c r="F197" s="58" t="n">
        <v>950</v>
      </c>
      <c r="G197" s="58" t="n">
        <v>25</v>
      </c>
      <c r="H197" s="58" t="n">
        <v>25524</v>
      </c>
      <c r="I197" s="60" t="inlineStr">
        <is>
          <t>Cundinamarca</t>
        </is>
      </c>
      <c r="J197" s="60" t="inlineStr">
        <is>
          <t>Pandi</t>
        </is>
      </c>
      <c r="K197" s="56" t="n">
        <v>26.6</v>
      </c>
      <c r="L197" s="56" t="n">
        <v>26.73333333333333</v>
      </c>
      <c r="M197" s="56" t="n">
        <v>26.53333333333333</v>
      </c>
      <c r="N197" s="56" t="n">
        <v>27.33333333333333</v>
      </c>
      <c r="O197" s="56" t="n">
        <v>28.53333333333333</v>
      </c>
      <c r="P197" s="56" t="n">
        <v>27.93333333333333</v>
      </c>
      <c r="Q197" s="56" t="n">
        <v>26.4</v>
      </c>
      <c r="R197" s="56" t="n">
        <v>28.46666666666667</v>
      </c>
      <c r="S197" s="56" t="n">
        <v>28.33333333333333</v>
      </c>
      <c r="T197" s="56" t="n">
        <v>29.2</v>
      </c>
      <c r="U197" s="56" t="n">
        <v>27.73333333333333</v>
      </c>
      <c r="V197" s="56" t="n">
        <v>28.46666666666667</v>
      </c>
      <c r="W197" s="56" t="n">
        <v>28.46666666666667</v>
      </c>
      <c r="X197" s="56" t="n">
        <v>28.73333333333333</v>
      </c>
      <c r="Y197" s="56" t="n">
        <v>28.33333333333333</v>
      </c>
      <c r="Z197" s="56" t="n">
        <v>27.8</v>
      </c>
      <c r="AA197" s="56" t="n">
        <v>27.6</v>
      </c>
      <c r="AB197" s="56" t="n">
        <v>29.4</v>
      </c>
      <c r="AC197" s="56" t="n">
        <v>29.06666666666666</v>
      </c>
      <c r="AD197" s="56" t="n">
        <v>28</v>
      </c>
      <c r="AE197" s="56" t="n">
        <v>28.73333333333333</v>
      </c>
      <c r="AF197" s="56" t="n">
        <v>27.6</v>
      </c>
      <c r="AG197" s="56" t="n">
        <v>28.4</v>
      </c>
      <c r="AH197" s="56" t="n">
        <v>26.13333333333334</v>
      </c>
      <c r="AI197" s="56" t="n">
        <v>24.8</v>
      </c>
      <c r="AJ197" s="56" t="n"/>
      <c r="AK197" s="56" t="n"/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21195120</v>
      </c>
      <c r="B198" s="59" t="inlineStr">
        <is>
          <t>Ita Valsalice</t>
        </is>
      </c>
      <c r="C198" s="59" t="inlineStr">
        <is>
          <t>Area Operativa 11 - Cundinamarca-Amazonas</t>
        </is>
      </c>
      <c r="D198" s="73" t="n">
        <v>-74.39272</v>
      </c>
      <c r="E198" s="73" t="n">
        <v>4.39292</v>
      </c>
      <c r="F198" s="58" t="n">
        <v>1421</v>
      </c>
      <c r="G198" s="58" t="n">
        <v>25</v>
      </c>
      <c r="H198" s="58" t="n">
        <v>25743</v>
      </c>
      <c r="I198" s="60" t="inlineStr">
        <is>
          <t>Cundinamarca</t>
        </is>
      </c>
      <c r="J198" s="60" t="inlineStr">
        <is>
          <t>Silvania</t>
        </is>
      </c>
      <c r="K198" s="56" t="n">
        <v>21.65</v>
      </c>
      <c r="L198" s="56" t="n">
        <v>22.05</v>
      </c>
      <c r="M198" s="56" t="n">
        <v>21.9</v>
      </c>
      <c r="N198" s="56" t="n">
        <v>22.85</v>
      </c>
      <c r="O198" s="56" t="n">
        <v>22.95</v>
      </c>
      <c r="P198" s="56" t="n">
        <v>22.4</v>
      </c>
      <c r="Q198" s="56" t="n">
        <v>21.65</v>
      </c>
      <c r="R198" s="56" t="n">
        <v>22.95</v>
      </c>
      <c r="S198" s="56" t="n">
        <v>23.4</v>
      </c>
      <c r="T198" s="56" t="n">
        <v>23.55</v>
      </c>
      <c r="U198" s="56" t="n">
        <v>22.3</v>
      </c>
      <c r="V198" s="56" t="n">
        <v>22.25</v>
      </c>
      <c r="W198" s="56" t="n">
        <v>21.95</v>
      </c>
      <c r="X198" s="56" t="n">
        <v>23.4</v>
      </c>
      <c r="Y198" s="56" t="n">
        <v>22.7</v>
      </c>
      <c r="Z198" s="56" t="n">
        <v>22.35</v>
      </c>
      <c r="AA198" s="56" t="n">
        <v>22.95</v>
      </c>
      <c r="AB198" s="56" t="n">
        <v>23.9</v>
      </c>
      <c r="AC198" s="56" t="n">
        <v>24.1</v>
      </c>
      <c r="AD198" s="56" t="n">
        <v>23.5</v>
      </c>
      <c r="AE198" s="56" t="n">
        <v>23.9</v>
      </c>
      <c r="AF198" s="56" t="n">
        <v>23.7</v>
      </c>
      <c r="AG198" s="56" t="n">
        <v>23.5</v>
      </c>
      <c r="AH198" s="56" t="n">
        <v>21.7</v>
      </c>
      <c r="AI198" s="56" t="n">
        <v>21.1</v>
      </c>
      <c r="AJ198" s="56" t="n"/>
      <c r="AK198" s="56" t="n"/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21195190</v>
      </c>
      <c r="B199" s="59" t="inlineStr">
        <is>
          <t>Pasca</t>
        </is>
      </c>
      <c r="C199" s="59" t="inlineStr">
        <is>
          <t>Area Operativa 11 - Cundinamarca-Amazonas</t>
        </is>
      </c>
      <c r="D199" s="73" t="n">
        <v>-74.30839899999999</v>
      </c>
      <c r="E199" s="73" t="n">
        <v>4.307189</v>
      </c>
      <c r="F199" s="58" t="n">
        <v>2187</v>
      </c>
      <c r="G199" s="58" t="n">
        <v>25</v>
      </c>
      <c r="H199" s="58" t="n">
        <v>25535</v>
      </c>
      <c r="I199" s="60" t="inlineStr">
        <is>
          <t>Cundinamarca</t>
        </is>
      </c>
      <c r="J199" s="60" t="inlineStr">
        <is>
          <t>Pasca</t>
        </is>
      </c>
      <c r="K199" s="56" t="n">
        <v>16.4</v>
      </c>
      <c r="L199" s="56" t="n">
        <v>16.33333333333333</v>
      </c>
      <c r="M199" s="56" t="n">
        <v>16.73333333333333</v>
      </c>
      <c r="N199" s="56" t="n">
        <v>16.66666666666667</v>
      </c>
      <c r="O199" s="56" t="n">
        <v>18.13333333333333</v>
      </c>
      <c r="P199" s="56" t="n">
        <v>16.6</v>
      </c>
      <c r="Q199" s="56" t="n">
        <v>16.66666666666667</v>
      </c>
      <c r="R199" s="56" t="n">
        <v>16.86666666666667</v>
      </c>
      <c r="S199" s="56" t="n">
        <v>17.06666666666667</v>
      </c>
      <c r="T199" s="56" t="n">
        <v>16.93333333333333</v>
      </c>
      <c r="U199" s="56" t="n">
        <v>16.66666666666667</v>
      </c>
      <c r="V199" s="56" t="n">
        <v>17</v>
      </c>
      <c r="W199" s="56" t="n">
        <v>16.86666666666666</v>
      </c>
      <c r="X199" s="56" t="n">
        <v>17.6</v>
      </c>
      <c r="Y199" s="56" t="n">
        <v>17.46666666666667</v>
      </c>
      <c r="Z199" s="56" t="n">
        <v>16.73333333333333</v>
      </c>
      <c r="AA199" s="56" t="n">
        <v>17.26666666666667</v>
      </c>
      <c r="AB199" s="56" t="n">
        <v>17.73333333333333</v>
      </c>
      <c r="AC199" s="56" t="n">
        <v>17.66666666666667</v>
      </c>
      <c r="AD199" s="56" t="n">
        <v>17.06666666666667</v>
      </c>
      <c r="AE199" s="56" t="n">
        <v>16.53333333333333</v>
      </c>
      <c r="AF199" s="56" t="n">
        <v>17</v>
      </c>
      <c r="AG199" s="56" t="n">
        <v>16.8</v>
      </c>
      <c r="AH199" s="56" t="n">
        <v>16.46666666666667</v>
      </c>
      <c r="AI199" s="56" t="n">
        <v>17.46666666666667</v>
      </c>
      <c r="AJ199" s="56" t="n"/>
      <c r="AK199" s="56" t="n"/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21205420</v>
      </c>
      <c r="B200" s="59" t="inlineStr">
        <is>
          <t>Tibaitata</t>
        </is>
      </c>
      <c r="C200" s="59" t="inlineStr">
        <is>
          <t>Area Operativa 11 - Cundinamarca-Amazonas</t>
        </is>
      </c>
      <c r="D200" s="73" t="n">
        <v>-74.205626</v>
      </c>
      <c r="E200" s="73" t="n">
        <v>4.688662</v>
      </c>
      <c r="F200" s="58" t="n">
        <v>2543</v>
      </c>
      <c r="G200" s="58" t="n">
        <v>25</v>
      </c>
      <c r="H200" s="58" t="n">
        <v>25473</v>
      </c>
      <c r="I200" s="60" t="inlineStr">
        <is>
          <t>Cundinamarca</t>
        </is>
      </c>
      <c r="J200" s="60" t="inlineStr">
        <is>
          <t>Mosquera</t>
        </is>
      </c>
      <c r="K200" s="56" t="n">
        <v>14.4</v>
      </c>
      <c r="L200" s="56" t="n">
        <v>14.5</v>
      </c>
      <c r="M200" s="56" t="n">
        <v>14.3</v>
      </c>
      <c r="N200" s="56" t="n">
        <v>14.35</v>
      </c>
      <c r="O200" s="56" t="n">
        <v/>
      </c>
      <c r="P200" s="56" t="n">
        <v>13.85</v>
      </c>
      <c r="Q200" s="56" t="n">
        <v>13.25</v>
      </c>
      <c r="R200" s="56" t="n">
        <v>15.55</v>
      </c>
      <c r="S200" s="56" t="n">
        <v>14.95</v>
      </c>
      <c r="T200" s="56" t="n">
        <v>15.45</v>
      </c>
      <c r="U200" s="56" t="n">
        <v>15</v>
      </c>
      <c r="V200" s="56" t="n">
        <v>14.2</v>
      </c>
      <c r="W200" s="56" t="n">
        <v>15.1</v>
      </c>
      <c r="X200" s="56" t="n">
        <v>15.3</v>
      </c>
      <c r="Y200" s="56" t="n">
        <v>14.25</v>
      </c>
      <c r="Z200" s="56" t="n">
        <v>15.9</v>
      </c>
      <c r="AA200" s="56" t="n">
        <v>15.9</v>
      </c>
      <c r="AB200" s="56" t="n">
        <v/>
      </c>
      <c r="AC200" s="56" t="n">
        <v>13.55</v>
      </c>
      <c r="AD200" s="56" t="n">
        <v>14.8</v>
      </c>
      <c r="AE200" s="56" t="n">
        <v>14.3</v>
      </c>
      <c r="AF200" s="56" t="n">
        <v>13.85</v>
      </c>
      <c r="AG200" s="56" t="n">
        <v>15.2</v>
      </c>
      <c r="AH200" s="56" t="n">
        <v>12.45</v>
      </c>
      <c r="AI200" s="56" t="n">
        <v>14.15</v>
      </c>
      <c r="AJ200" s="56" t="n"/>
      <c r="AK200" s="56" t="n"/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21205660</v>
      </c>
      <c r="B201" s="59" t="inlineStr">
        <is>
          <t>Mercedes</t>
        </is>
      </c>
      <c r="C201" s="59" t="inlineStr">
        <is>
          <t>Area Operativa 11 - Cundinamarca-Amazonas</t>
        </is>
      </c>
      <c r="D201" s="73" t="n">
        <v>-74.52318</v>
      </c>
      <c r="E201" s="73" t="n">
        <v>4.5791</v>
      </c>
      <c r="F201" s="58" t="n">
        <v>765</v>
      </c>
      <c r="G201" s="58" t="n">
        <v>25</v>
      </c>
      <c r="H201" s="58" t="n">
        <v>25035</v>
      </c>
      <c r="I201" s="60" t="inlineStr">
        <is>
          <t>Cundinamarca</t>
        </is>
      </c>
      <c r="J201" s="60" t="inlineStr">
        <is>
          <t>Anapoima</t>
        </is>
      </c>
      <c r="K201" s="56" t="n">
        <v>27.85</v>
      </c>
      <c r="L201" s="56" t="n">
        <v>27.95</v>
      </c>
      <c r="M201" s="56" t="n">
        <v>28.25</v>
      </c>
      <c r="N201" s="56" t="n">
        <v>29.35</v>
      </c>
      <c r="O201" s="56" t="n">
        <v>29.75</v>
      </c>
      <c r="P201" s="56" t="n">
        <v>29.5</v>
      </c>
      <c r="Q201" s="56" t="n">
        <v>28.2</v>
      </c>
      <c r="R201" s="56" t="n">
        <v>30.45</v>
      </c>
      <c r="S201" s="56" t="n">
        <v>29.85</v>
      </c>
      <c r="T201" s="56" t="n">
        <v>30.4</v>
      </c>
      <c r="U201" s="56" t="n">
        <v>28.8</v>
      </c>
      <c r="V201" s="56" t="n">
        <v>29.75</v>
      </c>
      <c r="W201" s="56" t="n">
        <v>29.25</v>
      </c>
      <c r="X201" s="56" t="n">
        <v>30.7</v>
      </c>
      <c r="Y201" s="56" t="n">
        <v>30</v>
      </c>
      <c r="Z201" s="56" t="n">
        <v>28.15</v>
      </c>
      <c r="AA201" s="56" t="n">
        <v>29.7</v>
      </c>
      <c r="AB201" s="56" t="n">
        <v>30.55</v>
      </c>
      <c r="AC201" s="56" t="n">
        <v>29.6</v>
      </c>
      <c r="AD201" s="56" t="n">
        <v>29.65</v>
      </c>
      <c r="AE201" s="56" t="n">
        <v>29.8</v>
      </c>
      <c r="AF201" s="56" t="n">
        <v>29.2</v>
      </c>
      <c r="AG201" s="56" t="n">
        <v>30.65</v>
      </c>
      <c r="AH201" s="56" t="n">
        <v>28.75</v>
      </c>
      <c r="AI201" s="56" t="n">
        <v>27.25</v>
      </c>
      <c r="AJ201" s="56" t="n"/>
      <c r="AK201" s="56" t="n"/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21205700</v>
      </c>
      <c r="B202" s="59" t="inlineStr">
        <is>
          <t>Guasca</t>
        </is>
      </c>
      <c r="C202" s="59" t="inlineStr">
        <is>
          <t>Area Operativa 11 - Cundinamarca-Amazonas</t>
        </is>
      </c>
      <c r="D202" s="73" t="n">
        <v>-73.864453</v>
      </c>
      <c r="E202" s="73" t="n">
        <v>4.877953</v>
      </c>
      <c r="F202" s="58" t="n">
        <v>2750</v>
      </c>
      <c r="G202" s="58" t="n">
        <v>25</v>
      </c>
      <c r="H202" s="58" t="n">
        <v>25322</v>
      </c>
      <c r="I202" s="60" t="inlineStr">
        <is>
          <t>Cundinamarca</t>
        </is>
      </c>
      <c r="J202" s="60" t="inlineStr">
        <is>
          <t>Guasca</t>
        </is>
      </c>
      <c r="K202" s="56" t="n">
        <v>14.15</v>
      </c>
      <c r="L202" s="56" t="n">
        <v>13.9</v>
      </c>
      <c r="M202" s="56" t="n">
        <v>12.85</v>
      </c>
      <c r="N202" s="56" t="n">
        <v>13.8</v>
      </c>
      <c r="O202" s="56" t="n">
        <v>12.05</v>
      </c>
      <c r="P202" s="56" t="n">
        <v>13.05</v>
      </c>
      <c r="Q202" s="56" t="n">
        <v>13.1</v>
      </c>
      <c r="R202" s="56" t="n">
        <v>13.15</v>
      </c>
      <c r="S202" s="56" t="n">
        <v>13.35</v>
      </c>
      <c r="T202" s="56" t="n">
        <v>12.95</v>
      </c>
      <c r="U202" s="56" t="n">
        <v>13.3</v>
      </c>
      <c r="V202" s="56" t="n">
        <v>13.6</v>
      </c>
      <c r="W202" s="56" t="n">
        <v>12.85</v>
      </c>
      <c r="X202" s="56" t="n">
        <v>14.15</v>
      </c>
      <c r="Y202" s="56" t="n">
        <v>13.85</v>
      </c>
      <c r="Z202" s="56" t="n">
        <v>12.8</v>
      </c>
      <c r="AA202" s="56" t="n">
        <v>13.1</v>
      </c>
      <c r="AB202" s="56" t="n">
        <v>11.75</v>
      </c>
      <c r="AC202" s="56" t="n">
        <v>13.025</v>
      </c>
      <c r="AD202" s="56" t="n">
        <v>13.8</v>
      </c>
      <c r="AE202" s="56" t="n">
        <v>13.65</v>
      </c>
      <c r="AF202" s="56" t="n">
        <v>13.85</v>
      </c>
      <c r="AG202" s="56" t="n">
        <v>14.5</v>
      </c>
      <c r="AH202" s="56" t="n">
        <v>14.55</v>
      </c>
      <c r="AI202" s="56" t="n">
        <v/>
      </c>
      <c r="AJ202" s="56" t="n"/>
      <c r="AK202" s="56" t="n"/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21205720</v>
      </c>
      <c r="B203" s="59" t="inlineStr">
        <is>
          <t>Granja San Jorge</t>
        </is>
      </c>
      <c r="C203" s="59" t="inlineStr">
        <is>
          <t>Area Operativa 11 - Cundinamarca-Amazonas</t>
        </is>
      </c>
      <c r="D203" s="73" t="n">
        <v>-74.18927778</v>
      </c>
      <c r="E203" s="73" t="n">
        <v>4.50575</v>
      </c>
      <c r="F203" s="58" t="n">
        <v>2900</v>
      </c>
      <c r="G203" s="58" t="n">
        <v>25</v>
      </c>
      <c r="H203" s="58" t="n">
        <v>25754</v>
      </c>
      <c r="I203" s="60" t="inlineStr">
        <is>
          <t>Cundinamarca</t>
        </is>
      </c>
      <c r="J203" s="60" t="inlineStr">
        <is>
          <t>Soacha</t>
        </is>
      </c>
      <c r="K203" s="56" t="n">
        <v>14.2</v>
      </c>
      <c r="L203" s="56" t="n">
        <v>14</v>
      </c>
      <c r="M203" s="56" t="n">
        <v>14.2</v>
      </c>
      <c r="N203" s="56" t="n">
        <v>14.53333333333333</v>
      </c>
      <c r="O203" s="56" t="n">
        <v>13.53333333333333</v>
      </c>
      <c r="P203" s="56" t="n">
        <v>14.13333333333333</v>
      </c>
      <c r="Q203" s="56" t="n">
        <v>13.13333333333333</v>
      </c>
      <c r="R203" s="56" t="n">
        <v>14.33333333333333</v>
      </c>
      <c r="S203" s="56" t="n">
        <v>13.86666666666667</v>
      </c>
      <c r="T203" s="56" t="n">
        <v>14.46666666666667</v>
      </c>
      <c r="U203" s="56" t="n">
        <v>14.4</v>
      </c>
      <c r="V203" s="56" t="n">
        <v>15.2</v>
      </c>
      <c r="W203" s="56" t="n">
        <v>14.33333333333333</v>
      </c>
      <c r="X203" s="56" t="n">
        <v>14.6</v>
      </c>
      <c r="Y203" s="56" t="n">
        <v>14.4</v>
      </c>
      <c r="Z203" s="56" t="n">
        <v>14.06666666666667</v>
      </c>
      <c r="AA203" s="56" t="n">
        <v>14.66666666666667</v>
      </c>
      <c r="AB203" s="56" t="n">
        <v>13.93333333333333</v>
      </c>
      <c r="AC203" s="56" t="n">
        <v/>
      </c>
      <c r="AD203" s="56" t="n">
        <v/>
      </c>
      <c r="AE203" s="56" t="n">
        <v>13.86666666666667</v>
      </c>
      <c r="AF203" s="56" t="n">
        <v>14.06666666666667</v>
      </c>
      <c r="AG203" s="56" t="n">
        <v>15.13333333333333</v>
      </c>
      <c r="AH203" s="56" t="n">
        <v>14.2</v>
      </c>
      <c r="AI203" s="56" t="n">
        <v>14.86666666666667</v>
      </c>
      <c r="AJ203" s="56" t="n"/>
      <c r="AK203" s="56" t="n"/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21205740</v>
      </c>
      <c r="B204" s="59" t="inlineStr">
        <is>
          <t>Silos</t>
        </is>
      </c>
      <c r="C204" s="59" t="inlineStr">
        <is>
          <t>Area Operativa 11 - Cundinamarca-Amazonas</t>
        </is>
      </c>
      <c r="D204" s="73" t="n">
        <v>-73.70141667</v>
      </c>
      <c r="E204" s="73" t="n">
        <v>5.117722222</v>
      </c>
      <c r="F204" s="58" t="n">
        <v>2709</v>
      </c>
      <c r="G204" s="58" t="n">
        <v>25</v>
      </c>
      <c r="H204" s="58" t="n">
        <v>25183</v>
      </c>
      <c r="I204" s="60" t="inlineStr">
        <is>
          <t>Cundinamarca</t>
        </is>
      </c>
      <c r="J204" s="60" t="inlineStr">
        <is>
          <t>Chocontá</t>
        </is>
      </c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21205920</v>
      </c>
      <c r="B205" s="59" t="inlineStr">
        <is>
          <t>Suasuque</t>
        </is>
      </c>
      <c r="C205" s="59" t="inlineStr">
        <is>
          <t>Area Operativa 11 - Cundinamarca-Amazonas</t>
        </is>
      </c>
      <c r="D205" s="73" t="n">
        <v>-73.96388889000001</v>
      </c>
      <c r="E205" s="73" t="n">
        <v>4.820833333</v>
      </c>
      <c r="F205" s="58" t="n">
        <v>2650</v>
      </c>
      <c r="G205" s="58" t="n">
        <v>25</v>
      </c>
      <c r="H205" s="58" t="n">
        <v>25758</v>
      </c>
      <c r="I205" s="60" t="inlineStr">
        <is>
          <t>Cundinamarca</t>
        </is>
      </c>
      <c r="J205" s="60" t="inlineStr">
        <is>
          <t>Sopó</t>
        </is>
      </c>
      <c r="K205" s="56" t="n">
        <v>16.45</v>
      </c>
      <c r="L205" s="56" t="n">
        <v>14.6</v>
      </c>
      <c r="M205" s="56" t="n">
        <v>15.5</v>
      </c>
      <c r="N205" s="56" t="n">
        <v>16</v>
      </c>
      <c r="O205" s="56" t="n">
        <v>14.25</v>
      </c>
      <c r="P205" s="56" t="n">
        <v>14.6</v>
      </c>
      <c r="Q205" s="56" t="n">
        <v>16.05</v>
      </c>
      <c r="R205" s="56" t="n">
        <v>15.85</v>
      </c>
      <c r="S205" s="56" t="n">
        <v>16.3</v>
      </c>
      <c r="T205" s="56" t="n">
        <v>15.75</v>
      </c>
      <c r="U205" s="56" t="n">
        <v>15.25</v>
      </c>
      <c r="V205" s="56" t="n">
        <v>15.6</v>
      </c>
      <c r="W205" s="56" t="n">
        <v>15.7</v>
      </c>
      <c r="X205" s="56" t="n">
        <v>15.2</v>
      </c>
      <c r="Y205" s="56" t="n">
        <v>15.45</v>
      </c>
      <c r="Z205" s="56" t="n">
        <v>15.35</v>
      </c>
      <c r="AA205" s="56" t="n">
        <v>15.1</v>
      </c>
      <c r="AB205" s="56" t="n">
        <v>15.45</v>
      </c>
      <c r="AC205" s="56" t="n">
        <v>14.6</v>
      </c>
      <c r="AD205" s="56" t="n">
        <v>14.55</v>
      </c>
      <c r="AE205" s="56" t="n">
        <v>14.9</v>
      </c>
      <c r="AF205" s="56" t="n">
        <v>16.05</v>
      </c>
      <c r="AG205" s="56" t="n">
        <v>15.65</v>
      </c>
      <c r="AH205" s="56" t="n">
        <v>15</v>
      </c>
      <c r="AI205" s="56" t="n">
        <v>15.4</v>
      </c>
      <c r="AJ205" s="56" t="n"/>
      <c r="AK205" s="56" t="n"/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21205940</v>
      </c>
      <c r="B206" s="59" t="inlineStr">
        <is>
          <t>Villa Ines</t>
        </is>
      </c>
      <c r="C206" s="59" t="inlineStr">
        <is>
          <t>Area Operativa 11 - Cundinamarca-Amazonas</t>
        </is>
      </c>
      <c r="D206" s="73" t="n">
        <v>-74.38056</v>
      </c>
      <c r="E206" s="73" t="n">
        <v>4.83211</v>
      </c>
      <c r="F206" s="58" t="n">
        <v>2590</v>
      </c>
      <c r="G206" s="58" t="n">
        <v>25</v>
      </c>
      <c r="H206" s="58" t="n">
        <v>25269</v>
      </c>
      <c r="I206" s="60" t="inlineStr">
        <is>
          <t>Cundinamarca</t>
        </is>
      </c>
      <c r="J206" s="60" t="inlineStr">
        <is>
          <t>Facatativá</t>
        </is>
      </c>
      <c r="K206" s="56" t="n">
        <v>12.8</v>
      </c>
      <c r="L206" s="56" t="n">
        <v>14.35</v>
      </c>
      <c r="M206" s="56" t="n">
        <v>13.5</v>
      </c>
      <c r="N206" s="56" t="n">
        <v>14.2</v>
      </c>
      <c r="O206" s="56" t="n">
        <v>14</v>
      </c>
      <c r="P206" s="56" t="n">
        <v>11.15</v>
      </c>
      <c r="Q206" s="56" t="n">
        <v>11.9</v>
      </c>
      <c r="R206" s="56" t="n">
        <v>13.2</v>
      </c>
      <c r="S206" s="56" t="n">
        <v>15.2</v>
      </c>
      <c r="T206" s="56" t="n">
        <v>13.4</v>
      </c>
      <c r="U206" s="56" t="n">
        <v>13.5</v>
      </c>
      <c r="V206" s="56" t="n">
        <v>15.05</v>
      </c>
      <c r="W206" s="56" t="n">
        <v>14.65</v>
      </c>
      <c r="X206" s="56" t="n">
        <v>14.2</v>
      </c>
      <c r="Y206" s="56" t="n">
        <v>13.3</v>
      </c>
      <c r="Z206" s="56" t="n">
        <v>15.25</v>
      </c>
      <c r="AA206" s="56" t="n">
        <v>12.9</v>
      </c>
      <c r="AB206" s="56" t="n">
        <v>14.85</v>
      </c>
      <c r="AC206" s="56" t="n">
        <v>13.85</v>
      </c>
      <c r="AD206" s="56" t="n">
        <v>13.75</v>
      </c>
      <c r="AE206" s="56" t="n">
        <v>12.75</v>
      </c>
      <c r="AF206" s="56" t="n">
        <v>12.1</v>
      </c>
      <c r="AG206" s="56" t="n">
        <v>14.25</v>
      </c>
      <c r="AH206" s="56" t="n">
        <v>12.65</v>
      </c>
      <c r="AI206" s="56" t="n">
        <v>13.05</v>
      </c>
      <c r="AJ206" s="56" t="n"/>
      <c r="AK206" s="56" t="n"/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21206260</v>
      </c>
      <c r="B207" s="59" t="inlineStr">
        <is>
          <t>C.Univ.Agrop-Udca</t>
        </is>
      </c>
      <c r="C207" s="59" t="inlineStr">
        <is>
          <t>Area Operativa 11 - Cundinamarca-Amazonas</t>
        </is>
      </c>
      <c r="D207" s="73" t="n">
        <v>-74.04972222000001</v>
      </c>
      <c r="E207" s="73" t="n">
        <v>4.798638889</v>
      </c>
      <c r="F207" s="58" t="n">
        <v>2570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14.26666666666667</v>
      </c>
      <c r="L207" s="56" t="n">
        <v>13.86666666666667</v>
      </c>
      <c r="M207" s="56" t="n">
        <v>13.8</v>
      </c>
      <c r="N207" s="56" t="n">
        <v>13.26666666666667</v>
      </c>
      <c r="O207" s="56" t="n">
        <v>13.8</v>
      </c>
      <c r="P207" s="56" t="n">
        <v/>
      </c>
      <c r="Q207" s="56" t="n">
        <v>12.6</v>
      </c>
      <c r="R207" s="56" t="n">
        <v>13.8</v>
      </c>
      <c r="S207" s="56" t="n">
        <v>13.93333333333333</v>
      </c>
      <c r="T207" s="56" t="n">
        <v>14</v>
      </c>
      <c r="U207" s="56" t="n">
        <v>13.26666666666667</v>
      </c>
      <c r="V207" s="56" t="n">
        <v>14.4</v>
      </c>
      <c r="W207" s="56" t="n">
        <v/>
      </c>
      <c r="X207" s="56" t="n">
        <v>13.73333333333333</v>
      </c>
      <c r="Y207" s="56" t="n">
        <v>13.66666666666667</v>
      </c>
      <c r="Z207" s="56" t="n">
        <v>15.06666666666667</v>
      </c>
      <c r="AA207" s="56" t="n">
        <v>13.86666666666667</v>
      </c>
      <c r="AB207" s="56" t="n">
        <v>13</v>
      </c>
      <c r="AC207" s="56" t="n">
        <v/>
      </c>
      <c r="AD207" s="56" t="n">
        <v/>
      </c>
      <c r="AE207" s="56" t="n">
        <v>14.46666666666667</v>
      </c>
      <c r="AF207" s="56" t="n">
        <v>15.06666666666666</v>
      </c>
      <c r="AG207" s="56" t="n">
        <v>16</v>
      </c>
      <c r="AH207" s="56" t="n">
        <v>14.66666666666667</v>
      </c>
      <c r="AI207" s="56" t="n">
        <v>15.2</v>
      </c>
      <c r="AJ207" s="56" t="n"/>
      <c r="AK207" s="56" t="n"/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21206600</v>
      </c>
      <c r="B208" s="59" t="inlineStr">
        <is>
          <t>Nueva Generacion</t>
        </is>
      </c>
      <c r="C208" s="59" t="inlineStr">
        <is>
          <t>Area Operativa 11 - Cundinamarca-Amazonas</t>
        </is>
      </c>
      <c r="D208" s="73" t="n">
        <v>-74.10224700000001</v>
      </c>
      <c r="E208" s="73" t="n">
        <v>4.786594</v>
      </c>
      <c r="F208" s="58" t="n">
        <v>2590</v>
      </c>
      <c r="G208" s="58" t="n">
        <v>11</v>
      </c>
      <c r="H208" s="58" t="n">
        <v>11001</v>
      </c>
      <c r="I208" s="60" t="inlineStr">
        <is>
          <t>Bogotá, D.C.</t>
        </is>
      </c>
      <c r="J208" s="60" t="inlineStr">
        <is>
          <t>Bogotá, D.C</t>
        </is>
      </c>
      <c r="K208" s="56" t="n">
        <v>15.35</v>
      </c>
      <c r="L208" s="56" t="n">
        <v>14.25</v>
      </c>
      <c r="M208" s="56" t="n">
        <v>13.45</v>
      </c>
      <c r="N208" s="56" t="n">
        <v>14.4</v>
      </c>
      <c r="O208" s="56" t="n">
        <v>13.2</v>
      </c>
      <c r="P208" s="56" t="n">
        <v>14.1</v>
      </c>
      <c r="Q208" s="56" t="n">
        <v>13.05</v>
      </c>
      <c r="R208" s="56" t="n">
        <v>14.33333333333333</v>
      </c>
      <c r="S208" s="56" t="n">
        <v>14.55</v>
      </c>
      <c r="T208" s="56" t="n">
        <v>14.75</v>
      </c>
      <c r="U208" s="56" t="n">
        <v>13.5</v>
      </c>
      <c r="V208" s="56" t="n">
        <v>14</v>
      </c>
      <c r="W208" s="56" t="n">
        <v>14.35</v>
      </c>
      <c r="X208" s="56" t="n">
        <v>14.6</v>
      </c>
      <c r="Y208" s="56" t="n">
        <v>13.4</v>
      </c>
      <c r="Z208" s="56" t="n">
        <v>13.3</v>
      </c>
      <c r="AA208" s="56" t="n">
        <v>15.1</v>
      </c>
      <c r="AB208" s="56" t="n">
        <v>13.6</v>
      </c>
      <c r="AC208" s="56" t="n">
        <v>15.65</v>
      </c>
      <c r="AD208" s="56" t="n">
        <v>14.2</v>
      </c>
      <c r="AE208" s="56" t="n">
        <v>14.05</v>
      </c>
      <c r="AF208" s="56" t="n">
        <v>14.5</v>
      </c>
      <c r="AG208" s="56" t="n">
        <v>16.2</v>
      </c>
      <c r="AH208" s="56" t="n">
        <v>14.6</v>
      </c>
      <c r="AI208" s="56" t="n">
        <v>14.95</v>
      </c>
      <c r="AJ208" s="56" t="n"/>
      <c r="AK208" s="56" t="n"/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21206650</v>
      </c>
      <c r="B209" s="59" t="inlineStr">
        <is>
          <t>Colegio San Cayetano</t>
        </is>
      </c>
      <c r="C209" s="59" t="inlineStr">
        <is>
          <t>Area Operativa 11 - Cundinamarca-Amazonas</t>
        </is>
      </c>
      <c r="D209" s="73" t="n">
        <v>-74.088222222</v>
      </c>
      <c r="E209" s="73" t="n">
        <v>4.516752778</v>
      </c>
      <c r="F209" s="58" t="n">
        <v>3100</v>
      </c>
      <c r="G209" s="58" t="n">
        <v>11</v>
      </c>
      <c r="H209" s="58" t="n">
        <v>11001</v>
      </c>
      <c r="I209" s="60" t="inlineStr">
        <is>
          <t>Bogotá, D.C.</t>
        </is>
      </c>
      <c r="J209" s="60" t="inlineStr">
        <is>
          <t>Bogotá, D.C</t>
        </is>
      </c>
      <c r="K209" s="56" t="n">
        <v>11.35</v>
      </c>
      <c r="L209" s="56" t="n">
        <v>11.25</v>
      </c>
      <c r="M209" s="56" t="n">
        <v>11.05</v>
      </c>
      <c r="N209" s="56" t="n">
        <v>11.25</v>
      </c>
      <c r="O209" s="56" t="n">
        <v>11.15</v>
      </c>
      <c r="P209" s="56" t="n">
        <v>11.6</v>
      </c>
      <c r="Q209" s="56" t="n">
        <v>11.35</v>
      </c>
      <c r="R209" s="56" t="n">
        <v>11.05</v>
      </c>
      <c r="S209" s="56" t="n">
        <v>10.55</v>
      </c>
      <c r="T209" s="56" t="n">
        <v>10.9</v>
      </c>
      <c r="U209" s="56" t="n">
        <v>10.55</v>
      </c>
      <c r="V209" s="56" t="n">
        <v>10.8</v>
      </c>
      <c r="W209" s="56" t="n">
        <v>11.45</v>
      </c>
      <c r="X209" s="56" t="n">
        <v>11</v>
      </c>
      <c r="Y209" s="56" t="n">
        <v>11.25</v>
      </c>
      <c r="Z209" s="56" t="n">
        <v>11.4</v>
      </c>
      <c r="AA209" s="56" t="n">
        <v>11.4</v>
      </c>
      <c r="AB209" s="56" t="n">
        <v>10.95</v>
      </c>
      <c r="AC209" s="56" t="n">
        <v>10.75</v>
      </c>
      <c r="AD209" s="56" t="n">
        <v>10.4</v>
      </c>
      <c r="AE209" s="56" t="n">
        <v>10.65</v>
      </c>
      <c r="AF209" s="56" t="n">
        <v>10.35</v>
      </c>
      <c r="AG209" s="56" t="n">
        <v>10.65</v>
      </c>
      <c r="AH209" s="56" t="n">
        <v>11</v>
      </c>
      <c r="AI209" s="56" t="n">
        <v>10.95</v>
      </c>
      <c r="AJ209" s="56" t="n"/>
      <c r="AK209" s="56" t="n"/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24015120</v>
      </c>
      <c r="B210" s="59" t="inlineStr">
        <is>
          <t>Isla Del Santuario</t>
        </is>
      </c>
      <c r="C210" s="59" t="inlineStr">
        <is>
          <t>Area Operativa 11 - Cundinamarca-Amazonas</t>
        </is>
      </c>
      <c r="D210" s="73" t="n">
        <v>-73.73480556</v>
      </c>
      <c r="E210" s="73" t="n">
        <v>5.467277778</v>
      </c>
      <c r="F210" s="58" t="n">
        <v>2580</v>
      </c>
      <c r="G210" s="58" t="n">
        <v>25</v>
      </c>
      <c r="H210" s="58" t="n">
        <v>25288</v>
      </c>
      <c r="I210" s="60" t="inlineStr">
        <is>
          <t>Cundinamarca</t>
        </is>
      </c>
      <c r="J210" s="60" t="inlineStr">
        <is>
          <t>Fúquene</t>
        </is>
      </c>
      <c r="K210" s="56" t="n">
        <v>15.75</v>
      </c>
      <c r="L210" s="56" t="n">
        <v>15.35</v>
      </c>
      <c r="M210" s="56" t="n">
        <v>15.35</v>
      </c>
      <c r="N210" s="56" t="n">
        <v>15.2</v>
      </c>
      <c r="O210" s="56" t="n">
        <v>15.5</v>
      </c>
      <c r="P210" s="56" t="n">
        <v>16.05</v>
      </c>
      <c r="Q210" s="56" t="n">
        <v>14.8</v>
      </c>
      <c r="R210" s="56" t="n">
        <v/>
      </c>
      <c r="S210" s="56" t="n">
        <v>16.85</v>
      </c>
      <c r="T210" s="56" t="n">
        <v>17.2</v>
      </c>
      <c r="U210" s="56" t="n">
        <v>16.35</v>
      </c>
      <c r="V210" s="56" t="n">
        <v>16.4</v>
      </c>
      <c r="W210" s="56" t="n">
        <v>15.5</v>
      </c>
      <c r="X210" s="56" t="n">
        <v>16.4</v>
      </c>
      <c r="Y210" s="56" t="n">
        <v>16.6</v>
      </c>
      <c r="Z210" s="56" t="n">
        <v>15.8</v>
      </c>
      <c r="AA210" s="56" t="n">
        <v>15.3</v>
      </c>
      <c r="AB210" s="56" t="n">
        <v>15.4</v>
      </c>
      <c r="AC210" s="56" t="n">
        <v>15.2</v>
      </c>
      <c r="AD210" s="56" t="n">
        <v>16.25</v>
      </c>
      <c r="AE210" s="56" t="n">
        <v>15.85</v>
      </c>
      <c r="AF210" s="56" t="n">
        <v/>
      </c>
      <c r="AG210" s="56" t="n">
        <v>16.05</v>
      </c>
      <c r="AH210" s="56" t="n">
        <v>16.55</v>
      </c>
      <c r="AI210" s="56" t="n">
        <v/>
      </c>
      <c r="AJ210" s="56" t="n"/>
      <c r="AK210" s="56" t="n"/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  <row r="211" ht="14.25" customHeight="1">
      <c r="A211" s="58" t="n">
        <v>35025060</v>
      </c>
      <c r="B211" s="59" t="inlineStr">
        <is>
          <t>La Bolsa</t>
        </is>
      </c>
      <c r="C211" s="59" t="inlineStr">
        <is>
          <t>Area Operativa 11 - Cundinamarca-Amazonas</t>
        </is>
      </c>
      <c r="D211" s="73" t="n">
        <v>-73.995885</v>
      </c>
      <c r="E211" s="73" t="n">
        <v>4.587059</v>
      </c>
      <c r="F211" s="58" t="n">
        <v>3195</v>
      </c>
      <c r="G211" s="58" t="n">
        <v>25</v>
      </c>
      <c r="H211" s="58" t="n">
        <v>25181</v>
      </c>
      <c r="I211" s="60" t="inlineStr">
        <is>
          <t>Cundinamarca</t>
        </is>
      </c>
      <c r="J211" s="60" t="inlineStr">
        <is>
          <t>Choachí</t>
        </is>
      </c>
      <c r="K211" s="56" t="n">
        <v>8.85</v>
      </c>
      <c r="L211" s="56" t="n">
        <v>8.800000000000001</v>
      </c>
      <c r="M211" s="56" t="n">
        <v>8.5</v>
      </c>
      <c r="N211" s="56" t="n">
        <v>8.199999999999999</v>
      </c>
      <c r="O211" s="56" t="n">
        <v>8.550000000000001</v>
      </c>
      <c r="P211" s="56" t="n">
        <v>8.6</v>
      </c>
      <c r="Q211" s="56" t="n">
        <v>7.800000000000001</v>
      </c>
      <c r="R211" s="56" t="n">
        <v>8.300000000000001</v>
      </c>
      <c r="S211" s="56" t="n">
        <v>8</v>
      </c>
      <c r="T211" s="56" t="n">
        <v>7.9</v>
      </c>
      <c r="U211" s="56" t="n">
        <v>8.65</v>
      </c>
      <c r="V211" s="56" t="n">
        <v>9</v>
      </c>
      <c r="W211" s="56" t="n">
        <v>8.699999999999999</v>
      </c>
      <c r="X211" s="56" t="n">
        <v>8.85</v>
      </c>
      <c r="Y211" s="56" t="n">
        <v>9.1</v>
      </c>
      <c r="Z211" s="56" t="n">
        <v>8.449999999999999</v>
      </c>
      <c r="AA211" s="56" t="n">
        <v>8.800000000000001</v>
      </c>
      <c r="AB211" s="56" t="n">
        <v>8.1</v>
      </c>
      <c r="AC211" s="56" t="n">
        <v>8.850000000000001</v>
      </c>
      <c r="AD211" s="56" t="n">
        <v>9.050000000000001</v>
      </c>
      <c r="AE211" s="56" t="n">
        <v>8.9</v>
      </c>
      <c r="AF211" s="56" t="n">
        <v>9.899999999999999</v>
      </c>
      <c r="AG211" s="56" t="n">
        <v>9.550000000000001</v>
      </c>
      <c r="AH211" s="56" t="n">
        <v>9.300000000000001</v>
      </c>
      <c r="AI211" s="56" t="n">
        <v>9.5</v>
      </c>
      <c r="AJ211" s="56" t="n"/>
      <c r="AK211" s="56" t="n"/>
      <c r="AL211" s="56" t="n"/>
      <c r="AM211" s="56" t="n"/>
      <c r="AN211" s="56" t="n"/>
      <c r="AO211" s="56" t="n"/>
      <c r="AP211" s="58">
        <f>COUNTIF(K211:AO211,"&gt;0")</f>
        <v/>
      </c>
      <c r="AQ211" s="71">
        <f>IF(AP211&gt;14,AVERAGE(K211:AO211),"")</f>
        <v/>
      </c>
      <c r="AR211" s="71">
        <f>IFERROR(VLOOKUP(A211,Climatologia_TMED!A:U,9+$E$2,FALSE),"")</f>
        <v/>
      </c>
      <c r="AS211" s="71">
        <f>IF(OR(AQ211="",AR211=""),"",IFERROR(AQ211-AR211,""))</f>
        <v/>
      </c>
    </row>
    <row r="212" ht="14.25" customHeight="1">
      <c r="A212" s="58" t="n">
        <v>47075010</v>
      </c>
      <c r="B212" s="59" t="inlineStr">
        <is>
          <t>La Chorrera</t>
        </is>
      </c>
      <c r="C212" s="59" t="inlineStr">
        <is>
          <t>Area Operativa 11 - Cundinamarca-Amazonas</t>
        </is>
      </c>
      <c r="D212" s="73" t="n">
        <v>-72.789583333</v>
      </c>
      <c r="E212" s="73" t="n">
        <v>-1.444611111</v>
      </c>
      <c r="F212" s="58" t="n">
        <v>160</v>
      </c>
      <c r="G212" s="58" t="n">
        <v>91</v>
      </c>
      <c r="H212" s="58" t="n">
        <v>91405</v>
      </c>
      <c r="I212" s="60" t="inlineStr">
        <is>
          <t>Amazonas</t>
        </is>
      </c>
      <c r="J212" s="60" t="inlineStr">
        <is>
          <t>La Chorrera</t>
        </is>
      </c>
      <c r="K212" s="56" t="n">
        <v>28.5</v>
      </c>
      <c r="L212" s="56" t="n">
        <v>28.7</v>
      </c>
      <c r="M212" s="56" t="n">
        <v>28.75</v>
      </c>
      <c r="N212" s="56" t="n">
        <v>29.2</v>
      </c>
      <c r="O212" s="56" t="n">
        <v>29.15</v>
      </c>
      <c r="P212" s="56" t="n">
        <v>29.25</v>
      </c>
      <c r="Q212" s="56" t="n">
        <v>29.15</v>
      </c>
      <c r="R212" s="56" t="n">
        <v>29.3</v>
      </c>
      <c r="S212" s="56" t="n">
        <v>29.35</v>
      </c>
      <c r="T212" s="56" t="n">
        <v>28.6</v>
      </c>
      <c r="U212" s="56" t="n">
        <v>27.95</v>
      </c>
      <c r="V212" s="56" t="n">
        <v>28.55</v>
      </c>
      <c r="W212" s="56" t="n">
        <v>28</v>
      </c>
      <c r="X212" s="56" t="n">
        <v>28.1</v>
      </c>
      <c r="Y212" s="56" t="n">
        <v>25.25</v>
      </c>
      <c r="Z212" s="56" t="n">
        <v>26.7</v>
      </c>
      <c r="AA212" s="56" t="n">
        <v>26.45</v>
      </c>
      <c r="AB212" s="56" t="n">
        <v>26.5</v>
      </c>
      <c r="AC212" s="56" t="n">
        <v>25.6</v>
      </c>
      <c r="AD212" s="56" t="n">
        <v>26.6</v>
      </c>
      <c r="AE212" s="56" t="n">
        <v>28.5</v>
      </c>
      <c r="AF212" s="56" t="n">
        <v>28.6</v>
      </c>
      <c r="AG212" s="56" t="n">
        <v>28.45</v>
      </c>
      <c r="AH212" s="56" t="n">
        <v>28.4</v>
      </c>
      <c r="AI212" s="56" t="n">
        <v>27.25</v>
      </c>
      <c r="AJ212" s="56" t="n"/>
      <c r="AK212" s="56" t="n"/>
      <c r="AL212" s="56" t="n"/>
      <c r="AM212" s="56" t="n"/>
      <c r="AN212" s="56" t="n"/>
      <c r="AO212" s="56" t="n"/>
      <c r="AP212" s="58">
        <f>COUNTIF(K212:AO212,"&gt;0")</f>
        <v/>
      </c>
      <c r="AQ212" s="71">
        <f>IF(AP212&gt;14,AVERAGE(K212:AO212),"")</f>
        <v/>
      </c>
      <c r="AR212" s="71">
        <f>IFERROR(VLOOKUP(A212,Climatologia_TMED!A:U,9+$E$2,FALSE),"")</f>
        <v/>
      </c>
      <c r="AS212" s="71">
        <f>IF(OR(AQ212="",AR212=""),"",IFERROR(AQ212-AR212,""))</f>
        <v/>
      </c>
    </row>
  </sheetData>
  <conditionalFormatting sqref="K5:AO212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2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topLeftCell="C1" workbookViewId="0">
      <selection activeCell="Q28" sqref="Q1:Q1048576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2026-09-26T14:30:58Z</dcterms:modified>
  <cp:lastModifiedBy>Araminta Vega Burgos</cp:lastModifiedBy>
  <cp:lastPrinted>2017-06-11T12:02:38Z</cp:lastPrinted>
</cp:coreProperties>
</file>