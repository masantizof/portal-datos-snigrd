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356EBB2-E82E-4961-BD9F-F126FC3D2E0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Q210" i="1"/>
  <c r="AS210" i="1" s="1"/>
  <c r="AP210" i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Q205" i="1"/>
  <c r="AS205" i="1" s="1"/>
  <c r="AP205" i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Q200" i="1"/>
  <c r="AS200" i="1" s="1"/>
  <c r="AP200" i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Q195" i="1"/>
  <c r="AS195" i="1" s="1"/>
  <c r="AP195" i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Q185" i="1"/>
  <c r="AS185" i="1" s="1"/>
  <c r="AP185" i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Q170" i="1"/>
  <c r="AS170" i="1" s="1"/>
  <c r="AP170" i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Q160" i="1"/>
  <c r="AS160" i="1" s="1"/>
  <c r="AP160" i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Q145" i="1"/>
  <c r="AS145" i="1" s="1"/>
  <c r="AP145" i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Q125" i="1"/>
  <c r="AS125" i="1" s="1"/>
  <c r="AP125" i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Q120" i="1"/>
  <c r="AS120" i="1" s="1"/>
  <c r="AP120" i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Q105" i="1"/>
  <c r="AS105" i="1" s="1"/>
  <c r="AP105" i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Q54" i="1"/>
  <c r="AS54" i="1" s="1"/>
  <c r="AP54" i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Q49" i="1"/>
  <c r="AS49" i="1" s="1"/>
  <c r="AP49" i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Q44" i="1"/>
  <c r="AS44" i="1" s="1"/>
  <c r="AP44" i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Q39" i="1"/>
  <c r="AS39" i="1" s="1"/>
  <c r="AP39" i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Q19" i="1"/>
  <c r="AS19" i="1" s="1"/>
  <c r="AP19" i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<sst xmlns="http://schemas.openxmlformats.org/spreadsheetml/2006/main" count="3690" uniqueCount="1514">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</sst>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21" zoomScale="80" zoomScaleNormal="80" workbookViewId="0">
      <selection activeCell="AC190" sqref="AC190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8" width="32.42578125" style="50" customWidth="1"/>
    <col min="139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19</v>
      </c>
      <c r="AQ5" s="71">
        <f t="shared" ref="AQ5:AQ68" si="1">IF(AP5&gt;14,AVERAGE(K5:AO5),"")</f>
        <v>29.56315789473684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1.2709528423255385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19</v>
      </c>
      <c r="AQ6" s="71">
        <f t="shared" si="1"/>
        <v>29.421052631578949</v>
      </c>
      <c r="AR6" s="71">
        <f>IFERROR(VLOOKUP(A6,Climatologia_TMED!A:U,9+$E$2,FALSE),"")</f>
        <v>28.542323510282561</v>
      </c>
      <c r="AS6" s="71">
        <f t="shared" si="2"/>
        <v>0.87872912129638792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19</v>
      </c>
      <c r="AQ7" s="71">
        <f t="shared" si="1"/>
        <v>31.078947368421051</v>
      </c>
      <c r="AR7" s="71">
        <f>IFERROR(VLOOKUP(A7,Climatologia_TMED!A:U,9+$E$2,FALSE),"")</f>
        <v>28.878924731182799</v>
      </c>
      <c r="AS7" s="71">
        <f t="shared" si="2"/>
        <v>2.2000226372382521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19</v>
      </c>
      <c r="AQ8" s="71">
        <f t="shared" si="1"/>
        <v>30.068421052631578</v>
      </c>
      <c r="AR8" s="71">
        <f>IFERROR(VLOOKUP(A8,Climatologia_TMED!A:U,9+$E$2,FALSE),"")</f>
        <v>28.663204007006499</v>
      </c>
      <c r="AS8" s="71">
        <f t="shared" si="2"/>
        <v>1.4052170456250792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19</v>
      </c>
      <c r="AQ9" s="71">
        <f t="shared" si="1"/>
        <v>29.978947368421053</v>
      </c>
      <c r="AR9" s="71">
        <f>IFERROR(VLOOKUP(A9,Climatologia_TMED!A:U,9+$E$2,FALSE),"")</f>
        <v>29.925161290322539</v>
      </c>
      <c r="AS9" s="71">
        <f t="shared" si="2"/>
        <v>5.3786078098514878E-2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19</v>
      </c>
      <c r="AQ10" s="71">
        <f t="shared" si="1"/>
        <v>31.926315789473687</v>
      </c>
      <c r="AR10" s="71">
        <f>IFERROR(VLOOKUP(A10,Climatologia_TMED!A:U,9+$E$2,FALSE),"")</f>
        <v>29.55639347861802</v>
      </c>
      <c r="AS10" s="71">
        <f t="shared" si="2"/>
        <v>2.3699223108556673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19</v>
      </c>
      <c r="AQ11" s="71">
        <f t="shared" si="1"/>
        <v>33.110526315789471</v>
      </c>
      <c r="AR11" s="71">
        <f>IFERROR(VLOOKUP(A11,Climatologia_TMED!A:U,9+$E$2,FALSE),"")</f>
        <v>29.275519036173971</v>
      </c>
      <c r="AS11" s="71">
        <f t="shared" si="2"/>
        <v>3.8350072796154997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19</v>
      </c>
      <c r="AQ12" s="71">
        <f t="shared" si="1"/>
        <v>30.047368421052624</v>
      </c>
      <c r="AR12" s="71">
        <f>IFERROR(VLOOKUP(A12,Climatologia_TMED!A:U,9+$E$2,FALSE),"")</f>
        <v>28.08210560234475</v>
      </c>
      <c r="AS12" s="71">
        <f t="shared" si="2"/>
        <v>1.965262818707874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19</v>
      </c>
      <c r="AQ13" s="71">
        <f t="shared" si="1"/>
        <v>30.936842105263157</v>
      </c>
      <c r="AR13" s="71">
        <f>IFERROR(VLOOKUP(A13,Climatologia_TMED!A:U,9+$E$2,FALSE),"")</f>
        <v>28.275630329996261</v>
      </c>
      <c r="AS13" s="71">
        <f t="shared" si="2"/>
        <v>2.6612117752668958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19</v>
      </c>
      <c r="AQ14" s="71">
        <f t="shared" si="1"/>
        <v>24.599999999999998</v>
      </c>
      <c r="AR14" s="71">
        <f>IFERROR(VLOOKUP(A14,Climatologia_TMED!A:U,9+$E$2,FALSE),"")</f>
        <v>21.814997932175341</v>
      </c>
      <c r="AS14" s="71">
        <f t="shared" si="2"/>
        <v>2.7850020678246565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19</v>
      </c>
      <c r="AQ15" s="71">
        <f t="shared" si="1"/>
        <v>30.900000000000002</v>
      </c>
      <c r="AR15" s="71">
        <f>IFERROR(VLOOKUP(A15,Climatologia_TMED!A:U,9+$E$2,FALSE),"")</f>
        <v>28.742611827956981</v>
      </c>
      <c r="AS15" s="71">
        <f t="shared" si="2"/>
        <v>2.1573881720430208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19</v>
      </c>
      <c r="AQ16" s="71">
        <f t="shared" si="1"/>
        <v>28.426315789473687</v>
      </c>
      <c r="AR16" s="71">
        <f>IFERROR(VLOOKUP(A16,Climatologia_TMED!A:U,9+$E$2,FALSE),"")</f>
        <v>27.745849035404088</v>
      </c>
      <c r="AS16" s="71">
        <f t="shared" si="2"/>
        <v>0.68046675406959878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19</v>
      </c>
      <c r="AQ17" s="71">
        <f t="shared" si="1"/>
        <v>25.778947368421051</v>
      </c>
      <c r="AR17" s="71">
        <f>IFERROR(VLOOKUP(A17,Climatologia_TMED!A:U,9+$E$2,FALSE),"")</f>
        <v>23.942684331797231</v>
      </c>
      <c r="AS17" s="71">
        <f t="shared" si="2"/>
        <v>1.8362630366238193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19</v>
      </c>
      <c r="AQ18" s="71">
        <f t="shared" si="1"/>
        <v>19.215789473684215</v>
      </c>
      <c r="AR18" s="71">
        <f>IFERROR(VLOOKUP(A18,Climatologia_TMED!A:U,9+$E$2,FALSE),"")</f>
        <v>17.429768704357489</v>
      </c>
      <c r="AS18" s="71">
        <f t="shared" si="2"/>
        <v>1.7860207693267256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19</v>
      </c>
      <c r="AQ19" s="71">
        <f t="shared" si="1"/>
        <v>24.531578947368423</v>
      </c>
      <c r="AR19" s="71">
        <f>IFERROR(VLOOKUP(A19,Climatologia_TMED!A:U,9+$E$2,FALSE),"")</f>
        <v>22.368290322580641</v>
      </c>
      <c r="AS19" s="71">
        <f t="shared" si="2"/>
        <v>2.1632886247877821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18</v>
      </c>
      <c r="AQ20" s="71">
        <f t="shared" si="1"/>
        <v>24.611111111111107</v>
      </c>
      <c r="AR20" s="71">
        <f>IFERROR(VLOOKUP(A20,Climatologia_TMED!A:U,9+$E$2,FALSE),"")</f>
        <v>22.807707609594701</v>
      </c>
      <c r="AS20" s="71">
        <f t="shared" si="2"/>
        <v>1.8034035015164065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19</v>
      </c>
      <c r="AQ21" s="71">
        <f t="shared" si="1"/>
        <v>28.26315789473685</v>
      </c>
      <c r="AR21" s="71">
        <f>IFERROR(VLOOKUP(A21,Climatologia_TMED!A:U,9+$E$2,FALSE),"")</f>
        <v>25.445872233516159</v>
      </c>
      <c r="AS21" s="71">
        <f t="shared" si="2"/>
        <v>2.8172856612206907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19</v>
      </c>
      <c r="AQ22" s="71">
        <f t="shared" si="1"/>
        <v>15.752631578947369</v>
      </c>
      <c r="AR22" s="71">
        <f>IFERROR(VLOOKUP(A22,Climatologia_TMED!A:U,9+$E$2,FALSE),"")</f>
        <v>13.827819728473219</v>
      </c>
      <c r="AS22" s="71">
        <f t="shared" si="2"/>
        <v>1.9248118504741498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18</v>
      </c>
      <c r="AQ23" s="71">
        <f t="shared" si="1"/>
        <v>26.161111111111111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19</v>
      </c>
      <c r="AQ24" s="71">
        <f t="shared" si="1"/>
        <v>30.605263157894743</v>
      </c>
      <c r="AR24" s="71">
        <f>IFERROR(VLOOKUP(A24,Climatologia_TMED!A:U,9+$E$2,FALSE),"")</f>
        <v>29.117078853046579</v>
      </c>
      <c r="AS24" s="71">
        <f t="shared" si="2"/>
        <v>1.4881843048481649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19</v>
      </c>
      <c r="AQ25" s="71">
        <f t="shared" si="1"/>
        <v>22.457894736842107</v>
      </c>
      <c r="AR25" s="71">
        <f>IFERROR(VLOOKUP(A25,Climatologia_TMED!A:U,9+$E$2,FALSE),"")</f>
        <v>20.318073144829391</v>
      </c>
      <c r="AS25" s="71">
        <f t="shared" si="2"/>
        <v>2.1398215920127157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19</v>
      </c>
      <c r="AQ26" s="71">
        <f t="shared" si="1"/>
        <v>11.515789473684208</v>
      </c>
      <c r="AR26" s="71">
        <f>IFERROR(VLOOKUP(A26,Climatologia_TMED!A:U,9+$E$2,FALSE),"")</f>
        <v>10.2499147200593</v>
      </c>
      <c r="AS26" s="71">
        <f t="shared" si="2"/>
        <v>1.2658747536249084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19</v>
      </c>
      <c r="AQ27" s="71">
        <f t="shared" si="1"/>
        <v>28.168421052631576</v>
      </c>
      <c r="AR27" s="71">
        <f>IFERROR(VLOOKUP(A27,Climatologia_TMED!A:U,9+$E$2,FALSE),"")</f>
        <v>26.978227598566299</v>
      </c>
      <c r="AS27" s="71">
        <f t="shared" si="2"/>
        <v>1.1901934540652768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19</v>
      </c>
      <c r="AQ28" s="71">
        <f t="shared" si="1"/>
        <v>27.821052631578944</v>
      </c>
      <c r="AR28" s="71">
        <f>IFERROR(VLOOKUP(A28,Climatologia_TMED!A:U,9+$E$2,FALSE),"")</f>
        <v>26.165451660622249</v>
      </c>
      <c r="AS28" s="71">
        <f t="shared" si="2"/>
        <v>1.6556009709566943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19</v>
      </c>
      <c r="AQ29" s="71">
        <f t="shared" si="1"/>
        <v>27.715789473684218</v>
      </c>
      <c r="AR29" s="71">
        <f>IFERROR(VLOOKUP(A29,Climatologia_TMED!A:U,9+$E$2,FALSE),"")</f>
        <v>27.268435099846361</v>
      </c>
      <c r="AS29" s="71">
        <f t="shared" si="2"/>
        <v>0.44735437383785737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19</v>
      </c>
      <c r="AQ30" s="71">
        <f t="shared" si="1"/>
        <v>26.07368421052632</v>
      </c>
      <c r="AR30" s="71">
        <f>IFERROR(VLOOKUP(A30,Climatologia_TMED!A:U,9+$E$2,FALSE),"")</f>
        <v>25.205756395995511</v>
      </c>
      <c r="AS30" s="71">
        <f t="shared" si="2"/>
        <v>0.86792781453080892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19</v>
      </c>
      <c r="AQ31" s="71">
        <f t="shared" si="1"/>
        <v>27.515789473684208</v>
      </c>
      <c r="AR31" s="71">
        <f>IFERROR(VLOOKUP(A31,Climatologia_TMED!A:U,9+$E$2,FALSE),"")</f>
        <v>25.960296951277201</v>
      </c>
      <c r="AS31" s="71">
        <f t="shared" si="2"/>
        <v>1.5554925224070075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19</v>
      </c>
      <c r="AQ32" s="71">
        <f t="shared" si="1"/>
        <v>20.249122807017546</v>
      </c>
      <c r="AR32" s="71">
        <f>IFERROR(VLOOKUP(A32,Climatologia_TMED!A:U,9+$E$2,FALSE),"")</f>
        <v>17.69892835396929</v>
      </c>
      <c r="AS32" s="71">
        <f t="shared" si="2"/>
        <v>2.5501944530482561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19</v>
      </c>
      <c r="AQ33" s="71">
        <f t="shared" si="1"/>
        <v>28.007894736842104</v>
      </c>
      <c r="AR33" s="71">
        <f>IFERROR(VLOOKUP(A33,Climatologia_TMED!A:U,9+$E$2,FALSE),"")</f>
        <v>26.885476337530289</v>
      </c>
      <c r="AS33" s="71">
        <f t="shared" si="2"/>
        <v>1.1224183993118153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19</v>
      </c>
      <c r="AQ34" s="71">
        <f t="shared" si="1"/>
        <v>21.624561403508768</v>
      </c>
      <c r="AR34" s="71">
        <f>IFERROR(VLOOKUP(A34,Climatologia_TMED!A:U,9+$E$2,FALSE),"")</f>
        <v>19.861806556333011</v>
      </c>
      <c r="AS34" s="71">
        <f t="shared" si="2"/>
        <v>1.7627548471757564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19</v>
      </c>
      <c r="AQ35" s="71">
        <f t="shared" si="1"/>
        <v>25.169736842105266</v>
      </c>
      <c r="AR35" s="71">
        <f>IFERROR(VLOOKUP(A35,Climatologia_TMED!A:U,9+$E$2,FALSE),"")</f>
        <v>24.163939937062029</v>
      </c>
      <c r="AS35" s="71">
        <f t="shared" si="2"/>
        <v>1.0057969050432369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19</v>
      </c>
      <c r="AQ36" s="71">
        <f t="shared" si="1"/>
        <v>20.11578947368421</v>
      </c>
      <c r="AR36" s="71">
        <f>IFERROR(VLOOKUP(A36,Climatologia_TMED!A:U,9+$E$2,FALSE),"")</f>
        <v>18.948390779307498</v>
      </c>
      <c r="AS36" s="71">
        <f t="shared" si="2"/>
        <v>1.1673986943767112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19</v>
      </c>
      <c r="AQ37" s="71">
        <f t="shared" si="1"/>
        <v>27.978947368421046</v>
      </c>
      <c r="AR37" s="71">
        <f>IFERROR(VLOOKUP(A37,Climatologia_TMED!A:U,9+$E$2,FALSE),"")</f>
        <v>26.09341273397051</v>
      </c>
      <c r="AS37" s="71">
        <f t="shared" si="2"/>
        <v>1.8855346344505364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18</v>
      </c>
      <c r="AQ38" s="71">
        <f t="shared" si="1"/>
        <v>16.172222222222224</v>
      </c>
      <c r="AR38" s="71">
        <f>IFERROR(VLOOKUP(A38,Climatologia_TMED!A:U,9+$E$2,FALSE),"")</f>
        <v>15.0852109133605</v>
      </c>
      <c r="AS38" s="71">
        <f t="shared" si="2"/>
        <v>1.0870113088617241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19</v>
      </c>
      <c r="AQ39" s="71">
        <f t="shared" si="1"/>
        <v>23.038596491228066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14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20.568518518518516</v>
      </c>
      <c r="AR41" s="71">
        <f>IFERROR(VLOOKUP(A41,Climatologia_TMED!A:U,9+$E$2,FALSE),"")</f>
        <v>18.50720543555942</v>
      </c>
      <c r="AS41" s="71">
        <f t="shared" si="2"/>
        <v>2.0613130829590958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19</v>
      </c>
      <c r="AQ42" s="71">
        <f t="shared" si="1"/>
        <v>28.08421052631579</v>
      </c>
      <c r="AR42" s="71">
        <f>IFERROR(VLOOKUP(A42,Climatologia_TMED!A:U,9+$E$2,FALSE),"")</f>
        <v>27.517114695340499</v>
      </c>
      <c r="AS42" s="71">
        <f t="shared" si="2"/>
        <v>0.56709583097529048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18</v>
      </c>
      <c r="AQ43" s="71">
        <f t="shared" si="1"/>
        <v>29.400000000000002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19</v>
      </c>
      <c r="AQ44" s="71">
        <f t="shared" si="1"/>
        <v>28.755263157894738</v>
      </c>
      <c r="AR44" s="71">
        <f>IFERROR(VLOOKUP(A44,Climatologia_TMED!A:U,9+$E$2,FALSE),"")</f>
        <v>27.22851750737534</v>
      </c>
      <c r="AS44" s="71">
        <f t="shared" si="2"/>
        <v>1.5267456505193984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19</v>
      </c>
      <c r="AQ45" s="71">
        <f t="shared" si="1"/>
        <v>29.210526315789473</v>
      </c>
      <c r="AR45" s="71">
        <f>IFERROR(VLOOKUP(A45,Climatologia_TMED!A:U,9+$E$2,FALSE),"")</f>
        <v>27.597106102685618</v>
      </c>
      <c r="AS45" s="71">
        <f t="shared" si="2"/>
        <v>1.6134202131038542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19</v>
      </c>
      <c r="AQ46" s="71">
        <f t="shared" si="1"/>
        <v>28.946052631578944</v>
      </c>
      <c r="AR46" s="71">
        <f>IFERROR(VLOOKUP(A46,Climatologia_TMED!A:U,9+$E$2,FALSE),"")</f>
        <v>27.738976943755159</v>
      </c>
      <c r="AS46" s="71">
        <f t="shared" si="2"/>
        <v>1.2070756878237852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17</v>
      </c>
      <c r="AQ47" s="71">
        <f t="shared" si="1"/>
        <v>30.049019607843135</v>
      </c>
      <c r="AR47" s="71">
        <f>IFERROR(VLOOKUP(A47,Climatologia_TMED!A:U,9+$E$2,FALSE),"")</f>
        <v>27.87742247854888</v>
      </c>
      <c r="AS47" s="71">
        <f t="shared" si="2"/>
        <v>2.1715971292942555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19</v>
      </c>
      <c r="AQ50" s="71">
        <f t="shared" si="1"/>
        <v>29.18684210526316</v>
      </c>
      <c r="AR50" s="71">
        <f>IFERROR(VLOOKUP(A50,Climatologia_TMED!A:U,9+$E$2,FALSE),"")</f>
        <v>27.21920614995987</v>
      </c>
      <c r="AS50" s="71">
        <f t="shared" si="2"/>
        <v>1.9676359553032903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19</v>
      </c>
      <c r="AQ53" s="71">
        <f t="shared" si="1"/>
        <v>28.857894736842102</v>
      </c>
      <c r="AR53" s="71">
        <f>IFERROR(VLOOKUP(A53,Climatologia_TMED!A:U,9+$E$2,FALSE),"")</f>
        <v>27.2190910764708</v>
      </c>
      <c r="AS53" s="71">
        <f t="shared" si="2"/>
        <v>1.6388036603713019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19</v>
      </c>
      <c r="AQ54" s="71">
        <f t="shared" si="1"/>
        <v>30.134210526315794</v>
      </c>
      <c r="AR54" s="71">
        <f>IFERROR(VLOOKUP(A54,Climatologia_TMED!A:U,9+$E$2,FALSE),"")</f>
        <v>28.41139216335926</v>
      </c>
      <c r="AS54" s="71">
        <f t="shared" si="2"/>
        <v>1.7228183629565343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18</v>
      </c>
      <c r="AQ55" s="71">
        <f t="shared" si="1"/>
        <v>30.491666666666667</v>
      </c>
      <c r="AR55" s="71">
        <f>IFERROR(VLOOKUP(A55,Climatologia_TMED!A:U,9+$E$2,FALSE),"")</f>
        <v>28.417502124868491</v>
      </c>
      <c r="AS55" s="71">
        <f t="shared" si="2"/>
        <v>2.0741645417981758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19</v>
      </c>
      <c r="AQ59" s="71">
        <f t="shared" si="1"/>
        <v>28.855263157894736</v>
      </c>
      <c r="AR59" s="71">
        <f>IFERROR(VLOOKUP(A59,Climatologia_TMED!A:U,9+$E$2,FALSE),"")</f>
        <v>27.95576397141701</v>
      </c>
      <c r="AS59" s="71">
        <f t="shared" si="2"/>
        <v>0.8994991864777262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19</v>
      </c>
      <c r="AQ61" s="71">
        <f t="shared" si="1"/>
        <v>27.121052631578952</v>
      </c>
      <c r="AR61" s="71">
        <f>IFERROR(VLOOKUP(A61,Climatologia_TMED!A:U,9+$E$2,FALSE),"")</f>
        <v>26.14540821795481</v>
      </c>
      <c r="AS61" s="71">
        <f t="shared" si="2"/>
        <v>0.975644413624142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19</v>
      </c>
      <c r="AQ62" s="71">
        <f t="shared" si="1"/>
        <v>26.698245614035084</v>
      </c>
      <c r="AR62" s="71">
        <f>IFERROR(VLOOKUP(A62,Climatologia_TMED!A:U,9+$E$2,FALSE),"")</f>
        <v>25.12904940316772</v>
      </c>
      <c r="AS62" s="71">
        <f t="shared" si="2"/>
        <v>1.5691962108673643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19</v>
      </c>
      <c r="AQ65" s="71">
        <f t="shared" si="1"/>
        <v>25.997368421052634</v>
      </c>
      <c r="AR65" s="71">
        <f>IFERROR(VLOOKUP(A65,Climatologia_TMED!A:U,9+$E$2,FALSE),"")</f>
        <v>25.359269039673709</v>
      </c>
      <c r="AS65" s="71">
        <f t="shared" si="2"/>
        <v>0.6380993813789253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19</v>
      </c>
      <c r="AQ66" s="71">
        <f t="shared" si="1"/>
        <v>25.992105263157896</v>
      </c>
      <c r="AR66" s="71">
        <f>IFERROR(VLOOKUP(A66,Climatologia_TMED!A:U,9+$E$2,FALSE),"")</f>
        <v>25.449219842417062</v>
      </c>
      <c r="AS66" s="71">
        <f t="shared" si="2"/>
        <v>0.54288542074083423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18</v>
      </c>
      <c r="AQ67" s="71">
        <f t="shared" si="1"/>
        <v>26.294444444444444</v>
      </c>
      <c r="AR67" s="71">
        <f>IFERROR(VLOOKUP(A67,Climatologia_TMED!A:U,9+$E$2,FALSE),"")</f>
        <v>25.277101656093599</v>
      </c>
      <c r="AS67" s="71">
        <f t="shared" si="2"/>
        <v>1.0173427883508452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19</v>
      </c>
      <c r="AQ68" s="71">
        <f t="shared" si="1"/>
        <v>25.715789473684207</v>
      </c>
      <c r="AR68" s="71">
        <f>IFERROR(VLOOKUP(A68,Climatologia_TMED!A:U,9+$E$2,FALSE),"")</f>
        <v>25.105050309426691</v>
      </c>
      <c r="AS68" s="71">
        <f t="shared" si="2"/>
        <v>0.61073916425751662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19</v>
      </c>
      <c r="AQ69" s="71">
        <f t="shared" ref="AQ69:AQ132" si="4">IF(AP69&gt;14,AVERAGE(K69:AO69),"")</f>
        <v>25.634210526315787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0.77447639209748687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15</v>
      </c>
      <c r="AQ70" s="71">
        <f t="shared" si="4"/>
        <v>27.459999999999997</v>
      </c>
      <c r="AR70" s="71">
        <f>IFERROR(VLOOKUP(A70,Climatologia_TMED!A:U,9+$E$2,FALSE),"")</f>
        <v>26.28861277959394</v>
      </c>
      <c r="AS70" s="71">
        <f t="shared" si="5"/>
        <v>1.1713872204060571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19</v>
      </c>
      <c r="AQ71" s="71">
        <f t="shared" si="4"/>
        <v>26.470175438596492</v>
      </c>
      <c r="AR71" s="71">
        <f>IFERROR(VLOOKUP(A71,Climatologia_TMED!A:U,9+$E$2,FALSE),"")</f>
        <v>26.117252164977831</v>
      </c>
      <c r="AS71" s="71">
        <f t="shared" si="5"/>
        <v>0.35292327361866072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18</v>
      </c>
      <c r="AQ72" s="71">
        <f t="shared" si="4"/>
        <v>25.964814814814815</v>
      </c>
      <c r="AR72" s="71">
        <f>IFERROR(VLOOKUP(A72,Climatologia_TMED!A:U,9+$E$2,FALSE),"")</f>
        <v>25.27783516958878</v>
      </c>
      <c r="AS72" s="71">
        <f t="shared" si="5"/>
        <v>0.68697964522603527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12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>
        <v>23.3</v>
      </c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18</v>
      </c>
      <c r="AQ74" s="71">
        <f t="shared" si="4"/>
        <v>21.347222222222221</v>
      </c>
      <c r="AR74" s="71">
        <f>IFERROR(VLOOKUP(A74,Climatologia_TMED!A:U,9+$E$2,FALSE),"")</f>
        <v>20.33780487249993</v>
      </c>
      <c r="AS74" s="71">
        <f t="shared" si="5"/>
        <v>1.0094173497222911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18</v>
      </c>
      <c r="AQ75" s="71">
        <f t="shared" si="4"/>
        <v>15.825925925925926</v>
      </c>
      <c r="AR75" s="71">
        <f>IFERROR(VLOOKUP(A75,Climatologia_TMED!A:U,9+$E$2,FALSE),"")</f>
        <v>15.196816531610249</v>
      </c>
      <c r="AS75" s="71">
        <f t="shared" si="5"/>
        <v>0.6291093943156767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19</v>
      </c>
      <c r="AQ76" s="71">
        <f t="shared" si="4"/>
        <v>20.721052631578942</v>
      </c>
      <c r="AR76" s="71">
        <f>IFERROR(VLOOKUP(A76,Climatologia_TMED!A:U,9+$E$2,FALSE),"")</f>
        <v>19.97314578052206</v>
      </c>
      <c r="AS76" s="71">
        <f t="shared" si="5"/>
        <v>0.74790685105688226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19</v>
      </c>
      <c r="AQ77" s="71">
        <f t="shared" si="4"/>
        <v>24.708771929824557</v>
      </c>
      <c r="AR77" s="71">
        <f>IFERROR(VLOOKUP(A77,Climatologia_TMED!A:U,9+$E$2,FALSE),"")</f>
        <v>23.041557017477079</v>
      </c>
      <c r="AS77" s="71">
        <f t="shared" si="5"/>
        <v>1.6672149123474789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19</v>
      </c>
      <c r="AQ78" s="71">
        <f t="shared" si="4"/>
        <v>32.099999999999994</v>
      </c>
      <c r="AR78" s="71">
        <f>IFERROR(VLOOKUP(A78,Climatologia_TMED!A:U,9+$E$2,FALSE),"")</f>
        <v>30.200545349460899</v>
      </c>
      <c r="AS78" s="71">
        <f t="shared" si="5"/>
        <v>1.899454650539095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19</v>
      </c>
      <c r="AQ79" s="71">
        <f t="shared" si="4"/>
        <v>31.673684210526314</v>
      </c>
      <c r="AR79" s="71">
        <f>IFERROR(VLOOKUP(A79,Climatologia_TMED!A:U,9+$E$2,FALSE),"")</f>
        <v>30.2833215669562</v>
      </c>
      <c r="AS79" s="71">
        <f t="shared" si="5"/>
        <v>1.3903626435701142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19</v>
      </c>
      <c r="AQ80" s="71">
        <f t="shared" si="4"/>
        <v>21.189473684210526</v>
      </c>
      <c r="AR80" s="71">
        <f>IFERROR(VLOOKUP(A80,Climatologia_TMED!A:U,9+$E$2,FALSE),"")</f>
        <v>19.906859619029429</v>
      </c>
      <c r="AS80" s="71">
        <f t="shared" si="5"/>
        <v>1.2826140651810967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19</v>
      </c>
      <c r="AQ81" s="71">
        <f t="shared" si="4"/>
        <v>25.060526315789478</v>
      </c>
      <c r="AR81" s="71">
        <f>IFERROR(VLOOKUP(A81,Climatologia_TMED!A:U,9+$E$2,FALSE),"")</f>
        <v>24.759854360077661</v>
      </c>
      <c r="AS81" s="71">
        <f t="shared" si="5"/>
        <v>0.30067195571181671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18</v>
      </c>
      <c r="AQ82" s="71">
        <f t="shared" si="4"/>
        <v>26.659259259259258</v>
      </c>
      <c r="AR82" s="71">
        <f>IFERROR(VLOOKUP(A82,Climatologia_TMED!A:U,9+$E$2,FALSE),"")</f>
        <v>25.773428481765642</v>
      </c>
      <c r="AS82" s="71">
        <f t="shared" si="5"/>
        <v>0.88583077749361649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19</v>
      </c>
      <c r="AQ85" s="71">
        <f t="shared" si="4"/>
        <v>31.957894736842107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17</v>
      </c>
      <c r="AQ86" s="71">
        <f t="shared" si="4"/>
        <v>30.347058823529409</v>
      </c>
      <c r="AR86" s="71">
        <f>IFERROR(VLOOKUP(A86,Climatologia_TMED!A:U,9+$E$2,FALSE),"")</f>
        <v>28.83382033964488</v>
      </c>
      <c r="AS86" s="71">
        <f t="shared" si="5"/>
        <v>1.5132384838845283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17</v>
      </c>
      <c r="AQ87" s="71">
        <f t="shared" si="4"/>
        <v>30.869117647058822</v>
      </c>
      <c r="AR87" s="71">
        <f>IFERROR(VLOOKUP(A87,Climatologia_TMED!A:U,9+$E$2,FALSE),"")</f>
        <v>28.894325312819621</v>
      </c>
      <c r="AS87" s="71">
        <f t="shared" si="5"/>
        <v>1.9747923342392006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19</v>
      </c>
      <c r="AQ88" s="71">
        <f t="shared" si="4"/>
        <v>30.244736842105269</v>
      </c>
      <c r="AR88" s="71">
        <f>IFERROR(VLOOKUP(A88,Climatologia_TMED!A:U,9+$E$2,FALSE),"")</f>
        <v>28.344159946236552</v>
      </c>
      <c r="AS88" s="71">
        <f t="shared" si="5"/>
        <v>1.900576895868717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16</v>
      </c>
      <c r="AQ89" s="71">
        <f t="shared" si="4"/>
        <v>32.825000000000003</v>
      </c>
      <c r="AR89" s="71">
        <f>IFERROR(VLOOKUP(A89,Climatologia_TMED!A:U,9+$E$2,FALSE),"")</f>
        <v>29.044183635472439</v>
      </c>
      <c r="AS89" s="71">
        <f t="shared" si="5"/>
        <v>3.7808163645275634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19</v>
      </c>
      <c r="AQ90" s="71">
        <f t="shared" si="4"/>
        <v>32.375</v>
      </c>
      <c r="AR90" s="71">
        <f>IFERROR(VLOOKUP(A90,Climatologia_TMED!A:U,9+$E$2,FALSE),"")</f>
        <v>28.656630487957131</v>
      </c>
      <c r="AS90" s="71">
        <f t="shared" si="5"/>
        <v>3.7183695120428695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16</v>
      </c>
      <c r="AQ91" s="71">
        <f t="shared" si="4"/>
        <v>32.6875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19</v>
      </c>
      <c r="AQ92" s="71">
        <f t="shared" si="4"/>
        <v>17.847368421052629</v>
      </c>
      <c r="AR92" s="71">
        <f>IFERROR(VLOOKUP(A92,Climatologia_TMED!A:U,9+$E$2,FALSE),"")</f>
        <v>16.21673046594978</v>
      </c>
      <c r="AS92" s="71">
        <f t="shared" si="5"/>
        <v>1.6306379551028485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19</v>
      </c>
      <c r="AQ93" s="71">
        <f t="shared" si="4"/>
        <v>24.766666666666669</v>
      </c>
      <c r="AR93" s="71">
        <f>IFERROR(VLOOKUP(A93,Climatologia_TMED!A:U,9+$E$2,FALSE),"")</f>
        <v>22.373011505376319</v>
      </c>
      <c r="AS93" s="71">
        <f t="shared" si="5"/>
        <v>2.3936551612903507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17</v>
      </c>
      <c r="AQ94" s="71">
        <f t="shared" si="4"/>
        <v>17.602941176470587</v>
      </c>
      <c r="AR94" s="71">
        <f>IFERROR(VLOOKUP(A94,Climatologia_TMED!A:U,9+$E$2,FALSE),"")</f>
        <v>16.186325847907689</v>
      </c>
      <c r="AS94" s="71">
        <f t="shared" si="5"/>
        <v>1.416615328562898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19</v>
      </c>
      <c r="AQ95" s="71">
        <f t="shared" si="4"/>
        <v>15.268421052631581</v>
      </c>
      <c r="AR95" s="71">
        <f>IFERROR(VLOOKUP(A95,Climatologia_TMED!A:U,9+$E$2,FALSE),"")</f>
        <v>13.65433628672837</v>
      </c>
      <c r="AS95" s="71">
        <f t="shared" si="5"/>
        <v>1.6140847659032111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19</v>
      </c>
      <c r="AQ98" s="71">
        <f t="shared" si="4"/>
        <v>13.1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19</v>
      </c>
      <c r="AQ99" s="71">
        <f t="shared" si="4"/>
        <v>15.157894736842108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18</v>
      </c>
      <c r="AQ100" s="71">
        <f t="shared" si="4"/>
        <v>16.100000000000001</v>
      </c>
      <c r="AR100" s="71">
        <f>IFERROR(VLOOKUP(A100,Climatologia_TMED!A:U,9+$E$2,FALSE),"")</f>
        <v>14.335275908930971</v>
      </c>
      <c r="AS100" s="71">
        <f t="shared" si="5"/>
        <v>1.7647240910690307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19</v>
      </c>
      <c r="AQ101" s="71">
        <f t="shared" si="4"/>
        <v>13.555263157894734</v>
      </c>
      <c r="AR101" s="71">
        <f>IFERROR(VLOOKUP(A101,Climatologia_TMED!A:U,9+$E$2,FALSE),"")</f>
        <v>12.395793750638649</v>
      </c>
      <c r="AS101" s="71">
        <f t="shared" si="5"/>
        <v>1.1594694072560845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16</v>
      </c>
      <c r="AQ102" s="71">
        <f t="shared" si="4"/>
        <v>13.095833333333333</v>
      </c>
      <c r="AR102" s="71">
        <f>IFERROR(VLOOKUP(A102,Climatologia_TMED!A:U,9+$E$2,FALSE),"")</f>
        <v>11.348393880387549</v>
      </c>
      <c r="AS102" s="71">
        <f t="shared" si="5"/>
        <v>1.747439452945784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15</v>
      </c>
      <c r="AQ105" s="71">
        <f t="shared" si="4"/>
        <v>18.786666666666669</v>
      </c>
      <c r="AR105" s="71">
        <f>IFERROR(VLOOKUP(A105,Climatologia_TMED!A:U,9+$E$2,FALSE),"")</f>
        <v>17.222389051882701</v>
      </c>
      <c r="AS105" s="71">
        <f t="shared" si="5"/>
        <v>1.5642776147839683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15</v>
      </c>
      <c r="AQ107" s="71">
        <f t="shared" si="4"/>
        <v>14.068888888888889</v>
      </c>
      <c r="AR107" s="71">
        <f>IFERROR(VLOOKUP(A107,Climatologia_TMED!A:U,9+$E$2,FALSE),"")</f>
        <v>13.6270649143767</v>
      </c>
      <c r="AS107" s="71">
        <f t="shared" si="5"/>
        <v>0.44182397451218947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19</v>
      </c>
      <c r="AQ108" s="71">
        <f t="shared" si="4"/>
        <v>14.302631578947368</v>
      </c>
      <c r="AR108" s="71">
        <f>IFERROR(VLOOKUP(A108,Climatologia_TMED!A:U,9+$E$2,FALSE),"")</f>
        <v>14.24758963832916</v>
      </c>
      <c r="AS108" s="71">
        <f t="shared" si="5"/>
        <v>5.5041940618208329E-2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19</v>
      </c>
      <c r="AQ109" s="71">
        <f t="shared" si="4"/>
        <v>14.978947368421052</v>
      </c>
      <c r="AR109" s="71">
        <f>IFERROR(VLOOKUP(A109,Climatologia_TMED!A:U,9+$E$2,FALSE),"")</f>
        <v>13.718935791090621</v>
      </c>
      <c r="AS109" s="71">
        <f t="shared" si="5"/>
        <v>1.260011577330431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15</v>
      </c>
      <c r="AQ110" s="71">
        <f t="shared" si="4"/>
        <v>17.559999999999999</v>
      </c>
      <c r="AR110" s="71">
        <f>IFERROR(VLOOKUP(A110,Climatologia_TMED!A:U,9+$E$2,FALSE),"")</f>
        <v>17.072890642646779</v>
      </c>
      <c r="AS110" s="71">
        <f t="shared" si="5"/>
        <v>0.48710935735321925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19</v>
      </c>
      <c r="AQ111" s="71">
        <f t="shared" si="4"/>
        <v>16.178947368421053</v>
      </c>
      <c r="AR111" s="71">
        <f>IFERROR(VLOOKUP(A111,Climatologia_TMED!A:U,9+$E$2,FALSE),"")</f>
        <v>15.45884618025514</v>
      </c>
      <c r="AS111" s="71">
        <f t="shared" si="5"/>
        <v>0.72010118816591273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19</v>
      </c>
      <c r="AQ112" s="71">
        <f t="shared" si="4"/>
        <v>18.387719298245614</v>
      </c>
      <c r="AR112" s="71">
        <f>IFERROR(VLOOKUP(A112,Climatologia_TMED!A:U,9+$E$2,FALSE),"")</f>
        <v>16.69989368729069</v>
      </c>
      <c r="AS112" s="71">
        <f t="shared" si="5"/>
        <v>1.6878256109549241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17</v>
      </c>
      <c r="AQ113" s="71">
        <f t="shared" si="4"/>
        <v>19.450980392156865</v>
      </c>
      <c r="AR113" s="71">
        <f>IFERROR(VLOOKUP(A113,Climatologia_TMED!A:U,9+$E$2,FALSE),"")</f>
        <v>18.084103151649959</v>
      </c>
      <c r="AS113" s="71">
        <f t="shared" si="5"/>
        <v>1.3668772405069056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16</v>
      </c>
      <c r="AQ114" s="71">
        <f t="shared" si="4"/>
        <v>22.504166666666666</v>
      </c>
      <c r="AR114" s="71">
        <f>IFERROR(VLOOKUP(A114,Climatologia_TMED!A:U,9+$E$2,FALSE),"")</f>
        <v>20.406627759107511</v>
      </c>
      <c r="AS114" s="71">
        <f t="shared" si="5"/>
        <v>2.0975389075591551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19</v>
      </c>
      <c r="AQ115" s="71">
        <f t="shared" si="4"/>
        <v>27.281578947368423</v>
      </c>
      <c r="AR115" s="71">
        <f>IFERROR(VLOOKUP(A115,Climatologia_TMED!A:U,9+$E$2,FALSE),"")</f>
        <v>26.548363201911549</v>
      </c>
      <c r="AS115" s="71">
        <f t="shared" si="5"/>
        <v>0.7332157454568744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19</v>
      </c>
      <c r="AQ116" s="71">
        <f t="shared" si="4"/>
        <v>19.508771929824558</v>
      </c>
      <c r="AR116" s="71">
        <f>IFERROR(VLOOKUP(A116,Climatologia_TMED!A:U,9+$E$2,FALSE),"")</f>
        <v>18.451479726130369</v>
      </c>
      <c r="AS116" s="71">
        <f t="shared" si="5"/>
        <v>1.057292203694189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18</v>
      </c>
      <c r="AQ117" s="71">
        <f t="shared" si="4"/>
        <v>27.162962962962965</v>
      </c>
      <c r="AR117" s="71">
        <f>IFERROR(VLOOKUP(A117,Climatologia_TMED!A:U,9+$E$2,FALSE),"")</f>
        <v>25.726306451612881</v>
      </c>
      <c r="AS117" s="71">
        <f t="shared" si="5"/>
        <v>1.4366565113500833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17</v>
      </c>
      <c r="AQ118" s="71">
        <f t="shared" si="4"/>
        <v>29.968627450980392</v>
      </c>
      <c r="AR118" s="71">
        <f>IFERROR(VLOOKUP(A118,Climatologia_TMED!A:U,9+$E$2,FALSE),"")</f>
        <v>26.064774193548381</v>
      </c>
      <c r="AS118" s="71">
        <f t="shared" si="5"/>
        <v>3.9038532574320115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16</v>
      </c>
      <c r="AQ119" s="71">
        <f t="shared" si="4"/>
        <v>24.016666666666666</v>
      </c>
      <c r="AR119" s="71">
        <f>IFERROR(VLOOKUP(A119,Climatologia_TMED!A:U,9+$E$2,FALSE),"")</f>
        <v>22.097715053763402</v>
      </c>
      <c r="AS119" s="71">
        <f t="shared" si="5"/>
        <v>1.918951612903264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19</v>
      </c>
      <c r="AQ122" s="71">
        <f t="shared" si="4"/>
        <v>12.610526315789475</v>
      </c>
      <c r="AR122" s="71">
        <f>IFERROR(VLOOKUP(A122,Climatologia_TMED!A:U,9+$E$2,FALSE),"")</f>
        <v>10.160420312062531</v>
      </c>
      <c r="AS122" s="71">
        <f t="shared" si="5"/>
        <v>2.450106003726944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18</v>
      </c>
      <c r="AQ124" s="71">
        <f t="shared" si="4"/>
        <v>15.437037037037035</v>
      </c>
      <c r="AR124" s="71">
        <f>IFERROR(VLOOKUP(A124,Climatologia_TMED!A:U,9+$E$2,FALSE),"")</f>
        <v>15.061040072324371</v>
      </c>
      <c r="AS124" s="71">
        <f t="shared" si="5"/>
        <v>0.37599696471266419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13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19</v>
      </c>
      <c r="AQ130" s="71">
        <f t="shared" si="4"/>
        <v>15.573684210526315</v>
      </c>
      <c r="AR130" s="71">
        <f>IFERROR(VLOOKUP(A130,Climatologia_TMED!A:U,9+$E$2,FALSE),"")</f>
        <v>14.37068910561999</v>
      </c>
      <c r="AS130" s="71">
        <f t="shared" si="5"/>
        <v>1.202995104906325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18</v>
      </c>
      <c r="AQ131" s="71">
        <f t="shared" si="4"/>
        <v>18.408333333333331</v>
      </c>
      <c r="AR131" s="71">
        <f>IFERROR(VLOOKUP(A131,Climatologia_TMED!A:U,9+$E$2,FALSE),"")</f>
        <v>17.018039759621502</v>
      </c>
      <c r="AS131" s="71">
        <f t="shared" si="5"/>
        <v>1.3902935737118298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19</v>
      </c>
      <c r="AQ133" s="71">
        <f t="shared" ref="AQ133:AQ196" si="7">IF(AP133&gt;14,AVERAGE(K133:AO133),"")</f>
        <v>13.633333333333335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1.0012688822930738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17</v>
      </c>
      <c r="AQ134" s="71">
        <f t="shared" si="7"/>
        <v>17.71764705882353</v>
      </c>
      <c r="AR134" s="71">
        <f>IFERROR(VLOOKUP(A134,Climatologia_TMED!A:U,9+$E$2,FALSE),"")</f>
        <v>15.77617103004156</v>
      </c>
      <c r="AS134" s="71">
        <f t="shared" si="8"/>
        <v>1.9414760287819703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18</v>
      </c>
      <c r="AQ135" s="71">
        <f t="shared" si="7"/>
        <v>20.848611111111111</v>
      </c>
      <c r="AR135" s="71">
        <f>IFERROR(VLOOKUP(A135,Climatologia_TMED!A:U,9+$E$2,FALSE),"")</f>
        <v>19.08404124452408</v>
      </c>
      <c r="AS135" s="71">
        <f t="shared" si="8"/>
        <v>1.7645698665870313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19</v>
      </c>
      <c r="AQ136" s="71">
        <f t="shared" si="7"/>
        <v>10.943859649122807</v>
      </c>
      <c r="AR136" s="71">
        <f>IFERROR(VLOOKUP(A136,Climatologia_TMED!A:U,9+$E$2,FALSE),"")</f>
        <v>10.862936379928311</v>
      </c>
      <c r="AS136" s="71">
        <f t="shared" si="8"/>
        <v>8.0923269194496328E-2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18</v>
      </c>
      <c r="AQ138" s="71">
        <f t="shared" si="7"/>
        <v>22.44074074074074</v>
      </c>
      <c r="AR138" s="71">
        <f>IFERROR(VLOOKUP(A138,Climatologia_TMED!A:U,9+$E$2,FALSE),"")</f>
        <v>20.235550356930549</v>
      </c>
      <c r="AS138" s="71">
        <f t="shared" si="8"/>
        <v>2.2051903838101907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19</v>
      </c>
      <c r="AQ139" s="71">
        <f t="shared" si="7"/>
        <v>13.718421052631578</v>
      </c>
      <c r="AR139" s="71">
        <f>IFERROR(VLOOKUP(A139,Climatologia_TMED!A:U,9+$E$2,FALSE),"")</f>
        <v>12.97471752858849</v>
      </c>
      <c r="AS139" s="71">
        <f t="shared" si="8"/>
        <v>0.74370352404308804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/>
      <c r="AC140" s="56">
        <v>16.2</v>
      </c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18</v>
      </c>
      <c r="AQ140" s="71">
        <f t="shared" si="7"/>
        <v>16.45</v>
      </c>
      <c r="AR140" s="71">
        <f>IFERROR(VLOOKUP(A140,Climatologia_TMED!A:U,9+$E$2,FALSE),"")</f>
        <v>15.718876344086</v>
      </c>
      <c r="AS140" s="71">
        <f t="shared" si="8"/>
        <v>0.73112365591399886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19</v>
      </c>
      <c r="AQ141" s="71">
        <f t="shared" si="7"/>
        <v>13.171929824561403</v>
      </c>
      <c r="AR141" s="71">
        <f>IFERROR(VLOOKUP(A141,Climatologia_TMED!A:U,9+$E$2,FALSE),"")</f>
        <v>11.969387238873461</v>
      </c>
      <c r="AS141" s="71">
        <f t="shared" si="8"/>
        <v>1.2025425856879419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18</v>
      </c>
      <c r="AQ142" s="71">
        <f t="shared" si="7"/>
        <v>11.165277777777776</v>
      </c>
      <c r="AR142" s="71">
        <f>IFERROR(VLOOKUP(A142,Climatologia_TMED!A:U,9+$E$2,FALSE),"")</f>
        <v>10.49248004916649</v>
      </c>
      <c r="AS142" s="71">
        <f t="shared" si="8"/>
        <v>0.67279772861128606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19</v>
      </c>
      <c r="AQ143" s="71">
        <f t="shared" si="7"/>
        <v>27.817543859649128</v>
      </c>
      <c r="AR143" s="71">
        <f>IFERROR(VLOOKUP(A143,Climatologia_TMED!A:U,9+$E$2,FALSE),"")</f>
        <v>25.992543202764971</v>
      </c>
      <c r="AS143" s="71">
        <f t="shared" si="8"/>
        <v>1.825000656884157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19</v>
      </c>
      <c r="AQ144" s="71">
        <f t="shared" si="7"/>
        <v>16.361403508771929</v>
      </c>
      <c r="AR144" s="71">
        <f>IFERROR(VLOOKUP(A144,Climatologia_TMED!A:U,9+$E$2,FALSE),"")</f>
        <v>15.9826099414474</v>
      </c>
      <c r="AS144" s="71">
        <f t="shared" si="8"/>
        <v>0.37879356732452862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19</v>
      </c>
      <c r="AQ145" s="71">
        <f t="shared" si="7"/>
        <v>20.5140350877193</v>
      </c>
      <c r="AR145" s="71">
        <f>IFERROR(VLOOKUP(A145,Climatologia_TMED!A:U,9+$E$2,FALSE),"")</f>
        <v>19.40683329936412</v>
      </c>
      <c r="AS145" s="71">
        <f t="shared" si="8"/>
        <v>1.1072017883551801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19</v>
      </c>
      <c r="AQ146" s="71">
        <f t="shared" si="7"/>
        <v>31.119298245614033</v>
      </c>
      <c r="AR146" s="71">
        <f>IFERROR(VLOOKUP(A146,Climatologia_TMED!A:U,9+$E$2,FALSE),"")</f>
        <v>29.306317625921391</v>
      </c>
      <c r="AS146" s="71">
        <f t="shared" si="8"/>
        <v>1.8129806196926417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19</v>
      </c>
      <c r="AQ147" s="71">
        <f t="shared" si="7"/>
        <v>26.445614035087722</v>
      </c>
      <c r="AR147" s="71">
        <f>IFERROR(VLOOKUP(A147,Climatologia_TMED!A:U,9+$E$2,FALSE),"")</f>
        <v>24.061574212155389</v>
      </c>
      <c r="AS147" s="71">
        <f t="shared" si="8"/>
        <v>2.3840398229323334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17</v>
      </c>
      <c r="AQ148" s="71">
        <f t="shared" si="7"/>
        <v>30.91764705882353</v>
      </c>
      <c r="AR148" s="71">
        <f>IFERROR(VLOOKUP(A148,Climatologia_TMED!A:U,9+$E$2,FALSE),"")</f>
        <v>29.17936497960693</v>
      </c>
      <c r="AS148" s="71">
        <f t="shared" si="8"/>
        <v>1.7382820792165994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19</v>
      </c>
      <c r="AQ149" s="71">
        <f t="shared" si="7"/>
        <v>24.305263157894739</v>
      </c>
      <c r="AR149" s="71">
        <f>IFERROR(VLOOKUP(A149,Climatologia_TMED!A:U,9+$E$2,FALSE),"")</f>
        <v>21.98128955804011</v>
      </c>
      <c r="AS149" s="71">
        <f t="shared" si="8"/>
        <v>2.3239735998546287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16</v>
      </c>
      <c r="AQ151" s="71">
        <f t="shared" si="7"/>
        <v>24.370833333333337</v>
      </c>
      <c r="AR151" s="71">
        <f>IFERROR(VLOOKUP(A151,Climatologia_TMED!A:U,9+$E$2,FALSE),"")</f>
        <v>21.718227316119769</v>
      </c>
      <c r="AS151" s="71">
        <f t="shared" si="8"/>
        <v>2.6526060172135679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19</v>
      </c>
      <c r="AQ154" s="71">
        <f t="shared" si="7"/>
        <v>21.09210526315789</v>
      </c>
      <c r="AR154" s="71">
        <f>IFERROR(VLOOKUP(A154,Climatologia_TMED!A:U,9+$E$2,FALSE),"")</f>
        <v>19.603370199692769</v>
      </c>
      <c r="AS154" s="71">
        <f t="shared" si="8"/>
        <v>1.4887350634651213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18</v>
      </c>
      <c r="AQ155" s="71">
        <f t="shared" si="7"/>
        <v>29.092592592592592</v>
      </c>
      <c r="AR155" s="71">
        <f>IFERROR(VLOOKUP(A155,Climatologia_TMED!A:U,9+$E$2,FALSE),"")</f>
        <v>27.798082822950249</v>
      </c>
      <c r="AS155" s="71">
        <f t="shared" si="8"/>
        <v>1.2945097696423424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17</v>
      </c>
      <c r="AQ157" s="71">
        <f t="shared" si="7"/>
        <v>30.094117647058823</v>
      </c>
      <c r="AR157" s="71">
        <f>IFERROR(VLOOKUP(A157,Climatologia_TMED!A:U,9+$E$2,FALSE),"")</f>
        <v>27.586074724019738</v>
      </c>
      <c r="AS157" s="71">
        <f t="shared" si="8"/>
        <v>2.5080429230390848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18</v>
      </c>
      <c r="AQ158" s="71">
        <f t="shared" si="7"/>
        <v>30.692592592592593</v>
      </c>
      <c r="AR158" s="71">
        <f>IFERROR(VLOOKUP(A158,Climatologia_TMED!A:U,9+$E$2,FALSE),"")</f>
        <v>28.018688345149439</v>
      </c>
      <c r="AS158" s="71">
        <f t="shared" si="8"/>
        <v>2.6739042474431542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19</v>
      </c>
      <c r="AQ159" s="71">
        <f t="shared" si="7"/>
        <v>21.277192982456139</v>
      </c>
      <c r="AR159" s="71">
        <f>IFERROR(VLOOKUP(A159,Climatologia_TMED!A:U,9+$E$2,FALSE),"")</f>
        <v>19.083052786798319</v>
      </c>
      <c r="AS159" s="71">
        <f t="shared" si="8"/>
        <v>2.1941401956578197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17</v>
      </c>
      <c r="AQ160" s="71">
        <f t="shared" si="7"/>
        <v>27.749019607843135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15</v>
      </c>
      <c r="AQ161" s="71">
        <f t="shared" si="7"/>
        <v>20.128888888888888</v>
      </c>
      <c r="AR161" s="71">
        <f>IFERROR(VLOOKUP(A161,Climatologia_TMED!A:U,9+$E$2,FALSE),"")</f>
        <v>17.518211901578969</v>
      </c>
      <c r="AS161" s="71">
        <f t="shared" si="8"/>
        <v>2.6106769873099189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19</v>
      </c>
      <c r="AQ162" s="71">
        <f t="shared" si="7"/>
        <v>28.942105263157899</v>
      </c>
      <c r="AR162" s="71">
        <f>IFERROR(VLOOKUP(A162,Climatologia_TMED!A:U,9+$E$2,FALSE),"")</f>
        <v>28.49681537062899</v>
      </c>
      <c r="AS162" s="71">
        <f t="shared" si="8"/>
        <v>0.44528989252890838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19</v>
      </c>
      <c r="AQ163" s="71">
        <f t="shared" si="7"/>
        <v>21.821052631578947</v>
      </c>
      <c r="AR163" s="71">
        <f>IFERROR(VLOOKUP(A163,Climatologia_TMED!A:U,9+$E$2,FALSE),"")</f>
        <v>21.304846458288491</v>
      </c>
      <c r="AS163" s="71">
        <f t="shared" si="8"/>
        <v>0.51620617329045615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19</v>
      </c>
      <c r="AQ164" s="71">
        <f t="shared" si="7"/>
        <v>25.807894736842105</v>
      </c>
      <c r="AR164" s="71">
        <f>IFERROR(VLOOKUP(A164,Climatologia_TMED!A:U,9+$E$2,FALSE),"")</f>
        <v>23.886011584659681</v>
      </c>
      <c r="AS164" s="71">
        <f t="shared" si="8"/>
        <v>1.9218831521824242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19</v>
      </c>
      <c r="AQ166" s="71">
        <f t="shared" si="7"/>
        <v>15.010526315789473</v>
      </c>
      <c r="AR166" s="71">
        <f>IFERROR(VLOOKUP(A166,Climatologia_TMED!A:U,9+$E$2,FALSE),"")</f>
        <v>13.59731182795695</v>
      </c>
      <c r="AS166" s="71">
        <f t="shared" si="8"/>
        <v>1.4132144878325228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18</v>
      </c>
      <c r="AQ167" s="71">
        <f t="shared" si="7"/>
        <v>21.077777777777776</v>
      </c>
      <c r="AR167" s="71">
        <f>IFERROR(VLOOKUP(A167,Climatologia_TMED!A:U,9+$E$2,FALSE),"")</f>
        <v>19.132762427527378</v>
      </c>
      <c r="AS167" s="71">
        <f t="shared" si="8"/>
        <v>1.9450153502503973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19</v>
      </c>
      <c r="AQ168" s="71">
        <f t="shared" si="7"/>
        <v>28.621052631578952</v>
      </c>
      <c r="AR168" s="71">
        <f>IFERROR(VLOOKUP(A168,Climatologia_TMED!A:U,9+$E$2,FALSE),"")</f>
        <v>26.11906044753972</v>
      </c>
      <c r="AS168" s="71">
        <f t="shared" si="8"/>
        <v>2.5019921840392314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19</v>
      </c>
      <c r="AQ169" s="71">
        <f t="shared" si="7"/>
        <v>9.4499999999999993</v>
      </c>
      <c r="AR169" s="71">
        <f>IFERROR(VLOOKUP(A169,Climatologia_TMED!A:U,9+$E$2,FALSE),"")</f>
        <v>8.9418110731500597</v>
      </c>
      <c r="AS169" s="71">
        <f t="shared" si="8"/>
        <v>0.50818892684993955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19</v>
      </c>
      <c r="AQ170" s="71">
        <f t="shared" si="7"/>
        <v>25.926315789473687</v>
      </c>
      <c r="AR170" s="71">
        <f>IFERROR(VLOOKUP(A170,Climatologia_TMED!A:U,9+$E$2,FALSE),"")</f>
        <v>24.395609944791921</v>
      </c>
      <c r="AS170" s="71">
        <f t="shared" si="8"/>
        <v>1.5307058446817656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17</v>
      </c>
      <c r="AQ171" s="71">
        <f t="shared" si="7"/>
        <v>21.784313725490197</v>
      </c>
      <c r="AR171" s="71">
        <f>IFERROR(VLOOKUP(A171,Climatologia_TMED!A:U,9+$E$2,FALSE),"")</f>
        <v>19.277535015015289</v>
      </c>
      <c r="AS171" s="71">
        <f t="shared" si="8"/>
        <v>2.506778710474908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17</v>
      </c>
      <c r="AQ172" s="71">
        <f t="shared" si="7"/>
        <v>25.819117647058825</v>
      </c>
      <c r="AR172" s="71">
        <f>IFERROR(VLOOKUP(A172,Climatologia_TMED!A:U,9+$E$2,FALSE),"")</f>
        <v>24.578876627051489</v>
      </c>
      <c r="AS172" s="71">
        <f t="shared" si="8"/>
        <v>1.2402410200073355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19</v>
      </c>
      <c r="AQ173" s="71">
        <f t="shared" si="7"/>
        <v>25.114473684210523</v>
      </c>
      <c r="AR173" s="71">
        <f>IFERROR(VLOOKUP(A173,Climatologia_TMED!A:U,9+$E$2,FALSE),"")</f>
        <v>24.24334341397849</v>
      </c>
      <c r="AS173" s="71">
        <f t="shared" si="8"/>
        <v>0.87113027023203315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19</v>
      </c>
      <c r="AQ174" s="71">
        <f t="shared" si="7"/>
        <v>13.252631578947371</v>
      </c>
      <c r="AR174" s="71">
        <f>IFERROR(VLOOKUP(A174,Climatologia_TMED!A:U,9+$E$2,FALSE),"")</f>
        <v>12.130348155415341</v>
      </c>
      <c r="AS174" s="71">
        <f t="shared" si="8"/>
        <v>1.1222834235320303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19</v>
      </c>
      <c r="AQ178" s="71">
        <f t="shared" si="7"/>
        <v>25.585964912280694</v>
      </c>
      <c r="AR178" s="71">
        <f>IFERROR(VLOOKUP(A178,Climatologia_TMED!A:U,9+$E$2,FALSE),"")</f>
        <v>24.764281496732401</v>
      </c>
      <c r="AS178" s="71">
        <f t="shared" si="8"/>
        <v>0.82168341554829283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18</v>
      </c>
      <c r="AQ179" s="71">
        <f t="shared" si="7"/>
        <v>18.950000000000003</v>
      </c>
      <c r="AR179" s="71">
        <f>IFERROR(VLOOKUP(A179,Climatologia_TMED!A:U,9+$E$2,FALSE),"")</f>
        <v>17.52263018923631</v>
      </c>
      <c r="AS179" s="71">
        <f t="shared" si="8"/>
        <v>1.4273698107636932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19</v>
      </c>
      <c r="AQ181" s="71">
        <f t="shared" si="7"/>
        <v>31.964912280701757</v>
      </c>
      <c r="AR181" s="71">
        <f>IFERROR(VLOOKUP(A181,Climatologia_TMED!A:U,9+$E$2,FALSE),"")</f>
        <v>29.494520657328639</v>
      </c>
      <c r="AS181" s="71">
        <f t="shared" si="8"/>
        <v>2.4703916233731178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11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30.266666666666666</v>
      </c>
      <c r="AR185" s="71">
        <f>IFERROR(VLOOKUP(A185,Climatologia_TMED!A:U,9+$E$2,FALSE),"")</f>
        <v>28.426879526214119</v>
      </c>
      <c r="AS185" s="71">
        <f t="shared" si="8"/>
        <v>1.8397871404525468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18</v>
      </c>
      <c r="AQ188" s="71">
        <f t="shared" si="7"/>
        <v>17.833333333333332</v>
      </c>
      <c r="AR188" s="71">
        <f>IFERROR(VLOOKUP(A188,Climatologia_TMED!A:U,9+$E$2,FALSE),"")</f>
        <v>16.219992677735171</v>
      </c>
      <c r="AS188" s="71">
        <f t="shared" si="8"/>
        <v>1.6133406555981615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13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18</v>
      </c>
      <c r="AQ190" s="71">
        <f t="shared" si="7"/>
        <v>31.229629629629628</v>
      </c>
      <c r="AR190" s="71">
        <f>IFERROR(VLOOKUP(A190,Climatologia_TMED!A:U,9+$E$2,FALSE),"")</f>
        <v>29.552042558032198</v>
      </c>
      <c r="AS190" s="71">
        <f t="shared" si="8"/>
        <v>1.6775870715974293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19</v>
      </c>
      <c r="AQ191" s="71">
        <f t="shared" si="7"/>
        <v>19.231578947368423</v>
      </c>
      <c r="AR191" s="71">
        <f>IFERROR(VLOOKUP(A191,Climatologia_TMED!A:U,9+$E$2,FALSE),"")</f>
        <v>17.464112079265011</v>
      </c>
      <c r="AS191" s="71">
        <f t="shared" si="8"/>
        <v>1.767466868103412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19</v>
      </c>
      <c r="AQ192" s="71">
        <f t="shared" si="7"/>
        <v>26.515789473684212</v>
      </c>
      <c r="AR192" s="71">
        <f>IFERROR(VLOOKUP(A192,Climatologia_TMED!A:U,9+$E$2,FALSE),"")</f>
        <v>25.598921067303831</v>
      </c>
      <c r="AS192" s="71">
        <f t="shared" si="8"/>
        <v>0.91686840638038092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18</v>
      </c>
      <c r="AQ193" s="71">
        <f t="shared" si="7"/>
        <v>28.738888888888894</v>
      </c>
      <c r="AR193" s="71">
        <f>IFERROR(VLOOKUP(A193,Climatologia_TMED!A:U,9+$E$2,FALSE),"")</f>
        <v>26.876419518290088</v>
      </c>
      <c r="AS193" s="71">
        <f t="shared" si="8"/>
        <v>1.8624693705988058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18</v>
      </c>
      <c r="AQ194" s="71">
        <f t="shared" si="7"/>
        <v>21.822222222222226</v>
      </c>
      <c r="AR194" s="71">
        <f>IFERROR(VLOOKUP(A194,Climatologia_TMED!A:U,9+$E$2,FALSE),"")</f>
        <v>21.92453935902186</v>
      </c>
      <c r="AS194" s="71">
        <f t="shared" si="8"/>
        <v>-0.10231713679963406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15</v>
      </c>
      <c r="AQ195" s="71">
        <f t="shared" si="7"/>
        <v>28.78222222222222</v>
      </c>
      <c r="AR195" s="71">
        <f>IFERROR(VLOOKUP(A195,Climatologia_TMED!A:U,9+$E$2,FALSE),"")</f>
        <v>25.93887423035611</v>
      </c>
      <c r="AS195" s="71">
        <f t="shared" si="8"/>
        <v>2.8433479918661106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19</v>
      </c>
      <c r="AQ196" s="71">
        <f t="shared" si="7"/>
        <v>22.789473684210524</v>
      </c>
      <c r="AR196" s="71">
        <f>IFERROR(VLOOKUP(A196,Climatologia_TMED!A:U,9+$E$2,FALSE),"")</f>
        <v>20.501275507765811</v>
      </c>
      <c r="AS196" s="71">
        <f t="shared" si="8"/>
        <v>2.2881981764447126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19</v>
      </c>
      <c r="AQ197" s="71">
        <f t="shared" ref="AQ197:AQ260" si="10">IF(AP197&gt;14,AVERAGE(K197:AO197),"")</f>
        <v>27.342105263157894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2.672485104675733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19</v>
      </c>
      <c r="AQ198" s="71">
        <f t="shared" si="10"/>
        <v>22.110526315789478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15</v>
      </c>
      <c r="AQ199" s="71">
        <f t="shared" si="10"/>
        <v>16.777777777777775</v>
      </c>
      <c r="AR199" s="71">
        <f>IFERROR(VLOOKUP(A199,Climatologia_TMED!A:U,9+$E$2,FALSE),"")</f>
        <v>15.9056050475294</v>
      </c>
      <c r="AS199" s="71">
        <f t="shared" si="11"/>
        <v>0.87217273024837461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18</v>
      </c>
      <c r="AQ200" s="71">
        <f t="shared" si="10"/>
        <v>14.33888888888889</v>
      </c>
      <c r="AR200" s="71">
        <f>IFERROR(VLOOKUP(A200,Climatologia_TMED!A:U,9+$E$2,FALSE),"")</f>
        <v>13.344977882388941</v>
      </c>
      <c r="AS200" s="71">
        <f t="shared" si="11"/>
        <v>0.99391100649994968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19</v>
      </c>
      <c r="AQ201" s="71">
        <f t="shared" si="10"/>
        <v>28.357894736842102</v>
      </c>
      <c r="AR201" s="71">
        <f>IFERROR(VLOOKUP(A201,Climatologia_TMED!A:U,9+$E$2,FALSE),"")</f>
        <v>26.42009640850436</v>
      </c>
      <c r="AS201" s="71">
        <f t="shared" si="11"/>
        <v>1.9377983283377418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12.916666666666664</v>
      </c>
      <c r="AR202" s="71">
        <f>IFERROR(VLOOKUP(A202,Climatologia_TMED!A:U,9+$E$2,FALSE),"")</f>
        <v>12.92387825817962</v>
      </c>
      <c r="AS202" s="71">
        <f t="shared" si="11"/>
        <v>-7.2115915129558061E-3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16</v>
      </c>
      <c r="AQ203" s="71">
        <f t="shared" si="10"/>
        <v>14.191666666666668</v>
      </c>
      <c r="AR203" s="71">
        <f>IFERROR(VLOOKUP(A203,Climatologia_TMED!A:U,9+$E$2,FALSE),"")</f>
        <v>12.086069715466531</v>
      </c>
      <c r="AS203" s="71">
        <f t="shared" si="11"/>
        <v>2.1055969512001376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19</v>
      </c>
      <c r="AQ206" s="71">
        <f t="shared" si="10"/>
        <v>13.471052631578946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9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19</v>
      </c>
      <c r="AQ208" s="71">
        <f t="shared" si="10"/>
        <v>13.823684210526315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19</v>
      </c>
      <c r="AQ209" s="71">
        <f t="shared" si="10"/>
        <v>11.089473684210526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18</v>
      </c>
      <c r="AQ210" s="71">
        <f t="shared" si="10"/>
        <v>15.744444444444444</v>
      </c>
      <c r="AR210" s="71">
        <f>IFERROR(VLOOKUP(A210,Climatologia_TMED!A:U,9+$E$2,FALSE),"")</f>
        <v>14.343130840767889</v>
      </c>
      <c r="AS210" s="71">
        <f t="shared" si="11"/>
        <v>1.4013136036765541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8.4184210526315777</v>
      </c>
      <c r="AR211" s="71">
        <f>IFERROR(VLOOKUP(A211,Climatologia_TMED!A:U,9+$E$2,FALSE),"")</f>
        <v>8.1491623782224423</v>
      </c>
      <c r="AS211" s="71">
        <f t="shared" si="11"/>
        <v>0.26925867440913542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16</v>
      </c>
      <c r="AQ212" s="71">
        <f t="shared" si="10"/>
        <v>27.690625000000001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2026-08-20T15:20:49Z</dcterms:modified>
</cp:coreProperties>
</file>