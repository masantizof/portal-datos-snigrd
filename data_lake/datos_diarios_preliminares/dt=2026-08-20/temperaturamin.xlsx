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8FA7CA7-07E2-4302-9488-461E0AC10888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Temperatura!$AD$1:$AD$209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Q204" i="1"/>
  <c r="AP204" i="1"/>
  <c r="AV203" i="1" a="1"/>
  <c r="AV203" i="1" s="1"/>
  <c r="AU203" i="1" a="1"/>
  <c r="AU203" i="1" s="1"/>
  <c r="AT203" i="1"/>
  <c r="AR203" i="1"/>
  <c r="AQ203" i="1"/>
  <c r="AP203" i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W201" i="1" s="1"/>
  <c r="AR201" i="1"/>
  <c r="AQ201" i="1"/>
  <c r="AP201" i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W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S192" i="1" s="1"/>
  <c r="AV191" i="1" a="1"/>
  <c r="AV191" i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Q186" i="1"/>
  <c r="AS186" i="1" s="1"/>
  <c r="AP186" i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Q183" i="1"/>
  <c r="AS183" i="1" s="1"/>
  <c r="AP183" i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Q174" i="1"/>
  <c r="AP174" i="1"/>
  <c r="AV173" i="1" a="1"/>
  <c r="AV173" i="1" s="1"/>
  <c r="AU173" i="1" a="1"/>
  <c r="AU173" i="1" s="1"/>
  <c r="AW173" i="1" s="1"/>
  <c r="AT173" i="1"/>
  <c r="AR173" i="1"/>
  <c r="AP173" i="1"/>
  <c r="AQ173" i="1" s="1"/>
  <c r="AV172" i="1" a="1"/>
  <c r="AV172" i="1" s="1"/>
  <c r="AU172" i="1" a="1"/>
  <c r="AU172" i="1"/>
  <c r="AT172" i="1"/>
  <c r="AW172" i="1" s="1"/>
  <c r="AR172" i="1"/>
  <c r="AP172" i="1"/>
  <c r="AQ172" i="1" s="1"/>
  <c r="AV171" i="1" a="1"/>
  <c r="AV171" i="1" s="1"/>
  <c r="AU171" i="1" a="1"/>
  <c r="AU171" i="1" s="1"/>
  <c r="AW171" i="1" s="1"/>
  <c r="AT171" i="1"/>
  <c r="AR171" i="1"/>
  <c r="AP171" i="1"/>
  <c r="AQ171" i="1" s="1"/>
  <c r="AV170" i="1" a="1"/>
  <c r="AV170" i="1" s="1"/>
  <c r="AU170" i="1" a="1"/>
  <c r="AU170" i="1" s="1"/>
  <c r="AW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/>
  <c r="AW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Q160" i="1"/>
  <c r="AP160" i="1"/>
  <c r="AV159" i="1" a="1"/>
  <c r="AV159" i="1" s="1"/>
  <c r="AU159" i="1" a="1"/>
  <c r="AU159" i="1"/>
  <c r="AT159" i="1"/>
  <c r="AW159" i="1" s="1"/>
  <c r="AR159" i="1"/>
  <c r="AQ159" i="1"/>
  <c r="AP159" i="1"/>
  <c r="AV158" i="1" a="1"/>
  <c r="AV158" i="1" s="1"/>
  <c r="AU158" i="1" a="1"/>
  <c r="AU158" i="1" s="1"/>
  <c r="AT158" i="1"/>
  <c r="AR158" i="1"/>
  <c r="AQ158" i="1"/>
  <c r="AP158" i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W155" i="1" s="1"/>
  <c r="AT155" i="1"/>
  <c r="AR155" i="1"/>
  <c r="AP155" i="1"/>
  <c r="AQ155" i="1" s="1"/>
  <c r="AS155" i="1" s="1"/>
  <c r="AV154" i="1" a="1"/>
  <c r="AV154" i="1" s="1"/>
  <c r="AU154" i="1" a="1"/>
  <c r="AU154" i="1" s="1"/>
  <c r="AW154" i="1" s="1"/>
  <c r="AT154" i="1"/>
  <c r="AR154" i="1"/>
  <c r="AP154" i="1"/>
  <c r="AQ154" i="1" s="1"/>
  <c r="AS154" i="1" s="1"/>
  <c r="AV153" i="1" a="1"/>
  <c r="AV153" i="1" s="1"/>
  <c r="AU153" i="1" a="1"/>
  <c r="AU153" i="1"/>
  <c r="AT153" i="1"/>
  <c r="AR153" i="1"/>
  <c r="AP153" i="1"/>
  <c r="AQ153" i="1" s="1"/>
  <c r="AV152" i="1" a="1"/>
  <c r="AV152" i="1" s="1"/>
  <c r="AU152" i="1" a="1"/>
  <c r="AU152" i="1" s="1"/>
  <c r="AT152" i="1"/>
  <c r="AW152" i="1" s="1"/>
  <c r="AR152" i="1"/>
  <c r="AP152" i="1"/>
  <c r="AQ152" i="1" s="1"/>
  <c r="AV151" i="1" a="1"/>
  <c r="AV151" i="1" s="1"/>
  <c r="AU151" i="1" a="1"/>
  <c r="AU151" i="1" s="1"/>
  <c r="AT151" i="1"/>
  <c r="AW151" i="1" s="1"/>
  <c r="AR151" i="1"/>
  <c r="AP151" i="1"/>
  <c r="AQ151" i="1" s="1"/>
  <c r="AS151" i="1" s="1"/>
  <c r="AV150" i="1" a="1"/>
  <c r="AV150" i="1" s="1"/>
  <c r="AU150" i="1" a="1"/>
  <c r="AU150" i="1" s="1"/>
  <c r="AT150" i="1"/>
  <c r="AW150" i="1" s="1"/>
  <c r="AR150" i="1"/>
  <c r="AP150" i="1"/>
  <c r="AQ150" i="1" s="1"/>
  <c r="AV149" i="1" a="1"/>
  <c r="AV149" i="1" s="1"/>
  <c r="AU149" i="1" a="1"/>
  <c r="AU149" i="1" s="1"/>
  <c r="AW149" i="1" s="1"/>
  <c r="AT149" i="1"/>
  <c r="AR149" i="1"/>
  <c r="AP149" i="1"/>
  <c r="AQ149" i="1" s="1"/>
  <c r="AV148" i="1" a="1"/>
  <c r="AV148" i="1" s="1"/>
  <c r="AU148" i="1" a="1"/>
  <c r="AU148" i="1"/>
  <c r="AW148" i="1" s="1"/>
  <c r="AT148" i="1"/>
  <c r="AR148" i="1"/>
  <c r="AP148" i="1"/>
  <c r="AQ148" i="1" s="1"/>
  <c r="AV147" i="1" a="1"/>
  <c r="AV147" i="1" s="1"/>
  <c r="AU147" i="1" a="1"/>
  <c r="AU147" i="1" s="1"/>
  <c r="AW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W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Q137" i="1"/>
  <c r="AS137" i="1" s="1"/>
  <c r="AP137" i="1"/>
  <c r="AV136" i="1" a="1"/>
  <c r="AV136" i="1" s="1"/>
  <c r="AU136" i="1" a="1"/>
  <c r="AU136" i="1" s="1"/>
  <c r="AT136" i="1"/>
  <c r="AR136" i="1"/>
  <c r="AP136" i="1"/>
  <c r="AQ136" i="1" s="1"/>
  <c r="AW135" i="1"/>
  <c r="AV135" i="1" a="1"/>
  <c r="AV135" i="1" s="1"/>
  <c r="AU135" i="1" a="1"/>
  <c r="AU135" i="1"/>
  <c r="AT135" i="1"/>
  <c r="AR135" i="1"/>
  <c r="AP135" i="1"/>
  <c r="AQ135" i="1" s="1"/>
  <c r="AV134" i="1" a="1"/>
  <c r="AV134" i="1" s="1"/>
  <c r="AU134" i="1" a="1"/>
  <c r="AU134" i="1" s="1"/>
  <c r="AT134" i="1"/>
  <c r="AR134" i="1"/>
  <c r="AQ134" i="1"/>
  <c r="AP134" i="1"/>
  <c r="AV133" i="1" a="1"/>
  <c r="AV133" i="1" s="1"/>
  <c r="AU133" i="1" a="1"/>
  <c r="AU133" i="1" s="1"/>
  <c r="AW133" i="1" s="1"/>
  <c r="AT133" i="1"/>
  <c r="AR133" i="1"/>
  <c r="AP133" i="1"/>
  <c r="AQ133" i="1" s="1"/>
  <c r="AV132" i="1" a="1"/>
  <c r="AV132" i="1" s="1"/>
  <c r="AU132" i="1" a="1"/>
  <c r="AU132" i="1"/>
  <c r="AT132" i="1"/>
  <c r="AR132" i="1"/>
  <c r="AP132" i="1"/>
  <c r="AQ132" i="1" s="1"/>
  <c r="AV131" i="1" a="1"/>
  <c r="AV131" i="1" s="1"/>
  <c r="AU131" i="1" a="1"/>
  <c r="AU131" i="1" s="1"/>
  <c r="AW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Q128" i="1"/>
  <c r="AP128" i="1"/>
  <c r="AV127" i="1" a="1"/>
  <c r="AV127" i="1" s="1"/>
  <c r="AU127" i="1" a="1"/>
  <c r="AU127" i="1" s="1"/>
  <c r="AT127" i="1"/>
  <c r="AR127" i="1"/>
  <c r="AQ127" i="1"/>
  <c r="AP127" i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W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Q118" i="1"/>
  <c r="AP118" i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/>
  <c r="AW115" i="1" s="1"/>
  <c r="AT115" i="1"/>
  <c r="AR115" i="1"/>
  <c r="AP115" i="1"/>
  <c r="AQ115" i="1" s="1"/>
  <c r="AS115" i="1" s="1"/>
  <c r="AV114" i="1" a="1"/>
  <c r="AV114" i="1" s="1"/>
  <c r="AU114" i="1" a="1"/>
  <c r="AU114" i="1" s="1"/>
  <c r="AW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/>
  <c r="AU109" i="1" a="1"/>
  <c r="AU109" i="1" s="1"/>
  <c r="AW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/>
  <c r="AT106" i="1"/>
  <c r="AW106" i="1" s="1"/>
  <c r="AR106" i="1"/>
  <c r="AP106" i="1"/>
  <c r="AQ106" i="1" s="1"/>
  <c r="AV105" i="1" a="1"/>
  <c r="AV105" i="1" s="1"/>
  <c r="AU105" i="1" a="1"/>
  <c r="AU105" i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/>
  <c r="AT102" i="1"/>
  <c r="AW102" i="1" s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Q100" i="1"/>
  <c r="AP100" i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W97" i="1" s="1"/>
  <c r="AT97" i="1"/>
  <c r="AR97" i="1"/>
  <c r="AQ97" i="1"/>
  <c r="AP97" i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Q94" i="1"/>
  <c r="AP94" i="1"/>
  <c r="AV93" i="1" a="1"/>
  <c r="AV93" i="1" s="1"/>
  <c r="AU93" i="1" a="1"/>
  <c r="AU93" i="1" s="1"/>
  <c r="AW93" i="1" s="1"/>
  <c r="AT93" i="1"/>
  <c r="AR93" i="1"/>
  <c r="AQ93" i="1"/>
  <c r="AP93" i="1"/>
  <c r="AV92" i="1" a="1"/>
  <c r="AV92" i="1" s="1"/>
  <c r="AU92" i="1" a="1"/>
  <c r="AU92" i="1" s="1"/>
  <c r="AT92" i="1"/>
  <c r="AR92" i="1"/>
  <c r="AP92" i="1"/>
  <c r="AQ92" i="1" s="1"/>
  <c r="AV91" i="1" a="1"/>
  <c r="AV91" i="1"/>
  <c r="AU91" i="1" a="1"/>
  <c r="AU91" i="1"/>
  <c r="AW91" i="1" s="1"/>
  <c r="AT91" i="1"/>
  <c r="AR91" i="1"/>
  <c r="AP91" i="1"/>
  <c r="AQ91" i="1" s="1"/>
  <c r="AV90" i="1" a="1"/>
  <c r="AV90" i="1" s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W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Q83" i="1"/>
  <c r="AP83" i="1"/>
  <c r="AV82" i="1" a="1"/>
  <c r="AV82" i="1" s="1"/>
  <c r="AU82" i="1" a="1"/>
  <c r="AU82" i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/>
  <c r="AT80" i="1"/>
  <c r="AR80" i="1"/>
  <c r="AP80" i="1"/>
  <c r="AQ80" i="1" s="1"/>
  <c r="AV79" i="1" a="1"/>
  <c r="AV79" i="1" s="1"/>
  <c r="AU79" i="1" a="1"/>
  <c r="AU79" i="1"/>
  <c r="AT79" i="1"/>
  <c r="AR79" i="1"/>
  <c r="AP79" i="1"/>
  <c r="AQ79" i="1" s="1"/>
  <c r="AV78" i="1" a="1"/>
  <c r="AV78" i="1" s="1"/>
  <c r="AU78" i="1" a="1"/>
  <c r="AU78" i="1" s="1"/>
  <c r="AT78" i="1"/>
  <c r="AR78" i="1"/>
  <c r="AQ78" i="1"/>
  <c r="AS78" i="1" s="1"/>
  <c r="AP78" i="1"/>
  <c r="AV77" i="1" a="1"/>
  <c r="AV77" i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W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W72" i="1" s="1"/>
  <c r="AT72" i="1"/>
  <c r="AR72" i="1"/>
  <c r="AP72" i="1"/>
  <c r="AQ72" i="1" s="1"/>
  <c r="AV71" i="1" a="1"/>
  <c r="AV71" i="1" s="1"/>
  <c r="AU71" i="1" a="1"/>
  <c r="AU71" i="1" s="1"/>
  <c r="AW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W69" i="1" s="1"/>
  <c r="AT69" i="1"/>
  <c r="AR69" i="1"/>
  <c r="AP69" i="1"/>
  <c r="AQ69" i="1" s="1"/>
  <c r="AV68" i="1" a="1"/>
  <c r="AV68" i="1" s="1"/>
  <c r="AU68" i="1" a="1"/>
  <c r="AU68" i="1" s="1"/>
  <c r="AW68" i="1" s="1"/>
  <c r="AT68" i="1"/>
  <c r="AR68" i="1"/>
  <c r="AP68" i="1"/>
  <c r="AQ68" i="1" s="1"/>
  <c r="AS68" i="1" s="1"/>
  <c r="AV67" i="1" a="1"/>
  <c r="AV67" i="1" s="1"/>
  <c r="AU67" i="1" a="1"/>
  <c r="AU67" i="1" s="1"/>
  <c r="AW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/>
  <c r="AW62" i="1" s="1"/>
  <c r="AT62" i="1"/>
  <c r="AR62" i="1"/>
  <c r="AP62" i="1"/>
  <c r="AQ62" i="1" s="1"/>
  <c r="AV61" i="1" a="1"/>
  <c r="AV61" i="1" s="1"/>
  <c r="AU61" i="1" a="1"/>
  <c r="AU61" i="1"/>
  <c r="AT61" i="1"/>
  <c r="AR61" i="1"/>
  <c r="AP61" i="1"/>
  <c r="AQ61" i="1" s="1"/>
  <c r="AV60" i="1" a="1"/>
  <c r="AV60" i="1" s="1"/>
  <c r="AU60" i="1" a="1"/>
  <c r="AU60" i="1" s="1"/>
  <c r="AT60" i="1"/>
  <c r="AR60" i="1"/>
  <c r="AQ60" i="1"/>
  <c r="AP60" i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W58" i="1" s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W53" i="1" s="1"/>
  <c r="AR53" i="1"/>
  <c r="AP53" i="1"/>
  <c r="AQ53" i="1" s="1"/>
  <c r="AS53" i="1" s="1"/>
  <c r="AV52" i="1" a="1"/>
  <c r="AV52" i="1" s="1"/>
  <c r="AU52" i="1" a="1"/>
  <c r="AU52" i="1" s="1"/>
  <c r="AW52" i="1" s="1"/>
  <c r="AT52" i="1"/>
  <c r="AR52" i="1"/>
  <c r="AP52" i="1"/>
  <c r="AQ52" i="1" s="1"/>
  <c r="AV51" i="1" a="1"/>
  <c r="AV51" i="1" s="1"/>
  <c r="AU51" i="1" a="1"/>
  <c r="AU51" i="1" s="1"/>
  <c r="AW51" i="1" s="1"/>
  <c r="AT51" i="1"/>
  <c r="AR51" i="1"/>
  <c r="AP51" i="1"/>
  <c r="AQ51" i="1" s="1"/>
  <c r="AV50" i="1" a="1"/>
  <c r="AV50" i="1" s="1"/>
  <c r="AU50" i="1" a="1"/>
  <c r="AU50" i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W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/>
  <c r="AT40" i="1"/>
  <c r="AR40" i="1"/>
  <c r="AP40" i="1"/>
  <c r="AQ40" i="1" s="1"/>
  <c r="AV39" i="1" a="1"/>
  <c r="AV39" i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/>
  <c r="AT26" i="1"/>
  <c r="AR26" i="1"/>
  <c r="AP26" i="1"/>
  <c r="AQ26" i="1" s="1"/>
  <c r="AV25" i="1" a="1"/>
  <c r="AV25" i="1" s="1"/>
  <c r="AU25" i="1" a="1"/>
  <c r="AU25" i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/>
  <c r="AU23" i="1" a="1"/>
  <c r="AU23" i="1" s="1"/>
  <c r="AT23" i="1"/>
  <c r="AR23" i="1"/>
  <c r="AP23" i="1"/>
  <c r="AQ23" i="1" s="1"/>
  <c r="AV22" i="1" a="1"/>
  <c r="AV22" i="1"/>
  <c r="AU22" i="1" a="1"/>
  <c r="AU22" i="1" s="1"/>
  <c r="AT22" i="1"/>
  <c r="AR22" i="1"/>
  <c r="AP22" i="1"/>
  <c r="AQ22" i="1" s="1"/>
  <c r="AV21" i="1" a="1"/>
  <c r="AV21" i="1"/>
  <c r="AU21" i="1" a="1"/>
  <c r="AU21" i="1"/>
  <c r="AT21" i="1"/>
  <c r="AW21" i="1" s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/>
  <c r="AU19" i="1" a="1"/>
  <c r="AU19" i="1"/>
  <c r="AT19" i="1"/>
  <c r="AW19" i="1" s="1"/>
  <c r="AR19" i="1"/>
  <c r="AP19" i="1"/>
  <c r="AQ19" i="1" s="1"/>
  <c r="AS19" i="1" s="1"/>
  <c r="AV18" i="1" a="1"/>
  <c r="AV18" i="1" s="1"/>
  <c r="AU18" i="1" a="1"/>
  <c r="AU18" i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/>
  <c r="AT11" i="1"/>
  <c r="AR11" i="1"/>
  <c r="AP11" i="1"/>
  <c r="AQ11" i="1" s="1"/>
  <c r="AV10" i="1" a="1"/>
  <c r="AV10" i="1"/>
  <c r="AU10" i="1" a="1"/>
  <c r="AU10" i="1"/>
  <c r="AT10" i="1"/>
  <c r="AR10" i="1"/>
  <c r="AP10" i="1"/>
  <c r="AQ10" i="1" s="1"/>
  <c r="AS10" i="1" s="1"/>
  <c r="AV9" i="1" a="1"/>
  <c r="AV9" i="1"/>
  <c r="AU9" i="1" a="1"/>
  <c r="AU9" i="1"/>
  <c r="AT9" i="1"/>
  <c r="AW9" i="1" s="1"/>
  <c r="AR9" i="1"/>
  <c r="AP9" i="1"/>
  <c r="AQ9" i="1" s="1"/>
  <c r="AV8" i="1" a="1"/>
  <c r="AV8" i="1"/>
  <c r="AU8" i="1" a="1"/>
  <c r="AU8" i="1" s="1"/>
  <c r="AT8" i="1"/>
  <c r="AR8" i="1"/>
  <c r="AP8" i="1"/>
  <c r="AQ8" i="1" s="1"/>
  <c r="AS8" i="1" s="1"/>
  <c r="AV7" i="1" a="1"/>
  <c r="AV7" i="1" s="1"/>
  <c r="AU7" i="1" a="1"/>
  <c r="AU7" i="1"/>
  <c r="AT7" i="1"/>
  <c r="AR7" i="1"/>
  <c r="AP7" i="1"/>
  <c r="AQ7" i="1" s="1"/>
  <c r="AS7" i="1" s="1"/>
  <c r="AV6" i="1" a="1"/>
  <c r="AV6" i="1" s="1"/>
  <c r="AU6" i="1" a="1"/>
  <c r="AU6" i="1"/>
  <c r="AT6" i="1"/>
  <c r="AW6" i="1" s="1"/>
  <c r="AR6" i="1"/>
  <c r="AP6" i="1"/>
  <c r="AQ6" i="1" s="1"/>
  <c r="AV5" i="1" a="1"/>
  <c r="AV5" i="1"/>
  <c r="AU5" i="1" a="1"/>
  <c r="AU5" i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38" i="1" l="1"/>
  <c r="AW98" i="1"/>
  <c r="AS133" i="1"/>
  <c r="AS147" i="1"/>
  <c r="AS158" i="1"/>
  <c r="AW8" i="1"/>
  <c r="AW55" i="1"/>
  <c r="AS28" i="1"/>
  <c r="AW122" i="1"/>
  <c r="AS84" i="1"/>
  <c r="AS95" i="1"/>
  <c r="AW105" i="1"/>
  <c r="AS126" i="1"/>
  <c r="AW158" i="1"/>
  <c r="AS71" i="1"/>
  <c r="AS81" i="1"/>
  <c r="AW95" i="1"/>
  <c r="AW112" i="1"/>
  <c r="AW119" i="1"/>
  <c r="AS144" i="1"/>
  <c r="AW191" i="1"/>
  <c r="AS195" i="1"/>
  <c r="AS92" i="1"/>
  <c r="AS99" i="1"/>
  <c r="AS109" i="1"/>
  <c r="AS123" i="1"/>
  <c r="AS148" i="1"/>
  <c r="AS173" i="1"/>
  <c r="AW180" i="1"/>
  <c r="AS199" i="1"/>
  <c r="AW59" i="1"/>
  <c r="AW49" i="1"/>
  <c r="AW162" i="1"/>
  <c r="AS29" i="1"/>
  <c r="AW42" i="1"/>
  <c r="AS64" i="1"/>
  <c r="AS75" i="1"/>
  <c r="AW81" i="1"/>
  <c r="AS85" i="1"/>
  <c r="AS96" i="1"/>
  <c r="AW130" i="1"/>
  <c r="AS177" i="1"/>
  <c r="AS188" i="1"/>
  <c r="AS57" i="1"/>
  <c r="AW137" i="1"/>
  <c r="AW50" i="1"/>
  <c r="AW78" i="1"/>
  <c r="AS23" i="1"/>
  <c r="AS47" i="1"/>
  <c r="AW57" i="1"/>
  <c r="AS61" i="1"/>
  <c r="AS72" i="1"/>
  <c r="AS124" i="1"/>
  <c r="AS163" i="1"/>
  <c r="AS207" i="1"/>
  <c r="AW99" i="1"/>
  <c r="AW29" i="1"/>
  <c r="AW10" i="1"/>
  <c r="AS20" i="1"/>
  <c r="AS40" i="1"/>
  <c r="AW43" i="1"/>
  <c r="AW54" i="1"/>
  <c r="AS79" i="1"/>
  <c r="AS93" i="1"/>
  <c r="AS110" i="1"/>
  <c r="AS135" i="1"/>
  <c r="AS138" i="1"/>
  <c r="AS149" i="1"/>
  <c r="AS153" i="1"/>
  <c r="AS174" i="1"/>
  <c r="AW181" i="1"/>
  <c r="AS185" i="1"/>
  <c r="AS51" i="1"/>
  <c r="AS58" i="1"/>
  <c r="AW61" i="1"/>
  <c r="AS65" i="1"/>
  <c r="AS189" i="1"/>
  <c r="AS76" i="1"/>
  <c r="AS90" i="1"/>
  <c r="AW110" i="1"/>
  <c r="AW153" i="1"/>
  <c r="AS167" i="1"/>
  <c r="AW185" i="1"/>
  <c r="AW178" i="1"/>
  <c r="AS55" i="1"/>
  <c r="AS73" i="1"/>
  <c r="AS204" i="1"/>
  <c r="AS208" i="1"/>
  <c r="AW14" i="1"/>
  <c r="AW30" i="1"/>
  <c r="AS5" i="1"/>
  <c r="AS34" i="1"/>
  <c r="AW37" i="1"/>
  <c r="AS62" i="1"/>
  <c r="AS83" i="1"/>
  <c r="AS101" i="1"/>
  <c r="AS118" i="1"/>
  <c r="AW132" i="1"/>
  <c r="AS164" i="1"/>
  <c r="AS175" i="1"/>
  <c r="AW193" i="1"/>
  <c r="AS201" i="1"/>
  <c r="AW73" i="1"/>
  <c r="AW11" i="1"/>
  <c r="AS18" i="1"/>
  <c r="AW111" i="1"/>
  <c r="AW118" i="1"/>
  <c r="AS172" i="1"/>
  <c r="AS194" i="1"/>
  <c r="AS205" i="1"/>
  <c r="AW92" i="1"/>
  <c r="AW113" i="1"/>
  <c r="AW120" i="1"/>
  <c r="AS139" i="1"/>
  <c r="AW160" i="1"/>
  <c r="AW86" i="1"/>
  <c r="AS130" i="1"/>
  <c r="AS136" i="1"/>
  <c r="AW139" i="1"/>
  <c r="AW145" i="1"/>
  <c r="AS170" i="1"/>
  <c r="AW176" i="1"/>
  <c r="AW182" i="1"/>
  <c r="AS196" i="1"/>
  <c r="AW34" i="1"/>
  <c r="AW40" i="1"/>
  <c r="AS43" i="1"/>
  <c r="AW77" i="1"/>
  <c r="AS80" i="1"/>
  <c r="AS102" i="1"/>
  <c r="AS105" i="1"/>
  <c r="AS108" i="1"/>
  <c r="AS193" i="1"/>
  <c r="AW80" i="1"/>
  <c r="AW83" i="1"/>
  <c r="AS127" i="1"/>
  <c r="AW136" i="1"/>
  <c r="AS152" i="1"/>
  <c r="AS180" i="1"/>
  <c r="AS190" i="1"/>
  <c r="AS206" i="1"/>
  <c r="AS6" i="1"/>
  <c r="AW20" i="1"/>
  <c r="AS26" i="1"/>
  <c r="AW56" i="1"/>
  <c r="AW65" i="1"/>
  <c r="AW108" i="1"/>
  <c r="AW127" i="1"/>
  <c r="AW167" i="1"/>
  <c r="AW190" i="1"/>
  <c r="AS197" i="1"/>
  <c r="AS200" i="1"/>
  <c r="AS203" i="1"/>
  <c r="AW206" i="1"/>
  <c r="AW26" i="1"/>
  <c r="AS32" i="1"/>
  <c r="AW74" i="1"/>
  <c r="AW96" i="1"/>
  <c r="AW124" i="1"/>
  <c r="AS131" i="1"/>
  <c r="AS143" i="1"/>
  <c r="AS146" i="1"/>
  <c r="AW164" i="1"/>
  <c r="AS171" i="1"/>
  <c r="AW183" i="1"/>
  <c r="AS187" i="1"/>
  <c r="AW203" i="1"/>
  <c r="AS134" i="1"/>
  <c r="AS140" i="1"/>
  <c r="AW146" i="1"/>
  <c r="AW200" i="1"/>
  <c r="AW15" i="1"/>
  <c r="AS21" i="1"/>
  <c r="AW35" i="1"/>
  <c r="AW38" i="1"/>
  <c r="AW41" i="1"/>
  <c r="AS69" i="1"/>
  <c r="AW84" i="1"/>
  <c r="AS91" i="1"/>
  <c r="AS103" i="1"/>
  <c r="AS106" i="1"/>
  <c r="AS125" i="1"/>
  <c r="AW134" i="1"/>
  <c r="AW140" i="1"/>
  <c r="AS165" i="1"/>
  <c r="AW174" i="1"/>
  <c r="AS184" i="1"/>
  <c r="AS191" i="1"/>
  <c r="AW18" i="1"/>
  <c r="AS24" i="1"/>
  <c r="AW44" i="1"/>
  <c r="AS60" i="1"/>
  <c r="AS66" i="1"/>
  <c r="AS94" i="1"/>
  <c r="AS100" i="1"/>
  <c r="AS119" i="1"/>
  <c r="AS122" i="1"/>
  <c r="AS128" i="1"/>
  <c r="AS159" i="1"/>
  <c r="AS162" i="1"/>
  <c r="AS168" i="1"/>
  <c r="AS178" i="1"/>
  <c r="AW207" i="1"/>
  <c r="AW32" i="1"/>
  <c r="AW47" i="1"/>
  <c r="AW87" i="1"/>
  <c r="AS63" i="1"/>
  <c r="AS97" i="1"/>
  <c r="AW103" i="1"/>
  <c r="AS116" i="1"/>
  <c r="AW125" i="1"/>
  <c r="AS150" i="1"/>
  <c r="AS156" i="1"/>
  <c r="AW165" i="1"/>
  <c r="AS181" i="1"/>
  <c r="AW184" i="1"/>
  <c r="AS12" i="1"/>
  <c r="AW12" i="1"/>
  <c r="AW60" i="1"/>
  <c r="AW66" i="1"/>
  <c r="AW94" i="1"/>
  <c r="AW100" i="1"/>
  <c r="AW85" i="1"/>
  <c r="AW22" i="1"/>
  <c r="AW28" i="1"/>
  <c r="AW31" i="1"/>
  <c r="AW46" i="1"/>
  <c r="AW17" i="1"/>
  <c r="AS59" i="1"/>
  <c r="AS9" i="1"/>
  <c r="AW23" i="1"/>
  <c r="AW24" i="1"/>
  <c r="AW7" i="1"/>
  <c r="AS13" i="1"/>
  <c r="AW27" i="1"/>
  <c r="AS33" i="1"/>
  <c r="AS39" i="1"/>
  <c r="AS45" i="1"/>
  <c r="AW63" i="1"/>
  <c r="AS82" i="1"/>
  <c r="AW128" i="1"/>
  <c r="AS132" i="1"/>
  <c r="AW168" i="1"/>
  <c r="AW116" i="1"/>
  <c r="AW156" i="1"/>
  <c r="AW198" i="1"/>
  <c r="AS70" i="1"/>
  <c r="AW79" i="1"/>
  <c r="AW82" i="1"/>
  <c r="AS129" i="1"/>
  <c r="AW141" i="1"/>
  <c r="AS169" i="1"/>
  <c r="AW195" i="1"/>
  <c r="AW13" i="1"/>
  <c r="AW33" i="1"/>
  <c r="AW39" i="1"/>
  <c r="AW45" i="1"/>
  <c r="AW16" i="1"/>
  <c r="AS22" i="1"/>
  <c r="AW36" i="1"/>
  <c r="AW208" i="1"/>
  <c r="AS52" i="1"/>
  <c r="AW70" i="1"/>
  <c r="AW76" i="1"/>
  <c r="AS117" i="1"/>
  <c r="AW129" i="1"/>
  <c r="AS157" i="1"/>
  <c r="AW169" i="1"/>
  <c r="AS202" i="1"/>
  <c r="AW101" i="1"/>
  <c r="AW126" i="1"/>
  <c r="AW166" i="1"/>
  <c r="AW5" i="1"/>
  <c r="AS11" i="1"/>
  <c r="AW25" i="1"/>
  <c r="AS31" i="1"/>
  <c r="AS46" i="1"/>
  <c r="AS49" i="1"/>
  <c r="AS86" i="1"/>
  <c r="AW104" i="1"/>
  <c r="AW107" i="1"/>
  <c r="AS111" i="1"/>
  <c r="AW117" i="1"/>
  <c r="AS120" i="1"/>
  <c r="AS142" i="1"/>
  <c r="AS145" i="1"/>
  <c r="AW157" i="1"/>
  <c r="AS160" i="1"/>
  <c r="AW189" i="1"/>
  <c r="AW202" i="1"/>
  <c r="AP2" i="1"/>
  <c r="AW64" i="1"/>
  <c r="AW89" i="1"/>
  <c r="AW123" i="1"/>
  <c r="AW163" i="1"/>
  <c r="AW196" i="1"/>
  <c r="AW143" i="1"/>
  <c r="AW188" i="1"/>
  <c r="AW204" i="1"/>
  <c r="AW138" i="1"/>
  <c r="AW197" i="1"/>
  <c r="AW179" i="1"/>
  <c r="AW205" i="1"/>
  <c r="AW177" i="1"/>
  <c r="AW175" i="1"/>
  <c r="AW187" i="1"/>
  <c r="AW199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<sst xmlns="http://schemas.openxmlformats.org/spreadsheetml/2006/main" count="3543" uniqueCount="1271">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</sst>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  <numFmt numFmtId="178" formatCode="_-&quot;$&quot;\ * #,##0.00_-;\-&quot;$&quot;\ * #,##0.00_-;_-&quot;$&quot;\ * &quot;-&quot;??_-;_-@_-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5" fillId="2" borderId="0"/>
    <xf numFmtId="0" fontId="5" fillId="3" borderId="0"/>
    <xf numFmtId="0" fontId="5" fillId="4" borderId="0"/>
    <xf numFmtId="0" fontId="5" fillId="5" borderId="0"/>
    <xf numFmtId="0" fontId="5" fillId="6" borderId="0"/>
    <xf numFmtId="0" fontId="5" fillId="7" borderId="0"/>
    <xf numFmtId="0" fontId="5" fillId="8" borderId="0"/>
    <xf numFmtId="0" fontId="5" fillId="9" borderId="0"/>
    <xf numFmtId="0" fontId="5" fillId="10" borderId="0"/>
    <xf numFmtId="0" fontId="5" fillId="5" borderId="0"/>
    <xf numFmtId="0" fontId="5" fillId="8" borderId="0"/>
    <xf numFmtId="0" fontId="5" fillId="11" borderId="0"/>
    <xf numFmtId="0" fontId="6" fillId="12" borderId="0"/>
    <xf numFmtId="0" fontId="6" fillId="9" borderId="0"/>
    <xf numFmtId="0" fontId="6" fillId="10" borderId="0"/>
    <xf numFmtId="0" fontId="6" fillId="13" borderId="0"/>
    <xf numFmtId="0" fontId="6" fillId="14" borderId="0"/>
    <xf numFmtId="0" fontId="6" fillId="15" borderId="0"/>
    <xf numFmtId="0" fontId="7" fillId="4" borderId="0"/>
    <xf numFmtId="0" fontId="8" fillId="16" borderId="1"/>
    <xf numFmtId="0" fontId="9" fillId="17" borderId="2"/>
    <xf numFmtId="0" fontId="10" fillId="0" borderId="3"/>
    <xf numFmtId="171" fontId="23" fillId="0" borderId="0">
      <protection locked="0"/>
    </xf>
    <xf numFmtId="171" fontId="23" fillId="0" borderId="0">
      <protection locked="0"/>
    </xf>
    <xf numFmtId="171" fontId="23" fillId="0" borderId="0">
      <protection locked="0"/>
    </xf>
    <xf numFmtId="171" fontId="23" fillId="0" borderId="0">
      <protection locked="0"/>
    </xf>
    <xf numFmtId="171" fontId="23" fillId="0" borderId="0">
      <protection locked="0"/>
    </xf>
    <xf numFmtId="171" fontId="23" fillId="0" borderId="0">
      <protection locked="0"/>
    </xf>
    <xf numFmtId="171" fontId="23" fillId="0" borderId="0">
      <protection locked="0"/>
    </xf>
    <xf numFmtId="171" fontId="23" fillId="0" borderId="0">
      <protection locked="0"/>
    </xf>
    <xf numFmtId="0" fontId="4" fillId="18" borderId="4">
      <alignment horizontal="center" vertical="center" wrapText="1"/>
    </xf>
    <xf numFmtId="171" fontId="24" fillId="0" borderId="0">
      <protection locked="0"/>
    </xf>
    <xf numFmtId="171" fontId="24" fillId="0" borderId="0">
      <protection locked="0"/>
    </xf>
    <xf numFmtId="0" fontId="11" fillId="0" borderId="0"/>
    <xf numFmtId="0" fontId="6" fillId="19" borderId="0"/>
    <xf numFmtId="0" fontId="6" fillId="20" borderId="0"/>
    <xf numFmtId="0" fontId="6" fillId="21" borderId="0"/>
    <xf numFmtId="0" fontId="6" fillId="13" borderId="0"/>
    <xf numFmtId="0" fontId="6" fillId="14" borderId="0"/>
    <xf numFmtId="0" fontId="6" fillId="22" borderId="0"/>
    <xf numFmtId="0" fontId="12" fillId="7" borderId="1"/>
    <xf numFmtId="172" fontId="28" fillId="0" borderId="0"/>
    <xf numFmtId="173" fontId="28" fillId="0" borderId="0"/>
    <xf numFmtId="171" fontId="24" fillId="0" borderId="0">
      <protection locked="0"/>
    </xf>
    <xf numFmtId="171" fontId="24" fillId="0" borderId="0">
      <protection locked="0"/>
    </xf>
    <xf numFmtId="171" fontId="25" fillId="0" borderId="0">
      <protection locked="0"/>
    </xf>
    <xf numFmtId="171" fontId="25" fillId="0" borderId="0">
      <protection locked="0"/>
    </xf>
    <xf numFmtId="171" fontId="25" fillId="0" borderId="0">
      <protection locked="0"/>
    </xf>
    <xf numFmtId="171" fontId="25" fillId="0" borderId="0">
      <protection locked="0"/>
    </xf>
    <xf numFmtId="0" fontId="13" fillId="3" borderId="0"/>
    <xf numFmtId="43" fontId="28" fillId="0" borderId="0"/>
    <xf numFmtId="174" fontId="28" fillId="0" borderId="0"/>
    <xf numFmtId="43" fontId="28" fillId="0" borderId="0"/>
    <xf numFmtId="43" fontId="28" fillId="0" borderId="0"/>
    <xf numFmtId="43" fontId="28" fillId="0" borderId="0"/>
    <xf numFmtId="43" fontId="28" fillId="0" borderId="0"/>
    <xf numFmtId="0" fontId="14" fillId="23" borderId="0"/>
    <xf numFmtId="0" fontId="28" fillId="0" borderId="0"/>
    <xf numFmtId="0" fontId="28" fillId="0" borderId="0"/>
    <xf numFmtId="0" fontId="27" fillId="0" borderId="0"/>
    <xf numFmtId="0" fontId="26" fillId="0" borderId="0"/>
    <xf numFmtId="175" fontId="22" fillId="0" borderId="0"/>
    <xf numFmtId="175" fontId="22" fillId="0" borderId="0"/>
    <xf numFmtId="0" fontId="28" fillId="24" borderId="6"/>
    <xf numFmtId="171" fontId="23" fillId="0" borderId="0">
      <protection locked="0"/>
    </xf>
    <xf numFmtId="171" fontId="23" fillId="0" borderId="0">
      <protection locked="0"/>
    </xf>
    <xf numFmtId="9" fontId="28" fillId="0" borderId="0"/>
    <xf numFmtId="0" fontId="15" fillId="16" borderId="7"/>
    <xf numFmtId="0" fontId="16" fillId="0" borderId="0"/>
    <xf numFmtId="0" fontId="17" fillId="0" borderId="0"/>
    <xf numFmtId="0" fontId="19" fillId="0" borderId="5"/>
    <xf numFmtId="0" fontId="20" fillId="0" borderId="8"/>
    <xf numFmtId="0" fontId="11" fillId="0" borderId="9"/>
    <xf numFmtId="0" fontId="18" fillId="0" borderId="0"/>
    <xf numFmtId="0" fontId="21" fillId="0" borderId="10"/>
    <xf numFmtId="171" fontId="24" fillId="0" borderId="11">
      <protection locked="0"/>
    </xf>
    <xf numFmtId="171" fontId="24" fillId="0" borderId="11">
      <protection locked="0"/>
    </xf>
    <xf numFmtId="9" fontId="28" fillId="0" borderId="0"/>
    <xf numFmtId="0" fontId="26" fillId="0" borderId="0"/>
    <xf numFmtId="0" fontId="26" fillId="0" borderId="0"/>
    <xf numFmtId="170" fontId="5" fillId="0" borderId="0"/>
    <xf numFmtId="0" fontId="26" fillId="0" borderId="0"/>
    <xf numFmtId="0" fontId="28" fillId="0" borderId="0"/>
    <xf numFmtId="0" fontId="28" fillId="0" borderId="0"/>
    <xf numFmtId="172" fontId="28" fillId="0" borderId="0"/>
    <xf numFmtId="173" fontId="28" fillId="0" borderId="0"/>
    <xf numFmtId="43" fontId="28" fillId="0" borderId="0"/>
    <xf numFmtId="174" fontId="28" fillId="0" borderId="0"/>
    <xf numFmtId="43" fontId="28" fillId="0" borderId="0"/>
    <xf numFmtId="43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0" fontId="26" fillId="0" borderId="0"/>
    <xf numFmtId="0" fontId="28" fillId="24" borderId="6"/>
    <xf numFmtId="9" fontId="28" fillId="0" borderId="0"/>
    <xf numFmtId="9" fontId="28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1" fillId="0" borderId="0"/>
    <xf numFmtId="0" fontId="40" fillId="0" borderId="0"/>
    <xf numFmtId="0" fontId="3" fillId="0" borderId="0"/>
    <xf numFmtId="175" fontId="48" fillId="0" borderId="0"/>
    <xf numFmtId="0" fontId="3" fillId="0" borderId="0"/>
    <xf numFmtId="0" fontId="49" fillId="0" borderId="0"/>
    <xf numFmtId="178" fontId="1" fillId="0" borderId="0" applyFont="0" applyFill="0" applyBorder="0" applyAlignment="0" applyProtection="0"/>
    <xf numFmtId="0" fontId="1" fillId="0" borderId="0"/>
  </cellStyleXfs>
  <cellXfs count="126">
    <xf numFmtId="0" fontId="0" fillId="0" borderId="0" xfId="0"/>
    <xf numFmtId="0" fontId="33" fillId="27" borderId="22" xfId="0" applyFont="1" applyFill="1" applyBorder="1" applyAlignment="1">
      <alignment horizontal="center" vertical="center"/>
    </xf>
    <xf numFmtId="0" fontId="33" fillId="27" borderId="23" xfId="0" applyFont="1" applyFill="1" applyBorder="1" applyAlignment="1">
      <alignment horizontal="center" vertical="center"/>
    </xf>
    <xf numFmtId="164" fontId="33" fillId="27" borderId="23" xfId="0" applyNumberFormat="1" applyFont="1" applyFill="1" applyBorder="1" applyAlignment="1">
      <alignment horizontal="center" vertical="center"/>
    </xf>
    <xf numFmtId="2" fontId="33" fillId="27" borderId="23" xfId="0" applyNumberFormat="1" applyFont="1" applyFill="1" applyBorder="1" applyAlignment="1">
      <alignment horizontal="center" vertical="center"/>
    </xf>
    <xf numFmtId="2" fontId="33" fillId="27" borderId="24" xfId="0" applyNumberFormat="1" applyFont="1" applyFill="1" applyBorder="1" applyAlignment="1">
      <alignment horizontal="center" vertical="center"/>
    </xf>
    <xf numFmtId="0" fontId="33" fillId="27" borderId="25" xfId="0" applyFont="1" applyFill="1" applyBorder="1" applyAlignment="1">
      <alignment horizontal="center" vertical="center"/>
    </xf>
    <xf numFmtId="0" fontId="33" fillId="27" borderId="24" xfId="0" applyFont="1" applyFill="1" applyBorder="1" applyAlignment="1">
      <alignment horizontal="center" vertical="center"/>
    </xf>
    <xf numFmtId="165" fontId="34" fillId="27" borderId="25" xfId="0" applyNumberFormat="1" applyFont="1" applyFill="1" applyBorder="1" applyAlignment="1">
      <alignment horizontal="center" vertical="center" wrapText="1"/>
    </xf>
    <xf numFmtId="0" fontId="34" fillId="27" borderId="24" xfId="0" applyFont="1" applyFill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2" fontId="36" fillId="0" borderId="12" xfId="0" applyNumberFormat="1" applyFont="1" applyBorder="1" applyAlignment="1">
      <alignment horizontal="center" vertical="center"/>
    </xf>
    <xf numFmtId="2" fontId="36" fillId="0" borderId="16" xfId="0" applyNumberFormat="1" applyFont="1" applyBorder="1" applyAlignment="1">
      <alignment horizontal="center" vertical="center"/>
    </xf>
    <xf numFmtId="166" fontId="35" fillId="0" borderId="15" xfId="0" applyNumberFormat="1" applyFont="1" applyBorder="1" applyAlignment="1">
      <alignment horizontal="center" vertical="center"/>
    </xf>
    <xf numFmtId="166" fontId="35" fillId="0" borderId="12" xfId="0" applyNumberFormat="1" applyFont="1" applyBorder="1" applyAlignment="1">
      <alignment horizontal="center" vertical="center"/>
    </xf>
    <xf numFmtId="166" fontId="35" fillId="0" borderId="16" xfId="0" applyNumberFormat="1" applyFont="1" applyBorder="1" applyAlignment="1">
      <alignment horizontal="center" vertical="center"/>
    </xf>
    <xf numFmtId="1" fontId="35" fillId="0" borderId="15" xfId="0" applyNumberFormat="1" applyFont="1" applyBorder="1" applyAlignment="1">
      <alignment horizontal="center" vertical="center"/>
    </xf>
    <xf numFmtId="167" fontId="35" fillId="0" borderId="16" xfId="0" applyNumberFormat="1" applyFont="1" applyBorder="1" applyAlignment="1">
      <alignment horizontal="center" vertical="center"/>
    </xf>
    <xf numFmtId="0" fontId="37" fillId="0" borderId="13" xfId="58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7" fillId="0" borderId="12" xfId="58" applyFont="1" applyBorder="1" applyAlignment="1">
      <alignment horizontal="center" vertical="center"/>
    </xf>
    <xf numFmtId="166" fontId="38" fillId="0" borderId="15" xfId="0" applyNumberFormat="1" applyFont="1" applyBorder="1" applyAlignment="1">
      <alignment horizontal="center" vertical="center"/>
    </xf>
    <xf numFmtId="166" fontId="38" fillId="0" borderId="12" xfId="0" applyNumberFormat="1" applyFont="1" applyBorder="1" applyAlignment="1">
      <alignment horizontal="center" vertical="center"/>
    </xf>
    <xf numFmtId="167" fontId="40" fillId="0" borderId="16" xfId="78" applyNumberFormat="1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7" fillId="0" borderId="18" xfId="58" applyFont="1" applyBorder="1" applyAlignment="1">
      <alignment horizontal="center" vertical="center"/>
    </xf>
    <xf numFmtId="2" fontId="37" fillId="0" borderId="18" xfId="58" applyNumberFormat="1" applyFont="1" applyBorder="1" applyAlignment="1">
      <alignment horizontal="center" vertical="center"/>
    </xf>
    <xf numFmtId="2" fontId="37" fillId="0" borderId="27" xfId="58" applyNumberFormat="1" applyFont="1" applyBorder="1" applyAlignment="1">
      <alignment horizontal="center" vertical="center"/>
    </xf>
    <xf numFmtId="166" fontId="38" fillId="0" borderId="19" xfId="0" applyNumberFormat="1" applyFont="1" applyBorder="1" applyAlignment="1">
      <alignment horizontal="center" vertical="center"/>
    </xf>
    <xf numFmtId="166" fontId="38" fillId="0" borderId="18" xfId="0" applyNumberFormat="1" applyFont="1" applyBorder="1" applyAlignment="1">
      <alignment horizontal="center" vertical="center"/>
    </xf>
    <xf numFmtId="167" fontId="40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2" fontId="39" fillId="0" borderId="12" xfId="0" applyNumberFormat="1" applyFont="1" applyBorder="1" applyAlignment="1">
      <alignment horizontal="center" vertical="center"/>
    </xf>
    <xf numFmtId="2" fontId="39" fillId="0" borderId="16" xfId="0" applyNumberFormat="1" applyFont="1" applyBorder="1" applyAlignment="1">
      <alignment horizontal="center" vertical="center"/>
    </xf>
    <xf numFmtId="166" fontId="38" fillId="0" borderId="16" xfId="0" applyNumberFormat="1" applyFont="1" applyBorder="1" applyAlignment="1">
      <alignment horizontal="center" vertical="center"/>
    </xf>
    <xf numFmtId="1" fontId="39" fillId="0" borderId="15" xfId="0" applyNumberFormat="1" applyFont="1" applyBorder="1" applyAlignment="1">
      <alignment horizontal="center" vertical="center"/>
    </xf>
    <xf numFmtId="166" fontId="38" fillId="0" borderId="27" xfId="0" applyNumberFormat="1" applyFont="1" applyBorder="1" applyAlignment="1">
      <alignment horizontal="center" vertical="center"/>
    </xf>
    <xf numFmtId="1" fontId="39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1" fillId="0" borderId="12" xfId="0" applyFont="1" applyBorder="1"/>
    <xf numFmtId="166" fontId="0" fillId="0" borderId="12" xfId="0" applyNumberFormat="1" applyBorder="1"/>
    <xf numFmtId="0" fontId="30" fillId="0" borderId="12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43" fillId="25" borderId="12" xfId="0" applyFont="1" applyFill="1" applyBorder="1" applyAlignment="1">
      <alignment horizontal="left" vertical="center"/>
    </xf>
    <xf numFmtId="1" fontId="43" fillId="0" borderId="12" xfId="0" applyNumberFormat="1" applyFont="1" applyBorder="1" applyAlignment="1">
      <alignment horizontal="center" vertical="center"/>
    </xf>
    <xf numFmtId="2" fontId="43" fillId="25" borderId="12" xfId="0" applyNumberFormat="1" applyFont="1" applyFill="1" applyBorder="1" applyAlignment="1">
      <alignment horizontal="center"/>
    </xf>
    <xf numFmtId="0" fontId="43" fillId="25" borderId="12" xfId="0" applyFont="1" applyFill="1" applyBorder="1" applyAlignment="1">
      <alignment horizontal="center"/>
    </xf>
    <xf numFmtId="166" fontId="43" fillId="0" borderId="12" xfId="0" applyNumberFormat="1" applyFont="1" applyBorder="1" applyAlignment="1">
      <alignment horizontal="right" vertical="center"/>
    </xf>
    <xf numFmtId="1" fontId="43" fillId="0" borderId="12" xfId="0" applyNumberFormat="1" applyFont="1" applyBorder="1" applyAlignment="1">
      <alignment horizontal="left" vertical="center"/>
    </xf>
    <xf numFmtId="2" fontId="43" fillId="0" borderId="12" xfId="0" applyNumberFormat="1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43" fillId="0" borderId="12" xfId="0" applyFont="1" applyBorder="1" applyAlignment="1">
      <alignment horizontal="left" vertical="center"/>
    </xf>
    <xf numFmtId="0" fontId="42" fillId="0" borderId="12" xfId="82" applyFont="1" applyBorder="1" applyAlignment="1">
      <alignment horizontal="center" vertical="center" wrapText="1"/>
    </xf>
    <xf numFmtId="0" fontId="2" fillId="0" borderId="12" xfId="82" applyFont="1" applyBorder="1" applyAlignment="1">
      <alignment horizontal="center"/>
    </xf>
    <xf numFmtId="0" fontId="2" fillId="0" borderId="12" xfId="82" applyFont="1" applyBorder="1" applyAlignment="1">
      <alignment horizontal="left"/>
    </xf>
    <xf numFmtId="0" fontId="2" fillId="0" borderId="12" xfId="82" applyFont="1" applyBorder="1" applyAlignment="1">
      <alignment vertical="center" wrapText="1"/>
    </xf>
    <xf numFmtId="14" fontId="3" fillId="0" borderId="12" xfId="83" applyNumberFormat="1" applyFont="1" applyBorder="1" applyAlignment="1">
      <alignment horizontal="center" vertical="center"/>
    </xf>
    <xf numFmtId="0" fontId="3" fillId="0" borderId="12" xfId="83" applyFont="1" applyBorder="1" applyAlignment="1">
      <alignment horizontal="center" vertical="center"/>
    </xf>
    <xf numFmtId="0" fontId="3" fillId="0" borderId="12" xfId="83" applyFont="1" applyBorder="1" applyAlignment="1">
      <alignment horizontal="center" vertical="center" wrapText="1"/>
    </xf>
    <xf numFmtId="0" fontId="43" fillId="25" borderId="12" xfId="0" applyFont="1" applyFill="1" applyBorder="1" applyAlignment="1">
      <alignment horizontal="left"/>
    </xf>
    <xf numFmtId="0" fontId="43" fillId="0" borderId="12" xfId="0" applyFont="1" applyBorder="1" applyAlignment="1">
      <alignment horizontal="left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8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166" fontId="44" fillId="26" borderId="12" xfId="0" applyNumberFormat="1" applyFont="1" applyFill="1" applyBorder="1" applyAlignment="1">
      <alignment horizontal="center" vertical="center"/>
    </xf>
    <xf numFmtId="0" fontId="45" fillId="28" borderId="12" xfId="0" applyFont="1" applyFill="1" applyBorder="1" applyAlignment="1">
      <alignment horizontal="center"/>
    </xf>
    <xf numFmtId="0" fontId="46" fillId="0" borderId="0" xfId="0" applyFont="1" applyAlignment="1">
      <alignment horizontal="left" vertical="center"/>
    </xf>
    <xf numFmtId="0" fontId="43" fillId="0" borderId="0" xfId="0" applyFont="1"/>
    <xf numFmtId="0" fontId="47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166" fontId="43" fillId="0" borderId="0" xfId="0" applyNumberFormat="1" applyFont="1"/>
    <xf numFmtId="166" fontId="44" fillId="0" borderId="0" xfId="0" applyNumberFormat="1" applyFont="1" applyAlignment="1">
      <alignment horizontal="center"/>
    </xf>
    <xf numFmtId="166" fontId="44" fillId="0" borderId="0" xfId="0" applyNumberFormat="1" applyFont="1"/>
    <xf numFmtId="1" fontId="44" fillId="28" borderId="12" xfId="0" applyNumberFormat="1" applyFont="1" applyFill="1" applyBorder="1" applyAlignment="1">
      <alignment horizontal="center"/>
    </xf>
    <xf numFmtId="0" fontId="44" fillId="28" borderId="12" xfId="0" applyFont="1" applyFill="1" applyBorder="1" applyAlignment="1">
      <alignment horizontal="center"/>
    </xf>
    <xf numFmtId="49" fontId="44" fillId="28" borderId="12" xfId="0" applyNumberFormat="1" applyFont="1" applyFill="1" applyBorder="1" applyAlignment="1">
      <alignment horizontal="center" vertical="center"/>
    </xf>
    <xf numFmtId="166" fontId="43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right" vertical="center"/>
    </xf>
    <xf numFmtId="0" fontId="44" fillId="0" borderId="0" xfId="0" applyFont="1" applyAlignment="1">
      <alignment horizontal="center"/>
    </xf>
    <xf numFmtId="1" fontId="43" fillId="0" borderId="12" xfId="0" applyNumberFormat="1" applyFont="1" applyBorder="1" applyAlignment="1">
      <alignment horizontal="center"/>
    </xf>
    <xf numFmtId="166" fontId="43" fillId="0" borderId="12" xfId="0" applyNumberFormat="1" applyFont="1" applyBorder="1" applyAlignment="1">
      <alignment horizontal="center"/>
    </xf>
    <xf numFmtId="166" fontId="43" fillId="0" borderId="12" xfId="0" applyNumberFormat="1" applyFont="1" applyBorder="1" applyAlignment="1">
      <alignment horizontal="center" vertical="center"/>
    </xf>
    <xf numFmtId="14" fontId="43" fillId="0" borderId="12" xfId="0" applyNumberFormat="1" applyFont="1" applyBorder="1" applyAlignment="1">
      <alignment horizontal="center" vertical="center"/>
    </xf>
    <xf numFmtId="169" fontId="43" fillId="0" borderId="12" xfId="0" applyNumberFormat="1" applyFont="1" applyBorder="1" applyAlignment="1">
      <alignment horizontal="center" vertical="center"/>
    </xf>
    <xf numFmtId="2" fontId="43" fillId="0" borderId="12" xfId="0" applyNumberFormat="1" applyFont="1" applyBorder="1" applyAlignment="1">
      <alignment horizontal="center" vertical="center"/>
    </xf>
    <xf numFmtId="1" fontId="43" fillId="0" borderId="0" xfId="0" applyNumberFormat="1" applyFont="1"/>
    <xf numFmtId="0" fontId="43" fillId="0" borderId="0" xfId="0" applyFont="1" applyAlignment="1">
      <alignment horizontal="right" vertical="center"/>
    </xf>
    <xf numFmtId="166" fontId="43" fillId="0" borderId="0" xfId="0" applyNumberFormat="1" applyFont="1" applyAlignment="1">
      <alignment horizontal="right" vertical="center"/>
    </xf>
    <xf numFmtId="166" fontId="45" fillId="28" borderId="12" xfId="0" applyNumberFormat="1" applyFont="1" applyFill="1" applyBorder="1" applyAlignment="1">
      <alignment horizontal="center"/>
    </xf>
    <xf numFmtId="0" fontId="43" fillId="29" borderId="12" xfId="0" applyFont="1" applyFill="1" applyBorder="1" applyAlignment="1">
      <alignment horizontal="center" vertical="center"/>
    </xf>
    <xf numFmtId="0" fontId="43" fillId="29" borderId="12" xfId="0" applyFont="1" applyFill="1" applyBorder="1" applyAlignment="1">
      <alignment horizontal="left" vertical="center"/>
    </xf>
    <xf numFmtId="1" fontId="43" fillId="29" borderId="12" xfId="0" applyNumberFormat="1" applyFont="1" applyFill="1" applyBorder="1" applyAlignment="1">
      <alignment horizontal="left" vertical="center"/>
    </xf>
    <xf numFmtId="2" fontId="43" fillId="29" borderId="12" xfId="0" applyNumberFormat="1" applyFont="1" applyFill="1" applyBorder="1" applyAlignment="1">
      <alignment horizontal="center"/>
    </xf>
    <xf numFmtId="0" fontId="43" fillId="29" borderId="12" xfId="0" applyFont="1" applyFill="1" applyBorder="1" applyAlignment="1">
      <alignment horizontal="center"/>
    </xf>
    <xf numFmtId="0" fontId="43" fillId="29" borderId="12" xfId="0" applyFont="1" applyFill="1" applyBorder="1" applyAlignment="1">
      <alignment horizontal="left"/>
    </xf>
    <xf numFmtId="0" fontId="0" fillId="0" borderId="21" xfId="0" applyBorder="1"/>
    <xf numFmtId="0" fontId="31" fillId="26" borderId="28" xfId="0" applyFont="1" applyFill="1" applyBorder="1" applyAlignment="1">
      <alignment vertical="center"/>
    </xf>
    <xf numFmtId="0" fontId="0" fillId="0" borderId="14" xfId="0" applyBorder="1"/>
    <xf numFmtId="0" fontId="29" fillId="26" borderId="28" xfId="0" applyFont="1" applyFill="1" applyBorder="1" applyAlignment="1">
      <alignment vertical="center"/>
    </xf>
    <xf numFmtId="166" fontId="43" fillId="29" borderId="12" xfId="0" applyNumberFormat="1" applyFont="1" applyFill="1" applyBorder="1" applyAlignment="1">
      <alignment horizontal="right" vertical="center"/>
    </xf>
    <xf numFmtId="166" fontId="43" fillId="30" borderId="12" xfId="0" applyNumberFormat="1" applyFont="1" applyFill="1" applyBorder="1" applyAlignment="1">
      <alignment horizontal="right" vertical="center"/>
    </xf>
    <xf numFmtId="0" fontId="3" fillId="0" borderId="0" xfId="94" applyFont="1"/>
    <xf numFmtId="166" fontId="43" fillId="0" borderId="12" xfId="94" applyNumberFormat="1" applyFont="1" applyBorder="1" applyAlignment="1">
      <alignment horizontal="right" vertical="center"/>
    </xf>
    <xf numFmtId="0" fontId="44" fillId="26" borderId="12" xfId="94" applyFont="1" applyFill="1" applyBorder="1" applyAlignment="1">
      <alignment horizontal="center" vertical="center"/>
    </xf>
    <xf numFmtId="0" fontId="43" fillId="0" borderId="0" xfId="94" applyFont="1" applyAlignment="1">
      <alignment horizontal="center" vertical="center"/>
    </xf>
    <xf numFmtId="0" fontId="46" fillId="0" borderId="0" xfId="94" applyFont="1" applyAlignment="1">
      <alignment vertical="center"/>
    </xf>
    <xf numFmtId="166" fontId="43" fillId="29" borderId="12" xfId="94" applyNumberFormat="1" applyFont="1" applyFill="1" applyBorder="1" applyAlignment="1">
      <alignment horizontal="right" vertical="center"/>
    </xf>
    <xf numFmtId="166" fontId="43" fillId="31" borderId="12" xfId="0" applyNumberFormat="1" applyFont="1" applyFill="1" applyBorder="1" applyAlignment="1">
      <alignment horizontal="right" vertical="center"/>
    </xf>
    <xf numFmtId="166" fontId="43" fillId="31" borderId="12" xfId="94" applyNumberFormat="1" applyFont="1" applyFill="1" applyBorder="1" applyAlignment="1">
      <alignment horizontal="right" vertical="center"/>
    </xf>
    <xf numFmtId="0" fontId="43" fillId="31" borderId="0" xfId="0" applyFont="1" applyFill="1"/>
    <xf numFmtId="170" fontId="32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1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1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30A64011-A64E-46E1-BEA5-29FCB749E11B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66D636AF-CFD4-4A87-894E-EC908111DC59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2EC7C75C-1A95-48AA-AD6C-AE34C2825991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2B7EB4AA-899C-4C22-BFB5-0083C77ECDA4}"/>
    <cellStyle name="Normal 3 4" xfId="105" xr:uid="{E711AF71-EB8C-4C22-896B-D12E8DC9E4B5}"/>
    <cellStyle name="Normal 4" xfId="62" xr:uid="{00000000-0005-0000-0000-00003E000000}"/>
    <cellStyle name="Normal 4 2" xfId="63" xr:uid="{00000000-0005-0000-0000-00003F000000}"/>
    <cellStyle name="Normal 4 3" xfId="106" xr:uid="{01405718-59F8-4EB0-9089-E94D179D4916}"/>
    <cellStyle name="Normal 5" xfId="79" xr:uid="{00000000-0005-0000-0000-00004F000000}"/>
    <cellStyle name="Normal 5 2" xfId="99" xr:uid="{00000000-0005-0000-0000-000063000000}"/>
    <cellStyle name="Normal 5 3" xfId="108" xr:uid="{2CD0FA1D-F4E5-452D-8937-90246F480D58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AB790A94-9892-41C5-A766-7A6A88A777CD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67" zoomScale="80" zoomScaleNormal="80" workbookViewId="0">
      <selection activeCell="AE216" sqref="AE21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9" width="32.42578125" style="74" customWidth="1"/>
    <col min="16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AGOSTO</v>
      </c>
      <c r="E2" s="82">
        <v>8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3.6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116">
        <v>25.7</v>
      </c>
      <c r="AD5" s="51">
        <v>26.7</v>
      </c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20</v>
      </c>
      <c r="AQ5" s="89">
        <f t="shared" ref="AQ5:AQ68" si="2">IF(AP5&gt;14,AVERAGE(K5:AO5),"")</f>
        <v>26.764999999999997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0.50571142146966608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>
        <v>26.7</v>
      </c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20</v>
      </c>
      <c r="AQ6" s="89">
        <f t="shared" si="2"/>
        <v>27.085000000000001</v>
      </c>
      <c r="AR6" s="89">
        <f>IFERROR(VLOOKUP(A6,Climatologia!A:U,9+$E$2,FALSE),"")</f>
        <v>26.228813072776621</v>
      </c>
      <c r="AS6" s="89">
        <f t="shared" si="3"/>
        <v>0.85618692722337997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>
        <v>25.9</v>
      </c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20</v>
      </c>
      <c r="AQ7" s="89">
        <f t="shared" si="2"/>
        <v>26.505000000000003</v>
      </c>
      <c r="AR7" s="89">
        <f>IFERROR(VLOOKUP(A7,Climatologia!A:U,9+$E$2,FALSE),"")</f>
        <v>24.806006674082301</v>
      </c>
      <c r="AS7" s="89">
        <f t="shared" si="3"/>
        <v>1.6989933259177015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>
        <v>25.4</v>
      </c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20</v>
      </c>
      <c r="AQ8" s="89">
        <f t="shared" si="2"/>
        <v>26.359999999999996</v>
      </c>
      <c r="AR8" s="89">
        <f>IFERROR(VLOOKUP(A8,Climatologia!A:U,9+$E$2,FALSE),"")</f>
        <v>25.86230323116423</v>
      </c>
      <c r="AS8" s="89">
        <f t="shared" si="3"/>
        <v>0.49769676883576608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>
        <v>27.4</v>
      </c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20</v>
      </c>
      <c r="AQ9" s="89">
        <f t="shared" si="2"/>
        <v>26.135000000000002</v>
      </c>
      <c r="AR9" s="89">
        <f>IFERROR(VLOOKUP(A9,Climatologia!A:U,9+$E$2,FALSE),"")</f>
        <v>24.75295901904628</v>
      </c>
      <c r="AS9" s="89">
        <f t="shared" si="3"/>
        <v>1.3820409809537217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>
        <v>28.7</v>
      </c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20</v>
      </c>
      <c r="AQ10" s="89">
        <f t="shared" si="2"/>
        <v>28.005000000000003</v>
      </c>
      <c r="AR10" s="89">
        <f>IFERROR(VLOOKUP(A10,Climatologia!A:U,9+$E$2,FALSE),"")</f>
        <v>25.518421261719372</v>
      </c>
      <c r="AS10" s="89">
        <f t="shared" si="3"/>
        <v>2.486578738280631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>
        <v>26.9</v>
      </c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20</v>
      </c>
      <c r="AQ11" s="89">
        <f t="shared" si="2"/>
        <v>26.695</v>
      </c>
      <c r="AR11" s="89">
        <f>IFERROR(VLOOKUP(A11,Climatologia!A:U,9+$E$2,FALSE),"")</f>
        <v>24.333982334869429</v>
      </c>
      <c r="AS11" s="89">
        <f t="shared" si="3"/>
        <v>2.3610176651305714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>
        <v>25.1</v>
      </c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20</v>
      </c>
      <c r="AQ12" s="89">
        <f t="shared" si="2"/>
        <v>25.755000000000003</v>
      </c>
      <c r="AR12" s="89">
        <f>IFERROR(VLOOKUP(A12,Climatologia!A:U,9+$E$2,FALSE),"")</f>
        <v>23.252867103531361</v>
      </c>
      <c r="AS12" s="89">
        <f t="shared" si="3"/>
        <v>2.5021328964686411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>
        <v>24.2</v>
      </c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20</v>
      </c>
      <c r="AQ13" s="89">
        <f t="shared" si="2"/>
        <v>25.015000000000001</v>
      </c>
      <c r="AR13" s="89">
        <f>IFERROR(VLOOKUP(A13,Climatologia!A:U,9+$E$2,FALSE),"")</f>
        <v>23.256381449473771</v>
      </c>
      <c r="AS13" s="89">
        <f t="shared" si="3"/>
        <v>1.7586185505262293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>
        <v>20.2</v>
      </c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20</v>
      </c>
      <c r="AQ14" s="89">
        <f t="shared" si="2"/>
        <v>20.145000000000003</v>
      </c>
      <c r="AR14" s="89">
        <f>IFERROR(VLOOKUP(A14,Climatologia!A:U,9+$E$2,FALSE),"")</f>
        <v>18.604610712863401</v>
      </c>
      <c r="AS14" s="89">
        <f t="shared" si="3"/>
        <v>1.5403892871366018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>
        <v>25.6</v>
      </c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20</v>
      </c>
      <c r="AQ15" s="89">
        <f t="shared" si="2"/>
        <v>25.604999999999997</v>
      </c>
      <c r="AR15" s="89">
        <f>IFERROR(VLOOKUP(A15,Climatologia!A:U,9+$E$2,FALSE),"")</f>
        <v>23.891303077493511</v>
      </c>
      <c r="AS15" s="89">
        <f t="shared" si="3"/>
        <v>1.713696922506486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>
        <v>26.4</v>
      </c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20</v>
      </c>
      <c r="AQ16" s="89">
        <f t="shared" si="2"/>
        <v>24.964999999999996</v>
      </c>
      <c r="AR16" s="89">
        <f>IFERROR(VLOOKUP(A16,Climatologia!A:U,9+$E$2,FALSE),"")</f>
        <v>23.404404619673439</v>
      </c>
      <c r="AS16" s="89">
        <f t="shared" si="3"/>
        <v>1.5605953803265571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>
        <v>19</v>
      </c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20</v>
      </c>
      <c r="AQ17" s="89">
        <f t="shared" si="2"/>
        <v>19.335000000000001</v>
      </c>
      <c r="AR17" s="89">
        <f>IFERROR(VLOOKUP(A17,Climatologia!A:U,9+$E$2,FALSE),"")</f>
        <v>17.58853046594982</v>
      </c>
      <c r="AS17" s="89">
        <f t="shared" si="3"/>
        <v>1.7464695340501812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>
        <v>11.7</v>
      </c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20</v>
      </c>
      <c r="AQ18" s="89">
        <f t="shared" si="2"/>
        <v>12.650000000000004</v>
      </c>
      <c r="AR18" s="89">
        <f>IFERROR(VLOOKUP(A18,Climatologia!A:U,9+$E$2,FALSE),"")</f>
        <v>12.112884686688909</v>
      </c>
      <c r="AS18" s="89">
        <f t="shared" si="3"/>
        <v>0.53711531331109441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>
        <v>18.600000000000001</v>
      </c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20</v>
      </c>
      <c r="AQ19" s="89">
        <f t="shared" si="2"/>
        <v>18.589999999999996</v>
      </c>
      <c r="AR19" s="89">
        <f>IFERROR(VLOOKUP(A19,Climatologia!A:U,9+$E$2,FALSE),"")</f>
        <v>17.60198511166254</v>
      </c>
      <c r="AS19" s="89">
        <f t="shared" si="3"/>
        <v>0.98801488833745665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>
        <v>17</v>
      </c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20</v>
      </c>
      <c r="AQ20" s="89">
        <f t="shared" si="2"/>
        <v>17.524999999999999</v>
      </c>
      <c r="AR20" s="89">
        <f>IFERROR(VLOOKUP(A20,Climatologia!A:U,9+$E$2,FALSE),"")</f>
        <v>16.759506289039098</v>
      </c>
      <c r="AS20" s="89">
        <f t="shared" si="3"/>
        <v>0.76549371096090013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>
        <v>21.7</v>
      </c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20</v>
      </c>
      <c r="AQ21" s="89">
        <f t="shared" si="2"/>
        <v>21.404999999999998</v>
      </c>
      <c r="AR21" s="89">
        <f>IFERROR(VLOOKUP(A21,Climatologia!A:U,9+$E$2,FALSE),"")</f>
        <v>19.456815855631209</v>
      </c>
      <c r="AS21" s="89">
        <f t="shared" si="3"/>
        <v>1.9481841443687884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>
        <v>9.1999999999999993</v>
      </c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20</v>
      </c>
      <c r="AQ22" s="89">
        <f t="shared" si="2"/>
        <v>9.57</v>
      </c>
      <c r="AR22" s="89">
        <f>IFERROR(VLOOKUP(A22,Climatologia!A:U,9+$E$2,FALSE),"")</f>
        <v>8.3796136733122264</v>
      </c>
      <c r="AS22" s="89">
        <f t="shared" si="3"/>
        <v>1.1903863266877739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>
        <v>18.3</v>
      </c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20</v>
      </c>
      <c r="AQ23" s="89">
        <f t="shared" si="2"/>
        <v>18.949999999999996</v>
      </c>
      <c r="AR23" s="89">
        <f>IFERROR(VLOOKUP(A23,Climatologia!A:U,9+$E$2,FALSE),"")</f>
        <v>18.46166778427882</v>
      </c>
      <c r="AS23" s="89">
        <f t="shared" si="3"/>
        <v>0.4883322157211758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>
        <v>25.2</v>
      </c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20</v>
      </c>
      <c r="AQ24" s="89">
        <f t="shared" si="2"/>
        <v>24.994999999999994</v>
      </c>
      <c r="AR24" s="89">
        <f>IFERROR(VLOOKUP(A24,Climatologia!A:U,9+$E$2,FALSE),"")</f>
        <v>23.298802867383511</v>
      </c>
      <c r="AS24" s="89">
        <f t="shared" si="3"/>
        <v>1.6961971326164829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>
        <v>16.600000000000001</v>
      </c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20</v>
      </c>
      <c r="AQ25" s="89">
        <f t="shared" si="2"/>
        <v>15.684999999999999</v>
      </c>
      <c r="AR25" s="89">
        <f>IFERROR(VLOOKUP(A25,Climatologia!A:U,9+$E$2,FALSE),"")</f>
        <v>14.619937099422639</v>
      </c>
      <c r="AS25" s="89">
        <f t="shared" si="3"/>
        <v>1.0650629005773595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>
        <v>8.8000000000000007</v>
      </c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20</v>
      </c>
      <c r="AQ26" s="89">
        <f t="shared" si="2"/>
        <v>7.0700000000000021</v>
      </c>
      <c r="AR26" s="89">
        <f>IFERROR(VLOOKUP(A26,Climatologia!A:U,9+$E$2,FALSE),"")</f>
        <v>4.8923173896922503</v>
      </c>
      <c r="AS26" s="89">
        <f t="shared" si="3"/>
        <v>2.1776826103077518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>
        <v>26</v>
      </c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20</v>
      </c>
      <c r="AQ27" s="89">
        <f t="shared" si="2"/>
        <v>24.294999999999998</v>
      </c>
      <c r="AR27" s="89">
        <f>IFERROR(VLOOKUP(A27,Climatologia!A:U,9+$E$2,FALSE),"")</f>
        <v>23.179136204978711</v>
      </c>
      <c r="AS27" s="89">
        <f t="shared" si="3"/>
        <v>1.1158637950212871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>
        <v>24</v>
      </c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20</v>
      </c>
      <c r="AQ28" s="89">
        <f t="shared" si="2"/>
        <v>23.664999999999999</v>
      </c>
      <c r="AR28" s="89">
        <f>IFERROR(VLOOKUP(A28,Climatologia!A:U,9+$E$2,FALSE),"")</f>
        <v>22.746845081640782</v>
      </c>
      <c r="AS28" s="89">
        <f t="shared" si="3"/>
        <v>0.91815491835921748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>
        <v>25.6</v>
      </c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20</v>
      </c>
      <c r="AQ29" s="89">
        <f t="shared" si="2"/>
        <v>25.04</v>
      </c>
      <c r="AR29" s="89">
        <f>IFERROR(VLOOKUP(A29,Climatologia!A:U,9+$E$2,FALSE),"")</f>
        <v>23.54566184649611</v>
      </c>
      <c r="AS29" s="89">
        <f t="shared" si="3"/>
        <v>1.4943381535038895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>
        <v>22.1</v>
      </c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20</v>
      </c>
      <c r="AQ30" s="89">
        <f t="shared" si="2"/>
        <v>21.610000000000003</v>
      </c>
      <c r="AR30" s="89">
        <f>IFERROR(VLOOKUP(A30,Climatologia!A:U,9+$E$2,FALSE),"")</f>
        <v>20.53698553948831</v>
      </c>
      <c r="AS30" s="89">
        <f t="shared" si="3"/>
        <v>1.0730144605116934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>
        <v>22.9</v>
      </c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20</v>
      </c>
      <c r="AQ31" s="89">
        <f t="shared" si="2"/>
        <v>23.145</v>
      </c>
      <c r="AR31" s="89">
        <f>IFERROR(VLOOKUP(A31,Climatologia!A:U,9+$E$2,FALSE),"")</f>
        <v>21.82882961124896</v>
      </c>
      <c r="AS31" s="89">
        <f t="shared" si="3"/>
        <v>1.3161703887510399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>
        <v>13</v>
      </c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20</v>
      </c>
      <c r="AQ32" s="89">
        <f t="shared" si="2"/>
        <v>13.529999999999998</v>
      </c>
      <c r="AR32" s="89">
        <f>IFERROR(VLOOKUP(A32,Climatologia!A:U,9+$E$2,FALSE),"")</f>
        <v>13.384747431302269</v>
      </c>
      <c r="AS32" s="89">
        <f t="shared" si="3"/>
        <v>0.14525256869772818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>
        <v>14.6</v>
      </c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20</v>
      </c>
      <c r="AQ34" s="89">
        <f t="shared" si="2"/>
        <v>15.720000000000002</v>
      </c>
      <c r="AR34" s="89">
        <f>IFERROR(VLOOKUP(A34,Climatologia!A:U,9+$E$2,FALSE),"")</f>
        <v>14.78540372493654</v>
      </c>
      <c r="AS34" s="89">
        <f t="shared" si="3"/>
        <v>0.93459627506346266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>
        <v>15.4</v>
      </c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20</v>
      </c>
      <c r="AQ35" s="89">
        <f t="shared" si="2"/>
        <v>14.940000000000001</v>
      </c>
      <c r="AR35" s="89">
        <f>IFERROR(VLOOKUP(A35,Climatologia!A:U,9+$E$2,FALSE),"")</f>
        <v>13.2928973207542</v>
      </c>
      <c r="AS35" s="89">
        <f t="shared" si="3"/>
        <v>1.6471026792458012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>
        <v>18.399999999999999</v>
      </c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20</v>
      </c>
      <c r="AQ36" s="89">
        <f t="shared" si="2"/>
        <v>18.580000000000002</v>
      </c>
      <c r="AR36" s="89">
        <f>IFERROR(VLOOKUP(A36,Climatologia!A:U,9+$E$2,FALSE),"")</f>
        <v>19.435919418842811</v>
      </c>
      <c r="AS36" s="89">
        <f t="shared" si="3"/>
        <v>-0.85591941884280942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>
        <v>8.8000000000000007</v>
      </c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20</v>
      </c>
      <c r="AQ37" s="89">
        <f t="shared" si="2"/>
        <v>9.3000000000000007</v>
      </c>
      <c r="AR37" s="89">
        <f>IFERROR(VLOOKUP(A37,Climatologia!A:U,9+$E$2,FALSE),"")</f>
        <v>9.4603029050299927</v>
      </c>
      <c r="AS37" s="89">
        <f t="shared" si="3"/>
        <v>-0.160302905029992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>
        <v>17.2</v>
      </c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20</v>
      </c>
      <c r="AQ38" s="89">
        <f t="shared" si="2"/>
        <v>17.600000000000001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>
        <v>19.600000000000001</v>
      </c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20</v>
      </c>
      <c r="AQ39" s="89">
        <f t="shared" si="2"/>
        <v>19.640000000000008</v>
      </c>
      <c r="AR39" s="89">
        <f>IFERROR(VLOOKUP(A39,Climatologia!A:U,9+$E$2,FALSE),"")</f>
        <v>17.324090157154679</v>
      </c>
      <c r="AS39" s="89">
        <f t="shared" si="3"/>
        <v>2.3159098428453291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>
        <v>13.2</v>
      </c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20</v>
      </c>
      <c r="AQ40" s="89">
        <f t="shared" si="2"/>
        <v>14.61</v>
      </c>
      <c r="AR40" s="89">
        <f>IFERROR(VLOOKUP(A40,Climatologia!A:U,9+$E$2,FALSE),"")</f>
        <v>13.024959037378389</v>
      </c>
      <c r="AS40" s="89">
        <f t="shared" si="3"/>
        <v>1.5850409626216102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>
        <v>24.2</v>
      </c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20</v>
      </c>
      <c r="AQ41" s="89">
        <f t="shared" si="2"/>
        <v>24.810000000000002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19</v>
      </c>
      <c r="AQ42" s="89">
        <f t="shared" si="2"/>
        <v>25.999999999999996</v>
      </c>
      <c r="AR42" s="89">
        <f>IFERROR(VLOOKUP(A42,Climatologia!A:U,9+$E$2,FALSE),"")</f>
        <v>24.242887721454171</v>
      </c>
      <c r="AS42" s="89">
        <f t="shared" si="3"/>
        <v>1.7571122785458257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>
        <v>24</v>
      </c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20</v>
      </c>
      <c r="AQ43" s="89">
        <f t="shared" si="2"/>
        <v>24.92</v>
      </c>
      <c r="AR43" s="89">
        <f>IFERROR(VLOOKUP(A43,Climatologia!A:U,9+$E$2,FALSE),"")</f>
        <v>23.780114118567958</v>
      </c>
      <c r="AS43" s="89">
        <f t="shared" si="3"/>
        <v>1.1398858814320434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>
        <v>24.2</v>
      </c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20</v>
      </c>
      <c r="AQ44" s="89">
        <f t="shared" si="2"/>
        <v>24.699999999999996</v>
      </c>
      <c r="AR44" s="89">
        <f>IFERROR(VLOOKUP(A44,Climatologia!A:U,9+$E$2,FALSE),"")</f>
        <v>23.0554149406661</v>
      </c>
      <c r="AS44" s="89">
        <f t="shared" si="3"/>
        <v>1.6445850593338953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>
        <v>25.4</v>
      </c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20</v>
      </c>
      <c r="AQ47" s="89">
        <f t="shared" si="2"/>
        <v>25.21</v>
      </c>
      <c r="AR47" s="89">
        <f>IFERROR(VLOOKUP(A47,Climatologia!A:U,9+$E$2,FALSE),"")</f>
        <v>22.672444338506629</v>
      </c>
      <c r="AS47" s="89">
        <f t="shared" si="3"/>
        <v>2.5375556614933714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>
        <v>25.8</v>
      </c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20</v>
      </c>
      <c r="AQ51" s="89">
        <f t="shared" si="2"/>
        <v>25.19</v>
      </c>
      <c r="AR51" s="89">
        <f>IFERROR(VLOOKUP(A51,Climatologia!A:U,9+$E$2,FALSE),"")</f>
        <v>23.046735261401551</v>
      </c>
      <c r="AS51" s="89">
        <f t="shared" si="3"/>
        <v>2.1432647385984502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>
        <v>23.8</v>
      </c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20</v>
      </c>
      <c r="AQ52" s="89">
        <f t="shared" si="2"/>
        <v>24.630000000000003</v>
      </c>
      <c r="AR52" s="89">
        <f>IFERROR(VLOOKUP(A52,Climatologia!A:U,9+$E$2,FALSE),"")</f>
        <v>22.42011697979439</v>
      </c>
      <c r="AS52" s="89">
        <f t="shared" si="3"/>
        <v>2.2098830202056128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>
        <v>25.6</v>
      </c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19</v>
      </c>
      <c r="AQ53" s="89">
        <f t="shared" si="2"/>
        <v>25.231578947368423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>
        <v>25.4</v>
      </c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20</v>
      </c>
      <c r="AQ57" s="89">
        <f t="shared" si="2"/>
        <v>25.199999999999996</v>
      </c>
      <c r="AR57" s="89">
        <f>IFERROR(VLOOKUP(A57,Climatologia!A:U,9+$E$2,FALSE),"")</f>
        <v>23.979265352535649</v>
      </c>
      <c r="AS57" s="89">
        <f t="shared" si="3"/>
        <v>1.2207346474643472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>
        <v>24.2</v>
      </c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>
        <v>23</v>
      </c>
      <c r="AA60" s="51">
        <v>21.6</v>
      </c>
      <c r="AB60" s="51">
        <v>21.4</v>
      </c>
      <c r="AC60" s="51">
        <v>23</v>
      </c>
      <c r="AD60" s="51">
        <v>23</v>
      </c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20</v>
      </c>
      <c r="AQ60" s="89">
        <f t="shared" si="2"/>
        <v>22.220000000000002</v>
      </c>
      <c r="AR60" s="89">
        <f>IFERROR(VLOOKUP(A60,Climatologia!A:U,9+$E$2,FALSE),"")</f>
        <v>21.421723438405142</v>
      </c>
      <c r="AS60" s="89">
        <f t="shared" si="3"/>
        <v>0.79827656159486082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>
        <v>22.4</v>
      </c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20</v>
      </c>
      <c r="AQ63" s="89">
        <f t="shared" si="2"/>
        <v>22.130000000000003</v>
      </c>
      <c r="AR63" s="89">
        <f>IFERROR(VLOOKUP(A63,Climatologia!A:U,9+$E$2,FALSE),"")</f>
        <v>22.115021493152749</v>
      </c>
      <c r="AS63" s="89">
        <f t="shared" si="3"/>
        <v>1.4978506847253215E-2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>
        <v>23</v>
      </c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20</v>
      </c>
      <c r="AQ64" s="89">
        <f t="shared" si="2"/>
        <v>22.299999999999997</v>
      </c>
      <c r="AR64" s="89">
        <f>IFERROR(VLOOKUP(A64,Climatologia!A:U,9+$E$2,FALSE),"")</f>
        <v>21.829845625062539</v>
      </c>
      <c r="AS64" s="89">
        <f t="shared" si="3"/>
        <v>0.47015437493745793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>
        <v>23.8</v>
      </c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>
        <v>21.2</v>
      </c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20</v>
      </c>
      <c r="AQ65" s="89">
        <f t="shared" si="2"/>
        <v>22.46</v>
      </c>
      <c r="AR65" s="89">
        <f>IFERROR(VLOOKUP(A65,Climatologia!A:U,9+$E$2,FALSE),"")</f>
        <v>21.51595325788206</v>
      </c>
      <c r="AS65" s="89">
        <f t="shared" si="3"/>
        <v>0.9440467421179406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>
        <v>19</v>
      </c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20</v>
      </c>
      <c r="AQ67" s="89">
        <f t="shared" si="2"/>
        <v>20.370000000000005</v>
      </c>
      <c r="AR67" s="89">
        <f>IFERROR(VLOOKUP(A67,Climatologia!A:U,9+$E$2,FALSE),"")</f>
        <v>21.155438855480959</v>
      </c>
      <c r="AS67" s="89">
        <f t="shared" si="3"/>
        <v>-0.7854388554809546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>
        <v>20</v>
      </c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20</v>
      </c>
      <c r="AQ68" s="89">
        <f t="shared" si="2"/>
        <v>21.185000000000006</v>
      </c>
      <c r="AR68" s="89">
        <f>IFERROR(VLOOKUP(A68,Climatologia!A:U,9+$E$2,FALSE),"")</f>
        <v>21.17954086440843</v>
      </c>
      <c r="AS68" s="89">
        <f t="shared" si="3"/>
        <v>5.4591355915754036E-3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>
        <v>23.6</v>
      </c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17</v>
      </c>
      <c r="AQ69" s="89">
        <f t="shared" ref="AQ69:AQ132" si="7">IF(AP69&gt;14,AVERAGE(K69:AO69),"")</f>
        <v>22.71764705882353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1.7594174121261403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>
        <v>22.3</v>
      </c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20</v>
      </c>
      <c r="AQ70" s="89">
        <f t="shared" si="7"/>
        <v>22.96</v>
      </c>
      <c r="AR70" s="89">
        <f>IFERROR(VLOOKUP(A70,Climatologia!A:U,9+$E$2,FALSE),"")</f>
        <v>22.49395085458767</v>
      </c>
      <c r="AS70" s="89">
        <f t="shared" si="8"/>
        <v>0.466049145412331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>
        <v>21.3</v>
      </c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20</v>
      </c>
      <c r="AQ71" s="89">
        <f t="shared" si="7"/>
        <v>22.385000000000002</v>
      </c>
      <c r="AR71" s="89">
        <f>IFERROR(VLOOKUP(A71,Climatologia!A:U,9+$E$2,FALSE),"")</f>
        <v>21.499102150537631</v>
      </c>
      <c r="AS71" s="89">
        <f t="shared" si="8"/>
        <v>0.8858978494623706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>
        <v>21.4</v>
      </c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16</v>
      </c>
      <c r="AQ72" s="89">
        <f t="shared" si="7"/>
        <v>21.068749999999998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>
        <v>16</v>
      </c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20</v>
      </c>
      <c r="AQ73" s="89">
        <f t="shared" si="7"/>
        <v>17.629999999999995</v>
      </c>
      <c r="AR73" s="89">
        <f>IFERROR(VLOOKUP(A73,Climatologia!A:U,9+$E$2,FALSE),"")</f>
        <v>16.339759362254359</v>
      </c>
      <c r="AS73" s="89">
        <f t="shared" si="8"/>
        <v>1.2902406377456366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>
        <v>12</v>
      </c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19</v>
      </c>
      <c r="AQ74" s="89">
        <f t="shared" si="7"/>
        <v>11.947368421052632</v>
      </c>
      <c r="AR74" s="89">
        <f>IFERROR(VLOOKUP(A74,Climatologia!A:U,9+$E$2,FALSE),"")</f>
        <v>11.60078927362504</v>
      </c>
      <c r="AS74" s="89">
        <f t="shared" si="8"/>
        <v>0.3465791474275921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>
        <v>17</v>
      </c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20</v>
      </c>
      <c r="AQ75" s="89">
        <f t="shared" si="7"/>
        <v>15.930000000000001</v>
      </c>
      <c r="AR75" s="89">
        <f>IFERROR(VLOOKUP(A75,Climatologia!A:U,9+$E$2,FALSE),"")</f>
        <v>15.418794564997761</v>
      </c>
      <c r="AS75" s="89">
        <f t="shared" si="8"/>
        <v>0.5112054350022408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>
        <v>16.600000000000001</v>
      </c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20</v>
      </c>
      <c r="AQ76" s="89">
        <f t="shared" si="7"/>
        <v>17.32</v>
      </c>
      <c r="AR76" s="89">
        <f>IFERROR(VLOOKUP(A76,Climatologia!A:U,9+$E$2,FALSE),"")</f>
        <v>18.47633867500863</v>
      </c>
      <c r="AS76" s="89">
        <f t="shared" si="8"/>
        <v>-1.1563386750086302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>
        <v>28.4</v>
      </c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20</v>
      </c>
      <c r="AQ77" s="89">
        <f t="shared" si="7"/>
        <v>26.839999999999996</v>
      </c>
      <c r="AR77" s="89">
        <f>IFERROR(VLOOKUP(A77,Climatologia!A:U,9+$E$2,FALSE),"")</f>
        <v>24.545433207708651</v>
      </c>
      <c r="AS77" s="89">
        <f t="shared" si="8"/>
        <v>2.2945667922913451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>
        <v>25.2</v>
      </c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20</v>
      </c>
      <c r="AQ78" s="89">
        <f t="shared" si="7"/>
        <v>25.1</v>
      </c>
      <c r="AR78" s="89">
        <f>IFERROR(VLOOKUP(A78,Climatologia!A:U,9+$E$2,FALSE),"")</f>
        <v>23.46580771270726</v>
      </c>
      <c r="AS78" s="89">
        <f t="shared" si="8"/>
        <v>1.6341922872927412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>
        <v>14.4</v>
      </c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20</v>
      </c>
      <c r="AQ79" s="89">
        <f t="shared" si="7"/>
        <v>14.819999999999997</v>
      </c>
      <c r="AR79" s="89">
        <f>IFERROR(VLOOKUP(A79,Climatologia!A:U,9+$E$2,FALSE),"")</f>
        <v>15.28784620132488</v>
      </c>
      <c r="AS79" s="89">
        <f t="shared" si="8"/>
        <v>-0.46784620132488364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>
        <v>23.2</v>
      </c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20</v>
      </c>
      <c r="AQ81" s="89">
        <f t="shared" si="7"/>
        <v>23.040000000000003</v>
      </c>
      <c r="AR81" s="89">
        <f>IFERROR(VLOOKUP(A81,Climatologia!A:U,9+$E$2,FALSE),"")</f>
        <v>21.715420961210111</v>
      </c>
      <c r="AS81" s="89">
        <f t="shared" si="8"/>
        <v>1.3245790387898921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>
        <v>29</v>
      </c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20</v>
      </c>
      <c r="AQ83" s="89">
        <f t="shared" si="7"/>
        <v>28.01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>
        <v>27.4</v>
      </c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19</v>
      </c>
      <c r="AQ84" s="89">
        <f t="shared" si="7"/>
        <v>26.92631578947368</v>
      </c>
      <c r="AR84" s="89">
        <f>IFERROR(VLOOKUP(A84,Climatologia!A:U,9+$E$2,FALSE),"")</f>
        <v>23.659247311827961</v>
      </c>
      <c r="AS84" s="89">
        <f t="shared" si="8"/>
        <v>3.2670684776457186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>
        <v>25.2</v>
      </c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19</v>
      </c>
      <c r="AQ85" s="89">
        <f t="shared" si="7"/>
        <v>24.989473684210523</v>
      </c>
      <c r="AR85" s="89">
        <f>IFERROR(VLOOKUP(A85,Climatologia!A:U,9+$E$2,FALSE),"")</f>
        <v>23.235308274059729</v>
      </c>
      <c r="AS85" s="89">
        <f t="shared" si="8"/>
        <v>1.7541654101507937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>
        <v>21.2</v>
      </c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20</v>
      </c>
      <c r="AQ86" s="89">
        <f t="shared" si="7"/>
        <v>21.790000000000003</v>
      </c>
      <c r="AR86" s="89">
        <f>IFERROR(VLOOKUP(A86,Climatologia!A:U,9+$E$2,FALSE),"")</f>
        <v>22.828530465949822</v>
      </c>
      <c r="AS86" s="89">
        <f t="shared" si="8"/>
        <v>-1.0385304659498189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>
        <v>28.2</v>
      </c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20</v>
      </c>
      <c r="AQ87" s="89">
        <f t="shared" si="7"/>
        <v>26.270000000000003</v>
      </c>
      <c r="AR87" s="89">
        <f>IFERROR(VLOOKUP(A87,Climatologia!A:U,9+$E$2,FALSE),"")</f>
        <v>23.725363919312059</v>
      </c>
      <c r="AS87" s="89">
        <f t="shared" si="8"/>
        <v>2.544636080687944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>
        <v>25.8</v>
      </c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20</v>
      </c>
      <c r="AQ88" s="89">
        <f t="shared" si="7"/>
        <v>26.21</v>
      </c>
      <c r="AR88" s="89">
        <f>IFERROR(VLOOKUP(A88,Climatologia!A:U,9+$E$2,FALSE),"")</f>
        <v>23.148531221247211</v>
      </c>
      <c r="AS88" s="89">
        <f t="shared" si="8"/>
        <v>3.0614687787527899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>
        <v>25.8</v>
      </c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20</v>
      </c>
      <c r="AQ89" s="89">
        <f t="shared" si="7"/>
        <v>26.53</v>
      </c>
      <c r="AR89" s="89">
        <f>IFERROR(VLOOKUP(A89,Climatologia!A:U,9+$E$2,FALSE),"")</f>
        <v>22.80687536416124</v>
      </c>
      <c r="AS89" s="89">
        <f t="shared" si="8"/>
        <v>3.7231246358387615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>
        <v>14.8</v>
      </c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20</v>
      </c>
      <c r="AQ90" s="89">
        <f t="shared" si="7"/>
        <v>12.830000000000002</v>
      </c>
      <c r="AR90" s="89">
        <f>IFERROR(VLOOKUP(A90,Climatologia!A:U,9+$E$2,FALSE),"")</f>
        <v>11.03161290322581</v>
      </c>
      <c r="AS90" s="89">
        <f t="shared" si="8"/>
        <v>1.7983870967741922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>
        <v>18.399999999999999</v>
      </c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20</v>
      </c>
      <c r="AQ91" s="89">
        <f t="shared" si="7"/>
        <v>18.119999999999997</v>
      </c>
      <c r="AR91" s="89">
        <f>IFERROR(VLOOKUP(A91,Climatologia!A:U,9+$E$2,FALSE),"")</f>
        <v>17.610862560172901</v>
      </c>
      <c r="AS91" s="89">
        <f t="shared" si="8"/>
        <v>0.50913743982709647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17</v>
      </c>
      <c r="AQ92" s="89">
        <f t="shared" si="7"/>
        <v>11.141176470588235</v>
      </c>
      <c r="AR92" s="89">
        <f>IFERROR(VLOOKUP(A92,Climatologia!A:U,9+$E$2,FALSE),"")</f>
        <v>11.399375551378929</v>
      </c>
      <c r="AS92" s="89">
        <f t="shared" si="8"/>
        <v>-0.25819908079069442</v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>
        <v>10.8</v>
      </c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20</v>
      </c>
      <c r="AQ93" s="89">
        <f t="shared" si="7"/>
        <v>10.200000000000003</v>
      </c>
      <c r="AR93" s="89">
        <f>IFERROR(VLOOKUP(A93,Climatologia!A:U,9+$E$2,FALSE),"")</f>
        <v>8.6931200495597167</v>
      </c>
      <c r="AS93" s="89">
        <f t="shared" si="8"/>
        <v>1.5068799504402861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>
        <v>7.2</v>
      </c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2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7.2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8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>
        <v>7</v>
      </c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20</v>
      </c>
      <c r="AQ96" s="89">
        <f t="shared" si="7"/>
        <v>7.4300000000000015</v>
      </c>
      <c r="AR96" s="89">
        <f>IFERROR(VLOOKUP(A96,Climatologia!A:U,9+$E$2,FALSE),"")</f>
        <v>7.1833471822125867</v>
      </c>
      <c r="AS96" s="89">
        <f t="shared" si="8"/>
        <v>0.24665281778741477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>
        <v>8.8000000000000007</v>
      </c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20</v>
      </c>
      <c r="AQ98" s="89">
        <f t="shared" si="7"/>
        <v>6.4700000000000006</v>
      </c>
      <c r="AR98" s="89">
        <f>IFERROR(VLOOKUP(A98,Climatologia!A:U,9+$E$2,FALSE),"")</f>
        <v>6.5568614692818183</v>
      </c>
      <c r="AS98" s="89">
        <f t="shared" si="8"/>
        <v>-8.6861469281817705E-2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>
        <v>10.199999999999999</v>
      </c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20</v>
      </c>
      <c r="AQ99" s="89">
        <f t="shared" si="7"/>
        <v>9.3099999999999987</v>
      </c>
      <c r="AR99" s="89">
        <f>IFERROR(VLOOKUP(A99,Climatologia!A:U,9+$E$2,FALSE),"")</f>
        <v>8.4968567690188941</v>
      </c>
      <c r="AS99" s="89">
        <f t="shared" si="8"/>
        <v>0.81314323098110464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>
        <v>9.4</v>
      </c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19</v>
      </c>
      <c r="AQ100" s="89">
        <f t="shared" si="7"/>
        <v>7.9421052631578952</v>
      </c>
      <c r="AR100" s="89">
        <f>IFERROR(VLOOKUP(A100,Climatologia!A:U,9+$E$2,FALSE),"")</f>
        <v>7.0594081215067499</v>
      </c>
      <c r="AS100" s="89">
        <f t="shared" si="8"/>
        <v>0.88269714165114532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>
        <v>13</v>
      </c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17</v>
      </c>
      <c r="AQ103" s="89">
        <f t="shared" si="7"/>
        <v>11.858823529411765</v>
      </c>
      <c r="AR103" s="89">
        <f>IFERROR(VLOOKUP(A103,Climatologia!A:U,9+$E$2,FALSE),"")</f>
        <v>11.333242057563099</v>
      </c>
      <c r="AS103" s="89">
        <f t="shared" si="8"/>
        <v>0.52558147184866577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>
        <v>4.4000000000000004</v>
      </c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17</v>
      </c>
      <c r="AQ104" s="89">
        <f t="shared" si="7"/>
        <v>4.0333333333333341</v>
      </c>
      <c r="AR104" s="89">
        <f>IFERROR(VLOOKUP(A104,Climatologia!A:U,9+$E$2,FALSE),"")</f>
        <v>6.0789725209080059</v>
      </c>
      <c r="AS104" s="89">
        <f t="shared" si="8"/>
        <v>-2.0456391875746718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>
        <v>3.6</v>
      </c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20</v>
      </c>
      <c r="AQ105" s="89">
        <f t="shared" si="7"/>
        <v>5.17</v>
      </c>
      <c r="AR105" s="89">
        <f>IFERROR(VLOOKUP(A105,Climatologia!A:U,9+$E$2,FALSE),"")</f>
        <v>6.6867982257377889</v>
      </c>
      <c r="AS105" s="89">
        <f t="shared" si="8"/>
        <v>-1.516798225737789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>
        <v>11.4</v>
      </c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20</v>
      </c>
      <c r="AQ106" s="89">
        <f t="shared" si="7"/>
        <v>10.879999999999999</v>
      </c>
      <c r="AR106" s="89">
        <f>IFERROR(VLOOKUP(A106,Climatologia!A:U,9+$E$2,FALSE),"")</f>
        <v>9.9225433842748103</v>
      </c>
      <c r="AS106" s="89">
        <f t="shared" si="8"/>
        <v>0.9574566157251887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>
        <v>14.8</v>
      </c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18</v>
      </c>
      <c r="AQ107" s="89">
        <f t="shared" si="7"/>
        <v>14.600000000000001</v>
      </c>
      <c r="AR107" s="89">
        <f>IFERROR(VLOOKUP(A107,Climatologia!A:U,9+$E$2,FALSE),"")</f>
        <v>13.650700267218999</v>
      </c>
      <c r="AS107" s="89">
        <f t="shared" si="8"/>
        <v>0.94929973278100199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>
        <v>12.2</v>
      </c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20</v>
      </c>
      <c r="AQ108" s="89">
        <f t="shared" si="7"/>
        <v>12.040000000000001</v>
      </c>
      <c r="AR108" s="89">
        <f>IFERROR(VLOOKUP(A108,Climatologia!A:U,9+$E$2,FALSE),"")</f>
        <v>11.71482091212458</v>
      </c>
      <c r="AS108" s="89">
        <f t="shared" si="8"/>
        <v>0.32517908787542105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>
        <v>15.4</v>
      </c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20</v>
      </c>
      <c r="AQ109" s="89">
        <f t="shared" si="7"/>
        <v>14.62</v>
      </c>
      <c r="AR109" s="89">
        <f>IFERROR(VLOOKUP(A109,Climatologia!A:U,9+$E$2,FALSE),"")</f>
        <v>13.486598754951901</v>
      </c>
      <c r="AS109" s="89">
        <f t="shared" si="8"/>
        <v>1.1334012450480984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>
        <v>16</v>
      </c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20</v>
      </c>
      <c r="AQ110" s="89">
        <f t="shared" si="7"/>
        <v>15.319999999999999</v>
      </c>
      <c r="AR110" s="89">
        <f>IFERROR(VLOOKUP(A110,Climatologia!A:U,9+$E$2,FALSE),"")</f>
        <v>13.526900330851941</v>
      </c>
      <c r="AS110" s="89">
        <f t="shared" si="8"/>
        <v>1.7930996691480576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>
        <v>18.600000000000001</v>
      </c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20</v>
      </c>
      <c r="AQ111" s="89">
        <f t="shared" si="7"/>
        <v>18.330000000000002</v>
      </c>
      <c r="AR111" s="89">
        <f>IFERROR(VLOOKUP(A111,Climatologia!A:U,9+$E$2,FALSE),"")</f>
        <v>16.8655441109516</v>
      </c>
      <c r="AS111" s="89">
        <f t="shared" si="8"/>
        <v>1.4644558890484021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>
        <v>23.4</v>
      </c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20</v>
      </c>
      <c r="AQ112" s="89">
        <f t="shared" si="7"/>
        <v>23.229999999999997</v>
      </c>
      <c r="AR112" s="89">
        <f>IFERROR(VLOOKUP(A112,Climatologia!A:U,9+$E$2,FALSE),"")</f>
        <v>22.5308162078518</v>
      </c>
      <c r="AS112" s="89">
        <f t="shared" si="8"/>
        <v>0.69918379214819737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>
        <v>14.6</v>
      </c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20</v>
      </c>
      <c r="AQ113" s="89">
        <f t="shared" si="7"/>
        <v>15.185000000000002</v>
      </c>
      <c r="AR113" s="89">
        <f>IFERROR(VLOOKUP(A113,Climatologia!A:U,9+$E$2,FALSE),"")</f>
        <v>15.24686243974787</v>
      </c>
      <c r="AS113" s="89">
        <f t="shared" si="8"/>
        <v>-6.1862439747867981E-2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>
        <v>19.600000000000001</v>
      </c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19</v>
      </c>
      <c r="AQ114" s="89">
        <f t="shared" si="7"/>
        <v>19.684210526315791</v>
      </c>
      <c r="AR114" s="89">
        <f>IFERROR(VLOOKUP(A114,Climatologia!A:U,9+$E$2,FALSE),"")</f>
        <v>22.117682198327358</v>
      </c>
      <c r="AS114" s="89">
        <f t="shared" si="8"/>
        <v>-2.4334716720115672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>
        <v>22.8</v>
      </c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19</v>
      </c>
      <c r="AQ115" s="89">
        <f t="shared" si="7"/>
        <v>22.578947368421048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>
        <v>20.2</v>
      </c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19</v>
      </c>
      <c r="AQ116" s="89">
        <f t="shared" si="7"/>
        <v>20.673684210526311</v>
      </c>
      <c r="AR116" s="89">
        <f>IFERROR(VLOOKUP(A116,Climatologia!A:U,9+$E$2,FALSE),"")</f>
        <v>18.405984169653529</v>
      </c>
      <c r="AS116" s="89">
        <f t="shared" si="8"/>
        <v>2.2677000408727821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>
        <v>22</v>
      </c>
      <c r="AD117" s="51">
        <v>22</v>
      </c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16</v>
      </c>
      <c r="AQ117" s="89">
        <f t="shared" si="7"/>
        <v>22.474999999999998</v>
      </c>
      <c r="AR117" s="89">
        <f>IFERROR(VLOOKUP(A117,Climatologia!A:U,9+$E$2,FALSE),"")</f>
        <v>22.179111790878761</v>
      </c>
      <c r="AS117" s="89">
        <f t="shared" si="8"/>
        <v>0.29588820912123737</v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>
        <v>9.8000000000000007</v>
      </c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20</v>
      </c>
      <c r="AQ119" s="89">
        <f t="shared" si="7"/>
        <v>8.490000000000002</v>
      </c>
      <c r="AR119" s="89">
        <f>IFERROR(VLOOKUP(A119,Climatologia!A:U,9+$E$2,FALSE),"")</f>
        <v>5.9386052057570407</v>
      </c>
      <c r="AS119" s="89">
        <f t="shared" si="8"/>
        <v>2.5513947942429613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>
        <v>11.1</v>
      </c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19</v>
      </c>
      <c r="AQ121" s="89">
        <f t="shared" si="7"/>
        <v>10.910526315789472</v>
      </c>
      <c r="AR121" s="89">
        <f>IFERROR(VLOOKUP(A121,Climatologia!A:U,9+$E$2,FALSE),"")</f>
        <v>10.81260585836114</v>
      </c>
      <c r="AS121" s="89">
        <f t="shared" si="8"/>
        <v>9.7920457428331886E-2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>
        <v>9.8000000000000007</v>
      </c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20</v>
      </c>
      <c r="AQ123" s="89">
        <f t="shared" si="7"/>
        <v>8.5599999999999987</v>
      </c>
      <c r="AR123" s="89">
        <f>IFERROR(VLOOKUP(A123,Climatologia!A:U,9+$E$2,FALSE),"")</f>
        <v>7.6782114198549483</v>
      </c>
      <c r="AS123" s="89">
        <f t="shared" si="8"/>
        <v>0.88178858014505046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>
        <v>13.5</v>
      </c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18</v>
      </c>
      <c r="AQ126" s="89">
        <f t="shared" si="7"/>
        <v>13.194444444444445</v>
      </c>
      <c r="AR126" s="89">
        <f>IFERROR(VLOOKUP(A126,Climatologia!A:U,9+$E$2,FALSE),"")</f>
        <v>11.41155222734255</v>
      </c>
      <c r="AS126" s="89">
        <f t="shared" si="8"/>
        <v>1.7828922171018942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>
        <v>15.8</v>
      </c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20</v>
      </c>
      <c r="AQ127" s="89">
        <f t="shared" si="7"/>
        <v>14.949999999999998</v>
      </c>
      <c r="AR127" s="89">
        <f>IFERROR(VLOOKUP(A127,Climatologia!A:U,9+$E$2,FALSE),"")</f>
        <v>13.308933276833161</v>
      </c>
      <c r="AS127" s="89">
        <f t="shared" si="8"/>
        <v>1.641066723166837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>
        <v>11</v>
      </c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20</v>
      </c>
      <c r="AQ129" s="89">
        <f t="shared" si="7"/>
        <v>10.375</v>
      </c>
      <c r="AR129" s="89">
        <f>IFERROR(VLOOKUP(A129,Climatologia!A:U,9+$E$2,FALSE),"")</f>
        <v>9.236293266429529</v>
      </c>
      <c r="AS129" s="89">
        <f t="shared" si="8"/>
        <v>1.138706733570471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18</v>
      </c>
      <c r="AQ130" s="89">
        <f t="shared" si="7"/>
        <v>11.144444444444444</v>
      </c>
      <c r="AR130" s="89">
        <f>IFERROR(VLOOKUP(A130,Climatologia!A:U,9+$E$2,FALSE),"")</f>
        <v>10.41098422703651</v>
      </c>
      <c r="AS130" s="89">
        <f t="shared" si="8"/>
        <v>0.73346021740793432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>
        <v>17.8</v>
      </c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20</v>
      </c>
      <c r="AQ131" s="89">
        <f t="shared" si="7"/>
        <v>16.62</v>
      </c>
      <c r="AR131" s="89">
        <f>IFERROR(VLOOKUP(A131,Climatologia!A:U,9+$E$2,FALSE),"")</f>
        <v>14.78700374480772</v>
      </c>
      <c r="AS131" s="89">
        <f t="shared" si="8"/>
        <v>1.8329962551922812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>
        <v>6</v>
      </c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20</v>
      </c>
      <c r="AQ132" s="89">
        <f t="shared" si="7"/>
        <v>5.5250000000000004</v>
      </c>
      <c r="AR132" s="89">
        <f>IFERROR(VLOOKUP(A132,Climatologia!A:U,9+$E$2,FALSE),"")</f>
        <v>5.8955999815287932</v>
      </c>
      <c r="AS132" s="89">
        <f t="shared" si="8"/>
        <v>-0.37059998152879281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>
        <v>15.8</v>
      </c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18</v>
      </c>
      <c r="AQ134" s="89">
        <f t="shared" si="12"/>
        <v>15.588888888888894</v>
      </c>
      <c r="AR134" s="89">
        <f>IFERROR(VLOOKUP(A134,Climatologia!A:U,9+$E$2,FALSE),"")</f>
        <v>13.620393029291799</v>
      </c>
      <c r="AS134" s="89">
        <f t="shared" si="13"/>
        <v>1.9684958595970947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>
        <v>10.9</v>
      </c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20</v>
      </c>
      <c r="AQ135" s="89">
        <f t="shared" si="12"/>
        <v>10.834999999999999</v>
      </c>
      <c r="AR135" s="89">
        <f>IFERROR(VLOOKUP(A135,Climatologia!A:U,9+$E$2,FALSE),"")</f>
        <v>9.1065439288804146</v>
      </c>
      <c r="AS135" s="89">
        <f t="shared" si="13"/>
        <v>1.7284560711195844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>
        <v>15</v>
      </c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20</v>
      </c>
      <c r="AQ136" s="89">
        <f t="shared" si="12"/>
        <v>13.77</v>
      </c>
      <c r="AR136" s="89">
        <f>IFERROR(VLOOKUP(A136,Climatologia!A:U,9+$E$2,FALSE),"")</f>
        <v>12.59594623655914</v>
      </c>
      <c r="AS136" s="89">
        <f t="shared" si="13"/>
        <v>1.1740537634408597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>
        <v>10.8</v>
      </c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20</v>
      </c>
      <c r="AQ137" s="89">
        <f t="shared" si="12"/>
        <v>9.7899999999999991</v>
      </c>
      <c r="AR137" s="89">
        <f>IFERROR(VLOOKUP(A137,Climatologia!A:U,9+$E$2,FALSE),"")</f>
        <v>8.5766227213911144</v>
      </c>
      <c r="AS137" s="89">
        <f t="shared" si="13"/>
        <v>1.2133772786088848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>
        <v>7.8</v>
      </c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20</v>
      </c>
      <c r="AQ138" s="89">
        <f t="shared" si="12"/>
        <v>7.69</v>
      </c>
      <c r="AR138" s="89">
        <f>IFERROR(VLOOKUP(A138,Climatologia!A:U,9+$E$2,FALSE),"")</f>
        <v>6.6337893956247704</v>
      </c>
      <c r="AS138" s="89">
        <f t="shared" si="13"/>
        <v>1.05621060437523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>
        <v>24.8</v>
      </c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20</v>
      </c>
      <c r="AQ139" s="89">
        <f t="shared" si="12"/>
        <v>24.649999999999995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>
        <v>13.2</v>
      </c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20</v>
      </c>
      <c r="AQ140" s="89">
        <f t="shared" si="12"/>
        <v>11.589999999999998</v>
      </c>
      <c r="AR140" s="89">
        <f>IFERROR(VLOOKUP(A140,Climatologia!A:U,9+$E$2,FALSE),"")</f>
        <v>11.08632974910395</v>
      </c>
      <c r="AS140" s="89">
        <f t="shared" si="13"/>
        <v>0.50367025089604844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>
        <v>15.6</v>
      </c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20</v>
      </c>
      <c r="AQ141" s="89">
        <f t="shared" si="12"/>
        <v>15</v>
      </c>
      <c r="AR141" s="89">
        <f>IFERROR(VLOOKUP(A141,Climatologia!A:U,9+$E$2,FALSE),"")</f>
        <v>14.39065028161802</v>
      </c>
      <c r="AS141" s="89">
        <f t="shared" si="13"/>
        <v>0.6093497183819796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>
        <v>25.2</v>
      </c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20</v>
      </c>
      <c r="AQ142" s="89">
        <f t="shared" si="12"/>
        <v>24.11</v>
      </c>
      <c r="AR142" s="89">
        <f>IFERROR(VLOOKUP(A142,Climatologia!A:U,9+$E$2,FALSE),"")</f>
        <v>22.55356989247311</v>
      </c>
      <c r="AS142" s="89">
        <f t="shared" si="13"/>
        <v>1.5564301075268894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>
        <v>21.2</v>
      </c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20</v>
      </c>
      <c r="AQ143" s="89">
        <f t="shared" si="12"/>
        <v>20.390000000000004</v>
      </c>
      <c r="AR143" s="89">
        <f>IFERROR(VLOOKUP(A143,Climatologia!A:U,9+$E$2,FALSE),"")</f>
        <v>19.318198924731181</v>
      </c>
      <c r="AS143" s="89">
        <f t="shared" si="13"/>
        <v>1.071801075268823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>
        <v>26.2</v>
      </c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20</v>
      </c>
      <c r="AQ144" s="89">
        <f t="shared" si="12"/>
        <v>24.59</v>
      </c>
      <c r="AR144" s="89">
        <f>IFERROR(VLOOKUP(A144,Climatologia!A:U,9+$E$2,FALSE),"")</f>
        <v>23.19416875486397</v>
      </c>
      <c r="AS144" s="89">
        <f t="shared" si="13"/>
        <v>1.39583124513603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>
        <v>16.399999999999999</v>
      </c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20</v>
      </c>
      <c r="AQ145" s="89">
        <f t="shared" si="12"/>
        <v>17.350000000000001</v>
      </c>
      <c r="AR145" s="89">
        <f>IFERROR(VLOOKUP(A145,Climatologia!A:U,9+$E$2,FALSE),"")</f>
        <v>15.79466943151284</v>
      </c>
      <c r="AS145" s="89">
        <f t="shared" si="13"/>
        <v>1.555330568487161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>
        <v>14.2</v>
      </c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18</v>
      </c>
      <c r="AQ146" s="89">
        <f t="shared" si="12"/>
        <v>13.566666666666666</v>
      </c>
      <c r="AR146" s="89">
        <f>IFERROR(VLOOKUP(A146,Climatologia!A:U,9+$E$2,FALSE),"")</f>
        <v>13.67439615180003</v>
      </c>
      <c r="AS146" s="89">
        <f t="shared" si="13"/>
        <v>-0.10772948513336367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20</v>
      </c>
      <c r="AQ147" s="89">
        <f t="shared" si="12"/>
        <v>16.7</v>
      </c>
      <c r="AR147" s="89">
        <f>IFERROR(VLOOKUP(A147,Climatologia!A:U,9+$E$2,FALSE),"")</f>
        <v>14.54256377143717</v>
      </c>
      <c r="AS147" s="89">
        <f t="shared" si="13"/>
        <v>2.1574362285628297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>
        <v>26</v>
      </c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19</v>
      </c>
      <c r="AQ150" s="89">
        <f t="shared" si="12"/>
        <v>24.86315789473684</v>
      </c>
      <c r="AR150" s="89">
        <f>IFERROR(VLOOKUP(A150,Climatologia!A:U,9+$E$2,FALSE),"")</f>
        <v>22.358974539611911</v>
      </c>
      <c r="AS150" s="89">
        <f t="shared" si="13"/>
        <v>2.5041833551249297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>
        <v>25</v>
      </c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19</v>
      </c>
      <c r="AQ151" s="89">
        <f t="shared" si="12"/>
        <v>24.463157894736838</v>
      </c>
      <c r="AR151" s="89">
        <f>IFERROR(VLOOKUP(A151,Climatologia!A:U,9+$E$2,FALSE),"")</f>
        <v>23.435096179938832</v>
      </c>
      <c r="AS151" s="89">
        <f t="shared" si="13"/>
        <v>1.0280617147980067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6.1999999999999993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>
        <v>14.2</v>
      </c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20</v>
      </c>
      <c r="AQ152" s="89">
        <f t="shared" si="12"/>
        <v>14.879999999999999</v>
      </c>
      <c r="AR152" s="89">
        <f>IFERROR(VLOOKUP(A152,Climatologia!A:U,9+$E$2,FALSE),"")</f>
        <v>14.28172753446659</v>
      </c>
      <c r="AS152" s="89">
        <f t="shared" si="13"/>
        <v>0.59827246553340885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>
        <v>19.399999999999999</v>
      </c>
      <c r="AD153" s="51">
        <v>20.6</v>
      </c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20</v>
      </c>
      <c r="AQ153" s="89">
        <f t="shared" si="12"/>
        <v>20.84</v>
      </c>
      <c r="AR153" s="89">
        <f>IFERROR(VLOOKUP(A153,Climatologia!A:U,9+$E$2,FALSE),"")</f>
        <v>19.33438505823419</v>
      </c>
      <c r="AS153" s="89">
        <f t="shared" si="13"/>
        <v>1.5056149417658098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>
        <v>17</v>
      </c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20</v>
      </c>
      <c r="AQ154" s="89">
        <f t="shared" si="12"/>
        <v>16.329999999999998</v>
      </c>
      <c r="AR154" s="89">
        <f>IFERROR(VLOOKUP(A154,Climatologia!A:U,9+$E$2,FALSE),"")</f>
        <v>15.34016874367072</v>
      </c>
      <c r="AS154" s="89">
        <f t="shared" si="13"/>
        <v>0.98983125632927838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>
        <v>19.399999999999999</v>
      </c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20</v>
      </c>
      <c r="AQ155" s="89">
        <f t="shared" si="12"/>
        <v>18.89</v>
      </c>
      <c r="AR155" s="89">
        <f>IFERROR(VLOOKUP(A155,Climatologia!A:U,9+$E$2,FALSE),"")</f>
        <v>17.753898511573709</v>
      </c>
      <c r="AS155" s="89">
        <f t="shared" si="13"/>
        <v>1.1361014884262914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>
        <v>6.8</v>
      </c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20</v>
      </c>
      <c r="AQ157" s="89">
        <f t="shared" si="12"/>
        <v>10.130000000000001</v>
      </c>
      <c r="AR157" s="89">
        <f>IFERROR(VLOOKUP(A157,Climatologia!A:U,9+$E$2,FALSE),"")</f>
        <v>9.0629738863287237</v>
      </c>
      <c r="AS157" s="89">
        <f t="shared" si="13"/>
        <v>1.0670261136712771</v>
      </c>
      <c r="AT157" s="90">
        <f t="shared" si="14"/>
        <v>6.8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0.79999999999999982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19</v>
      </c>
      <c r="AQ158" s="89">
        <f t="shared" si="12"/>
        <v>14</v>
      </c>
      <c r="AR158" s="89">
        <f>IFERROR(VLOOKUP(A158,Climatologia!A:U,9+$E$2,FALSE),"")</f>
        <v>13.99486833930705</v>
      </c>
      <c r="AS158" s="89">
        <f t="shared" si="13"/>
        <v>5.13166069294968E-3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>
        <v>20.8</v>
      </c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20</v>
      </c>
      <c r="AQ159" s="89">
        <f t="shared" si="12"/>
        <v>20.71</v>
      </c>
      <c r="AR159" s="89">
        <f>IFERROR(VLOOKUP(A159,Climatologia!A:U,9+$E$2,FALSE),"")</f>
        <v>19.80259102706712</v>
      </c>
      <c r="AS159" s="89">
        <f t="shared" si="13"/>
        <v>0.90740897293288114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>
        <v>6.6</v>
      </c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20</v>
      </c>
      <c r="AQ160" s="89">
        <f t="shared" si="12"/>
        <v>6.0699999999999994</v>
      </c>
      <c r="AR160" s="89">
        <f>IFERROR(VLOOKUP(A160,Climatologia!A:U,9+$E$2,FALSE),"")</f>
        <v>5.545852566091324</v>
      </c>
      <c r="AS160" s="89">
        <f t="shared" si="13"/>
        <v>0.52414743390867535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>
        <v>21.2</v>
      </c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20</v>
      </c>
      <c r="AQ161" s="89">
        <f t="shared" si="12"/>
        <v>21.22</v>
      </c>
      <c r="AR161" s="89">
        <f>IFERROR(VLOOKUP(A161,Climatologia!A:U,9+$E$2,FALSE),"")</f>
        <v>20.699024154274429</v>
      </c>
      <c r="AS161" s="89">
        <f t="shared" si="13"/>
        <v>0.52097584572556954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>
        <v>14</v>
      </c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20</v>
      </c>
      <c r="AQ162" s="89">
        <f t="shared" si="12"/>
        <v>15.09</v>
      </c>
      <c r="AR162" s="89">
        <f>IFERROR(VLOOKUP(A162,Climatologia!A:U,9+$E$2,FALSE),"")</f>
        <v>13.81981919292388</v>
      </c>
      <c r="AS162" s="89">
        <f t="shared" si="13"/>
        <v>1.2701808070761196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>
        <v>18</v>
      </c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20</v>
      </c>
      <c r="AQ163" s="89">
        <f t="shared" si="12"/>
        <v>18.550000000000004</v>
      </c>
      <c r="AR163" s="89">
        <f>IFERROR(VLOOKUP(A163,Climatologia!A:U,9+$E$2,FALSE),"")</f>
        <v>17.92353706847765</v>
      </c>
      <c r="AS163" s="89">
        <f t="shared" si="13"/>
        <v>0.62646293152235444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>
        <v>18.399999999999999</v>
      </c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20</v>
      </c>
      <c r="AQ164" s="89">
        <f t="shared" si="12"/>
        <v>19.235000000000003</v>
      </c>
      <c r="AR164" s="89">
        <f>IFERROR(VLOOKUP(A164,Climatologia!A:U,9+$E$2,FALSE),"")</f>
        <v>19.04428975316489</v>
      </c>
      <c r="AS164" s="89">
        <f t="shared" si="13"/>
        <v>0.1907102468351134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>
        <v>8.6</v>
      </c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17</v>
      </c>
      <c r="AQ165" s="89">
        <f t="shared" si="12"/>
        <v>9.6823529411764699</v>
      </c>
      <c r="AR165" s="89">
        <f>IFERROR(VLOOKUP(A165,Climatologia!A:U,9+$E$2,FALSE),"")</f>
        <v>8.2009357976098798</v>
      </c>
      <c r="AS165" s="89">
        <f t="shared" si="13"/>
        <v>1.4814171435665902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>
        <v>20</v>
      </c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6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>
        <v>19.8</v>
      </c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20</v>
      </c>
      <c r="AQ169" s="89">
        <f t="shared" si="12"/>
        <v>19.574999999999996</v>
      </c>
      <c r="AR169" s="89">
        <f>IFERROR(VLOOKUP(A169,Climatologia!A:U,9+$E$2,FALSE),"")</f>
        <v>18.98804930581305</v>
      </c>
      <c r="AS169" s="89">
        <f t="shared" si="13"/>
        <v>0.58695069418694601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>
        <v>13.8</v>
      </c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20</v>
      </c>
      <c r="AQ170" s="89">
        <f t="shared" si="12"/>
        <v>14.260000000000002</v>
      </c>
      <c r="AR170" s="89">
        <f>IFERROR(VLOOKUP(A170,Climatologia!A:U,9+$E$2,FALSE),"")</f>
        <v>13.515835523098669</v>
      </c>
      <c r="AS170" s="89">
        <f t="shared" si="13"/>
        <v>0.74416447690133225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17</v>
      </c>
      <c r="AQ172" s="89">
        <f t="shared" si="12"/>
        <v>24.870588235294115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>
        <v>21.4</v>
      </c>
      <c r="AA175" s="51">
        <v>21.4</v>
      </c>
      <c r="AB175" s="51">
        <v>22.2</v>
      </c>
      <c r="AC175" s="51">
        <v>21.6</v>
      </c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16</v>
      </c>
      <c r="AQ175" s="89">
        <f t="shared" si="12"/>
        <v>21.662499999999998</v>
      </c>
      <c r="AR175" s="89">
        <f>IFERROR(VLOOKUP(A175,Climatologia!A:U,9+$E$2,FALSE),"")</f>
        <v>20.369629293079871</v>
      </c>
      <c r="AS175" s="89">
        <f t="shared" si="13"/>
        <v>1.2928707069201266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>
        <v>22.8</v>
      </c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18</v>
      </c>
      <c r="AQ176" s="89">
        <f t="shared" si="12"/>
        <v>22.988888888888891</v>
      </c>
      <c r="AR176" s="89">
        <f>IFERROR(VLOOKUP(A176,Climatologia!A:U,9+$E$2,FALSE),"")</f>
        <v>21.653737839221709</v>
      </c>
      <c r="AS176" s="89">
        <f t="shared" si="13"/>
        <v>1.3351510496671821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>
        <v>13.4</v>
      </c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20</v>
      </c>
      <c r="AQ179" s="89">
        <f t="shared" si="12"/>
        <v>13.609999999999996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>
        <v>24.6</v>
      </c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14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>
        <v>23</v>
      </c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19</v>
      </c>
      <c r="AQ181" s="89">
        <f t="shared" si="12"/>
        <v>23.315789473684209</v>
      </c>
      <c r="AR181" s="89">
        <f>IFERROR(VLOOKUP(A181,Climatologia!A:U,9+$E$2,FALSE),"")</f>
        <v>21.70483579702303</v>
      </c>
      <c r="AS181" s="89">
        <f t="shared" si="13"/>
        <v>1.6109536766611789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>
        <v>14</v>
      </c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20</v>
      </c>
      <c r="AQ182" s="89">
        <f t="shared" si="12"/>
        <v>13.59</v>
      </c>
      <c r="AR182" s="89">
        <f>IFERROR(VLOOKUP(A182,Climatologia!A:U,9+$E$2,FALSE),"")</f>
        <v>14.173503840245781</v>
      </c>
      <c r="AS182" s="89">
        <f t="shared" si="13"/>
        <v>-0.58350384024578084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>
        <v>18.2</v>
      </c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20</v>
      </c>
      <c r="AQ183" s="89">
        <f t="shared" si="12"/>
        <v>18.669999999999995</v>
      </c>
      <c r="AR183" s="89">
        <f>IFERROR(VLOOKUP(A183,Climatologia!A:U,9+$E$2,FALSE),"")</f>
        <v>20.070986681091949</v>
      </c>
      <c r="AS183" s="89">
        <f t="shared" si="13"/>
        <v>-1.400986681091954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18</v>
      </c>
      <c r="AQ184" s="89">
        <f t="shared" si="12"/>
        <v>21.399999999999995</v>
      </c>
      <c r="AR184" s="89">
        <f>IFERROR(VLOOKUP(A184,Climatologia!A:U,9+$E$2,FALSE),"")</f>
        <v>20.076368634370251</v>
      </c>
      <c r="AS184" s="89">
        <f t="shared" si="13"/>
        <v>1.323631365629744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>
        <v>16.399999999999999</v>
      </c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18</v>
      </c>
      <c r="AQ185" s="89">
        <f t="shared" si="12"/>
        <v>16.12222222222222</v>
      </c>
      <c r="AR185" s="89">
        <f>IFERROR(VLOOKUP(A185,Climatologia!A:U,9+$E$2,FALSE),"")</f>
        <v>17.074088213241051</v>
      </c>
      <c r="AS185" s="89">
        <f t="shared" si="13"/>
        <v>-0.95186599101883118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>
        <v>23.6</v>
      </c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19</v>
      </c>
      <c r="AQ186" s="89">
        <f t="shared" si="12"/>
        <v>22.263157894736846</v>
      </c>
      <c r="AR186" s="89">
        <f>IFERROR(VLOOKUP(A186,Climatologia!A:U,9+$E$2,FALSE),"")</f>
        <v>20.422025791399172</v>
      </c>
      <c r="AS186" s="89">
        <f t="shared" si="13"/>
        <v>1.8411321033376744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>
        <v>18.2</v>
      </c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17</v>
      </c>
      <c r="AQ187" s="89">
        <f t="shared" si="12"/>
        <v>17.870588235294118</v>
      </c>
      <c r="AR187" s="89">
        <f>IFERROR(VLOOKUP(A187,Climatologia!A:U,9+$E$2,FALSE),"")</f>
        <v>16.993025163915739</v>
      </c>
      <c r="AS187" s="89">
        <f t="shared" si="13"/>
        <v>0.87756307137837908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>
        <v>23.2</v>
      </c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20</v>
      </c>
      <c r="AQ188" s="89">
        <f t="shared" si="12"/>
        <v>22.1</v>
      </c>
      <c r="AR188" s="89">
        <f>IFERROR(VLOOKUP(A188,Climatologia!A:U,9+$E$2,FALSE),"")</f>
        <v>20.28174546114397</v>
      </c>
      <c r="AS188" s="89">
        <f t="shared" si="13"/>
        <v>1.8182545388560314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>
        <v>18.8</v>
      </c>
      <c r="AD189" s="51">
        <v>19.399999999999999</v>
      </c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20</v>
      </c>
      <c r="AQ189" s="89">
        <f t="shared" si="12"/>
        <v>18.600000000000001</v>
      </c>
      <c r="AR189" s="89">
        <f>IFERROR(VLOOKUP(A189,Climatologia!A:U,9+$E$2,FALSE),"")</f>
        <v>15.63081985682097</v>
      </c>
      <c r="AS189" s="89">
        <f t="shared" si="13"/>
        <v>2.969180143179031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18</v>
      </c>
      <c r="AQ190" s="89">
        <f t="shared" si="12"/>
        <v>13.655555555555557</v>
      </c>
      <c r="AR190" s="89">
        <f>IFERROR(VLOOKUP(A190,Climatologia!A:U,9+$E$2,FALSE),"")</f>
        <v>11.261282597948339</v>
      </c>
      <c r="AS190" s="89">
        <f t="shared" si="13"/>
        <v>2.3942729576072175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>
        <v>7</v>
      </c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20</v>
      </c>
      <c r="AQ191" s="89">
        <f t="shared" si="12"/>
        <v>8.0500000000000007</v>
      </c>
      <c r="AR191" s="89">
        <f>IFERROR(VLOOKUP(A191,Climatologia!A:U,9+$E$2,FALSE),"")</f>
        <v>6.994628239761723</v>
      </c>
      <c r="AS191" s="89">
        <f t="shared" si="13"/>
        <v>1.0553717602382777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>
        <v>24.4</v>
      </c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20</v>
      </c>
      <c r="AQ192" s="89">
        <f t="shared" si="12"/>
        <v>22.53</v>
      </c>
      <c r="AR192" s="89">
        <f>IFERROR(VLOOKUP(A192,Climatologia!A:U,9+$E$2,FALSE),"")</f>
        <v>19.908691930571798</v>
      </c>
      <c r="AS192" s="89">
        <f t="shared" si="13"/>
        <v>2.6213080694282027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19</v>
      </c>
      <c r="AQ193" s="89">
        <f t="shared" si="12"/>
        <v>9.557894736842103</v>
      </c>
      <c r="AR193" s="89">
        <f>IFERROR(VLOOKUP(A193,Climatologia!A:U,9+$E$2,FALSE),"")</f>
        <v>8.0869853706863069</v>
      </c>
      <c r="AS193" s="89">
        <f t="shared" si="13"/>
        <v>1.4709093661557961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>
        <v>10.6</v>
      </c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18</v>
      </c>
      <c r="AQ194" s="89">
        <f t="shared" si="12"/>
        <v>9.2888888888888879</v>
      </c>
      <c r="AR194" s="89">
        <f>IFERROR(VLOOKUP(A194,Climatologia!A:U,9+$E$2,FALSE),"")</f>
        <v>7.6640343615186746</v>
      </c>
      <c r="AS194" s="89">
        <f t="shared" si="13"/>
        <v>1.6248545273702133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>
        <v>8</v>
      </c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20</v>
      </c>
      <c r="AQ197" s="89">
        <f t="shared" ref="AQ197:AQ260" si="17">IF(AP197&gt;14,AVERAGE(K197:AO197),"")</f>
        <v>8.4599999999999991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2.0770647174108801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>
        <v>11.2</v>
      </c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20</v>
      </c>
      <c r="AQ198" s="89">
        <f t="shared" si="17"/>
        <v>9.0450000000000017</v>
      </c>
      <c r="AR198" s="89">
        <f>IFERROR(VLOOKUP(A198,Climatologia!A:U,9+$E$2,FALSE),"")</f>
        <v>7.491938037728997</v>
      </c>
      <c r="AS198" s="89">
        <f t="shared" si="18"/>
        <v>1.5530619622710047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>
        <v>8.6</v>
      </c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20</v>
      </c>
      <c r="AQ199" s="89">
        <f t="shared" si="17"/>
        <v>9.6949999999999985</v>
      </c>
      <c r="AR199" s="89">
        <f>IFERROR(VLOOKUP(A199,Climatologia!A:U,9+$E$2,FALSE),"")</f>
        <v>7.4487940592962838</v>
      </c>
      <c r="AS199" s="89">
        <f t="shared" si="18"/>
        <v>2.2462059407037147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>
        <v>8.1999999999999993</v>
      </c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17</v>
      </c>
      <c r="AQ200" s="89">
        <f t="shared" si="17"/>
        <v>9.5294117647058822</v>
      </c>
      <c r="AR200" s="89">
        <f>IFERROR(VLOOKUP(A200,Climatologia!A:U,9+$E$2,FALSE),"")</f>
        <v>7.107223600771988</v>
      </c>
      <c r="AS200" s="89">
        <f t="shared" si="18"/>
        <v>2.4221881639338942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>
        <v>7.6</v>
      </c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20</v>
      </c>
      <c r="AQ201" s="89">
        <f t="shared" si="17"/>
        <v>8.3800000000000008</v>
      </c>
      <c r="AR201" s="89">
        <f>IFERROR(VLOOKUP(A201,Climatologia!A:U,9+$E$2,FALSE),"")</f>
        <v>6.8025057736192744</v>
      </c>
      <c r="AS201" s="89">
        <f t="shared" si="18"/>
        <v>1.5774942263807263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>
        <v>9</v>
      </c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14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>
        <v>8.6</v>
      </c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20</v>
      </c>
      <c r="AQ203" s="89">
        <f t="shared" si="17"/>
        <v>8.76</v>
      </c>
      <c r="AR203" s="89">
        <f>IFERROR(VLOOKUP(A203,Climatologia!A:U,9+$E$2,FALSE),"")</f>
        <v>7.9932587877038674</v>
      </c>
      <c r="AS203" s="89">
        <f t="shared" si="18"/>
        <v>0.76674121229613235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>
        <v>5.4</v>
      </c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20</v>
      </c>
      <c r="AQ204" s="89">
        <f t="shared" si="17"/>
        <v>4.8950000000000005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19</v>
      </c>
      <c r="AQ206" s="89">
        <f t="shared" si="17"/>
        <v>10.91578947368421</v>
      </c>
      <c r="AR206" s="89">
        <f>IFERROR(VLOOKUP(A206,Climatologia!A:U,9+$E$2,FALSE),"")</f>
        <v>9.3415228944019546</v>
      </c>
      <c r="AS206" s="89">
        <f t="shared" si="18"/>
        <v>1.5742665792822557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>
        <v>6.4</v>
      </c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20</v>
      </c>
      <c r="AQ207" s="89">
        <f t="shared" si="17"/>
        <v>6.08</v>
      </c>
      <c r="AR207" s="89">
        <f>IFERROR(VLOOKUP(A207,Climatologia!A:U,9+$E$2,FALSE),"")</f>
        <v>5.0408940752175297</v>
      </c>
      <c r="AS207" s="89">
        <f t="shared" si="18"/>
        <v>1.0391059247824703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18</v>
      </c>
      <c r="AQ208" s="89">
        <f t="shared" si="17"/>
        <v>22.977777777777778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421</v>
      </c>
      <c r="X1" s="120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847</v>
      </c>
      <c r="B1" s="124" t="s">
        <v>7</v>
      </c>
      <c r="C1" s="124" t="s">
        <v>10</v>
      </c>
      <c r="D1" s="124" t="s">
        <v>9</v>
      </c>
      <c r="E1" s="124" t="s">
        <v>11</v>
      </c>
      <c r="F1" s="124" t="s">
        <v>15</v>
      </c>
      <c r="G1" s="124" t="s">
        <v>848</v>
      </c>
      <c r="H1" s="121" t="s">
        <v>849</v>
      </c>
      <c r="I1" s="122"/>
      <c r="J1" s="123"/>
      <c r="K1" s="121" t="s">
        <v>850</v>
      </c>
      <c r="L1" s="122"/>
      <c r="M1" s="123"/>
      <c r="N1" s="121" t="s">
        <v>851</v>
      </c>
      <c r="O1" s="122"/>
      <c r="P1" s="123"/>
      <c r="Q1" s="121" t="s">
        <v>852</v>
      </c>
      <c r="R1" s="122"/>
      <c r="S1" s="123"/>
      <c r="T1" s="121" t="s">
        <v>853</v>
      </c>
      <c r="U1" s="122"/>
      <c r="V1" s="123"/>
      <c r="W1" s="121" t="s">
        <v>854</v>
      </c>
      <c r="X1" s="122"/>
      <c r="Y1" s="123"/>
      <c r="Z1" s="121" t="s">
        <v>855</v>
      </c>
      <c r="AA1" s="122"/>
      <c r="AB1" s="123"/>
      <c r="AC1" s="121" t="s">
        <v>856</v>
      </c>
      <c r="AD1" s="122"/>
      <c r="AE1" s="123"/>
      <c r="AF1" s="121" t="s">
        <v>857</v>
      </c>
      <c r="AG1" s="122"/>
      <c r="AH1" s="123"/>
      <c r="AI1" s="121" t="s">
        <v>858</v>
      </c>
      <c r="AJ1" s="122"/>
      <c r="AK1" s="123"/>
      <c r="AL1" s="121" t="s">
        <v>859</v>
      </c>
      <c r="AM1" s="122"/>
      <c r="AN1" s="123"/>
      <c r="AO1" s="121" t="s">
        <v>860</v>
      </c>
      <c r="AP1" s="122"/>
      <c r="AQ1" s="123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2026-08-20T15:22:31Z</dcterms:modified>
</cp:coreProperties>
</file>