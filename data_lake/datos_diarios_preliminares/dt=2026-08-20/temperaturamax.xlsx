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3BF63B58-A8B8-4330-9B70-F0CE03F28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Temperatura!$AS$1:$AS$288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T280" i="1"/>
  <c r="AR280" i="1"/>
  <c r="AP280" i="1"/>
  <c r="AQ280" i="1" s="1"/>
  <c r="AS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S273" i="1" s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S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S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S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S233" i="1"/>
  <c r="AR233" i="1"/>
  <c r="AP233" i="1"/>
  <c r="AQ233" i="1" s="1"/>
  <c r="AV232" i="1" a="1"/>
  <c r="AV232" i="1" s="1"/>
  <c r="AU232" i="1" a="1"/>
  <c r="AU232" i="1" s="1"/>
  <c r="AT232" i="1"/>
  <c r="AW232" i="1" s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S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S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S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S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Q193" i="1"/>
  <c r="AS193" i="1" s="1"/>
  <c r="AP193" i="1"/>
  <c r="AV192" i="1" a="1"/>
  <c r="AV192" i="1" s="1"/>
  <c r="AU192" i="1" a="1"/>
  <c r="AU192" i="1" s="1"/>
  <c r="AT192" i="1"/>
  <c r="AW192" i="1" s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 s="1"/>
  <c r="AU189" i="1" a="1"/>
  <c r="AU189" i="1" s="1"/>
  <c r="AT189" i="1"/>
  <c r="AR189" i="1"/>
  <c r="AQ189" i="1"/>
  <c r="AP189" i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W172" i="1" s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/>
  <c r="AT167" i="1"/>
  <c r="AW167" i="1" s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Q153" i="1"/>
  <c r="AS153" i="1" s="1"/>
  <c r="AP153" i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W148" i="1" s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/>
  <c r="AT133" i="1"/>
  <c r="AW133" i="1" s="1"/>
  <c r="AR133" i="1"/>
  <c r="AP133" i="1"/>
  <c r="AQ133" i="1" s="1"/>
  <c r="AV132" i="1" a="1"/>
  <c r="AV132" i="1" s="1"/>
  <c r="AU132" i="1" a="1"/>
  <c r="AU132" i="1" s="1"/>
  <c r="AT132" i="1"/>
  <c r="AW132" i="1" s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/>
  <c r="AT119" i="1"/>
  <c r="AR119" i="1"/>
  <c r="AP119" i="1"/>
  <c r="AQ119" i="1" s="1"/>
  <c r="AV118" i="1" a="1"/>
  <c r="AV118" i="1"/>
  <c r="AU118" i="1" a="1"/>
  <c r="AU118" i="1" s="1"/>
  <c r="AT118" i="1"/>
  <c r="AW118" i="1" s="1"/>
  <c r="AR118" i="1"/>
  <c r="AP118" i="1"/>
  <c r="AQ118" i="1" s="1"/>
  <c r="AV117" i="1" a="1"/>
  <c r="AV117" i="1" s="1"/>
  <c r="AU117" i="1" a="1"/>
  <c r="AU117" i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Q114" i="1"/>
  <c r="AP114" i="1"/>
  <c r="AV113" i="1" a="1"/>
  <c r="AV113" i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Q106" i="1"/>
  <c r="AS106" i="1" s="1"/>
  <c r="AP106" i="1"/>
  <c r="AV105" i="1" a="1"/>
  <c r="AV105" i="1"/>
  <c r="AU105" i="1" a="1"/>
  <c r="AU105" i="1" s="1"/>
  <c r="AT105" i="1"/>
  <c r="AW105" i="1" s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/>
  <c r="AT102" i="1"/>
  <c r="AW102" i="1" s="1"/>
  <c r="AR102" i="1"/>
  <c r="AP102" i="1"/>
  <c r="AQ102" i="1" s="1"/>
  <c r="AS102" i="1" s="1"/>
  <c r="AV101" i="1" a="1"/>
  <c r="AV101" i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W100" i="1" s="1"/>
  <c r="AT100" i="1"/>
  <c r="AR100" i="1"/>
  <c r="AP100" i="1"/>
  <c r="AQ100" i="1" s="1"/>
  <c r="AS100" i="1" s="1"/>
  <c r="AV99" i="1" a="1"/>
  <c r="AV99" i="1" s="1"/>
  <c r="AU99" i="1" a="1"/>
  <c r="AU99" i="1"/>
  <c r="AT99" i="1"/>
  <c r="AR99" i="1"/>
  <c r="AP99" i="1"/>
  <c r="AQ99" i="1" s="1"/>
  <c r="AV98" i="1" a="1"/>
  <c r="AV98" i="1" s="1"/>
  <c r="AU98" i="1" a="1"/>
  <c r="AU98" i="1" s="1"/>
  <c r="AW98" i="1" s="1"/>
  <c r="AT98" i="1"/>
  <c r="AR98" i="1"/>
  <c r="AP98" i="1"/>
  <c r="AQ98" i="1" s="1"/>
  <c r="AV97" i="1" a="1"/>
  <c r="AV97" i="1" s="1"/>
  <c r="AU97" i="1" a="1"/>
  <c r="AU97" i="1"/>
  <c r="AT97" i="1"/>
  <c r="AR97" i="1"/>
  <c r="AP97" i="1"/>
  <c r="AQ97" i="1" s="1"/>
  <c r="AV96" i="1" a="1"/>
  <c r="AV96" i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/>
  <c r="AU94" i="1" a="1"/>
  <c r="AU94" i="1"/>
  <c r="AT94" i="1"/>
  <c r="AR94" i="1"/>
  <c r="AP94" i="1"/>
  <c r="AQ94" i="1" s="1"/>
  <c r="AV93" i="1" a="1"/>
  <c r="AV93" i="1" s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/>
  <c r="AT90" i="1"/>
  <c r="AW90" i="1" s="1"/>
  <c r="AR90" i="1"/>
  <c r="AP90" i="1"/>
  <c r="AQ90" i="1" s="1"/>
  <c r="AS90" i="1" s="1"/>
  <c r="AV89" i="1" a="1"/>
  <c r="AV89" i="1" s="1"/>
  <c r="AU89" i="1" a="1"/>
  <c r="AU89" i="1"/>
  <c r="AT89" i="1"/>
  <c r="AR89" i="1"/>
  <c r="AP89" i="1"/>
  <c r="AQ89" i="1" s="1"/>
  <c r="AV88" i="1" a="1"/>
  <c r="AV88" i="1" s="1"/>
  <c r="AU88" i="1" a="1"/>
  <c r="AU88" i="1" s="1"/>
  <c r="AW88" i="1" s="1"/>
  <c r="AT88" i="1"/>
  <c r="AR88" i="1"/>
  <c r="AP88" i="1"/>
  <c r="AQ88" i="1" s="1"/>
  <c r="AV87" i="1" a="1"/>
  <c r="AV87" i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/>
  <c r="AU84" i="1" a="1"/>
  <c r="AU84" i="1" s="1"/>
  <c r="AT84" i="1"/>
  <c r="AR84" i="1"/>
  <c r="AP84" i="1"/>
  <c r="AQ84" i="1" s="1"/>
  <c r="AS84" i="1" s="1"/>
  <c r="AV83" i="1" a="1"/>
  <c r="AV83" i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W80" i="1" s="1"/>
  <c r="AT80" i="1"/>
  <c r="AR80" i="1"/>
  <c r="AP80" i="1"/>
  <c r="AQ80" i="1" s="1"/>
  <c r="AS80" i="1" s="1"/>
  <c r="AV79" i="1" a="1"/>
  <c r="AV79" i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/>
  <c r="AU77" i="1" a="1"/>
  <c r="AU77" i="1" s="1"/>
  <c r="AT77" i="1"/>
  <c r="AR77" i="1"/>
  <c r="AP77" i="1"/>
  <c r="AQ77" i="1" s="1"/>
  <c r="AS77" i="1" s="1"/>
  <c r="AV76" i="1" a="1"/>
  <c r="AV76" i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W74" i="1" s="1"/>
  <c r="AT74" i="1"/>
  <c r="AR74" i="1"/>
  <c r="AQ74" i="1"/>
  <c r="AP74" i="1"/>
  <c r="AV73" i="1" a="1"/>
  <c r="AV73" i="1"/>
  <c r="AU73" i="1" a="1"/>
  <c r="AU73" i="1"/>
  <c r="AT73" i="1"/>
  <c r="AR73" i="1"/>
  <c r="AP73" i="1"/>
  <c r="AQ73" i="1" s="1"/>
  <c r="AV72" i="1" a="1"/>
  <c r="AV72" i="1"/>
  <c r="AU72" i="1" a="1"/>
  <c r="AU72" i="1" s="1"/>
  <c r="AT72" i="1"/>
  <c r="AR72" i="1"/>
  <c r="AP72" i="1"/>
  <c r="AQ72" i="1" s="1"/>
  <c r="AS72" i="1" s="1"/>
  <c r="AV71" i="1" a="1"/>
  <c r="AV71" i="1"/>
  <c r="AU71" i="1" a="1"/>
  <c r="AU71" i="1" s="1"/>
  <c r="AT71" i="1"/>
  <c r="AR71" i="1"/>
  <c r="AP71" i="1"/>
  <c r="AQ71" i="1" s="1"/>
  <c r="AV70" i="1" a="1"/>
  <c r="AV70" i="1" s="1"/>
  <c r="AU70" i="1" a="1"/>
  <c r="AU70" i="1" s="1"/>
  <c r="AW70" i="1" s="1"/>
  <c r="AT70" i="1"/>
  <c r="AR70" i="1"/>
  <c r="AP70" i="1"/>
  <c r="AQ70" i="1" s="1"/>
  <c r="AS70" i="1" s="1"/>
  <c r="AV69" i="1" a="1"/>
  <c r="AV69" i="1"/>
  <c r="AU69" i="1" a="1"/>
  <c r="AU69" i="1" s="1"/>
  <c r="AT69" i="1"/>
  <c r="AR69" i="1"/>
  <c r="AP69" i="1"/>
  <c r="AQ69" i="1" s="1"/>
  <c r="AV68" i="1" a="1"/>
  <c r="AV68" i="1"/>
  <c r="AU68" i="1" a="1"/>
  <c r="AU68" i="1"/>
  <c r="AT68" i="1"/>
  <c r="AR68" i="1"/>
  <c r="AQ68" i="1"/>
  <c r="AP68" i="1"/>
  <c r="AV67" i="1" a="1"/>
  <c r="AV67" i="1"/>
  <c r="AU67" i="1" a="1"/>
  <c r="AU67" i="1" s="1"/>
  <c r="AT67" i="1"/>
  <c r="AR67" i="1"/>
  <c r="AP67" i="1"/>
  <c r="AQ67" i="1" s="1"/>
  <c r="AV66" i="1" a="1"/>
  <c r="AV66" i="1"/>
  <c r="AU66" i="1" a="1"/>
  <c r="AU66" i="1" s="1"/>
  <c r="AT66" i="1"/>
  <c r="AR66" i="1"/>
  <c r="AP66" i="1"/>
  <c r="AQ66" i="1" s="1"/>
  <c r="AV65" i="1" a="1"/>
  <c r="AV65" i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Q64" i="1"/>
  <c r="AS64" i="1" s="1"/>
  <c r="AP64" i="1"/>
  <c r="AV63" i="1" a="1"/>
  <c r="AV63" i="1" s="1"/>
  <c r="AU63" i="1" a="1"/>
  <c r="AU63" i="1"/>
  <c r="AT63" i="1"/>
  <c r="AW63" i="1" s="1"/>
  <c r="AR63" i="1"/>
  <c r="AP63" i="1"/>
  <c r="AQ63" i="1" s="1"/>
  <c r="AV62" i="1" a="1"/>
  <c r="AV62" i="1"/>
  <c r="AU62" i="1" a="1"/>
  <c r="AU62" i="1" s="1"/>
  <c r="AT62" i="1"/>
  <c r="AR62" i="1"/>
  <c r="AQ62" i="1"/>
  <c r="AS62" i="1" s="1"/>
  <c r="AP62" i="1"/>
  <c r="AV61" i="1" a="1"/>
  <c r="AV61" i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Q60" i="1"/>
  <c r="AS60" i="1" s="1"/>
  <c r="AP60" i="1"/>
  <c r="AV59" i="1" a="1"/>
  <c r="AV59" i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/>
  <c r="AT58" i="1"/>
  <c r="AR58" i="1"/>
  <c r="AP58" i="1"/>
  <c r="AQ58" i="1" s="1"/>
  <c r="AS58" i="1" s="1"/>
  <c r="AV57" i="1" a="1"/>
  <c r="AV57" i="1"/>
  <c r="AU57" i="1" a="1"/>
  <c r="AU57" i="1" s="1"/>
  <c r="AT57" i="1"/>
  <c r="AR57" i="1"/>
  <c r="AP57" i="1"/>
  <c r="AQ57" i="1" s="1"/>
  <c r="AV56" i="1" a="1"/>
  <c r="AV56" i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/>
  <c r="AU54" i="1" a="1"/>
  <c r="AU54" i="1" s="1"/>
  <c r="AT54" i="1"/>
  <c r="AR54" i="1"/>
  <c r="AP54" i="1"/>
  <c r="AQ54" i="1" s="1"/>
  <c r="AV53" i="1" a="1"/>
  <c r="AV53" i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W52" i="1" s="1"/>
  <c r="AR52" i="1"/>
  <c r="AQ52" i="1"/>
  <c r="AS52" i="1" s="1"/>
  <c r="AP52" i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/>
  <c r="AU50" i="1" a="1"/>
  <c r="AU50" i="1" s="1"/>
  <c r="AW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/>
  <c r="AU48" i="1" a="1"/>
  <c r="AU48" i="1"/>
  <c r="AT48" i="1"/>
  <c r="AW48" i="1" s="1"/>
  <c r="AR48" i="1"/>
  <c r="AQ48" i="1"/>
  <c r="AP48" i="1"/>
  <c r="AV47" i="1" a="1"/>
  <c r="AV47" i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Q44" i="1"/>
  <c r="AS44" i="1" s="1"/>
  <c r="AP44" i="1"/>
  <c r="AV43" i="1" a="1"/>
  <c r="AV43" i="1" s="1"/>
  <c r="AU43" i="1" a="1"/>
  <c r="AU43" i="1"/>
  <c r="AT43" i="1"/>
  <c r="AW43" i="1" s="1"/>
  <c r="AR43" i="1"/>
  <c r="AP43" i="1"/>
  <c r="AQ43" i="1" s="1"/>
  <c r="AV42" i="1" a="1"/>
  <c r="AV42" i="1"/>
  <c r="AU42" i="1" a="1"/>
  <c r="AU42" i="1" s="1"/>
  <c r="AT42" i="1"/>
  <c r="AR42" i="1"/>
  <c r="AP42" i="1"/>
  <c r="AQ42" i="1" s="1"/>
  <c r="AS42" i="1" s="1"/>
  <c r="AV41" i="1" a="1"/>
  <c r="AV41" i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Q40" i="1"/>
  <c r="AS40" i="1" s="1"/>
  <c r="AP40" i="1"/>
  <c r="AV39" i="1" a="1"/>
  <c r="AV39" i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W32" i="1" s="1"/>
  <c r="AR32" i="1"/>
  <c r="AQ32" i="1"/>
  <c r="AP32" i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/>
  <c r="AT29" i="1"/>
  <c r="AW29" i="1" s="1"/>
  <c r="AR29" i="1"/>
  <c r="AP29" i="1"/>
  <c r="AQ29" i="1" s="1"/>
  <c r="AS29" i="1" s="1"/>
  <c r="AV28" i="1" a="1"/>
  <c r="AV28" i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/>
  <c r="AU24" i="1" a="1"/>
  <c r="AU24" i="1" s="1"/>
  <c r="AW24" i="1" s="1"/>
  <c r="AT24" i="1"/>
  <c r="AR24" i="1"/>
  <c r="AP24" i="1"/>
  <c r="AQ24" i="1" s="1"/>
  <c r="AV23" i="1" a="1"/>
  <c r="AV23" i="1"/>
  <c r="AU23" i="1" a="1"/>
  <c r="AU23" i="1"/>
  <c r="AT23" i="1"/>
  <c r="AR23" i="1"/>
  <c r="AP23" i="1"/>
  <c r="AQ23" i="1" s="1"/>
  <c r="AS23" i="1" s="1"/>
  <c r="AV22" i="1" a="1"/>
  <c r="AV22" i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/>
  <c r="AT18" i="1"/>
  <c r="AW18" i="1" s="1"/>
  <c r="AR18" i="1"/>
  <c r="AP18" i="1"/>
  <c r="AQ18" i="1" s="1"/>
  <c r="AV17" i="1" a="1"/>
  <c r="AV17" i="1" s="1"/>
  <c r="AU17" i="1" a="1"/>
  <c r="AU17" i="1"/>
  <c r="AT17" i="1"/>
  <c r="AW17" i="1" s="1"/>
  <c r="AR17" i="1"/>
  <c r="AP17" i="1"/>
  <c r="AQ17" i="1" s="1"/>
  <c r="AS17" i="1" s="1"/>
  <c r="AV16" i="1" a="1"/>
  <c r="AV16" i="1" s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 s="1"/>
  <c r="AW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 s="1"/>
  <c r="AT8" i="1"/>
  <c r="AR8" i="1"/>
  <c r="AP8" i="1"/>
  <c r="AQ8" i="1" s="1"/>
  <c r="AV7" i="1" a="1"/>
  <c r="AV7" i="1"/>
  <c r="AU7" i="1" a="1"/>
  <c r="AU7" i="1"/>
  <c r="AT7" i="1"/>
  <c r="AR7" i="1"/>
  <c r="AP7" i="1"/>
  <c r="AQ7" i="1" s="1"/>
  <c r="AV6" i="1" a="1"/>
  <c r="AV6" i="1"/>
  <c r="AU6" i="1" a="1"/>
  <c r="AU6" i="1"/>
  <c r="AT6" i="1"/>
  <c r="AR6" i="1"/>
  <c r="AP6" i="1"/>
  <c r="AQ6" i="1" s="1"/>
  <c r="AS6" i="1" s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2" i="1" l="1"/>
  <c r="AW25" i="1"/>
  <c r="AS41" i="1"/>
  <c r="AW68" i="1"/>
  <c r="AS93" i="1"/>
  <c r="AS111" i="1"/>
  <c r="AW166" i="1"/>
  <c r="AS208" i="1"/>
  <c r="AS243" i="1"/>
  <c r="AS251" i="1"/>
  <c r="AW262" i="1"/>
  <c r="AW38" i="1"/>
  <c r="AW56" i="1"/>
  <c r="AS96" i="1"/>
  <c r="AW99" i="1"/>
  <c r="AS105" i="1"/>
  <c r="AS121" i="1"/>
  <c r="AW251" i="1"/>
  <c r="AS259" i="1"/>
  <c r="AW53" i="1"/>
  <c r="AS125" i="1"/>
  <c r="AS129" i="1"/>
  <c r="AS133" i="1"/>
  <c r="AS148" i="1"/>
  <c r="AS152" i="1"/>
  <c r="AS263" i="1"/>
  <c r="AS267" i="1"/>
  <c r="AS271" i="1"/>
  <c r="AW114" i="1"/>
  <c r="AS10" i="1"/>
  <c r="AS194" i="1"/>
  <c r="AW44" i="1"/>
  <c r="AW78" i="1"/>
  <c r="AW10" i="1"/>
  <c r="AW26" i="1"/>
  <c r="AS57" i="1"/>
  <c r="AS63" i="1"/>
  <c r="AS66" i="1"/>
  <c r="AS69" i="1"/>
  <c r="AW84" i="1"/>
  <c r="AS88" i="1"/>
  <c r="AW96" i="1"/>
  <c r="AS112" i="1"/>
  <c r="AS115" i="1"/>
  <c r="AS118" i="1"/>
  <c r="AS14" i="1"/>
  <c r="AS30" i="1"/>
  <c r="AS33" i="1"/>
  <c r="AW112" i="1"/>
  <c r="AW156" i="1"/>
  <c r="AS164" i="1"/>
  <c r="AW198" i="1"/>
  <c r="AS225" i="1"/>
  <c r="AS229" i="1"/>
  <c r="AS91" i="1"/>
  <c r="AS97" i="1"/>
  <c r="AS149" i="1"/>
  <c r="AS237" i="1"/>
  <c r="AW252" i="1"/>
  <c r="AW66" i="1"/>
  <c r="AW33" i="1"/>
  <c r="AW60" i="1"/>
  <c r="AW109" i="1"/>
  <c r="AS195" i="1"/>
  <c r="AW14" i="1"/>
  <c r="AS24" i="1"/>
  <c r="AW36" i="1"/>
  <c r="AW54" i="1"/>
  <c r="AS73" i="1"/>
  <c r="AW82" i="1"/>
  <c r="AW94" i="1"/>
  <c r="AW97" i="1"/>
  <c r="AW9" i="1"/>
  <c r="AS32" i="1"/>
  <c r="AW134" i="1"/>
  <c r="AS161" i="1"/>
  <c r="AS176" i="1"/>
  <c r="AS180" i="1"/>
  <c r="AS184" i="1"/>
  <c r="AS188" i="1"/>
  <c r="AS218" i="1"/>
  <c r="AS253" i="1"/>
  <c r="AW8" i="1"/>
  <c r="AS18" i="1"/>
  <c r="AW21" i="1"/>
  <c r="AS61" i="1"/>
  <c r="AW73" i="1"/>
  <c r="AW76" i="1"/>
  <c r="AW106" i="1"/>
  <c r="AW199" i="1"/>
  <c r="AS37" i="1"/>
  <c r="AS43" i="1"/>
  <c r="AS46" i="1"/>
  <c r="AS49" i="1"/>
  <c r="AS110" i="1"/>
  <c r="AS127" i="1"/>
  <c r="AW161" i="1"/>
  <c r="AW176" i="1"/>
  <c r="AW180" i="1"/>
  <c r="AS269" i="1"/>
  <c r="AW288" i="1"/>
  <c r="AW58" i="1"/>
  <c r="AS83" i="1"/>
  <c r="AW89" i="1"/>
  <c r="AS92" i="1"/>
  <c r="AS98" i="1"/>
  <c r="AW222" i="1"/>
  <c r="AS277" i="1"/>
  <c r="AW273" i="1"/>
  <c r="AW46" i="1"/>
  <c r="AW64" i="1"/>
  <c r="AW83" i="1"/>
  <c r="AW86" i="1"/>
  <c r="AW135" i="1"/>
  <c r="AW169" i="1"/>
  <c r="AS177" i="1"/>
  <c r="AS181" i="1"/>
  <c r="AS185" i="1"/>
  <c r="AS215" i="1"/>
  <c r="AS219" i="1"/>
  <c r="AS285" i="1"/>
  <c r="AW107" i="1"/>
  <c r="AW110" i="1"/>
  <c r="AW116" i="1"/>
  <c r="AS9" i="1"/>
  <c r="AS25" i="1"/>
  <c r="AW34" i="1"/>
  <c r="AW40" i="1"/>
  <c r="AS71" i="1"/>
  <c r="AW95" i="1"/>
  <c r="AW104" i="1"/>
  <c r="AW6" i="1"/>
  <c r="AS19" i="1"/>
  <c r="AS74" i="1"/>
  <c r="AS128" i="1"/>
  <c r="AS151" i="1"/>
  <c r="AW158" i="1"/>
  <c r="AW200" i="1"/>
  <c r="AS235" i="1"/>
  <c r="AS266" i="1"/>
  <c r="AS270" i="1"/>
  <c r="AW62" i="1"/>
  <c r="AW72" i="1"/>
  <c r="AW42" i="1"/>
  <c r="AS53" i="1"/>
  <c r="AS7" i="1"/>
  <c r="AW271" i="1"/>
  <c r="AW15" i="1"/>
  <c r="AW213" i="1"/>
  <c r="AW242" i="1"/>
  <c r="AS246" i="1"/>
  <c r="AS257" i="1"/>
  <c r="AS275" i="1"/>
  <c r="AW282" i="1"/>
  <c r="AS286" i="1"/>
  <c r="AW7" i="1"/>
  <c r="AS21" i="1"/>
  <c r="AW39" i="1"/>
  <c r="AW49" i="1"/>
  <c r="AW59" i="1"/>
  <c r="AW69" i="1"/>
  <c r="AW79" i="1"/>
  <c r="AS117" i="1"/>
  <c r="AS131" i="1"/>
  <c r="AW138" i="1"/>
  <c r="AS160" i="1"/>
  <c r="AS163" i="1"/>
  <c r="AS210" i="1"/>
  <c r="AS228" i="1"/>
  <c r="AS239" i="1"/>
  <c r="AS250" i="1"/>
  <c r="AW253" i="1"/>
  <c r="AS268" i="1"/>
  <c r="AS279" i="1"/>
  <c r="AS87" i="1"/>
  <c r="AS167" i="1"/>
  <c r="AS178" i="1"/>
  <c r="AS189" i="1"/>
  <c r="AW196" i="1"/>
  <c r="AS54" i="1"/>
  <c r="AW117" i="1"/>
  <c r="AS120" i="1"/>
  <c r="AS135" i="1"/>
  <c r="AS146" i="1"/>
  <c r="AW160" i="1"/>
  <c r="AS200" i="1"/>
  <c r="AW203" i="1"/>
  <c r="AW13" i="1"/>
  <c r="AW261" i="1"/>
  <c r="AW87" i="1"/>
  <c r="AS16" i="1"/>
  <c r="AW37" i="1"/>
  <c r="AW47" i="1"/>
  <c r="AW57" i="1"/>
  <c r="AW67" i="1"/>
  <c r="AW77" i="1"/>
  <c r="AS236" i="1"/>
  <c r="AS247" i="1"/>
  <c r="AS265" i="1"/>
  <c r="AW272" i="1"/>
  <c r="AS276" i="1"/>
  <c r="AS287" i="1"/>
  <c r="AS67" i="1"/>
  <c r="AW5" i="1"/>
  <c r="AS8" i="1"/>
  <c r="AS95" i="1"/>
  <c r="AW243" i="1"/>
  <c r="AW283" i="1"/>
  <c r="AS85" i="1"/>
  <c r="AW115" i="1"/>
  <c r="AS143" i="1"/>
  <c r="AW164" i="1"/>
  <c r="AS179" i="1"/>
  <c r="AW150" i="1"/>
  <c r="AS154" i="1"/>
  <c r="AS168" i="1"/>
  <c r="AW175" i="1"/>
  <c r="AS35" i="1"/>
  <c r="AW11" i="1"/>
  <c r="AW19" i="1"/>
  <c r="AW27" i="1"/>
  <c r="AW35" i="1"/>
  <c r="AW45" i="1"/>
  <c r="AW55" i="1"/>
  <c r="AW65" i="1"/>
  <c r="AW75" i="1"/>
  <c r="AW85" i="1"/>
  <c r="AW30" i="1"/>
  <c r="AS147" i="1"/>
  <c r="AW233" i="1"/>
  <c r="AW113" i="1"/>
  <c r="AS230" i="1"/>
  <c r="AS288" i="1"/>
  <c r="AW93" i="1"/>
  <c r="AW103" i="1"/>
  <c r="AW140" i="1"/>
  <c r="AS144" i="1"/>
  <c r="AS187" i="1"/>
  <c r="AS155" i="1"/>
  <c r="AS169" i="1"/>
  <c r="AS191" i="1"/>
  <c r="AS48" i="1"/>
  <c r="AS68" i="1"/>
  <c r="AS20" i="1"/>
  <c r="AW241" i="1"/>
  <c r="AW281" i="1"/>
  <c r="AW111" i="1"/>
  <c r="AW223" i="1"/>
  <c r="AW101" i="1"/>
  <c r="AS220" i="1"/>
  <c r="AW263" i="1"/>
  <c r="AS278" i="1"/>
  <c r="AW91" i="1"/>
  <c r="AW31" i="1"/>
  <c r="AW41" i="1"/>
  <c r="AW51" i="1"/>
  <c r="AW61" i="1"/>
  <c r="AW71" i="1"/>
  <c r="AW81" i="1"/>
  <c r="AS109" i="1"/>
  <c r="AS114" i="1"/>
  <c r="AS119" i="1"/>
  <c r="AW126" i="1"/>
  <c r="AW159" i="1"/>
  <c r="AW20" i="1"/>
  <c r="AW28" i="1"/>
  <c r="AS15" i="1"/>
  <c r="AW23" i="1"/>
  <c r="AS89" i="1"/>
  <c r="AS94" i="1"/>
  <c r="AS99" i="1"/>
  <c r="AS104" i="1"/>
  <c r="AW130" i="1"/>
  <c r="AW141" i="1"/>
  <c r="AW152" i="1"/>
  <c r="AW188" i="1"/>
  <c r="AS192" i="1"/>
  <c r="AS206" i="1"/>
  <c r="AP2" i="1"/>
  <c r="AW153" i="1"/>
  <c r="AW193" i="1"/>
  <c r="AW209" i="1"/>
  <c r="AW219" i="1"/>
  <c r="AW229" i="1"/>
  <c r="AW239" i="1"/>
  <c r="AW249" i="1"/>
  <c r="AW259" i="1"/>
  <c r="AW269" i="1"/>
  <c r="AW279" i="1"/>
  <c r="AS132" i="1"/>
  <c r="AW144" i="1"/>
  <c r="AW147" i="1"/>
  <c r="AS172" i="1"/>
  <c r="AW184" i="1"/>
  <c r="AW187" i="1"/>
  <c r="AS166" i="1"/>
  <c r="AW178" i="1"/>
  <c r="AW181" i="1"/>
  <c r="AW206" i="1"/>
  <c r="AW216" i="1"/>
  <c r="AW226" i="1"/>
  <c r="AW236" i="1"/>
  <c r="AW246" i="1"/>
  <c r="AW256" i="1"/>
  <c r="AW266" i="1"/>
  <c r="AW276" i="1"/>
  <c r="AW286" i="1"/>
  <c r="AW129" i="1"/>
  <c r="AW120" i="1"/>
  <c r="AW123" i="1"/>
  <c r="AW163" i="1"/>
  <c r="AS142" i="1"/>
  <c r="AW154" i="1"/>
  <c r="AW157" i="1"/>
  <c r="AS182" i="1"/>
  <c r="AW194" i="1"/>
  <c r="AW197" i="1"/>
  <c r="AW210" i="1"/>
  <c r="AW220" i="1"/>
  <c r="AW230" i="1"/>
  <c r="AW240" i="1"/>
  <c r="AW250" i="1"/>
  <c r="AW260" i="1"/>
  <c r="AW270" i="1"/>
  <c r="AW280" i="1"/>
  <c r="AS130" i="1"/>
  <c r="AW142" i="1"/>
  <c r="AW145" i="1"/>
  <c r="AS170" i="1"/>
  <c r="AW182" i="1"/>
  <c r="AW185" i="1"/>
  <c r="AS204" i="1"/>
  <c r="AW207" i="1"/>
  <c r="AS214" i="1"/>
  <c r="AW217" i="1"/>
  <c r="AS224" i="1"/>
  <c r="AW227" i="1"/>
  <c r="AS234" i="1"/>
  <c r="AW237" i="1"/>
  <c r="AS244" i="1"/>
  <c r="AW247" i="1"/>
  <c r="AS254" i="1"/>
  <c r="AW257" i="1"/>
  <c r="AS264" i="1"/>
  <c r="AW267" i="1"/>
  <c r="AS274" i="1"/>
  <c r="AW277" i="1"/>
  <c r="AS284" i="1"/>
  <c r="AW287" i="1"/>
  <c r="AW151" i="1"/>
  <c r="AW191" i="1"/>
  <c r="AS124" i="1"/>
  <c r="AW136" i="1"/>
  <c r="AW139" i="1"/>
  <c r="AW179" i="1"/>
  <c r="AS158" i="1"/>
  <c r="AW170" i="1"/>
  <c r="AW173" i="1"/>
  <c r="AS198" i="1"/>
  <c r="AW204" i="1"/>
  <c r="AW214" i="1"/>
  <c r="AW224" i="1"/>
  <c r="AW234" i="1"/>
  <c r="AW244" i="1"/>
  <c r="AW254" i="1"/>
  <c r="AW264" i="1"/>
  <c r="AW274" i="1"/>
  <c r="AW284" i="1"/>
  <c r="AW124" i="1"/>
  <c r="AW127" i="1"/>
  <c r="AW201" i="1"/>
  <c r="AW211" i="1"/>
  <c r="AW221" i="1"/>
  <c r="AW231" i="1"/>
  <c r="AW121" i="1"/>
  <c r="AW155" i="1"/>
  <c r="AW195" i="1"/>
  <c r="AS134" i="1"/>
  <c r="AW146" i="1"/>
  <c r="AW149" i="1"/>
  <c r="AS174" i="1"/>
  <c r="AW186" i="1"/>
  <c r="AW189" i="1"/>
  <c r="AW208" i="1"/>
  <c r="AW218" i="1"/>
  <c r="AW228" i="1"/>
  <c r="AW238" i="1"/>
  <c r="AW248" i="1"/>
  <c r="AW258" i="1"/>
  <c r="AW268" i="1"/>
  <c r="AW278" i="1"/>
  <c r="AW143" i="1"/>
  <c r="AW183" i="1"/>
  <c r="AW137" i="1"/>
  <c r="AS162" i="1"/>
  <c r="AW174" i="1"/>
  <c r="AW177" i="1"/>
  <c r="AS202" i="1"/>
  <c r="AW205" i="1"/>
  <c r="AS212" i="1"/>
  <c r="AW215" i="1"/>
  <c r="AS222" i="1"/>
  <c r="AW225" i="1"/>
  <c r="AS232" i="1"/>
  <c r="AW235" i="1"/>
  <c r="AS242" i="1"/>
  <c r="AW245" i="1"/>
  <c r="AS252" i="1"/>
  <c r="AW255" i="1"/>
  <c r="AS262" i="1"/>
  <c r="AW265" i="1"/>
  <c r="AS272" i="1"/>
  <c r="AW275" i="1"/>
  <c r="AS282" i="1"/>
  <c r="AW285" i="1"/>
  <c r="AW128" i="1"/>
  <c r="AW131" i="1"/>
  <c r="AS156" i="1"/>
  <c r="AW168" i="1"/>
  <c r="AW171" i="1"/>
  <c r="AS196" i="1"/>
  <c r="AW122" i="1"/>
  <c r="AW125" i="1"/>
  <c r="AS150" i="1"/>
  <c r="AW162" i="1"/>
  <c r="AW165" i="1"/>
  <c r="AS190" i="1"/>
  <c r="AW202" i="1"/>
  <c r="AW212" i="1"/>
  <c r="AS126" i="1"/>
  <c r="AW119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<sst xmlns="http://schemas.openxmlformats.org/spreadsheetml/2006/main" count="3701" uniqueCount="1289">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</sst>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7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I1" zoomScale="70" zoomScaleNormal="70" workbookViewId="0">
      <selection activeCell="AD22" sqref="AD22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1" width="32.42578125" style="51" customWidth="1"/>
    <col min="172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19</v>
      </c>
      <c r="AQ5" s="68">
        <f t="shared" ref="AQ5:AQ68" si="2">IF(AP5&gt;14,AVERAGE(K5:AO5),"")</f>
        <v>31.589473684210528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1.0735302147863379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19</v>
      </c>
      <c r="AQ6" s="68">
        <f t="shared" si="2"/>
        <v>31.731578947368419</v>
      </c>
      <c r="AR6" s="68">
        <f>IFERROR(VLOOKUP(A6,Climatologia_TMAX!A:U,9+$E$2,FALSE),"")</f>
        <v>31.046424304488809</v>
      </c>
      <c r="AS6" s="68">
        <f t="shared" si="3"/>
        <v>0.68515464287960981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19</v>
      </c>
      <c r="AQ7" s="68">
        <f t="shared" si="2"/>
        <v>35.11578947368421</v>
      </c>
      <c r="AR7" s="68">
        <f>IFERROR(VLOOKUP(A7,Climatologia_TMAX!A:U,9+$E$2,FALSE),"")</f>
        <v>33.115285708400279</v>
      </c>
      <c r="AS7" s="68">
        <f t="shared" si="3"/>
        <v>2.0005037652839306</v>
      </c>
      <c r="AT7" s="74">
        <f t="shared" si="4"/>
        <v>37.799999999999997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-0.60000000000000142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19</v>
      </c>
      <c r="AQ8" s="68">
        <f t="shared" si="2"/>
        <v>33.515789473684208</v>
      </c>
      <c r="AR8" s="68">
        <f>IFERROR(VLOOKUP(A8,Climatologia_TMAX!A:U,9+$E$2,FALSE),"")</f>
        <v>32.243805889046577</v>
      </c>
      <c r="AS8" s="68">
        <f t="shared" si="3"/>
        <v>1.2719835846376313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19</v>
      </c>
      <c r="AQ9" s="68">
        <f t="shared" si="2"/>
        <v>34.715789473684204</v>
      </c>
      <c r="AR9" s="68">
        <f>IFERROR(VLOOKUP(A9,Climatologia_TMAX!A:U,9+$E$2,FALSE),"")</f>
        <v>33.507160697070823</v>
      </c>
      <c r="AS9" s="68">
        <f t="shared" si="3"/>
        <v>1.2086287766133808</v>
      </c>
      <c r="AT9" s="74">
        <f t="shared" si="4"/>
        <v>37.700000000000003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-1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19</v>
      </c>
      <c r="AQ10" s="68">
        <f t="shared" si="2"/>
        <v>36.836842105263159</v>
      </c>
      <c r="AR10" s="68">
        <f>IFERROR(VLOOKUP(A10,Climatologia_TMAX!A:U,9+$E$2,FALSE),"")</f>
        <v>35.037947033054557</v>
      </c>
      <c r="AS10" s="68">
        <f t="shared" si="3"/>
        <v>1.7988950722086017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19</v>
      </c>
      <c r="AQ11" s="68">
        <f t="shared" si="2"/>
        <v>39.300000000000004</v>
      </c>
      <c r="AR11" s="68">
        <f>IFERROR(VLOOKUP(A11,Climatologia_TMAX!A:U,9+$E$2,FALSE),"")</f>
        <v>35.179462365591398</v>
      </c>
      <c r="AS11" s="68">
        <f t="shared" si="3"/>
        <v>4.1205376344086062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19</v>
      </c>
      <c r="AQ12" s="68">
        <f t="shared" si="2"/>
        <v>34.505263157894738</v>
      </c>
      <c r="AR12" s="68">
        <f>IFERROR(VLOOKUP(A12,Climatologia_TMAX!A:U,9+$E$2,FALSE),"")</f>
        <v>33.065084280874721</v>
      </c>
      <c r="AS12" s="68">
        <f t="shared" si="3"/>
        <v>1.440178877020017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19</v>
      </c>
      <c r="AQ13" s="68">
        <f t="shared" si="2"/>
        <v>35.5421052631579</v>
      </c>
      <c r="AR13" s="68">
        <f>IFERROR(VLOOKUP(A13,Climatologia_TMAX!A:U,9+$E$2,FALSE),"")</f>
        <v>32.703385242862417</v>
      </c>
      <c r="AS13" s="68">
        <f t="shared" si="3"/>
        <v>2.838720020295483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19</v>
      </c>
      <c r="AQ14" s="68">
        <f t="shared" si="2"/>
        <v>29.08421052631579</v>
      </c>
      <c r="AR14" s="68">
        <f>IFERROR(VLOOKUP(A14,Climatologia_TMAX!A:U,9+$E$2,FALSE),"")</f>
        <v>26.343645559538029</v>
      </c>
      <c r="AS14" s="68">
        <f t="shared" si="3"/>
        <v>2.740564966777761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19</v>
      </c>
      <c r="AQ15" s="68">
        <f t="shared" si="2"/>
        <v>35.64736842105264</v>
      </c>
      <c r="AR15" s="68">
        <f>IFERROR(VLOOKUP(A15,Climatologia_TMAX!A:U,9+$E$2,FALSE),"")</f>
        <v>34.207406451612897</v>
      </c>
      <c r="AS15" s="68">
        <f t="shared" si="3"/>
        <v>1.439961969439743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19</v>
      </c>
      <c r="AQ16" s="68">
        <f t="shared" si="2"/>
        <v>31.957894736842103</v>
      </c>
      <c r="AR16" s="68">
        <f>IFERROR(VLOOKUP(A16,Climatologia_TMAX!A:U,9+$E$2,FALSE),"")</f>
        <v>31.919167946748601</v>
      </c>
      <c r="AS16" s="68">
        <f t="shared" si="3"/>
        <v>3.8726790093502217E-2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19</v>
      </c>
      <c r="AQ17" s="68">
        <f t="shared" si="2"/>
        <v>30.889473684210525</v>
      </c>
      <c r="AR17" s="68">
        <f>IFERROR(VLOOKUP(A17,Climatologia_TMAX!A:U,9+$E$2,FALSE),"")</f>
        <v>28.699699180747569</v>
      </c>
      <c r="AS17" s="68">
        <f t="shared" si="3"/>
        <v>2.1897745034629565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19</v>
      </c>
      <c r="AQ18" s="68">
        <f t="shared" si="2"/>
        <v>24.484210526315788</v>
      </c>
      <c r="AR18" s="68">
        <f>IFERROR(VLOOKUP(A18,Climatologia_TMAX!A:U,9+$E$2,FALSE),"")</f>
        <v>22.70234743584826</v>
      </c>
      <c r="AS18" s="68">
        <f t="shared" si="3"/>
        <v>1.7818630904675281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19</v>
      </c>
      <c r="AQ19" s="68">
        <f t="shared" si="2"/>
        <v>29.442105263157895</v>
      </c>
      <c r="AR19" s="68">
        <f>IFERROR(VLOOKUP(A19,Climatologia_TMAX!A:U,9+$E$2,FALSE),"")</f>
        <v>27.308103225806452</v>
      </c>
      <c r="AS19" s="68">
        <f t="shared" si="3"/>
        <v>2.1340020373514434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19</v>
      </c>
      <c r="AQ20" s="68">
        <f t="shared" si="2"/>
        <v>30.647368421052636</v>
      </c>
      <c r="AR20" s="68">
        <f>IFERROR(VLOOKUP(A20,Climatologia_TMAX!A:U,9+$E$2,FALSE),"")</f>
        <v>28.821983273596171</v>
      </c>
      <c r="AS20" s="68">
        <f t="shared" si="3"/>
        <v>1.8253851474564655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19</v>
      </c>
      <c r="AQ21" s="68">
        <f t="shared" si="2"/>
        <v>34.121052631578948</v>
      </c>
      <c r="AR21" s="68">
        <f>IFERROR(VLOOKUP(A21,Climatologia_TMAX!A:U,9+$E$2,FALSE),"")</f>
        <v>31.558535251017972</v>
      </c>
      <c r="AS21" s="68">
        <f t="shared" si="3"/>
        <v>2.5625173805609762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19</v>
      </c>
      <c r="AQ22" s="68">
        <f t="shared" si="2"/>
        <v>19.963157894736838</v>
      </c>
      <c r="AR22" s="68">
        <f>IFERROR(VLOOKUP(A22,Climatologia_TMAX!A:U,9+$E$2,FALSE),"")</f>
        <v>18.772940161432931</v>
      </c>
      <c r="AS22" s="68">
        <f t="shared" si="3"/>
        <v>1.190217733303907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19</v>
      </c>
      <c r="AQ23" s="68">
        <f t="shared" si="2"/>
        <v>32.257894736842104</v>
      </c>
      <c r="AR23" s="68">
        <f>IFERROR(VLOOKUP(A23,Climatologia_TMAX!A:U,9+$E$2,FALSE),"")</f>
        <v>31.11792011972717</v>
      </c>
      <c r="AS23" s="68">
        <f t="shared" si="3"/>
        <v>1.1399746171149339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19</v>
      </c>
      <c r="AQ24" s="68">
        <f t="shared" si="2"/>
        <v>36</v>
      </c>
      <c r="AR24" s="68">
        <f>IFERROR(VLOOKUP(A24,Climatologia_TMAX!A:U,9+$E$2,FALSE),"")</f>
        <v>34.619032258064507</v>
      </c>
      <c r="AS24" s="68">
        <f t="shared" si="3"/>
        <v>1.3809677419354927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19</v>
      </c>
      <c r="AQ25" s="68">
        <f t="shared" si="2"/>
        <v>27.110526315789475</v>
      </c>
      <c r="AR25" s="68">
        <f>IFERROR(VLOOKUP(A25,Climatologia_TMAX!A:U,9+$E$2,FALSE),"")</f>
        <v>26.14732965766952</v>
      </c>
      <c r="AS25" s="68">
        <f t="shared" si="3"/>
        <v>0.96319665811995492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19</v>
      </c>
      <c r="AQ26" s="68">
        <f t="shared" si="2"/>
        <v>15.484210526315788</v>
      </c>
      <c r="AR26" s="68">
        <f>IFERROR(VLOOKUP(A26,Climatologia_TMAX!A:U,9+$E$2,FALSE),"")</f>
        <v>14.98521690767519</v>
      </c>
      <c r="AS26" s="68">
        <f t="shared" si="3"/>
        <v>0.49899361864059877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19</v>
      </c>
      <c r="AQ27" s="68">
        <f t="shared" si="2"/>
        <v>32.178947368421056</v>
      </c>
      <c r="AR27" s="68">
        <f>IFERROR(VLOOKUP(A27,Climatologia_TMAX!A:U,9+$E$2,FALSE),"")</f>
        <v>31.229699666295879</v>
      </c>
      <c r="AS27" s="68">
        <f t="shared" si="3"/>
        <v>0.94924770212517728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19</v>
      </c>
      <c r="AQ28" s="68">
        <f t="shared" si="2"/>
        <v>32.263157894736828</v>
      </c>
      <c r="AR28" s="68">
        <f>IFERROR(VLOOKUP(A28,Climatologia_TMAX!A:U,9+$E$2,FALSE),"")</f>
        <v>30.80035842293907</v>
      </c>
      <c r="AS28" s="68">
        <f t="shared" si="3"/>
        <v>1.4627994717977586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19</v>
      </c>
      <c r="AQ29" s="68">
        <f t="shared" si="2"/>
        <v>32.089473684210532</v>
      </c>
      <c r="AR29" s="68">
        <f>IFERROR(VLOOKUP(A29,Climatologia_TMAX!A:U,9+$E$2,FALSE),"")</f>
        <v>31.513637374860959</v>
      </c>
      <c r="AS29" s="68">
        <f t="shared" si="3"/>
        <v>0.57583630934957242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19</v>
      </c>
      <c r="AQ30" s="68">
        <f t="shared" si="2"/>
        <v>30.799999999999997</v>
      </c>
      <c r="AR30" s="68">
        <f>IFERROR(VLOOKUP(A30,Climatologia_TMAX!A:U,9+$E$2,FALSE),"")</f>
        <v>29.807563959955498</v>
      </c>
      <c r="AS30" s="68">
        <f t="shared" si="3"/>
        <v>0.99243604004449892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19</v>
      </c>
      <c r="AQ31" s="68">
        <f t="shared" si="2"/>
        <v>31.842105263157894</v>
      </c>
      <c r="AR31" s="68">
        <f>IFERROR(VLOOKUP(A31,Climatologia_TMAX!A:U,9+$E$2,FALSE),"")</f>
        <v>31.390004135649299</v>
      </c>
      <c r="AS31" s="68">
        <f t="shared" si="3"/>
        <v>0.45210112750859466</v>
      </c>
      <c r="AT31" s="74">
        <f t="shared" si="4"/>
        <v>33.299999999999997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19</v>
      </c>
      <c r="AQ33" s="68">
        <f t="shared" si="2"/>
        <v>26.189473684210526</v>
      </c>
      <c r="AR33" s="68">
        <f>IFERROR(VLOOKUP(A33,Climatologia_TMAX!A:U,9+$E$2,FALSE),"")</f>
        <v>24.65905872628246</v>
      </c>
      <c r="AS33" s="68">
        <f t="shared" si="3"/>
        <v>1.5304149579280661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19</v>
      </c>
      <c r="AQ36" s="68">
        <f t="shared" si="2"/>
        <v>37.831578947368428</v>
      </c>
      <c r="AR36" s="68">
        <f>IFERROR(VLOOKUP(A36,Climatologia_TMAX!A:U,9+$E$2,FALSE),"")</f>
        <v>34.16273657398132</v>
      </c>
      <c r="AS36" s="68">
        <f t="shared" si="3"/>
        <v>3.6688423733871076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19</v>
      </c>
      <c r="AQ38" s="68">
        <f t="shared" si="2"/>
        <v>28.663157894736845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19</v>
      </c>
      <c r="AQ39" s="68">
        <f t="shared" si="2"/>
        <v>27.152631578947368</v>
      </c>
      <c r="AR39" s="68">
        <f>IFERROR(VLOOKUP(A39,Climatologia_TMAX!A:U,9+$E$2,FALSE),"")</f>
        <v>23.769828120099859</v>
      </c>
      <c r="AS39" s="68">
        <f t="shared" si="3"/>
        <v>3.3828034588475084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19</v>
      </c>
      <c r="AQ40" s="68">
        <f t="shared" si="2"/>
        <v>22.210526315789473</v>
      </c>
      <c r="AR40" s="68">
        <f>IFERROR(VLOOKUP(A40,Climatologia_TMAX!A:U,9+$E$2,FALSE),"")</f>
        <v>20.644739340007408</v>
      </c>
      <c r="AS40" s="68">
        <f t="shared" si="3"/>
        <v>1.5657869757820642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19</v>
      </c>
      <c r="AQ42" s="68">
        <f t="shared" si="2"/>
        <v>32.631578947368418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19</v>
      </c>
      <c r="AQ43" s="68">
        <f t="shared" si="2"/>
        <v>32.684210526315795</v>
      </c>
      <c r="AR43" s="68">
        <f>IFERROR(VLOOKUP(A43,Climatologia_TMAX!A:U,9+$E$2,FALSE),"")</f>
        <v>31.773456872106181</v>
      </c>
      <c r="AS43" s="68">
        <f t="shared" si="3"/>
        <v>0.91075365420961418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-2.6000000000000014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18</v>
      </c>
      <c r="AQ44" s="68">
        <f t="shared" si="2"/>
        <v>28.011111111111106</v>
      </c>
      <c r="AR44" s="68">
        <f>IFERROR(VLOOKUP(A44,Climatologia_TMAX!A:U,9+$E$2,FALSE),"")</f>
        <v>23.004822024471629</v>
      </c>
      <c r="AS44" s="68">
        <f t="shared" si="3"/>
        <v>5.0062890866394767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19</v>
      </c>
      <c r="AQ45" s="68">
        <f t="shared" si="2"/>
        <v>35.26315789473685</v>
      </c>
      <c r="AR45" s="68">
        <f>IFERROR(VLOOKUP(A45,Climatologia_TMAX!A:U,9+$E$2,FALSE),"")</f>
        <v>32.923758320532507</v>
      </c>
      <c r="AS45" s="68">
        <f t="shared" si="3"/>
        <v>2.339399574204343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19</v>
      </c>
      <c r="AQ46" s="68">
        <f t="shared" si="2"/>
        <v>31.642105263157891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19</v>
      </c>
      <c r="AQ49" s="68">
        <f t="shared" si="2"/>
        <v>34.61578947368421</v>
      </c>
      <c r="AR49" s="68">
        <f>IFERROR(VLOOKUP(A49,Climatologia_TMAX!A:U,9+$E$2,FALSE),"")</f>
        <v>32.535336464610658</v>
      </c>
      <c r="AS49" s="68">
        <f t="shared" si="3"/>
        <v>2.0804530090735511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18</v>
      </c>
      <c r="AQ52" s="68">
        <f t="shared" si="2"/>
        <v>32.311111111111103</v>
      </c>
      <c r="AR52" s="68">
        <f>IFERROR(VLOOKUP(A52,Climatologia_TMAX!A:U,9+$E$2,FALSE),"")</f>
        <v>31.265434885322311</v>
      </c>
      <c r="AS52" s="68">
        <f t="shared" si="3"/>
        <v>1.0456762257887924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19</v>
      </c>
      <c r="AQ53" s="68">
        <f t="shared" si="2"/>
        <v>33.884210526315798</v>
      </c>
      <c r="AR53" s="68">
        <f>IFERROR(VLOOKUP(A53,Climatologia_TMAX!A:U,9+$E$2,FALSE),"")</f>
        <v>32.397587365591413</v>
      </c>
      <c r="AS53" s="68">
        <f t="shared" si="3"/>
        <v>1.4866231607243847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19</v>
      </c>
      <c r="AQ54" s="68">
        <f t="shared" si="2"/>
        <v>37.484210526315785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18</v>
      </c>
      <c r="AQ55" s="68">
        <f t="shared" si="2"/>
        <v>35.611111111111114</v>
      </c>
      <c r="AR55" s="68">
        <f>IFERROR(VLOOKUP(A55,Climatologia_TMAX!A:U,9+$E$2,FALSE),"")</f>
        <v>32.916625540651467</v>
      </c>
      <c r="AS55" s="68">
        <f t="shared" si="3"/>
        <v>2.6944855704596478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19</v>
      </c>
      <c r="AQ67" s="68">
        <f t="shared" si="2"/>
        <v>33.44736842105263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19</v>
      </c>
      <c r="AQ76" s="68">
        <f t="shared" si="7"/>
        <v>34.547368421052646</v>
      </c>
      <c r="AR76" s="68">
        <f>IFERROR(VLOOKUP(A76,Climatologia_TMAX!A:U,9+$E$2,FALSE),"")</f>
        <v>32.131914371977928</v>
      </c>
      <c r="AS76" s="68">
        <f t="shared" si="8"/>
        <v>2.4154540490747181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19</v>
      </c>
      <c r="AQ77" s="68">
        <f t="shared" si="7"/>
        <v>31.452631578947376</v>
      </c>
      <c r="AR77" s="68">
        <f>IFERROR(VLOOKUP(A77,Climatologia_TMAX!A:U,9+$E$2,FALSE),"")</f>
        <v>30.717419354838722</v>
      </c>
      <c r="AS77" s="68">
        <f t="shared" si="8"/>
        <v>0.73521222410865406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12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14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19</v>
      </c>
      <c r="AQ81" s="68">
        <f t="shared" si="7"/>
        <v>31.005263157894738</v>
      </c>
      <c r="AR81" s="68">
        <f>IFERROR(VLOOKUP(A81,Climatologia_TMAX!A:U,9+$E$2,FALSE),"")</f>
        <v>30.066096038514271</v>
      </c>
      <c r="AS81" s="68">
        <f t="shared" si="8"/>
        <v>0.9391671193804676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19</v>
      </c>
      <c r="AQ83" s="68">
        <f t="shared" si="7"/>
        <v>32.410526315789475</v>
      </c>
      <c r="AR83" s="68">
        <f>IFERROR(VLOOKUP(A83,Climatologia_TMAX!A:U,9+$E$2,FALSE),"")</f>
        <v>30.100740998164522</v>
      </c>
      <c r="AS83" s="68">
        <f t="shared" si="8"/>
        <v>2.3097853176249536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19</v>
      </c>
      <c r="AQ85" s="68">
        <f t="shared" si="7"/>
        <v>31.05263157894737</v>
      </c>
      <c r="AR85" s="68">
        <f>IFERROR(VLOOKUP(A85,Climatologia_TMAX!A:U,9+$E$2,FALSE),"")</f>
        <v>30.126684246732939</v>
      </c>
      <c r="AS85" s="68">
        <f t="shared" si="8"/>
        <v>0.92594733221443093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19</v>
      </c>
      <c r="AQ86" s="68">
        <f t="shared" si="7"/>
        <v>31.294736842105266</v>
      </c>
      <c r="AR86" s="68">
        <f>IFERROR(VLOOKUP(A86,Climatologia_TMAX!A:U,9+$E$2,FALSE),"")</f>
        <v>30.211657926170119</v>
      </c>
      <c r="AS86" s="68">
        <f t="shared" si="8"/>
        <v>1.0830789159351468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19</v>
      </c>
      <c r="AQ87" s="68">
        <f t="shared" si="7"/>
        <v>31.768421052631567</v>
      </c>
      <c r="AR87" s="68">
        <f>IFERROR(VLOOKUP(A87,Climatologia_TMAX!A:U,9+$E$2,FALSE),"")</f>
        <v>30.420577139515899</v>
      </c>
      <c r="AS87" s="68">
        <f t="shared" si="8"/>
        <v>1.3478439131156676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19</v>
      </c>
      <c r="AQ90" s="68">
        <f t="shared" si="7"/>
        <v>31.368421052631572</v>
      </c>
      <c r="AR90" s="68">
        <f>IFERROR(VLOOKUP(A90,Climatologia_TMAX!A:U,9+$E$2,FALSE),"")</f>
        <v>30.14398006331821</v>
      </c>
      <c r="AS90" s="68">
        <f t="shared" si="8"/>
        <v>1.2244409893133614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19</v>
      </c>
      <c r="AQ91" s="68">
        <f t="shared" si="7"/>
        <v>31.584210526315797</v>
      </c>
      <c r="AR91" s="68">
        <f>IFERROR(VLOOKUP(A91,Climatologia_TMAX!A:U,9+$E$2,FALSE),"")</f>
        <v>30.948480459796951</v>
      </c>
      <c r="AS91" s="68">
        <f t="shared" si="8"/>
        <v>0.63573006651884612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19</v>
      </c>
      <c r="AQ94" s="68">
        <f t="shared" si="7"/>
        <v>31.799999999999997</v>
      </c>
      <c r="AR94" s="68">
        <f>IFERROR(VLOOKUP(A94,Climatologia_TMAX!A:U,9+$E$2,FALSE),"")</f>
        <v>31.022074370307589</v>
      </c>
      <c r="AS94" s="68">
        <f t="shared" si="8"/>
        <v>0.77792562969240819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19</v>
      </c>
      <c r="AQ99" s="68">
        <f t="shared" si="7"/>
        <v>26.031578947368423</v>
      </c>
      <c r="AR99" s="68">
        <f>IFERROR(VLOOKUP(A99,Climatologia_TMAX!A:U,9+$E$2,FALSE),"")</f>
        <v>24.718314208501919</v>
      </c>
      <c r="AS99" s="68">
        <f t="shared" si="8"/>
        <v>1.3132647388665042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19</v>
      </c>
      <c r="AQ100" s="68">
        <f t="shared" si="7"/>
        <v>38.926315789473676</v>
      </c>
      <c r="AR100" s="68">
        <f>IFERROR(VLOOKUP(A100,Climatologia_TMAX!A:U,9+$E$2,FALSE),"")</f>
        <v>37.075361698510143</v>
      </c>
      <c r="AS100" s="68">
        <f t="shared" si="8"/>
        <v>1.8509540909635334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18</v>
      </c>
      <c r="AQ102" s="68">
        <f t="shared" si="7"/>
        <v>29.894444444444446</v>
      </c>
      <c r="AR102" s="68">
        <f>IFERROR(VLOOKUP(A102,Climatologia_TMAX!A:U,9+$E$2,FALSE),"")</f>
        <v>27.909677419354839</v>
      </c>
      <c r="AS102" s="68">
        <f t="shared" si="8"/>
        <v>1.9847670250896066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19</v>
      </c>
      <c r="AQ104" s="68">
        <f t="shared" si="7"/>
        <v>37.284210526315789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39.200000000000003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-2.1999999999999957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19</v>
      </c>
      <c r="AQ105" s="68">
        <f t="shared" si="7"/>
        <v>29.978947368421053</v>
      </c>
      <c r="AR105" s="68">
        <f>IFERROR(VLOOKUP(A105,Climatologia_TMAX!A:U,9+$E$2,FALSE),"")</f>
        <v>30.030668369518938</v>
      </c>
      <c r="AS105" s="68">
        <f t="shared" si="8"/>
        <v>-5.1721001097885022E-2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19</v>
      </c>
      <c r="AQ106" s="68">
        <f t="shared" si="7"/>
        <v>26.431578947368426</v>
      </c>
      <c r="AR106" s="68">
        <f>IFERROR(VLOOKUP(A106,Climatologia_TMAX!A:U,9+$E$2,FALSE),"")</f>
        <v>25.412337253032469</v>
      </c>
      <c r="AS106" s="68">
        <f t="shared" si="8"/>
        <v>1.0192416943359568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18</v>
      </c>
      <c r="AQ108" s="68">
        <f t="shared" si="7"/>
        <v>31.011111111111113</v>
      </c>
      <c r="AR108" s="68">
        <f>IFERROR(VLOOKUP(A108,Climatologia_TMAX!A:U,9+$E$2,FALSE),"")</f>
        <v>30.571207119021128</v>
      </c>
      <c r="AS108" s="68">
        <f t="shared" si="8"/>
        <v>0.43990399208998454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19</v>
      </c>
      <c r="AQ109" s="68">
        <f t="shared" si="7"/>
        <v>26.6</v>
      </c>
      <c r="AR109" s="68">
        <f>IFERROR(VLOOKUP(A109,Climatologia_TMAX!A:U,9+$E$2,FALSE),"")</f>
        <v>25.742317801672641</v>
      </c>
      <c r="AS109" s="68">
        <f t="shared" si="8"/>
        <v>0.85768219832736037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19</v>
      </c>
      <c r="AQ111" s="68">
        <f t="shared" si="7"/>
        <v>39.168421052631579</v>
      </c>
      <c r="AR111" s="68">
        <f>IFERROR(VLOOKUP(A111,Climatologia_TMAX!A:U,9+$E$2,FALSE),"")</f>
        <v>35.400483796811272</v>
      </c>
      <c r="AS111" s="68">
        <f t="shared" si="8"/>
        <v>3.767937255820307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18</v>
      </c>
      <c r="AQ112" s="68">
        <f t="shared" si="7"/>
        <v>36.888888888888886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17</v>
      </c>
      <c r="AQ114" s="68">
        <f t="shared" si="7"/>
        <v>37.788235294117648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19</v>
      </c>
      <c r="AQ115" s="68">
        <f t="shared" si="7"/>
        <v>37.878947368421052</v>
      </c>
      <c r="AR115" s="68">
        <f>IFERROR(VLOOKUP(A115,Climatologia_TMAX!A:U,9+$E$2,FALSE),"")</f>
        <v>35.599806409679189</v>
      </c>
      <c r="AS115" s="68">
        <f t="shared" si="8"/>
        <v>2.2791409587418627</v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19</v>
      </c>
      <c r="AQ118" s="68">
        <f t="shared" si="7"/>
        <v>38.231578947368419</v>
      </c>
      <c r="AR118" s="68">
        <f>IFERROR(VLOOKUP(A118,Climatologia_TMAX!A:U,9+$E$2,FALSE),"")</f>
        <v>34.447006277967013</v>
      </c>
      <c r="AS118" s="68">
        <f t="shared" si="8"/>
        <v>3.7845726694014061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19</v>
      </c>
      <c r="AQ119" s="68">
        <f t="shared" si="7"/>
        <v>38.90526315789473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18</v>
      </c>
      <c r="AQ120" s="68">
        <f t="shared" si="7"/>
        <v>38.75555555555556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19</v>
      </c>
      <c r="AQ122" s="68">
        <f t="shared" si="7"/>
        <v>30.652631578947368</v>
      </c>
      <c r="AR122" s="68">
        <f>IFERROR(VLOOKUP(A122,Climatologia_TMAX!A:U,9+$E$2,FALSE),"")</f>
        <v>28.13354838709677</v>
      </c>
      <c r="AS122" s="68">
        <f t="shared" si="8"/>
        <v>2.5190831918505978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19</v>
      </c>
      <c r="AQ123" s="68">
        <f t="shared" si="7"/>
        <v>32.09473684210527</v>
      </c>
      <c r="AR123" s="68">
        <f>IFERROR(VLOOKUP(A123,Climatologia_TMAX!A:U,9+$E$2,FALSE),"")</f>
        <v>29.851373954599769</v>
      </c>
      <c r="AS123" s="68">
        <f t="shared" si="8"/>
        <v>2.2433628875055014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19</v>
      </c>
      <c r="AQ124" s="68">
        <f t="shared" si="7"/>
        <v>32.463157894736831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16</v>
      </c>
      <c r="AQ127" s="68">
        <f t="shared" si="7"/>
        <v>26.462499999999999</v>
      </c>
      <c r="AR127" s="68">
        <f>IFERROR(VLOOKUP(A127,Climatologia_TMAX!A:U,9+$E$2,FALSE),"")</f>
        <v>23.873193546154688</v>
      </c>
      <c r="AS127" s="68">
        <f t="shared" si="8"/>
        <v>2.5893064538453103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19</v>
      </c>
      <c r="AQ128" s="68">
        <f t="shared" si="7"/>
        <v>23.105263157894733</v>
      </c>
      <c r="AR128" s="68">
        <f>IFERROR(VLOOKUP(A128,Climatologia_TMAX!A:U,9+$E$2,FALSE),"")</f>
        <v>19.945241107257019</v>
      </c>
      <c r="AS128" s="68">
        <f t="shared" si="8"/>
        <v>3.1600220506377141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19</v>
      </c>
      <c r="AQ129" s="68">
        <f t="shared" si="7"/>
        <v>26.642105263157895</v>
      </c>
      <c r="AR129" s="68">
        <f>IFERROR(VLOOKUP(A129,Climatologia_TMAX!A:U,9+$E$2,FALSE),"")</f>
        <v>24.697992831541221</v>
      </c>
      <c r="AS129" s="68">
        <f t="shared" si="8"/>
        <v>1.9441124316166736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15</v>
      </c>
      <c r="AQ131" s="68">
        <f t="shared" si="7"/>
        <v>20.839999999999996</v>
      </c>
      <c r="AR131" s="68">
        <f>IFERROR(VLOOKUP(A131,Climatologia_TMAX!A:U,9+$E$2,FALSE),"")</f>
        <v>20.475268817204299</v>
      </c>
      <c r="AS131" s="68">
        <f t="shared" si="8"/>
        <v>0.36473118279569761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17</v>
      </c>
      <c r="AQ133" s="68">
        <f t="shared" ref="AQ133:AQ196" si="12">IF(AP133&gt;14,AVERAGE(K133:AO133),"")</f>
        <v>17.647058823529413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1.4769052769123121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19</v>
      </c>
      <c r="AQ135" s="68">
        <f t="shared" si="12"/>
        <v>23.621052631578948</v>
      </c>
      <c r="AR135" s="68">
        <f>IFERROR(VLOOKUP(A135,Climatologia_TMAX!A:U,9+$E$2,FALSE),"")</f>
        <v>23.503001430160491</v>
      </c>
      <c r="AS135" s="68">
        <f t="shared" si="13"/>
        <v>0.11805120141845649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19</v>
      </c>
      <c r="AQ138" s="68">
        <f t="shared" si="12"/>
        <v>21.778947368421054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19</v>
      </c>
      <c r="AQ139" s="68">
        <f t="shared" si="12"/>
        <v>21.678947368421049</v>
      </c>
      <c r="AR139" s="68">
        <f>IFERROR(VLOOKUP(A139,Climatologia_TMAX!A:U,9+$E$2,FALSE),"")</f>
        <v>20.714326639736161</v>
      </c>
      <c r="AS139" s="68">
        <f t="shared" si="13"/>
        <v>0.96462072868488846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16</v>
      </c>
      <c r="AQ140" s="68">
        <f t="shared" si="12"/>
        <v>23.650000000000002</v>
      </c>
      <c r="AR140" s="68">
        <f>IFERROR(VLOOKUP(A140,Climatologia_TMAX!A:U,9+$E$2,FALSE),"")</f>
        <v>21.647136438274369</v>
      </c>
      <c r="AS140" s="68">
        <f t="shared" si="13"/>
        <v>2.0028635617256327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19</v>
      </c>
      <c r="AQ141" s="68">
        <f t="shared" si="12"/>
        <v>19.621052631578948</v>
      </c>
      <c r="AR141" s="68">
        <f>IFERROR(VLOOKUP(A141,Climatologia_TMAX!A:U,9+$E$2,FALSE),"")</f>
        <v>18.072580645161288</v>
      </c>
      <c r="AS141" s="68">
        <f t="shared" si="13"/>
        <v>1.5484719864176597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19</v>
      </c>
      <c r="AQ142" s="68">
        <f t="shared" si="12"/>
        <v>18.515789473684215</v>
      </c>
      <c r="AR142" s="68">
        <f>IFERROR(VLOOKUP(A142,Climatologia_TMAX!A:U,9+$E$2,FALSE),"")</f>
        <v>17.502950587315588</v>
      </c>
      <c r="AS142" s="68">
        <f t="shared" si="13"/>
        <v>1.0128388863686268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14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19</v>
      </c>
      <c r="AQ146" s="68">
        <f t="shared" si="12"/>
        <v>21.631578947368425</v>
      </c>
      <c r="AR146" s="68">
        <f>IFERROR(VLOOKUP(A146,Climatologia_TMAX!A:U,9+$E$2,FALSE),"")</f>
        <v>21.065636230144019</v>
      </c>
      <c r="AS146" s="68">
        <f t="shared" si="13"/>
        <v>0.56594271722440581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17</v>
      </c>
      <c r="AQ147" s="68">
        <f t="shared" si="12"/>
        <v>21.741176470588236</v>
      </c>
      <c r="AR147" s="68">
        <f>IFERROR(VLOOKUP(A147,Climatologia_TMAX!A:U,9+$E$2,FALSE),"")</f>
        <v>21.75379211469534</v>
      </c>
      <c r="AS147" s="68">
        <f t="shared" si="13"/>
        <v>-1.2615644107103918E-2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18</v>
      </c>
      <c r="AQ148" s="68">
        <f t="shared" si="12"/>
        <v>26.522222222222215</v>
      </c>
      <c r="AR148" s="68">
        <f>IFERROR(VLOOKUP(A148,Climatologia_TMAX!A:U,9+$E$2,FALSE),"")</f>
        <v>25.418951612903221</v>
      </c>
      <c r="AS148" s="68">
        <f t="shared" si="13"/>
        <v>1.1032706093189937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18</v>
      </c>
      <c r="AQ151" s="68">
        <f t="shared" si="12"/>
        <v>34.288888888888891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19</v>
      </c>
      <c r="AQ153" s="68">
        <f t="shared" si="12"/>
        <v>20.726315789473684</v>
      </c>
      <c r="AR153" s="68">
        <f>IFERROR(VLOOKUP(A153,Climatologia_TMAX!A:U,9+$E$2,FALSE),"")</f>
        <v>17.087318670151451</v>
      </c>
      <c r="AS153" s="68">
        <f t="shared" si="13"/>
        <v>3.6389971193222337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19</v>
      </c>
      <c r="AQ154" s="68">
        <f t="shared" si="12"/>
        <v>19.021052631578947</v>
      </c>
      <c r="AR154" s="68">
        <f>IFERROR(VLOOKUP(A154,Climatologia_TMAX!A:U,9+$E$2,FALSE),"")</f>
        <v>17.894822708653351</v>
      </c>
      <c r="AS154" s="68">
        <f t="shared" si="13"/>
        <v>1.1262299229255959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19</v>
      </c>
      <c r="AQ156" s="68">
        <f t="shared" si="12"/>
        <v>21.378947368421056</v>
      </c>
      <c r="AR156" s="68">
        <f>IFERROR(VLOOKUP(A156,Climatologia_TMAX!A:U,9+$E$2,FALSE),"")</f>
        <v>19.9787274899533</v>
      </c>
      <c r="AS156" s="68">
        <f t="shared" si="13"/>
        <v>1.4002198784677553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19</v>
      </c>
      <c r="AQ158" s="68">
        <f t="shared" si="12"/>
        <v>23.8</v>
      </c>
      <c r="AR158" s="68">
        <f>IFERROR(VLOOKUP(A158,Climatologia_TMAX!A:U,9+$E$2,FALSE),"")</f>
        <v>22.279202508960569</v>
      </c>
      <c r="AS158" s="68">
        <f t="shared" si="13"/>
        <v>1.5207974910394313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19</v>
      </c>
      <c r="AQ160" s="68">
        <f t="shared" si="12"/>
        <v>31.347368421052639</v>
      </c>
      <c r="AR160" s="68">
        <f>IFERROR(VLOOKUP(A160,Climatologia_TMAX!A:U,9+$E$2,FALSE),"")</f>
        <v>29.899582174638489</v>
      </c>
      <c r="AS160" s="68">
        <f t="shared" si="13"/>
        <v>1.4477862464141502</v>
      </c>
      <c r="AT160" s="74">
        <f t="shared" si="14"/>
        <v>33.200000000000003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19</v>
      </c>
      <c r="AQ164" s="68">
        <f t="shared" si="12"/>
        <v>16.999999999999996</v>
      </c>
      <c r="AR164" s="68">
        <f>IFERROR(VLOOKUP(A164,Climatologia_TMAX!A:U,9+$E$2,FALSE),"")</f>
        <v>16.438135408145051</v>
      </c>
      <c r="AS164" s="68">
        <f t="shared" si="13"/>
        <v>0.56186459185494542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18</v>
      </c>
      <c r="AQ165" s="68">
        <f t="shared" si="12"/>
        <v>13.566666666666665</v>
      </c>
      <c r="AR165" s="68">
        <f>IFERROR(VLOOKUP(A165,Climatologia_TMAX!A:U,9+$E$2,FALSE),"")</f>
        <v>13.11626251390434</v>
      </c>
      <c r="AS165" s="68">
        <f t="shared" si="13"/>
        <v>0.45040415276232437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19</v>
      </c>
      <c r="AQ166" s="68">
        <f t="shared" si="12"/>
        <v>14.421052631578947</v>
      </c>
      <c r="AR166" s="68">
        <f>IFERROR(VLOOKUP(A166,Climatologia_TMAX!A:U,9+$E$2,FALSE),"")</f>
        <v>14.28566120241295</v>
      </c>
      <c r="AS166" s="68">
        <f t="shared" si="13"/>
        <v>0.13539142916599722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19</v>
      </c>
      <c r="AQ167" s="68">
        <f t="shared" si="12"/>
        <v>16.721052631578942</v>
      </c>
      <c r="AR167" s="68">
        <f>IFERROR(VLOOKUP(A167,Climatologia_TMAX!A:U,9+$E$2,FALSE),"")</f>
        <v>15.33697398819201</v>
      </c>
      <c r="AS167" s="68">
        <f t="shared" si="13"/>
        <v>1.3840786433869319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19</v>
      </c>
      <c r="AQ168" s="68">
        <f t="shared" si="12"/>
        <v>22.263157894736842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19</v>
      </c>
      <c r="AQ172" s="68">
        <f t="shared" si="12"/>
        <v>24.094736842105267</v>
      </c>
      <c r="AR172" s="68">
        <f>IFERROR(VLOOKUP(A172,Climatologia_TMAX!A:U,9+$E$2,FALSE),"")</f>
        <v>21.606312954104371</v>
      </c>
      <c r="AS172" s="68">
        <f t="shared" si="13"/>
        <v>2.4884238880008951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18</v>
      </c>
      <c r="AQ173" s="68">
        <f t="shared" si="12"/>
        <v>18.533333333333328</v>
      </c>
      <c r="AR173" s="68">
        <f>IFERROR(VLOOKUP(A173,Climatologia_TMAX!A:U,9+$E$2,FALSE),"")</f>
        <v>19.144848035988591</v>
      </c>
      <c r="AS173" s="68">
        <f t="shared" si="13"/>
        <v>-0.61151470265526342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19</v>
      </c>
      <c r="AQ175" s="68">
        <f t="shared" si="12"/>
        <v>17.221052631578946</v>
      </c>
      <c r="AR175" s="68">
        <f>IFERROR(VLOOKUP(A175,Climatologia_TMAX!A:U,9+$E$2,FALSE),"")</f>
        <v>16.77337009846331</v>
      </c>
      <c r="AS175" s="68">
        <f t="shared" si="13"/>
        <v>0.44768253311563555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19</v>
      </c>
      <c r="AQ176" s="68">
        <f t="shared" si="12"/>
        <v>19.86315789473684</v>
      </c>
      <c r="AR176" s="68">
        <f>IFERROR(VLOOKUP(A176,Climatologia_TMAX!A:U,9+$E$2,FALSE),"")</f>
        <v>18.929410456062289</v>
      </c>
      <c r="AS176" s="68">
        <f t="shared" si="13"/>
        <v>0.93374743867455123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17</v>
      </c>
      <c r="AQ180" s="68">
        <f t="shared" si="12"/>
        <v>24.117647058823522</v>
      </c>
      <c r="AR180" s="68">
        <f>IFERROR(VLOOKUP(A180,Climatologia_TMAX!A:U,9+$E$2,FALSE),"")</f>
        <v>22.045425414753339</v>
      </c>
      <c r="AS180" s="68">
        <f t="shared" si="13"/>
        <v>2.0722216440701828</v>
      </c>
      <c r="AT180" s="74">
        <f t="shared" si="14"/>
        <v>26.8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-0.59999999999999787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19</v>
      </c>
      <c r="AQ181" s="68">
        <f t="shared" si="12"/>
        <v>18.373684210526321</v>
      </c>
      <c r="AR181" s="68">
        <f>IFERROR(VLOOKUP(A181,Climatologia_TMAX!A:U,9+$E$2,FALSE),"")</f>
        <v>17.645817781073621</v>
      </c>
      <c r="AS181" s="68">
        <f t="shared" si="13"/>
        <v>0.72786642945269975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18</v>
      </c>
      <c r="AQ182" s="68">
        <f t="shared" si="12"/>
        <v>26.9</v>
      </c>
      <c r="AR182" s="68">
        <f>IFERROR(VLOOKUP(A182,Climatologia_TMAX!A:U,9+$E$2,FALSE),"")</f>
        <v>25.244773595756431</v>
      </c>
      <c r="AS182" s="68">
        <f t="shared" si="13"/>
        <v>1.6552264042435674</v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19</v>
      </c>
      <c r="AQ183" s="68">
        <f t="shared" si="12"/>
        <v>29.715789473684211</v>
      </c>
      <c r="AR183" s="68">
        <f>IFERROR(VLOOKUP(A183,Climatologia_TMAX!A:U,9+$E$2,FALSE),"")</f>
        <v>27.239077646938501</v>
      </c>
      <c r="AS183" s="68">
        <f t="shared" si="13"/>
        <v>2.47671182674571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19</v>
      </c>
      <c r="AQ184" s="68">
        <f t="shared" si="12"/>
        <v>16.536842105263158</v>
      </c>
      <c r="AR184" s="68">
        <f>IFERROR(VLOOKUP(A184,Climatologia_TMAX!A:U,9+$E$2,FALSE),"")</f>
        <v>14.56273340748981</v>
      </c>
      <c r="AS184" s="68">
        <f t="shared" si="13"/>
        <v>1.9741086977733477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/>
      <c r="AB185" s="66">
        <v>29.6</v>
      </c>
      <c r="AC185" s="66">
        <v>31.8</v>
      </c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16</v>
      </c>
      <c r="AQ185" s="68">
        <f t="shared" si="12"/>
        <v>32.125000000000007</v>
      </c>
      <c r="AR185" s="68">
        <f>IFERROR(VLOOKUP(A185,Climatologia_TMAX!A:U,9+$E$2,FALSE),"")</f>
        <v>28.271515834024871</v>
      </c>
      <c r="AS185" s="68">
        <f t="shared" si="13"/>
        <v>3.8534841659751358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19</v>
      </c>
      <c r="AQ186" s="68">
        <f t="shared" si="12"/>
        <v>30.284210526315793</v>
      </c>
      <c r="AR186" s="68">
        <f>IFERROR(VLOOKUP(A186,Climatologia_TMAX!A:U,9+$E$2,FALSE),"")</f>
        <v>28.080800691244239</v>
      </c>
      <c r="AS186" s="68">
        <f t="shared" si="13"/>
        <v>2.2034098350715539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17</v>
      </c>
      <c r="AQ187" s="68">
        <f t="shared" si="12"/>
        <v>26.835294117647059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19</v>
      </c>
      <c r="AQ188" s="68">
        <f t="shared" si="12"/>
        <v>13.505263157894735</v>
      </c>
      <c r="AR188" s="68">
        <f>IFERROR(VLOOKUP(A188,Climatologia_TMAX!A:U,9+$E$2,FALSE),"")</f>
        <v>13.20223385477499</v>
      </c>
      <c r="AS188" s="68">
        <f t="shared" si="13"/>
        <v>0.30302930311974485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19</v>
      </c>
      <c r="AQ191" s="68">
        <f t="shared" si="12"/>
        <v>36.726315789473688</v>
      </c>
      <c r="AR191" s="68">
        <f>IFERROR(VLOOKUP(A191,Climatologia_TMAX!A:U,9+$E$2,FALSE),"")</f>
        <v>34.386602574288887</v>
      </c>
      <c r="AS191" s="68">
        <f t="shared" si="13"/>
        <v>2.3397132151848012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19</v>
      </c>
      <c r="AQ192" s="68">
        <f t="shared" si="12"/>
        <v>31.715789473684211</v>
      </c>
      <c r="AR192" s="68">
        <f>IFERROR(VLOOKUP(A192,Climatologia_TMAX!A:U,9+$E$2,FALSE),"")</f>
        <v>30.53754007980649</v>
      </c>
      <c r="AS192" s="68">
        <f t="shared" si="13"/>
        <v>1.1782493938777208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19</v>
      </c>
      <c r="AQ193" s="68">
        <f t="shared" si="12"/>
        <v>35.09473684210527</v>
      </c>
      <c r="AR193" s="68">
        <f>IFERROR(VLOOKUP(A193,Climatologia_TMAX!A:U,9+$E$2,FALSE),"")</f>
        <v>32.604882188186302</v>
      </c>
      <c r="AS193" s="68">
        <f t="shared" si="13"/>
        <v>2.4898546539189681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19</v>
      </c>
      <c r="AQ194" s="68">
        <f t="shared" si="12"/>
        <v>36.4</v>
      </c>
      <c r="AR194" s="68">
        <f>IFERROR(VLOOKUP(A194,Climatologia_TMAX!A:U,9+$E$2,FALSE),"")</f>
        <v>33.982628113224877</v>
      </c>
      <c r="AS194" s="68">
        <f t="shared" si="13"/>
        <v>2.4173718867751219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15</v>
      </c>
      <c r="AQ197" s="68">
        <f t="shared" ref="AQ197:AQ260" si="17">IF(AP197&gt;14,AVERAGE(K197:AO197),"")</f>
        <v>36.026666666666671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2.7055345635701613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19</v>
      </c>
      <c r="AQ199" s="68">
        <f t="shared" si="17"/>
        <v>35.842105263157897</v>
      </c>
      <c r="AR199" s="68">
        <f>IFERROR(VLOOKUP(A199,Climatologia_TMAX!A:U,9+$E$2,FALSE),"")</f>
        <v>32.492888905936347</v>
      </c>
      <c r="AS199" s="68">
        <f t="shared" si="18"/>
        <v>3.3492163572215503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19</v>
      </c>
      <c r="AQ200" s="68">
        <f t="shared" si="17"/>
        <v>18.989473684210527</v>
      </c>
      <c r="AR200" s="68">
        <f>IFERROR(VLOOKUP(A200,Climatologia_TMAX!A:U,9+$E$2,FALSE),"")</f>
        <v>17.735029868578259</v>
      </c>
      <c r="AS200" s="68">
        <f t="shared" si="18"/>
        <v>1.2544438156322677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17</v>
      </c>
      <c r="AQ201" s="68">
        <f t="shared" si="17"/>
        <v>25</v>
      </c>
      <c r="AR201" s="68">
        <f>IFERROR(VLOOKUP(A201,Climatologia_TMAX!A:U,9+$E$2,FALSE),"")</f>
        <v>22.75197498391692</v>
      </c>
      <c r="AS201" s="68">
        <f t="shared" si="18"/>
        <v>2.2480250160830799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19</v>
      </c>
      <c r="AQ203" s="68">
        <f t="shared" si="17"/>
        <v>20.8</v>
      </c>
      <c r="AR203" s="68">
        <f>IFERROR(VLOOKUP(A203,Climatologia_TMAX!A:U,9+$E$2,FALSE),"")</f>
        <v>19.985882256004611</v>
      </c>
      <c r="AS203" s="68">
        <f t="shared" si="18"/>
        <v>0.81411774399538928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19</v>
      </c>
      <c r="AQ205" s="68">
        <f t="shared" si="17"/>
        <v>28.526315789473685</v>
      </c>
      <c r="AR205" s="68">
        <f>IFERROR(VLOOKUP(A205,Climatologia_TMAX!A:U,9+$E$2,FALSE),"")</f>
        <v>26.486742471058381</v>
      </c>
      <c r="AS205" s="68">
        <f t="shared" si="18"/>
        <v>2.0395733184153038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18</v>
      </c>
      <c r="AQ208" s="68">
        <f t="shared" si="17"/>
        <v>33.877777777777766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19</v>
      </c>
      <c r="AQ209" s="68">
        <f t="shared" si="17"/>
        <v>24.926315789473687</v>
      </c>
      <c r="AR209" s="68">
        <f>IFERROR(VLOOKUP(A209,Climatologia_TMAX!A:U,9+$E$2,FALSE),"")</f>
        <v>24.015476455320719</v>
      </c>
      <c r="AS209" s="68">
        <f t="shared" si="18"/>
        <v>0.91083933415296769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19</v>
      </c>
      <c r="AQ210" s="68">
        <f t="shared" si="17"/>
        <v>31.589473684210528</v>
      </c>
      <c r="AR210" s="68">
        <f>IFERROR(VLOOKUP(A210,Climatologia_TMAX!A:U,9+$E$2,FALSE),"")</f>
        <v>29.654423963133631</v>
      </c>
      <c r="AS210" s="68">
        <f t="shared" si="18"/>
        <v>1.9350497210768971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19</v>
      </c>
      <c r="AQ214" s="68">
        <f t="shared" si="17"/>
        <v>30.873684210526317</v>
      </c>
      <c r="AR214" s="68">
        <f>IFERROR(VLOOKUP(A214,Climatologia_TMAX!A:U,9+$E$2,FALSE),"")</f>
        <v>29.107319792911181</v>
      </c>
      <c r="AS214" s="68">
        <f t="shared" si="18"/>
        <v>1.7663644176151365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19</v>
      </c>
      <c r="AQ216" s="68">
        <f t="shared" si="17"/>
        <v>28.031578947368416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18</v>
      </c>
      <c r="AQ217" s="68">
        <f t="shared" si="17"/>
        <v>26.433333333333334</v>
      </c>
      <c r="AR217" s="68">
        <f>IFERROR(VLOOKUP(A217,Climatologia_TMAX!A:U,9+$E$2,FALSE),"")</f>
        <v>23.98799853208218</v>
      </c>
      <c r="AS217" s="68">
        <f t="shared" si="18"/>
        <v>2.4453348012511533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17</v>
      </c>
      <c r="AQ221" s="68">
        <f t="shared" si="17"/>
        <v>17.741176470588236</v>
      </c>
      <c r="AR221" s="68">
        <f>IFERROR(VLOOKUP(A221,Climatologia_TMAX!A:U,9+$E$2,FALSE),"")</f>
        <v>15.966759634455681</v>
      </c>
      <c r="AS221" s="68">
        <f t="shared" si="18"/>
        <v>1.7744168361325556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19</v>
      </c>
      <c r="AQ222" s="68">
        <f t="shared" si="17"/>
        <v>24.673684210526314</v>
      </c>
      <c r="AR222" s="68">
        <f>IFERROR(VLOOKUP(A222,Climatologia_TMAX!A:U,9+$E$2,FALSE),"")</f>
        <v>22.71125914315569</v>
      </c>
      <c r="AS222" s="68">
        <f t="shared" si="18"/>
        <v>1.9624250673706243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19</v>
      </c>
      <c r="AQ224" s="68">
        <f t="shared" si="17"/>
        <v>32.621052631578948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19</v>
      </c>
      <c r="AQ231" s="68">
        <f t="shared" si="17"/>
        <v>31.926315789473687</v>
      </c>
      <c r="AR231" s="68">
        <f>IFERROR(VLOOKUP(A231,Climatologia_TMAX!A:U,9+$E$2,FALSE),"")</f>
        <v>30.333152235427281</v>
      </c>
      <c r="AS231" s="68">
        <f t="shared" si="18"/>
        <v>1.5931635540464057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19</v>
      </c>
      <c r="AQ235" s="68">
        <f t="shared" si="17"/>
        <v>32.210526315789465</v>
      </c>
      <c r="AR235" s="68">
        <f>IFERROR(VLOOKUP(A235,Climatologia_TMAX!A:U,9+$E$2,FALSE),"")</f>
        <v>30.387096774193552</v>
      </c>
      <c r="AS235" s="68">
        <f t="shared" si="18"/>
        <v>1.8234295415959139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>
        <v>31.2</v>
      </c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5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18</v>
      </c>
      <c r="AQ244" s="68">
        <f t="shared" si="17"/>
        <v>27.755555555555553</v>
      </c>
      <c r="AR244" s="68">
        <f>IFERROR(VLOOKUP(A244,Climatologia_TMAX!A:U,9+$E$2,FALSE),"")</f>
        <v>25.772090800477901</v>
      </c>
      <c r="AS244" s="68">
        <f t="shared" si="18"/>
        <v>1.9834647550776516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19</v>
      </c>
      <c r="AQ246" s="68">
        <f t="shared" si="17"/>
        <v>33.421052631578945</v>
      </c>
      <c r="AR246" s="68">
        <f>IFERROR(VLOOKUP(A246,Climatologia_TMAX!A:U,9+$E$2,FALSE),"")</f>
        <v>30.365280795815501</v>
      </c>
      <c r="AS246" s="68">
        <f t="shared" si="18"/>
        <v>3.0557718357634442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18</v>
      </c>
      <c r="AQ247" s="68">
        <f t="shared" si="17"/>
        <v>37.611111111111114</v>
      </c>
      <c r="AR247" s="68">
        <f>IFERROR(VLOOKUP(A247,Climatologia_TMAX!A:U,9+$E$2,FALSE),"")</f>
        <v>35.840573622107357</v>
      </c>
      <c r="AS247" s="68">
        <f t="shared" si="18"/>
        <v>1.7705374890037575</v>
      </c>
      <c r="AT247" s="74">
        <f t="shared" si="19"/>
        <v>40.6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19</v>
      </c>
      <c r="AQ248" s="68">
        <f t="shared" si="17"/>
        <v>36.484210526315792</v>
      </c>
      <c r="AR248" s="68">
        <f>IFERROR(VLOOKUP(A248,Climatologia_TMAX!A:U,9+$E$2,FALSE),"")</f>
        <v>34.327826313407613</v>
      </c>
      <c r="AS248" s="68">
        <f t="shared" si="18"/>
        <v>2.1563842129081792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19</v>
      </c>
      <c r="AQ249" s="68">
        <f t="shared" si="17"/>
        <v>31.631578947368421</v>
      </c>
      <c r="AR249" s="68">
        <f>IFERROR(VLOOKUP(A249,Climatologia_TMAX!A:U,9+$E$2,FALSE),"")</f>
        <v>31.369964157706089</v>
      </c>
      <c r="AS249" s="68">
        <f t="shared" si="18"/>
        <v>0.26161478966233176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18</v>
      </c>
      <c r="AQ250" s="68">
        <f t="shared" si="17"/>
        <v>38.55555555555555</v>
      </c>
      <c r="AR250" s="68">
        <f>IFERROR(VLOOKUP(A250,Climatologia_TMAX!A:U,9+$E$2,FALSE),"")</f>
        <v>36.452131073091188</v>
      </c>
      <c r="AS250" s="68">
        <f t="shared" si="18"/>
        <v>2.1034244824643622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19</v>
      </c>
      <c r="AQ252" s="68">
        <f t="shared" si="17"/>
        <v>38.652631578947364</v>
      </c>
      <c r="AR252" s="68">
        <f>IFERROR(VLOOKUP(A252,Climatologia_TMAX!A:U,9+$E$2,FALSE),"")</f>
        <v>35.220558268183389</v>
      </c>
      <c r="AS252" s="68">
        <f t="shared" si="18"/>
        <v>3.4320733107639754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18</v>
      </c>
      <c r="AQ255" s="68">
        <f t="shared" si="17"/>
        <v>35.533333333333331</v>
      </c>
      <c r="AR255" s="68">
        <f>IFERROR(VLOOKUP(A255,Climatologia_TMAX!A:U,9+$E$2,FALSE),"")</f>
        <v>33.060314020206199</v>
      </c>
      <c r="AS255" s="68">
        <f t="shared" si="18"/>
        <v>2.4730193131271321</v>
      </c>
      <c r="AT255" s="74">
        <f t="shared" si="19"/>
        <v>37.799999999999997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19</v>
      </c>
      <c r="AQ258" s="68">
        <f t="shared" si="17"/>
        <v>25.94736842105263</v>
      </c>
      <c r="AR258" s="68">
        <f>IFERROR(VLOOKUP(A258,Climatologia_TMAX!A:U,9+$E$2,FALSE),"")</f>
        <v>23.450636822409319</v>
      </c>
      <c r="AS258" s="68">
        <f t="shared" si="18"/>
        <v>2.4967315986433114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18</v>
      </c>
      <c r="AQ259" s="68">
        <f t="shared" si="17"/>
        <v>27.12777777777778</v>
      </c>
      <c r="AR259" s="68">
        <f>IFERROR(VLOOKUP(A259,Climatologia_TMAX!A:U,9+$E$2,FALSE),"")</f>
        <v>26.859267723583631</v>
      </c>
      <c r="AS259" s="68">
        <f t="shared" si="18"/>
        <v>0.26851005419414875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19</v>
      </c>
      <c r="AQ260" s="68">
        <f t="shared" si="17"/>
        <v>21.652631578947364</v>
      </c>
      <c r="AR260" s="68">
        <f>IFERROR(VLOOKUP(A260,Climatologia_TMAX!A:U,9+$E$2,FALSE),"")</f>
        <v>18.882112739608111</v>
      </c>
      <c r="AS260" s="68">
        <f t="shared" si="18"/>
        <v>2.7705188393392532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18</v>
      </c>
      <c r="AQ261" s="68">
        <f t="shared" ref="AQ261:AQ288" si="22">IF(AP261&gt;14,AVERAGE(K261:AO261),"")</f>
        <v>35.822222222222223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19</v>
      </c>
      <c r="AQ262" s="68">
        <f t="shared" si="22"/>
        <v>23.04210526315789</v>
      </c>
      <c r="AR262" s="68">
        <f>IFERROR(VLOOKUP(A262,Climatologia_TMAX!A:U,9+$E$2,FALSE),"")</f>
        <v>21.05350412968302</v>
      </c>
      <c r="AS262" s="68">
        <f t="shared" si="23"/>
        <v>1.9886011334748694</v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-0.40000000000000213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13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19</v>
      </c>
      <c r="AQ268" s="68">
        <f t="shared" si="22"/>
        <v>15.336842105263157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19</v>
      </c>
      <c r="AQ269" s="68">
        <f t="shared" si="22"/>
        <v>20.378947368421048</v>
      </c>
      <c r="AR269" s="68">
        <f>IFERROR(VLOOKUP(A269,Climatologia_TMAX!A:U,9+$E$2,FALSE),"")</f>
        <v>19.143200050320459</v>
      </c>
      <c r="AS269" s="68">
        <f t="shared" si="23"/>
        <v>1.2357473181005894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17</v>
      </c>
      <c r="AQ270" s="68">
        <f t="shared" si="22"/>
        <v>18.55294117647059</v>
      </c>
      <c r="AR270" s="68">
        <f>IFERROR(VLOOKUP(A270,Climatologia_TMAX!A:U,9+$E$2,FALSE),"")</f>
        <v>16.385184798575551</v>
      </c>
      <c r="AS270" s="68">
        <f t="shared" si="23"/>
        <v>2.1677563778950386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18</v>
      </c>
      <c r="AQ271" s="68">
        <f t="shared" si="22"/>
        <v>16.999999999999996</v>
      </c>
      <c r="AR271" s="68">
        <f>IFERROR(VLOOKUP(A271,Climatologia_TMAX!A:U,9+$E$2,FALSE),"")</f>
        <v>17.371682824188088</v>
      </c>
      <c r="AS271" s="68">
        <f t="shared" si="23"/>
        <v>-0.37168282418809184</v>
      </c>
      <c r="AT271" s="74">
        <f t="shared" si="24"/>
        <v>18.399999999999999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-4.2000000000000028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18</v>
      </c>
      <c r="AQ272" s="68">
        <f t="shared" si="22"/>
        <v>22.700000000000003</v>
      </c>
      <c r="AR272" s="68">
        <f>IFERROR(VLOOKUP(A272,Climatologia_TMAX!A:U,9+$E$2,FALSE),"")</f>
        <v>20.524700215122909</v>
      </c>
      <c r="AS272" s="68">
        <f t="shared" si="23"/>
        <v>2.1752997848770939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19</v>
      </c>
      <c r="AQ273" s="68">
        <f t="shared" si="22"/>
        <v>27.063157894736843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19</v>
      </c>
      <c r="AQ275" s="68">
        <f t="shared" si="22"/>
        <v>11.642105263157896</v>
      </c>
      <c r="AR275" s="68">
        <f>IFERROR(VLOOKUP(A275,Climatologia_TMAX!A:U,9+$E$2,FALSE),"")</f>
        <v>11.567283004043301</v>
      </c>
      <c r="AS275" s="68">
        <f t="shared" si="23"/>
        <v>7.4822259114595724E-2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19</v>
      </c>
      <c r="AQ278" s="68">
        <f t="shared" si="22"/>
        <v>33.578947368421048</v>
      </c>
      <c r="AR278" s="68">
        <f>IFERROR(VLOOKUP(A278,Climatologia_TMAX!A:U,9+$E$2,FALSE),"")</f>
        <v>31.62928722448812</v>
      </c>
      <c r="AS278" s="68">
        <f t="shared" si="23"/>
        <v>1.9496601439329275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19</v>
      </c>
      <c r="AQ279" s="68">
        <f t="shared" si="22"/>
        <v>20.926315789473684</v>
      </c>
      <c r="AR279" s="68">
        <f>IFERROR(VLOOKUP(A279,Climatologia_TMAX!A:U,9+$E$2,FALSE),"")</f>
        <v>20.492876344086021</v>
      </c>
      <c r="AS279" s="68">
        <f t="shared" si="23"/>
        <v>0.43343944538766266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19</v>
      </c>
      <c r="AQ280" s="68">
        <f t="shared" si="22"/>
        <v>32.621052631578948</v>
      </c>
      <c r="AR280" s="68">
        <f>IFERROR(VLOOKUP(A280,Climatologia_TMAX!A:U,9+$E$2,FALSE),"")</f>
        <v>29.755468215712931</v>
      </c>
      <c r="AS280" s="68">
        <f t="shared" si="23"/>
        <v>2.8655844158660173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17</v>
      </c>
      <c r="AQ281" s="68">
        <f t="shared" si="22"/>
        <v>22.070588235294121</v>
      </c>
      <c r="AR281" s="68">
        <f>IFERROR(VLOOKUP(A281,Climatologia_TMAX!A:U,9+$E$2,FALSE),"")</f>
        <v>19.62978110599078</v>
      </c>
      <c r="AS281" s="68">
        <f t="shared" si="23"/>
        <v>2.4408071293033409</v>
      </c>
      <c r="AT281" s="74">
        <f t="shared" si="24"/>
        <v>24.4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19</v>
      </c>
      <c r="AQ284" s="68">
        <f t="shared" si="22"/>
        <v>19.136842105263156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19</v>
      </c>
      <c r="AQ285" s="68">
        <f t="shared" si="22"/>
        <v>20.684210526315791</v>
      </c>
      <c r="AR285" s="68">
        <f>IFERROR(VLOOKUP(A285,Climatologia_TMAX!A:U,9+$E$2,FALSE),"")</f>
        <v>19.309961016360539</v>
      </c>
      <c r="AS285" s="68">
        <f t="shared" si="23"/>
        <v>1.3742495099552521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19</v>
      </c>
      <c r="AQ287" s="68">
        <f t="shared" si="22"/>
        <v>19.442105263157895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autoFilter ref="AS1:AS288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7" t="s">
        <v>540</v>
      </c>
      <c r="B1" s="118"/>
      <c r="C1" s="118"/>
      <c r="D1" s="118"/>
      <c r="E1" s="118"/>
      <c r="F1" s="118"/>
      <c r="G1" s="118"/>
      <c r="H1" s="118"/>
      <c r="I1" s="119"/>
      <c r="J1" s="120" t="s">
        <v>541</v>
      </c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21" t="s">
        <v>542</v>
      </c>
      <c r="X1" s="119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5" t="s">
        <v>869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19" width="11.42578125" style="42" customWidth="1"/>
    <col min="120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2026-08-20T16:11:57Z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2026-08-20T16:10:12Z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e1363cc3-0e89-47fc-94a0-ab14785eb0a3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